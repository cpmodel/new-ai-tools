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8_{40F142B9-34A6-4161-B9F8-DE210E599356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itigation_Industry" sheetId="2" r:id="rId2"/>
    <sheet name="MTInputs" sheetId="3" r:id="rId3"/>
    <sheet name="Data_Energy" sheetId="4" r:id="rId4"/>
    <sheet name="Data_Prices" sheetId="5" r:id="rId5"/>
    <sheet name="Data_Macro" sheetId="6" r:id="rId6"/>
    <sheet name="Data_Elast" sheetId="7" r:id="rId7"/>
    <sheet name="Check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80" i="8" l="1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F121" i="3"/>
  <c r="G120" i="3"/>
  <c r="F120" i="3"/>
  <c r="G119" i="3"/>
  <c r="F119" i="3"/>
  <c r="G118" i="3"/>
  <c r="F118" i="3"/>
  <c r="G117" i="3"/>
  <c r="F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485" i="2"/>
  <c r="C485" i="2"/>
  <c r="L484" i="2"/>
  <c r="H484" i="2"/>
  <c r="G484" i="2"/>
  <c r="C484" i="2"/>
  <c r="L483" i="2"/>
  <c r="H483" i="2"/>
  <c r="G483" i="2"/>
  <c r="C483" i="2"/>
  <c r="H482" i="2"/>
  <c r="G482" i="2"/>
  <c r="C482" i="2"/>
  <c r="L482" i="2" s="1"/>
  <c r="H481" i="2"/>
  <c r="G481" i="2"/>
  <c r="C481" i="2"/>
  <c r="L481" i="2" s="1"/>
  <c r="L480" i="2"/>
  <c r="H480" i="2"/>
  <c r="G480" i="2"/>
  <c r="C480" i="2"/>
  <c r="H479" i="2"/>
  <c r="G479" i="2"/>
  <c r="C479" i="2"/>
  <c r="L479" i="2" s="1"/>
  <c r="L478" i="2"/>
  <c r="H478" i="2"/>
  <c r="G478" i="2"/>
  <c r="C478" i="2"/>
  <c r="H477" i="2"/>
  <c r="G477" i="2"/>
  <c r="C477" i="2"/>
  <c r="L477" i="2" s="1"/>
  <c r="H476" i="2"/>
  <c r="G476" i="2"/>
  <c r="C476" i="2"/>
  <c r="L476" i="2" s="1"/>
  <c r="J474" i="2"/>
  <c r="H474" i="2"/>
  <c r="G474" i="2"/>
  <c r="F474" i="2"/>
  <c r="E474" i="2"/>
  <c r="C474" i="2"/>
  <c r="J473" i="2"/>
  <c r="H473" i="2"/>
  <c r="G473" i="2"/>
  <c r="F473" i="2"/>
  <c r="E473" i="2"/>
  <c r="C473" i="2"/>
  <c r="J472" i="2"/>
  <c r="H472" i="2"/>
  <c r="G472" i="2"/>
  <c r="F472" i="2"/>
  <c r="E472" i="2"/>
  <c r="C472" i="2"/>
  <c r="J471" i="2"/>
  <c r="H471" i="2"/>
  <c r="G471" i="2"/>
  <c r="F471" i="2"/>
  <c r="E471" i="2"/>
  <c r="C471" i="2"/>
  <c r="J470" i="2"/>
  <c r="H470" i="2"/>
  <c r="G470" i="2"/>
  <c r="F470" i="2"/>
  <c r="E470" i="2"/>
  <c r="C470" i="2"/>
  <c r="J469" i="2"/>
  <c r="H469" i="2"/>
  <c r="G469" i="2"/>
  <c r="F469" i="2"/>
  <c r="E469" i="2"/>
  <c r="C469" i="2"/>
  <c r="J468" i="2"/>
  <c r="H468" i="2"/>
  <c r="G468" i="2"/>
  <c r="F468" i="2"/>
  <c r="E468" i="2"/>
  <c r="C468" i="2"/>
  <c r="J467" i="2"/>
  <c r="H467" i="2"/>
  <c r="G467" i="2"/>
  <c r="F467" i="2"/>
  <c r="E467" i="2"/>
  <c r="C467" i="2"/>
  <c r="J466" i="2"/>
  <c r="H466" i="2"/>
  <c r="G466" i="2"/>
  <c r="F466" i="2"/>
  <c r="E466" i="2"/>
  <c r="C466" i="2"/>
  <c r="AC463" i="2"/>
  <c r="Z463" i="2"/>
  <c r="Y463" i="2"/>
  <c r="N463" i="2"/>
  <c r="M463" i="2"/>
  <c r="G463" i="2"/>
  <c r="AB463" i="2" s="1"/>
  <c r="C463" i="2"/>
  <c r="G462" i="2"/>
  <c r="C462" i="2"/>
  <c r="AA461" i="2"/>
  <c r="Z461" i="2"/>
  <c r="V461" i="2"/>
  <c r="T461" i="2"/>
  <c r="R461" i="2"/>
  <c r="Q461" i="2"/>
  <c r="G461" i="2"/>
  <c r="U461" i="2" s="1"/>
  <c r="C461" i="2"/>
  <c r="AB460" i="2"/>
  <c r="Y460" i="2"/>
  <c r="V460" i="2"/>
  <c r="S460" i="2"/>
  <c r="R460" i="2"/>
  <c r="Q460" i="2"/>
  <c r="M460" i="2"/>
  <c r="G460" i="2"/>
  <c r="Z460" i="2" s="1"/>
  <c r="C460" i="2"/>
  <c r="G459" i="2"/>
  <c r="C459" i="2"/>
  <c r="H457" i="2"/>
  <c r="G457" i="2"/>
  <c r="C457" i="2"/>
  <c r="H456" i="2"/>
  <c r="G456" i="2"/>
  <c r="C456" i="2"/>
  <c r="H455" i="2"/>
  <c r="G455" i="2"/>
  <c r="C455" i="2"/>
  <c r="H454" i="2"/>
  <c r="G454" i="2"/>
  <c r="C454" i="2"/>
  <c r="H453" i="2"/>
  <c r="G453" i="2"/>
  <c r="C453" i="2"/>
  <c r="H452" i="2"/>
  <c r="G452" i="2"/>
  <c r="C452" i="2"/>
  <c r="H451" i="2"/>
  <c r="G451" i="2"/>
  <c r="C451" i="2"/>
  <c r="H450" i="2"/>
  <c r="G450" i="2"/>
  <c r="C450" i="2"/>
  <c r="H449" i="2"/>
  <c r="G449" i="2"/>
  <c r="C449" i="2"/>
  <c r="H447" i="2"/>
  <c r="G447" i="2"/>
  <c r="C447" i="2"/>
  <c r="H446" i="2"/>
  <c r="G446" i="2"/>
  <c r="C446" i="2"/>
  <c r="H445" i="2"/>
  <c r="G445" i="2"/>
  <c r="C445" i="2"/>
  <c r="H444" i="2"/>
  <c r="G444" i="2"/>
  <c r="C444" i="2"/>
  <c r="H443" i="2"/>
  <c r="G443" i="2"/>
  <c r="C443" i="2"/>
  <c r="H442" i="2"/>
  <c r="G442" i="2"/>
  <c r="C442" i="2"/>
  <c r="H441" i="2"/>
  <c r="G441" i="2"/>
  <c r="C441" i="2"/>
  <c r="H440" i="2"/>
  <c r="G440" i="2"/>
  <c r="C440" i="2"/>
  <c r="H439" i="2"/>
  <c r="G439" i="2"/>
  <c r="C439" i="2"/>
  <c r="AE437" i="2"/>
  <c r="AA437" i="2"/>
  <c r="X437" i="2"/>
  <c r="W437" i="2"/>
  <c r="V437" i="2"/>
  <c r="T437" i="2"/>
  <c r="S437" i="2"/>
  <c r="R437" i="2"/>
  <c r="Q437" i="2"/>
  <c r="P437" i="2"/>
  <c r="N437" i="2"/>
  <c r="K437" i="2"/>
  <c r="H437" i="2"/>
  <c r="G437" i="2"/>
  <c r="U437" i="2" s="1"/>
  <c r="C437" i="2"/>
  <c r="AD436" i="2"/>
  <c r="AC436" i="2"/>
  <c r="N436" i="2"/>
  <c r="M436" i="2"/>
  <c r="H436" i="2"/>
  <c r="G436" i="2"/>
  <c r="AE436" i="2" s="1"/>
  <c r="C436" i="2"/>
  <c r="H435" i="2"/>
  <c r="G435" i="2"/>
  <c r="C435" i="2"/>
  <c r="AD434" i="2"/>
  <c r="AC434" i="2"/>
  <c r="AA434" i="2"/>
  <c r="X434" i="2"/>
  <c r="T434" i="2"/>
  <c r="S434" i="2"/>
  <c r="P434" i="2"/>
  <c r="O434" i="2"/>
  <c r="M434" i="2"/>
  <c r="L434" i="2"/>
  <c r="K434" i="2"/>
  <c r="H434" i="2"/>
  <c r="G434" i="2"/>
  <c r="W434" i="2" s="1"/>
  <c r="C434" i="2"/>
  <c r="AE433" i="2"/>
  <c r="AD433" i="2"/>
  <c r="Q433" i="2"/>
  <c r="P433" i="2"/>
  <c r="N433" i="2"/>
  <c r="K433" i="2"/>
  <c r="H433" i="2"/>
  <c r="G433" i="2"/>
  <c r="AB433" i="2" s="1"/>
  <c r="C433" i="2"/>
  <c r="R432" i="2"/>
  <c r="H432" i="2"/>
  <c r="G432" i="2"/>
  <c r="Q432" i="2" s="1"/>
  <c r="C432" i="2"/>
  <c r="AA431" i="2"/>
  <c r="W431" i="2"/>
  <c r="V431" i="2"/>
  <c r="U431" i="2"/>
  <c r="H431" i="2"/>
  <c r="G431" i="2"/>
  <c r="X431" i="2" s="1"/>
  <c r="C431" i="2"/>
  <c r="AE430" i="2"/>
  <c r="AD430" i="2"/>
  <c r="AB430" i="2"/>
  <c r="X430" i="2"/>
  <c r="V430" i="2"/>
  <c r="T430" i="2"/>
  <c r="Q430" i="2"/>
  <c r="P430" i="2"/>
  <c r="N430" i="2"/>
  <c r="M430" i="2"/>
  <c r="H430" i="2"/>
  <c r="G430" i="2"/>
  <c r="W430" i="2" s="1"/>
  <c r="C430" i="2"/>
  <c r="AA429" i="2"/>
  <c r="X429" i="2"/>
  <c r="U429" i="2"/>
  <c r="T429" i="2"/>
  <c r="S429" i="2"/>
  <c r="R429" i="2"/>
  <c r="H429" i="2"/>
  <c r="G429" i="2"/>
  <c r="Q429" i="2" s="1"/>
  <c r="C429" i="2"/>
  <c r="H425" i="2"/>
  <c r="C425" i="2"/>
  <c r="H424" i="2"/>
  <c r="G424" i="2"/>
  <c r="C424" i="2"/>
  <c r="L424" i="2" s="1"/>
  <c r="H423" i="2"/>
  <c r="G423" i="2"/>
  <c r="C423" i="2"/>
  <c r="L423" i="2" s="1"/>
  <c r="H422" i="2"/>
  <c r="G422" i="2"/>
  <c r="C422" i="2"/>
  <c r="L422" i="2" s="1"/>
  <c r="H421" i="2"/>
  <c r="G421" i="2"/>
  <c r="C421" i="2"/>
  <c r="L421" i="2" s="1"/>
  <c r="H420" i="2"/>
  <c r="G420" i="2"/>
  <c r="C420" i="2"/>
  <c r="L420" i="2" s="1"/>
  <c r="L419" i="2"/>
  <c r="H419" i="2"/>
  <c r="G419" i="2"/>
  <c r="C419" i="2"/>
  <c r="L418" i="2"/>
  <c r="H418" i="2"/>
  <c r="G418" i="2"/>
  <c r="C418" i="2"/>
  <c r="H417" i="2"/>
  <c r="G417" i="2"/>
  <c r="C417" i="2"/>
  <c r="L417" i="2" s="1"/>
  <c r="L416" i="2"/>
  <c r="H416" i="2"/>
  <c r="G416" i="2"/>
  <c r="C416" i="2"/>
  <c r="J414" i="2"/>
  <c r="H414" i="2"/>
  <c r="G414" i="2"/>
  <c r="F414" i="2"/>
  <c r="E414" i="2"/>
  <c r="C414" i="2"/>
  <c r="J413" i="2"/>
  <c r="H413" i="2"/>
  <c r="G413" i="2"/>
  <c r="F413" i="2"/>
  <c r="E413" i="2"/>
  <c r="C413" i="2"/>
  <c r="J412" i="2"/>
  <c r="H412" i="2"/>
  <c r="G412" i="2"/>
  <c r="F412" i="2"/>
  <c r="E412" i="2"/>
  <c r="C412" i="2"/>
  <c r="J411" i="2"/>
  <c r="H411" i="2"/>
  <c r="G411" i="2"/>
  <c r="F411" i="2"/>
  <c r="E411" i="2"/>
  <c r="C411" i="2"/>
  <c r="J410" i="2"/>
  <c r="H410" i="2"/>
  <c r="G410" i="2"/>
  <c r="F410" i="2"/>
  <c r="E410" i="2"/>
  <c r="C410" i="2"/>
  <c r="J409" i="2"/>
  <c r="H409" i="2"/>
  <c r="G409" i="2"/>
  <c r="F409" i="2"/>
  <c r="E409" i="2"/>
  <c r="C409" i="2"/>
  <c r="J408" i="2"/>
  <c r="H408" i="2"/>
  <c r="G408" i="2"/>
  <c r="F408" i="2"/>
  <c r="E408" i="2"/>
  <c r="C408" i="2"/>
  <c r="J407" i="2"/>
  <c r="H407" i="2"/>
  <c r="G407" i="2"/>
  <c r="F407" i="2"/>
  <c r="E407" i="2"/>
  <c r="C407" i="2"/>
  <c r="J406" i="2"/>
  <c r="H406" i="2"/>
  <c r="G406" i="2"/>
  <c r="F406" i="2"/>
  <c r="E406" i="2"/>
  <c r="C406" i="2"/>
  <c r="AE403" i="2"/>
  <c r="AD403" i="2"/>
  <c r="AB403" i="2"/>
  <c r="AA403" i="2"/>
  <c r="Z403" i="2"/>
  <c r="V403" i="2"/>
  <c r="U403" i="2"/>
  <c r="S403" i="2"/>
  <c r="R403" i="2"/>
  <c r="Q403" i="2"/>
  <c r="P403" i="2"/>
  <c r="O403" i="2"/>
  <c r="N403" i="2"/>
  <c r="M403" i="2"/>
  <c r="L403" i="2"/>
  <c r="G403" i="2"/>
  <c r="Y403" i="2" s="1"/>
  <c r="C403" i="2"/>
  <c r="G402" i="2"/>
  <c r="C402" i="2"/>
  <c r="AC401" i="2"/>
  <c r="AB401" i="2"/>
  <c r="Q401" i="2"/>
  <c r="P401" i="2"/>
  <c r="N401" i="2"/>
  <c r="L401" i="2"/>
  <c r="K401" i="2"/>
  <c r="G401" i="2"/>
  <c r="AD401" i="2" s="1"/>
  <c r="C401" i="2"/>
  <c r="AC400" i="2"/>
  <c r="Z400" i="2"/>
  <c r="Y400" i="2"/>
  <c r="W400" i="2"/>
  <c r="T400" i="2"/>
  <c r="R400" i="2"/>
  <c r="Q400" i="2"/>
  <c r="P400" i="2"/>
  <c r="L400" i="2"/>
  <c r="G400" i="2"/>
  <c r="X400" i="2" s="1"/>
  <c r="C400" i="2"/>
  <c r="G399" i="2"/>
  <c r="C399" i="2"/>
  <c r="H397" i="2"/>
  <c r="G397" i="2"/>
  <c r="C397" i="2"/>
  <c r="H396" i="2"/>
  <c r="G396" i="2"/>
  <c r="C396" i="2"/>
  <c r="H395" i="2"/>
  <c r="G395" i="2"/>
  <c r="C395" i="2"/>
  <c r="H394" i="2"/>
  <c r="G394" i="2"/>
  <c r="C394" i="2"/>
  <c r="H393" i="2"/>
  <c r="G393" i="2"/>
  <c r="C393" i="2"/>
  <c r="H392" i="2"/>
  <c r="G392" i="2"/>
  <c r="C392" i="2"/>
  <c r="H391" i="2"/>
  <c r="G391" i="2"/>
  <c r="C391" i="2"/>
  <c r="H390" i="2"/>
  <c r="G390" i="2"/>
  <c r="C390" i="2"/>
  <c r="H389" i="2"/>
  <c r="G389" i="2"/>
  <c r="C389" i="2"/>
  <c r="H387" i="2"/>
  <c r="G387" i="2"/>
  <c r="C387" i="2"/>
  <c r="H386" i="2"/>
  <c r="G386" i="2"/>
  <c r="C386" i="2"/>
  <c r="H385" i="2"/>
  <c r="G385" i="2"/>
  <c r="C385" i="2"/>
  <c r="H384" i="2"/>
  <c r="G384" i="2"/>
  <c r="C384" i="2"/>
  <c r="H383" i="2"/>
  <c r="G383" i="2"/>
  <c r="C383" i="2"/>
  <c r="H382" i="2"/>
  <c r="G382" i="2"/>
  <c r="C382" i="2"/>
  <c r="H381" i="2"/>
  <c r="G381" i="2"/>
  <c r="C381" i="2"/>
  <c r="H380" i="2"/>
  <c r="G380" i="2"/>
  <c r="C380" i="2"/>
  <c r="H379" i="2"/>
  <c r="G379" i="2"/>
  <c r="C379" i="2"/>
  <c r="W377" i="2"/>
  <c r="H377" i="2"/>
  <c r="G377" i="2"/>
  <c r="C377" i="2"/>
  <c r="AB376" i="2"/>
  <c r="X376" i="2"/>
  <c r="P376" i="2"/>
  <c r="O376" i="2"/>
  <c r="N376" i="2"/>
  <c r="M376" i="2"/>
  <c r="H376" i="2"/>
  <c r="G376" i="2"/>
  <c r="S376" i="2" s="1"/>
  <c r="C376" i="2"/>
  <c r="T375" i="2"/>
  <c r="H375" i="2"/>
  <c r="G375" i="2"/>
  <c r="C375" i="2"/>
  <c r="AB374" i="2"/>
  <c r="V374" i="2"/>
  <c r="U374" i="2"/>
  <c r="S374" i="2"/>
  <c r="R374" i="2"/>
  <c r="Q374" i="2"/>
  <c r="P374" i="2"/>
  <c r="K374" i="2"/>
  <c r="H374" i="2"/>
  <c r="G374" i="2"/>
  <c r="Z374" i="2" s="1"/>
  <c r="C374" i="2"/>
  <c r="AE373" i="2"/>
  <c r="AD373" i="2"/>
  <c r="AB373" i="2"/>
  <c r="AA373" i="2"/>
  <c r="Z373" i="2"/>
  <c r="Y373" i="2"/>
  <c r="Q373" i="2"/>
  <c r="M373" i="2"/>
  <c r="L373" i="2"/>
  <c r="H373" i="2"/>
  <c r="G373" i="2"/>
  <c r="C373" i="2"/>
  <c r="N372" i="2"/>
  <c r="H372" i="2"/>
  <c r="G372" i="2"/>
  <c r="C372" i="2"/>
  <c r="S371" i="2"/>
  <c r="R371" i="2"/>
  <c r="M371" i="2"/>
  <c r="L371" i="2"/>
  <c r="H371" i="2"/>
  <c r="G371" i="2"/>
  <c r="AE371" i="2" s="1"/>
  <c r="C371" i="2"/>
  <c r="AE370" i="2"/>
  <c r="AA370" i="2"/>
  <c r="W370" i="2"/>
  <c r="V370" i="2"/>
  <c r="T370" i="2"/>
  <c r="R370" i="2"/>
  <c r="O370" i="2"/>
  <c r="N370" i="2"/>
  <c r="M370" i="2"/>
  <c r="H370" i="2"/>
  <c r="G370" i="2"/>
  <c r="AB370" i="2" s="1"/>
  <c r="C370" i="2"/>
  <c r="X369" i="2"/>
  <c r="H369" i="2"/>
  <c r="G369" i="2"/>
  <c r="AC369" i="2" s="1"/>
  <c r="C369" i="2"/>
  <c r="H365" i="2"/>
  <c r="C365" i="2"/>
  <c r="H364" i="2"/>
  <c r="G364" i="2"/>
  <c r="C364" i="2"/>
  <c r="L364" i="2" s="1"/>
  <c r="L363" i="2"/>
  <c r="H363" i="2"/>
  <c r="G363" i="2"/>
  <c r="C363" i="2"/>
  <c r="H362" i="2"/>
  <c r="G362" i="2"/>
  <c r="C362" i="2"/>
  <c r="L362" i="2" s="1"/>
  <c r="H361" i="2"/>
  <c r="G361" i="2"/>
  <c r="C361" i="2"/>
  <c r="L361" i="2" s="1"/>
  <c r="H360" i="2"/>
  <c r="G360" i="2"/>
  <c r="C360" i="2"/>
  <c r="L360" i="2" s="1"/>
  <c r="L359" i="2"/>
  <c r="H359" i="2"/>
  <c r="G359" i="2"/>
  <c r="C359" i="2"/>
  <c r="H358" i="2"/>
  <c r="G358" i="2"/>
  <c r="C358" i="2"/>
  <c r="L358" i="2" s="1"/>
  <c r="L357" i="2"/>
  <c r="H357" i="2"/>
  <c r="G357" i="2"/>
  <c r="C357" i="2"/>
  <c r="H356" i="2"/>
  <c r="G356" i="2"/>
  <c r="C356" i="2"/>
  <c r="L356" i="2" s="1"/>
  <c r="J354" i="2"/>
  <c r="H354" i="2"/>
  <c r="G354" i="2"/>
  <c r="F354" i="2"/>
  <c r="E354" i="2"/>
  <c r="C354" i="2"/>
  <c r="J353" i="2"/>
  <c r="H353" i="2"/>
  <c r="G353" i="2"/>
  <c r="F353" i="2"/>
  <c r="E353" i="2"/>
  <c r="C353" i="2"/>
  <c r="J352" i="2"/>
  <c r="H352" i="2"/>
  <c r="G352" i="2"/>
  <c r="F352" i="2"/>
  <c r="E352" i="2"/>
  <c r="C352" i="2"/>
  <c r="J351" i="2"/>
  <c r="H351" i="2"/>
  <c r="G351" i="2"/>
  <c r="F351" i="2"/>
  <c r="E351" i="2"/>
  <c r="C351" i="2"/>
  <c r="J350" i="2"/>
  <c r="H350" i="2"/>
  <c r="G350" i="2"/>
  <c r="F350" i="2"/>
  <c r="E350" i="2"/>
  <c r="C350" i="2"/>
  <c r="J349" i="2"/>
  <c r="H349" i="2"/>
  <c r="G349" i="2"/>
  <c r="F349" i="2"/>
  <c r="E349" i="2"/>
  <c r="C349" i="2"/>
  <c r="J348" i="2"/>
  <c r="H348" i="2"/>
  <c r="G348" i="2"/>
  <c r="F348" i="2"/>
  <c r="E348" i="2"/>
  <c r="C348" i="2"/>
  <c r="J347" i="2"/>
  <c r="H347" i="2"/>
  <c r="G347" i="2"/>
  <c r="F347" i="2"/>
  <c r="E347" i="2"/>
  <c r="C347" i="2"/>
  <c r="J346" i="2"/>
  <c r="H346" i="2"/>
  <c r="G346" i="2"/>
  <c r="F346" i="2"/>
  <c r="E346" i="2"/>
  <c r="C346" i="2"/>
  <c r="G343" i="2"/>
  <c r="C343" i="2"/>
  <c r="Z342" i="2"/>
  <c r="Y342" i="2"/>
  <c r="X342" i="2"/>
  <c r="U342" i="2"/>
  <c r="G342" i="2"/>
  <c r="R342" i="2" s="1"/>
  <c r="C342" i="2"/>
  <c r="Z341" i="2"/>
  <c r="K341" i="2"/>
  <c r="G341" i="2"/>
  <c r="S341" i="2" s="1"/>
  <c r="C341" i="2"/>
  <c r="Y340" i="2"/>
  <c r="V340" i="2"/>
  <c r="T340" i="2"/>
  <c r="S340" i="2"/>
  <c r="R340" i="2"/>
  <c r="G340" i="2"/>
  <c r="AB340" i="2" s="1"/>
  <c r="C340" i="2"/>
  <c r="AB339" i="2"/>
  <c r="T339" i="2"/>
  <c r="S339" i="2"/>
  <c r="R339" i="2"/>
  <c r="G339" i="2"/>
  <c r="Z339" i="2" s="1"/>
  <c r="C339" i="2"/>
  <c r="H337" i="2"/>
  <c r="G337" i="2"/>
  <c r="C337" i="2"/>
  <c r="H336" i="2"/>
  <c r="G336" i="2"/>
  <c r="C336" i="2"/>
  <c r="H335" i="2"/>
  <c r="G335" i="2"/>
  <c r="C335" i="2"/>
  <c r="H334" i="2"/>
  <c r="G334" i="2"/>
  <c r="C334" i="2"/>
  <c r="H333" i="2"/>
  <c r="G333" i="2"/>
  <c r="C333" i="2"/>
  <c r="H332" i="2"/>
  <c r="G332" i="2"/>
  <c r="C332" i="2"/>
  <c r="H331" i="2"/>
  <c r="G331" i="2"/>
  <c r="C331" i="2"/>
  <c r="H330" i="2"/>
  <c r="G330" i="2"/>
  <c r="C330" i="2"/>
  <c r="H329" i="2"/>
  <c r="G329" i="2"/>
  <c r="C329" i="2"/>
  <c r="H327" i="2"/>
  <c r="G327" i="2"/>
  <c r="C327" i="2"/>
  <c r="H326" i="2"/>
  <c r="G326" i="2"/>
  <c r="C326" i="2"/>
  <c r="H325" i="2"/>
  <c r="G325" i="2"/>
  <c r="C325" i="2"/>
  <c r="H324" i="2"/>
  <c r="G324" i="2"/>
  <c r="C324" i="2"/>
  <c r="H323" i="2"/>
  <c r="G323" i="2"/>
  <c r="C323" i="2"/>
  <c r="H322" i="2"/>
  <c r="G322" i="2"/>
  <c r="C322" i="2"/>
  <c r="H321" i="2"/>
  <c r="G321" i="2"/>
  <c r="C321" i="2"/>
  <c r="H320" i="2"/>
  <c r="G320" i="2"/>
  <c r="C320" i="2"/>
  <c r="H319" i="2"/>
  <c r="G319" i="2"/>
  <c r="C319" i="2"/>
  <c r="H317" i="2"/>
  <c r="G317" i="2"/>
  <c r="C317" i="2"/>
  <c r="H316" i="2"/>
  <c r="G316" i="2"/>
  <c r="P316" i="2" s="1"/>
  <c r="C316" i="2"/>
  <c r="AA315" i="2"/>
  <c r="M315" i="2"/>
  <c r="H315" i="2"/>
  <c r="G315" i="2"/>
  <c r="C315" i="2"/>
  <c r="AD314" i="2"/>
  <c r="AB314" i="2"/>
  <c r="W314" i="2"/>
  <c r="V314" i="2"/>
  <c r="U314" i="2"/>
  <c r="R314" i="2"/>
  <c r="O314" i="2"/>
  <c r="N314" i="2"/>
  <c r="M314" i="2"/>
  <c r="H314" i="2"/>
  <c r="G314" i="2"/>
  <c r="T314" i="2" s="1"/>
  <c r="C314" i="2"/>
  <c r="X313" i="2"/>
  <c r="H313" i="2"/>
  <c r="G313" i="2"/>
  <c r="Q313" i="2" s="1"/>
  <c r="C313" i="2"/>
  <c r="AD312" i="2"/>
  <c r="AC312" i="2"/>
  <c r="AB312" i="2"/>
  <c r="AA312" i="2"/>
  <c r="Y312" i="2"/>
  <c r="V312" i="2"/>
  <c r="U312" i="2"/>
  <c r="T312" i="2"/>
  <c r="T322" i="2" s="1"/>
  <c r="T332" i="2" s="1"/>
  <c r="S312" i="2"/>
  <c r="S322" i="2" s="1"/>
  <c r="S332" i="2" s="1"/>
  <c r="R312" i="2"/>
  <c r="R322" i="2" s="1"/>
  <c r="R332" i="2" s="1"/>
  <c r="Q312" i="2"/>
  <c r="O312" i="2"/>
  <c r="N312" i="2"/>
  <c r="M312" i="2"/>
  <c r="L312" i="2"/>
  <c r="H312" i="2"/>
  <c r="G312" i="2"/>
  <c r="W312" i="2" s="1"/>
  <c r="C312" i="2"/>
  <c r="AD311" i="2"/>
  <c r="AB311" i="2"/>
  <c r="AA311" i="2"/>
  <c r="Z311" i="2"/>
  <c r="V311" i="2"/>
  <c r="U311" i="2"/>
  <c r="R311" i="2"/>
  <c r="L311" i="2"/>
  <c r="H311" i="2"/>
  <c r="G311" i="2"/>
  <c r="C311" i="2"/>
  <c r="AB310" i="2"/>
  <c r="T310" i="2"/>
  <c r="R310" i="2"/>
  <c r="Q310" i="2"/>
  <c r="P310" i="2"/>
  <c r="H310" i="2"/>
  <c r="G310" i="2"/>
  <c r="AA310" i="2" s="1"/>
  <c r="C310" i="2"/>
  <c r="W309" i="2"/>
  <c r="H309" i="2"/>
  <c r="G309" i="2"/>
  <c r="S309" i="2" s="1"/>
  <c r="S319" i="2" s="1"/>
  <c r="S329" i="2" s="1"/>
  <c r="C309" i="2"/>
  <c r="H305" i="2"/>
  <c r="C305" i="2"/>
  <c r="H304" i="2"/>
  <c r="G304" i="2"/>
  <c r="C304" i="2"/>
  <c r="L304" i="2" s="1"/>
  <c r="H303" i="2"/>
  <c r="G303" i="2"/>
  <c r="C303" i="2"/>
  <c r="L303" i="2" s="1"/>
  <c r="H302" i="2"/>
  <c r="G302" i="2"/>
  <c r="C302" i="2"/>
  <c r="L302" i="2" s="1"/>
  <c r="H301" i="2"/>
  <c r="G301" i="2"/>
  <c r="C301" i="2"/>
  <c r="L301" i="2" s="1"/>
  <c r="L300" i="2"/>
  <c r="H300" i="2"/>
  <c r="G300" i="2"/>
  <c r="C300" i="2"/>
  <c r="H299" i="2"/>
  <c r="G299" i="2"/>
  <c r="C299" i="2"/>
  <c r="L299" i="2" s="1"/>
  <c r="H298" i="2"/>
  <c r="G298" i="2"/>
  <c r="C298" i="2"/>
  <c r="L298" i="2" s="1"/>
  <c r="L297" i="2"/>
  <c r="H297" i="2"/>
  <c r="G297" i="2"/>
  <c r="C297" i="2"/>
  <c r="H296" i="2"/>
  <c r="G296" i="2"/>
  <c r="C296" i="2"/>
  <c r="L296" i="2" s="1"/>
  <c r="J294" i="2"/>
  <c r="H294" i="2"/>
  <c r="G294" i="2"/>
  <c r="F294" i="2"/>
  <c r="E294" i="2"/>
  <c r="C294" i="2"/>
  <c r="J293" i="2"/>
  <c r="H293" i="2"/>
  <c r="G293" i="2"/>
  <c r="F293" i="2"/>
  <c r="E293" i="2"/>
  <c r="C293" i="2"/>
  <c r="J292" i="2"/>
  <c r="H292" i="2"/>
  <c r="G292" i="2"/>
  <c r="F292" i="2"/>
  <c r="E292" i="2"/>
  <c r="C292" i="2"/>
  <c r="J291" i="2"/>
  <c r="H291" i="2"/>
  <c r="G291" i="2"/>
  <c r="F291" i="2"/>
  <c r="E291" i="2"/>
  <c r="C291" i="2"/>
  <c r="J290" i="2"/>
  <c r="H290" i="2"/>
  <c r="G290" i="2"/>
  <c r="F290" i="2"/>
  <c r="E290" i="2"/>
  <c r="C290" i="2"/>
  <c r="J289" i="2"/>
  <c r="H289" i="2"/>
  <c r="G289" i="2"/>
  <c r="F289" i="2"/>
  <c r="E289" i="2"/>
  <c r="C289" i="2"/>
  <c r="J288" i="2"/>
  <c r="H288" i="2"/>
  <c r="G288" i="2"/>
  <c r="F288" i="2"/>
  <c r="E288" i="2"/>
  <c r="C288" i="2"/>
  <c r="J287" i="2"/>
  <c r="H287" i="2"/>
  <c r="G287" i="2"/>
  <c r="F287" i="2"/>
  <c r="E287" i="2"/>
  <c r="C287" i="2"/>
  <c r="J286" i="2"/>
  <c r="H286" i="2"/>
  <c r="G286" i="2"/>
  <c r="F286" i="2"/>
  <c r="E286" i="2"/>
  <c r="C286" i="2"/>
  <c r="G283" i="2"/>
  <c r="N283" i="2" s="1"/>
  <c r="C283" i="2"/>
  <c r="AE282" i="2"/>
  <c r="AD282" i="2"/>
  <c r="AC282" i="2"/>
  <c r="R282" i="2"/>
  <c r="M282" i="2"/>
  <c r="K282" i="2"/>
  <c r="G282" i="2"/>
  <c r="C282" i="2"/>
  <c r="AE281" i="2"/>
  <c r="AC281" i="2"/>
  <c r="Z281" i="2"/>
  <c r="X281" i="2"/>
  <c r="V281" i="2"/>
  <c r="U281" i="2"/>
  <c r="T281" i="2"/>
  <c r="S281" i="2"/>
  <c r="Q281" i="2"/>
  <c r="P281" i="2"/>
  <c r="O281" i="2"/>
  <c r="N281" i="2"/>
  <c r="K281" i="2"/>
  <c r="G281" i="2"/>
  <c r="W281" i="2" s="1"/>
  <c r="C281" i="2"/>
  <c r="AD280" i="2"/>
  <c r="AB280" i="2"/>
  <c r="AA280" i="2"/>
  <c r="Q280" i="2"/>
  <c r="K280" i="2"/>
  <c r="G280" i="2"/>
  <c r="C280" i="2"/>
  <c r="G279" i="2"/>
  <c r="AE279" i="2" s="1"/>
  <c r="AE263" i="2" s="1"/>
  <c r="C279" i="2"/>
  <c r="H277" i="2"/>
  <c r="G277" i="2"/>
  <c r="C277" i="2"/>
  <c r="H276" i="2"/>
  <c r="G276" i="2"/>
  <c r="C276" i="2"/>
  <c r="H275" i="2"/>
  <c r="G275" i="2"/>
  <c r="C275" i="2"/>
  <c r="H274" i="2"/>
  <c r="G274" i="2"/>
  <c r="C274" i="2"/>
  <c r="H273" i="2"/>
  <c r="G273" i="2"/>
  <c r="C273" i="2"/>
  <c r="H272" i="2"/>
  <c r="G272" i="2"/>
  <c r="C272" i="2"/>
  <c r="H271" i="2"/>
  <c r="G271" i="2"/>
  <c r="C271" i="2"/>
  <c r="H270" i="2"/>
  <c r="G270" i="2"/>
  <c r="C270" i="2"/>
  <c r="H269" i="2"/>
  <c r="G269" i="2"/>
  <c r="C269" i="2"/>
  <c r="H267" i="2"/>
  <c r="G267" i="2"/>
  <c r="C267" i="2"/>
  <c r="H266" i="2"/>
  <c r="G266" i="2"/>
  <c r="C266" i="2"/>
  <c r="H265" i="2"/>
  <c r="G265" i="2"/>
  <c r="C265" i="2"/>
  <c r="H264" i="2"/>
  <c r="G264" i="2"/>
  <c r="C264" i="2"/>
  <c r="H263" i="2"/>
  <c r="G263" i="2"/>
  <c r="C263" i="2"/>
  <c r="H262" i="2"/>
  <c r="G262" i="2"/>
  <c r="C262" i="2"/>
  <c r="H261" i="2"/>
  <c r="G261" i="2"/>
  <c r="C261" i="2"/>
  <c r="H260" i="2"/>
  <c r="G260" i="2"/>
  <c r="C260" i="2"/>
  <c r="H259" i="2"/>
  <c r="G259" i="2"/>
  <c r="C259" i="2"/>
  <c r="AD257" i="2"/>
  <c r="AB257" i="2"/>
  <c r="AA257" i="2"/>
  <c r="Z257" i="2"/>
  <c r="Y257" i="2"/>
  <c r="S257" i="2"/>
  <c r="Q257" i="2"/>
  <c r="P257" i="2"/>
  <c r="O257" i="2"/>
  <c r="L257" i="2"/>
  <c r="K257" i="2"/>
  <c r="H257" i="2"/>
  <c r="G257" i="2"/>
  <c r="C257" i="2"/>
  <c r="H256" i="2"/>
  <c r="G256" i="2"/>
  <c r="C256" i="2"/>
  <c r="W255" i="2"/>
  <c r="S255" i="2"/>
  <c r="R255" i="2"/>
  <c r="Q255" i="2"/>
  <c r="H255" i="2"/>
  <c r="G255" i="2"/>
  <c r="C255" i="2"/>
  <c r="O254" i="2"/>
  <c r="H254" i="2"/>
  <c r="G254" i="2"/>
  <c r="C254" i="2"/>
  <c r="AE253" i="2"/>
  <c r="X253" i="2"/>
  <c r="V253" i="2"/>
  <c r="T253" i="2"/>
  <c r="Q253" i="2"/>
  <c r="L253" i="2"/>
  <c r="H253" i="2"/>
  <c r="G253" i="2"/>
  <c r="C253" i="2"/>
  <c r="AD252" i="2"/>
  <c r="Z252" i="2"/>
  <c r="Y252" i="2"/>
  <c r="W252" i="2"/>
  <c r="S252" i="2"/>
  <c r="Q252" i="2"/>
  <c r="P252" i="2"/>
  <c r="O252" i="2"/>
  <c r="M252" i="2"/>
  <c r="K252" i="2"/>
  <c r="H252" i="2"/>
  <c r="G252" i="2"/>
  <c r="AE252" i="2" s="1"/>
  <c r="C252" i="2"/>
  <c r="L251" i="2"/>
  <c r="H251" i="2"/>
  <c r="G251" i="2"/>
  <c r="C251" i="2"/>
  <c r="AD250" i="2"/>
  <c r="AA250" i="2"/>
  <c r="X250" i="2"/>
  <c r="W250" i="2"/>
  <c r="V250" i="2"/>
  <c r="U250" i="2"/>
  <c r="Q250" i="2"/>
  <c r="O250" i="2"/>
  <c r="N250" i="2"/>
  <c r="L250" i="2"/>
  <c r="H250" i="2"/>
  <c r="G250" i="2"/>
  <c r="AE250" i="2" s="1"/>
  <c r="C250" i="2"/>
  <c r="AC249" i="2"/>
  <c r="AB249" i="2"/>
  <c r="AA249" i="2"/>
  <c r="S249" i="2"/>
  <c r="M249" i="2"/>
  <c r="K249" i="2"/>
  <c r="H249" i="2"/>
  <c r="G249" i="2"/>
  <c r="C249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L238" i="2"/>
  <c r="H238" i="2"/>
  <c r="G238" i="2"/>
  <c r="C238" i="2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L234" i="2"/>
  <c r="H234" i="2"/>
  <c r="G234" i="2"/>
  <c r="C234" i="2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AE220" i="2"/>
  <c r="AC220" i="2"/>
  <c r="X220" i="2"/>
  <c r="W220" i="2"/>
  <c r="V220" i="2"/>
  <c r="U220" i="2"/>
  <c r="R220" i="2"/>
  <c r="Q220" i="2"/>
  <c r="P220" i="2"/>
  <c r="O220" i="2"/>
  <c r="L220" i="2"/>
  <c r="G220" i="2"/>
  <c r="N220" i="2" s="1"/>
  <c r="C220" i="2"/>
  <c r="AD219" i="2"/>
  <c r="AC219" i="2"/>
  <c r="AB219" i="2"/>
  <c r="W219" i="2"/>
  <c r="S219" i="2"/>
  <c r="Q219" i="2"/>
  <c r="P219" i="2"/>
  <c r="O219" i="2"/>
  <c r="M219" i="2"/>
  <c r="G219" i="2"/>
  <c r="T219" i="2" s="1"/>
  <c r="C219" i="2"/>
  <c r="AD218" i="2"/>
  <c r="Y218" i="2"/>
  <c r="X218" i="2"/>
  <c r="V218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R195" i="2"/>
  <c r="O195" i="2"/>
  <c r="H195" i="2"/>
  <c r="G195" i="2"/>
  <c r="C195" i="2"/>
  <c r="AE194" i="2"/>
  <c r="AC194" i="2"/>
  <c r="AA194" i="2"/>
  <c r="Y194" i="2"/>
  <c r="T194" i="2"/>
  <c r="S194" i="2"/>
  <c r="Q194" i="2"/>
  <c r="O194" i="2"/>
  <c r="M194" i="2"/>
  <c r="L194" i="2"/>
  <c r="K194" i="2"/>
  <c r="H194" i="2"/>
  <c r="G194" i="2"/>
  <c r="X194" i="2" s="1"/>
  <c r="C194" i="2"/>
  <c r="AA193" i="2"/>
  <c r="X193" i="2"/>
  <c r="W193" i="2"/>
  <c r="V193" i="2"/>
  <c r="U193" i="2"/>
  <c r="P193" i="2"/>
  <c r="O193" i="2"/>
  <c r="M193" i="2"/>
  <c r="H193" i="2"/>
  <c r="G193" i="2"/>
  <c r="AC193" i="2" s="1"/>
  <c r="C193" i="2"/>
  <c r="Y192" i="2"/>
  <c r="S192" i="2"/>
  <c r="H192" i="2"/>
  <c r="G192" i="2"/>
  <c r="C192" i="2"/>
  <c r="H191" i="2"/>
  <c r="G191" i="2"/>
  <c r="C191" i="2"/>
  <c r="O190" i="2"/>
  <c r="H190" i="2"/>
  <c r="G190" i="2"/>
  <c r="AC190" i="2" s="1"/>
  <c r="C190" i="2"/>
  <c r="AB189" i="2"/>
  <c r="U189" i="2"/>
  <c r="T189" i="2"/>
  <c r="P189" i="2"/>
  <c r="N189" i="2"/>
  <c r="K189" i="2"/>
  <c r="H189" i="2"/>
  <c r="G189" i="2"/>
  <c r="AA189" i="2" s="1"/>
  <c r="C189" i="2"/>
  <c r="Z188" i="2"/>
  <c r="H188" i="2"/>
  <c r="G188" i="2"/>
  <c r="AC188" i="2" s="1"/>
  <c r="C188" i="2"/>
  <c r="AE187" i="2"/>
  <c r="AC187" i="2"/>
  <c r="AB187" i="2"/>
  <c r="AA187" i="2"/>
  <c r="Y187" i="2"/>
  <c r="V187" i="2"/>
  <c r="T187" i="2"/>
  <c r="M187" i="2"/>
  <c r="K187" i="2"/>
  <c r="H187" i="2"/>
  <c r="G187" i="2"/>
  <c r="C187" i="2"/>
  <c r="H183" i="2"/>
  <c r="C183" i="2"/>
  <c r="L182" i="2"/>
  <c r="H182" i="2"/>
  <c r="G182" i="2"/>
  <c r="C182" i="2"/>
  <c r="L181" i="2"/>
  <c r="H181" i="2"/>
  <c r="G181" i="2"/>
  <c r="C181" i="2"/>
  <c r="H180" i="2"/>
  <c r="G180" i="2"/>
  <c r="C180" i="2"/>
  <c r="L180" i="2" s="1"/>
  <c r="H179" i="2"/>
  <c r="G179" i="2"/>
  <c r="C179" i="2"/>
  <c r="L179" i="2" s="1"/>
  <c r="L178" i="2"/>
  <c r="H178" i="2"/>
  <c r="G178" i="2"/>
  <c r="C178" i="2"/>
  <c r="L177" i="2"/>
  <c r="H177" i="2"/>
  <c r="G177" i="2"/>
  <c r="C177" i="2"/>
  <c r="H176" i="2"/>
  <c r="G176" i="2"/>
  <c r="C176" i="2"/>
  <c r="L176" i="2" s="1"/>
  <c r="H175" i="2"/>
  <c r="G175" i="2"/>
  <c r="C175" i="2"/>
  <c r="L175" i="2" s="1"/>
  <c r="L174" i="2"/>
  <c r="H174" i="2"/>
  <c r="G174" i="2"/>
  <c r="C174" i="2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AB161" i="2"/>
  <c r="Z161" i="2"/>
  <c r="Q161" i="2"/>
  <c r="G161" i="2"/>
  <c r="Y161" i="2" s="1"/>
  <c r="C161" i="2"/>
  <c r="Y160" i="2"/>
  <c r="G160" i="2"/>
  <c r="C160" i="2"/>
  <c r="G159" i="2"/>
  <c r="AE159" i="2" s="1"/>
  <c r="C159" i="2"/>
  <c r="AA158" i="2"/>
  <c r="U158" i="2"/>
  <c r="S158" i="2"/>
  <c r="G158" i="2"/>
  <c r="AB158" i="2" s="1"/>
  <c r="C158" i="2"/>
  <c r="S157" i="2"/>
  <c r="S143" i="2" s="1"/>
  <c r="S153" i="2" s="1"/>
  <c r="G157" i="2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AD135" i="2"/>
  <c r="AC135" i="2"/>
  <c r="AB135" i="2"/>
  <c r="Y135" i="2"/>
  <c r="W135" i="2"/>
  <c r="V135" i="2"/>
  <c r="T135" i="2"/>
  <c r="R135" i="2"/>
  <c r="Q135" i="2"/>
  <c r="N135" i="2"/>
  <c r="M135" i="2"/>
  <c r="K135" i="2"/>
  <c r="H135" i="2"/>
  <c r="G135" i="2"/>
  <c r="X135" i="2" s="1"/>
  <c r="C135" i="2"/>
  <c r="AA134" i="2"/>
  <c r="Z134" i="2"/>
  <c r="H134" i="2"/>
  <c r="G134" i="2"/>
  <c r="C134" i="2"/>
  <c r="Z133" i="2"/>
  <c r="X133" i="2"/>
  <c r="U133" i="2"/>
  <c r="S133" i="2"/>
  <c r="R133" i="2"/>
  <c r="Q133" i="2"/>
  <c r="H133" i="2"/>
  <c r="G133" i="2"/>
  <c r="W133" i="2" s="1"/>
  <c r="C133" i="2"/>
  <c r="AE132" i="2"/>
  <c r="AC132" i="2"/>
  <c r="AA132" i="2"/>
  <c r="Z132" i="2"/>
  <c r="Y132" i="2"/>
  <c r="X132" i="2"/>
  <c r="S132" i="2"/>
  <c r="S142" i="2" s="1"/>
  <c r="S152" i="2" s="1"/>
  <c r="Q132" i="2"/>
  <c r="P132" i="2"/>
  <c r="O132" i="2"/>
  <c r="L132" i="2"/>
  <c r="K132" i="2"/>
  <c r="H132" i="2"/>
  <c r="G132" i="2"/>
  <c r="C132" i="2"/>
  <c r="H131" i="2"/>
  <c r="G131" i="2"/>
  <c r="AA131" i="2" s="1"/>
  <c r="C131" i="2"/>
  <c r="Y130" i="2"/>
  <c r="H130" i="2"/>
  <c r="G130" i="2"/>
  <c r="Z130" i="2" s="1"/>
  <c r="C130" i="2"/>
  <c r="AD129" i="2"/>
  <c r="AC129" i="2"/>
  <c r="AB129" i="2"/>
  <c r="AA129" i="2"/>
  <c r="X129" i="2"/>
  <c r="V129" i="2"/>
  <c r="U129" i="2"/>
  <c r="S129" i="2"/>
  <c r="R129" i="2"/>
  <c r="Q129" i="2"/>
  <c r="P129" i="2"/>
  <c r="N129" i="2"/>
  <c r="M129" i="2"/>
  <c r="L129" i="2"/>
  <c r="H129" i="2"/>
  <c r="G129" i="2"/>
  <c r="Y129" i="2" s="1"/>
  <c r="C129" i="2"/>
  <c r="AD128" i="2"/>
  <c r="AB128" i="2"/>
  <c r="Z128" i="2"/>
  <c r="X128" i="2"/>
  <c r="R128" i="2"/>
  <c r="Q128" i="2"/>
  <c r="N128" i="2"/>
  <c r="L128" i="2"/>
  <c r="K128" i="2"/>
  <c r="H128" i="2"/>
  <c r="G128" i="2"/>
  <c r="AA128" i="2" s="1"/>
  <c r="C128" i="2"/>
  <c r="S127" i="2"/>
  <c r="R127" i="2"/>
  <c r="H127" i="2"/>
  <c r="G127" i="2"/>
  <c r="C127" i="2"/>
  <c r="H123" i="2"/>
  <c r="C123" i="2"/>
  <c r="H122" i="2"/>
  <c r="G122" i="2"/>
  <c r="C122" i="2"/>
  <c r="L122" i="2" s="1"/>
  <c r="L121" i="2"/>
  <c r="H121" i="2"/>
  <c r="G121" i="2"/>
  <c r="C121" i="2"/>
  <c r="L120" i="2"/>
  <c r="H120" i="2"/>
  <c r="G120" i="2"/>
  <c r="C120" i="2"/>
  <c r="H119" i="2"/>
  <c r="G119" i="2"/>
  <c r="C119" i="2"/>
  <c r="L119" i="2" s="1"/>
  <c r="L118" i="2"/>
  <c r="H118" i="2"/>
  <c r="G118" i="2"/>
  <c r="C118" i="2"/>
  <c r="L117" i="2"/>
  <c r="H117" i="2"/>
  <c r="G117" i="2"/>
  <c r="C117" i="2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I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I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AA100" i="2"/>
  <c r="Y100" i="2"/>
  <c r="P100" i="2"/>
  <c r="O100" i="2"/>
  <c r="M100" i="2"/>
  <c r="G100" i="2"/>
  <c r="C100" i="2"/>
  <c r="G99" i="2"/>
  <c r="N99" i="2" s="1"/>
  <c r="C99" i="2"/>
  <c r="Y98" i="2"/>
  <c r="Q98" i="2"/>
  <c r="G98" i="2"/>
  <c r="AB98" i="2" s="1"/>
  <c r="C98" i="2"/>
  <c r="AD97" i="2"/>
  <c r="AB97" i="2"/>
  <c r="Y97" i="2"/>
  <c r="X97" i="2"/>
  <c r="W97" i="2"/>
  <c r="V97" i="2"/>
  <c r="U97" i="2"/>
  <c r="T97" i="2"/>
  <c r="R97" i="2"/>
  <c r="O97" i="2"/>
  <c r="N97" i="2"/>
  <c r="M97" i="2"/>
  <c r="L97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U79" i="2"/>
  <c r="H79" i="2"/>
  <c r="G79" i="2"/>
  <c r="C79" i="2"/>
  <c r="H78" i="2"/>
  <c r="G78" i="2"/>
  <c r="C78" i="2"/>
  <c r="H77" i="2"/>
  <c r="G77" i="2"/>
  <c r="C77" i="2"/>
  <c r="V75" i="2"/>
  <c r="O75" i="2"/>
  <c r="O85" i="2" s="1"/>
  <c r="H75" i="2"/>
  <c r="G75" i="2"/>
  <c r="Y75" i="2" s="1"/>
  <c r="Y85" i="2" s="1"/>
  <c r="Y95" i="2" s="1"/>
  <c r="C75" i="2"/>
  <c r="AA74" i="2"/>
  <c r="Y74" i="2"/>
  <c r="H74" i="2"/>
  <c r="G74" i="2"/>
  <c r="C74" i="2"/>
  <c r="H73" i="2"/>
  <c r="G73" i="2"/>
  <c r="T73" i="2" s="1"/>
  <c r="T83" i="2" s="1"/>
  <c r="C73" i="2"/>
  <c r="AC72" i="2"/>
  <c r="Z72" i="2"/>
  <c r="W72" i="2"/>
  <c r="U72" i="2"/>
  <c r="T72" i="2"/>
  <c r="S72" i="2"/>
  <c r="R72" i="2"/>
  <c r="M72" i="2"/>
  <c r="L72" i="2"/>
  <c r="K72" i="2"/>
  <c r="H72" i="2"/>
  <c r="G72" i="2"/>
  <c r="AA72" i="2" s="1"/>
  <c r="C72" i="2"/>
  <c r="H71" i="2"/>
  <c r="G71" i="2"/>
  <c r="AB71" i="2" s="1"/>
  <c r="AB81" i="2" s="1"/>
  <c r="AB91" i="2" s="1"/>
  <c r="C71" i="2"/>
  <c r="H70" i="2"/>
  <c r="G70" i="2"/>
  <c r="AC70" i="2" s="1"/>
  <c r="C70" i="2"/>
  <c r="AE69" i="2"/>
  <c r="Y69" i="2"/>
  <c r="U69" i="2"/>
  <c r="T69" i="2"/>
  <c r="S69" i="2"/>
  <c r="Q69" i="2"/>
  <c r="M69" i="2"/>
  <c r="L69" i="2"/>
  <c r="L79" i="2" s="1"/>
  <c r="K69" i="2"/>
  <c r="H69" i="2"/>
  <c r="G69" i="2"/>
  <c r="Z69" i="2" s="1"/>
  <c r="C69" i="2"/>
  <c r="AD68" i="2"/>
  <c r="V68" i="2"/>
  <c r="U68" i="2"/>
  <c r="S68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L60" i="2"/>
  <c r="H60" i="2"/>
  <c r="G60" i="2"/>
  <c r="C60" i="2"/>
  <c r="H59" i="2"/>
  <c r="G59" i="2"/>
  <c r="C59" i="2"/>
  <c r="L59" i="2" s="1"/>
  <c r="H58" i="2"/>
  <c r="G58" i="2"/>
  <c r="C58" i="2"/>
  <c r="L58" i="2" s="1"/>
  <c r="L57" i="2"/>
  <c r="H57" i="2"/>
  <c r="G57" i="2"/>
  <c r="C57" i="2"/>
  <c r="L56" i="2"/>
  <c r="H56" i="2"/>
  <c r="G56" i="2"/>
  <c r="C56" i="2"/>
  <c r="H55" i="2"/>
  <c r="G55" i="2"/>
  <c r="C55" i="2"/>
  <c r="L55" i="2" s="1"/>
  <c r="H54" i="2"/>
  <c r="G54" i="2"/>
  <c r="C54" i="2"/>
  <c r="L54" i="2" s="1"/>
  <c r="J52" i="2"/>
  <c r="I52" i="2"/>
  <c r="H52" i="2"/>
  <c r="G52" i="2"/>
  <c r="F52" i="2"/>
  <c r="E52" i="2"/>
  <c r="C52" i="2"/>
  <c r="J51" i="2"/>
  <c r="H51" i="2"/>
  <c r="G51" i="2"/>
  <c r="F51" i="2"/>
  <c r="E51" i="2"/>
  <c r="C51" i="2"/>
  <c r="J50" i="2"/>
  <c r="I50" i="2"/>
  <c r="H50" i="2"/>
  <c r="G50" i="2"/>
  <c r="F50" i="2"/>
  <c r="E50" i="2"/>
  <c r="C50" i="2"/>
  <c r="J49" i="2"/>
  <c r="H49" i="2"/>
  <c r="G49" i="2"/>
  <c r="F49" i="2"/>
  <c r="E49" i="2"/>
  <c r="C49" i="2"/>
  <c r="J48" i="2"/>
  <c r="I48" i="2"/>
  <c r="H48" i="2"/>
  <c r="G48" i="2"/>
  <c r="F48" i="2"/>
  <c r="E48" i="2"/>
  <c r="C48" i="2"/>
  <c r="J47" i="2"/>
  <c r="H47" i="2"/>
  <c r="G47" i="2"/>
  <c r="F47" i="2"/>
  <c r="E47" i="2"/>
  <c r="C47" i="2"/>
  <c r="J46" i="2"/>
  <c r="I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W41" i="2"/>
  <c r="V41" i="2"/>
  <c r="S41" i="2"/>
  <c r="R41" i="2"/>
  <c r="Q41" i="2"/>
  <c r="G41" i="2"/>
  <c r="N41" i="2" s="1"/>
  <c r="C41" i="2"/>
  <c r="G40" i="2"/>
  <c r="AC40" i="2" s="1"/>
  <c r="C40" i="2"/>
  <c r="Q39" i="2"/>
  <c r="G39" i="2"/>
  <c r="AC39" i="2" s="1"/>
  <c r="C39" i="2"/>
  <c r="AD38" i="2"/>
  <c r="Z38" i="2"/>
  <c r="X38" i="2"/>
  <c r="V38" i="2"/>
  <c r="T38" i="2"/>
  <c r="S38" i="2"/>
  <c r="R38" i="2"/>
  <c r="Q38" i="2"/>
  <c r="P38" i="2"/>
  <c r="N38" i="2"/>
  <c r="M38" i="2"/>
  <c r="K38" i="2"/>
  <c r="G38" i="2"/>
  <c r="AE38" i="2" s="1"/>
  <c r="C38" i="2"/>
  <c r="AD37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AE15" i="2"/>
  <c r="AD15" i="2"/>
  <c r="AC15" i="2"/>
  <c r="AA15" i="2"/>
  <c r="X15" i="2"/>
  <c r="U15" i="2"/>
  <c r="T15" i="2"/>
  <c r="S15" i="2"/>
  <c r="R15" i="2"/>
  <c r="Q15" i="2"/>
  <c r="P15" i="2"/>
  <c r="O15" i="2"/>
  <c r="N15" i="2"/>
  <c r="M15" i="2"/>
  <c r="H15" i="2"/>
  <c r="G15" i="2"/>
  <c r="Y15" i="2" s="1"/>
  <c r="C15" i="2"/>
  <c r="H14" i="2"/>
  <c r="G14" i="2"/>
  <c r="AB14" i="2" s="1"/>
  <c r="C14" i="2"/>
  <c r="AD13" i="2"/>
  <c r="AB13" i="2"/>
  <c r="K13" i="2"/>
  <c r="H13" i="2"/>
  <c r="G13" i="2"/>
  <c r="AA13" i="2" s="1"/>
  <c r="C13" i="2"/>
  <c r="AE12" i="2"/>
  <c r="H12" i="2"/>
  <c r="G12" i="2"/>
  <c r="V12" i="2" s="1"/>
  <c r="C12" i="2"/>
  <c r="AA11" i="2"/>
  <c r="Y11" i="2"/>
  <c r="X11" i="2"/>
  <c r="S11" i="2"/>
  <c r="R11" i="2"/>
  <c r="Q11" i="2"/>
  <c r="K11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AE8" i="2"/>
  <c r="AC8" i="2"/>
  <c r="AB8" i="2"/>
  <c r="AA8" i="2"/>
  <c r="X8" i="2"/>
  <c r="V8" i="2"/>
  <c r="U8" i="2"/>
  <c r="T8" i="2"/>
  <c r="S8" i="2"/>
  <c r="R8" i="2"/>
  <c r="Q8" i="2"/>
  <c r="P8" i="2"/>
  <c r="O8" i="2"/>
  <c r="M8" i="2"/>
  <c r="L8" i="2"/>
  <c r="H8" i="2"/>
  <c r="G8" i="2"/>
  <c r="Y8" i="2" s="1"/>
  <c r="C8" i="2"/>
  <c r="H7" i="2"/>
  <c r="G7" i="2"/>
  <c r="Y7" i="2" s="1"/>
  <c r="C7" i="2"/>
  <c r="B9" i="1"/>
  <c r="B8" i="1"/>
  <c r="B7" i="1"/>
  <c r="P326" i="2" l="1"/>
  <c r="P503" i="8" s="1"/>
  <c r="P504" i="8" s="1"/>
  <c r="X21" i="2"/>
  <c r="AA21" i="2"/>
  <c r="V22" i="2"/>
  <c r="V32" i="2" s="1"/>
  <c r="Q138" i="2"/>
  <c r="AE22" i="2"/>
  <c r="AE32" i="2" s="1"/>
  <c r="Z321" i="2"/>
  <c r="AA23" i="2"/>
  <c r="Q265" i="2"/>
  <c r="Q275" i="2" s="1"/>
  <c r="T11" i="2"/>
  <c r="T21" i="2" s="1"/>
  <c r="T31" i="2" s="1"/>
  <c r="Z13" i="2"/>
  <c r="AB37" i="2"/>
  <c r="AB18" i="2" s="1"/>
  <c r="AB28" i="2" s="1"/>
  <c r="Y70" i="2"/>
  <c r="Y80" i="2" s="1"/>
  <c r="Y90" i="2" s="1"/>
  <c r="Z98" i="2"/>
  <c r="S161" i="2"/>
  <c r="P309" i="2"/>
  <c r="P319" i="2" s="1"/>
  <c r="P475" i="8" s="1"/>
  <c r="P476" i="8" s="1"/>
  <c r="X339" i="2"/>
  <c r="X323" i="2" s="1"/>
  <c r="X491" i="8" s="1"/>
  <c r="X492" i="8" s="1"/>
  <c r="X81" i="2"/>
  <c r="X91" i="2" s="1"/>
  <c r="X217" i="2"/>
  <c r="X204" i="2" s="1"/>
  <c r="AB217" i="2"/>
  <c r="M217" i="2"/>
  <c r="M197" i="2" s="1"/>
  <c r="M403" i="8" s="1"/>
  <c r="M404" i="8" s="1"/>
  <c r="AA217" i="2"/>
  <c r="AA204" i="2" s="1"/>
  <c r="L217" i="2"/>
  <c r="L204" i="2" s="1"/>
  <c r="Z217" i="2"/>
  <c r="Z198" i="2" s="1"/>
  <c r="Z407" i="8" s="1"/>
  <c r="Z408" i="8" s="1"/>
  <c r="K217" i="2"/>
  <c r="K204" i="2" s="1"/>
  <c r="K431" i="8" s="1"/>
  <c r="W217" i="2"/>
  <c r="W203" i="2" s="1"/>
  <c r="R217" i="2"/>
  <c r="V217" i="2"/>
  <c r="V197" i="2" s="1"/>
  <c r="U217" i="2"/>
  <c r="U203" i="2" s="1"/>
  <c r="U427" i="8" s="1"/>
  <c r="U428" i="8" s="1"/>
  <c r="T217" i="2"/>
  <c r="Q217" i="2"/>
  <c r="N217" i="2"/>
  <c r="Z12" i="2"/>
  <c r="AC12" i="2"/>
  <c r="X12" i="2"/>
  <c r="X22" i="2" s="1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D81" i="2" s="1"/>
  <c r="AD91" i="2" s="1"/>
  <c r="AB138" i="2"/>
  <c r="AB148" i="2" s="1"/>
  <c r="Y202" i="2"/>
  <c r="Y212" i="2" s="1"/>
  <c r="AE217" i="2"/>
  <c r="AD12" i="2"/>
  <c r="AD22" i="2" s="1"/>
  <c r="AD32" i="2" s="1"/>
  <c r="AC37" i="2"/>
  <c r="O41" i="2"/>
  <c r="AA70" i="2"/>
  <c r="R205" i="2"/>
  <c r="Z191" i="2"/>
  <c r="AA191" i="2"/>
  <c r="AA201" i="2" s="1"/>
  <c r="X191" i="2"/>
  <c r="X201" i="2" s="1"/>
  <c r="X211" i="2" s="1"/>
  <c r="V191" i="2"/>
  <c r="S191" i="2"/>
  <c r="M191" i="2"/>
  <c r="AC191" i="2"/>
  <c r="AB191" i="2"/>
  <c r="U191" i="2"/>
  <c r="P191" i="2"/>
  <c r="P201" i="2" s="1"/>
  <c r="L99" i="2"/>
  <c r="AA160" i="2"/>
  <c r="V160" i="2"/>
  <c r="T160" i="2"/>
  <c r="R160" i="2"/>
  <c r="P160" i="2"/>
  <c r="AD160" i="2"/>
  <c r="W160" i="2"/>
  <c r="Q160" i="2"/>
  <c r="O160" i="2"/>
  <c r="K160" i="2"/>
  <c r="K283" i="2"/>
  <c r="AB267" i="2"/>
  <c r="AD23" i="2"/>
  <c r="AD33" i="2" s="1"/>
  <c r="K37" i="2"/>
  <c r="K23" i="2" s="1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M325" i="2"/>
  <c r="T18" i="2"/>
  <c r="W13" i="2"/>
  <c r="U13" i="2"/>
  <c r="U23" i="2" s="1"/>
  <c r="T13" i="2"/>
  <c r="T23" i="2" s="1"/>
  <c r="T33" i="2" s="1"/>
  <c r="S13" i="2"/>
  <c r="P13" i="2"/>
  <c r="U25" i="2"/>
  <c r="U327" i="8" s="1"/>
  <c r="U328" i="8" s="1"/>
  <c r="L37" i="2"/>
  <c r="Q101" i="2"/>
  <c r="AC157" i="2"/>
  <c r="AC139" i="2" s="1"/>
  <c r="AB157" i="2"/>
  <c r="X157" i="2"/>
  <c r="X139" i="2" s="1"/>
  <c r="Q157" i="2"/>
  <c r="P157" i="2"/>
  <c r="N191" i="2"/>
  <c r="N201" i="2" s="1"/>
  <c r="Y251" i="2"/>
  <c r="AE251" i="2"/>
  <c r="AE261" i="2" s="1"/>
  <c r="AD251" i="2"/>
  <c r="AC251" i="2"/>
  <c r="U251" i="2"/>
  <c r="M251" i="2"/>
  <c r="S251" i="2"/>
  <c r="S261" i="2" s="1"/>
  <c r="N251" i="2"/>
  <c r="N261" i="2" s="1"/>
  <c r="Q7" i="2"/>
  <c r="U18" i="2"/>
  <c r="W11" i="2"/>
  <c r="AD11" i="2"/>
  <c r="AD21" i="2" s="1"/>
  <c r="AD31" i="2" s="1"/>
  <c r="N11" i="2"/>
  <c r="N21" i="2" s="1"/>
  <c r="AC11" i="2"/>
  <c r="AB11" i="2"/>
  <c r="L11" i="2"/>
  <c r="L21" i="2" s="1"/>
  <c r="L31" i="2" s="1"/>
  <c r="Z11" i="2"/>
  <c r="Z21" i="2" s="1"/>
  <c r="AE11" i="2"/>
  <c r="M37" i="2"/>
  <c r="M18" i="2" s="1"/>
  <c r="M28" i="2" s="1"/>
  <c r="P39" i="2"/>
  <c r="T41" i="2"/>
  <c r="K71" i="2"/>
  <c r="Y84" i="2"/>
  <c r="Y94" i="2" s="1"/>
  <c r="Z101" i="2"/>
  <c r="X143" i="2"/>
  <c r="N157" i="2"/>
  <c r="N139" i="2" s="1"/>
  <c r="N149" i="2" s="1"/>
  <c r="N160" i="2"/>
  <c r="O191" i="2"/>
  <c r="N221" i="2"/>
  <c r="AE260" i="2"/>
  <c r="AA254" i="2"/>
  <c r="Z254" i="2"/>
  <c r="W254" i="2"/>
  <c r="L254" i="2"/>
  <c r="L264" i="2" s="1"/>
  <c r="AC254" i="2"/>
  <c r="X263" i="2"/>
  <c r="X455" i="8" s="1"/>
  <c r="X456" i="8" s="1"/>
  <c r="T283" i="2"/>
  <c r="R283" i="2"/>
  <c r="Q283" i="2"/>
  <c r="O283" i="2"/>
  <c r="Z283" i="2"/>
  <c r="AC283" i="2"/>
  <c r="Y283" i="2"/>
  <c r="W283" i="2"/>
  <c r="U283" i="2"/>
  <c r="M283" i="2"/>
  <c r="Y99" i="2"/>
  <c r="X99" i="2"/>
  <c r="W99" i="2"/>
  <c r="U99" i="2"/>
  <c r="P99" i="2"/>
  <c r="AE99" i="2"/>
  <c r="AD99" i="2"/>
  <c r="V99" i="2"/>
  <c r="S99" i="2"/>
  <c r="L261" i="2"/>
  <c r="K21" i="2"/>
  <c r="K31" i="2" s="1"/>
  <c r="R39" i="2"/>
  <c r="S71" i="2"/>
  <c r="AD157" i="2"/>
  <c r="AD145" i="2" s="1"/>
  <c r="AB160" i="2"/>
  <c r="T199" i="2"/>
  <c r="AD191" i="2"/>
  <c r="AD201" i="2" s="1"/>
  <c r="AD211" i="2" s="1"/>
  <c r="V203" i="2"/>
  <c r="V213" i="2" s="1"/>
  <c r="AC198" i="2"/>
  <c r="O217" i="2"/>
  <c r="AA221" i="2"/>
  <c r="O251" i="2"/>
  <c r="X279" i="2"/>
  <c r="X260" i="2" s="1"/>
  <c r="X443" i="8" s="1"/>
  <c r="X444" i="8" s="1"/>
  <c r="W279" i="2"/>
  <c r="W262" i="2" s="1"/>
  <c r="W451" i="8" s="1"/>
  <c r="W452" i="8" s="1"/>
  <c r="V279" i="2"/>
  <c r="V263" i="2" s="1"/>
  <c r="V455" i="8" s="1"/>
  <c r="V456" i="8" s="1"/>
  <c r="T279" i="2"/>
  <c r="T263" i="2" s="1"/>
  <c r="L279" i="2"/>
  <c r="AB279" i="2"/>
  <c r="S279" i="2"/>
  <c r="S267" i="2" s="1"/>
  <c r="S471" i="8" s="1"/>
  <c r="S472" i="8" s="1"/>
  <c r="V283" i="2"/>
  <c r="Y343" i="2"/>
  <c r="X343" i="2"/>
  <c r="W343" i="2"/>
  <c r="P343" i="2"/>
  <c r="AA343" i="2"/>
  <c r="AB259" i="2"/>
  <c r="W7" i="2"/>
  <c r="R71" i="2"/>
  <c r="P37" i="2"/>
  <c r="P18" i="2" s="1"/>
  <c r="R99" i="2"/>
  <c r="M11" i="2"/>
  <c r="M13" i="2"/>
  <c r="M23" i="2" s="1"/>
  <c r="M33" i="2" s="1"/>
  <c r="S39" i="2"/>
  <c r="Y41" i="2"/>
  <c r="T71" i="2"/>
  <c r="T81" i="2" s="1"/>
  <c r="T91" i="2" s="1"/>
  <c r="AE75" i="2"/>
  <c r="AA75" i="2"/>
  <c r="P75" i="2"/>
  <c r="AC75" i="2"/>
  <c r="W75" i="2"/>
  <c r="W85" i="2" s="1"/>
  <c r="W95" i="2" s="1"/>
  <c r="X98" i="2"/>
  <c r="AE98" i="2"/>
  <c r="P98" i="2"/>
  <c r="AD98" i="2"/>
  <c r="O98" i="2"/>
  <c r="AC98" i="2"/>
  <c r="N98" i="2"/>
  <c r="AA98" i="2"/>
  <c r="L98" i="2"/>
  <c r="L89" i="2" s="1"/>
  <c r="U98" i="2"/>
  <c r="U89" i="2" s="1"/>
  <c r="W98" i="2"/>
  <c r="V98" i="2"/>
  <c r="T98" i="2"/>
  <c r="T93" i="2" s="1"/>
  <c r="R98" i="2"/>
  <c r="T99" i="2"/>
  <c r="Q139" i="2"/>
  <c r="AC160" i="2"/>
  <c r="O188" i="2"/>
  <c r="L188" i="2"/>
  <c r="L198" i="2" s="1"/>
  <c r="AD188" i="2"/>
  <c r="AD198" i="2" s="1"/>
  <c r="U188" i="2"/>
  <c r="S188" i="2"/>
  <c r="R188" i="2"/>
  <c r="R198" i="2" s="1"/>
  <c r="R407" i="8" s="1"/>
  <c r="R408" i="8" s="1"/>
  <c r="Q188" i="2"/>
  <c r="AE191" i="2"/>
  <c r="P217" i="2"/>
  <c r="P199" i="2" s="1"/>
  <c r="P411" i="8" s="1"/>
  <c r="P412" i="8" s="1"/>
  <c r="R320" i="2"/>
  <c r="R330" i="2" s="1"/>
  <c r="L316" i="2"/>
  <c r="L343" i="2"/>
  <c r="X37" i="2"/>
  <c r="T37" i="2"/>
  <c r="S37" i="2"/>
  <c r="S18" i="2" s="1"/>
  <c r="Q37" i="2"/>
  <c r="AE37" i="2"/>
  <c r="O37" i="2"/>
  <c r="O22" i="2" s="1"/>
  <c r="O315" i="8" s="1"/>
  <c r="O316" i="8" s="1"/>
  <c r="N260" i="2"/>
  <c r="N443" i="8" s="1"/>
  <c r="N444" i="8" s="1"/>
  <c r="P251" i="2"/>
  <c r="N279" i="2"/>
  <c r="AD283" i="2"/>
  <c r="O11" i="2"/>
  <c r="L12" i="2"/>
  <c r="L22" i="2" s="1"/>
  <c r="N13" i="2"/>
  <c r="N23" i="2" s="1"/>
  <c r="N33" i="2" s="1"/>
  <c r="V37" i="2"/>
  <c r="V18" i="2" s="1"/>
  <c r="U39" i="2"/>
  <c r="AA41" i="2"/>
  <c r="Y79" i="2"/>
  <c r="Y89" i="2" s="1"/>
  <c r="V71" i="2"/>
  <c r="V81" i="2" s="1"/>
  <c r="V91" i="2" s="1"/>
  <c r="U82" i="2"/>
  <c r="K98" i="2"/>
  <c r="Z158" i="2"/>
  <c r="X158" i="2"/>
  <c r="V158" i="2"/>
  <c r="T158" i="2"/>
  <c r="M158" i="2"/>
  <c r="O158" i="2"/>
  <c r="N158" i="2"/>
  <c r="L158" i="2"/>
  <c r="AE160" i="2"/>
  <c r="AC204" i="2"/>
  <c r="S217" i="2"/>
  <c r="V251" i="2"/>
  <c r="P279" i="2"/>
  <c r="AE283" i="2"/>
  <c r="AB322" i="2"/>
  <c r="AB332" i="2" s="1"/>
  <c r="M316" i="2"/>
  <c r="V339" i="2"/>
  <c r="V322" i="2" s="1"/>
  <c r="P339" i="2"/>
  <c r="P320" i="2" s="1"/>
  <c r="P479" i="8" s="1"/>
  <c r="P480" i="8" s="1"/>
  <c r="O339" i="2"/>
  <c r="M339" i="2"/>
  <c r="M324" i="2" s="1"/>
  <c r="M495" i="8" s="1"/>
  <c r="M496" i="8" s="1"/>
  <c r="AD339" i="2"/>
  <c r="K339" i="2"/>
  <c r="W339" i="2"/>
  <c r="W319" i="2" s="1"/>
  <c r="AE339" i="2"/>
  <c r="AE326" i="2" s="1"/>
  <c r="AA339" i="2"/>
  <c r="U339" i="2"/>
  <c r="M343" i="2"/>
  <c r="T377" i="2"/>
  <c r="V377" i="2"/>
  <c r="Q377" i="2"/>
  <c r="N377" i="2"/>
  <c r="Q443" i="2"/>
  <c r="Q453" i="2" s="1"/>
  <c r="U447" i="2"/>
  <c r="U579" i="8" s="1"/>
  <c r="U580" i="8" s="1"/>
  <c r="P11" i="2"/>
  <c r="P21" i="2" s="1"/>
  <c r="P31" i="2" s="1"/>
  <c r="N12" i="2"/>
  <c r="R13" i="2"/>
  <c r="AD25" i="2"/>
  <c r="AD35" i="2" s="1"/>
  <c r="W37" i="2"/>
  <c r="W21" i="2" s="1"/>
  <c r="U78" i="2"/>
  <c r="Z71" i="2"/>
  <c r="M75" i="2"/>
  <c r="M85" i="2" s="1"/>
  <c r="M95" i="2" s="1"/>
  <c r="N81" i="2"/>
  <c r="M98" i="2"/>
  <c r="W100" i="2"/>
  <c r="AE100" i="2"/>
  <c r="AC100" i="2"/>
  <c r="Z100" i="2"/>
  <c r="K100" i="2"/>
  <c r="S139" i="2"/>
  <c r="S149" i="2" s="1"/>
  <c r="R158" i="2"/>
  <c r="P188" i="2"/>
  <c r="AE192" i="2"/>
  <c r="AE202" i="2" s="1"/>
  <c r="AE212" i="2" s="1"/>
  <c r="AB192" i="2"/>
  <c r="AB202" i="2" s="1"/>
  <c r="W192" i="2"/>
  <c r="W202" i="2" s="1"/>
  <c r="T192" i="2"/>
  <c r="T202" i="2" s="1"/>
  <c r="AA203" i="2"/>
  <c r="AA427" i="8" s="1"/>
  <c r="AA428" i="8" s="1"/>
  <c r="AE204" i="2"/>
  <c r="AE214" i="2" s="1"/>
  <c r="Y217" i="2"/>
  <c r="Y204" i="2" s="1"/>
  <c r="Q249" i="2"/>
  <c r="O249" i="2"/>
  <c r="N249" i="2"/>
  <c r="N259" i="2" s="1"/>
  <c r="N439" i="8" s="1"/>
  <c r="N440" i="8" s="1"/>
  <c r="AE249" i="2"/>
  <c r="AE259" i="2" s="1"/>
  <c r="L249" i="2"/>
  <c r="L259" i="2" s="1"/>
  <c r="W249" i="2"/>
  <c r="Y249" i="2"/>
  <c r="U249" i="2"/>
  <c r="U259" i="2" s="1"/>
  <c r="U439" i="8" s="1"/>
  <c r="U440" i="8" s="1"/>
  <c r="T249" i="2"/>
  <c r="T259" i="2" s="1"/>
  <c r="T439" i="8" s="1"/>
  <c r="T440" i="8" s="1"/>
  <c r="R249" i="2"/>
  <c r="Q279" i="2"/>
  <c r="Q262" i="2" s="1"/>
  <c r="Q272" i="2" s="1"/>
  <c r="AB320" i="2"/>
  <c r="AB330" i="2" s="1"/>
  <c r="L339" i="2"/>
  <c r="Q343" i="2"/>
  <c r="AC375" i="2"/>
  <c r="AB375" i="2"/>
  <c r="U375" i="2"/>
  <c r="Y375" i="2"/>
  <c r="X375" i="2"/>
  <c r="T25" i="2"/>
  <c r="T35" i="2" s="1"/>
  <c r="Q99" i="2"/>
  <c r="T204" i="2"/>
  <c r="T431" i="8" s="1"/>
  <c r="T432" i="8" s="1"/>
  <c r="Y262" i="2"/>
  <c r="Y451" i="8" s="1"/>
  <c r="Y452" i="8" s="1"/>
  <c r="P283" i="2"/>
  <c r="Q316" i="2"/>
  <c r="V316" i="2"/>
  <c r="U316" i="2"/>
  <c r="T316" i="2"/>
  <c r="T326" i="2" s="1"/>
  <c r="T336" i="2" s="1"/>
  <c r="R316" i="2"/>
  <c r="AD316" i="2"/>
  <c r="AD326" i="2" s="1"/>
  <c r="Z316" i="2"/>
  <c r="W316" i="2"/>
  <c r="S316" i="2"/>
  <c r="O316" i="2"/>
  <c r="X18" i="2"/>
  <c r="X28" i="2" s="1"/>
  <c r="Y37" i="2"/>
  <c r="O95" i="2"/>
  <c r="X138" i="2"/>
  <c r="X148" i="2" s="1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Y200" i="2" s="1"/>
  <c r="Y210" i="2" s="1"/>
  <c r="R190" i="2"/>
  <c r="R200" i="2" s="1"/>
  <c r="Q190" i="2"/>
  <c r="L190" i="2"/>
  <c r="L200" i="2" s="1"/>
  <c r="AC217" i="2"/>
  <c r="U279" i="2"/>
  <c r="W324" i="2"/>
  <c r="AA316" i="2"/>
  <c r="AC343" i="2"/>
  <c r="AE372" i="2"/>
  <c r="Y372" i="2"/>
  <c r="X372" i="2"/>
  <c r="W372" i="2"/>
  <c r="M372" i="2"/>
  <c r="L372" i="2"/>
  <c r="AA372" i="2"/>
  <c r="S444" i="2"/>
  <c r="S454" i="2" s="1"/>
  <c r="N37" i="2"/>
  <c r="X142" i="2"/>
  <c r="V221" i="2"/>
  <c r="X7" i="2"/>
  <c r="X17" i="2" s="1"/>
  <c r="X27" i="2" s="1"/>
  <c r="L18" i="2"/>
  <c r="L28" i="2" s="1"/>
  <c r="O12" i="2"/>
  <c r="AA71" i="2"/>
  <c r="R12" i="2"/>
  <c r="X13" i="2"/>
  <c r="X23" i="2" s="1"/>
  <c r="Z37" i="2"/>
  <c r="AD78" i="2"/>
  <c r="AD88" i="2" s="1"/>
  <c r="U75" i="2"/>
  <c r="S98" i="2"/>
  <c r="M161" i="2"/>
  <c r="X188" i="2"/>
  <c r="AD217" i="2"/>
  <c r="L263" i="2"/>
  <c r="Y279" i="2"/>
  <c r="N309" i="2"/>
  <c r="L309" i="2"/>
  <c r="AE309" i="2"/>
  <c r="V309" i="2"/>
  <c r="AA309" i="2"/>
  <c r="Z309" i="2"/>
  <c r="X309" i="2"/>
  <c r="X319" i="2" s="1"/>
  <c r="X475" i="8" s="1"/>
  <c r="X476" i="8" s="1"/>
  <c r="U309" i="2"/>
  <c r="U319" i="2" s="1"/>
  <c r="U475" i="8" s="1"/>
  <c r="U476" i="8" s="1"/>
  <c r="O309" i="2"/>
  <c r="M322" i="2"/>
  <c r="M487" i="8" s="1"/>
  <c r="M488" i="8" s="1"/>
  <c r="AB316" i="2"/>
  <c r="AB326" i="2" s="1"/>
  <c r="AB336" i="2" s="1"/>
  <c r="AE343" i="2"/>
  <c r="X71" i="2"/>
  <c r="P71" i="2"/>
  <c r="AE71" i="2"/>
  <c r="N71" i="2"/>
  <c r="AC71" i="2"/>
  <c r="L71" i="2"/>
  <c r="L81" i="2" s="1"/>
  <c r="U71" i="2"/>
  <c r="U81" i="2" s="1"/>
  <c r="Q71" i="2"/>
  <c r="O71" i="2"/>
  <c r="O81" i="2" s="1"/>
  <c r="M71" i="2"/>
  <c r="M81" i="2" s="1"/>
  <c r="M91" i="2" s="1"/>
  <c r="AA101" i="2"/>
  <c r="Q191" i="2"/>
  <c r="AB321" i="2"/>
  <c r="AB331" i="2" s="1"/>
  <c r="L13" i="2"/>
  <c r="L23" i="2" s="1"/>
  <c r="L33" i="2" s="1"/>
  <c r="AB19" i="2"/>
  <c r="AB29" i="2" s="1"/>
  <c r="T12" i="2"/>
  <c r="T22" i="2" s="1"/>
  <c r="T32" i="2" s="1"/>
  <c r="Y13" i="2"/>
  <c r="AA37" i="2"/>
  <c r="AA18" i="2" s="1"/>
  <c r="AA299" i="8" s="1"/>
  <c r="AA300" i="8" s="1"/>
  <c r="AE316" i="2"/>
  <c r="W432" i="2"/>
  <c r="P432" i="2"/>
  <c r="AE432" i="2"/>
  <c r="O432" i="2"/>
  <c r="AD432" i="2"/>
  <c r="N432" i="2"/>
  <c r="AC432" i="2"/>
  <c r="M432" i="2"/>
  <c r="AB432" i="2"/>
  <c r="L432" i="2"/>
  <c r="AA432" i="2"/>
  <c r="K432" i="2"/>
  <c r="Z432" i="2"/>
  <c r="Z442" i="2" s="1"/>
  <c r="V432" i="2"/>
  <c r="Y432" i="2"/>
  <c r="X432" i="2"/>
  <c r="U432" i="2"/>
  <c r="S432" i="2"/>
  <c r="AE195" i="2"/>
  <c r="AE205" i="2" s="1"/>
  <c r="AE435" i="8" s="1"/>
  <c r="AE436" i="8" s="1"/>
  <c r="Z195" i="2"/>
  <c r="Y282" i="2"/>
  <c r="X282" i="2"/>
  <c r="W282" i="2"/>
  <c r="U282" i="2"/>
  <c r="L282" i="2"/>
  <c r="T320" i="2"/>
  <c r="T330" i="2" s="1"/>
  <c r="Z401" i="2"/>
  <c r="V440" i="2"/>
  <c r="Z8" i="2"/>
  <c r="Z18" i="2" s="1"/>
  <c r="Z28" i="2" s="1"/>
  <c r="V15" i="2"/>
  <c r="Y38" i="2"/>
  <c r="M79" i="2"/>
  <c r="M89" i="2" s="1"/>
  <c r="Z127" i="2"/>
  <c r="T127" i="2"/>
  <c r="W132" i="2"/>
  <c r="V132" i="2"/>
  <c r="U132" i="2"/>
  <c r="T132" i="2"/>
  <c r="R132" i="2"/>
  <c r="AB132" i="2"/>
  <c r="AB142" i="2" s="1"/>
  <c r="M132" i="2"/>
  <c r="AD132" i="2"/>
  <c r="AB145" i="2"/>
  <c r="AB155" i="2" s="1"/>
  <c r="X187" i="2"/>
  <c r="Q187" i="2"/>
  <c r="O187" i="2"/>
  <c r="O197" i="2" s="1"/>
  <c r="N187" i="2"/>
  <c r="N197" i="2" s="1"/>
  <c r="N403" i="8" s="1"/>
  <c r="N404" i="8" s="1"/>
  <c r="L187" i="2"/>
  <c r="Z187" i="2"/>
  <c r="Q195" i="2"/>
  <c r="Q260" i="2"/>
  <c r="Q270" i="2" s="1"/>
  <c r="AA252" i="2"/>
  <c r="AA262" i="2" s="1"/>
  <c r="T257" i="2"/>
  <c r="W257" i="2"/>
  <c r="W267" i="2" s="1"/>
  <c r="V257" i="2"/>
  <c r="V267" i="2" s="1"/>
  <c r="U257" i="2"/>
  <c r="R257" i="2"/>
  <c r="AC257" i="2"/>
  <c r="M257" i="2"/>
  <c r="AE257" i="2"/>
  <c r="O282" i="2"/>
  <c r="S311" i="2"/>
  <c r="P311" i="2"/>
  <c r="O311" i="2"/>
  <c r="M311" i="2"/>
  <c r="M321" i="2" s="1"/>
  <c r="M483" i="8" s="1"/>
  <c r="M484" i="8" s="1"/>
  <c r="AE311" i="2"/>
  <c r="AE321" i="2" s="1"/>
  <c r="K311" i="2"/>
  <c r="K321" i="2" s="1"/>
  <c r="W311" i="2"/>
  <c r="W321" i="2" s="1"/>
  <c r="L322" i="2"/>
  <c r="L332" i="2" s="1"/>
  <c r="AA435" i="2"/>
  <c r="X435" i="2"/>
  <c r="W435" i="2"/>
  <c r="V435" i="2"/>
  <c r="T435" i="2"/>
  <c r="L435" i="2"/>
  <c r="K435" i="2"/>
  <c r="AB459" i="2"/>
  <c r="AA459" i="2"/>
  <c r="Z459" i="2"/>
  <c r="V459" i="2"/>
  <c r="V441" i="2" s="1"/>
  <c r="R459" i="2"/>
  <c r="R447" i="2" s="1"/>
  <c r="R457" i="2" s="1"/>
  <c r="Z15" i="2"/>
  <c r="AB38" i="2"/>
  <c r="AB68" i="2"/>
  <c r="AB78" i="2" s="1"/>
  <c r="AB88" i="2" s="1"/>
  <c r="AE68" i="2"/>
  <c r="W68" i="2"/>
  <c r="M68" i="2"/>
  <c r="M78" i="2" s="1"/>
  <c r="M88" i="2" s="1"/>
  <c r="AE74" i="2"/>
  <c r="AD74" i="2"/>
  <c r="Z74" i="2"/>
  <c r="U199" i="2"/>
  <c r="M203" i="2"/>
  <c r="M427" i="8" s="1"/>
  <c r="M428" i="8" s="1"/>
  <c r="S195" i="2"/>
  <c r="S282" i="2"/>
  <c r="AB324" i="2"/>
  <c r="AB334" i="2" s="1"/>
  <c r="AE402" i="2"/>
  <c r="Y402" i="2"/>
  <c r="V402" i="2"/>
  <c r="P402" i="2"/>
  <c r="N402" i="2"/>
  <c r="Q459" i="2"/>
  <c r="AA25" i="2"/>
  <c r="L82" i="2"/>
  <c r="S137" i="2"/>
  <c r="AB139" i="2"/>
  <c r="AB149" i="2" s="1"/>
  <c r="AB199" i="2"/>
  <c r="Q204" i="2"/>
  <c r="Q431" i="8" s="1"/>
  <c r="Q432" i="8" s="1"/>
  <c r="AD195" i="2"/>
  <c r="AD205" i="2" s="1"/>
  <c r="W260" i="2"/>
  <c r="V252" i="2"/>
  <c r="U252" i="2"/>
  <c r="U262" i="2" s="1"/>
  <c r="U451" i="8" s="1"/>
  <c r="U452" i="8" s="1"/>
  <c r="T252" i="2"/>
  <c r="T262" i="2" s="1"/>
  <c r="R252" i="2"/>
  <c r="AC252" i="2"/>
  <c r="L252" i="2"/>
  <c r="L262" i="2" s="1"/>
  <c r="L267" i="2"/>
  <c r="V282" i="2"/>
  <c r="O322" i="2"/>
  <c r="O487" i="8" s="1"/>
  <c r="O488" i="8" s="1"/>
  <c r="AB435" i="2"/>
  <c r="AB445" i="2" s="1"/>
  <c r="AB455" i="2" s="1"/>
  <c r="S459" i="2"/>
  <c r="S447" i="2" s="1"/>
  <c r="S457" i="2" s="1"/>
  <c r="I224" i="2"/>
  <c r="I44" i="2"/>
  <c r="N8" i="2"/>
  <c r="AD8" i="2"/>
  <c r="AD18" i="2" s="1"/>
  <c r="AD28" i="2" s="1"/>
  <c r="L15" i="2"/>
  <c r="L25" i="2" s="1"/>
  <c r="L35" i="2" s="1"/>
  <c r="AB15" i="2"/>
  <c r="AB25" i="2" s="1"/>
  <c r="AB35" i="2" s="1"/>
  <c r="L38" i="2"/>
  <c r="Q68" i="2"/>
  <c r="M82" i="2"/>
  <c r="Q74" i="2"/>
  <c r="V127" i="2"/>
  <c r="N132" i="2"/>
  <c r="N142" i="2" s="1"/>
  <c r="S187" i="2"/>
  <c r="P203" i="2"/>
  <c r="Y253" i="2"/>
  <c r="P253" i="2"/>
  <c r="N253" i="2"/>
  <c r="N263" i="2" s="1"/>
  <c r="M253" i="2"/>
  <c r="AC253" i="2"/>
  <c r="AB255" i="2"/>
  <c r="AB265" i="2" s="1"/>
  <c r="AB275" i="2" s="1"/>
  <c r="Y255" i="2"/>
  <c r="P255" i="2"/>
  <c r="N257" i="2"/>
  <c r="N267" i="2" s="1"/>
  <c r="Z282" i="2"/>
  <c r="T311" i="2"/>
  <c r="T321" i="2" s="1"/>
  <c r="T331" i="2" s="1"/>
  <c r="P313" i="2"/>
  <c r="P323" i="2" s="1"/>
  <c r="P491" i="8" s="1"/>
  <c r="P492" i="8" s="1"/>
  <c r="X373" i="2"/>
  <c r="U373" i="2"/>
  <c r="T373" i="2"/>
  <c r="R373" i="2"/>
  <c r="P373" i="2"/>
  <c r="O373" i="2"/>
  <c r="N373" i="2"/>
  <c r="AC373" i="2"/>
  <c r="K373" i="2"/>
  <c r="U459" i="2"/>
  <c r="U439" i="2" s="1"/>
  <c r="W376" i="2"/>
  <c r="L376" i="2"/>
  <c r="AD376" i="2"/>
  <c r="K376" i="2"/>
  <c r="AC376" i="2"/>
  <c r="AA376" i="2"/>
  <c r="Z376" i="2"/>
  <c r="Y376" i="2"/>
  <c r="R376" i="2"/>
  <c r="AA401" i="2"/>
  <c r="Y401" i="2"/>
  <c r="W401" i="2"/>
  <c r="V401" i="2"/>
  <c r="U401" i="2"/>
  <c r="T401" i="2"/>
  <c r="S401" i="2"/>
  <c r="R401" i="2"/>
  <c r="AE401" i="2"/>
  <c r="O401" i="2"/>
  <c r="U441" i="2"/>
  <c r="U555" i="8" s="1"/>
  <c r="U556" i="8" s="1"/>
  <c r="Z433" i="2"/>
  <c r="Z443" i="2" s="1"/>
  <c r="W433" i="2"/>
  <c r="V433" i="2"/>
  <c r="U433" i="2"/>
  <c r="U443" i="2" s="1"/>
  <c r="U563" i="8" s="1"/>
  <c r="U564" i="8" s="1"/>
  <c r="T433" i="2"/>
  <c r="S433" i="2"/>
  <c r="S443" i="2" s="1"/>
  <c r="S453" i="2" s="1"/>
  <c r="R433" i="2"/>
  <c r="O433" i="2"/>
  <c r="W436" i="2"/>
  <c r="W446" i="2" s="1"/>
  <c r="AB436" i="2"/>
  <c r="X436" i="2"/>
  <c r="U436" i="2"/>
  <c r="S436" i="2"/>
  <c r="R436" i="2"/>
  <c r="P436" i="2"/>
  <c r="O436" i="2"/>
  <c r="L436" i="2"/>
  <c r="Q440" i="2"/>
  <c r="Q450" i="2" s="1"/>
  <c r="N69" i="2"/>
  <c r="Q72" i="2"/>
  <c r="AC97" i="2"/>
  <c r="P128" i="2"/>
  <c r="O129" i="2"/>
  <c r="AE129" i="2"/>
  <c r="V189" i="2"/>
  <c r="R193" i="2"/>
  <c r="R203" i="2" s="1"/>
  <c r="N194" i="2"/>
  <c r="V219" i="2"/>
  <c r="T220" i="2"/>
  <c r="R250" i="2"/>
  <c r="R281" i="2"/>
  <c r="Y310" i="2"/>
  <c r="P312" i="2"/>
  <c r="AE312" i="2"/>
  <c r="S314" i="2"/>
  <c r="S324" i="2" s="1"/>
  <c r="S334" i="2" s="1"/>
  <c r="U321" i="2"/>
  <c r="W340" i="2"/>
  <c r="AE342" i="2"/>
  <c r="Q370" i="2"/>
  <c r="T374" i="2"/>
  <c r="U400" i="2"/>
  <c r="W429" i="2"/>
  <c r="S430" i="2"/>
  <c r="S440" i="2" s="1"/>
  <c r="S450" i="2" s="1"/>
  <c r="AB431" i="2"/>
  <c r="AB437" i="2"/>
  <c r="W460" i="2"/>
  <c r="X461" i="2"/>
  <c r="X374" i="2"/>
  <c r="AB429" i="2"/>
  <c r="AC461" i="2"/>
  <c r="Y374" i="2"/>
  <c r="AA400" i="2"/>
  <c r="AD429" i="2"/>
  <c r="AD461" i="2"/>
  <c r="W69" i="2"/>
  <c r="W79" i="2" s="1"/>
  <c r="W89" i="2" s="1"/>
  <c r="V72" i="2"/>
  <c r="T129" i="2"/>
  <c r="X145" i="2"/>
  <c r="X155" i="2" s="1"/>
  <c r="AE135" i="2"/>
  <c r="Y193" i="2"/>
  <c r="Y203" i="2" s="1"/>
  <c r="Y213" i="2" s="1"/>
  <c r="V194" i="2"/>
  <c r="AE219" i="2"/>
  <c r="AA220" i="2"/>
  <c r="Y250" i="2"/>
  <c r="U322" i="2"/>
  <c r="AC314" i="2"/>
  <c r="AA374" i="2"/>
  <c r="K400" i="2"/>
  <c r="AB400" i="2"/>
  <c r="L429" i="2"/>
  <c r="AE429" i="2"/>
  <c r="K461" i="2"/>
  <c r="AE461" i="2"/>
  <c r="N429" i="2"/>
  <c r="L461" i="2"/>
  <c r="AB69" i="2"/>
  <c r="AB79" i="2" s="1"/>
  <c r="Y72" i="2"/>
  <c r="Y82" i="2" s="1"/>
  <c r="Q143" i="2"/>
  <c r="AA199" i="2"/>
  <c r="AA411" i="8" s="1"/>
  <c r="AA412" i="8" s="1"/>
  <c r="Z194" i="2"/>
  <c r="Z204" i="2" s="1"/>
  <c r="Z431" i="8" s="1"/>
  <c r="Z432" i="8" s="1"/>
  <c r="AD220" i="2"/>
  <c r="AC250" i="2"/>
  <c r="Y267" i="2"/>
  <c r="Y471" i="8" s="1"/>
  <c r="Y472" i="8" s="1"/>
  <c r="AA281" i="2"/>
  <c r="W322" i="2"/>
  <c r="X312" i="2"/>
  <c r="Y369" i="2"/>
  <c r="M374" i="2"/>
  <c r="AC374" i="2"/>
  <c r="M400" i="2"/>
  <c r="AD400" i="2"/>
  <c r="O429" i="2"/>
  <c r="N461" i="2"/>
  <c r="T324" i="2"/>
  <c r="T334" i="2" s="1"/>
  <c r="N374" i="2"/>
  <c r="AD374" i="2"/>
  <c r="N400" i="2"/>
  <c r="AE400" i="2"/>
  <c r="P429" i="2"/>
  <c r="O461" i="2"/>
  <c r="P85" i="2"/>
  <c r="P95" i="2" s="1"/>
  <c r="Z129" i="2"/>
  <c r="K199" i="2"/>
  <c r="K209" i="2" s="1"/>
  <c r="AB194" i="2"/>
  <c r="AB204" i="2" s="1"/>
  <c r="N219" i="2"/>
  <c r="K250" i="2"/>
  <c r="L281" i="2"/>
  <c r="AD281" i="2"/>
  <c r="N310" i="2"/>
  <c r="K312" i="2"/>
  <c r="K322" i="2" s="1"/>
  <c r="Z312" i="2"/>
  <c r="Z322" i="2" s="1"/>
  <c r="Z487" i="8" s="1"/>
  <c r="Z488" i="8" s="1"/>
  <c r="L340" i="2"/>
  <c r="O374" i="2"/>
  <c r="AE374" i="2"/>
  <c r="O400" i="2"/>
  <c r="AC403" i="2"/>
  <c r="K430" i="2"/>
  <c r="V434" i="2"/>
  <c r="V444" i="2" s="1"/>
  <c r="N460" i="2"/>
  <c r="P461" i="2"/>
  <c r="L10" i="2"/>
  <c r="L20" i="2" s="1"/>
  <c r="L30" i="2" s="1"/>
  <c r="K14" i="2"/>
  <c r="N25" i="2"/>
  <c r="O67" i="2"/>
  <c r="O77" i="2" s="1"/>
  <c r="O87" i="2" s="1"/>
  <c r="AE7" i="2"/>
  <c r="AE17" i="2" s="1"/>
  <c r="AE27" i="2" s="1"/>
  <c r="AE21" i="2"/>
  <c r="AE31" i="2" s="1"/>
  <c r="R14" i="2"/>
  <c r="O40" i="2"/>
  <c r="W78" i="2"/>
  <c r="X32" i="2"/>
  <c r="R73" i="2"/>
  <c r="R83" i="2" s="1"/>
  <c r="R93" i="2" s="1"/>
  <c r="AD73" i="2"/>
  <c r="AD83" i="2" s="1"/>
  <c r="AD93" i="2" s="1"/>
  <c r="V73" i="2"/>
  <c r="V83" i="2" s="1"/>
  <c r="V93" i="2" s="1"/>
  <c r="U73" i="2"/>
  <c r="U83" i="2" s="1"/>
  <c r="AE73" i="2"/>
  <c r="O73" i="2"/>
  <c r="O83" i="2" s="1"/>
  <c r="O93" i="2" s="1"/>
  <c r="AB73" i="2"/>
  <c r="AB83" i="2" s="1"/>
  <c r="M73" i="2"/>
  <c r="M83" i="2" s="1"/>
  <c r="M93" i="2" s="1"/>
  <c r="N73" i="2"/>
  <c r="N83" i="2" s="1"/>
  <c r="L73" i="2"/>
  <c r="L83" i="2" s="1"/>
  <c r="Y73" i="2"/>
  <c r="Y83" i="2" s="1"/>
  <c r="X73" i="2"/>
  <c r="X83" i="2" s="1"/>
  <c r="W73" i="2"/>
  <c r="W83" i="2" s="1"/>
  <c r="Q73" i="2"/>
  <c r="P73" i="2"/>
  <c r="P83" i="2" s="1"/>
  <c r="P93" i="2" s="1"/>
  <c r="R9" i="2"/>
  <c r="U10" i="2"/>
  <c r="U20" i="2" s="1"/>
  <c r="O21" i="2"/>
  <c r="O311" i="8" s="1"/>
  <c r="O312" i="8" s="1"/>
  <c r="X67" i="2"/>
  <c r="X77" i="2" s="1"/>
  <c r="S9" i="2"/>
  <c r="V10" i="2"/>
  <c r="V20" i="2" s="1"/>
  <c r="V30" i="2" s="1"/>
  <c r="X14" i="2"/>
  <c r="X24" i="2" s="1"/>
  <c r="X34" i="2" s="1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Y77" i="2" s="1"/>
  <c r="Y87" i="2" s="1"/>
  <c r="Z73" i="2"/>
  <c r="W40" i="2"/>
  <c r="AA7" i="2"/>
  <c r="AA17" i="2" s="1"/>
  <c r="M7" i="2"/>
  <c r="M17" i="2" s="1"/>
  <c r="M27" i="2" s="1"/>
  <c r="U7" i="2"/>
  <c r="U17" i="2" s="1"/>
  <c r="S7" i="2"/>
  <c r="AD7" i="2"/>
  <c r="AD17" i="2" s="1"/>
  <c r="AD27" i="2" s="1"/>
  <c r="L7" i="2"/>
  <c r="L17" i="2" s="1"/>
  <c r="L27" i="2" s="1"/>
  <c r="AC7" i="2"/>
  <c r="K7" i="2"/>
  <c r="K17" i="2" s="1"/>
  <c r="K27" i="2" s="1"/>
  <c r="V7" i="2"/>
  <c r="V17" i="2" s="1"/>
  <c r="V27" i="2" s="1"/>
  <c r="T7" i="2"/>
  <c r="T17" i="2" s="1"/>
  <c r="R7" i="2"/>
  <c r="Z14" i="2"/>
  <c r="T70" i="2"/>
  <c r="T80" i="2" s="1"/>
  <c r="S70" i="2"/>
  <c r="AB70" i="2"/>
  <c r="AB80" i="2" s="1"/>
  <c r="AB90" i="2" s="1"/>
  <c r="N70" i="2"/>
  <c r="N80" i="2" s="1"/>
  <c r="Z70" i="2"/>
  <c r="L70" i="2"/>
  <c r="L80" i="2" s="1"/>
  <c r="O70" i="2"/>
  <c r="O80" i="2" s="1"/>
  <c r="O90" i="2" s="1"/>
  <c r="M70" i="2"/>
  <c r="M80" i="2" s="1"/>
  <c r="M90" i="2" s="1"/>
  <c r="X70" i="2"/>
  <c r="X80" i="2" s="1"/>
  <c r="X90" i="2" s="1"/>
  <c r="W70" i="2"/>
  <c r="W80" i="2" s="1"/>
  <c r="W90" i="2" s="1"/>
  <c r="V70" i="2"/>
  <c r="V80" i="2" s="1"/>
  <c r="Q70" i="2"/>
  <c r="P70" i="2"/>
  <c r="P80" i="2" s="1"/>
  <c r="P90" i="2" s="1"/>
  <c r="AD503" i="8"/>
  <c r="AD504" i="8" s="1"/>
  <c r="T487" i="8"/>
  <c r="T488" i="8" s="1"/>
  <c r="U483" i="8"/>
  <c r="U484" i="8" s="1"/>
  <c r="Q551" i="8"/>
  <c r="Q552" i="8" s="1"/>
  <c r="S487" i="8"/>
  <c r="S488" i="8" s="1"/>
  <c r="T483" i="8"/>
  <c r="T484" i="8" s="1"/>
  <c r="W471" i="8"/>
  <c r="W472" i="8" s="1"/>
  <c r="R487" i="8"/>
  <c r="R488" i="8" s="1"/>
  <c r="T479" i="8"/>
  <c r="T480" i="8" s="1"/>
  <c r="V471" i="8"/>
  <c r="V472" i="8" s="1"/>
  <c r="Z563" i="8"/>
  <c r="Z564" i="8" s="1"/>
  <c r="L451" i="8"/>
  <c r="L452" i="8" s="1"/>
  <c r="L487" i="8"/>
  <c r="L488" i="8" s="1"/>
  <c r="AB479" i="8"/>
  <c r="AB480" i="8" s="1"/>
  <c r="L447" i="8"/>
  <c r="L448" i="8" s="1"/>
  <c r="AB439" i="8"/>
  <c r="AB440" i="8" s="1"/>
  <c r="X399" i="8"/>
  <c r="X400" i="8" s="1"/>
  <c r="AB571" i="8"/>
  <c r="AB572" i="8" s="1"/>
  <c r="Z559" i="8"/>
  <c r="Z560" i="8" s="1"/>
  <c r="U571" i="8"/>
  <c r="U572" i="8" s="1"/>
  <c r="S563" i="8"/>
  <c r="S564" i="8" s="1"/>
  <c r="U487" i="8"/>
  <c r="U488" i="8" s="1"/>
  <c r="AB483" i="8"/>
  <c r="AB484" i="8" s="1"/>
  <c r="K483" i="8"/>
  <c r="AB463" i="8"/>
  <c r="AB464" i="8" s="1"/>
  <c r="AA431" i="8"/>
  <c r="AA432" i="8" s="1"/>
  <c r="L431" i="8"/>
  <c r="L432" i="8" s="1"/>
  <c r="Y427" i="8"/>
  <c r="Y428" i="8" s="1"/>
  <c r="W423" i="8"/>
  <c r="W424" i="8" s="1"/>
  <c r="AB471" i="8"/>
  <c r="AB472" i="8" s="1"/>
  <c r="AE439" i="8"/>
  <c r="AE440" i="8" s="1"/>
  <c r="R415" i="8"/>
  <c r="R416" i="8" s="1"/>
  <c r="AC407" i="8"/>
  <c r="AC408" i="8" s="1"/>
  <c r="L439" i="8"/>
  <c r="L440" i="8" s="1"/>
  <c r="AD415" i="8"/>
  <c r="AD416" i="8" s="1"/>
  <c r="AB411" i="8"/>
  <c r="AB412" i="8" s="1"/>
  <c r="T503" i="8"/>
  <c r="T504" i="8" s="1"/>
  <c r="L459" i="8"/>
  <c r="L460" i="8" s="1"/>
  <c r="P419" i="8"/>
  <c r="P420" i="8" s="1"/>
  <c r="Z483" i="8"/>
  <c r="Z484" i="8" s="1"/>
  <c r="L467" i="8"/>
  <c r="L468" i="8" s="1"/>
  <c r="AE447" i="8"/>
  <c r="AE448" i="8" s="1"/>
  <c r="N447" i="8"/>
  <c r="N448" i="8" s="1"/>
  <c r="R427" i="8"/>
  <c r="R428" i="8" s="1"/>
  <c r="L415" i="8"/>
  <c r="L416" i="8" s="1"/>
  <c r="AE455" i="8"/>
  <c r="AE456" i="8" s="1"/>
  <c r="Q451" i="8"/>
  <c r="Q452" i="8" s="1"/>
  <c r="T495" i="8"/>
  <c r="T496" i="8" s="1"/>
  <c r="S579" i="8"/>
  <c r="S580" i="8" s="1"/>
  <c r="U547" i="8"/>
  <c r="U548" i="8" s="1"/>
  <c r="R435" i="8"/>
  <c r="R436" i="8" s="1"/>
  <c r="T411" i="8"/>
  <c r="T412" i="8" s="1"/>
  <c r="S375" i="8"/>
  <c r="S376" i="8" s="1"/>
  <c r="R579" i="8"/>
  <c r="R580" i="8" s="1"/>
  <c r="AB487" i="8"/>
  <c r="AB488" i="8" s="1"/>
  <c r="Q463" i="8"/>
  <c r="Q464" i="8" s="1"/>
  <c r="W427" i="8"/>
  <c r="W428" i="8" s="1"/>
  <c r="Y415" i="8"/>
  <c r="Y416" i="8" s="1"/>
  <c r="W355" i="8"/>
  <c r="W356" i="8" s="1"/>
  <c r="N455" i="8"/>
  <c r="N456" i="8" s="1"/>
  <c r="AE443" i="8"/>
  <c r="AE444" i="8" s="1"/>
  <c r="AE431" i="8"/>
  <c r="AE432" i="8" s="1"/>
  <c r="V427" i="8"/>
  <c r="V428" i="8" s="1"/>
  <c r="Q375" i="8"/>
  <c r="Q376" i="8" s="1"/>
  <c r="T363" i="8"/>
  <c r="T364" i="8" s="1"/>
  <c r="V355" i="8"/>
  <c r="V356" i="8" s="1"/>
  <c r="R479" i="8"/>
  <c r="R480" i="8" s="1"/>
  <c r="L407" i="8"/>
  <c r="L408" i="8" s="1"/>
  <c r="U343" i="8"/>
  <c r="U344" i="8" s="1"/>
  <c r="AD399" i="8"/>
  <c r="AD400" i="8" s="1"/>
  <c r="P355" i="8"/>
  <c r="P356" i="8" s="1"/>
  <c r="U339" i="8"/>
  <c r="U340" i="8" s="1"/>
  <c r="P427" i="8"/>
  <c r="P428" i="8" s="1"/>
  <c r="Y423" i="8"/>
  <c r="Y424" i="8" s="1"/>
  <c r="AA419" i="8"/>
  <c r="AA420" i="8" s="1"/>
  <c r="O355" i="8"/>
  <c r="O356" i="8" s="1"/>
  <c r="U351" i="8"/>
  <c r="U352" i="8" s="1"/>
  <c r="L471" i="8"/>
  <c r="L472" i="8" s="1"/>
  <c r="AB399" i="8"/>
  <c r="AB400" i="8" s="1"/>
  <c r="AC375" i="8"/>
  <c r="AC376" i="8" s="1"/>
  <c r="P363" i="8"/>
  <c r="P364" i="8" s="1"/>
  <c r="Y359" i="8"/>
  <c r="Y360" i="8" s="1"/>
  <c r="N355" i="8"/>
  <c r="N356" i="8" s="1"/>
  <c r="AB347" i="8"/>
  <c r="AB348" i="8" s="1"/>
  <c r="N347" i="8"/>
  <c r="N348" i="8" s="1"/>
  <c r="O343" i="8"/>
  <c r="O344" i="8" s="1"/>
  <c r="U319" i="8"/>
  <c r="U320" i="8" s="1"/>
  <c r="V315" i="8"/>
  <c r="V316" i="8" s="1"/>
  <c r="X375" i="8"/>
  <c r="X376" i="8" s="1"/>
  <c r="AB343" i="8"/>
  <c r="AB344" i="8" s="1"/>
  <c r="N343" i="8"/>
  <c r="N344" i="8" s="1"/>
  <c r="AD335" i="8"/>
  <c r="AD336" i="8" s="1"/>
  <c r="T319" i="8"/>
  <c r="T320" i="8" s="1"/>
  <c r="U315" i="8"/>
  <c r="U316" i="8" s="1"/>
  <c r="S475" i="8"/>
  <c r="S476" i="8" s="1"/>
  <c r="W447" i="8"/>
  <c r="W448" i="8" s="1"/>
  <c r="X391" i="8"/>
  <c r="X392" i="8" s="1"/>
  <c r="L347" i="8"/>
  <c r="L348" i="8" s="1"/>
  <c r="M343" i="8"/>
  <c r="M344" i="8" s="1"/>
  <c r="T315" i="8"/>
  <c r="T316" i="8" s="1"/>
  <c r="AD355" i="8"/>
  <c r="AD356" i="8" s="1"/>
  <c r="O331" i="8"/>
  <c r="O332" i="8" s="1"/>
  <c r="L315" i="8"/>
  <c r="L316" i="8" s="1"/>
  <c r="X299" i="8"/>
  <c r="X300" i="8" s="1"/>
  <c r="L291" i="8"/>
  <c r="L292" i="8" s="1"/>
  <c r="M499" i="8"/>
  <c r="M500" i="8" s="1"/>
  <c r="S447" i="8"/>
  <c r="S448" i="8" s="1"/>
  <c r="P311" i="8"/>
  <c r="P312" i="8" s="1"/>
  <c r="M335" i="8"/>
  <c r="M336" i="8" s="1"/>
  <c r="X315" i="8"/>
  <c r="X316" i="8" s="1"/>
  <c r="AD311" i="8"/>
  <c r="AD312" i="8" s="1"/>
  <c r="K275" i="8"/>
  <c r="L271" i="8"/>
  <c r="L272" i="8" s="1"/>
  <c r="AC431" i="8"/>
  <c r="AC432" i="8" s="1"/>
  <c r="Q391" i="8"/>
  <c r="Q392" i="8" s="1"/>
  <c r="AB371" i="8"/>
  <c r="AB372" i="8" s="1"/>
  <c r="R355" i="8"/>
  <c r="R356" i="8" s="1"/>
  <c r="AA327" i="8"/>
  <c r="AA328" i="8" s="1"/>
  <c r="N319" i="8"/>
  <c r="N320" i="8" s="1"/>
  <c r="L311" i="8"/>
  <c r="L312" i="8" s="1"/>
  <c r="K271" i="8"/>
  <c r="L267" i="8"/>
  <c r="L268" i="8" s="1"/>
  <c r="AE423" i="8"/>
  <c r="AE424" i="8" s="1"/>
  <c r="K411" i="8"/>
  <c r="L355" i="8"/>
  <c r="L356" i="8" s="1"/>
  <c r="W343" i="8"/>
  <c r="W344" i="8" s="1"/>
  <c r="M339" i="8"/>
  <c r="M340" i="8" s="1"/>
  <c r="L319" i="8"/>
  <c r="L320" i="8" s="1"/>
  <c r="AA311" i="8"/>
  <c r="AA312" i="8" s="1"/>
  <c r="AD299" i="8"/>
  <c r="AD300" i="8" s="1"/>
  <c r="AE295" i="8"/>
  <c r="AE296" i="8" s="1"/>
  <c r="K263" i="8"/>
  <c r="L259" i="8"/>
  <c r="L260" i="8" s="1"/>
  <c r="AD347" i="8"/>
  <c r="AD348" i="8" s="1"/>
  <c r="X319" i="8"/>
  <c r="X320" i="8" s="1"/>
  <c r="Z311" i="8"/>
  <c r="Z312" i="8" s="1"/>
  <c r="Z299" i="8"/>
  <c r="Z300" i="8" s="1"/>
  <c r="AD295" i="8"/>
  <c r="AD296" i="8" s="1"/>
  <c r="K235" i="8"/>
  <c r="L231" i="8"/>
  <c r="L232" i="8" s="1"/>
  <c r="K179" i="8"/>
  <c r="L175" i="8"/>
  <c r="L176" i="8" s="1"/>
  <c r="K123" i="8"/>
  <c r="X419" i="8"/>
  <c r="X420" i="8" s="1"/>
  <c r="Q371" i="8"/>
  <c r="Q372" i="8" s="1"/>
  <c r="T327" i="8"/>
  <c r="T328" i="8" s="1"/>
  <c r="X311" i="8"/>
  <c r="X312" i="8" s="1"/>
  <c r="O307" i="8"/>
  <c r="O308" i="8" s="1"/>
  <c r="K227" i="8"/>
  <c r="L223" i="8"/>
  <c r="L224" i="8" s="1"/>
  <c r="M319" i="8"/>
  <c r="M320" i="8" s="1"/>
  <c r="AD315" i="8"/>
  <c r="AD316" i="8" s="1"/>
  <c r="U299" i="8"/>
  <c r="U300" i="8" s="1"/>
  <c r="S387" i="8"/>
  <c r="S388" i="8" s="1"/>
  <c r="AB375" i="8"/>
  <c r="AB376" i="8" s="1"/>
  <c r="X323" i="8"/>
  <c r="X324" i="8" s="1"/>
  <c r="K319" i="8"/>
  <c r="X295" i="8"/>
  <c r="X296" i="8" s="1"/>
  <c r="K215" i="8"/>
  <c r="L211" i="8"/>
  <c r="L212" i="8" s="1"/>
  <c r="K159" i="8"/>
  <c r="L155" i="8"/>
  <c r="L156" i="8" s="1"/>
  <c r="T355" i="8"/>
  <c r="T356" i="8" s="1"/>
  <c r="M351" i="8"/>
  <c r="M352" i="8" s="1"/>
  <c r="O347" i="8"/>
  <c r="O348" i="8" s="1"/>
  <c r="AB335" i="8"/>
  <c r="AB336" i="8" s="1"/>
  <c r="L327" i="8"/>
  <c r="L328" i="8" s="1"/>
  <c r="L287" i="8"/>
  <c r="L288" i="8" s="1"/>
  <c r="K267" i="8"/>
  <c r="K211" i="8"/>
  <c r="L207" i="8"/>
  <c r="L208" i="8" s="1"/>
  <c r="K155" i="8"/>
  <c r="L151" i="8"/>
  <c r="L152" i="8" s="1"/>
  <c r="T423" i="8"/>
  <c r="T424" i="8" s="1"/>
  <c r="N375" i="8"/>
  <c r="N376" i="8" s="1"/>
  <c r="L343" i="8"/>
  <c r="L344" i="8" s="1"/>
  <c r="K311" i="8"/>
  <c r="AB303" i="8"/>
  <c r="AB304" i="8" s="1"/>
  <c r="U295" i="8"/>
  <c r="U296" i="8" s="1"/>
  <c r="L255" i="8"/>
  <c r="L256" i="8" s="1"/>
  <c r="K203" i="8"/>
  <c r="L199" i="8"/>
  <c r="L200" i="8" s="1"/>
  <c r="K147" i="8"/>
  <c r="L143" i="8"/>
  <c r="L144" i="8" s="1"/>
  <c r="W363" i="8"/>
  <c r="W364" i="8" s="1"/>
  <c r="Y331" i="8"/>
  <c r="Y332" i="8" s="1"/>
  <c r="AA319" i="8"/>
  <c r="AA320" i="8" s="1"/>
  <c r="K239" i="8"/>
  <c r="K207" i="8"/>
  <c r="L187" i="8"/>
  <c r="L188" i="8" s="1"/>
  <c r="L171" i="8"/>
  <c r="L172" i="8" s="1"/>
  <c r="K151" i="8"/>
  <c r="M355" i="8"/>
  <c r="M356" i="8" s="1"/>
  <c r="X347" i="8"/>
  <c r="X348" i="8" s="1"/>
  <c r="K291" i="8"/>
  <c r="K259" i="8"/>
  <c r="L247" i="8"/>
  <c r="L248" i="8" s="1"/>
  <c r="L203" i="8"/>
  <c r="L204" i="8" s="1"/>
  <c r="L167" i="8"/>
  <c r="L168" i="8" s="1"/>
  <c r="L147" i="8"/>
  <c r="L148" i="8" s="1"/>
  <c r="Y363" i="8"/>
  <c r="Y364" i="8" s="1"/>
  <c r="W339" i="8"/>
  <c r="W340" i="8" s="1"/>
  <c r="AB307" i="8"/>
  <c r="AB308" i="8" s="1"/>
  <c r="K287" i="8"/>
  <c r="L227" i="8"/>
  <c r="L228" i="8" s="1"/>
  <c r="K183" i="8"/>
  <c r="K127" i="8"/>
  <c r="L115" i="8"/>
  <c r="L116" i="8" s="1"/>
  <c r="L339" i="8"/>
  <c r="L340" i="8" s="1"/>
  <c r="L283" i="8"/>
  <c r="L284" i="8" s="1"/>
  <c r="L251" i="8"/>
  <c r="L252" i="8" s="1"/>
  <c r="K199" i="8"/>
  <c r="L163" i="8"/>
  <c r="L164" i="8" s="1"/>
  <c r="K143" i="8"/>
  <c r="K115" i="8"/>
  <c r="L111" i="8"/>
  <c r="L112" i="8" s="1"/>
  <c r="AE315" i="8"/>
  <c r="AE316" i="8" s="1"/>
  <c r="T311" i="8"/>
  <c r="T312" i="8" s="1"/>
  <c r="K231" i="8"/>
  <c r="L195" i="8"/>
  <c r="L196" i="8" s="1"/>
  <c r="L179" i="8"/>
  <c r="L180" i="8" s="1"/>
  <c r="L139" i="8"/>
  <c r="L140" i="8" s="1"/>
  <c r="L123" i="8"/>
  <c r="L124" i="8" s="1"/>
  <c r="K107" i="8"/>
  <c r="L103" i="8"/>
  <c r="L104" i="8" s="1"/>
  <c r="K283" i="8"/>
  <c r="K255" i="8"/>
  <c r="L239" i="8"/>
  <c r="L240" i="8" s="1"/>
  <c r="L219" i="8"/>
  <c r="L220" i="8" s="1"/>
  <c r="W443" i="8"/>
  <c r="W444" i="8" s="1"/>
  <c r="K219" i="8"/>
  <c r="K171" i="8"/>
  <c r="L95" i="8"/>
  <c r="L96" i="8" s="1"/>
  <c r="K43" i="8"/>
  <c r="L39" i="8"/>
  <c r="L40" i="8" s="1"/>
  <c r="L351" i="8"/>
  <c r="L352" i="8" s="1"/>
  <c r="T331" i="8"/>
  <c r="T332" i="8" s="1"/>
  <c r="L215" i="8"/>
  <c r="L216" i="8" s="1"/>
  <c r="K87" i="8"/>
  <c r="L83" i="8"/>
  <c r="L84" i="8" s="1"/>
  <c r="K31" i="8"/>
  <c r="K32" i="8" s="1"/>
  <c r="L27" i="8"/>
  <c r="L28" i="8" s="1"/>
  <c r="K487" i="8"/>
  <c r="K139" i="8"/>
  <c r="K119" i="8"/>
  <c r="L99" i="8"/>
  <c r="L100" i="8" s="1"/>
  <c r="K79" i="8"/>
  <c r="L75" i="8"/>
  <c r="L76" i="8" s="1"/>
  <c r="K23" i="8"/>
  <c r="K24" i="8" s="1"/>
  <c r="L19" i="8"/>
  <c r="L20" i="8" s="1"/>
  <c r="L455" i="8"/>
  <c r="L456" i="8" s="1"/>
  <c r="K247" i="8"/>
  <c r="K167" i="8"/>
  <c r="K99" i="8"/>
  <c r="K75" i="8"/>
  <c r="L71" i="8"/>
  <c r="L72" i="8" s="1"/>
  <c r="K19" i="8"/>
  <c r="K20" i="8" s="1"/>
  <c r="L15" i="8"/>
  <c r="L16" i="8" s="1"/>
  <c r="K191" i="8"/>
  <c r="L183" i="8"/>
  <c r="L184" i="8" s="1"/>
  <c r="K67" i="8"/>
  <c r="L63" i="8"/>
  <c r="L64" i="8" s="1"/>
  <c r="K11" i="8"/>
  <c r="K12" i="8" s="1"/>
  <c r="L7" i="8"/>
  <c r="L8" i="8" s="1"/>
  <c r="AD319" i="8"/>
  <c r="AD320" i="8" s="1"/>
  <c r="AB299" i="8"/>
  <c r="AB300" i="8" s="1"/>
  <c r="L243" i="8"/>
  <c r="L244" i="8" s="1"/>
  <c r="L191" i="8"/>
  <c r="L192" i="8" s="1"/>
  <c r="K187" i="8"/>
  <c r="K103" i="8"/>
  <c r="L275" i="8"/>
  <c r="L276" i="8" s="1"/>
  <c r="K243" i="8"/>
  <c r="O363" i="8"/>
  <c r="O364" i="8" s="1"/>
  <c r="U331" i="8"/>
  <c r="U332" i="8" s="1"/>
  <c r="L11" i="8"/>
  <c r="L12" i="8" s="1"/>
  <c r="K7" i="8"/>
  <c r="K8" i="8" s="1"/>
  <c r="Q443" i="8"/>
  <c r="Q444" i="8" s="1"/>
  <c r="U307" i="8"/>
  <c r="U308" i="8" s="1"/>
  <c r="K163" i="8"/>
  <c r="L159" i="8"/>
  <c r="L160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Y403" i="8"/>
  <c r="Y404" i="8" s="1"/>
  <c r="K195" i="8"/>
  <c r="K111" i="8"/>
  <c r="L91" i="8"/>
  <c r="L92" i="8" s="1"/>
  <c r="K71" i="8"/>
  <c r="K91" i="8"/>
  <c r="K131" i="8"/>
  <c r="AA295" i="8"/>
  <c r="AA296" i="8" s="1"/>
  <c r="L87" i="8"/>
  <c r="L88" i="8" s="1"/>
  <c r="L59" i="8"/>
  <c r="L60" i="8" s="1"/>
  <c r="K35" i="8"/>
  <c r="K36" i="8" s="1"/>
  <c r="K15" i="8"/>
  <c r="K16" i="8" s="1"/>
  <c r="S391" i="8"/>
  <c r="S392" i="8" s="1"/>
  <c r="P295" i="8"/>
  <c r="P296" i="8" s="1"/>
  <c r="L279" i="8"/>
  <c r="L280" i="8" s="1"/>
  <c r="L235" i="8"/>
  <c r="L236" i="8" s="1"/>
  <c r="L135" i="8"/>
  <c r="L136" i="8" s="1"/>
  <c r="L119" i="8"/>
  <c r="L120" i="8" s="1"/>
  <c r="L67" i="8"/>
  <c r="L68" i="8" s="1"/>
  <c r="K59" i="8"/>
  <c r="L51" i="8"/>
  <c r="L52" i="8" s="1"/>
  <c r="M295" i="8"/>
  <c r="M296" i="8" s="1"/>
  <c r="K279" i="8"/>
  <c r="K135" i="8"/>
  <c r="K83" i="8"/>
  <c r="L43" i="8"/>
  <c r="L44" i="8" s="1"/>
  <c r="K175" i="8"/>
  <c r="AB495" i="8"/>
  <c r="AB496" i="8" s="1"/>
  <c r="T451" i="8"/>
  <c r="T452" i="8" s="1"/>
  <c r="P343" i="8"/>
  <c r="P344" i="8" s="1"/>
  <c r="L263" i="8"/>
  <c r="L264" i="8" s="1"/>
  <c r="K251" i="8"/>
  <c r="K95" i="8"/>
  <c r="L127" i="8"/>
  <c r="L128" i="8" s="1"/>
  <c r="K63" i="8"/>
  <c r="L55" i="8"/>
  <c r="L56" i="8" s="1"/>
  <c r="K39" i="8"/>
  <c r="K40" i="8" s="1"/>
  <c r="K47" i="8"/>
  <c r="AD327" i="8"/>
  <c r="AD328" i="8" s="1"/>
  <c r="K223" i="8"/>
  <c r="L23" i="8"/>
  <c r="L24" i="8" s="1"/>
  <c r="U260" i="2"/>
  <c r="N7" i="2"/>
  <c r="N17" i="2" s="1"/>
  <c r="AB23" i="2"/>
  <c r="AB33" i="2" s="1"/>
  <c r="AC14" i="2"/>
  <c r="AC24" i="2" s="1"/>
  <c r="V25" i="2"/>
  <c r="X31" i="2"/>
  <c r="AD40" i="2"/>
  <c r="K70" i="2"/>
  <c r="V74" i="2"/>
  <c r="V84" i="2" s="1"/>
  <c r="T74" i="2"/>
  <c r="T84" i="2" s="1"/>
  <c r="AC74" i="2"/>
  <c r="AC84" i="2" s="1"/>
  <c r="M74" i="2"/>
  <c r="M84" i="2" s="1"/>
  <c r="M94" i="2" s="1"/>
  <c r="AB74" i="2"/>
  <c r="AB84" i="2" s="1"/>
  <c r="L74" i="2"/>
  <c r="L84" i="2" s="1"/>
  <c r="W74" i="2"/>
  <c r="W84" i="2" s="1"/>
  <c r="S74" i="2"/>
  <c r="K74" i="2"/>
  <c r="X74" i="2"/>
  <c r="X84" i="2" s="1"/>
  <c r="X94" i="2" s="1"/>
  <c r="U74" i="2"/>
  <c r="U84" i="2" s="1"/>
  <c r="R74" i="2"/>
  <c r="R84" i="2" s="1"/>
  <c r="R94" i="2" s="1"/>
  <c r="O74" i="2"/>
  <c r="O84" i="2" s="1"/>
  <c r="O94" i="2" s="1"/>
  <c r="N74" i="2"/>
  <c r="N84" i="2" s="1"/>
  <c r="Y10" i="2"/>
  <c r="K10" i="2"/>
  <c r="K20" i="2" s="1"/>
  <c r="K30" i="2" s="1"/>
  <c r="S10" i="2"/>
  <c r="S20" i="2" s="1"/>
  <c r="S30" i="2" s="1"/>
  <c r="AE10" i="2"/>
  <c r="AE20" i="2" s="1"/>
  <c r="Q10" i="2"/>
  <c r="Z10" i="2"/>
  <c r="Z20" i="2" s="1"/>
  <c r="X10" i="2"/>
  <c r="X20" i="2" s="1"/>
  <c r="P10" i="2"/>
  <c r="P20" i="2" s="1"/>
  <c r="O10" i="2"/>
  <c r="O20" i="2" s="1"/>
  <c r="N10" i="2"/>
  <c r="N20" i="2" s="1"/>
  <c r="N30" i="2" s="1"/>
  <c r="U9" i="2"/>
  <c r="U19" i="2" s="1"/>
  <c r="AC9" i="2"/>
  <c r="AC19" i="2" s="1"/>
  <c r="O9" i="2"/>
  <c r="AA9" i="2"/>
  <c r="AA19" i="2" s="1"/>
  <c r="M9" i="2"/>
  <c r="M19" i="2" s="1"/>
  <c r="N9" i="2"/>
  <c r="N19" i="2" s="1"/>
  <c r="N29" i="2" s="1"/>
  <c r="AE9" i="2"/>
  <c r="AE19" i="2" s="1"/>
  <c r="AE29" i="2" s="1"/>
  <c r="L9" i="2"/>
  <c r="L19" i="2" s="1"/>
  <c r="W9" i="2"/>
  <c r="V9" i="2"/>
  <c r="V19" i="2" s="1"/>
  <c r="V29" i="2" s="1"/>
  <c r="T9" i="2"/>
  <c r="T19" i="2" s="1"/>
  <c r="T29" i="2" s="1"/>
  <c r="V67" i="2"/>
  <c r="V77" i="2" s="1"/>
  <c r="U67" i="2"/>
  <c r="U77" i="2" s="1"/>
  <c r="U87" i="2" s="1"/>
  <c r="AD67" i="2"/>
  <c r="AD77" i="2" s="1"/>
  <c r="P67" i="2"/>
  <c r="P77" i="2" s="1"/>
  <c r="AB67" i="2"/>
  <c r="AB77" i="2" s="1"/>
  <c r="N67" i="2"/>
  <c r="N77" i="2" s="1"/>
  <c r="AE67" i="2"/>
  <c r="K67" i="2"/>
  <c r="AC67" i="2"/>
  <c r="AC77" i="2" s="1"/>
  <c r="AC87" i="2" s="1"/>
  <c r="T67" i="2"/>
  <c r="T77" i="2" s="1"/>
  <c r="T87" i="2" s="1"/>
  <c r="S67" i="2"/>
  <c r="R67" i="2"/>
  <c r="R77" i="2" s="1"/>
  <c r="M67" i="2"/>
  <c r="M77" i="2" s="1"/>
  <c r="L67" i="2"/>
  <c r="L77" i="2" s="1"/>
  <c r="L87" i="2" s="1"/>
  <c r="AA28" i="2"/>
  <c r="AA10" i="2"/>
  <c r="AA20" i="2" s="1"/>
  <c r="AB40" i="2"/>
  <c r="Z9" i="2"/>
  <c r="Z19" i="2" s="1"/>
  <c r="M25" i="2"/>
  <c r="R70" i="2"/>
  <c r="R80" i="2" s="1"/>
  <c r="U85" i="2"/>
  <c r="U95" i="2" s="1"/>
  <c r="AC130" i="2"/>
  <c r="AC140" i="2" s="1"/>
  <c r="O130" i="2"/>
  <c r="O140" i="2" s="1"/>
  <c r="O150" i="2" s="1"/>
  <c r="AA130" i="2"/>
  <c r="M130" i="2"/>
  <c r="V130" i="2"/>
  <c r="V140" i="2" s="1"/>
  <c r="U130" i="2"/>
  <c r="T130" i="2"/>
  <c r="P130" i="2"/>
  <c r="P140" i="2" s="1"/>
  <c r="AD130" i="2"/>
  <c r="AD140" i="2" s="1"/>
  <c r="AD379" i="8" s="1"/>
  <c r="AD380" i="8" s="1"/>
  <c r="L130" i="2"/>
  <c r="X130" i="2"/>
  <c r="X140" i="2" s="1"/>
  <c r="X150" i="2" s="1"/>
  <c r="W130" i="2"/>
  <c r="Q130" i="2"/>
  <c r="Q140" i="2" s="1"/>
  <c r="N130" i="2"/>
  <c r="N140" i="2" s="1"/>
  <c r="N150" i="2" s="1"/>
  <c r="K130" i="2"/>
  <c r="AE130" i="2"/>
  <c r="AB130" i="2"/>
  <c r="AB140" i="2" s="1"/>
  <c r="S130" i="2"/>
  <c r="S140" i="2" s="1"/>
  <c r="R130" i="2"/>
  <c r="V134" i="2"/>
  <c r="V144" i="2" s="1"/>
  <c r="AE134" i="2"/>
  <c r="Q134" i="2"/>
  <c r="Q144" i="2" s="1"/>
  <c r="AC134" i="2"/>
  <c r="AC144" i="2" s="1"/>
  <c r="AC395" i="8" s="1"/>
  <c r="AC396" i="8" s="1"/>
  <c r="O134" i="2"/>
  <c r="W134" i="2"/>
  <c r="U134" i="2"/>
  <c r="T134" i="2"/>
  <c r="N134" i="2"/>
  <c r="N144" i="2" s="1"/>
  <c r="AD134" i="2"/>
  <c r="AD144" i="2" s="1"/>
  <c r="L134" i="2"/>
  <c r="Y134" i="2"/>
  <c r="X134" i="2"/>
  <c r="X144" i="2" s="1"/>
  <c r="P134" i="2"/>
  <c r="P144" i="2" s="1"/>
  <c r="M134" i="2"/>
  <c r="K134" i="2"/>
  <c r="AB134" i="2"/>
  <c r="AB144" i="2" s="1"/>
  <c r="S134" i="2"/>
  <c r="S144" i="2" s="1"/>
  <c r="S154" i="2" s="1"/>
  <c r="R134" i="2"/>
  <c r="AA14" i="2"/>
  <c r="AA24" i="2" s="1"/>
  <c r="M14" i="2"/>
  <c r="M24" i="2" s="1"/>
  <c r="U14" i="2"/>
  <c r="U24" i="2" s="1"/>
  <c r="S14" i="2"/>
  <c r="S24" i="2" s="1"/>
  <c r="AE14" i="2"/>
  <c r="AE24" i="2" s="1"/>
  <c r="N14" i="2"/>
  <c r="N24" i="2" s="1"/>
  <c r="AD14" i="2"/>
  <c r="AD24" i="2" s="1"/>
  <c r="L14" i="2"/>
  <c r="L24" i="2" s="1"/>
  <c r="L34" i="2" s="1"/>
  <c r="W14" i="2"/>
  <c r="W24" i="2" s="1"/>
  <c r="W34" i="2" s="1"/>
  <c r="V14" i="2"/>
  <c r="V24" i="2" s="1"/>
  <c r="T14" i="2"/>
  <c r="T24" i="2" s="1"/>
  <c r="X9" i="2"/>
  <c r="X19" i="2" s="1"/>
  <c r="W10" i="2"/>
  <c r="W20" i="2" s="1"/>
  <c r="Y14" i="2"/>
  <c r="Y24" i="2" s="1"/>
  <c r="Z79" i="2"/>
  <c r="AA73" i="2"/>
  <c r="AA83" i="2" s="1"/>
  <c r="Y9" i="2"/>
  <c r="AA67" i="2"/>
  <c r="AC73" i="2"/>
  <c r="AB10" i="2"/>
  <c r="AB20" i="2" s="1"/>
  <c r="AB30" i="2" s="1"/>
  <c r="X33" i="2"/>
  <c r="L63" i="2"/>
  <c r="W82" i="2"/>
  <c r="O7" i="2"/>
  <c r="O17" i="2" s="1"/>
  <c r="AD9" i="2"/>
  <c r="AD19" i="2" s="1"/>
  <c r="AD10" i="2"/>
  <c r="AD20" i="2" s="1"/>
  <c r="X25" i="2"/>
  <c r="P7" i="2"/>
  <c r="P17" i="2" s="1"/>
  <c r="P27" i="2" s="1"/>
  <c r="O18" i="2"/>
  <c r="AE18" i="2"/>
  <c r="Z31" i="2"/>
  <c r="AA39" i="2"/>
  <c r="N79" i="2"/>
  <c r="U70" i="2"/>
  <c r="U80" i="2" s="1"/>
  <c r="U90" i="2" s="1"/>
  <c r="P74" i="2"/>
  <c r="P84" i="2" s="1"/>
  <c r="V85" i="2"/>
  <c r="AC142" i="2"/>
  <c r="AA214" i="2"/>
  <c r="K9" i="2"/>
  <c r="K19" i="2" s="1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O24" i="2" s="1"/>
  <c r="O323" i="8" s="1"/>
  <c r="O324" i="8" s="1"/>
  <c r="L40" i="2"/>
  <c r="V78" i="2"/>
  <c r="AD70" i="2"/>
  <c r="AD80" i="2" s="1"/>
  <c r="AC25" i="2"/>
  <c r="M40" i="2"/>
  <c r="Q67" i="2"/>
  <c r="AE70" i="2"/>
  <c r="K73" i="2"/>
  <c r="AD84" i="2"/>
  <c r="M10" i="2"/>
  <c r="M20" i="2" s="1"/>
  <c r="M30" i="2" s="1"/>
  <c r="S131" i="2"/>
  <c r="S141" i="2" s="1"/>
  <c r="AE131" i="2"/>
  <c r="Q131" i="2"/>
  <c r="Q141" i="2" s="1"/>
  <c r="AD131" i="2"/>
  <c r="AD141" i="2" s="1"/>
  <c r="N131" i="2"/>
  <c r="AC131" i="2"/>
  <c r="AC141" i="2" s="1"/>
  <c r="M131" i="2"/>
  <c r="AB131" i="2"/>
  <c r="AB141" i="2" s="1"/>
  <c r="L131" i="2"/>
  <c r="X131" i="2"/>
  <c r="X141" i="2" s="1"/>
  <c r="V131" i="2"/>
  <c r="V141" i="2" s="1"/>
  <c r="P131" i="2"/>
  <c r="P141" i="2" s="1"/>
  <c r="O131" i="2"/>
  <c r="W131" i="2"/>
  <c r="U131" i="2"/>
  <c r="T131" i="2"/>
  <c r="R131" i="2"/>
  <c r="Z131" i="2"/>
  <c r="Z141" i="2" s="1"/>
  <c r="Y131" i="2"/>
  <c r="M207" i="2"/>
  <c r="Z7" i="2"/>
  <c r="Z17" i="2" s="1"/>
  <c r="P9" i="2"/>
  <c r="P19" i="2" s="1"/>
  <c r="R10" i="2"/>
  <c r="P14" i="2"/>
  <c r="P24" i="2" s="1"/>
  <c r="AB7" i="2"/>
  <c r="AB17" i="2" s="1"/>
  <c r="Q9" i="2"/>
  <c r="T10" i="2"/>
  <c r="T20" i="2" s="1"/>
  <c r="Q14" i="2"/>
  <c r="P25" i="2"/>
  <c r="P35" i="2" s="1"/>
  <c r="N40" i="2"/>
  <c r="W67" i="2"/>
  <c r="W77" i="2" s="1"/>
  <c r="W87" i="2" s="1"/>
  <c r="S73" i="2"/>
  <c r="Y139" i="2"/>
  <c r="K131" i="2"/>
  <c r="AD256" i="2"/>
  <c r="P256" i="2"/>
  <c r="P266" i="2" s="1"/>
  <c r="R256" i="2"/>
  <c r="AE256" i="2"/>
  <c r="AE266" i="2" s="1"/>
  <c r="N256" i="2"/>
  <c r="N266" i="2" s="1"/>
  <c r="Y256" i="2"/>
  <c r="Y266" i="2" s="1"/>
  <c r="X256" i="2"/>
  <c r="X266" i="2" s="1"/>
  <c r="W256" i="2"/>
  <c r="W266" i="2" s="1"/>
  <c r="V256" i="2"/>
  <c r="V266" i="2" s="1"/>
  <c r="S256" i="2"/>
  <c r="S266" i="2" s="1"/>
  <c r="O256" i="2"/>
  <c r="AA256" i="2"/>
  <c r="T256" i="2"/>
  <c r="T266" i="2" s="1"/>
  <c r="M256" i="2"/>
  <c r="L256" i="2"/>
  <c r="L266" i="2" s="1"/>
  <c r="K256" i="2"/>
  <c r="AC256" i="2"/>
  <c r="AB256" i="2"/>
  <c r="AB266" i="2" s="1"/>
  <c r="AB276" i="2" s="1"/>
  <c r="Z256" i="2"/>
  <c r="U256" i="2"/>
  <c r="U266" i="2" s="1"/>
  <c r="Q256" i="2"/>
  <c r="T79" i="2"/>
  <c r="T82" i="2"/>
  <c r="T92" i="2" s="1"/>
  <c r="AD138" i="2"/>
  <c r="V145" i="2"/>
  <c r="Q159" i="2"/>
  <c r="L271" i="2"/>
  <c r="Z68" i="2"/>
  <c r="L68" i="2"/>
  <c r="L78" i="2" s="1"/>
  <c r="Y68" i="2"/>
  <c r="Y78" i="2" s="1"/>
  <c r="K68" i="2"/>
  <c r="T68" i="2"/>
  <c r="T78" i="2" s="1"/>
  <c r="T88" i="2" s="1"/>
  <c r="R68" i="2"/>
  <c r="R78" i="2" s="1"/>
  <c r="AC68" i="2"/>
  <c r="AC78" i="2" s="1"/>
  <c r="W198" i="2"/>
  <c r="R210" i="2"/>
  <c r="AA213" i="2"/>
  <c r="P12" i="2"/>
  <c r="P22" i="2" s="1"/>
  <c r="N68" i="2"/>
  <c r="N78" i="2" s="1"/>
  <c r="N88" i="2" s="1"/>
  <c r="Q75" i="2"/>
  <c r="Q100" i="2"/>
  <c r="AC145" i="2"/>
  <c r="AE215" i="2"/>
  <c r="Q12" i="2"/>
  <c r="O68" i="2"/>
  <c r="O78" i="2" s="1"/>
  <c r="O88" i="2" s="1"/>
  <c r="AD69" i="2"/>
  <c r="AD79" i="2" s="1"/>
  <c r="AD89" i="2" s="1"/>
  <c r="P69" i="2"/>
  <c r="P79" i="2" s="1"/>
  <c r="AC69" i="2"/>
  <c r="AC79" i="2" s="1"/>
  <c r="O69" i="2"/>
  <c r="O79" i="2" s="1"/>
  <c r="X69" i="2"/>
  <c r="X79" i="2" s="1"/>
  <c r="X89" i="2" s="1"/>
  <c r="V69" i="2"/>
  <c r="V79" i="2" s="1"/>
  <c r="AA69" i="2"/>
  <c r="R75" i="2"/>
  <c r="R85" i="2" s="1"/>
  <c r="K33" i="2"/>
  <c r="AE25" i="2"/>
  <c r="P68" i="2"/>
  <c r="P78" i="2" s="1"/>
  <c r="AE127" i="2"/>
  <c r="Q127" i="2"/>
  <c r="Q137" i="2" s="1"/>
  <c r="AC127" i="2"/>
  <c r="AC137" i="2" s="1"/>
  <c r="O127" i="2"/>
  <c r="AD127" i="2"/>
  <c r="AD137" i="2" s="1"/>
  <c r="AD367" i="8" s="1"/>
  <c r="AD368" i="8" s="1"/>
  <c r="M127" i="2"/>
  <c r="AB127" i="2"/>
  <c r="AB137" i="2" s="1"/>
  <c r="AB147" i="2" s="1"/>
  <c r="L127" i="2"/>
  <c r="AA127" i="2"/>
  <c r="AA137" i="2" s="1"/>
  <c r="K127" i="2"/>
  <c r="W127" i="2"/>
  <c r="U127" i="2"/>
  <c r="P127" i="2"/>
  <c r="P137" i="2" s="1"/>
  <c r="N127" i="2"/>
  <c r="N137" i="2" s="1"/>
  <c r="T197" i="2"/>
  <c r="K197" i="2"/>
  <c r="K403" i="8" s="1"/>
  <c r="Y197" i="2"/>
  <c r="Y207" i="2" s="1"/>
  <c r="L274" i="2"/>
  <c r="AA264" i="2"/>
  <c r="P142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A211" i="2"/>
  <c r="AC317" i="2"/>
  <c r="O317" i="2"/>
  <c r="O327" i="2" s="1"/>
  <c r="AE317" i="2"/>
  <c r="P317" i="2"/>
  <c r="P327" i="2" s="1"/>
  <c r="AD317" i="2"/>
  <c r="AD327" i="2" s="1"/>
  <c r="N317" i="2"/>
  <c r="AB317" i="2"/>
  <c r="AB327" i="2" s="1"/>
  <c r="AB337" i="2" s="1"/>
  <c r="M317" i="2"/>
  <c r="M327" i="2" s="1"/>
  <c r="AA317" i="2"/>
  <c r="AA327" i="2" s="1"/>
  <c r="L317" i="2"/>
  <c r="L327" i="2" s="1"/>
  <c r="L337" i="2" s="1"/>
  <c r="W317" i="2"/>
  <c r="W327" i="2" s="1"/>
  <c r="T317" i="2"/>
  <c r="T327" i="2" s="1"/>
  <c r="T337" i="2" s="1"/>
  <c r="X317" i="2"/>
  <c r="V317" i="2"/>
  <c r="V327" i="2" s="1"/>
  <c r="R317" i="2"/>
  <c r="R327" i="2" s="1"/>
  <c r="Q317" i="2"/>
  <c r="K317" i="2"/>
  <c r="K327" i="2" s="1"/>
  <c r="Z317" i="2"/>
  <c r="Z327" i="2" s="1"/>
  <c r="Y317" i="2"/>
  <c r="S317" i="2"/>
  <c r="S327" i="2" s="1"/>
  <c r="U317" i="2"/>
  <c r="U327" i="2" s="1"/>
  <c r="U507" i="8" s="1"/>
  <c r="U508" i="8" s="1"/>
  <c r="L123" i="2"/>
  <c r="AC38" i="2"/>
  <c r="O38" i="2"/>
  <c r="O32" i="2" s="1"/>
  <c r="W38" i="2"/>
  <c r="U38" i="2"/>
  <c r="AA38" i="2"/>
  <c r="X68" i="2"/>
  <c r="X78" i="2" s="1"/>
  <c r="R69" i="2"/>
  <c r="R79" i="2" s="1"/>
  <c r="R82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X137" i="2" s="1"/>
  <c r="X147" i="2" s="1"/>
  <c r="Q142" i="2"/>
  <c r="Q387" i="8" s="1"/>
  <c r="Q388" i="8" s="1"/>
  <c r="L159" i="2"/>
  <c r="AA197" i="2"/>
  <c r="O205" i="2"/>
  <c r="S12" i="2"/>
  <c r="S22" i="2" s="1"/>
  <c r="AA12" i="2"/>
  <c r="AA22" i="2" s="1"/>
  <c r="M12" i="2"/>
  <c r="M22" i="2" s="1"/>
  <c r="Y12" i="2"/>
  <c r="K12" i="2"/>
  <c r="K22" i="2" s="1"/>
  <c r="AB12" i="2"/>
  <c r="AB22" i="2" s="1"/>
  <c r="AA68" i="2"/>
  <c r="Z75" i="2"/>
  <c r="L75" i="2"/>
  <c r="L85" i="2" s="1"/>
  <c r="X75" i="2"/>
  <c r="X85" i="2" s="1"/>
  <c r="X95" i="2" s="1"/>
  <c r="T75" i="2"/>
  <c r="T85" i="2" s="1"/>
  <c r="T95" i="2" s="1"/>
  <c r="S75" i="2"/>
  <c r="AD75" i="2"/>
  <c r="AD85" i="2" s="1"/>
  <c r="N75" i="2"/>
  <c r="N85" i="2" s="1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Y137" i="2" s="1"/>
  <c r="AA133" i="2"/>
  <c r="M133" i="2"/>
  <c r="Y133" i="2"/>
  <c r="K133" i="2"/>
  <c r="K143" i="2" s="1"/>
  <c r="AD133" i="2"/>
  <c r="AD143" i="2" s="1"/>
  <c r="AD391" i="8" s="1"/>
  <c r="AD392" i="8" s="1"/>
  <c r="N133" i="2"/>
  <c r="N143" i="2" s="1"/>
  <c r="AC133" i="2"/>
  <c r="AC143" i="2" s="1"/>
  <c r="AC391" i="8" s="1"/>
  <c r="AC392" i="8" s="1"/>
  <c r="L133" i="2"/>
  <c r="AB133" i="2"/>
  <c r="AB143" i="2" s="1"/>
  <c r="AB153" i="2" s="1"/>
  <c r="V133" i="2"/>
  <c r="T133" i="2"/>
  <c r="P133" i="2"/>
  <c r="AE133" i="2"/>
  <c r="O133" i="2"/>
  <c r="O159" i="2"/>
  <c r="X197" i="2"/>
  <c r="AB197" i="2"/>
  <c r="O201" i="2"/>
  <c r="O419" i="8" s="1"/>
  <c r="O420" i="8" s="1"/>
  <c r="Q145" i="2"/>
  <c r="Q399" i="8" s="1"/>
  <c r="Q400" i="8" s="1"/>
  <c r="L183" i="2"/>
  <c r="U261" i="2"/>
  <c r="U128" i="2"/>
  <c r="S128" i="2"/>
  <c r="S138" i="2" s="1"/>
  <c r="S148" i="2" s="1"/>
  <c r="Y128" i="2"/>
  <c r="P139" i="2"/>
  <c r="O200" i="2"/>
  <c r="O415" i="8" s="1"/>
  <c r="O416" i="8" s="1"/>
  <c r="M259" i="2"/>
  <c r="U315" i="2"/>
  <c r="U325" i="2" s="1"/>
  <c r="R315" i="2"/>
  <c r="R325" i="2" s="1"/>
  <c r="Q315" i="2"/>
  <c r="AE315" i="2"/>
  <c r="P315" i="2"/>
  <c r="P325" i="2" s="1"/>
  <c r="AD315" i="2"/>
  <c r="AD325" i="2" s="1"/>
  <c r="O315" i="2"/>
  <c r="O325" i="2" s="1"/>
  <c r="Z315" i="2"/>
  <c r="Z325" i="2" s="1"/>
  <c r="K315" i="2"/>
  <c r="K325" i="2" s="1"/>
  <c r="W315" i="2"/>
  <c r="W325" i="2" s="1"/>
  <c r="AC315" i="2"/>
  <c r="AB315" i="2"/>
  <c r="AB325" i="2" s="1"/>
  <c r="V315" i="2"/>
  <c r="V325" i="2" s="1"/>
  <c r="T315" i="2"/>
  <c r="T325" i="2" s="1"/>
  <c r="T335" i="2" s="1"/>
  <c r="Y315" i="2"/>
  <c r="X315" i="2"/>
  <c r="X325" i="2" s="1"/>
  <c r="S315" i="2"/>
  <c r="S325" i="2" s="1"/>
  <c r="N315" i="2"/>
  <c r="L315" i="2"/>
  <c r="L325" i="2" s="1"/>
  <c r="L335" i="2" s="1"/>
  <c r="I474" i="2"/>
  <c r="I472" i="2"/>
  <c r="I470" i="2"/>
  <c r="I468" i="2"/>
  <c r="I466" i="2"/>
  <c r="I473" i="2"/>
  <c r="I414" i="2"/>
  <c r="I412" i="2"/>
  <c r="I410" i="2"/>
  <c r="I408" i="2"/>
  <c r="I406" i="2"/>
  <c r="I413" i="2"/>
  <c r="I354" i="2"/>
  <c r="I352" i="2"/>
  <c r="I350" i="2"/>
  <c r="I348" i="2"/>
  <c r="I346" i="2"/>
  <c r="I467" i="2"/>
  <c r="I469" i="2"/>
  <c r="I471" i="2"/>
  <c r="I353" i="2"/>
  <c r="I351" i="2"/>
  <c r="I349" i="2"/>
  <c r="I347" i="2"/>
  <c r="I231" i="2"/>
  <c r="I229" i="2"/>
  <c r="I227" i="2"/>
  <c r="I225" i="2"/>
  <c r="I294" i="2"/>
  <c r="I292" i="2"/>
  <c r="I290" i="2"/>
  <c r="I288" i="2"/>
  <c r="I286" i="2"/>
  <c r="I411" i="2"/>
  <c r="I287" i="2"/>
  <c r="I289" i="2"/>
  <c r="I291" i="2"/>
  <c r="I293" i="2"/>
  <c r="I407" i="2"/>
  <c r="I228" i="2"/>
  <c r="I409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O23" i="2" s="1"/>
  <c r="AC13" i="2"/>
  <c r="AC23" i="2" s="1"/>
  <c r="W15" i="2"/>
  <c r="P81" i="2"/>
  <c r="P91" i="2" s="1"/>
  <c r="V82" i="2"/>
  <c r="M128" i="2"/>
  <c r="AC128" i="2"/>
  <c r="AC138" i="2" s="1"/>
  <c r="AC203" i="2"/>
  <c r="X382" i="2"/>
  <c r="U267" i="2"/>
  <c r="K8" i="2"/>
  <c r="K18" i="2" s="1"/>
  <c r="Q13" i="2"/>
  <c r="AE13" i="2"/>
  <c r="AE23" i="2" s="1"/>
  <c r="K15" i="2"/>
  <c r="K25" i="2" s="1"/>
  <c r="K35" i="2" s="1"/>
  <c r="R37" i="2"/>
  <c r="X41" i="2"/>
  <c r="R81" i="2"/>
  <c r="R91" i="2" s="1"/>
  <c r="AB72" i="2"/>
  <c r="AB82" i="2" s="1"/>
  <c r="N72" i="2"/>
  <c r="N82" i="2" s="1"/>
  <c r="X72" i="2"/>
  <c r="X82" i="2" s="1"/>
  <c r="O128" i="2"/>
  <c r="AE128" i="2"/>
  <c r="AD142" i="2"/>
  <c r="Z135" i="2"/>
  <c r="L135" i="2"/>
  <c r="U135" i="2"/>
  <c r="S135" i="2"/>
  <c r="S145" i="2" s="1"/>
  <c r="AA135" i="2"/>
  <c r="Z157" i="2"/>
  <c r="L157" i="2"/>
  <c r="Y157" i="2"/>
  <c r="K157" i="2"/>
  <c r="T157" i="2"/>
  <c r="R157" i="2"/>
  <c r="R137" i="2" s="1"/>
  <c r="V157" i="2"/>
  <c r="O157" i="2"/>
  <c r="AE157" i="2"/>
  <c r="AE145" i="2" s="1"/>
  <c r="AE155" i="2" s="1"/>
  <c r="M157" i="2"/>
  <c r="AA157" i="2"/>
  <c r="AA142" i="2" s="1"/>
  <c r="I107" i="2"/>
  <c r="T128" i="2"/>
  <c r="AC197" i="2"/>
  <c r="V190" i="2"/>
  <c r="U190" i="2"/>
  <c r="U200" i="2" s="1"/>
  <c r="U415" i="8" s="1"/>
  <c r="U416" i="8" s="1"/>
  <c r="S190" i="2"/>
  <c r="S200" i="2" s="1"/>
  <c r="AD190" i="2"/>
  <c r="AD200" i="2" s="1"/>
  <c r="AD210" i="2" s="1"/>
  <c r="P190" i="2"/>
  <c r="P200" i="2" s="1"/>
  <c r="AB190" i="2"/>
  <c r="AB200" i="2" s="1"/>
  <c r="N190" i="2"/>
  <c r="N200" i="2" s="1"/>
  <c r="N415" i="8" s="1"/>
  <c r="N416" i="8" s="1"/>
  <c r="AE190" i="2"/>
  <c r="AE200" i="2" s="1"/>
  <c r="Z190" i="2"/>
  <c r="Z200" i="2" s="1"/>
  <c r="X190" i="2"/>
  <c r="X200" i="2" s="1"/>
  <c r="W190" i="2"/>
  <c r="W200" i="2" s="1"/>
  <c r="T190" i="2"/>
  <c r="T200" i="2" s="1"/>
  <c r="M190" i="2"/>
  <c r="M200" i="2" s="1"/>
  <c r="AD192" i="2"/>
  <c r="AD202" i="2" s="1"/>
  <c r="AD212" i="2" s="1"/>
  <c r="P192" i="2"/>
  <c r="P202" i="2" s="1"/>
  <c r="AC192" i="2"/>
  <c r="AC202" i="2" s="1"/>
  <c r="O192" i="2"/>
  <c r="O202" i="2" s="1"/>
  <c r="AA192" i="2"/>
  <c r="AA202" i="2" s="1"/>
  <c r="M192" i="2"/>
  <c r="M202" i="2" s="1"/>
  <c r="X192" i="2"/>
  <c r="X202" i="2" s="1"/>
  <c r="V192" i="2"/>
  <c r="U192" i="2"/>
  <c r="U202" i="2" s="1"/>
  <c r="R192" i="2"/>
  <c r="R202" i="2" s="1"/>
  <c r="N192" i="2"/>
  <c r="N202" i="2" s="1"/>
  <c r="L192" i="2"/>
  <c r="L202" i="2" s="1"/>
  <c r="K192" i="2"/>
  <c r="K202" i="2" s="1"/>
  <c r="Z192" i="2"/>
  <c r="Z202" i="2" s="1"/>
  <c r="AB195" i="2"/>
  <c r="AB205" i="2" s="1"/>
  <c r="N195" i="2"/>
  <c r="N205" i="2" s="1"/>
  <c r="AA195" i="2"/>
  <c r="AA205" i="2" s="1"/>
  <c r="AA215" i="2" s="1"/>
  <c r="M195" i="2"/>
  <c r="M205" i="2" s="1"/>
  <c r="Y195" i="2"/>
  <c r="Y205" i="2" s="1"/>
  <c r="K195" i="2"/>
  <c r="K205" i="2" s="1"/>
  <c r="V195" i="2"/>
  <c r="V205" i="2" s="1"/>
  <c r="T195" i="2"/>
  <c r="T205" i="2" s="1"/>
  <c r="AC195" i="2"/>
  <c r="AC205" i="2" s="1"/>
  <c r="X195" i="2"/>
  <c r="X205" i="2" s="1"/>
  <c r="W195" i="2"/>
  <c r="W205" i="2" s="1"/>
  <c r="U195" i="2"/>
  <c r="U205" i="2" s="1"/>
  <c r="P195" i="2"/>
  <c r="P205" i="2" s="1"/>
  <c r="W71" i="2"/>
  <c r="W81" i="2" s="1"/>
  <c r="W91" i="2" s="1"/>
  <c r="O72" i="2"/>
  <c r="O82" i="2" s="1"/>
  <c r="AD72" i="2"/>
  <c r="AD82" i="2" s="1"/>
  <c r="AD92" i="2" s="1"/>
  <c r="S97" i="2"/>
  <c r="S81" i="2" s="1"/>
  <c r="AE97" i="2"/>
  <c r="AE81" i="2" s="1"/>
  <c r="Q97" i="2"/>
  <c r="Q84" i="2" s="1"/>
  <c r="Z97" i="2"/>
  <c r="AC99" i="2"/>
  <c r="O99" i="2"/>
  <c r="AA99" i="2"/>
  <c r="M99" i="2"/>
  <c r="Z99" i="2"/>
  <c r="I105" i="2"/>
  <c r="V128" i="2"/>
  <c r="O135" i="2"/>
  <c r="U157" i="2"/>
  <c r="AC218" i="2"/>
  <c r="O218" i="2"/>
  <c r="T218" i="2"/>
  <c r="T214" i="2" s="1"/>
  <c r="S218" i="2"/>
  <c r="R218" i="2"/>
  <c r="R215" i="2" s="1"/>
  <c r="Q218" i="2"/>
  <c r="AB218" i="2"/>
  <c r="AB209" i="2" s="1"/>
  <c r="M218" i="2"/>
  <c r="Z218" i="2"/>
  <c r="K218" i="2"/>
  <c r="K214" i="2" s="1"/>
  <c r="AA218" i="2"/>
  <c r="W218" i="2"/>
  <c r="U218" i="2"/>
  <c r="P218" i="2"/>
  <c r="N218" i="2"/>
  <c r="AB269" i="2"/>
  <c r="V254" i="2"/>
  <c r="V264" i="2" s="1"/>
  <c r="T254" i="2"/>
  <c r="T264" i="2" s="1"/>
  <c r="T274" i="2" s="1"/>
  <c r="AD254" i="2"/>
  <c r="AD264" i="2" s="1"/>
  <c r="N254" i="2"/>
  <c r="N264" i="2" s="1"/>
  <c r="U254" i="2"/>
  <c r="U264" i="2" s="1"/>
  <c r="S254" i="2"/>
  <c r="S264" i="2" s="1"/>
  <c r="R254" i="2"/>
  <c r="Q254" i="2"/>
  <c r="Q264" i="2" s="1"/>
  <c r="Q274" i="2" s="1"/>
  <c r="AE254" i="2"/>
  <c r="AE264" i="2" s="1"/>
  <c r="M254" i="2"/>
  <c r="AB254" i="2"/>
  <c r="AB264" i="2" s="1"/>
  <c r="K254" i="2"/>
  <c r="P254" i="2"/>
  <c r="P264" i="2" s="1"/>
  <c r="Y254" i="2"/>
  <c r="Y264" i="2" s="1"/>
  <c r="X254" i="2"/>
  <c r="X264" i="2" s="1"/>
  <c r="S265" i="2"/>
  <c r="AE319" i="2"/>
  <c r="P41" i="2"/>
  <c r="I45" i="2"/>
  <c r="I47" i="2"/>
  <c r="I49" i="2"/>
  <c r="I51" i="2"/>
  <c r="Y71" i="2"/>
  <c r="Y81" i="2" s="1"/>
  <c r="P72" i="2"/>
  <c r="P82" i="2" s="1"/>
  <c r="AE72" i="2"/>
  <c r="K97" i="2"/>
  <c r="K82" i="2" s="1"/>
  <c r="AA97" i="2"/>
  <c r="AA85" i="2" s="1"/>
  <c r="K99" i="2"/>
  <c r="AB99" i="2"/>
  <c r="W128" i="2"/>
  <c r="AD139" i="2"/>
  <c r="P135" i="2"/>
  <c r="W157" i="2"/>
  <c r="K190" i="2"/>
  <c r="K200" i="2" s="1"/>
  <c r="Q192" i="2"/>
  <c r="Q202" i="2" s="1"/>
  <c r="Q212" i="2" s="1"/>
  <c r="O204" i="2"/>
  <c r="L195" i="2"/>
  <c r="L205" i="2" s="1"/>
  <c r="L218" i="2"/>
  <c r="L210" i="2" s="1"/>
  <c r="W265" i="2"/>
  <c r="X333" i="2"/>
  <c r="Y265" i="2"/>
  <c r="AA313" i="2"/>
  <c r="AA323" i="2" s="1"/>
  <c r="M313" i="2"/>
  <c r="M323" i="2" s="1"/>
  <c r="U313" i="2"/>
  <c r="U323" i="2" s="1"/>
  <c r="T313" i="2"/>
  <c r="T323" i="2" s="1"/>
  <c r="S313" i="2"/>
  <c r="S323" i="2" s="1"/>
  <c r="R313" i="2"/>
  <c r="R323" i="2" s="1"/>
  <c r="AC313" i="2"/>
  <c r="N313" i="2"/>
  <c r="Y313" i="2"/>
  <c r="AE313" i="2"/>
  <c r="AD313" i="2"/>
  <c r="AD323" i="2" s="1"/>
  <c r="W313" i="2"/>
  <c r="W323" i="2" s="1"/>
  <c r="V313" i="2"/>
  <c r="V323" i="2" s="1"/>
  <c r="O313" i="2"/>
  <c r="O323" i="2" s="1"/>
  <c r="L313" i="2"/>
  <c r="L323" i="2" s="1"/>
  <c r="K313" i="2"/>
  <c r="K323" i="2" s="1"/>
  <c r="M381" i="2"/>
  <c r="Z197" i="2"/>
  <c r="S189" i="2"/>
  <c r="AE201" i="2"/>
  <c r="L260" i="2"/>
  <c r="Q263" i="2"/>
  <c r="L326" i="2"/>
  <c r="L336" i="2" s="1"/>
  <c r="R341" i="2"/>
  <c r="X341" i="2"/>
  <c r="W341" i="2"/>
  <c r="V341" i="2"/>
  <c r="U341" i="2"/>
  <c r="AE341" i="2"/>
  <c r="P341" i="2"/>
  <c r="AB341" i="2"/>
  <c r="M341" i="2"/>
  <c r="N341" i="2"/>
  <c r="L341" i="2"/>
  <c r="AD341" i="2"/>
  <c r="AC341" i="2"/>
  <c r="Q341" i="2"/>
  <c r="AA341" i="2"/>
  <c r="Y341" i="2"/>
  <c r="T341" i="2"/>
  <c r="O341" i="2"/>
  <c r="W129" i="2"/>
  <c r="AE197" i="2"/>
  <c r="W189" i="2"/>
  <c r="W199" i="2" s="1"/>
  <c r="T193" i="2"/>
  <c r="T203" i="2" s="1"/>
  <c r="S193" i="2"/>
  <c r="AE193" i="2"/>
  <c r="AE203" i="2" s="1"/>
  <c r="Q193" i="2"/>
  <c r="Q203" i="2" s="1"/>
  <c r="AB193" i="2"/>
  <c r="AB203" i="2" s="1"/>
  <c r="N193" i="2"/>
  <c r="N203" i="2" s="1"/>
  <c r="Z193" i="2"/>
  <c r="Z203" i="2" s="1"/>
  <c r="L193" i="2"/>
  <c r="L203" i="2" s="1"/>
  <c r="AD193" i="2"/>
  <c r="AD203" i="2" s="1"/>
  <c r="AD213" i="2" s="1"/>
  <c r="AB277" i="2"/>
  <c r="S262" i="2"/>
  <c r="O262" i="2"/>
  <c r="R280" i="2"/>
  <c r="V280" i="2"/>
  <c r="V273" i="2" s="1"/>
  <c r="S280" i="2"/>
  <c r="S271" i="2" s="1"/>
  <c r="AC280" i="2"/>
  <c r="L280" i="2"/>
  <c r="L277" i="2" s="1"/>
  <c r="X280" i="2"/>
  <c r="X273" i="2" s="1"/>
  <c r="W280" i="2"/>
  <c r="W277" i="2" s="1"/>
  <c r="Z280" i="2"/>
  <c r="Y280" i="2"/>
  <c r="U280" i="2"/>
  <c r="T280" i="2"/>
  <c r="T272" i="2" s="1"/>
  <c r="P280" i="2"/>
  <c r="O280" i="2"/>
  <c r="M280" i="2"/>
  <c r="Z313" i="2"/>
  <c r="Z323" i="2" s="1"/>
  <c r="L197" i="2"/>
  <c r="Y189" i="2"/>
  <c r="Y199" i="2" s="1"/>
  <c r="Q201" i="2"/>
  <c r="Q419" i="8" s="1"/>
  <c r="Q420" i="8" s="1"/>
  <c r="Z255" i="2"/>
  <c r="L255" i="2"/>
  <c r="L265" i="2" s="1"/>
  <c r="AA255" i="2"/>
  <c r="K255" i="2"/>
  <c r="V255" i="2"/>
  <c r="V265" i="2" s="1"/>
  <c r="O255" i="2"/>
  <c r="O265" i="2" s="1"/>
  <c r="AE255" i="2"/>
  <c r="AE265" i="2" s="1"/>
  <c r="AE463" i="8" s="1"/>
  <c r="AE464" i="8" s="1"/>
  <c r="N255" i="2"/>
  <c r="N265" i="2" s="1"/>
  <c r="AD255" i="2"/>
  <c r="M255" i="2"/>
  <c r="AC255" i="2"/>
  <c r="X255" i="2"/>
  <c r="X265" i="2" s="1"/>
  <c r="U255" i="2"/>
  <c r="U265" i="2" s="1"/>
  <c r="AB313" i="2"/>
  <c r="AB323" i="2" s="1"/>
  <c r="AB385" i="2"/>
  <c r="K129" i="2"/>
  <c r="K139" i="2" s="1"/>
  <c r="AE158" i="2"/>
  <c r="Q158" i="2"/>
  <c r="Q153" i="2" s="1"/>
  <c r="AD158" i="2"/>
  <c r="AD155" i="2" s="1"/>
  <c r="P158" i="2"/>
  <c r="Y158" i="2"/>
  <c r="K158" i="2"/>
  <c r="W158" i="2"/>
  <c r="AC158" i="2"/>
  <c r="AC149" i="2" s="1"/>
  <c r="AB188" i="2"/>
  <c r="AB198" i="2" s="1"/>
  <c r="N188" i="2"/>
  <c r="N198" i="2" s="1"/>
  <c r="AA188" i="2"/>
  <c r="AA198" i="2" s="1"/>
  <c r="M188" i="2"/>
  <c r="M198" i="2" s="1"/>
  <c r="Y188" i="2"/>
  <c r="Y198" i="2" s="1"/>
  <c r="Y208" i="2" s="1"/>
  <c r="K188" i="2"/>
  <c r="K198" i="2" s="1"/>
  <c r="V188" i="2"/>
  <c r="T188" i="2"/>
  <c r="T198" i="2" s="1"/>
  <c r="AE188" i="2"/>
  <c r="AE198" i="2" s="1"/>
  <c r="S201" i="2"/>
  <c r="S419" i="8" s="1"/>
  <c r="S420" i="8" s="1"/>
  <c r="K193" i="2"/>
  <c r="K203" i="2" s="1"/>
  <c r="V260" i="2"/>
  <c r="N280" i="2"/>
  <c r="U331" i="2"/>
  <c r="R189" i="2"/>
  <c r="R199" i="2" s="1"/>
  <c r="AE189" i="2"/>
  <c r="AE199" i="2" s="1"/>
  <c r="Q189" i="2"/>
  <c r="Q199" i="2" s="1"/>
  <c r="AC189" i="2"/>
  <c r="AC199" i="2" s="1"/>
  <c r="O189" i="2"/>
  <c r="O199" i="2" s="1"/>
  <c r="Z189" i="2"/>
  <c r="Z199" i="2" s="1"/>
  <c r="L189" i="2"/>
  <c r="L199" i="2" s="1"/>
  <c r="X189" i="2"/>
  <c r="X199" i="2" s="1"/>
  <c r="X209" i="2" s="1"/>
  <c r="AD189" i="2"/>
  <c r="AD199" i="2" s="1"/>
  <c r="AD209" i="2" s="1"/>
  <c r="O203" i="2"/>
  <c r="L305" i="2"/>
  <c r="Y379" i="2"/>
  <c r="M189" i="2"/>
  <c r="M199" i="2" s="1"/>
  <c r="AB201" i="2"/>
  <c r="AB211" i="2" s="1"/>
  <c r="T255" i="2"/>
  <c r="T265" i="2" s="1"/>
  <c r="AE280" i="2"/>
  <c r="L425" i="2"/>
  <c r="L365" i="2"/>
  <c r="K369" i="2"/>
  <c r="K379" i="2" s="1"/>
  <c r="L382" i="2"/>
  <c r="Z462" i="2"/>
  <c r="L462" i="2"/>
  <c r="T462" i="2"/>
  <c r="Q462" i="2"/>
  <c r="AD462" i="2"/>
  <c r="O462" i="2"/>
  <c r="AA462" i="2"/>
  <c r="K462" i="2"/>
  <c r="Y462" i="2"/>
  <c r="X462" i="2"/>
  <c r="W462" i="2"/>
  <c r="V462" i="2"/>
  <c r="U462" i="2"/>
  <c r="S462" i="2"/>
  <c r="N462" i="2"/>
  <c r="M462" i="2"/>
  <c r="AE462" i="2"/>
  <c r="AC462" i="2"/>
  <c r="R462" i="2"/>
  <c r="AB462" i="2"/>
  <c r="S160" i="2"/>
  <c r="P187" i="2"/>
  <c r="P197" i="2" s="1"/>
  <c r="AD187" i="2"/>
  <c r="AD197" i="2" s="1"/>
  <c r="R191" i="2"/>
  <c r="R201" i="2" s="1"/>
  <c r="P194" i="2"/>
  <c r="P204" i="2" s="1"/>
  <c r="AD194" i="2"/>
  <c r="AD204" i="2" s="1"/>
  <c r="AD214" i="2" s="1"/>
  <c r="R219" i="2"/>
  <c r="Y220" i="2"/>
  <c r="K220" i="2"/>
  <c r="Z220" i="2"/>
  <c r="R221" i="2"/>
  <c r="T250" i="2"/>
  <c r="T260" i="2" s="1"/>
  <c r="AB250" i="2"/>
  <c r="AB260" i="2" s="1"/>
  <c r="AB270" i="2" s="1"/>
  <c r="M250" i="2"/>
  <c r="P250" i="2"/>
  <c r="P260" i="2" s="1"/>
  <c r="Z250" i="2"/>
  <c r="Q251" i="2"/>
  <c r="Q261" i="2" s="1"/>
  <c r="S253" i="2"/>
  <c r="S263" i="2" s="1"/>
  <c r="S455" i="8" s="1"/>
  <c r="S456" i="8" s="1"/>
  <c r="U310" i="2"/>
  <c r="U320" i="2" s="1"/>
  <c r="P462" i="2"/>
  <c r="U160" i="2"/>
  <c r="R187" i="2"/>
  <c r="R197" i="2" s="1"/>
  <c r="T191" i="2"/>
  <c r="T201" i="2" s="1"/>
  <c r="R194" i="2"/>
  <c r="R204" i="2" s="1"/>
  <c r="U219" i="2"/>
  <c r="M220" i="2"/>
  <c r="AB220" i="2"/>
  <c r="T221" i="2"/>
  <c r="T251" i="2"/>
  <c r="T261" i="2" s="1"/>
  <c r="U253" i="2"/>
  <c r="U263" i="2" s="1"/>
  <c r="U455" i="8" s="1"/>
  <c r="U456" i="8" s="1"/>
  <c r="Z319" i="2"/>
  <c r="P336" i="2"/>
  <c r="AB380" i="2"/>
  <c r="AB390" i="2" s="1"/>
  <c r="K447" i="2"/>
  <c r="L381" i="2"/>
  <c r="V399" i="2"/>
  <c r="V380" i="2" s="1"/>
  <c r="T399" i="2"/>
  <c r="T383" i="2" s="1"/>
  <c r="S399" i="2"/>
  <c r="S381" i="2" s="1"/>
  <c r="R399" i="2"/>
  <c r="AE399" i="2"/>
  <c r="AE384" i="2" s="1"/>
  <c r="Q399" i="2"/>
  <c r="AB399" i="2"/>
  <c r="N399" i="2"/>
  <c r="N387" i="2" s="1"/>
  <c r="AC399" i="2"/>
  <c r="AC386" i="2" s="1"/>
  <c r="AA399" i="2"/>
  <c r="AA384" i="2" s="1"/>
  <c r="AA394" i="2" s="1"/>
  <c r="Z399" i="2"/>
  <c r="Z383" i="2" s="1"/>
  <c r="Y399" i="2"/>
  <c r="P399" i="2"/>
  <c r="P384" i="2" s="1"/>
  <c r="L399" i="2"/>
  <c r="AD399" i="2"/>
  <c r="AD384" i="2" s="1"/>
  <c r="K399" i="2"/>
  <c r="X160" i="2"/>
  <c r="U187" i="2"/>
  <c r="U197" i="2" s="1"/>
  <c r="W191" i="2"/>
  <c r="W201" i="2" s="1"/>
  <c r="U194" i="2"/>
  <c r="X219" i="2"/>
  <c r="L243" i="2"/>
  <c r="P262" i="2"/>
  <c r="P451" i="8" s="1"/>
  <c r="P452" i="8" s="1"/>
  <c r="S321" i="2"/>
  <c r="O324" i="2"/>
  <c r="R384" i="2"/>
  <c r="M399" i="2"/>
  <c r="Y219" i="2"/>
  <c r="X251" i="2"/>
  <c r="X261" i="2" s="1"/>
  <c r="R251" i="2"/>
  <c r="W251" i="2"/>
  <c r="W261" i="2" s="1"/>
  <c r="Z251" i="2"/>
  <c r="R253" i="2"/>
  <c r="AD253" i="2"/>
  <c r="AD263" i="2" s="1"/>
  <c r="O253" i="2"/>
  <c r="O263" i="2" s="1"/>
  <c r="W253" i="2"/>
  <c r="W263" i="2" s="1"/>
  <c r="Z253" i="2"/>
  <c r="AE267" i="2"/>
  <c r="AC310" i="2"/>
  <c r="AC320" i="2" s="1"/>
  <c r="O310" i="2"/>
  <c r="O320" i="2" s="1"/>
  <c r="S310" i="2"/>
  <c r="S320" i="2" s="1"/>
  <c r="Z310" i="2"/>
  <c r="Z320" i="2" s="1"/>
  <c r="K310" i="2"/>
  <c r="K320" i="2" s="1"/>
  <c r="W310" i="2"/>
  <c r="W320" i="2" s="1"/>
  <c r="AE310" i="2"/>
  <c r="L310" i="2"/>
  <c r="L320" i="2" s="1"/>
  <c r="AD310" i="2"/>
  <c r="AD320" i="2" s="1"/>
  <c r="X310" i="2"/>
  <c r="V310" i="2"/>
  <c r="V320" i="2" s="1"/>
  <c r="V330" i="2" s="1"/>
  <c r="AD321" i="2"/>
  <c r="R324" i="2"/>
  <c r="O399" i="2"/>
  <c r="L160" i="2"/>
  <c r="Z160" i="2"/>
  <c r="W187" i="2"/>
  <c r="W197" i="2" s="1"/>
  <c r="K191" i="2"/>
  <c r="K201" i="2" s="1"/>
  <c r="Y191" i="2"/>
  <c r="Y201" i="2" s="1"/>
  <c r="Y211" i="2" s="1"/>
  <c r="W194" i="2"/>
  <c r="W204" i="2" s="1"/>
  <c r="K219" i="2"/>
  <c r="Z219" i="2"/>
  <c r="AD221" i="2"/>
  <c r="P221" i="2"/>
  <c r="Y221" i="2"/>
  <c r="AA251" i="2"/>
  <c r="AA253" i="2"/>
  <c r="P267" i="2"/>
  <c r="U332" i="2"/>
  <c r="W342" i="2"/>
  <c r="AD342" i="2"/>
  <c r="O342" i="2"/>
  <c r="AC342" i="2"/>
  <c r="N342" i="2"/>
  <c r="AB342" i="2"/>
  <c r="M342" i="2"/>
  <c r="AA342" i="2"/>
  <c r="L342" i="2"/>
  <c r="V342" i="2"/>
  <c r="S342" i="2"/>
  <c r="Q342" i="2"/>
  <c r="P342" i="2"/>
  <c r="T342" i="2"/>
  <c r="T387" i="2"/>
  <c r="U399" i="2"/>
  <c r="U384" i="2" s="1"/>
  <c r="M160" i="2"/>
  <c r="L191" i="2"/>
  <c r="L201" i="2" s="1"/>
  <c r="L219" i="2"/>
  <c r="AA219" i="2"/>
  <c r="S220" i="2"/>
  <c r="K221" i="2"/>
  <c r="Z221" i="2"/>
  <c r="AD249" i="2"/>
  <c r="P249" i="2"/>
  <c r="P259" i="2" s="1"/>
  <c r="V249" i="2"/>
  <c r="V259" i="2" s="1"/>
  <c r="X249" i="2"/>
  <c r="X259" i="2" s="1"/>
  <c r="Z249" i="2"/>
  <c r="S250" i="2"/>
  <c r="S260" i="2" s="1"/>
  <c r="K251" i="2"/>
  <c r="AB251" i="2"/>
  <c r="AB261" i="2" s="1"/>
  <c r="K253" i="2"/>
  <c r="AB253" i="2"/>
  <c r="AB263" i="2" s="1"/>
  <c r="M310" i="2"/>
  <c r="M320" i="2" s="1"/>
  <c r="L321" i="2"/>
  <c r="V326" i="2"/>
  <c r="U326" i="2"/>
  <c r="U336" i="2" s="1"/>
  <c r="K342" i="2"/>
  <c r="W399" i="2"/>
  <c r="V369" i="2"/>
  <c r="V379" i="2" s="1"/>
  <c r="U369" i="2"/>
  <c r="T369" i="2"/>
  <c r="AE369" i="2"/>
  <c r="AE379" i="2" s="1"/>
  <c r="Q369" i="2"/>
  <c r="O369" i="2"/>
  <c r="N369" i="2"/>
  <c r="M369" i="2"/>
  <c r="M379" i="2" s="1"/>
  <c r="AD369" i="2"/>
  <c r="L369" i="2"/>
  <c r="Z369" i="2"/>
  <c r="W369" i="2"/>
  <c r="AB369" i="2"/>
  <c r="AA369" i="2"/>
  <c r="AA379" i="2" s="1"/>
  <c r="AA389" i="2" s="1"/>
  <c r="S369" i="2"/>
  <c r="R369" i="2"/>
  <c r="R379" i="2" s="1"/>
  <c r="R389" i="2" s="1"/>
  <c r="P369" i="2"/>
  <c r="AE382" i="2"/>
  <c r="AE392" i="2" s="1"/>
  <c r="X399" i="2"/>
  <c r="AD371" i="2"/>
  <c r="P371" i="2"/>
  <c r="AC371" i="2"/>
  <c r="AC381" i="2" s="1"/>
  <c r="O371" i="2"/>
  <c r="AB371" i="2"/>
  <c r="AB381" i="2" s="1"/>
  <c r="N371" i="2"/>
  <c r="Y371" i="2"/>
  <c r="Y381" i="2" s="1"/>
  <c r="K371" i="2"/>
  <c r="X371" i="2"/>
  <c r="W371" i="2"/>
  <c r="V371" i="2"/>
  <c r="U371" i="2"/>
  <c r="Q371" i="2"/>
  <c r="V387" i="2"/>
  <c r="Z452" i="2"/>
  <c r="Y309" i="2"/>
  <c r="K309" i="2"/>
  <c r="K319" i="2" s="1"/>
  <c r="AB309" i="2"/>
  <c r="AB319" i="2" s="1"/>
  <c r="M309" i="2"/>
  <c r="M319" i="2" s="1"/>
  <c r="T309" i="2"/>
  <c r="T319" i="2" s="1"/>
  <c r="Q309" i="2"/>
  <c r="AC309" i="2"/>
  <c r="AC319" i="2" s="1"/>
  <c r="P321" i="2"/>
  <c r="R326" i="2"/>
  <c r="Z340" i="2"/>
  <c r="Z331" i="2" s="1"/>
  <c r="T371" i="2"/>
  <c r="AB372" i="2"/>
  <c r="AB382" i="2" s="1"/>
  <c r="W402" i="2"/>
  <c r="U402" i="2"/>
  <c r="T402" i="2"/>
  <c r="S402" i="2"/>
  <c r="R402" i="2"/>
  <c r="AC402" i="2"/>
  <c r="O402" i="2"/>
  <c r="AD402" i="2"/>
  <c r="AB402" i="2"/>
  <c r="AA402" i="2"/>
  <c r="Z402" i="2"/>
  <c r="Q402" i="2"/>
  <c r="M402" i="2"/>
  <c r="AA279" i="2"/>
  <c r="M279" i="2"/>
  <c r="AD279" i="2"/>
  <c r="O279" i="2"/>
  <c r="O267" i="2" s="1"/>
  <c r="Z279" i="2"/>
  <c r="K279" i="2"/>
  <c r="K267" i="2" s="1"/>
  <c r="AC279" i="2"/>
  <c r="AC261" i="2" s="1"/>
  <c r="AB282" i="2"/>
  <c r="N282" i="2"/>
  <c r="T282" i="2"/>
  <c r="Q282" i="2"/>
  <c r="AA282" i="2"/>
  <c r="AD309" i="2"/>
  <c r="AD319" i="2" s="1"/>
  <c r="R321" i="2"/>
  <c r="U324" i="2"/>
  <c r="S326" i="2"/>
  <c r="AB343" i="2"/>
  <c r="N343" i="2"/>
  <c r="V343" i="2"/>
  <c r="U343" i="2"/>
  <c r="T343" i="2"/>
  <c r="S343" i="2"/>
  <c r="AD343" i="2"/>
  <c r="O343" i="2"/>
  <c r="Z343" i="2"/>
  <c r="K343" i="2"/>
  <c r="Z371" i="2"/>
  <c r="K402" i="2"/>
  <c r="AA371" i="2"/>
  <c r="AA381" i="2" s="1"/>
  <c r="Q384" i="2"/>
  <c r="S375" i="2"/>
  <c r="R375" i="2"/>
  <c r="R385" i="2" s="1"/>
  <c r="R395" i="2" s="1"/>
  <c r="AE375" i="2"/>
  <c r="AE385" i="2" s="1"/>
  <c r="Q375" i="2"/>
  <c r="Q385" i="2" s="1"/>
  <c r="Q395" i="2" s="1"/>
  <c r="AD375" i="2"/>
  <c r="P375" i="2"/>
  <c r="AA375" i="2"/>
  <c r="M375" i="2"/>
  <c r="M385" i="2" s="1"/>
  <c r="O375" i="2"/>
  <c r="N375" i="2"/>
  <c r="L375" i="2"/>
  <c r="L385" i="2" s="1"/>
  <c r="K375" i="2"/>
  <c r="Z375" i="2"/>
  <c r="W375" i="2"/>
  <c r="AC377" i="2"/>
  <c r="O377" i="2"/>
  <c r="AA377" i="2"/>
  <c r="AA387" i="2" s="1"/>
  <c r="M377" i="2"/>
  <c r="M387" i="2" s="1"/>
  <c r="Z377" i="2"/>
  <c r="L377" i="2"/>
  <c r="L387" i="2" s="1"/>
  <c r="Y377" i="2"/>
  <c r="K377" i="2"/>
  <c r="X377" i="2"/>
  <c r="X387" i="2" s="1"/>
  <c r="U377" i="2"/>
  <c r="AE377" i="2"/>
  <c r="AE387" i="2" s="1"/>
  <c r="AD377" i="2"/>
  <c r="AB377" i="2"/>
  <c r="AB387" i="2" s="1"/>
  <c r="S377" i="2"/>
  <c r="P377" i="2"/>
  <c r="L402" i="2"/>
  <c r="W440" i="2"/>
  <c r="Q439" i="2"/>
  <c r="Q447" i="2"/>
  <c r="AE322" i="2"/>
  <c r="W326" i="2"/>
  <c r="AA340" i="2"/>
  <c r="M340" i="2"/>
  <c r="M331" i="2" s="1"/>
  <c r="Q340" i="2"/>
  <c r="AE340" i="2"/>
  <c r="P340" i="2"/>
  <c r="AD340" i="2"/>
  <c r="AD336" i="2" s="1"/>
  <c r="O340" i="2"/>
  <c r="AC340" i="2"/>
  <c r="N340" i="2"/>
  <c r="X340" i="2"/>
  <c r="X329" i="2" s="1"/>
  <c r="U340" i="2"/>
  <c r="AA380" i="2"/>
  <c r="T372" i="2"/>
  <c r="S372" i="2"/>
  <c r="R372" i="2"/>
  <c r="AC372" i="2"/>
  <c r="O372" i="2"/>
  <c r="V372" i="2"/>
  <c r="U372" i="2"/>
  <c r="Q372" i="2"/>
  <c r="P372" i="2"/>
  <c r="AD372" i="2"/>
  <c r="K372" i="2"/>
  <c r="Z372" i="2"/>
  <c r="Q387" i="2"/>
  <c r="Q397" i="2" s="1"/>
  <c r="Z453" i="2"/>
  <c r="AB446" i="2"/>
  <c r="AE262" i="2"/>
  <c r="R279" i="2"/>
  <c r="P282" i="2"/>
  <c r="S283" i="2"/>
  <c r="AA283" i="2"/>
  <c r="L283" i="2"/>
  <c r="X283" i="2"/>
  <c r="AB283" i="2"/>
  <c r="R309" i="2"/>
  <c r="R319" i="2" s="1"/>
  <c r="Z326" i="2"/>
  <c r="K340" i="2"/>
  <c r="K332" i="2" s="1"/>
  <c r="R343" i="2"/>
  <c r="V375" i="2"/>
  <c r="R386" i="2"/>
  <c r="R396" i="2" s="1"/>
  <c r="R377" i="2"/>
  <c r="R387" i="2" s="1"/>
  <c r="X402" i="2"/>
  <c r="Y281" i="2"/>
  <c r="N311" i="2"/>
  <c r="AC311" i="2"/>
  <c r="P314" i="2"/>
  <c r="P324" i="2" s="1"/>
  <c r="N316" i="2"/>
  <c r="AC316" i="2"/>
  <c r="N339" i="2"/>
  <c r="N319" i="2" s="1"/>
  <c r="AC339" i="2"/>
  <c r="AC322" i="2" s="1"/>
  <c r="P370" i="2"/>
  <c r="X439" i="2"/>
  <c r="S442" i="2"/>
  <c r="AB252" i="2"/>
  <c r="AB262" i="2" s="1"/>
  <c r="N252" i="2"/>
  <c r="N262" i="2" s="1"/>
  <c r="X252" i="2"/>
  <c r="X262" i="2" s="1"/>
  <c r="X272" i="2" s="1"/>
  <c r="X257" i="2"/>
  <c r="X267" i="2" s="1"/>
  <c r="M281" i="2"/>
  <c r="AB281" i="2"/>
  <c r="Q311" i="2"/>
  <c r="Q339" i="2"/>
  <c r="Q323" i="2" s="1"/>
  <c r="S370" i="2"/>
  <c r="AE314" i="2"/>
  <c r="AE324" i="2" s="1"/>
  <c r="Q314" i="2"/>
  <c r="Q324" i="2" s="1"/>
  <c r="X314" i="2"/>
  <c r="AB386" i="2"/>
  <c r="S431" i="2"/>
  <c r="S441" i="2" s="1"/>
  <c r="S451" i="2" s="1"/>
  <c r="AD431" i="2"/>
  <c r="P431" i="2"/>
  <c r="T431" i="2"/>
  <c r="T441" i="2" s="1"/>
  <c r="R431" i="2"/>
  <c r="R441" i="2" s="1"/>
  <c r="Q431" i="2"/>
  <c r="Q441" i="2" s="1"/>
  <c r="O431" i="2"/>
  <c r="AE431" i="2"/>
  <c r="N431" i="2"/>
  <c r="AC431" i="2"/>
  <c r="AC441" i="2" s="1"/>
  <c r="M431" i="2"/>
  <c r="Z431" i="2"/>
  <c r="Z441" i="2" s="1"/>
  <c r="Y431" i="2"/>
  <c r="O444" i="2"/>
  <c r="R446" i="2"/>
  <c r="Y314" i="2"/>
  <c r="T384" i="2"/>
  <c r="S446" i="2"/>
  <c r="X311" i="2"/>
  <c r="X321" i="2" s="1"/>
  <c r="K314" i="2"/>
  <c r="K324" i="2" s="1"/>
  <c r="Z314" i="2"/>
  <c r="Z324" i="2" s="1"/>
  <c r="Z370" i="2"/>
  <c r="L370" i="2"/>
  <c r="Y370" i="2"/>
  <c r="Y380" i="2" s="1"/>
  <c r="K370" i="2"/>
  <c r="X370" i="2"/>
  <c r="U370" i="2"/>
  <c r="AC370" i="2"/>
  <c r="AD386" i="2"/>
  <c r="R439" i="2"/>
  <c r="K431" i="2"/>
  <c r="U446" i="2"/>
  <c r="L485" i="2"/>
  <c r="Y311" i="2"/>
  <c r="L314" i="2"/>
  <c r="L324" i="2" s="1"/>
  <c r="L334" i="2" s="1"/>
  <c r="AA314" i="2"/>
  <c r="Y316" i="2"/>
  <c r="K316" i="2"/>
  <c r="K326" i="2" s="1"/>
  <c r="X316" i="2"/>
  <c r="X326" i="2" s="1"/>
  <c r="Y339" i="2"/>
  <c r="Y322" i="2" s="1"/>
  <c r="AD370" i="2"/>
  <c r="V384" i="2"/>
  <c r="S439" i="2"/>
  <c r="L431" i="2"/>
  <c r="T447" i="2"/>
  <c r="U435" i="2"/>
  <c r="U445" i="2" s="1"/>
  <c r="R435" i="2"/>
  <c r="R445" i="2" s="1"/>
  <c r="Y435" i="2"/>
  <c r="AE463" i="2"/>
  <c r="Q463" i="2"/>
  <c r="AA463" i="2"/>
  <c r="L463" i="2"/>
  <c r="X463" i="2"/>
  <c r="V463" i="2"/>
  <c r="S463" i="2"/>
  <c r="AD463" i="2"/>
  <c r="S373" i="2"/>
  <c r="W374" i="2"/>
  <c r="W384" i="2" s="1"/>
  <c r="Q376" i="2"/>
  <c r="AE376" i="2"/>
  <c r="S400" i="2"/>
  <c r="X401" i="2"/>
  <c r="T403" i="2"/>
  <c r="Y429" i="2"/>
  <c r="K429" i="2"/>
  <c r="V429" i="2"/>
  <c r="V439" i="2" s="1"/>
  <c r="Z429" i="2"/>
  <c r="Z439" i="2" s="1"/>
  <c r="Z449" i="2" s="1"/>
  <c r="R430" i="2"/>
  <c r="R440" i="2" s="1"/>
  <c r="R450" i="2" s="1"/>
  <c r="Q442" i="2"/>
  <c r="AA433" i="2"/>
  <c r="M433" i="2"/>
  <c r="X433" i="2"/>
  <c r="Y433" i="2"/>
  <c r="R434" i="2"/>
  <c r="R444" i="2" s="1"/>
  <c r="Z435" i="2"/>
  <c r="Z445" i="2" s="1"/>
  <c r="Q436" i="2"/>
  <c r="Q446" i="2" s="1"/>
  <c r="AC437" i="2"/>
  <c r="AC447" i="2" s="1"/>
  <c r="O437" i="2"/>
  <c r="O447" i="2" s="1"/>
  <c r="Z437" i="2"/>
  <c r="Z447" i="2" s="1"/>
  <c r="L437" i="2"/>
  <c r="Y437" i="2"/>
  <c r="X459" i="2"/>
  <c r="X446" i="2" s="1"/>
  <c r="T460" i="2"/>
  <c r="K463" i="2"/>
  <c r="V373" i="2"/>
  <c r="L374" i="2"/>
  <c r="L384" i="2" s="1"/>
  <c r="T376" i="2"/>
  <c r="V400" i="2"/>
  <c r="M401" i="2"/>
  <c r="W403" i="2"/>
  <c r="M429" i="2"/>
  <c r="M439" i="2" s="1"/>
  <c r="AC429" i="2"/>
  <c r="AC439" i="2" s="1"/>
  <c r="U430" i="2"/>
  <c r="U440" i="2" s="1"/>
  <c r="U450" i="2" s="1"/>
  <c r="L433" i="2"/>
  <c r="AC433" i="2"/>
  <c r="U434" i="2"/>
  <c r="U444" i="2" s="1"/>
  <c r="M435" i="2"/>
  <c r="M445" i="2" s="1"/>
  <c r="AC435" i="2"/>
  <c r="T436" i="2"/>
  <c r="T446" i="2" s="1"/>
  <c r="M437" i="2"/>
  <c r="M447" i="2" s="1"/>
  <c r="AD437" i="2"/>
  <c r="X460" i="2"/>
  <c r="O463" i="2"/>
  <c r="W373" i="2"/>
  <c r="W383" i="2" s="1"/>
  <c r="U376" i="2"/>
  <c r="U386" i="2" s="1"/>
  <c r="X403" i="2"/>
  <c r="AD439" i="2"/>
  <c r="N435" i="2"/>
  <c r="AD435" i="2"/>
  <c r="AD445" i="2" s="1"/>
  <c r="Y459" i="2"/>
  <c r="Y442" i="2" s="1"/>
  <c r="K459" i="2"/>
  <c r="K444" i="2" s="1"/>
  <c r="AC459" i="2"/>
  <c r="AC446" i="2" s="1"/>
  <c r="AC575" i="8" s="1"/>
  <c r="AC576" i="8" s="1"/>
  <c r="N459" i="2"/>
  <c r="W459" i="2"/>
  <c r="T459" i="2"/>
  <c r="T440" i="2" s="1"/>
  <c r="AD459" i="2"/>
  <c r="P463" i="2"/>
  <c r="V376" i="2"/>
  <c r="K403" i="2"/>
  <c r="O435" i="2"/>
  <c r="AE435" i="2"/>
  <c r="L459" i="2"/>
  <c r="L439" i="2" s="1"/>
  <c r="AE459" i="2"/>
  <c r="AE446" i="2" s="1"/>
  <c r="R463" i="2"/>
  <c r="P435" i="2"/>
  <c r="M459" i="2"/>
  <c r="M446" i="2" s="1"/>
  <c r="T463" i="2"/>
  <c r="AC430" i="2"/>
  <c r="O430" i="2"/>
  <c r="Z430" i="2"/>
  <c r="Z440" i="2" s="1"/>
  <c r="L430" i="2"/>
  <c r="Y430" i="2"/>
  <c r="AE434" i="2"/>
  <c r="Q434" i="2"/>
  <c r="Q444" i="2" s="1"/>
  <c r="Q454" i="2" s="1"/>
  <c r="AB434" i="2"/>
  <c r="N434" i="2"/>
  <c r="Y434" i="2"/>
  <c r="Q435" i="2"/>
  <c r="Q445" i="2" s="1"/>
  <c r="Y436" i="2"/>
  <c r="K436" i="2"/>
  <c r="V436" i="2"/>
  <c r="V446" i="2" s="1"/>
  <c r="Z436" i="2"/>
  <c r="Z446" i="2" s="1"/>
  <c r="O459" i="2"/>
  <c r="AD460" i="2"/>
  <c r="P460" i="2"/>
  <c r="U460" i="2"/>
  <c r="AE460" i="2"/>
  <c r="O460" i="2"/>
  <c r="AA460" i="2"/>
  <c r="L460" i="2"/>
  <c r="AC460" i="2"/>
  <c r="U463" i="2"/>
  <c r="AA430" i="2"/>
  <c r="R443" i="2"/>
  <c r="R453" i="2" s="1"/>
  <c r="Z434" i="2"/>
  <c r="Z444" i="2" s="1"/>
  <c r="S435" i="2"/>
  <c r="S445" i="2" s="1"/>
  <c r="AA436" i="2"/>
  <c r="P459" i="2"/>
  <c r="P440" i="2" s="1"/>
  <c r="K460" i="2"/>
  <c r="W463" i="2"/>
  <c r="T432" i="2"/>
  <c r="T442" i="2" s="1"/>
  <c r="S461" i="2"/>
  <c r="W461" i="2"/>
  <c r="Y461" i="2"/>
  <c r="M461" i="2"/>
  <c r="AB461" i="2"/>
  <c r="AB89" i="2" l="1"/>
  <c r="AB339" i="8"/>
  <c r="AB340" i="8" s="1"/>
  <c r="X93" i="2"/>
  <c r="X355" i="8"/>
  <c r="X356" i="8" s="1"/>
  <c r="V451" i="2"/>
  <c r="V555" i="8"/>
  <c r="V556" i="8" s="1"/>
  <c r="W334" i="2"/>
  <c r="W495" i="8"/>
  <c r="W496" i="8" s="1"/>
  <c r="V28" i="2"/>
  <c r="V299" i="8"/>
  <c r="V300" i="8" s="1"/>
  <c r="N31" i="2"/>
  <c r="N311" i="8"/>
  <c r="N312" i="8" s="1"/>
  <c r="V207" i="2"/>
  <c r="V403" i="8"/>
  <c r="V404" i="8" s="1"/>
  <c r="AE444" i="2"/>
  <c r="Y439" i="2"/>
  <c r="Y449" i="2" s="1"/>
  <c r="K336" i="2"/>
  <c r="K503" i="8"/>
  <c r="P386" i="2"/>
  <c r="P539" i="8" s="1"/>
  <c r="P540" i="8" s="1"/>
  <c r="W386" i="2"/>
  <c r="W396" i="2" s="1"/>
  <c r="W382" i="2"/>
  <c r="AA263" i="2"/>
  <c r="T385" i="2"/>
  <c r="Y386" i="2"/>
  <c r="Y396" i="2" s="1"/>
  <c r="Y382" i="2"/>
  <c r="Y385" i="2"/>
  <c r="AA265" i="2"/>
  <c r="Z139" i="2"/>
  <c r="Z149" i="2" s="1"/>
  <c r="Z142" i="2"/>
  <c r="AE143" i="2"/>
  <c r="AE153" i="2" s="1"/>
  <c r="Z137" i="2"/>
  <c r="Z147" i="2" s="1"/>
  <c r="R141" i="2"/>
  <c r="R151" i="2" s="1"/>
  <c r="M34" i="2"/>
  <c r="M323" i="8"/>
  <c r="M324" i="8" s="1"/>
  <c r="Y20" i="2"/>
  <c r="R563" i="8"/>
  <c r="R564" i="8" s="1"/>
  <c r="T90" i="2"/>
  <c r="T343" i="8"/>
  <c r="T344" i="8" s="1"/>
  <c r="Y93" i="2"/>
  <c r="Y355" i="8"/>
  <c r="Y356" i="8" s="1"/>
  <c r="K80" i="2"/>
  <c r="V386" i="2"/>
  <c r="AE447" i="2"/>
  <c r="AE579" i="8" s="1"/>
  <c r="AE580" i="8" s="1"/>
  <c r="K382" i="2"/>
  <c r="AE440" i="2"/>
  <c r="K29" i="2"/>
  <c r="K303" i="8"/>
  <c r="R144" i="2"/>
  <c r="R154" i="2" s="1"/>
  <c r="Z143" i="2"/>
  <c r="AC29" i="2"/>
  <c r="X363" i="8"/>
  <c r="X364" i="8" s="1"/>
  <c r="U209" i="2"/>
  <c r="U411" i="8"/>
  <c r="U412" i="8" s="1"/>
  <c r="AB443" i="2"/>
  <c r="AB440" i="2"/>
  <c r="AC18" i="2"/>
  <c r="AC20" i="2"/>
  <c r="AC307" i="8" s="1"/>
  <c r="AC308" i="8" s="1"/>
  <c r="N152" i="2"/>
  <c r="N387" i="8"/>
  <c r="N388" i="8" s="1"/>
  <c r="S147" i="2"/>
  <c r="S367" i="8"/>
  <c r="S368" i="8" s="1"/>
  <c r="X152" i="2"/>
  <c r="X387" i="8"/>
  <c r="X388" i="8" s="1"/>
  <c r="S380" i="2"/>
  <c r="S390" i="2" s="1"/>
  <c r="L95" i="2"/>
  <c r="M122" i="2" s="1"/>
  <c r="L363" i="8"/>
  <c r="L364" i="8" s="1"/>
  <c r="AA446" i="2"/>
  <c r="AE441" i="2"/>
  <c r="AE555" i="8" s="1"/>
  <c r="AE556" i="8" s="1"/>
  <c r="P382" i="2"/>
  <c r="P387" i="2"/>
  <c r="Z260" i="2"/>
  <c r="Z443" i="8" s="1"/>
  <c r="Z444" i="8" s="1"/>
  <c r="AC323" i="2"/>
  <c r="Z208" i="2"/>
  <c r="L145" i="2"/>
  <c r="V277" i="2"/>
  <c r="N147" i="2"/>
  <c r="N367" i="8"/>
  <c r="N368" i="8" s="1"/>
  <c r="Q154" i="2"/>
  <c r="Q395" i="8"/>
  <c r="Q396" i="8" s="1"/>
  <c r="Q78" i="2"/>
  <c r="T303" i="8"/>
  <c r="T304" i="8" s="1"/>
  <c r="V487" i="8"/>
  <c r="V488" i="8" s="1"/>
  <c r="V332" i="2"/>
  <c r="AA447" i="2"/>
  <c r="AA579" i="8" s="1"/>
  <c r="AA580" i="8" s="1"/>
  <c r="AA439" i="2"/>
  <c r="AA547" i="8" s="1"/>
  <c r="AA548" i="8" s="1"/>
  <c r="AA441" i="2"/>
  <c r="AA555" i="8" s="1"/>
  <c r="AA556" i="8" s="1"/>
  <c r="R337" i="2"/>
  <c r="R507" i="8"/>
  <c r="R508" i="8" s="1"/>
  <c r="X29" i="2"/>
  <c r="X303" i="8"/>
  <c r="X304" i="8" s="1"/>
  <c r="AD443" i="2"/>
  <c r="AD453" i="2" s="1"/>
  <c r="AD446" i="2"/>
  <c r="AD444" i="2"/>
  <c r="T386" i="2"/>
  <c r="S387" i="2"/>
  <c r="W385" i="2"/>
  <c r="R263" i="2"/>
  <c r="R455" i="8" s="1"/>
  <c r="R456" i="8" s="1"/>
  <c r="T271" i="2"/>
  <c r="S199" i="2"/>
  <c r="K210" i="2"/>
  <c r="Z145" i="2"/>
  <c r="Y277" i="2"/>
  <c r="X327" i="2"/>
  <c r="Q22" i="2"/>
  <c r="Q19" i="2"/>
  <c r="Q303" i="8" s="1"/>
  <c r="Q304" i="8" s="1"/>
  <c r="K307" i="8"/>
  <c r="Y214" i="2"/>
  <c r="Y431" i="8"/>
  <c r="Y432" i="8" s="1"/>
  <c r="L142" i="2"/>
  <c r="L152" i="2" s="1"/>
  <c r="L139" i="2"/>
  <c r="Z151" i="2"/>
  <c r="Z383" i="8"/>
  <c r="Z384" i="8" s="1"/>
  <c r="AC262" i="2"/>
  <c r="AC259" i="2"/>
  <c r="AC269" i="2" s="1"/>
  <c r="AC260" i="2"/>
  <c r="M263" i="2"/>
  <c r="M262" i="2"/>
  <c r="M451" i="8" s="1"/>
  <c r="M452" i="8" s="1"/>
  <c r="M267" i="2"/>
  <c r="M260" i="2"/>
  <c r="M443" i="8" s="1"/>
  <c r="M444" i="8" s="1"/>
  <c r="M335" i="2"/>
  <c r="AB27" i="2"/>
  <c r="AB295" i="8"/>
  <c r="AB296" i="8" s="1"/>
  <c r="V151" i="2"/>
  <c r="V383" i="8"/>
  <c r="V384" i="8" s="1"/>
  <c r="V34" i="2"/>
  <c r="V323" i="8"/>
  <c r="V324" i="8" s="1"/>
  <c r="V87" i="2"/>
  <c r="V331" i="8"/>
  <c r="V332" i="8" s="1"/>
  <c r="K84" i="2"/>
  <c r="P380" i="2"/>
  <c r="W442" i="2"/>
  <c r="W447" i="2"/>
  <c r="W439" i="2"/>
  <c r="W547" i="8" s="1"/>
  <c r="W548" i="8" s="1"/>
  <c r="X443" i="2"/>
  <c r="V383" i="2"/>
  <c r="M443" i="2"/>
  <c r="M453" i="2" s="1"/>
  <c r="AE442" i="2"/>
  <c r="K385" i="2"/>
  <c r="AA259" i="2"/>
  <c r="AA267" i="2"/>
  <c r="P34" i="2"/>
  <c r="P323" i="8"/>
  <c r="P324" i="8" s="1"/>
  <c r="W333" i="2"/>
  <c r="W491" i="8"/>
  <c r="W492" i="8" s="1"/>
  <c r="U449" i="2"/>
  <c r="U457" i="2"/>
  <c r="U451" i="2"/>
  <c r="U453" i="2"/>
  <c r="X445" i="2"/>
  <c r="S383" i="2"/>
  <c r="W445" i="2"/>
  <c r="AD387" i="2"/>
  <c r="T380" i="2"/>
  <c r="T515" i="8" s="1"/>
  <c r="T516" i="8" s="1"/>
  <c r="P381" i="2"/>
  <c r="P391" i="2" s="1"/>
  <c r="AB210" i="2"/>
  <c r="R140" i="2"/>
  <c r="R150" i="2" s="1"/>
  <c r="AA440" i="2"/>
  <c r="AC456" i="2"/>
  <c r="O382" i="2"/>
  <c r="M444" i="2"/>
  <c r="M567" i="8" s="1"/>
  <c r="M568" i="8" s="1"/>
  <c r="Y383" i="2"/>
  <c r="R381" i="2"/>
  <c r="R380" i="2"/>
  <c r="R383" i="2"/>
  <c r="R393" i="2" s="1"/>
  <c r="Z332" i="2"/>
  <c r="M212" i="2"/>
  <c r="M423" i="8"/>
  <c r="M424" i="8" s="1"/>
  <c r="R213" i="2"/>
  <c r="T269" i="2"/>
  <c r="Y22" i="2"/>
  <c r="Y32" i="2" s="1"/>
  <c r="Y92" i="2"/>
  <c r="Y351" i="8"/>
  <c r="Y352" i="8" s="1"/>
  <c r="AB439" i="2"/>
  <c r="AC80" i="2"/>
  <c r="AC82" i="2"/>
  <c r="P442" i="2"/>
  <c r="U91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X92" i="2"/>
  <c r="X351" i="8"/>
  <c r="X352" i="8" s="1"/>
  <c r="AB431" i="8"/>
  <c r="AB432" i="8" s="1"/>
  <c r="AB214" i="2"/>
  <c r="AA444" i="2"/>
  <c r="AA567" i="8" s="1"/>
  <c r="AA568" i="8" s="1"/>
  <c r="Q21" i="2"/>
  <c r="Q25" i="2"/>
  <c r="Q18" i="2"/>
  <c r="K383" i="2"/>
  <c r="K393" i="2" s="1"/>
  <c r="K384" i="2"/>
  <c r="V274" i="2"/>
  <c r="V459" i="8"/>
  <c r="V460" i="8" s="1"/>
  <c r="K85" i="2"/>
  <c r="S555" i="8"/>
  <c r="S556" i="8" s="1"/>
  <c r="V450" i="2"/>
  <c r="V551" i="8"/>
  <c r="V552" i="8" s="1"/>
  <c r="AB423" i="8"/>
  <c r="AB424" i="8" s="1"/>
  <c r="AB212" i="2"/>
  <c r="U88" i="2"/>
  <c r="U335" i="8"/>
  <c r="U336" i="8" s="1"/>
  <c r="AA325" i="2"/>
  <c r="AA499" i="8" s="1"/>
  <c r="AA500" i="8" s="1"/>
  <c r="AA322" i="2"/>
  <c r="AA487" i="8" s="1"/>
  <c r="AA488" i="8" s="1"/>
  <c r="AA320" i="2"/>
  <c r="AA479" i="8" s="1"/>
  <c r="AA480" i="8" s="1"/>
  <c r="AA321" i="2"/>
  <c r="AA483" i="8" s="1"/>
  <c r="AA484" i="8" s="1"/>
  <c r="S202" i="2"/>
  <c r="S423" i="8" s="1"/>
  <c r="S424" i="8" s="1"/>
  <c r="S204" i="2"/>
  <c r="S431" i="8" s="1"/>
  <c r="S432" i="8" s="1"/>
  <c r="S28" i="2"/>
  <c r="S299" i="8"/>
  <c r="S300" i="8" s="1"/>
  <c r="T273" i="2"/>
  <c r="T455" i="8"/>
  <c r="T456" i="8" s="1"/>
  <c r="R260" i="2"/>
  <c r="R270" i="2" s="1"/>
  <c r="R267" i="2"/>
  <c r="T379" i="2"/>
  <c r="R139" i="2"/>
  <c r="Y18" i="2"/>
  <c r="Y21" i="2"/>
  <c r="Y17" i="2"/>
  <c r="Y25" i="2"/>
  <c r="Y35" i="2" s="1"/>
  <c r="P28" i="2"/>
  <c r="P299" i="8"/>
  <c r="P300" i="8" s="1"/>
  <c r="P379" i="2"/>
  <c r="V381" i="2"/>
  <c r="X269" i="2"/>
  <c r="X439" i="8"/>
  <c r="X440" i="8" s="1"/>
  <c r="M380" i="2"/>
  <c r="M390" i="2" s="1"/>
  <c r="M382" i="2"/>
  <c r="M383" i="2"/>
  <c r="M261" i="2"/>
  <c r="M447" i="8" s="1"/>
  <c r="M448" i="8" s="1"/>
  <c r="N207" i="2"/>
  <c r="AC211" i="2"/>
  <c r="V92" i="2"/>
  <c r="V351" i="8"/>
  <c r="V352" i="8" s="1"/>
  <c r="N95" i="2"/>
  <c r="N363" i="8"/>
  <c r="N364" i="8" s="1"/>
  <c r="S337" i="2"/>
  <c r="S507" i="8"/>
  <c r="S508" i="8" s="1"/>
  <c r="AC35" i="2"/>
  <c r="Y19" i="2"/>
  <c r="Y29" i="2" s="1"/>
  <c r="Q149" i="2"/>
  <c r="W88" i="2"/>
  <c r="W335" i="8"/>
  <c r="W336" i="8" s="1"/>
  <c r="AA326" i="2"/>
  <c r="AA503" i="8" s="1"/>
  <c r="AA504" i="8" s="1"/>
  <c r="W329" i="2"/>
  <c r="W475" i="8"/>
  <c r="W476" i="8" s="1"/>
  <c r="AC21" i="2"/>
  <c r="T28" i="2"/>
  <c r="T299" i="8"/>
  <c r="T300" i="8" s="1"/>
  <c r="AB444" i="2"/>
  <c r="AE383" i="2"/>
  <c r="Q321" i="2"/>
  <c r="Q483" i="8" s="1"/>
  <c r="Q484" i="8" s="1"/>
  <c r="P385" i="2"/>
  <c r="P395" i="2" s="1"/>
  <c r="O379" i="2"/>
  <c r="O389" i="2" s="1"/>
  <c r="AE320" i="2"/>
  <c r="AE479" i="8" s="1"/>
  <c r="AE480" i="8" s="1"/>
  <c r="M332" i="2"/>
  <c r="AC265" i="2"/>
  <c r="V200" i="2"/>
  <c r="V210" i="2" s="1"/>
  <c r="L272" i="2"/>
  <c r="Z85" i="2"/>
  <c r="Z363" i="8" s="1"/>
  <c r="Z364" i="8" s="1"/>
  <c r="L137" i="2"/>
  <c r="AE141" i="2"/>
  <c r="O25" i="2"/>
  <c r="O35" i="2" s="1"/>
  <c r="M363" i="8"/>
  <c r="M364" i="8" s="1"/>
  <c r="X371" i="8"/>
  <c r="X372" i="8" s="1"/>
  <c r="Z24" i="2"/>
  <c r="L93" i="2"/>
  <c r="M120" i="2" s="1"/>
  <c r="V204" i="2"/>
  <c r="P322" i="2"/>
  <c r="P487" i="8" s="1"/>
  <c r="P488" i="8" s="1"/>
  <c r="P265" i="2"/>
  <c r="P463" i="8" s="1"/>
  <c r="P464" i="8" s="1"/>
  <c r="L92" i="2"/>
  <c r="O321" i="2"/>
  <c r="O483" i="8" s="1"/>
  <c r="O484" i="8" s="1"/>
  <c r="Q205" i="2"/>
  <c r="Q435" i="8" s="1"/>
  <c r="Q436" i="8" s="1"/>
  <c r="V442" i="2"/>
  <c r="L91" i="2"/>
  <c r="M118" i="2" s="1"/>
  <c r="N18" i="2"/>
  <c r="Y259" i="2"/>
  <c r="P198" i="2"/>
  <c r="P407" i="8" s="1"/>
  <c r="P408" i="8" s="1"/>
  <c r="X203" i="2"/>
  <c r="O198" i="2"/>
  <c r="O407" i="8" s="1"/>
  <c r="O408" i="8" s="1"/>
  <c r="M21" i="2"/>
  <c r="S25" i="2"/>
  <c r="X153" i="2"/>
  <c r="V321" i="2"/>
  <c r="M201" i="2"/>
  <c r="M419" i="8" s="1"/>
  <c r="M420" i="8" s="1"/>
  <c r="AE445" i="2"/>
  <c r="K441" i="2"/>
  <c r="AC326" i="2"/>
  <c r="AC336" i="2" s="1"/>
  <c r="U329" i="2"/>
  <c r="K211" i="2"/>
  <c r="R261" i="2"/>
  <c r="R271" i="2" s="1"/>
  <c r="U204" i="2"/>
  <c r="AE323" i="2"/>
  <c r="M264" i="2"/>
  <c r="V138" i="2"/>
  <c r="P333" i="2"/>
  <c r="S82" i="2"/>
  <c r="Q152" i="2"/>
  <c r="AE327" i="2"/>
  <c r="AE507" i="8" s="1"/>
  <c r="AE508" i="8" s="1"/>
  <c r="L269" i="2"/>
  <c r="AA209" i="2"/>
  <c r="Q266" i="2"/>
  <c r="Q276" i="2" s="1"/>
  <c r="Q24" i="2"/>
  <c r="AC83" i="2"/>
  <c r="Y144" i="2"/>
  <c r="Y154" i="2" s="1"/>
  <c r="AA140" i="2"/>
  <c r="W19" i="2"/>
  <c r="W29" i="2" s="1"/>
  <c r="M299" i="8"/>
  <c r="M300" i="8" s="1"/>
  <c r="L307" i="8"/>
  <c r="L308" i="8" s="1"/>
  <c r="X343" i="8"/>
  <c r="X344" i="8" s="1"/>
  <c r="M347" i="8"/>
  <c r="M348" i="8" s="1"/>
  <c r="T351" i="8"/>
  <c r="T352" i="8" s="1"/>
  <c r="S551" i="8"/>
  <c r="S552" i="8" s="1"/>
  <c r="Q563" i="8"/>
  <c r="Q564" i="8" s="1"/>
  <c r="N93" i="2"/>
  <c r="AC81" i="2"/>
  <c r="AA319" i="2"/>
  <c r="Q267" i="2"/>
  <c r="O326" i="2"/>
  <c r="O503" i="8" s="1"/>
  <c r="O504" i="8" s="1"/>
  <c r="W259" i="2"/>
  <c r="W439" i="8" s="1"/>
  <c r="W440" i="8" s="1"/>
  <c r="X149" i="2"/>
  <c r="S21" i="2"/>
  <c r="S259" i="2"/>
  <c r="S439" i="8" s="1"/>
  <c r="S440" i="8" s="1"/>
  <c r="V21" i="2"/>
  <c r="X271" i="2"/>
  <c r="S203" i="2"/>
  <c r="M359" i="2"/>
  <c r="M199" i="8" s="1"/>
  <c r="M200" i="8" s="1"/>
  <c r="AE325" i="2"/>
  <c r="Q327" i="2"/>
  <c r="L144" i="2"/>
  <c r="L395" i="8" s="1"/>
  <c r="L396" i="8" s="1"/>
  <c r="AE140" i="2"/>
  <c r="AE150" i="2" s="1"/>
  <c r="Q20" i="2"/>
  <c r="W347" i="8"/>
  <c r="W348" i="8" s="1"/>
  <c r="X322" i="2"/>
  <c r="AB447" i="2"/>
  <c r="V447" i="2"/>
  <c r="M92" i="2"/>
  <c r="V319" i="2"/>
  <c r="M204" i="2"/>
  <c r="M431" i="8" s="1"/>
  <c r="M432" i="8" s="1"/>
  <c r="AC201" i="2"/>
  <c r="AC419" i="8" s="1"/>
  <c r="AC420" i="8" s="1"/>
  <c r="N22" i="2"/>
  <c r="AD324" i="2"/>
  <c r="AD495" i="8" s="1"/>
  <c r="AD496" i="8" s="1"/>
  <c r="AD322" i="2"/>
  <c r="V201" i="2"/>
  <c r="V23" i="2"/>
  <c r="W332" i="2"/>
  <c r="AB441" i="2"/>
  <c r="V445" i="2"/>
  <c r="AA442" i="2"/>
  <c r="AA559" i="8" s="1"/>
  <c r="AA560" i="8" s="1"/>
  <c r="Y23" i="2"/>
  <c r="N138" i="2"/>
  <c r="Q17" i="2"/>
  <c r="Y339" i="8"/>
  <c r="Y340" i="8" s="1"/>
  <c r="AB507" i="8"/>
  <c r="AB508" i="8" s="1"/>
  <c r="S19" i="2"/>
  <c r="Q200" i="2"/>
  <c r="Q415" i="8" s="1"/>
  <c r="Q416" i="8" s="1"/>
  <c r="L32" i="2"/>
  <c r="W487" i="8"/>
  <c r="W488" i="8" s="1"/>
  <c r="AC17" i="2"/>
  <c r="AC295" i="8" s="1"/>
  <c r="AC296" i="8" s="1"/>
  <c r="V443" i="2"/>
  <c r="AB442" i="2"/>
  <c r="W17" i="2"/>
  <c r="W295" i="8" s="1"/>
  <c r="W296" i="8" s="1"/>
  <c r="W264" i="2"/>
  <c r="W459" i="8" s="1"/>
  <c r="W460" i="8" s="1"/>
  <c r="Z201" i="2"/>
  <c r="Z419" i="8" s="1"/>
  <c r="Z420" i="8" s="1"/>
  <c r="W22" i="2"/>
  <c r="W315" i="8" s="1"/>
  <c r="W316" i="8" s="1"/>
  <c r="X447" i="8"/>
  <c r="X448" i="8" s="1"/>
  <c r="P263" i="2"/>
  <c r="P455" i="8" s="1"/>
  <c r="P456" i="8" s="1"/>
  <c r="AA445" i="2"/>
  <c r="AA571" i="8" s="1"/>
  <c r="AA572" i="8" s="1"/>
  <c r="Q259" i="2"/>
  <c r="AC85" i="2"/>
  <c r="AC440" i="2"/>
  <c r="AE386" i="2"/>
  <c r="AE396" i="2" s="1"/>
  <c r="U455" i="2"/>
  <c r="AA324" i="2"/>
  <c r="K380" i="2"/>
  <c r="K390" i="2" s="1"/>
  <c r="Y441" i="2"/>
  <c r="X324" i="2"/>
  <c r="X334" i="2" s="1"/>
  <c r="K443" i="2"/>
  <c r="K563" i="8" s="1"/>
  <c r="P329" i="2"/>
  <c r="K381" i="2"/>
  <c r="K391" i="2" s="1"/>
  <c r="AB379" i="2"/>
  <c r="AA383" i="2"/>
  <c r="L386" i="2"/>
  <c r="AA382" i="2"/>
  <c r="V198" i="2"/>
  <c r="V208" i="2" s="1"/>
  <c r="P145" i="2"/>
  <c r="P155" i="2" s="1"/>
  <c r="V202" i="2"/>
  <c r="V423" i="8" s="1"/>
  <c r="V424" i="8" s="1"/>
  <c r="Q23" i="2"/>
  <c r="W25" i="2"/>
  <c r="W35" i="2" s="1"/>
  <c r="L273" i="2"/>
  <c r="W337" i="2"/>
  <c r="AE137" i="2"/>
  <c r="W23" i="2"/>
  <c r="W319" i="8" s="1"/>
  <c r="W320" i="8" s="1"/>
  <c r="L141" i="2"/>
  <c r="L151" i="2" s="1"/>
  <c r="O19" i="2"/>
  <c r="P327" i="8"/>
  <c r="P328" i="8" s="1"/>
  <c r="L299" i="8"/>
  <c r="L300" i="8" s="1"/>
  <c r="L295" i="8"/>
  <c r="L296" i="8" s="1"/>
  <c r="V307" i="8"/>
  <c r="V308" i="8" s="1"/>
  <c r="K24" i="2"/>
  <c r="Y263" i="2"/>
  <c r="Y455" i="8" s="1"/>
  <c r="Y456" i="8" s="1"/>
  <c r="V262" i="2"/>
  <c r="Q197" i="2"/>
  <c r="Q403" i="8" s="1"/>
  <c r="Q404" i="8" s="1"/>
  <c r="AA200" i="2"/>
  <c r="M326" i="2"/>
  <c r="M503" i="8" s="1"/>
  <c r="M504" i="8" s="1"/>
  <c r="AB24" i="2"/>
  <c r="P23" i="2"/>
  <c r="R442" i="2"/>
  <c r="AC22" i="2"/>
  <c r="AD419" i="8"/>
  <c r="AD420" i="8" s="1"/>
  <c r="L90" i="2"/>
  <c r="M117" i="2" s="1"/>
  <c r="S17" i="2"/>
  <c r="V199" i="2"/>
  <c r="Z25" i="2"/>
  <c r="V324" i="2"/>
  <c r="Z205" i="2"/>
  <c r="Z435" i="8" s="1"/>
  <c r="Z436" i="8" s="1"/>
  <c r="L319" i="2"/>
  <c r="P261" i="2"/>
  <c r="P447" i="8" s="1"/>
  <c r="P448" i="8" s="1"/>
  <c r="Q198" i="2"/>
  <c r="Q407" i="8" s="1"/>
  <c r="Q408" i="8" s="1"/>
  <c r="S23" i="2"/>
  <c r="Z22" i="2"/>
  <c r="AC200" i="2"/>
  <c r="N91" i="2"/>
  <c r="N204" i="2"/>
  <c r="Z23" i="2"/>
  <c r="N90" i="2"/>
  <c r="S198" i="2"/>
  <c r="S407" i="8" s="1"/>
  <c r="S408" i="8" s="1"/>
  <c r="AA443" i="2"/>
  <c r="R382" i="2"/>
  <c r="R523" i="8" s="1"/>
  <c r="R524" i="8" s="1"/>
  <c r="O385" i="2"/>
  <c r="T381" i="2"/>
  <c r="T519" i="8" s="1"/>
  <c r="T520" i="8" s="1"/>
  <c r="AD379" i="2"/>
  <c r="X320" i="2"/>
  <c r="R207" i="2"/>
  <c r="Y275" i="2"/>
  <c r="O208" i="2"/>
  <c r="M215" i="2"/>
  <c r="O139" i="2"/>
  <c r="AE138" i="2"/>
  <c r="W18" i="2"/>
  <c r="Y138" i="2"/>
  <c r="Y371" i="8" s="1"/>
  <c r="Y372" i="8" s="1"/>
  <c r="P143" i="2"/>
  <c r="P391" i="8" s="1"/>
  <c r="P392" i="8" s="1"/>
  <c r="N141" i="2"/>
  <c r="N151" i="2" s="1"/>
  <c r="Q77" i="2"/>
  <c r="AE144" i="2"/>
  <c r="AE154" i="2" s="1"/>
  <c r="AE311" i="8"/>
  <c r="AE312" i="8" s="1"/>
  <c r="Y343" i="8"/>
  <c r="Y344" i="8" s="1"/>
  <c r="AB327" i="8"/>
  <c r="AB328" i="8" s="1"/>
  <c r="K295" i="8"/>
  <c r="T347" i="8"/>
  <c r="T348" i="8" s="1"/>
  <c r="S567" i="8"/>
  <c r="S568" i="8" s="1"/>
  <c r="AB503" i="8"/>
  <c r="AB504" i="8" s="1"/>
  <c r="W93" i="2"/>
  <c r="Y260" i="2"/>
  <c r="P138" i="2"/>
  <c r="S197" i="2"/>
  <c r="S403" i="8" s="1"/>
  <c r="S404" i="8" s="1"/>
  <c r="S205" i="2"/>
  <c r="S435" i="8" s="1"/>
  <c r="S436" i="8" s="1"/>
  <c r="T267" i="2"/>
  <c r="U442" i="2"/>
  <c r="O91" i="2"/>
  <c r="O319" i="2"/>
  <c r="O475" i="8" s="1"/>
  <c r="O476" i="8" s="1"/>
  <c r="X198" i="2"/>
  <c r="V261" i="2"/>
  <c r="V447" i="8" s="1"/>
  <c r="V448" i="8" s="1"/>
  <c r="U92" i="2"/>
  <c r="U198" i="2"/>
  <c r="U407" i="8" s="1"/>
  <c r="U408" i="8" s="1"/>
  <c r="N199" i="2"/>
  <c r="N411" i="8" s="1"/>
  <c r="N412" i="8" s="1"/>
  <c r="AB21" i="2"/>
  <c r="Y261" i="2"/>
  <c r="Y447" i="8" s="1"/>
  <c r="Y448" i="8" s="1"/>
  <c r="N145" i="2"/>
  <c r="U201" i="2"/>
  <c r="U419" i="8" s="1"/>
  <c r="U420" i="8" s="1"/>
  <c r="K454" i="2"/>
  <c r="K567" i="8"/>
  <c r="N329" i="2"/>
  <c r="N475" i="8"/>
  <c r="N476" i="8" s="1"/>
  <c r="U394" i="2"/>
  <c r="U531" i="8"/>
  <c r="U532" i="8" s="1"/>
  <c r="N397" i="2"/>
  <c r="N543" i="8"/>
  <c r="N544" i="8" s="1"/>
  <c r="L449" i="2"/>
  <c r="L547" i="8"/>
  <c r="L548" i="8" s="1"/>
  <c r="K277" i="2"/>
  <c r="K471" i="8"/>
  <c r="L397" i="2"/>
  <c r="L543" i="8"/>
  <c r="L544" i="8" s="1"/>
  <c r="N273" i="2"/>
  <c r="N270" i="2"/>
  <c r="N269" i="2"/>
  <c r="N271" i="2"/>
  <c r="L154" i="2"/>
  <c r="Z450" i="2"/>
  <c r="Z551" i="8"/>
  <c r="Z552" i="8" s="1"/>
  <c r="AC396" i="2"/>
  <c r="AC539" i="8"/>
  <c r="AC540" i="8" s="1"/>
  <c r="W274" i="2"/>
  <c r="W270" i="2"/>
  <c r="W269" i="2"/>
  <c r="X151" i="2"/>
  <c r="X383" i="8"/>
  <c r="X384" i="8" s="1"/>
  <c r="O439" i="2"/>
  <c r="O443" i="2"/>
  <c r="O446" i="2"/>
  <c r="O442" i="2"/>
  <c r="N326" i="2"/>
  <c r="W450" i="2"/>
  <c r="W551" i="8"/>
  <c r="W552" i="8" s="1"/>
  <c r="M397" i="2"/>
  <c r="M543" i="8"/>
  <c r="M544" i="8" s="1"/>
  <c r="R336" i="2"/>
  <c r="R503" i="8"/>
  <c r="R504" i="8" s="1"/>
  <c r="V397" i="2"/>
  <c r="V543" i="8"/>
  <c r="V544" i="8" s="1"/>
  <c r="Z393" i="2"/>
  <c r="Z527" i="8"/>
  <c r="Z528" i="8" s="1"/>
  <c r="Q210" i="2"/>
  <c r="Q214" i="2"/>
  <c r="Q215" i="2"/>
  <c r="Q208" i="2"/>
  <c r="P88" i="2"/>
  <c r="P335" i="8"/>
  <c r="P336" i="8" s="1"/>
  <c r="AD148" i="2"/>
  <c r="AD371" i="8"/>
  <c r="AD372" i="8" s="1"/>
  <c r="Z211" i="2"/>
  <c r="AA93" i="2"/>
  <c r="AA355" i="8"/>
  <c r="AA356" i="8" s="1"/>
  <c r="N154" i="2"/>
  <c r="N395" i="8"/>
  <c r="N396" i="8" s="1"/>
  <c r="Z456" i="2"/>
  <c r="Z575" i="8"/>
  <c r="Z576" i="8" s="1"/>
  <c r="AC450" i="2"/>
  <c r="AC551" i="8"/>
  <c r="AC552" i="8" s="1"/>
  <c r="M424" i="2"/>
  <c r="R455" i="2"/>
  <c r="R571" i="8"/>
  <c r="R572" i="8" s="1"/>
  <c r="Y324" i="2"/>
  <c r="P334" i="2"/>
  <c r="P495" i="8"/>
  <c r="P496" i="8" s="1"/>
  <c r="K392" i="2"/>
  <c r="K523" i="8"/>
  <c r="Y395" i="2"/>
  <c r="Y535" i="8"/>
  <c r="Y536" i="8" s="1"/>
  <c r="W214" i="2"/>
  <c r="W431" i="8"/>
  <c r="W432" i="8" s="1"/>
  <c r="AE271" i="2"/>
  <c r="AE273" i="2"/>
  <c r="AE270" i="2"/>
  <c r="K213" i="2"/>
  <c r="K427" i="8"/>
  <c r="AD208" i="2"/>
  <c r="AD407" i="8"/>
  <c r="AD408" i="8" s="1"/>
  <c r="K333" i="2"/>
  <c r="K491" i="8"/>
  <c r="M333" i="2"/>
  <c r="M491" i="8"/>
  <c r="M492" i="8" s="1"/>
  <c r="AE329" i="2"/>
  <c r="AE475" i="8"/>
  <c r="AE476" i="8" s="1"/>
  <c r="AD274" i="2"/>
  <c r="AD459" i="8"/>
  <c r="AD460" i="8" s="1"/>
  <c r="AE33" i="2"/>
  <c r="AE319" i="8"/>
  <c r="AE320" i="8" s="1"/>
  <c r="AE269" i="2"/>
  <c r="Y149" i="2"/>
  <c r="Y375" i="8"/>
  <c r="Y376" i="8" s="1"/>
  <c r="P29" i="2"/>
  <c r="P303" i="8"/>
  <c r="P304" i="8" s="1"/>
  <c r="Z89" i="2"/>
  <c r="Z339" i="8"/>
  <c r="Z340" i="8" s="1"/>
  <c r="M454" i="2"/>
  <c r="W273" i="2"/>
  <c r="W455" i="8"/>
  <c r="W456" i="8" s="1"/>
  <c r="W215" i="2"/>
  <c r="W435" i="8"/>
  <c r="W436" i="8" s="1"/>
  <c r="AD95" i="2"/>
  <c r="AD363" i="8"/>
  <c r="AD364" i="8" s="1"/>
  <c r="Z30" i="2"/>
  <c r="Z307" i="8"/>
  <c r="Z308" i="8" s="1"/>
  <c r="AA390" i="2"/>
  <c r="AA515" i="8"/>
  <c r="AA516" i="8" s="1"/>
  <c r="Q457" i="2"/>
  <c r="Q579" i="8"/>
  <c r="Q580" i="8" s="1"/>
  <c r="P450" i="2"/>
  <c r="P551" i="8"/>
  <c r="P552" i="8" s="1"/>
  <c r="Z270" i="2"/>
  <c r="N34" i="2"/>
  <c r="N323" i="8"/>
  <c r="N324" i="8" s="1"/>
  <c r="Y332" i="2"/>
  <c r="Y487" i="8"/>
  <c r="Y488" i="8" s="1"/>
  <c r="AC391" i="2"/>
  <c r="AC519" i="8"/>
  <c r="AC520" i="8" s="1"/>
  <c r="W142" i="2"/>
  <c r="W145" i="2"/>
  <c r="W143" i="2"/>
  <c r="R22" i="2"/>
  <c r="R21" i="2"/>
  <c r="R25" i="2"/>
  <c r="R18" i="2"/>
  <c r="R23" i="2"/>
  <c r="P152" i="2"/>
  <c r="P387" i="8"/>
  <c r="P388" i="8" s="1"/>
  <c r="Q94" i="2"/>
  <c r="Q359" i="8"/>
  <c r="Q360" i="8" s="1"/>
  <c r="AA456" i="2"/>
  <c r="AA575" i="8"/>
  <c r="AA576" i="8" s="1"/>
  <c r="O440" i="2"/>
  <c r="R329" i="2"/>
  <c r="R475" i="8"/>
  <c r="R476" i="8" s="1"/>
  <c r="N277" i="2"/>
  <c r="N471" i="8"/>
  <c r="N472" i="8" s="1"/>
  <c r="K457" i="2"/>
  <c r="K579" i="8"/>
  <c r="Y320" i="2"/>
  <c r="T215" i="2"/>
  <c r="T435" i="8"/>
  <c r="T436" i="8" s="1"/>
  <c r="AE210" i="2"/>
  <c r="AE415" i="8"/>
  <c r="AE416" i="8" s="1"/>
  <c r="S155" i="2"/>
  <c r="S399" i="8"/>
  <c r="S400" i="8" s="1"/>
  <c r="AB152" i="2"/>
  <c r="AB387" i="8"/>
  <c r="AB388" i="8" s="1"/>
  <c r="U271" i="2"/>
  <c r="U447" i="8"/>
  <c r="U448" i="8" s="1"/>
  <c r="AA207" i="2"/>
  <c r="AA403" i="8"/>
  <c r="AA404" i="8" s="1"/>
  <c r="T276" i="2"/>
  <c r="T467" i="8"/>
  <c r="T468" i="8" s="1"/>
  <c r="S34" i="2"/>
  <c r="S323" i="8"/>
  <c r="S324" i="8" s="1"/>
  <c r="N379" i="8"/>
  <c r="N380" i="8" s="1"/>
  <c r="S455" i="2"/>
  <c r="S571" i="8"/>
  <c r="S572" i="8" s="1"/>
  <c r="T450" i="2"/>
  <c r="T551" i="8"/>
  <c r="T552" i="8" s="1"/>
  <c r="R454" i="2"/>
  <c r="R567" i="8"/>
  <c r="R568" i="8" s="1"/>
  <c r="Y326" i="2"/>
  <c r="U380" i="2"/>
  <c r="P331" i="2"/>
  <c r="P483" i="8"/>
  <c r="P484" i="8" s="1"/>
  <c r="M392" i="2"/>
  <c r="M523" i="8"/>
  <c r="M524" i="8" s="1"/>
  <c r="X386" i="2"/>
  <c r="X379" i="2"/>
  <c r="X385" i="2"/>
  <c r="X383" i="2"/>
  <c r="X384" i="2"/>
  <c r="AB271" i="2"/>
  <c r="AB447" i="8"/>
  <c r="AB448" i="8" s="1"/>
  <c r="AC384" i="2"/>
  <c r="AC383" i="2"/>
  <c r="AC379" i="2"/>
  <c r="AC385" i="2"/>
  <c r="Y392" i="2"/>
  <c r="Y523" i="8"/>
  <c r="Y524" i="8" s="1"/>
  <c r="T211" i="2"/>
  <c r="T419" i="8"/>
  <c r="T420" i="8" s="1"/>
  <c r="T275" i="2"/>
  <c r="T463" i="8"/>
  <c r="T464" i="8" s="1"/>
  <c r="N275" i="2"/>
  <c r="N463" i="8"/>
  <c r="N464" i="8" s="1"/>
  <c r="Q213" i="2"/>
  <c r="Q427" i="8"/>
  <c r="Q428" i="8" s="1"/>
  <c r="Q273" i="2"/>
  <c r="Q455" i="8"/>
  <c r="Q456" i="8" s="1"/>
  <c r="W138" i="2"/>
  <c r="AA141" i="2"/>
  <c r="AA139" i="2"/>
  <c r="AA144" i="2"/>
  <c r="AA138" i="2"/>
  <c r="L155" i="2"/>
  <c r="L399" i="8"/>
  <c r="L400" i="8" s="1"/>
  <c r="Q33" i="2"/>
  <c r="Q319" i="8"/>
  <c r="Q320" i="8" s="1"/>
  <c r="W137" i="2"/>
  <c r="AE35" i="2"/>
  <c r="AE327" i="8"/>
  <c r="AE328" i="8" s="1"/>
  <c r="Z27" i="2"/>
  <c r="Z295" i="8"/>
  <c r="Z296" i="8" s="1"/>
  <c r="M141" i="2"/>
  <c r="AC152" i="2"/>
  <c r="AC387" i="8"/>
  <c r="AC388" i="8" s="1"/>
  <c r="X35" i="2"/>
  <c r="X327" i="8"/>
  <c r="X328" i="8" s="1"/>
  <c r="R90" i="2"/>
  <c r="R343" i="8"/>
  <c r="R344" i="8" s="1"/>
  <c r="AC94" i="2"/>
  <c r="AC359" i="8"/>
  <c r="AC360" i="8" s="1"/>
  <c r="X451" i="8"/>
  <c r="X452" i="8" s="1"/>
  <c r="S456" i="2"/>
  <c r="S575" i="8"/>
  <c r="S576" i="8" s="1"/>
  <c r="O457" i="2"/>
  <c r="O579" i="8"/>
  <c r="O580" i="8" s="1"/>
  <c r="P452" i="2"/>
  <c r="P559" i="8"/>
  <c r="P560" i="8" s="1"/>
  <c r="P394" i="2"/>
  <c r="P531" i="8"/>
  <c r="P532" i="8" s="1"/>
  <c r="AE391" i="8"/>
  <c r="AE392" i="8" s="1"/>
  <c r="V396" i="2"/>
  <c r="V539" i="8"/>
  <c r="V540" i="8" s="1"/>
  <c r="M389" i="2"/>
  <c r="M511" i="8"/>
  <c r="M512" i="8" s="1"/>
  <c r="N321" i="2"/>
  <c r="AC329" i="2"/>
  <c r="AC475" i="8"/>
  <c r="AC476" i="8" s="1"/>
  <c r="AE208" i="2"/>
  <c r="AE407" i="8"/>
  <c r="AE408" i="8" s="1"/>
  <c r="U335" i="2"/>
  <c r="U499" i="8"/>
  <c r="U500" i="8" s="1"/>
  <c r="AC88" i="2"/>
  <c r="AC335" i="8"/>
  <c r="AC336" i="8" s="1"/>
  <c r="T89" i="2"/>
  <c r="T339" i="8"/>
  <c r="T340" i="8" s="1"/>
  <c r="S276" i="2"/>
  <c r="S467" i="8"/>
  <c r="S468" i="8" s="1"/>
  <c r="N87" i="2"/>
  <c r="N331" i="8"/>
  <c r="N332" i="8" s="1"/>
  <c r="O29" i="2"/>
  <c r="O303" i="8"/>
  <c r="O304" i="8" s="1"/>
  <c r="Z215" i="2"/>
  <c r="P443" i="2"/>
  <c r="P447" i="2"/>
  <c r="P446" i="2"/>
  <c r="P444" i="2"/>
  <c r="Z336" i="2"/>
  <c r="Z503" i="8"/>
  <c r="Z504" i="8" s="1"/>
  <c r="X330" i="2"/>
  <c r="X479" i="8"/>
  <c r="X480" i="8" s="1"/>
  <c r="AB272" i="2"/>
  <c r="AB451" i="8"/>
  <c r="AB452" i="8" s="1"/>
  <c r="L394" i="2"/>
  <c r="L531" i="8"/>
  <c r="L532" i="8" s="1"/>
  <c r="Y451" i="2"/>
  <c r="Y555" i="8"/>
  <c r="Y556" i="8" s="1"/>
  <c r="Q394" i="2"/>
  <c r="Q531" i="8"/>
  <c r="Q532" i="8" s="1"/>
  <c r="AA152" i="2"/>
  <c r="AA387" i="8"/>
  <c r="AA388" i="8" s="1"/>
  <c r="Q543" i="8"/>
  <c r="Q544" i="8" s="1"/>
  <c r="AB93" i="2"/>
  <c r="AB355" i="8"/>
  <c r="AB356" i="8" s="1"/>
  <c r="K451" i="2"/>
  <c r="K555" i="8"/>
  <c r="M362" i="2"/>
  <c r="S393" i="2"/>
  <c r="S527" i="8"/>
  <c r="S528" i="8" s="1"/>
  <c r="K453" i="2"/>
  <c r="Z330" i="2"/>
  <c r="Z479" i="8"/>
  <c r="Z480" i="8" s="1"/>
  <c r="O149" i="2"/>
  <c r="O375" i="8"/>
  <c r="O376" i="8" s="1"/>
  <c r="Q337" i="2"/>
  <c r="Q507" i="8"/>
  <c r="Q508" i="8" s="1"/>
  <c r="W276" i="2"/>
  <c r="W467" i="8"/>
  <c r="W468" i="8" s="1"/>
  <c r="N94" i="2"/>
  <c r="N359" i="8"/>
  <c r="N360" i="8" s="1"/>
  <c r="P439" i="2"/>
  <c r="K395" i="2"/>
  <c r="K535" i="8"/>
  <c r="S379" i="2"/>
  <c r="S330" i="2"/>
  <c r="S479" i="8"/>
  <c r="S480" i="8" s="1"/>
  <c r="W457" i="2"/>
  <c r="W579" i="8"/>
  <c r="W580" i="8" s="1"/>
  <c r="AC209" i="2"/>
  <c r="AC411" i="8"/>
  <c r="AC412" i="8" s="1"/>
  <c r="K208" i="2"/>
  <c r="K407" i="8"/>
  <c r="K149" i="2"/>
  <c r="K375" i="8"/>
  <c r="P211" i="2"/>
  <c r="P209" i="2"/>
  <c r="P213" i="2"/>
  <c r="P208" i="2"/>
  <c r="U142" i="2"/>
  <c r="U139" i="2"/>
  <c r="U143" i="2"/>
  <c r="O92" i="2"/>
  <c r="O351" i="8"/>
  <c r="O352" i="8" s="1"/>
  <c r="N215" i="2"/>
  <c r="N435" i="8"/>
  <c r="N436" i="8" s="1"/>
  <c r="AB335" i="2"/>
  <c r="AB499" i="8"/>
  <c r="AB500" i="8" s="1"/>
  <c r="K32" i="2"/>
  <c r="K315" i="8"/>
  <c r="R95" i="2"/>
  <c r="R363" i="8"/>
  <c r="R364" i="8" s="1"/>
  <c r="Q87" i="2"/>
  <c r="Q331" i="8"/>
  <c r="Q332" i="8" s="1"/>
  <c r="AD87" i="2"/>
  <c r="AD331" i="8"/>
  <c r="AD332" i="8" s="1"/>
  <c r="Q88" i="2"/>
  <c r="Q335" i="8"/>
  <c r="Q336" i="8" s="1"/>
  <c r="AC327" i="8"/>
  <c r="AC328" i="8" s="1"/>
  <c r="X495" i="8"/>
  <c r="X496" i="8" s="1"/>
  <c r="AB391" i="2"/>
  <c r="AB519" i="8"/>
  <c r="AB520" i="8" s="1"/>
  <c r="U275" i="2"/>
  <c r="U463" i="8"/>
  <c r="U464" i="8" s="1"/>
  <c r="M116" i="2"/>
  <c r="M119" i="2"/>
  <c r="W210" i="2"/>
  <c r="W415" i="8"/>
  <c r="W416" i="8" s="1"/>
  <c r="AD34" i="2"/>
  <c r="AD323" i="8"/>
  <c r="AD324" i="8" s="1"/>
  <c r="AC449" i="2"/>
  <c r="AC547" i="8"/>
  <c r="AC548" i="8" s="1"/>
  <c r="N322" i="2"/>
  <c r="N324" i="2"/>
  <c r="N320" i="2"/>
  <c r="AD389" i="2"/>
  <c r="AD511" i="8"/>
  <c r="AD512" i="8" s="1"/>
  <c r="L391" i="2"/>
  <c r="L519" i="8"/>
  <c r="L520" i="8" s="1"/>
  <c r="S274" i="2"/>
  <c r="S459" i="8"/>
  <c r="S460" i="8" s="1"/>
  <c r="P89" i="2"/>
  <c r="P339" i="8"/>
  <c r="P340" i="8" s="1"/>
  <c r="AE379" i="8"/>
  <c r="AE380" i="8" s="1"/>
  <c r="AC275" i="2"/>
  <c r="AC463" i="8"/>
  <c r="AC464" i="8" s="1"/>
  <c r="M337" i="2"/>
  <c r="M364" i="2" s="1"/>
  <c r="M507" i="8"/>
  <c r="M508" i="8" s="1"/>
  <c r="O454" i="2"/>
  <c r="O567" i="8"/>
  <c r="O568" i="8" s="1"/>
  <c r="P392" i="2"/>
  <c r="P523" i="8"/>
  <c r="P524" i="8" s="1"/>
  <c r="Z155" i="2"/>
  <c r="Z399" i="8"/>
  <c r="Z400" i="8" s="1"/>
  <c r="N439" i="2"/>
  <c r="N443" i="2"/>
  <c r="N442" i="2"/>
  <c r="N446" i="2"/>
  <c r="N447" i="2"/>
  <c r="X453" i="2"/>
  <c r="X563" i="8"/>
  <c r="X564" i="8" s="1"/>
  <c r="X455" i="2"/>
  <c r="X571" i="8"/>
  <c r="X572" i="8" s="1"/>
  <c r="W395" i="2"/>
  <c r="W535" i="8"/>
  <c r="W536" i="8" s="1"/>
  <c r="T389" i="2"/>
  <c r="T511" i="8"/>
  <c r="T512" i="8" s="1"/>
  <c r="AC271" i="2"/>
  <c r="AC447" i="8"/>
  <c r="AC448" i="8" s="1"/>
  <c r="V333" i="2"/>
  <c r="V491" i="8"/>
  <c r="V492" i="8" s="1"/>
  <c r="S91" i="2"/>
  <c r="S347" i="8"/>
  <c r="S348" i="8" s="1"/>
  <c r="AA147" i="2"/>
  <c r="AA367" i="8"/>
  <c r="AA368" i="8" s="1"/>
  <c r="AD29" i="2"/>
  <c r="AD303" i="8"/>
  <c r="AD304" i="8" s="1"/>
  <c r="V393" i="2"/>
  <c r="V527" i="8"/>
  <c r="V528" i="8" s="1"/>
  <c r="Q334" i="2"/>
  <c r="Q495" i="8"/>
  <c r="Q496" i="8" s="1"/>
  <c r="V391" i="2"/>
  <c r="V519" i="8"/>
  <c r="V520" i="8" s="1"/>
  <c r="W211" i="2"/>
  <c r="W419" i="8"/>
  <c r="W420" i="8" s="1"/>
  <c r="V335" i="2"/>
  <c r="V499" i="8"/>
  <c r="V500" i="8" s="1"/>
  <c r="R89" i="2"/>
  <c r="R339" i="8"/>
  <c r="R340" i="8" s="1"/>
  <c r="L147" i="2"/>
  <c r="L367" i="8"/>
  <c r="L368" i="8" s="1"/>
  <c r="P94" i="2"/>
  <c r="P359" i="8"/>
  <c r="P360" i="8" s="1"/>
  <c r="U29" i="2"/>
  <c r="U303" i="8"/>
  <c r="U304" i="8" s="1"/>
  <c r="K440" i="2"/>
  <c r="K445" i="2"/>
  <c r="K442" i="2"/>
  <c r="AD397" i="2"/>
  <c r="AD543" i="8"/>
  <c r="AD544" i="8" s="1"/>
  <c r="V389" i="2"/>
  <c r="V511" i="8"/>
  <c r="V512" i="8" s="1"/>
  <c r="N444" i="2"/>
  <c r="Y452" i="2"/>
  <c r="Y559" i="8"/>
  <c r="Y560" i="8" s="1"/>
  <c r="M455" i="2"/>
  <c r="M571" i="8"/>
  <c r="M572" i="8" s="1"/>
  <c r="Q452" i="2"/>
  <c r="Q559" i="8"/>
  <c r="Q560" i="8" s="1"/>
  <c r="N440" i="2"/>
  <c r="AC451" i="2"/>
  <c r="AC555" i="8"/>
  <c r="AC556" i="8" s="1"/>
  <c r="X449" i="2"/>
  <c r="X547" i="8"/>
  <c r="X548" i="8" s="1"/>
  <c r="R397" i="2"/>
  <c r="R543" i="8"/>
  <c r="R544" i="8" s="1"/>
  <c r="O392" i="2"/>
  <c r="O523" i="8"/>
  <c r="O524" i="8" s="1"/>
  <c r="AE397" i="2"/>
  <c r="AE543" i="8"/>
  <c r="AE544" i="8" s="1"/>
  <c r="L395" i="2"/>
  <c r="L535" i="8"/>
  <c r="L536" i="8" s="1"/>
  <c r="O332" i="2"/>
  <c r="AD260" i="2"/>
  <c r="AD261" i="2"/>
  <c r="AD267" i="2"/>
  <c r="X381" i="2"/>
  <c r="P277" i="2"/>
  <c r="P471" i="8"/>
  <c r="P472" i="8" s="1"/>
  <c r="O384" i="2"/>
  <c r="O383" i="2"/>
  <c r="O386" i="2"/>
  <c r="O380" i="2"/>
  <c r="AD456" i="2"/>
  <c r="AD575" i="8"/>
  <c r="AD576" i="8" s="1"/>
  <c r="W456" i="2"/>
  <c r="W575" i="8"/>
  <c r="W576" i="8" s="1"/>
  <c r="S272" i="2"/>
  <c r="S451" i="8"/>
  <c r="S452" i="8" s="1"/>
  <c r="AE207" i="2"/>
  <c r="AE403" i="8"/>
  <c r="AE404" i="8" s="1"/>
  <c r="AB274" i="2"/>
  <c r="AB459" i="8"/>
  <c r="AB460" i="8" s="1"/>
  <c r="O138" i="2"/>
  <c r="O33" i="2"/>
  <c r="O319" i="8"/>
  <c r="O320" i="8" s="1"/>
  <c r="M269" i="2"/>
  <c r="M296" i="2" s="1"/>
  <c r="M439" i="8"/>
  <c r="M440" i="8" s="1"/>
  <c r="K153" i="2"/>
  <c r="K391" i="8"/>
  <c r="AA33" i="2"/>
  <c r="AA35" i="2"/>
  <c r="AA31" i="2"/>
  <c r="V337" i="2"/>
  <c r="V507" i="8"/>
  <c r="V508" i="8" s="1"/>
  <c r="N89" i="2"/>
  <c r="N339" i="8"/>
  <c r="N340" i="8" s="1"/>
  <c r="AA30" i="2"/>
  <c r="AA307" i="8"/>
  <c r="AA308" i="8" s="1"/>
  <c r="N35" i="2"/>
  <c r="N327" i="8"/>
  <c r="N328" i="8" s="1"/>
  <c r="Q331" i="2"/>
  <c r="O335" i="2"/>
  <c r="O499" i="8"/>
  <c r="O500" i="8" s="1"/>
  <c r="R87" i="2"/>
  <c r="R331" i="8"/>
  <c r="R332" i="8" s="1"/>
  <c r="T457" i="2"/>
  <c r="T579" i="8"/>
  <c r="T580" i="8" s="1"/>
  <c r="W330" i="2"/>
  <c r="W479" i="8"/>
  <c r="W480" i="8" s="1"/>
  <c r="L209" i="2"/>
  <c r="L411" i="8"/>
  <c r="L412" i="8" s="1"/>
  <c r="W272" i="2"/>
  <c r="X456" i="2"/>
  <c r="X575" i="8"/>
  <c r="X576" i="8" s="1"/>
  <c r="S397" i="2"/>
  <c r="S543" i="8"/>
  <c r="S544" i="8" s="1"/>
  <c r="P389" i="2"/>
  <c r="P511" i="8"/>
  <c r="P512" i="8" s="1"/>
  <c r="V94" i="2"/>
  <c r="V359" i="8"/>
  <c r="V360" i="8" s="1"/>
  <c r="T456" i="2"/>
  <c r="T575" i="8"/>
  <c r="T576" i="8" s="1"/>
  <c r="Z451" i="2"/>
  <c r="Z555" i="8"/>
  <c r="Z556" i="8" s="1"/>
  <c r="T329" i="2"/>
  <c r="T475" i="8"/>
  <c r="T476" i="8" s="1"/>
  <c r="O209" i="2"/>
  <c r="O411" i="8"/>
  <c r="O412" i="8" s="1"/>
  <c r="O142" i="2"/>
  <c r="O337" i="2"/>
  <c r="O507" i="8"/>
  <c r="O508" i="8" s="1"/>
  <c r="AA455" i="2"/>
  <c r="AA452" i="2"/>
  <c r="AA457" i="2"/>
  <c r="AA449" i="2"/>
  <c r="AA454" i="2"/>
  <c r="AD455" i="2"/>
  <c r="AD571" i="8"/>
  <c r="AD572" i="8" s="1"/>
  <c r="Z334" i="2"/>
  <c r="Z495" i="8"/>
  <c r="Z496" i="8" s="1"/>
  <c r="M273" i="2"/>
  <c r="M300" i="2" s="1"/>
  <c r="M455" i="8"/>
  <c r="M456" i="8" s="1"/>
  <c r="K329" i="2"/>
  <c r="K475" i="8"/>
  <c r="P269" i="2"/>
  <c r="P439" i="8"/>
  <c r="P440" i="8" s="1"/>
  <c r="AA273" i="2"/>
  <c r="AA455" i="8"/>
  <c r="AA456" i="8" s="1"/>
  <c r="T395" i="2"/>
  <c r="T535" i="8"/>
  <c r="T536" i="8" s="1"/>
  <c r="AC330" i="2"/>
  <c r="AC479" i="8"/>
  <c r="AC480" i="8" s="1"/>
  <c r="S386" i="2"/>
  <c r="S384" i="2"/>
  <c r="W392" i="2"/>
  <c r="W523" i="8"/>
  <c r="W524" i="8" s="1"/>
  <c r="Z386" i="2"/>
  <c r="Y389" i="2"/>
  <c r="Y511" i="8"/>
  <c r="Y512" i="8" s="1"/>
  <c r="AE209" i="2"/>
  <c r="AE411" i="8"/>
  <c r="AE412" i="8" s="1"/>
  <c r="L275" i="2"/>
  <c r="L463" i="8"/>
  <c r="L464" i="8" s="1"/>
  <c r="P273" i="2"/>
  <c r="P271" i="2"/>
  <c r="P275" i="2"/>
  <c r="AE211" i="2"/>
  <c r="AE419" i="8"/>
  <c r="AE420" i="8" s="1"/>
  <c r="L208" i="2"/>
  <c r="L214" i="2"/>
  <c r="P92" i="2"/>
  <c r="P351" i="8"/>
  <c r="P352" i="8" s="1"/>
  <c r="W213" i="2"/>
  <c r="W212" i="2"/>
  <c r="V148" i="2"/>
  <c r="V371" i="8"/>
  <c r="V372" i="8" s="1"/>
  <c r="Z212" i="2"/>
  <c r="Z423" i="8"/>
  <c r="Z424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W335" i="2"/>
  <c r="W499" i="8"/>
  <c r="W500" i="8" s="1"/>
  <c r="X207" i="2"/>
  <c r="X403" i="8"/>
  <c r="X404" i="8" s="1"/>
  <c r="K95" i="2"/>
  <c r="K363" i="8"/>
  <c r="M32" i="2"/>
  <c r="M315" i="8"/>
  <c r="M316" i="8" s="1"/>
  <c r="U35" i="2"/>
  <c r="U28" i="2"/>
  <c r="U32" i="2"/>
  <c r="U33" i="2"/>
  <c r="X337" i="2"/>
  <c r="X507" i="8"/>
  <c r="X508" i="8" s="1"/>
  <c r="L88" i="2"/>
  <c r="M115" i="2" s="1"/>
  <c r="L335" i="8"/>
  <c r="L336" i="8" s="1"/>
  <c r="Z266" i="2"/>
  <c r="N276" i="2"/>
  <c r="N467" i="8"/>
  <c r="N468" i="8" s="1"/>
  <c r="T447" i="8"/>
  <c r="T448" i="8" s="1"/>
  <c r="Q535" i="8"/>
  <c r="Q536" i="8" s="1"/>
  <c r="AD449" i="2"/>
  <c r="AD547" i="8"/>
  <c r="AD548" i="8" s="1"/>
  <c r="L331" i="2"/>
  <c r="M358" i="2" s="1"/>
  <c r="L483" i="8"/>
  <c r="L484" i="8" s="1"/>
  <c r="Y147" i="2"/>
  <c r="Y367" i="8"/>
  <c r="Y368" i="8" s="1"/>
  <c r="AA150" i="2"/>
  <c r="AA379" i="8"/>
  <c r="AA380" i="8" s="1"/>
  <c r="R449" i="2"/>
  <c r="R547" i="8"/>
  <c r="R548" i="8" s="1"/>
  <c r="P207" i="2"/>
  <c r="P403" i="8"/>
  <c r="P404" i="8" s="1"/>
  <c r="P154" i="2"/>
  <c r="P395" i="8"/>
  <c r="P396" i="8" s="1"/>
  <c r="V150" i="2"/>
  <c r="V379" i="8"/>
  <c r="V380" i="8" s="1"/>
  <c r="O379" i="8"/>
  <c r="O380" i="8" s="1"/>
  <c r="W303" i="8"/>
  <c r="W304" i="8" s="1"/>
  <c r="L495" i="8"/>
  <c r="L496" i="8" s="1"/>
  <c r="AE332" i="2"/>
  <c r="AE487" i="8"/>
  <c r="AE488" i="8" s="1"/>
  <c r="AB392" i="2"/>
  <c r="AB523" i="8"/>
  <c r="AB524" i="8" s="1"/>
  <c r="AD331" i="2"/>
  <c r="AD483" i="8"/>
  <c r="AD484" i="8" s="1"/>
  <c r="M272" i="2"/>
  <c r="N212" i="2"/>
  <c r="N423" i="8"/>
  <c r="N424" i="8" s="1"/>
  <c r="AB150" i="2"/>
  <c r="AB379" i="8"/>
  <c r="AB380" i="8" s="1"/>
  <c r="R451" i="2"/>
  <c r="R555" i="8"/>
  <c r="R556" i="8" s="1"/>
  <c r="S333" i="2"/>
  <c r="S491" i="8"/>
  <c r="S492" i="8" s="1"/>
  <c r="AD454" i="2"/>
  <c r="AD567" i="8"/>
  <c r="AD568" i="8" s="1"/>
  <c r="AA95" i="2"/>
  <c r="AA363" i="8"/>
  <c r="AA364" i="8" s="1"/>
  <c r="U396" i="2"/>
  <c r="U539" i="8"/>
  <c r="U540" i="8" s="1"/>
  <c r="AD396" i="2"/>
  <c r="AD539" i="8"/>
  <c r="AD540" i="8" s="1"/>
  <c r="AD273" i="2"/>
  <c r="AD455" i="8"/>
  <c r="AD456" i="8" s="1"/>
  <c r="T333" i="2"/>
  <c r="T491" i="8"/>
  <c r="T492" i="8" s="1"/>
  <c r="AC213" i="2"/>
  <c r="AC427" i="8"/>
  <c r="AC428" i="8" s="1"/>
  <c r="M456" i="2"/>
  <c r="M575" i="8"/>
  <c r="M576" i="8" s="1"/>
  <c r="U383" i="2"/>
  <c r="U385" i="2"/>
  <c r="N384" i="2"/>
  <c r="N383" i="2"/>
  <c r="N386" i="2"/>
  <c r="N380" i="2"/>
  <c r="AE91" i="2"/>
  <c r="AE347" i="8"/>
  <c r="AE348" i="8" s="1"/>
  <c r="M142" i="2"/>
  <c r="M139" i="2"/>
  <c r="M145" i="2"/>
  <c r="Y325" i="2"/>
  <c r="M457" i="2"/>
  <c r="M579" i="8"/>
  <c r="M580" i="8" s="1"/>
  <c r="W394" i="2"/>
  <c r="W531" i="8"/>
  <c r="W532" i="8" s="1"/>
  <c r="K260" i="2"/>
  <c r="K259" i="2"/>
  <c r="K262" i="2"/>
  <c r="S270" i="2"/>
  <c r="S443" i="8"/>
  <c r="S444" i="8" s="1"/>
  <c r="S213" i="2"/>
  <c r="S427" i="8"/>
  <c r="S428" i="8" s="1"/>
  <c r="V95" i="2"/>
  <c r="V363" i="8"/>
  <c r="V364" i="8" s="1"/>
  <c r="Q455" i="2"/>
  <c r="Q571" i="8"/>
  <c r="Q572" i="8" s="1"/>
  <c r="AE452" i="2"/>
  <c r="AE559" i="8"/>
  <c r="AE560" i="8" s="1"/>
  <c r="Z262" i="2"/>
  <c r="Z264" i="2"/>
  <c r="Z267" i="2"/>
  <c r="Q383" i="2"/>
  <c r="Q380" i="2"/>
  <c r="T213" i="2"/>
  <c r="T427" i="8"/>
  <c r="T428" i="8" s="1"/>
  <c r="O277" i="2"/>
  <c r="O471" i="8"/>
  <c r="O472" i="8" s="1"/>
  <c r="AC270" i="2"/>
  <c r="AC443" i="8"/>
  <c r="AC444" i="8" s="1"/>
  <c r="AD151" i="2"/>
  <c r="AD383" i="8"/>
  <c r="AD384" i="8" s="1"/>
  <c r="O27" i="2"/>
  <c r="O295" i="8"/>
  <c r="O296" i="8" s="1"/>
  <c r="Z29" i="2"/>
  <c r="Z303" i="8"/>
  <c r="Z304" i="8" s="1"/>
  <c r="P87" i="2"/>
  <c r="P331" i="8"/>
  <c r="P332" i="8" s="1"/>
  <c r="K90" i="2"/>
  <c r="K343" i="8"/>
  <c r="AB454" i="2"/>
  <c r="AB567" i="8"/>
  <c r="AB568" i="8" s="1"/>
  <c r="L446" i="2"/>
  <c r="L444" i="2"/>
  <c r="L445" i="2"/>
  <c r="L442" i="2"/>
  <c r="V394" i="2"/>
  <c r="V531" i="8"/>
  <c r="V532" i="8" s="1"/>
  <c r="W455" i="2"/>
  <c r="W571" i="8"/>
  <c r="W572" i="8" s="1"/>
  <c r="S515" i="8"/>
  <c r="S516" i="8" s="1"/>
  <c r="K394" i="2"/>
  <c r="K531" i="8"/>
  <c r="R392" i="2"/>
  <c r="AA335" i="2"/>
  <c r="AA330" i="2"/>
  <c r="AA332" i="2"/>
  <c r="AA336" i="2"/>
  <c r="X397" i="2"/>
  <c r="X543" i="8"/>
  <c r="X544" i="8" s="1"/>
  <c r="O395" i="2"/>
  <c r="O535" i="8"/>
  <c r="O536" i="8" s="1"/>
  <c r="S391" i="2"/>
  <c r="S519" i="8"/>
  <c r="S520" i="8" s="1"/>
  <c r="T393" i="2"/>
  <c r="T527" i="8"/>
  <c r="T528" i="8" s="1"/>
  <c r="U330" i="2"/>
  <c r="U479" i="8"/>
  <c r="U480" i="8" s="1"/>
  <c r="P214" i="2"/>
  <c r="P431" i="8"/>
  <c r="P432" i="8" s="1"/>
  <c r="L392" i="2"/>
  <c r="M419" i="2" s="1"/>
  <c r="L523" i="8"/>
  <c r="L524" i="8" s="1"/>
  <c r="N382" i="2"/>
  <c r="O331" i="2"/>
  <c r="M271" i="2"/>
  <c r="AE274" i="2"/>
  <c r="AE459" i="8"/>
  <c r="AE460" i="8" s="1"/>
  <c r="K212" i="2"/>
  <c r="K423" i="8"/>
  <c r="M210" i="2"/>
  <c r="M415" i="8"/>
  <c r="M416" i="8" s="1"/>
  <c r="X392" i="2"/>
  <c r="X523" i="8"/>
  <c r="X524" i="8" s="1"/>
  <c r="M143" i="2"/>
  <c r="AB95" i="2"/>
  <c r="AB363" i="8"/>
  <c r="AB364" i="8" s="1"/>
  <c r="AA32" i="2"/>
  <c r="AA315" i="8"/>
  <c r="AA316" i="8" s="1"/>
  <c r="T452" i="2"/>
  <c r="T559" i="8"/>
  <c r="T560" i="8" s="1"/>
  <c r="AE454" i="2"/>
  <c r="AE567" i="8"/>
  <c r="AE568" i="8" s="1"/>
  <c r="L443" i="2"/>
  <c r="L447" i="2"/>
  <c r="V449" i="2"/>
  <c r="V547" i="8"/>
  <c r="V548" i="8" s="1"/>
  <c r="X331" i="2"/>
  <c r="X483" i="8"/>
  <c r="X484" i="8" s="1"/>
  <c r="O441" i="2"/>
  <c r="Q333" i="2"/>
  <c r="Q491" i="8"/>
  <c r="Q492" i="8" s="1"/>
  <c r="S382" i="2"/>
  <c r="W336" i="2"/>
  <c r="W503" i="8"/>
  <c r="W504" i="8" s="1"/>
  <c r="Z381" i="2"/>
  <c r="R331" i="2"/>
  <c r="R483" i="8"/>
  <c r="R484" i="8" s="1"/>
  <c r="Z379" i="2"/>
  <c r="V336" i="2"/>
  <c r="V503" i="8"/>
  <c r="V504" i="8" s="1"/>
  <c r="AA393" i="2"/>
  <c r="AA527" i="8"/>
  <c r="AA528" i="8" s="1"/>
  <c r="AD394" i="2"/>
  <c r="AD531" i="8"/>
  <c r="AD532" i="8" s="1"/>
  <c r="V390" i="2"/>
  <c r="V515" i="8"/>
  <c r="V516" i="8" s="1"/>
  <c r="Z384" i="2"/>
  <c r="M277" i="2"/>
  <c r="M304" i="2" s="1"/>
  <c r="M471" i="8"/>
  <c r="M472" i="8" s="1"/>
  <c r="AD262" i="2"/>
  <c r="M237" i="2"/>
  <c r="AC333" i="2"/>
  <c r="AC491" i="8"/>
  <c r="AC492" i="8" s="1"/>
  <c r="O214" i="2"/>
  <c r="O431" i="8"/>
  <c r="O432" i="8" s="1"/>
  <c r="L149" i="2"/>
  <c r="L375" i="8"/>
  <c r="L376" i="8" s="1"/>
  <c r="Z214" i="2"/>
  <c r="T145" i="2"/>
  <c r="AA143" i="2"/>
  <c r="AC147" i="2"/>
  <c r="AC367" i="8"/>
  <c r="AC368" i="8" s="1"/>
  <c r="R277" i="2"/>
  <c r="R471" i="8"/>
  <c r="R472" i="8" s="1"/>
  <c r="K94" i="2"/>
  <c r="K359" i="8"/>
  <c r="AC34" i="2"/>
  <c r="AC323" i="8"/>
  <c r="AC324" i="8" s="1"/>
  <c r="W323" i="8"/>
  <c r="W324" i="8" s="1"/>
  <c r="V90" i="2"/>
  <c r="V343" i="8"/>
  <c r="V344" i="8" s="1"/>
  <c r="Y444" i="2"/>
  <c r="P445" i="2"/>
  <c r="AD447" i="2"/>
  <c r="T396" i="2"/>
  <c r="T539" i="8"/>
  <c r="T540" i="8" s="1"/>
  <c r="Y443" i="2"/>
  <c r="Q386" i="2"/>
  <c r="X336" i="2"/>
  <c r="X503" i="8"/>
  <c r="X504" i="8" s="1"/>
  <c r="M440" i="2"/>
  <c r="K334" i="2"/>
  <c r="K495" i="8"/>
  <c r="AB396" i="2"/>
  <c r="AB539" i="8"/>
  <c r="AB540" i="8" s="1"/>
  <c r="N272" i="2"/>
  <c r="N451" i="8"/>
  <c r="N452" i="8" s="1"/>
  <c r="AC503" i="8"/>
  <c r="AC504" i="8" s="1"/>
  <c r="AB456" i="2"/>
  <c r="AB575" i="8"/>
  <c r="AB576" i="8" s="1"/>
  <c r="AC382" i="2"/>
  <c r="AB397" i="2"/>
  <c r="AB543" i="8"/>
  <c r="AB544" i="8" s="1"/>
  <c r="Z385" i="2"/>
  <c r="AA391" i="2"/>
  <c r="AA519" i="8"/>
  <c r="AA520" i="8" s="1"/>
  <c r="AC272" i="2"/>
  <c r="AC451" i="8"/>
  <c r="AC452" i="8" s="1"/>
  <c r="O381" i="2"/>
  <c r="L379" i="2"/>
  <c r="AD259" i="2"/>
  <c r="AE331" i="2"/>
  <c r="AE483" i="8"/>
  <c r="AE484" i="8" s="1"/>
  <c r="K330" i="2"/>
  <c r="K479" i="8"/>
  <c r="P272" i="2"/>
  <c r="M334" i="2"/>
  <c r="M361" i="2" s="1"/>
  <c r="U273" i="2"/>
  <c r="Z209" i="2"/>
  <c r="Z411" i="8"/>
  <c r="Z412" i="8" s="1"/>
  <c r="V270" i="2"/>
  <c r="V443" i="8"/>
  <c r="V444" i="8" s="1"/>
  <c r="AC267" i="2"/>
  <c r="Z265" i="2"/>
  <c r="O272" i="2"/>
  <c r="O451" i="8"/>
  <c r="O452" i="8" s="1"/>
  <c r="AE213" i="2"/>
  <c r="AE427" i="8"/>
  <c r="AE428" i="8" s="1"/>
  <c r="M298" i="2"/>
  <c r="R333" i="2"/>
  <c r="R491" i="8"/>
  <c r="R492" i="8" s="1"/>
  <c r="L215" i="2"/>
  <c r="M242" i="2" s="1"/>
  <c r="Y91" i="2"/>
  <c r="Y347" i="8"/>
  <c r="Y348" i="8" s="1"/>
  <c r="M274" i="2"/>
  <c r="M301" i="2" s="1"/>
  <c r="M459" i="8"/>
  <c r="M460" i="8" s="1"/>
  <c r="U208" i="2"/>
  <c r="U213" i="2"/>
  <c r="O145" i="2"/>
  <c r="AB215" i="2"/>
  <c r="AB435" i="8"/>
  <c r="AB436" i="8" s="1"/>
  <c r="S208" i="2"/>
  <c r="U145" i="2"/>
  <c r="AC264" i="2"/>
  <c r="AC33" i="2"/>
  <c r="AC319" i="8"/>
  <c r="AC320" i="8" s="1"/>
  <c r="X270" i="2"/>
  <c r="Y143" i="2"/>
  <c r="X88" i="2"/>
  <c r="X335" i="8"/>
  <c r="X336" i="8" s="1"/>
  <c r="AC327" i="2"/>
  <c r="K137" i="2"/>
  <c r="Q85" i="2"/>
  <c r="R88" i="2"/>
  <c r="R335" i="8"/>
  <c r="R336" i="8" s="1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AB87" i="2"/>
  <c r="AB331" i="8"/>
  <c r="AB332" i="8" s="1"/>
  <c r="T94" i="2"/>
  <c r="T359" i="8"/>
  <c r="T360" i="8" s="1"/>
  <c r="P399" i="8"/>
  <c r="P400" i="8" s="1"/>
  <c r="K419" i="8"/>
  <c r="AA435" i="8"/>
  <c r="AA436" i="8" s="1"/>
  <c r="Z547" i="8"/>
  <c r="Z548" i="8" s="1"/>
  <c r="U503" i="8"/>
  <c r="U504" i="8" s="1"/>
  <c r="T499" i="8"/>
  <c r="T500" i="8" s="1"/>
  <c r="L503" i="8"/>
  <c r="L504" i="8" s="1"/>
  <c r="AD431" i="8"/>
  <c r="AD432" i="8" s="1"/>
  <c r="R539" i="8"/>
  <c r="R540" i="8" s="1"/>
  <c r="AB515" i="8"/>
  <c r="AB516" i="8" s="1"/>
  <c r="AE439" i="2"/>
  <c r="AE443" i="2"/>
  <c r="AC445" i="2"/>
  <c r="AA453" i="2"/>
  <c r="AA563" i="8"/>
  <c r="AA564" i="8" s="1"/>
  <c r="W443" i="2"/>
  <c r="AA334" i="2"/>
  <c r="AA495" i="8"/>
  <c r="AA496" i="8" s="1"/>
  <c r="K386" i="2"/>
  <c r="M441" i="2"/>
  <c r="AE334" i="2"/>
  <c r="AE495" i="8"/>
  <c r="AE496" i="8" s="1"/>
  <c r="AC444" i="2"/>
  <c r="AC321" i="2"/>
  <c r="Q322" i="2"/>
  <c r="T382" i="2"/>
  <c r="AC324" i="2"/>
  <c r="U387" i="2"/>
  <c r="N385" i="2"/>
  <c r="AD440" i="2"/>
  <c r="O259" i="2"/>
  <c r="O260" i="2"/>
  <c r="O261" i="2"/>
  <c r="Q319" i="2"/>
  <c r="AD381" i="2"/>
  <c r="N379" i="2"/>
  <c r="M330" i="2"/>
  <c r="M479" i="8"/>
  <c r="M480" i="8" s="1"/>
  <c r="AA261" i="2"/>
  <c r="O330" i="2"/>
  <c r="O479" i="8"/>
  <c r="O480" i="8" s="1"/>
  <c r="M384" i="2"/>
  <c r="M386" i="2"/>
  <c r="U214" i="2"/>
  <c r="U431" i="8"/>
  <c r="U432" i="8" s="1"/>
  <c r="AB383" i="2"/>
  <c r="AB384" i="2"/>
  <c r="M336" i="2"/>
  <c r="M363" i="2" s="1"/>
  <c r="S277" i="2"/>
  <c r="K331" i="2"/>
  <c r="Q209" i="2"/>
  <c r="Q411" i="8"/>
  <c r="Q412" i="8" s="1"/>
  <c r="S211" i="2"/>
  <c r="X275" i="2"/>
  <c r="AC263" i="2"/>
  <c r="W209" i="2"/>
  <c r="W411" i="8"/>
  <c r="W412" i="8" s="1"/>
  <c r="L270" i="2"/>
  <c r="U333" i="2"/>
  <c r="U215" i="2"/>
  <c r="U435" i="8"/>
  <c r="U436" i="8" s="1"/>
  <c r="L212" i="2"/>
  <c r="M239" i="2" s="1"/>
  <c r="T210" i="2"/>
  <c r="AE139" i="2"/>
  <c r="AE142" i="2"/>
  <c r="AD152" i="2"/>
  <c r="AD387" i="8"/>
  <c r="AD388" i="8" s="1"/>
  <c r="K28" i="2"/>
  <c r="K299" i="8"/>
  <c r="AD215" i="2"/>
  <c r="AD435" i="8"/>
  <c r="AD436" i="8" s="1"/>
  <c r="W28" i="2"/>
  <c r="W299" i="8"/>
  <c r="W300" i="8" s="1"/>
  <c r="AC325" i="2"/>
  <c r="O264" i="2"/>
  <c r="O143" i="2"/>
  <c r="R142" i="2"/>
  <c r="S32" i="2"/>
  <c r="S315" i="8"/>
  <c r="S316" i="8" s="1"/>
  <c r="W32" i="2"/>
  <c r="W27" i="2"/>
  <c r="W31" i="2"/>
  <c r="W311" i="8"/>
  <c r="W312" i="8" s="1"/>
  <c r="P32" i="2"/>
  <c r="P315" i="8"/>
  <c r="P316" i="8" s="1"/>
  <c r="Y88" i="2"/>
  <c r="Y335" i="8"/>
  <c r="Y336" i="8" s="1"/>
  <c r="V276" i="2"/>
  <c r="S83" i="2"/>
  <c r="AA386" i="2"/>
  <c r="AB151" i="2"/>
  <c r="AB383" i="8"/>
  <c r="AB384" i="8" s="1"/>
  <c r="P383" i="2"/>
  <c r="Y34" i="2"/>
  <c r="Y323" i="8"/>
  <c r="Y324" i="8" s="1"/>
  <c r="AE34" i="2"/>
  <c r="AE323" i="8"/>
  <c r="AE324" i="8" s="1"/>
  <c r="AD154" i="2"/>
  <c r="K140" i="2"/>
  <c r="AC150" i="2"/>
  <c r="AC379" i="8"/>
  <c r="AC380" i="8" s="1"/>
  <c r="AD395" i="8"/>
  <c r="AD396" i="8" s="1"/>
  <c r="AC303" i="8"/>
  <c r="AC304" i="8" s="1"/>
  <c r="AE303" i="8"/>
  <c r="AE304" i="8" s="1"/>
  <c r="S307" i="8"/>
  <c r="S308" i="8" s="1"/>
  <c r="R535" i="8"/>
  <c r="R536" i="8" s="1"/>
  <c r="AB467" i="8"/>
  <c r="AB468" i="8" s="1"/>
  <c r="R395" i="8"/>
  <c r="R396" i="8" s="1"/>
  <c r="T507" i="8"/>
  <c r="T508" i="8" s="1"/>
  <c r="AA511" i="8"/>
  <c r="AA512" i="8" s="1"/>
  <c r="X87" i="2"/>
  <c r="X331" i="8"/>
  <c r="X332" i="8" s="1"/>
  <c r="AE83" i="2"/>
  <c r="L387" i="8"/>
  <c r="L388" i="8" s="1"/>
  <c r="M57" i="2"/>
  <c r="M60" i="2"/>
  <c r="M55" i="2"/>
  <c r="M59" i="2"/>
  <c r="M54" i="2"/>
  <c r="Y440" i="2"/>
  <c r="AE455" i="2"/>
  <c r="AE571" i="8"/>
  <c r="AE572" i="8" s="1"/>
  <c r="N445" i="2"/>
  <c r="U454" i="2"/>
  <c r="U567" i="8"/>
  <c r="U568" i="8" s="1"/>
  <c r="X444" i="2"/>
  <c r="X442" i="2"/>
  <c r="X440" i="2"/>
  <c r="X447" i="2"/>
  <c r="Y321" i="2"/>
  <c r="AD383" i="2"/>
  <c r="AC442" i="2"/>
  <c r="N441" i="2"/>
  <c r="AE394" i="2"/>
  <c r="AE531" i="8"/>
  <c r="AE532" i="8" s="1"/>
  <c r="S452" i="2"/>
  <c r="S559" i="8"/>
  <c r="S560" i="8" s="1"/>
  <c r="P332" i="2"/>
  <c r="K387" i="2"/>
  <c r="M395" i="2"/>
  <c r="M535" i="8"/>
  <c r="M536" i="8" s="1"/>
  <c r="S336" i="2"/>
  <c r="S503" i="8"/>
  <c r="S504" i="8" s="1"/>
  <c r="M329" i="2"/>
  <c r="M475" i="8"/>
  <c r="M476" i="8" s="1"/>
  <c r="Q381" i="2"/>
  <c r="W387" i="2"/>
  <c r="Q379" i="2"/>
  <c r="AB273" i="2"/>
  <c r="AB455" i="8"/>
  <c r="AB456" i="8" s="1"/>
  <c r="AE277" i="2"/>
  <c r="U207" i="2"/>
  <c r="U403" i="8"/>
  <c r="U404" i="8" s="1"/>
  <c r="AE380" i="2"/>
  <c r="AE381" i="2"/>
  <c r="S273" i="2"/>
  <c r="R211" i="2"/>
  <c r="R419" i="8"/>
  <c r="R420" i="8" s="1"/>
  <c r="Q320" i="2"/>
  <c r="R209" i="2"/>
  <c r="R411" i="8"/>
  <c r="R412" i="8" s="1"/>
  <c r="T208" i="2"/>
  <c r="T407" i="8"/>
  <c r="T408" i="8" s="1"/>
  <c r="M265" i="2"/>
  <c r="Q211" i="2"/>
  <c r="Y273" i="2"/>
  <c r="Y272" i="2"/>
  <c r="W139" i="2"/>
  <c r="L333" i="2"/>
  <c r="M360" i="2" s="1"/>
  <c r="L491" i="8"/>
  <c r="L492" i="8" s="1"/>
  <c r="AA333" i="2"/>
  <c r="AA491" i="8"/>
  <c r="AA492" i="8" s="1"/>
  <c r="U274" i="2"/>
  <c r="M211" i="2"/>
  <c r="M214" i="2"/>
  <c r="X215" i="2"/>
  <c r="X435" i="8"/>
  <c r="X436" i="8" s="1"/>
  <c r="R212" i="2"/>
  <c r="R423" i="8"/>
  <c r="R424" i="8" s="1"/>
  <c r="X210" i="2"/>
  <c r="X415" i="8"/>
  <c r="X416" i="8" s="1"/>
  <c r="T138" i="2"/>
  <c r="V137" i="2"/>
  <c r="V142" i="2"/>
  <c r="V139" i="2"/>
  <c r="Q326" i="2"/>
  <c r="K335" i="2"/>
  <c r="K499" i="8"/>
  <c r="V271" i="2"/>
  <c r="P153" i="2"/>
  <c r="S85" i="2"/>
  <c r="O215" i="2"/>
  <c r="O435" i="8"/>
  <c r="O436" i="8" s="1"/>
  <c r="AD147" i="2"/>
  <c r="O207" i="2"/>
  <c r="O403" i="8"/>
  <c r="O404" i="8" s="1"/>
  <c r="P330" i="2"/>
  <c r="U211" i="2"/>
  <c r="Z78" i="2"/>
  <c r="Q467" i="8"/>
  <c r="Q468" i="8" s="1"/>
  <c r="X276" i="2"/>
  <c r="X467" i="8"/>
  <c r="X468" i="8" s="1"/>
  <c r="M213" i="2"/>
  <c r="AC151" i="2"/>
  <c r="AC383" i="8"/>
  <c r="AC384" i="8" s="1"/>
  <c r="T209" i="2"/>
  <c r="AD90" i="2"/>
  <c r="AD343" i="8"/>
  <c r="AD344" i="8" s="1"/>
  <c r="W30" i="2"/>
  <c r="W307" i="8"/>
  <c r="W308" i="8" s="1"/>
  <c r="U34" i="2"/>
  <c r="U323" i="8"/>
  <c r="U324" i="8" s="1"/>
  <c r="T144" i="2"/>
  <c r="Q150" i="2"/>
  <c r="Q379" i="8"/>
  <c r="Q380" i="8" s="1"/>
  <c r="R138" i="2"/>
  <c r="P30" i="2"/>
  <c r="P307" i="8"/>
  <c r="P308" i="8" s="1"/>
  <c r="U94" i="2"/>
  <c r="U359" i="8"/>
  <c r="U360" i="8" s="1"/>
  <c r="AB391" i="8"/>
  <c r="AB392" i="8" s="1"/>
  <c r="X339" i="8"/>
  <c r="X340" i="8" s="1"/>
  <c r="L331" i="8"/>
  <c r="L332" i="8" s="1"/>
  <c r="V347" i="8"/>
  <c r="V348" i="8" s="1"/>
  <c r="Z367" i="8"/>
  <c r="Z368" i="8" s="1"/>
  <c r="AA531" i="8"/>
  <c r="AA532" i="8" s="1"/>
  <c r="AE399" i="8"/>
  <c r="AE400" i="8" s="1"/>
  <c r="Y407" i="8"/>
  <c r="Y408" i="8" s="1"/>
  <c r="W539" i="8"/>
  <c r="W540" i="8" s="1"/>
  <c r="U30" i="2"/>
  <c r="U93" i="2"/>
  <c r="U355" i="8"/>
  <c r="U356" i="8" s="1"/>
  <c r="L440" i="2"/>
  <c r="O445" i="2"/>
  <c r="V454" i="2"/>
  <c r="V567" i="8"/>
  <c r="V568" i="8" s="1"/>
  <c r="AC443" i="2"/>
  <c r="Y447" i="2"/>
  <c r="L441" i="2"/>
  <c r="AC380" i="2"/>
  <c r="M442" i="2"/>
  <c r="AE451" i="2"/>
  <c r="Z382" i="2"/>
  <c r="X441" i="2"/>
  <c r="Y387" i="2"/>
  <c r="AA385" i="2"/>
  <c r="U334" i="2"/>
  <c r="U495" i="8"/>
  <c r="U496" i="8" s="1"/>
  <c r="AA269" i="2"/>
  <c r="AA439" i="8"/>
  <c r="AA440" i="8" s="1"/>
  <c r="AB329" i="2"/>
  <c r="AB475" i="8"/>
  <c r="AB476" i="8" s="1"/>
  <c r="U381" i="2"/>
  <c r="AE389" i="2"/>
  <c r="AE511" i="8"/>
  <c r="AE512" i="8" s="1"/>
  <c r="K263" i="2"/>
  <c r="L211" i="2"/>
  <c r="M238" i="2" s="1"/>
  <c r="L419" i="8"/>
  <c r="L420" i="8" s="1"/>
  <c r="R334" i="2"/>
  <c r="R495" i="8"/>
  <c r="R496" i="8" s="1"/>
  <c r="Z263" i="2"/>
  <c r="R394" i="2"/>
  <c r="R531" i="8"/>
  <c r="R532" i="8" s="1"/>
  <c r="R214" i="2"/>
  <c r="R431" i="8"/>
  <c r="R432" i="8" s="1"/>
  <c r="Q271" i="2"/>
  <c r="Q447" i="8"/>
  <c r="Q448" i="8" s="1"/>
  <c r="AD207" i="2"/>
  <c r="AD403" i="8"/>
  <c r="AD404" i="8" s="1"/>
  <c r="Y384" i="2"/>
  <c r="M422" i="2"/>
  <c r="AD265" i="2"/>
  <c r="Y209" i="2"/>
  <c r="Y411" i="8"/>
  <c r="Y412" i="8" s="1"/>
  <c r="O333" i="2"/>
  <c r="O491" i="8"/>
  <c r="O492" i="8" s="1"/>
  <c r="AD149" i="2"/>
  <c r="AD375" i="8"/>
  <c r="AD376" i="8" s="1"/>
  <c r="N274" i="2"/>
  <c r="N459" i="8"/>
  <c r="N460" i="8" s="1"/>
  <c r="AC215" i="2"/>
  <c r="AC435" i="8"/>
  <c r="AC436" i="8" s="1"/>
  <c r="U212" i="2"/>
  <c r="U423" i="8"/>
  <c r="U424" i="8" s="1"/>
  <c r="Z210" i="2"/>
  <c r="Z415" i="8"/>
  <c r="Z416" i="8" s="1"/>
  <c r="R153" i="2"/>
  <c r="AE148" i="2"/>
  <c r="AE371" i="8"/>
  <c r="AE372" i="8" s="1"/>
  <c r="Z335" i="2"/>
  <c r="Z499" i="8"/>
  <c r="Z500" i="8" s="1"/>
  <c r="AA260" i="2"/>
  <c r="AA337" i="2"/>
  <c r="AA507" i="8"/>
  <c r="AA508" i="8" s="1"/>
  <c r="O137" i="2"/>
  <c r="L138" i="2"/>
  <c r="U276" i="2"/>
  <c r="Y276" i="2"/>
  <c r="Y467" i="8"/>
  <c r="Y468" i="8" s="1"/>
  <c r="Y141" i="2"/>
  <c r="N383" i="8"/>
  <c r="N384" i="8" s="1"/>
  <c r="R208" i="2"/>
  <c r="V88" i="2"/>
  <c r="V335" i="8"/>
  <c r="V336" i="8" s="1"/>
  <c r="W92" i="2"/>
  <c r="W351" i="8"/>
  <c r="W352" i="8" s="1"/>
  <c r="M87" i="2"/>
  <c r="M114" i="2" s="1"/>
  <c r="M331" i="8"/>
  <c r="M332" i="8" s="1"/>
  <c r="X30" i="2"/>
  <c r="X307" i="8"/>
  <c r="X308" i="8" s="1"/>
  <c r="V35" i="2"/>
  <c r="V327" i="8"/>
  <c r="V328" i="8" s="1"/>
  <c r="Y463" i="8"/>
  <c r="Y464" i="8" s="1"/>
  <c r="X359" i="8"/>
  <c r="X360" i="8" s="1"/>
  <c r="N303" i="8"/>
  <c r="N304" i="8" s="1"/>
  <c r="AD351" i="8"/>
  <c r="AD352" i="8" s="1"/>
  <c r="K527" i="8"/>
  <c r="AD339" i="8"/>
  <c r="AD340" i="8" s="1"/>
  <c r="AB419" i="8"/>
  <c r="AB420" i="8" s="1"/>
  <c r="R403" i="8"/>
  <c r="R404" i="8" s="1"/>
  <c r="Q567" i="8"/>
  <c r="Q568" i="8" s="1"/>
  <c r="R551" i="8"/>
  <c r="R552" i="8" s="1"/>
  <c r="R19" i="2"/>
  <c r="Z457" i="2"/>
  <c r="Z579" i="8"/>
  <c r="Z580" i="8" s="1"/>
  <c r="K439" i="2"/>
  <c r="S449" i="2"/>
  <c r="S547" i="8"/>
  <c r="S548" i="8" s="1"/>
  <c r="U456" i="2"/>
  <c r="U575" i="8"/>
  <c r="U576" i="8" s="1"/>
  <c r="X380" i="2"/>
  <c r="T394" i="2"/>
  <c r="T531" i="8"/>
  <c r="T532" i="8" s="1"/>
  <c r="Q451" i="2"/>
  <c r="Q555" i="8"/>
  <c r="Q556" i="8" s="1"/>
  <c r="AD382" i="2"/>
  <c r="Q449" i="2"/>
  <c r="Q547" i="8"/>
  <c r="Q548" i="8" s="1"/>
  <c r="Z387" i="2"/>
  <c r="AD385" i="2"/>
  <c r="R390" i="2"/>
  <c r="R515" i="8"/>
  <c r="R516" i="8" s="1"/>
  <c r="AD329" i="2"/>
  <c r="AD475" i="8"/>
  <c r="AD476" i="8" s="1"/>
  <c r="Y319" i="2"/>
  <c r="W381" i="2"/>
  <c r="U379" i="2"/>
  <c r="K261" i="2"/>
  <c r="O273" i="2"/>
  <c r="O455" i="8"/>
  <c r="O456" i="8" s="1"/>
  <c r="P270" i="2"/>
  <c r="P443" i="8"/>
  <c r="P444" i="8" s="1"/>
  <c r="W380" i="2"/>
  <c r="AE275" i="2"/>
  <c r="L207" i="2"/>
  <c r="M234" i="2" s="1"/>
  <c r="L403" i="8"/>
  <c r="L404" i="8" s="1"/>
  <c r="S209" i="2"/>
  <c r="S411" i="8"/>
  <c r="S412" i="8" s="1"/>
  <c r="S275" i="2"/>
  <c r="S463" i="8"/>
  <c r="S464" i="8" s="1"/>
  <c r="Z82" i="2"/>
  <c r="Z81" i="2"/>
  <c r="Z77" i="2"/>
  <c r="Z84" i="2"/>
  <c r="V215" i="2"/>
  <c r="V435" i="8"/>
  <c r="V436" i="8" s="1"/>
  <c r="X212" i="2"/>
  <c r="X423" i="8"/>
  <c r="X424" i="8" s="1"/>
  <c r="N210" i="2"/>
  <c r="K138" i="2"/>
  <c r="K142" i="2"/>
  <c r="K145" i="2"/>
  <c r="U337" i="2"/>
  <c r="Q147" i="2"/>
  <c r="Q367" i="8"/>
  <c r="Q368" i="8" s="1"/>
  <c r="AA79" i="2"/>
  <c r="W208" i="2"/>
  <c r="AE276" i="2"/>
  <c r="AE467" i="8"/>
  <c r="AE468" i="8" s="1"/>
  <c r="Q34" i="2"/>
  <c r="Q323" i="8"/>
  <c r="Q324" i="8" s="1"/>
  <c r="Q151" i="2"/>
  <c r="Q383" i="8"/>
  <c r="Q384" i="8" s="1"/>
  <c r="O34" i="2"/>
  <c r="O144" i="2"/>
  <c r="L140" i="2"/>
  <c r="M61" i="2"/>
  <c r="S77" i="2"/>
  <c r="L29" i="2"/>
  <c r="L303" i="8"/>
  <c r="L304" i="8" s="1"/>
  <c r="Q30" i="2"/>
  <c r="Q307" i="8"/>
  <c r="Q308" i="8" s="1"/>
  <c r="S84" i="2"/>
  <c r="L423" i="8"/>
  <c r="L424" i="8" s="1"/>
  <c r="S495" i="8"/>
  <c r="S496" i="8" s="1"/>
  <c r="W407" i="8"/>
  <c r="W408" i="8" s="1"/>
  <c r="L213" i="2"/>
  <c r="L427" i="8"/>
  <c r="L428" i="8" s="1"/>
  <c r="Z207" i="2"/>
  <c r="Z403" i="8"/>
  <c r="Z404" i="8" s="1"/>
  <c r="AD333" i="2"/>
  <c r="AD491" i="8"/>
  <c r="AD492" i="8" s="1"/>
  <c r="X274" i="2"/>
  <c r="X459" i="8"/>
  <c r="X460" i="8" s="1"/>
  <c r="Q79" i="2"/>
  <c r="Q81" i="2"/>
  <c r="Q82" i="2"/>
  <c r="K215" i="2"/>
  <c r="K435" i="8"/>
  <c r="AA272" i="2"/>
  <c r="AA451" i="8"/>
  <c r="AA452" i="8" s="1"/>
  <c r="Y142" i="2"/>
  <c r="Y140" i="2"/>
  <c r="N92" i="2"/>
  <c r="N351" i="8"/>
  <c r="N352" i="8" s="1"/>
  <c r="U277" i="2"/>
  <c r="U471" i="8"/>
  <c r="U472" i="8" s="1"/>
  <c r="P149" i="2"/>
  <c r="P375" i="8"/>
  <c r="P376" i="8" s="1"/>
  <c r="L143" i="2"/>
  <c r="Z95" i="2"/>
  <c r="R155" i="2"/>
  <c r="R399" i="8"/>
  <c r="R400" i="8" s="1"/>
  <c r="N327" i="2"/>
  <c r="AA274" i="2"/>
  <c r="AA459" i="8"/>
  <c r="AA460" i="8" s="1"/>
  <c r="Z152" i="2"/>
  <c r="Z387" i="8"/>
  <c r="Z388" i="8" s="1"/>
  <c r="AE147" i="2"/>
  <c r="AE367" i="8"/>
  <c r="AE368" i="8" s="1"/>
  <c r="V89" i="2"/>
  <c r="V339" i="8"/>
  <c r="V340" i="8" s="1"/>
  <c r="S215" i="2"/>
  <c r="S212" i="2"/>
  <c r="AC266" i="2"/>
  <c r="R266" i="2"/>
  <c r="T141" i="2"/>
  <c r="S207" i="2"/>
  <c r="AE28" i="2"/>
  <c r="AE299" i="8"/>
  <c r="AE300" i="8" s="1"/>
  <c r="AC154" i="2"/>
  <c r="AD150" i="2"/>
  <c r="M35" i="2"/>
  <c r="M62" i="2" s="1"/>
  <c r="M327" i="8"/>
  <c r="M328" i="8" s="1"/>
  <c r="AE30" i="2"/>
  <c r="AE307" i="8"/>
  <c r="AE308" i="8" s="1"/>
  <c r="W94" i="2"/>
  <c r="W359" i="8"/>
  <c r="W360" i="8" s="1"/>
  <c r="N27" i="2"/>
  <c r="N295" i="8"/>
  <c r="N296" i="8" s="1"/>
  <c r="L323" i="8"/>
  <c r="L324" i="8" s="1"/>
  <c r="AD427" i="8"/>
  <c r="AD428" i="8" s="1"/>
  <c r="AE523" i="8"/>
  <c r="AE524" i="8" s="1"/>
  <c r="AE471" i="8"/>
  <c r="AE472" i="8" s="1"/>
  <c r="S371" i="8"/>
  <c r="S372" i="8" s="1"/>
  <c r="X463" i="8"/>
  <c r="X464" i="8" s="1"/>
  <c r="Z333" i="2"/>
  <c r="Z491" i="8"/>
  <c r="Z492" i="8" s="1"/>
  <c r="V456" i="2"/>
  <c r="V575" i="8"/>
  <c r="V576" i="8" s="1"/>
  <c r="W393" i="2"/>
  <c r="W527" i="8"/>
  <c r="W528" i="8" s="1"/>
  <c r="Y390" i="2"/>
  <c r="Y515" i="8"/>
  <c r="Y516" i="8" s="1"/>
  <c r="AA397" i="2"/>
  <c r="AA543" i="8"/>
  <c r="AA544" i="8" s="1"/>
  <c r="T397" i="2"/>
  <c r="T543" i="8"/>
  <c r="T544" i="8" s="1"/>
  <c r="AD330" i="2"/>
  <c r="AD479" i="8"/>
  <c r="AD480" i="8" s="1"/>
  <c r="V275" i="2"/>
  <c r="V463" i="8"/>
  <c r="V464" i="8" s="1"/>
  <c r="AE333" i="2"/>
  <c r="AE491" i="8"/>
  <c r="AE492" i="8" s="1"/>
  <c r="AA84" i="2"/>
  <c r="AA81" i="2"/>
  <c r="Y274" i="2"/>
  <c r="Y459" i="8"/>
  <c r="Y460" i="8" s="1"/>
  <c r="AE79" i="2"/>
  <c r="AE85" i="2"/>
  <c r="AE84" i="2"/>
  <c r="AE78" i="2"/>
  <c r="Y215" i="2"/>
  <c r="Y435" i="8"/>
  <c r="Y436" i="8" s="1"/>
  <c r="P210" i="2"/>
  <c r="P415" i="8"/>
  <c r="P416" i="8" s="1"/>
  <c r="AB92" i="2"/>
  <c r="AB351" i="8"/>
  <c r="AB352" i="8" s="1"/>
  <c r="N325" i="2"/>
  <c r="AE335" i="2"/>
  <c r="AE499" i="8"/>
  <c r="AE500" i="8" s="1"/>
  <c r="Y148" i="2"/>
  <c r="AC153" i="2"/>
  <c r="S92" i="2"/>
  <c r="S351" i="8"/>
  <c r="S352" i="8" s="1"/>
  <c r="Y327" i="2"/>
  <c r="AD337" i="2"/>
  <c r="AD507" i="8"/>
  <c r="AD508" i="8" s="1"/>
  <c r="T212" i="2"/>
  <c r="K266" i="2"/>
  <c r="P276" i="2"/>
  <c r="P467" i="8"/>
  <c r="P468" i="8" s="1"/>
  <c r="T30" i="2"/>
  <c r="T307" i="8"/>
  <c r="T308" i="8" s="1"/>
  <c r="U141" i="2"/>
  <c r="S151" i="2"/>
  <c r="S383" i="8"/>
  <c r="S384" i="8" s="1"/>
  <c r="AD94" i="2"/>
  <c r="AD359" i="8"/>
  <c r="AD360" i="8" s="1"/>
  <c r="O28" i="2"/>
  <c r="O299" i="8"/>
  <c r="O300" i="8" s="1"/>
  <c r="AA80" i="2"/>
  <c r="AB154" i="2"/>
  <c r="AB395" i="8"/>
  <c r="AB396" i="8" s="1"/>
  <c r="P150" i="2"/>
  <c r="P379" i="8"/>
  <c r="P380" i="8" s="1"/>
  <c r="L94" i="2"/>
  <c r="M121" i="2" s="1"/>
  <c r="L359" i="8"/>
  <c r="L360" i="8" s="1"/>
  <c r="U269" i="2"/>
  <c r="V295" i="8"/>
  <c r="V296" i="8" s="1"/>
  <c r="AB415" i="8"/>
  <c r="AB416" i="8" s="1"/>
  <c r="M359" i="8"/>
  <c r="M360" i="8" s="1"/>
  <c r="T459" i="8"/>
  <c r="T460" i="8" s="1"/>
  <c r="L443" i="8"/>
  <c r="L444" i="8" s="1"/>
  <c r="X411" i="8"/>
  <c r="X412" i="8" s="1"/>
  <c r="L435" i="8"/>
  <c r="L436" i="8" s="1"/>
  <c r="U551" i="8"/>
  <c r="U552" i="8" s="1"/>
  <c r="U459" i="8"/>
  <c r="U460" i="8" s="1"/>
  <c r="V407" i="8"/>
  <c r="V408" i="8" s="1"/>
  <c r="U467" i="8"/>
  <c r="U468" i="8" s="1"/>
  <c r="Z34" i="2"/>
  <c r="Z323" i="8"/>
  <c r="Z324" i="8" s="1"/>
  <c r="Q148" i="2"/>
  <c r="K389" i="2"/>
  <c r="K511" i="8"/>
  <c r="M208" i="2"/>
  <c r="M235" i="2" s="1"/>
  <c r="M407" i="8"/>
  <c r="M408" i="8" s="1"/>
  <c r="AB395" i="2"/>
  <c r="AB535" i="8"/>
  <c r="AB536" i="8" s="1"/>
  <c r="AC457" i="2"/>
  <c r="AC579" i="8"/>
  <c r="AC580" i="8" s="1"/>
  <c r="AE450" i="2"/>
  <c r="AE551" i="8"/>
  <c r="AE552" i="8" s="1"/>
  <c r="K519" i="8"/>
  <c r="Z259" i="2"/>
  <c r="R273" i="2"/>
  <c r="O334" i="2"/>
  <c r="O495" i="8"/>
  <c r="O496" i="8" s="1"/>
  <c r="W331" i="2"/>
  <c r="W483" i="8"/>
  <c r="W484" i="8" s="1"/>
  <c r="M209" i="2"/>
  <c r="M411" i="8"/>
  <c r="M412" i="8" s="1"/>
  <c r="O213" i="2"/>
  <c r="O427" i="8"/>
  <c r="O428" i="8" s="1"/>
  <c r="AD334" i="2"/>
  <c r="AA208" i="2"/>
  <c r="AA407" i="8"/>
  <c r="AA408" i="8" s="1"/>
  <c r="Z213" i="2"/>
  <c r="Z427" i="8"/>
  <c r="Z428" i="8" s="1"/>
  <c r="K446" i="2"/>
  <c r="T443" i="2"/>
  <c r="T444" i="2"/>
  <c r="T439" i="2"/>
  <c r="Q456" i="2"/>
  <c r="Q575" i="8"/>
  <c r="Q576" i="8" s="1"/>
  <c r="M393" i="2"/>
  <c r="M527" i="8"/>
  <c r="M528" i="8" s="1"/>
  <c r="AD442" i="2"/>
  <c r="L380" i="2"/>
  <c r="R456" i="2"/>
  <c r="R575" i="8"/>
  <c r="R576" i="8" s="1"/>
  <c r="P441" i="2"/>
  <c r="P390" i="2"/>
  <c r="P515" i="8"/>
  <c r="P516" i="8" s="1"/>
  <c r="V385" i="2"/>
  <c r="R259" i="2"/>
  <c r="R262" i="2"/>
  <c r="R265" i="2"/>
  <c r="U382" i="2"/>
  <c r="O387" i="2"/>
  <c r="AE456" i="2"/>
  <c r="AE575" i="8"/>
  <c r="AE576" i="8" s="1"/>
  <c r="Y391" i="2"/>
  <c r="Y519" i="8"/>
  <c r="Y520" i="8" s="1"/>
  <c r="AB389" i="2"/>
  <c r="AB511" i="8"/>
  <c r="AB512" i="8" s="1"/>
  <c r="L330" i="2"/>
  <c r="L479" i="8"/>
  <c r="L480" i="8" s="1"/>
  <c r="Z261" i="2"/>
  <c r="S331" i="2"/>
  <c r="S483" i="8"/>
  <c r="S484" i="8" s="1"/>
  <c r="Z329" i="2"/>
  <c r="Z475" i="8"/>
  <c r="Z476" i="8" s="1"/>
  <c r="T270" i="2"/>
  <c r="T443" i="8"/>
  <c r="T444" i="8" s="1"/>
  <c r="N208" i="2"/>
  <c r="N407" i="8"/>
  <c r="N408" i="8" s="1"/>
  <c r="K265" i="2"/>
  <c r="N213" i="2"/>
  <c r="N427" i="8"/>
  <c r="N428" i="8" s="1"/>
  <c r="AE336" i="2"/>
  <c r="AE503" i="8"/>
  <c r="AE504" i="8" s="1"/>
  <c r="Y323" i="2"/>
  <c r="W275" i="2"/>
  <c r="W463" i="8"/>
  <c r="W464" i="8" s="1"/>
  <c r="K92" i="2"/>
  <c r="K351" i="8"/>
  <c r="P274" i="2"/>
  <c r="P459" i="8"/>
  <c r="P460" i="8" s="1"/>
  <c r="S79" i="2"/>
  <c r="S78" i="2"/>
  <c r="O212" i="2"/>
  <c r="S269" i="2"/>
  <c r="S335" i="2"/>
  <c r="S499" i="8"/>
  <c r="S500" i="8" s="1"/>
  <c r="Q325" i="2"/>
  <c r="O211" i="2"/>
  <c r="N153" i="2"/>
  <c r="N391" i="8"/>
  <c r="N392" i="8" s="1"/>
  <c r="AA78" i="2"/>
  <c r="R92" i="2"/>
  <c r="R351" i="8"/>
  <c r="R352" i="8" s="1"/>
  <c r="Z337" i="2"/>
  <c r="Z507" i="8"/>
  <c r="Z508" i="8" s="1"/>
  <c r="P337" i="2"/>
  <c r="P507" i="8"/>
  <c r="P508" i="8" s="1"/>
  <c r="P147" i="2"/>
  <c r="P367" i="8"/>
  <c r="P368" i="8" s="1"/>
  <c r="AA82" i="2"/>
  <c r="O89" i="2"/>
  <c r="O339" i="8"/>
  <c r="O340" i="8" s="1"/>
  <c r="AC155" i="2"/>
  <c r="AC399" i="8"/>
  <c r="AC400" i="8" s="1"/>
  <c r="L276" i="2"/>
  <c r="AD266" i="2"/>
  <c r="Q29" i="2"/>
  <c r="W141" i="2"/>
  <c r="AC93" i="2"/>
  <c r="AC355" i="8"/>
  <c r="AC356" i="8" s="1"/>
  <c r="T34" i="2"/>
  <c r="T323" i="8"/>
  <c r="T324" i="8" s="1"/>
  <c r="K144" i="2"/>
  <c r="T140" i="2"/>
  <c r="Z153" i="2"/>
  <c r="Z391" i="8"/>
  <c r="Z392" i="8" s="1"/>
  <c r="K77" i="2"/>
  <c r="M29" i="2"/>
  <c r="M303" i="8"/>
  <c r="M304" i="8" s="1"/>
  <c r="AB94" i="2"/>
  <c r="AB359" i="8"/>
  <c r="AB360" i="8" s="1"/>
  <c r="U270" i="2"/>
  <c r="U443" i="8"/>
  <c r="U444" i="8" s="1"/>
  <c r="AB319" i="8"/>
  <c r="AB320" i="8" s="1"/>
  <c r="U491" i="8"/>
  <c r="U492" i="8" s="1"/>
  <c r="AC331" i="8"/>
  <c r="AC332" i="8" s="1"/>
  <c r="P347" i="8"/>
  <c r="P348" i="8" s="1"/>
  <c r="K327" i="8"/>
  <c r="AD411" i="8"/>
  <c r="AD412" i="8" s="1"/>
  <c r="S395" i="8"/>
  <c r="S396" i="8" s="1"/>
  <c r="M435" i="8"/>
  <c r="M436" i="8" s="1"/>
  <c r="R511" i="8"/>
  <c r="R512" i="8" s="1"/>
  <c r="O275" i="2"/>
  <c r="O463" i="8"/>
  <c r="O464" i="8" s="1"/>
  <c r="Z454" i="2"/>
  <c r="Z567" i="8"/>
  <c r="Z568" i="8" s="1"/>
  <c r="M449" i="2"/>
  <c r="M476" i="2" s="1"/>
  <c r="M547" i="8"/>
  <c r="M548" i="8" s="1"/>
  <c r="AE393" i="2"/>
  <c r="AE527" i="8"/>
  <c r="AE528" i="8" s="1"/>
  <c r="T451" i="2"/>
  <c r="T555" i="8"/>
  <c r="T556" i="8" s="1"/>
  <c r="Q382" i="2"/>
  <c r="AE395" i="2"/>
  <c r="AE535" i="8"/>
  <c r="AE536" i="8" s="1"/>
  <c r="L396" i="2"/>
  <c r="L539" i="8"/>
  <c r="L540" i="8" s="1"/>
  <c r="AA450" i="2"/>
  <c r="AA551" i="8"/>
  <c r="AA552" i="8" s="1"/>
  <c r="Y446" i="2"/>
  <c r="W452" i="2"/>
  <c r="W559" i="8"/>
  <c r="W560" i="8" s="1"/>
  <c r="Z455" i="2"/>
  <c r="Z571" i="8"/>
  <c r="Z572" i="8" s="1"/>
  <c r="Y445" i="2"/>
  <c r="AD380" i="2"/>
  <c r="Z380" i="2"/>
  <c r="T445" i="2"/>
  <c r="AD441" i="2"/>
  <c r="X277" i="2"/>
  <c r="X471" i="8"/>
  <c r="X472" i="8" s="1"/>
  <c r="AC332" i="2"/>
  <c r="AC487" i="8"/>
  <c r="AC488" i="8" s="1"/>
  <c r="L383" i="2"/>
  <c r="AE272" i="2"/>
  <c r="AE451" i="8"/>
  <c r="AE452" i="8" s="1"/>
  <c r="V382" i="2"/>
  <c r="P397" i="2"/>
  <c r="P543" i="8"/>
  <c r="P544" i="8" s="1"/>
  <c r="AC387" i="2"/>
  <c r="S385" i="2"/>
  <c r="W441" i="2"/>
  <c r="N381" i="2"/>
  <c r="W379" i="2"/>
  <c r="V269" i="2"/>
  <c r="V439" i="8"/>
  <c r="V440" i="8" s="1"/>
  <c r="W207" i="2"/>
  <c r="W403" i="8"/>
  <c r="W404" i="8" s="1"/>
  <c r="AE330" i="2"/>
  <c r="W271" i="2"/>
  <c r="AA277" i="2"/>
  <c r="AA471" i="8"/>
  <c r="AA472" i="8" s="1"/>
  <c r="W444" i="2"/>
  <c r="AB208" i="2"/>
  <c r="AB407" i="8"/>
  <c r="AB408" i="8" s="1"/>
  <c r="AB333" i="2"/>
  <c r="AB491" i="8"/>
  <c r="AB492" i="8" s="1"/>
  <c r="AA275" i="2"/>
  <c r="AA463" i="8"/>
  <c r="AA464" i="8" s="1"/>
  <c r="AB213" i="2"/>
  <c r="AB427" i="8"/>
  <c r="AB428" i="8" s="1"/>
  <c r="M391" i="2"/>
  <c r="M418" i="2" s="1"/>
  <c r="M519" i="8"/>
  <c r="M520" i="8" s="1"/>
  <c r="N323" i="2"/>
  <c r="AE82" i="2"/>
  <c r="K264" i="2"/>
  <c r="AC214" i="2"/>
  <c r="AC208" i="2"/>
  <c r="AC212" i="2"/>
  <c r="AC423" i="8"/>
  <c r="AC424" i="8" s="1"/>
  <c r="S210" i="2"/>
  <c r="X335" i="2"/>
  <c r="X499" i="8"/>
  <c r="X500" i="8" s="1"/>
  <c r="R335" i="2"/>
  <c r="R499" i="8"/>
  <c r="R500" i="8" s="1"/>
  <c r="U138" i="2"/>
  <c r="AB207" i="2"/>
  <c r="AB403" i="8"/>
  <c r="AB404" i="8" s="1"/>
  <c r="AD153" i="2"/>
  <c r="AB32" i="2"/>
  <c r="AB315" i="8"/>
  <c r="AB316" i="8" s="1"/>
  <c r="K337" i="2"/>
  <c r="K507" i="8"/>
  <c r="AE337" i="2"/>
  <c r="R149" i="2"/>
  <c r="R375" i="8"/>
  <c r="R376" i="8" s="1"/>
  <c r="U137" i="2"/>
  <c r="AC89" i="2"/>
  <c r="AC339" i="8"/>
  <c r="AC340" i="8" s="1"/>
  <c r="K81" i="2"/>
  <c r="V155" i="2"/>
  <c r="V399" i="8"/>
  <c r="V400" i="8" s="1"/>
  <c r="M266" i="2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Y30" i="2"/>
  <c r="Y307" i="8"/>
  <c r="Y308" i="8" s="1"/>
  <c r="V303" i="8"/>
  <c r="V304" i="8" s="1"/>
  <c r="Y419" i="8"/>
  <c r="Y420" i="8" s="1"/>
  <c r="X367" i="8"/>
  <c r="X368" i="8" s="1"/>
  <c r="AB443" i="8"/>
  <c r="AB444" i="8" s="1"/>
  <c r="W331" i="8"/>
  <c r="W332" i="8" s="1"/>
  <c r="K415" i="8"/>
  <c r="O423" i="8"/>
  <c r="O424" i="8" s="1"/>
  <c r="S415" i="8"/>
  <c r="S416" i="8" s="1"/>
  <c r="T415" i="8"/>
  <c r="T416" i="8" s="1"/>
  <c r="V467" i="8"/>
  <c r="V468" i="8" s="1"/>
  <c r="V479" i="8"/>
  <c r="V480" i="8" s="1"/>
  <c r="Q80" i="2"/>
  <c r="T27" i="2"/>
  <c r="T295" i="8"/>
  <c r="T296" i="8" s="1"/>
  <c r="T335" i="8"/>
  <c r="T336" i="8" s="1"/>
  <c r="N307" i="8"/>
  <c r="N308" i="8" s="1"/>
  <c r="Z375" i="8"/>
  <c r="Z376" i="8" s="1"/>
  <c r="W507" i="8"/>
  <c r="W508" i="8" s="1"/>
  <c r="R17" i="2"/>
  <c r="Z140" i="2"/>
  <c r="O31" i="2"/>
  <c r="AD423" i="8"/>
  <c r="AD424" i="8" s="1"/>
  <c r="Q423" i="8"/>
  <c r="Q424" i="8" s="1"/>
  <c r="Z144" i="2"/>
  <c r="P212" i="2"/>
  <c r="U210" i="2"/>
  <c r="AC148" i="2"/>
  <c r="AD335" i="2"/>
  <c r="Q155" i="2"/>
  <c r="T143" i="2"/>
  <c r="K207" i="2"/>
  <c r="AA266" i="2"/>
  <c r="O141" i="2"/>
  <c r="K83" i="2"/>
  <c r="U144" i="2"/>
  <c r="W140" i="2"/>
  <c r="N335" i="8"/>
  <c r="N336" i="8" s="1"/>
  <c r="O335" i="8"/>
  <c r="O336" i="8" s="1"/>
  <c r="AC27" i="2"/>
  <c r="R264" i="2"/>
  <c r="P215" i="2"/>
  <c r="AA145" i="2"/>
  <c r="M138" i="2"/>
  <c r="P335" i="2"/>
  <c r="O210" i="2"/>
  <c r="V143" i="2"/>
  <c r="Z138" i="2"/>
  <c r="T207" i="2"/>
  <c r="M137" i="2"/>
  <c r="W33" i="2"/>
  <c r="K78" i="2"/>
  <c r="O266" i="2"/>
  <c r="P151" i="2"/>
  <c r="AA34" i="2"/>
  <c r="W144" i="2"/>
  <c r="O30" i="2"/>
  <c r="U363" i="8"/>
  <c r="U364" i="8" s="1"/>
  <c r="L499" i="8"/>
  <c r="L500" i="8" s="1"/>
  <c r="AC371" i="8"/>
  <c r="AC372" i="8" s="1"/>
  <c r="P423" i="8"/>
  <c r="P424" i="8" s="1"/>
  <c r="X379" i="8"/>
  <c r="X380" i="8" s="1"/>
  <c r="Q459" i="8"/>
  <c r="Q460" i="8" s="1"/>
  <c r="Z83" i="2"/>
  <c r="Q83" i="2"/>
  <c r="M307" i="8"/>
  <c r="M308" i="8" s="1"/>
  <c r="P435" i="8"/>
  <c r="P436" i="8" s="1"/>
  <c r="P499" i="8"/>
  <c r="P500" i="8" s="1"/>
  <c r="Z80" i="2"/>
  <c r="U27" i="2"/>
  <c r="R24" i="2"/>
  <c r="O359" i="8"/>
  <c r="O360" i="8" s="1"/>
  <c r="T403" i="8"/>
  <c r="T404" i="8" s="1"/>
  <c r="AD499" i="8"/>
  <c r="AD500" i="8" s="1"/>
  <c r="U272" i="2"/>
  <c r="AA27" i="2"/>
  <c r="V415" i="8"/>
  <c r="V416" i="8" s="1"/>
  <c r="R347" i="8"/>
  <c r="R348" i="8" s="1"/>
  <c r="Y327" i="8"/>
  <c r="Y328" i="8" s="1"/>
  <c r="P383" i="8"/>
  <c r="P384" i="8" s="1"/>
  <c r="L507" i="8"/>
  <c r="L508" i="8" s="1"/>
  <c r="S80" i="2"/>
  <c r="AA323" i="8"/>
  <c r="AA324" i="8" s="1"/>
  <c r="R359" i="8"/>
  <c r="R360" i="8" s="1"/>
  <c r="AB367" i="8"/>
  <c r="AB368" i="8" s="1"/>
  <c r="N117" i="2" l="1"/>
  <c r="M55" i="8"/>
  <c r="M56" i="8" s="1"/>
  <c r="Y439" i="8"/>
  <c r="Y440" i="8" s="1"/>
  <c r="Y269" i="2"/>
  <c r="AD563" i="8"/>
  <c r="AD564" i="8" s="1"/>
  <c r="AE395" i="8"/>
  <c r="AE396" i="8" s="1"/>
  <c r="M270" i="2"/>
  <c r="P396" i="2"/>
  <c r="AE457" i="2"/>
  <c r="T390" i="2"/>
  <c r="W449" i="2"/>
  <c r="O511" i="8"/>
  <c r="O512" i="8" s="1"/>
  <c r="V212" i="2"/>
  <c r="Y443" i="8"/>
  <c r="Y444" i="8" s="1"/>
  <c r="Y270" i="2"/>
  <c r="S27" i="2"/>
  <c r="S295" i="8"/>
  <c r="S296" i="8" s="1"/>
  <c r="AA392" i="2"/>
  <c r="AA523" i="8"/>
  <c r="AA524" i="8" s="1"/>
  <c r="AC95" i="2"/>
  <c r="AC363" i="8"/>
  <c r="AC364" i="8" s="1"/>
  <c r="N209" i="2"/>
  <c r="Y299" i="8"/>
  <c r="Y300" i="8" s="1"/>
  <c r="Y28" i="2"/>
  <c r="Q35" i="2"/>
  <c r="Q327" i="8"/>
  <c r="Q328" i="8" s="1"/>
  <c r="AB450" i="2"/>
  <c r="AB551" i="8"/>
  <c r="AB552" i="8" s="1"/>
  <c r="Y271" i="2"/>
  <c r="AB31" i="2"/>
  <c r="AB311" i="8"/>
  <c r="AB312" i="8" s="1"/>
  <c r="Z33" i="2"/>
  <c r="Z319" i="8"/>
  <c r="Z320" i="8" s="1"/>
  <c r="Q269" i="2"/>
  <c r="Q439" i="8"/>
  <c r="Q440" i="8" s="1"/>
  <c r="S29" i="2"/>
  <c r="S303" i="8"/>
  <c r="S304" i="8" s="1"/>
  <c r="N32" i="2"/>
  <c r="N59" i="2" s="1"/>
  <c r="N315" i="8"/>
  <c r="N316" i="8" s="1"/>
  <c r="Q31" i="2"/>
  <c r="Q311" i="8"/>
  <c r="Q312" i="8" s="1"/>
  <c r="AB453" i="2"/>
  <c r="AB563" i="8"/>
  <c r="AB564" i="8" s="1"/>
  <c r="M563" i="8"/>
  <c r="M564" i="8" s="1"/>
  <c r="O327" i="8"/>
  <c r="O328" i="8" s="1"/>
  <c r="R527" i="8"/>
  <c r="R528" i="8" s="1"/>
  <c r="P535" i="8"/>
  <c r="P536" i="8" s="1"/>
  <c r="Y547" i="8"/>
  <c r="Y548" i="8" s="1"/>
  <c r="N214" i="2"/>
  <c r="N431" i="8"/>
  <c r="N432" i="8" s="1"/>
  <c r="F432" i="8" s="1"/>
  <c r="V331" i="2"/>
  <c r="V483" i="8"/>
  <c r="V484" i="8" s="1"/>
  <c r="F416" i="8"/>
  <c r="U559" i="8"/>
  <c r="U560" i="8" s="1"/>
  <c r="U452" i="2"/>
  <c r="Y315" i="8"/>
  <c r="Y316" i="8" s="1"/>
  <c r="M357" i="2"/>
  <c r="M297" i="2"/>
  <c r="M236" i="2"/>
  <c r="AC315" i="8"/>
  <c r="AC316" i="8" s="1"/>
  <c r="AC32" i="2"/>
  <c r="R391" i="2"/>
  <c r="R519" i="8"/>
  <c r="R520" i="8" s="1"/>
  <c r="R452" i="2"/>
  <c r="R559" i="8"/>
  <c r="R560" i="8" s="1"/>
  <c r="Q27" i="2"/>
  <c r="Q295" i="8"/>
  <c r="Q296" i="8" s="1"/>
  <c r="V214" i="2"/>
  <c r="V431" i="8"/>
  <c r="V432" i="8" s="1"/>
  <c r="W327" i="8"/>
  <c r="W328" i="8" s="1"/>
  <c r="AE539" i="8"/>
  <c r="AE540" i="8" s="1"/>
  <c r="Z32" i="2"/>
  <c r="Z315" i="8"/>
  <c r="Z316" i="8" s="1"/>
  <c r="P33" i="2"/>
  <c r="P319" i="8"/>
  <c r="P320" i="8" s="1"/>
  <c r="N148" i="2"/>
  <c r="N371" i="8"/>
  <c r="N372" i="8" s="1"/>
  <c r="M31" i="2"/>
  <c r="M58" i="2" s="1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M240" i="2"/>
  <c r="M515" i="8"/>
  <c r="M516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V457" i="2"/>
  <c r="V579" i="8"/>
  <c r="V580" i="8" s="1"/>
  <c r="S31" i="2"/>
  <c r="S311" i="8"/>
  <c r="S312" i="8" s="1"/>
  <c r="AB449" i="2"/>
  <c r="AB547" i="8"/>
  <c r="AB548" i="8" s="1"/>
  <c r="Y393" i="2"/>
  <c r="Y527" i="8"/>
  <c r="Y528" i="8" s="1"/>
  <c r="AC439" i="8"/>
  <c r="AC440" i="8" s="1"/>
  <c r="T391" i="2"/>
  <c r="AA451" i="2"/>
  <c r="O336" i="2"/>
  <c r="R443" i="8"/>
  <c r="R444" i="8" s="1"/>
  <c r="L383" i="8"/>
  <c r="L384" i="8" s="1"/>
  <c r="P519" i="8"/>
  <c r="P520" i="8" s="1"/>
  <c r="AB457" i="2"/>
  <c r="AB579" i="8"/>
  <c r="AB580" i="8" s="1"/>
  <c r="X213" i="2"/>
  <c r="X427" i="8"/>
  <c r="X428" i="8" s="1"/>
  <c r="AC415" i="8"/>
  <c r="AC416" i="8" s="1"/>
  <c r="AC210" i="2"/>
  <c r="V329" i="2"/>
  <c r="V475" i="8"/>
  <c r="V476" i="8" s="1"/>
  <c r="S35" i="2"/>
  <c r="S327" i="8"/>
  <c r="S328" i="8" s="1"/>
  <c r="R383" i="8"/>
  <c r="R384" i="8" s="1"/>
  <c r="Q207" i="2"/>
  <c r="M299" i="2"/>
  <c r="AA415" i="8"/>
  <c r="AA416" i="8" s="1"/>
  <c r="AA210" i="2"/>
  <c r="V455" i="2"/>
  <c r="V571" i="8"/>
  <c r="V572" i="8" s="1"/>
  <c r="X487" i="8"/>
  <c r="X488" i="8" s="1"/>
  <c r="X332" i="2"/>
  <c r="AB452" i="2"/>
  <c r="AB559" i="8"/>
  <c r="AB560" i="8" s="1"/>
  <c r="R447" i="8"/>
  <c r="R448" i="8" s="1"/>
  <c r="T471" i="8"/>
  <c r="T472" i="8" s="1"/>
  <c r="T277" i="2"/>
  <c r="V272" i="2"/>
  <c r="V451" i="8"/>
  <c r="V452" i="8" s="1"/>
  <c r="V563" i="8"/>
  <c r="V564" i="8" s="1"/>
  <c r="V453" i="2"/>
  <c r="Q277" i="2"/>
  <c r="Q471" i="8"/>
  <c r="Q472" i="8" s="1"/>
  <c r="N28" i="2"/>
  <c r="N299" i="8"/>
  <c r="N300" i="8" s="1"/>
  <c r="AE151" i="2"/>
  <c r="AE383" i="8"/>
  <c r="AE384" i="8" s="1"/>
  <c r="K515" i="8"/>
  <c r="V334" i="2"/>
  <c r="V495" i="8"/>
  <c r="V496" i="8" s="1"/>
  <c r="V33" i="2"/>
  <c r="V319" i="8"/>
  <c r="V320" i="8" s="1"/>
  <c r="AA475" i="8"/>
  <c r="AA476" i="8" s="1"/>
  <c r="AA329" i="2"/>
  <c r="AC31" i="2"/>
  <c r="AC311" i="8"/>
  <c r="AC312" i="8" s="1"/>
  <c r="L329" i="2"/>
  <c r="M356" i="2" s="1"/>
  <c r="L475" i="8"/>
  <c r="L476" i="8" s="1"/>
  <c r="R379" i="8"/>
  <c r="R380" i="8" s="1"/>
  <c r="M241" i="2"/>
  <c r="M143" i="8" s="1"/>
  <c r="M144" i="8" s="1"/>
  <c r="Y303" i="8"/>
  <c r="Y304" i="8" s="1"/>
  <c r="Y539" i="8"/>
  <c r="Y540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V452" i="2"/>
  <c r="V559" i="8"/>
  <c r="V560" i="8" s="1"/>
  <c r="Y27" i="2"/>
  <c r="Y295" i="8"/>
  <c r="Y296" i="8" s="1"/>
  <c r="S214" i="2"/>
  <c r="AB451" i="2"/>
  <c r="AB555" i="8"/>
  <c r="AB556" i="8" s="1"/>
  <c r="F408" i="8"/>
  <c r="M56" i="2"/>
  <c r="N56" i="2" s="1"/>
  <c r="AA331" i="2"/>
  <c r="N155" i="2"/>
  <c r="N399" i="8"/>
  <c r="N400" i="8" s="1"/>
  <c r="P371" i="8"/>
  <c r="P372" i="8" s="1"/>
  <c r="P148" i="2"/>
  <c r="V209" i="2"/>
  <c r="V411" i="8"/>
  <c r="V412" i="8" s="1"/>
  <c r="AD487" i="8"/>
  <c r="AD488" i="8" s="1"/>
  <c r="AD332" i="2"/>
  <c r="Y311" i="8"/>
  <c r="Y312" i="8" s="1"/>
  <c r="Y31" i="2"/>
  <c r="Q28" i="2"/>
  <c r="Q299" i="8"/>
  <c r="Q300" i="8" s="1"/>
  <c r="O329" i="2"/>
  <c r="AC28" i="2"/>
  <c r="AC299" i="8"/>
  <c r="AC300" i="8" s="1"/>
  <c r="M15" i="8"/>
  <c r="M16" i="8" s="1"/>
  <c r="N239" i="2"/>
  <c r="M135" i="8"/>
  <c r="M136" i="8" s="1"/>
  <c r="N363" i="2"/>
  <c r="M215" i="8"/>
  <c r="M216" i="8" s="1"/>
  <c r="M235" i="8"/>
  <c r="M236" i="8" s="1"/>
  <c r="M195" i="8"/>
  <c r="M196" i="8" s="1"/>
  <c r="M123" i="2"/>
  <c r="N114" i="2"/>
  <c r="M43" i="8"/>
  <c r="M44" i="8" s="1"/>
  <c r="N242" i="2"/>
  <c r="M147" i="8"/>
  <c r="M148" i="8" s="1"/>
  <c r="M191" i="8"/>
  <c r="M192" i="8" s="1"/>
  <c r="M203" i="8"/>
  <c r="M204" i="8" s="1"/>
  <c r="M207" i="8"/>
  <c r="M208" i="8" s="1"/>
  <c r="N236" i="2"/>
  <c r="M123" i="8"/>
  <c r="M124" i="8" s="1"/>
  <c r="N234" i="2"/>
  <c r="M243" i="2"/>
  <c r="M115" i="8"/>
  <c r="M116" i="8" s="1"/>
  <c r="N115" i="2"/>
  <c r="M47" i="8"/>
  <c r="M48" i="8" s="1"/>
  <c r="N241" i="2"/>
  <c r="N62" i="2"/>
  <c r="M39" i="8"/>
  <c r="M40" i="8" s="1"/>
  <c r="N240" i="2"/>
  <c r="M139" i="8"/>
  <c r="M140" i="8" s="1"/>
  <c r="M231" i="8"/>
  <c r="M232" i="8" s="1"/>
  <c r="N235" i="2"/>
  <c r="M119" i="8"/>
  <c r="M120" i="8" s="1"/>
  <c r="N121" i="2"/>
  <c r="M71" i="8"/>
  <c r="M72" i="8" s="1"/>
  <c r="N301" i="2"/>
  <c r="M171" i="8"/>
  <c r="M172" i="8" s="1"/>
  <c r="N238" i="2"/>
  <c r="M131" i="8"/>
  <c r="M132" i="8" s="1"/>
  <c r="U154" i="2"/>
  <c r="U395" i="8"/>
  <c r="U396" i="8" s="1"/>
  <c r="Z390" i="2"/>
  <c r="Z515" i="8"/>
  <c r="Z516" i="8" s="1"/>
  <c r="F404" i="8"/>
  <c r="AA396" i="2"/>
  <c r="AA539" i="8"/>
  <c r="AA540" i="8" s="1"/>
  <c r="O151" i="2"/>
  <c r="O383" i="8"/>
  <c r="O384" i="8" s="1"/>
  <c r="N396" i="2"/>
  <c r="N539" i="8"/>
  <c r="N540" i="8" s="1"/>
  <c r="O393" i="2"/>
  <c r="O527" i="8"/>
  <c r="O528" i="8" s="1"/>
  <c r="S88" i="2"/>
  <c r="S335" i="8"/>
  <c r="S336" i="8" s="1"/>
  <c r="K88" i="2"/>
  <c r="K335" i="8"/>
  <c r="Q93" i="2"/>
  <c r="Q355" i="8"/>
  <c r="Q356" i="8" s="1"/>
  <c r="N391" i="2"/>
  <c r="N418" i="2" s="1"/>
  <c r="N519" i="8"/>
  <c r="N520" i="8" s="1"/>
  <c r="AD451" i="2"/>
  <c r="AD555" i="8"/>
  <c r="AD556" i="8" s="1"/>
  <c r="K154" i="2"/>
  <c r="K395" i="8"/>
  <c r="Q335" i="2"/>
  <c r="Q499" i="8"/>
  <c r="Q500" i="8" s="1"/>
  <c r="T453" i="2"/>
  <c r="T563" i="8"/>
  <c r="T564" i="8" s="1"/>
  <c r="T151" i="2"/>
  <c r="T383" i="8"/>
  <c r="T384" i="8" s="1"/>
  <c r="O154" i="2"/>
  <c r="O395" i="8"/>
  <c r="O396" i="8" s="1"/>
  <c r="Y329" i="2"/>
  <c r="Y475" i="8"/>
  <c r="Y476" i="8" s="1"/>
  <c r="AD275" i="2"/>
  <c r="AD463" i="8"/>
  <c r="AD464" i="8" s="1"/>
  <c r="F420" i="8"/>
  <c r="X451" i="2"/>
  <c r="X555" i="8"/>
  <c r="X556" i="8" s="1"/>
  <c r="P393" i="2"/>
  <c r="P527" i="8"/>
  <c r="P528" i="8" s="1"/>
  <c r="AE152" i="2"/>
  <c r="AE387" i="8"/>
  <c r="AE388" i="8" s="1"/>
  <c r="Q332" i="2"/>
  <c r="Q487" i="8"/>
  <c r="Q488" i="8" s="1"/>
  <c r="AE449" i="2"/>
  <c r="AE547" i="8"/>
  <c r="AE548" i="8" s="1"/>
  <c r="T155" i="2"/>
  <c r="T399" i="8"/>
  <c r="T400" i="8" s="1"/>
  <c r="S392" i="2"/>
  <c r="S523" i="8"/>
  <c r="S524" i="8" s="1"/>
  <c r="M152" i="2"/>
  <c r="M179" i="2" s="1"/>
  <c r="M387" i="8"/>
  <c r="M388" i="8" s="1"/>
  <c r="N296" i="2"/>
  <c r="M151" i="8"/>
  <c r="M152" i="8" s="1"/>
  <c r="AC393" i="2"/>
  <c r="AC527" i="8"/>
  <c r="AC528" i="8" s="1"/>
  <c r="U390" i="2"/>
  <c r="U515" i="8"/>
  <c r="U516" i="8" s="1"/>
  <c r="Y330" i="2"/>
  <c r="Y479" i="8"/>
  <c r="Y480" i="8" s="1"/>
  <c r="N297" i="2"/>
  <c r="M155" i="8"/>
  <c r="M156" i="8" s="1"/>
  <c r="K152" i="2"/>
  <c r="K387" i="8"/>
  <c r="K273" i="2"/>
  <c r="K455" i="8"/>
  <c r="N392" i="2"/>
  <c r="N419" i="2" s="1"/>
  <c r="N523" i="8"/>
  <c r="N524" i="8" s="1"/>
  <c r="P456" i="2"/>
  <c r="P575" i="8"/>
  <c r="P576" i="8" s="1"/>
  <c r="Y337" i="2"/>
  <c r="Y507" i="8"/>
  <c r="Y508" i="8" s="1"/>
  <c r="M259" i="8"/>
  <c r="M260" i="8" s="1"/>
  <c r="O453" i="2"/>
  <c r="O563" i="8"/>
  <c r="O564" i="8" s="1"/>
  <c r="AE95" i="2"/>
  <c r="AE363" i="8"/>
  <c r="AE364" i="8" s="1"/>
  <c r="AD395" i="2"/>
  <c r="AD535" i="8"/>
  <c r="AD536" i="8" s="1"/>
  <c r="K87" i="2"/>
  <c r="K331" i="8"/>
  <c r="Z93" i="2"/>
  <c r="Z355" i="8"/>
  <c r="Z356" i="8" s="1"/>
  <c r="W150" i="2"/>
  <c r="W379" i="8"/>
  <c r="W380" i="8" s="1"/>
  <c r="W451" i="2"/>
  <c r="W555" i="8"/>
  <c r="W556" i="8" s="1"/>
  <c r="T455" i="2"/>
  <c r="T571" i="8"/>
  <c r="T572" i="8" s="1"/>
  <c r="AA92" i="2"/>
  <c r="AA351" i="8"/>
  <c r="AA352" i="8" s="1"/>
  <c r="K456" i="2"/>
  <c r="K575" i="8"/>
  <c r="AA90" i="2"/>
  <c r="AA343" i="8"/>
  <c r="AA344" i="8" s="1"/>
  <c r="R276" i="2"/>
  <c r="R467" i="8"/>
  <c r="R468" i="8" s="1"/>
  <c r="K155" i="2"/>
  <c r="K399" i="8"/>
  <c r="L148" i="2"/>
  <c r="L371" i="8"/>
  <c r="L372" i="8" s="1"/>
  <c r="N422" i="2"/>
  <c r="M247" i="8"/>
  <c r="M248" i="8" s="1"/>
  <c r="Z392" i="2"/>
  <c r="Z523" i="8"/>
  <c r="Z524" i="8" s="1"/>
  <c r="N455" i="2"/>
  <c r="N571" i="8"/>
  <c r="N572" i="8" s="1"/>
  <c r="AE149" i="2"/>
  <c r="AE375" i="8"/>
  <c r="AE376" i="8" s="1"/>
  <c r="AC331" i="2"/>
  <c r="AC483" i="8"/>
  <c r="AC484" i="8" s="1"/>
  <c r="R30" i="2"/>
  <c r="R307" i="8"/>
  <c r="R308" i="8" s="1"/>
  <c r="F308" i="8" s="1"/>
  <c r="AC274" i="2"/>
  <c r="AC459" i="8"/>
  <c r="AC460" i="8" s="1"/>
  <c r="Z395" i="2"/>
  <c r="Z535" i="8"/>
  <c r="Z536" i="8" s="1"/>
  <c r="M450" i="2"/>
  <c r="M551" i="8"/>
  <c r="M552" i="8" s="1"/>
  <c r="Q390" i="2"/>
  <c r="Q515" i="8"/>
  <c r="Q516" i="8" s="1"/>
  <c r="N450" i="2"/>
  <c r="N551" i="8"/>
  <c r="N552" i="8" s="1"/>
  <c r="K452" i="2"/>
  <c r="K559" i="8"/>
  <c r="P454" i="2"/>
  <c r="P567" i="8"/>
  <c r="P568" i="8" s="1"/>
  <c r="AC394" i="2"/>
  <c r="AC531" i="8"/>
  <c r="AC532" i="8" s="1"/>
  <c r="Y336" i="2"/>
  <c r="Y503" i="8"/>
  <c r="Y504" i="8" s="1"/>
  <c r="N336" i="2"/>
  <c r="N503" i="8"/>
  <c r="N504" i="8" s="1"/>
  <c r="F504" i="8" s="1"/>
  <c r="N389" i="2"/>
  <c r="N511" i="8"/>
  <c r="N512" i="8" s="1"/>
  <c r="R33" i="2"/>
  <c r="R319" i="8"/>
  <c r="R320" i="8" s="1"/>
  <c r="K93" i="2"/>
  <c r="K355" i="8"/>
  <c r="AA87" i="2"/>
  <c r="AA331" i="8"/>
  <c r="AA332" i="8" s="1"/>
  <c r="AE93" i="2"/>
  <c r="AE355" i="8"/>
  <c r="AE356" i="8" s="1"/>
  <c r="AD391" i="2"/>
  <c r="AD519" i="8"/>
  <c r="AD520" i="8" s="1"/>
  <c r="O451" i="2"/>
  <c r="O555" i="8"/>
  <c r="O556" i="8" s="1"/>
  <c r="Z277" i="2"/>
  <c r="Z471" i="8"/>
  <c r="Z472" i="8" s="1"/>
  <c r="R28" i="2"/>
  <c r="R299" i="8"/>
  <c r="R300" i="8" s="1"/>
  <c r="F300" i="8" s="1"/>
  <c r="W154" i="2"/>
  <c r="W395" i="8"/>
  <c r="W396" i="8" s="1"/>
  <c r="Y455" i="2"/>
  <c r="Y571" i="8"/>
  <c r="Y572" i="8" s="1"/>
  <c r="F424" i="8"/>
  <c r="S93" i="2"/>
  <c r="S355" i="8"/>
  <c r="S356" i="8" s="1"/>
  <c r="Q396" i="2"/>
  <c r="Q539" i="8"/>
  <c r="Q540" i="8" s="1"/>
  <c r="Z274" i="2"/>
  <c r="Z459" i="8"/>
  <c r="Z460" i="8" s="1"/>
  <c r="M219" i="8"/>
  <c r="M220" i="8" s="1"/>
  <c r="R35" i="2"/>
  <c r="R327" i="8"/>
  <c r="R328" i="8" s="1"/>
  <c r="R274" i="2"/>
  <c r="R459" i="8"/>
  <c r="R460" i="8" s="1"/>
  <c r="Q90" i="2"/>
  <c r="Q343" i="8"/>
  <c r="Q344" i="8" s="1"/>
  <c r="AE90" i="2"/>
  <c r="AE343" i="8"/>
  <c r="AE344" i="8" s="1"/>
  <c r="Q89" i="2"/>
  <c r="Q339" i="8"/>
  <c r="Q340" i="8" s="1"/>
  <c r="L451" i="2"/>
  <c r="M478" i="2" s="1"/>
  <c r="L555" i="8"/>
  <c r="L556" i="8" s="1"/>
  <c r="W397" i="2"/>
  <c r="W543" i="8"/>
  <c r="W544" i="8" s="1"/>
  <c r="N54" i="2"/>
  <c r="M63" i="2"/>
  <c r="M7" i="8"/>
  <c r="M8" i="8" s="1"/>
  <c r="AC335" i="2"/>
  <c r="AC499" i="8"/>
  <c r="AC500" i="8" s="1"/>
  <c r="Q95" i="2"/>
  <c r="Q363" i="8"/>
  <c r="Q364" i="8" s="1"/>
  <c r="F364" i="8" s="1"/>
  <c r="Y453" i="2"/>
  <c r="Y563" i="8"/>
  <c r="Y564" i="8" s="1"/>
  <c r="L455" i="2"/>
  <c r="M482" i="2" s="1"/>
  <c r="L571" i="8"/>
  <c r="L572" i="8" s="1"/>
  <c r="K269" i="2"/>
  <c r="K439" i="8"/>
  <c r="X394" i="2"/>
  <c r="X531" i="8"/>
  <c r="X532" i="8" s="1"/>
  <c r="R31" i="2"/>
  <c r="R311" i="8"/>
  <c r="R312" i="8" s="1"/>
  <c r="F312" i="8" s="1"/>
  <c r="O449" i="2"/>
  <c r="O547" i="8"/>
  <c r="O548" i="8" s="1"/>
  <c r="M276" i="2"/>
  <c r="M467" i="8"/>
  <c r="M468" i="8" s="1"/>
  <c r="AE92" i="2"/>
  <c r="AE351" i="8"/>
  <c r="AE352" i="8" s="1"/>
  <c r="V392" i="2"/>
  <c r="V523" i="8"/>
  <c r="V524" i="8" s="1"/>
  <c r="S89" i="2"/>
  <c r="S339" i="8"/>
  <c r="S340" i="8" s="1"/>
  <c r="L390" i="2"/>
  <c r="L515" i="8"/>
  <c r="L516" i="8" s="1"/>
  <c r="M417" i="2"/>
  <c r="AE89" i="2"/>
  <c r="AE339" i="8"/>
  <c r="AE340" i="8" s="1"/>
  <c r="S94" i="2"/>
  <c r="S359" i="8"/>
  <c r="S360" i="8" s="1"/>
  <c r="W390" i="2"/>
  <c r="W515" i="8"/>
  <c r="W516" i="8" s="1"/>
  <c r="Z397" i="2"/>
  <c r="Z543" i="8"/>
  <c r="Z544" i="8" s="1"/>
  <c r="AA270" i="2"/>
  <c r="AA443" i="8"/>
  <c r="AA444" i="8" s="1"/>
  <c r="Y457" i="2"/>
  <c r="Y579" i="8"/>
  <c r="Y580" i="8" s="1"/>
  <c r="Q391" i="2"/>
  <c r="Q519" i="8"/>
  <c r="Q520" i="8" s="1"/>
  <c r="AC452" i="2"/>
  <c r="AC559" i="8"/>
  <c r="AC560" i="8" s="1"/>
  <c r="M27" i="8"/>
  <c r="M28" i="8" s="1"/>
  <c r="AB393" i="2"/>
  <c r="AB527" i="8"/>
  <c r="AB528" i="8" s="1"/>
  <c r="O270" i="2"/>
  <c r="O443" i="8"/>
  <c r="O444" i="8" s="1"/>
  <c r="K396" i="2"/>
  <c r="K539" i="8"/>
  <c r="M150" i="2"/>
  <c r="M379" i="8"/>
  <c r="M380" i="8" s="1"/>
  <c r="K147" i="2"/>
  <c r="K367" i="8"/>
  <c r="O155" i="2"/>
  <c r="O399" i="8"/>
  <c r="O400" i="8" s="1"/>
  <c r="L454" i="2"/>
  <c r="L567" i="8"/>
  <c r="L568" i="8" s="1"/>
  <c r="K270" i="2"/>
  <c r="K443" i="8"/>
  <c r="N394" i="2"/>
  <c r="N531" i="8"/>
  <c r="N532" i="8" s="1"/>
  <c r="X393" i="2"/>
  <c r="X527" i="8"/>
  <c r="X528" i="8" s="1"/>
  <c r="R32" i="2"/>
  <c r="R315" i="8"/>
  <c r="R316" i="8" s="1"/>
  <c r="Y334" i="2"/>
  <c r="Y495" i="8"/>
  <c r="Y496" i="8" s="1"/>
  <c r="M148" i="2"/>
  <c r="M371" i="8"/>
  <c r="M372" i="8" s="1"/>
  <c r="AC276" i="2"/>
  <c r="AC467" i="8"/>
  <c r="AC468" i="8" s="1"/>
  <c r="AC454" i="2"/>
  <c r="AC567" i="8"/>
  <c r="AC568" i="8" s="1"/>
  <c r="O153" i="2"/>
  <c r="O391" i="8"/>
  <c r="O392" i="8" s="1"/>
  <c r="N390" i="2"/>
  <c r="N515" i="8"/>
  <c r="N516" i="8" s="1"/>
  <c r="P457" i="2"/>
  <c r="P579" i="8"/>
  <c r="P580" i="8" s="1"/>
  <c r="O456" i="2"/>
  <c r="O575" i="8"/>
  <c r="O576" i="8" s="1"/>
  <c r="Y450" i="2"/>
  <c r="Y551" i="8"/>
  <c r="Y552" i="8" s="1"/>
  <c r="W151" i="2"/>
  <c r="W383" i="8"/>
  <c r="W384" i="8" s="1"/>
  <c r="U391" i="2"/>
  <c r="U519" i="8"/>
  <c r="U520" i="8" s="1"/>
  <c r="R148" i="2"/>
  <c r="R371" i="8"/>
  <c r="R372" i="8" s="1"/>
  <c r="N451" i="2"/>
  <c r="N555" i="8"/>
  <c r="N556" i="8" s="1"/>
  <c r="AB394" i="2"/>
  <c r="AB531" i="8"/>
  <c r="AB532" i="8" s="1"/>
  <c r="O271" i="2"/>
  <c r="O447" i="8"/>
  <c r="O448" i="8" s="1"/>
  <c r="M451" i="2"/>
  <c r="M555" i="8"/>
  <c r="M556" i="8" s="1"/>
  <c r="Z272" i="2"/>
  <c r="Z451" i="8"/>
  <c r="Z452" i="8" s="1"/>
  <c r="N393" i="2"/>
  <c r="N527" i="8"/>
  <c r="N528" i="8" s="1"/>
  <c r="N299" i="2"/>
  <c r="M163" i="8"/>
  <c r="M164" i="8" s="1"/>
  <c r="O394" i="2"/>
  <c r="O531" i="8"/>
  <c r="O532" i="8" s="1"/>
  <c r="R34" i="2"/>
  <c r="R323" i="8"/>
  <c r="R324" i="8" s="1"/>
  <c r="F324" i="8" s="1"/>
  <c r="O276" i="2"/>
  <c r="O467" i="8"/>
  <c r="O468" i="8" s="1"/>
  <c r="T153" i="2"/>
  <c r="T391" i="8"/>
  <c r="T392" i="8" s="1"/>
  <c r="N333" i="2"/>
  <c r="N360" i="2" s="1"/>
  <c r="N491" i="8"/>
  <c r="N492" i="8" s="1"/>
  <c r="AD452" i="2"/>
  <c r="AD559" i="8"/>
  <c r="AD560" i="8" s="1"/>
  <c r="K449" i="2"/>
  <c r="K547" i="8"/>
  <c r="AC453" i="2"/>
  <c r="AC563" i="8"/>
  <c r="AC564" i="8" s="1"/>
  <c r="Q330" i="2"/>
  <c r="Q479" i="8"/>
  <c r="Q480" i="8" s="1"/>
  <c r="AD393" i="2"/>
  <c r="AD527" i="8"/>
  <c r="AD528" i="8" s="1"/>
  <c r="N55" i="2"/>
  <c r="M11" i="8"/>
  <c r="M12" i="8" s="1"/>
  <c r="O269" i="2"/>
  <c r="O439" i="8"/>
  <c r="O440" i="8" s="1"/>
  <c r="Z275" i="2"/>
  <c r="Z463" i="8"/>
  <c r="Z464" i="8" s="1"/>
  <c r="Z389" i="2"/>
  <c r="Z511" i="8"/>
  <c r="Z512" i="8" s="1"/>
  <c r="L456" i="2"/>
  <c r="M483" i="2" s="1"/>
  <c r="L575" i="8"/>
  <c r="L576" i="8" s="1"/>
  <c r="U395" i="2"/>
  <c r="U535" i="8"/>
  <c r="U536" i="8" s="1"/>
  <c r="T149" i="2"/>
  <c r="T375" i="8"/>
  <c r="T376" i="8" s="1"/>
  <c r="Z396" i="2"/>
  <c r="Z539" i="8"/>
  <c r="Z540" i="8" s="1"/>
  <c r="N118" i="2"/>
  <c r="M59" i="8"/>
  <c r="M60" i="8" s="1"/>
  <c r="X395" i="2"/>
  <c r="X535" i="8"/>
  <c r="X536" i="8" s="1"/>
  <c r="O450" i="2"/>
  <c r="O551" i="8"/>
  <c r="O552" i="8" s="1"/>
  <c r="W153" i="2"/>
  <c r="W391" i="8"/>
  <c r="W392" i="8" s="1"/>
  <c r="U155" i="2"/>
  <c r="U399" i="8"/>
  <c r="U400" i="8" s="1"/>
  <c r="Z276" i="2"/>
  <c r="Z467" i="8"/>
  <c r="Z468" i="8" s="1"/>
  <c r="X390" i="2"/>
  <c r="X515" i="8"/>
  <c r="X516" i="8" s="1"/>
  <c r="M275" i="2"/>
  <c r="M302" i="2" s="1"/>
  <c r="M463" i="8"/>
  <c r="M464" i="8" s="1"/>
  <c r="K151" i="2"/>
  <c r="K383" i="8"/>
  <c r="K148" i="2"/>
  <c r="K371" i="8"/>
  <c r="M452" i="2"/>
  <c r="M559" i="8"/>
  <c r="M560" i="8" s="1"/>
  <c r="O396" i="2"/>
  <c r="O539" i="8"/>
  <c r="O540" i="8" s="1"/>
  <c r="K450" i="2"/>
  <c r="K551" i="8"/>
  <c r="M153" i="2"/>
  <c r="M391" i="8"/>
  <c r="M392" i="8" s="1"/>
  <c r="AC337" i="2"/>
  <c r="AC507" i="8"/>
  <c r="AC508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L393" i="2"/>
  <c r="M420" i="2" s="1"/>
  <c r="L527" i="8"/>
  <c r="L528" i="8" s="1"/>
  <c r="AA91" i="2"/>
  <c r="AA347" i="8"/>
  <c r="AA348" i="8" s="1"/>
  <c r="Z88" i="2"/>
  <c r="Z335" i="8"/>
  <c r="Z336" i="8" s="1"/>
  <c r="V149" i="2"/>
  <c r="V375" i="8"/>
  <c r="V376" i="8" s="1"/>
  <c r="X457" i="2"/>
  <c r="X579" i="8"/>
  <c r="X580" i="8" s="1"/>
  <c r="M396" i="2"/>
  <c r="M423" i="2" s="1"/>
  <c r="M539" i="8"/>
  <c r="M540" i="8" s="1"/>
  <c r="N395" i="2"/>
  <c r="N535" i="8"/>
  <c r="N536" i="8" s="1"/>
  <c r="W453" i="2"/>
  <c r="W563" i="8"/>
  <c r="W564" i="8" s="1"/>
  <c r="L389" i="2"/>
  <c r="M416" i="2" s="1"/>
  <c r="L511" i="8"/>
  <c r="L512" i="8" s="1"/>
  <c r="P455" i="2"/>
  <c r="P571" i="8"/>
  <c r="P572" i="8" s="1"/>
  <c r="AD272" i="2"/>
  <c r="AD451" i="8"/>
  <c r="AD452" i="8" s="1"/>
  <c r="L453" i="2"/>
  <c r="M480" i="2" s="1"/>
  <c r="L563" i="8"/>
  <c r="L564" i="8" s="1"/>
  <c r="T152" i="2"/>
  <c r="T387" i="8"/>
  <c r="T388" i="8" s="1"/>
  <c r="O152" i="2"/>
  <c r="O387" i="8"/>
  <c r="O388" i="8" s="1"/>
  <c r="AD277" i="2"/>
  <c r="AD471" i="8"/>
  <c r="AD472" i="8" s="1"/>
  <c r="N457" i="2"/>
  <c r="N579" i="8"/>
  <c r="N580" i="8" s="1"/>
  <c r="N119" i="2"/>
  <c r="M63" i="8"/>
  <c r="M64" i="8" s="1"/>
  <c r="U149" i="2"/>
  <c r="U375" i="8"/>
  <c r="U376" i="8" s="1"/>
  <c r="N331" i="2"/>
  <c r="N358" i="2" s="1"/>
  <c r="N483" i="8"/>
  <c r="N484" i="8" s="1"/>
  <c r="F484" i="8" s="1"/>
  <c r="AA148" i="2"/>
  <c r="AA371" i="8"/>
  <c r="AA372" i="8" s="1"/>
  <c r="X396" i="2"/>
  <c r="X539" i="8"/>
  <c r="X540" i="8" s="1"/>
  <c r="W152" i="2"/>
  <c r="W387" i="8"/>
  <c r="W388" i="8" s="1"/>
  <c r="N424" i="2"/>
  <c r="M255" i="8"/>
  <c r="M256" i="8" s="1"/>
  <c r="M154" i="2"/>
  <c r="M181" i="2" s="1"/>
  <c r="M395" i="8"/>
  <c r="M396" i="8" s="1"/>
  <c r="Z269" i="2"/>
  <c r="Z439" i="8"/>
  <c r="Z440" i="8" s="1"/>
  <c r="Y394" i="2"/>
  <c r="Y531" i="8"/>
  <c r="Y532" i="8" s="1"/>
  <c r="R152" i="2"/>
  <c r="R387" i="8"/>
  <c r="R388" i="8" s="1"/>
  <c r="Q393" i="2"/>
  <c r="Q527" i="8"/>
  <c r="Q528" i="8" s="1"/>
  <c r="AE88" i="2"/>
  <c r="AE335" i="8"/>
  <c r="AE336" i="8" s="1"/>
  <c r="Q92" i="2"/>
  <c r="Q351" i="8"/>
  <c r="Q352" i="8" s="1"/>
  <c r="S95" i="2"/>
  <c r="S363" i="8"/>
  <c r="S364" i="8" s="1"/>
  <c r="N362" i="2"/>
  <c r="M211" i="8"/>
  <c r="M212" i="8" s="1"/>
  <c r="AC390" i="2"/>
  <c r="AC515" i="8"/>
  <c r="AC516" i="8" s="1"/>
  <c r="W147" i="2"/>
  <c r="W367" i="8"/>
  <c r="W368" i="8" s="1"/>
  <c r="AA276" i="2"/>
  <c r="AA467" i="8"/>
  <c r="AA468" i="8" s="1"/>
  <c r="K274" i="2"/>
  <c r="K459" i="8"/>
  <c r="N58" i="2"/>
  <c r="M23" i="8"/>
  <c r="M24" i="8" s="1"/>
  <c r="AD450" i="2"/>
  <c r="AD551" i="8"/>
  <c r="AD552" i="8" s="1"/>
  <c r="L457" i="2"/>
  <c r="M484" i="2" s="1"/>
  <c r="L579" i="8"/>
  <c r="L580" i="8" s="1"/>
  <c r="F580" i="8" s="1"/>
  <c r="T147" i="2"/>
  <c r="T367" i="8"/>
  <c r="T368" i="8" s="1"/>
  <c r="U392" i="2"/>
  <c r="U523" i="8"/>
  <c r="U524" i="8" s="1"/>
  <c r="AD392" i="2"/>
  <c r="AD523" i="8"/>
  <c r="AD524" i="8" s="1"/>
  <c r="R275" i="2"/>
  <c r="R463" i="8"/>
  <c r="R464" i="8" s="1"/>
  <c r="N335" i="2"/>
  <c r="N499" i="8"/>
  <c r="N500" i="8" s="1"/>
  <c r="Z87" i="2"/>
  <c r="Z331" i="8"/>
  <c r="Z332" i="8" s="1"/>
  <c r="X450" i="2"/>
  <c r="X551" i="8"/>
  <c r="X552" i="8" s="1"/>
  <c r="M394" i="2"/>
  <c r="M421" i="2" s="1"/>
  <c r="M531" i="8"/>
  <c r="M532" i="8" s="1"/>
  <c r="U397" i="2"/>
  <c r="U543" i="8"/>
  <c r="U544" i="8" s="1"/>
  <c r="O391" i="2"/>
  <c r="O519" i="8"/>
  <c r="O520" i="8" s="1"/>
  <c r="Y454" i="2"/>
  <c r="Y567" i="8"/>
  <c r="Y568" i="8" s="1"/>
  <c r="S394" i="2"/>
  <c r="S531" i="8"/>
  <c r="S532" i="8" s="1"/>
  <c r="N300" i="2"/>
  <c r="M167" i="8"/>
  <c r="M168" i="8" s="1"/>
  <c r="AD271" i="2"/>
  <c r="AD447" i="8"/>
  <c r="AD448" i="8" s="1"/>
  <c r="M481" i="2"/>
  <c r="N456" i="2"/>
  <c r="N575" i="8"/>
  <c r="N576" i="8" s="1"/>
  <c r="N116" i="2"/>
  <c r="M51" i="8"/>
  <c r="M52" i="8" s="1"/>
  <c r="U152" i="2"/>
  <c r="U387" i="8"/>
  <c r="U388" i="8" s="1"/>
  <c r="AA154" i="2"/>
  <c r="AA395" i="8"/>
  <c r="AA396" i="8" s="1"/>
  <c r="O147" i="2"/>
  <c r="O367" i="8"/>
  <c r="O368" i="8" s="1"/>
  <c r="P449" i="2"/>
  <c r="P547" i="8"/>
  <c r="P548" i="8" s="1"/>
  <c r="O452" i="2"/>
  <c r="O559" i="8"/>
  <c r="O560" i="8" s="1"/>
  <c r="AC397" i="2"/>
  <c r="AC543" i="8"/>
  <c r="AC544" i="8" s="1"/>
  <c r="P451" i="2"/>
  <c r="P555" i="8"/>
  <c r="P556" i="8" s="1"/>
  <c r="AE94" i="2"/>
  <c r="AE359" i="8"/>
  <c r="AE360" i="8" s="1"/>
  <c r="L153" i="2"/>
  <c r="L391" i="8"/>
  <c r="L392" i="8" s="1"/>
  <c r="O274" i="2"/>
  <c r="O459" i="8"/>
  <c r="O460" i="8" s="1"/>
  <c r="Q329" i="2"/>
  <c r="Q475" i="8"/>
  <c r="Q476" i="8" s="1"/>
  <c r="AC392" i="2"/>
  <c r="AC523" i="8"/>
  <c r="AC524" i="8" s="1"/>
  <c r="L452" i="2"/>
  <c r="M479" i="2" s="1"/>
  <c r="L559" i="8"/>
  <c r="L560" i="8" s="1"/>
  <c r="K272" i="2"/>
  <c r="K451" i="8"/>
  <c r="P453" i="2"/>
  <c r="P563" i="8"/>
  <c r="P564" i="8" s="1"/>
  <c r="AD276" i="2"/>
  <c r="AD467" i="8"/>
  <c r="AD468" i="8" s="1"/>
  <c r="K150" i="2"/>
  <c r="K379" i="8"/>
  <c r="AC277" i="2"/>
  <c r="AC471" i="8"/>
  <c r="AC472" i="8" s="1"/>
  <c r="AD457" i="2"/>
  <c r="AD579" i="8"/>
  <c r="AD580" i="8" s="1"/>
  <c r="N454" i="2"/>
  <c r="N567" i="8"/>
  <c r="N568" i="8" s="1"/>
  <c r="N122" i="2"/>
  <c r="M75" i="8"/>
  <c r="M76" i="8" s="1"/>
  <c r="W155" i="2"/>
  <c r="W399" i="8"/>
  <c r="W400" i="8" s="1"/>
  <c r="M303" i="2"/>
  <c r="M147" i="2"/>
  <c r="M174" i="2" s="1"/>
  <c r="M367" i="8"/>
  <c r="M368" i="8" s="1"/>
  <c r="R27" i="2"/>
  <c r="R295" i="8"/>
  <c r="R296" i="8" s="1"/>
  <c r="T150" i="2"/>
  <c r="T379" i="8"/>
  <c r="T380" i="8" s="1"/>
  <c r="R272" i="2"/>
  <c r="R451" i="8"/>
  <c r="R452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271" i="2"/>
  <c r="K447" i="8"/>
  <c r="Y151" i="2"/>
  <c r="Y383" i="8"/>
  <c r="Y384" i="8" s="1"/>
  <c r="Z273" i="2"/>
  <c r="Z455" i="8"/>
  <c r="Z456" i="8" s="1"/>
  <c r="L450" i="2"/>
  <c r="M477" i="2" s="1"/>
  <c r="L551" i="8"/>
  <c r="L552" i="8" s="1"/>
  <c r="V147" i="2"/>
  <c r="V367" i="8"/>
  <c r="V368" i="8" s="1"/>
  <c r="AE391" i="2"/>
  <c r="AE519" i="8"/>
  <c r="AE520" i="8" s="1"/>
  <c r="X452" i="2"/>
  <c r="X559" i="8"/>
  <c r="X560" i="8" s="1"/>
  <c r="N60" i="2"/>
  <c r="M31" i="8"/>
  <c r="M32" i="8" s="1"/>
  <c r="AC273" i="2"/>
  <c r="AC455" i="8"/>
  <c r="AC456" i="8" s="1"/>
  <c r="AC334" i="2"/>
  <c r="AC495" i="8"/>
  <c r="AC496" i="8" s="1"/>
  <c r="Y153" i="2"/>
  <c r="Y391" i="8"/>
  <c r="Y392" i="8" s="1"/>
  <c r="N304" i="2"/>
  <c r="M183" i="8"/>
  <c r="M184" i="8" s="1"/>
  <c r="Z391" i="2"/>
  <c r="Z519" i="8"/>
  <c r="Z520" i="8" s="1"/>
  <c r="Y335" i="2"/>
  <c r="Y499" i="8"/>
  <c r="Y500" i="8" s="1"/>
  <c r="F500" i="8" s="1"/>
  <c r="S396" i="2"/>
  <c r="S539" i="8"/>
  <c r="S540" i="8" s="1"/>
  <c r="AD270" i="2"/>
  <c r="AD443" i="8"/>
  <c r="AD444" i="8" s="1"/>
  <c r="N452" i="2"/>
  <c r="N559" i="8"/>
  <c r="N560" i="8" s="1"/>
  <c r="N330" i="2"/>
  <c r="N357" i="2" s="1"/>
  <c r="N479" i="8"/>
  <c r="N480" i="8" s="1"/>
  <c r="F480" i="8" s="1"/>
  <c r="AA149" i="2"/>
  <c r="AA375" i="8"/>
  <c r="AA376" i="8" s="1"/>
  <c r="O117" i="2"/>
  <c r="N55" i="8"/>
  <c r="N56" i="8" s="1"/>
  <c r="N298" i="2"/>
  <c r="M159" i="8"/>
  <c r="M160" i="8" s="1"/>
  <c r="O390" i="2"/>
  <c r="O515" i="8"/>
  <c r="O516" i="8" s="1"/>
  <c r="K455" i="2"/>
  <c r="K571" i="8"/>
  <c r="AA155" i="2"/>
  <c r="AA399" i="8"/>
  <c r="AA400" i="8" s="1"/>
  <c r="AD390" i="2"/>
  <c r="AD515" i="8"/>
  <c r="AD516" i="8" s="1"/>
  <c r="O148" i="2"/>
  <c r="O371" i="8"/>
  <c r="O372" i="8" s="1"/>
  <c r="Y155" i="2"/>
  <c r="Y399" i="8"/>
  <c r="Y400" i="8" s="1"/>
  <c r="W454" i="2"/>
  <c r="W567" i="8"/>
  <c r="W568" i="8" s="1"/>
  <c r="Q392" i="2"/>
  <c r="Q523" i="8"/>
  <c r="Q524" i="8" s="1"/>
  <c r="K275" i="2"/>
  <c r="K463" i="8"/>
  <c r="Q91" i="2"/>
  <c r="Q347" i="8"/>
  <c r="Q348" i="8" s="1"/>
  <c r="Q389" i="2"/>
  <c r="Q511" i="8"/>
  <c r="Q512" i="8" s="1"/>
  <c r="O397" i="2"/>
  <c r="O543" i="8"/>
  <c r="O544" i="8" s="1"/>
  <c r="U151" i="2"/>
  <c r="U383" i="8"/>
  <c r="U384" i="8" s="1"/>
  <c r="T154" i="2"/>
  <c r="T395" i="8"/>
  <c r="T396" i="8" s="1"/>
  <c r="Q336" i="2"/>
  <c r="Q503" i="8"/>
  <c r="Q504" i="8" s="1"/>
  <c r="Y331" i="2"/>
  <c r="Y483" i="8"/>
  <c r="Y484" i="8" s="1"/>
  <c r="AD269" i="2"/>
  <c r="AD439" i="8"/>
  <c r="AD440" i="8" s="1"/>
  <c r="N237" i="2"/>
  <c r="M127" i="8"/>
  <c r="M128" i="8" s="1"/>
  <c r="X391" i="2"/>
  <c r="X519" i="8"/>
  <c r="X520" i="8" s="1"/>
  <c r="U153" i="2"/>
  <c r="U391" i="8"/>
  <c r="U392" i="8" s="1"/>
  <c r="X389" i="2"/>
  <c r="X511" i="8"/>
  <c r="X512" i="8" s="1"/>
  <c r="Z94" i="2"/>
  <c r="Z359" i="8"/>
  <c r="Z360" i="8" s="1"/>
  <c r="F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F304" i="8" s="1"/>
  <c r="O455" i="2"/>
  <c r="O571" i="8"/>
  <c r="O572" i="8" s="1"/>
  <c r="V152" i="2"/>
  <c r="V387" i="8"/>
  <c r="V388" i="8" s="1"/>
  <c r="AE87" i="2"/>
  <c r="AE331" i="8"/>
  <c r="AE332" i="8" s="1"/>
  <c r="Y456" i="2"/>
  <c r="Y575" i="8"/>
  <c r="Y576" i="8" s="1"/>
  <c r="Z148" i="2"/>
  <c r="Z371" i="8"/>
  <c r="Z372" i="8" s="1"/>
  <c r="K89" i="2"/>
  <c r="K339" i="8"/>
  <c r="U147" i="2"/>
  <c r="U367" i="8"/>
  <c r="U368" i="8" s="1"/>
  <c r="R269" i="2"/>
  <c r="R439" i="8"/>
  <c r="R440" i="8" s="1"/>
  <c r="T449" i="2"/>
  <c r="T547" i="8"/>
  <c r="T548" i="8" s="1"/>
  <c r="F436" i="8"/>
  <c r="Y152" i="2"/>
  <c r="Y387" i="8"/>
  <c r="Y388" i="8" s="1"/>
  <c r="F428" i="8"/>
  <c r="N61" i="2"/>
  <c r="M35" i="8"/>
  <c r="M36" i="8" s="1"/>
  <c r="Z92" i="2"/>
  <c r="Z351" i="8"/>
  <c r="Z352" i="8" s="1"/>
  <c r="U389" i="2"/>
  <c r="U511" i="8"/>
  <c r="U512" i="8" s="1"/>
  <c r="AA395" i="2"/>
  <c r="AA535" i="8"/>
  <c r="AA536" i="8" s="1"/>
  <c r="T148" i="2"/>
  <c r="T371" i="8"/>
  <c r="T372" i="8" s="1"/>
  <c r="W149" i="2"/>
  <c r="W375" i="8"/>
  <c r="W376" i="8" s="1"/>
  <c r="AE390" i="2"/>
  <c r="AE515" i="8"/>
  <c r="AE516" i="8" s="1"/>
  <c r="X454" i="2"/>
  <c r="X567" i="8"/>
  <c r="X568" i="8" s="1"/>
  <c r="N57" i="2"/>
  <c r="M19" i="8"/>
  <c r="M20" i="8" s="1"/>
  <c r="T392" i="2"/>
  <c r="T523" i="8"/>
  <c r="T524" i="8" s="1"/>
  <c r="AC455" i="2"/>
  <c r="AC571" i="8"/>
  <c r="AC572" i="8" s="1"/>
  <c r="Z394" i="2"/>
  <c r="Z531" i="8"/>
  <c r="Z532" i="8" s="1"/>
  <c r="M155" i="2"/>
  <c r="M182" i="2" s="1"/>
  <c r="M399" i="8"/>
  <c r="M400" i="8" s="1"/>
  <c r="F400" i="8" s="1"/>
  <c r="N453" i="2"/>
  <c r="N563" i="8"/>
  <c r="N564" i="8" s="1"/>
  <c r="N334" i="2"/>
  <c r="N361" i="2" s="1"/>
  <c r="N495" i="8"/>
  <c r="N496" i="8" s="1"/>
  <c r="F496" i="8" s="1"/>
  <c r="N120" i="2"/>
  <c r="M67" i="8"/>
  <c r="M68" i="8" s="1"/>
  <c r="AA151" i="2"/>
  <c r="AA383" i="8"/>
  <c r="AA384" i="8" s="1"/>
  <c r="AC395" i="2"/>
  <c r="AC535" i="8"/>
  <c r="AC536" i="8" s="1"/>
  <c r="S395" i="2"/>
  <c r="S535" i="8"/>
  <c r="S536" i="8" s="1"/>
  <c r="F536" i="8" s="1"/>
  <c r="U393" i="2"/>
  <c r="U527" i="8"/>
  <c r="U528" i="8" s="1"/>
  <c r="V153" i="2"/>
  <c r="V391" i="8"/>
  <c r="V392" i="8" s="1"/>
  <c r="Z154" i="2"/>
  <c r="Z395" i="8"/>
  <c r="Z396" i="8" s="1"/>
  <c r="F396" i="8" s="1"/>
  <c r="U150" i="2"/>
  <c r="U379" i="8"/>
  <c r="U380" i="8" s="1"/>
  <c r="W389" i="2"/>
  <c r="W511" i="8"/>
  <c r="W512" i="8" s="1"/>
  <c r="Y333" i="2"/>
  <c r="Y491" i="8"/>
  <c r="Y492" i="8" s="1"/>
  <c r="Z271" i="2"/>
  <c r="Z447" i="8"/>
  <c r="Z448" i="8" s="1"/>
  <c r="V395" i="2"/>
  <c r="V535" i="8"/>
  <c r="V536" i="8" s="1"/>
  <c r="T454" i="2"/>
  <c r="T567" i="8"/>
  <c r="T568" i="8" s="1"/>
  <c r="K276" i="2"/>
  <c r="K467" i="8"/>
  <c r="N337" i="2"/>
  <c r="N364" i="2" s="1"/>
  <c r="N507" i="8"/>
  <c r="N508" i="8" s="1"/>
  <c r="F508" i="8" s="1"/>
  <c r="L150" i="2"/>
  <c r="M177" i="2" s="1"/>
  <c r="L379" i="8"/>
  <c r="L380" i="8" s="1"/>
  <c r="W391" i="2"/>
  <c r="W519" i="8"/>
  <c r="W520" i="8" s="1"/>
  <c r="Y397" i="2"/>
  <c r="Y543" i="8"/>
  <c r="Y544" i="8" s="1"/>
  <c r="F544" i="8" s="1"/>
  <c r="K397" i="2"/>
  <c r="K543" i="8"/>
  <c r="AA271" i="2"/>
  <c r="AA447" i="8"/>
  <c r="AA448" i="8" s="1"/>
  <c r="AE453" i="2"/>
  <c r="AE563" i="8"/>
  <c r="AE564" i="8" s="1"/>
  <c r="AA153" i="2"/>
  <c r="AA391" i="8"/>
  <c r="AA392" i="8" s="1"/>
  <c r="M149" i="2"/>
  <c r="M176" i="2" s="1"/>
  <c r="M375" i="8"/>
  <c r="M376" i="8" s="1"/>
  <c r="F412" i="8"/>
  <c r="N449" i="2"/>
  <c r="N476" i="2" s="1"/>
  <c r="N547" i="8"/>
  <c r="N548" i="8" s="1"/>
  <c r="F548" i="8" s="1"/>
  <c r="N332" i="2"/>
  <c r="N359" i="2" s="1"/>
  <c r="N487" i="8"/>
  <c r="N488" i="8" s="1"/>
  <c r="F488" i="8" s="1"/>
  <c r="S389" i="2"/>
  <c r="S511" i="8"/>
  <c r="S512" i="8" s="1"/>
  <c r="M151" i="2"/>
  <c r="M178" i="2" s="1"/>
  <c r="M383" i="8"/>
  <c r="M384" i="8" s="1"/>
  <c r="W148" i="2"/>
  <c r="W371" i="8"/>
  <c r="W372" i="8" s="1"/>
  <c r="AC389" i="2"/>
  <c r="AC511" i="8"/>
  <c r="AC512" i="8" s="1"/>
  <c r="M365" i="2" l="1"/>
  <c r="N356" i="2"/>
  <c r="N187" i="8" s="1"/>
  <c r="N188" i="8" s="1"/>
  <c r="M187" i="8"/>
  <c r="M188" i="8" s="1"/>
  <c r="F532" i="8"/>
  <c r="F444" i="8"/>
  <c r="F456" i="8"/>
  <c r="F340" i="8"/>
  <c r="F332" i="8"/>
  <c r="F464" i="8"/>
  <c r="F440" i="8"/>
  <c r="F492" i="8"/>
  <c r="F296" i="8"/>
  <c r="F476" i="8"/>
  <c r="F348" i="8"/>
  <c r="F368" i="8"/>
  <c r="F352" i="8"/>
  <c r="F384" i="8"/>
  <c r="F376" i="8"/>
  <c r="F380" i="8"/>
  <c r="F528" i="8"/>
  <c r="F524" i="8"/>
  <c r="F328" i="8"/>
  <c r="F320" i="8"/>
  <c r="F336" i="8"/>
  <c r="F472" i="8"/>
  <c r="F520" i="8"/>
  <c r="F316" i="8"/>
  <c r="F388" i="8"/>
  <c r="F540" i="8"/>
  <c r="F556" i="8"/>
  <c r="N479" i="2"/>
  <c r="M271" i="8"/>
  <c r="M272" i="8" s="1"/>
  <c r="N478" i="2"/>
  <c r="M267" i="8"/>
  <c r="M268" i="8" s="1"/>
  <c r="N484" i="2"/>
  <c r="M291" i="8"/>
  <c r="M292" i="8" s="1"/>
  <c r="O361" i="2"/>
  <c r="N207" i="8"/>
  <c r="N208" i="8" s="1"/>
  <c r="N477" i="2"/>
  <c r="M263" i="8"/>
  <c r="M264" i="8" s="1"/>
  <c r="M485" i="2"/>
  <c r="N482" i="2"/>
  <c r="M283" i="8"/>
  <c r="M284" i="8" s="1"/>
  <c r="N421" i="2"/>
  <c r="M243" i="8"/>
  <c r="M244" i="8" s="1"/>
  <c r="N423" i="2"/>
  <c r="M251" i="8"/>
  <c r="M252" i="8" s="1"/>
  <c r="O358" i="2"/>
  <c r="N195" i="8"/>
  <c r="N196" i="8" s="1"/>
  <c r="N182" i="2"/>
  <c r="M111" i="8"/>
  <c r="M112" i="8" s="1"/>
  <c r="O476" i="2"/>
  <c r="N259" i="8"/>
  <c r="N260" i="8" s="1"/>
  <c r="N181" i="2"/>
  <c r="M107" i="8"/>
  <c r="M108" i="8" s="1"/>
  <c r="N302" i="2"/>
  <c r="M175" i="8"/>
  <c r="M176" i="8" s="1"/>
  <c r="M305" i="2"/>
  <c r="O360" i="2"/>
  <c r="N203" i="8"/>
  <c r="N204" i="8" s="1"/>
  <c r="N176" i="2"/>
  <c r="M87" i="8"/>
  <c r="M88" i="8" s="1"/>
  <c r="N420" i="2"/>
  <c r="M239" i="8"/>
  <c r="M240" i="8" s="1"/>
  <c r="O364" i="2"/>
  <c r="N219" i="8"/>
  <c r="N220" i="8" s="1"/>
  <c r="O419" i="2"/>
  <c r="N235" i="8"/>
  <c r="N236" i="8" s="1"/>
  <c r="F568" i="8"/>
  <c r="O296" i="2"/>
  <c r="N151" i="8"/>
  <c r="N152" i="8" s="1"/>
  <c r="O235" i="2"/>
  <c r="N119" i="8"/>
  <c r="N120" i="8" s="1"/>
  <c r="O55" i="2"/>
  <c r="N11" i="8"/>
  <c r="N12" i="8" s="1"/>
  <c r="O59" i="2"/>
  <c r="N27" i="8"/>
  <c r="N28" i="8" s="1"/>
  <c r="F460" i="8"/>
  <c r="F564" i="8"/>
  <c r="O357" i="2"/>
  <c r="N191" i="8"/>
  <c r="N192" i="8" s="1"/>
  <c r="N480" i="2"/>
  <c r="N485" i="2" s="1"/>
  <c r="M275" i="8"/>
  <c r="M276" i="8" s="1"/>
  <c r="F392" i="8"/>
  <c r="F516" i="8"/>
  <c r="M175" i="2"/>
  <c r="O297" i="2"/>
  <c r="N155" i="8"/>
  <c r="N156" i="8" s="1"/>
  <c r="O242" i="2"/>
  <c r="N147" i="8"/>
  <c r="N148" i="8" s="1"/>
  <c r="O239" i="2"/>
  <c r="N135" i="8"/>
  <c r="N136" i="8" s="1"/>
  <c r="N243" i="2"/>
  <c r="O234" i="2"/>
  <c r="N115" i="8"/>
  <c r="N116" i="8" s="1"/>
  <c r="N417" i="2"/>
  <c r="M227" i="8"/>
  <c r="M228" i="8" s="1"/>
  <c r="F344" i="8"/>
  <c r="F372" i="8"/>
  <c r="O57" i="2"/>
  <c r="N19" i="8"/>
  <c r="N20" i="8" s="1"/>
  <c r="P117" i="2"/>
  <c r="O55" i="8"/>
  <c r="O56" i="8" s="1"/>
  <c r="N303" i="2"/>
  <c r="M179" i="8"/>
  <c r="M180" i="8" s="1"/>
  <c r="M180" i="2"/>
  <c r="F576" i="8"/>
  <c r="O238" i="2"/>
  <c r="N131" i="8"/>
  <c r="N132" i="8" s="1"/>
  <c r="O240" i="2"/>
  <c r="N139" i="8"/>
  <c r="N140" i="8" s="1"/>
  <c r="N179" i="2"/>
  <c r="M99" i="8"/>
  <c r="M100" i="8" s="1"/>
  <c r="O300" i="2"/>
  <c r="N167" i="8"/>
  <c r="N168" i="8" s="1"/>
  <c r="O362" i="2"/>
  <c r="N211" i="8"/>
  <c r="N212" i="8" s="1"/>
  <c r="O422" i="2"/>
  <c r="N247" i="8"/>
  <c r="N248" i="8" s="1"/>
  <c r="O363" i="2"/>
  <c r="N215" i="8"/>
  <c r="N216" i="8" s="1"/>
  <c r="N177" i="2"/>
  <c r="M91" i="8"/>
  <c r="M92" i="8" s="1"/>
  <c r="O298" i="2"/>
  <c r="N159" i="8"/>
  <c r="N160" i="8" s="1"/>
  <c r="N178" i="2"/>
  <c r="M95" i="8"/>
  <c r="M96" i="8" s="1"/>
  <c r="O120" i="2"/>
  <c r="N67" i="8"/>
  <c r="N68" i="8" s="1"/>
  <c r="O58" i="2"/>
  <c r="N23" i="8"/>
  <c r="N24" i="8" s="1"/>
  <c r="O119" i="2"/>
  <c r="N63" i="8"/>
  <c r="N64" i="8" s="1"/>
  <c r="N483" i="2"/>
  <c r="M287" i="8"/>
  <c r="M288" i="8" s="1"/>
  <c r="O114" i="2"/>
  <c r="N123" i="2"/>
  <c r="N43" i="8"/>
  <c r="N44" i="8" s="1"/>
  <c r="O356" i="2"/>
  <c r="F448" i="8"/>
  <c r="O418" i="2"/>
  <c r="N231" i="8"/>
  <c r="N232" i="8" s="1"/>
  <c r="O61" i="2"/>
  <c r="N35" i="8"/>
  <c r="N36" i="8" s="1"/>
  <c r="O304" i="2"/>
  <c r="N183" i="8"/>
  <c r="N184" i="8" s="1"/>
  <c r="O54" i="2"/>
  <c r="N63" i="2"/>
  <c r="N7" i="8"/>
  <c r="N8" i="8" s="1"/>
  <c r="O301" i="2"/>
  <c r="N171" i="8"/>
  <c r="N172" i="8" s="1"/>
  <c r="O62" i="2"/>
  <c r="N39" i="8"/>
  <c r="N40" i="8" s="1"/>
  <c r="O237" i="2"/>
  <c r="N127" i="8"/>
  <c r="N128" i="8" s="1"/>
  <c r="F552" i="8"/>
  <c r="O424" i="2"/>
  <c r="N255" i="8"/>
  <c r="N256" i="8" s="1"/>
  <c r="F512" i="8"/>
  <c r="O299" i="2"/>
  <c r="N163" i="8"/>
  <c r="N164" i="8" s="1"/>
  <c r="O236" i="2"/>
  <c r="N123" i="8"/>
  <c r="N124" i="8" s="1"/>
  <c r="O118" i="2"/>
  <c r="N59" i="8"/>
  <c r="N60" i="8" s="1"/>
  <c r="O60" i="2"/>
  <c r="N31" i="8"/>
  <c r="N32" i="8" s="1"/>
  <c r="O359" i="2"/>
  <c r="N199" i="8"/>
  <c r="N200" i="8" s="1"/>
  <c r="O122" i="2"/>
  <c r="N75" i="8"/>
  <c r="N76" i="8" s="1"/>
  <c r="O116" i="2"/>
  <c r="N51" i="8"/>
  <c r="N52" i="8" s="1"/>
  <c r="N416" i="2"/>
  <c r="M425" i="2"/>
  <c r="M223" i="8"/>
  <c r="M224" i="8" s="1"/>
  <c r="O121" i="2"/>
  <c r="N71" i="8"/>
  <c r="N72" i="8" s="1"/>
  <c r="O241" i="2"/>
  <c r="N143" i="8"/>
  <c r="N144" i="8" s="1"/>
  <c r="O56" i="2"/>
  <c r="N15" i="8"/>
  <c r="N16" i="8" s="1"/>
  <c r="F452" i="8"/>
  <c r="F560" i="8"/>
  <c r="F572" i="8"/>
  <c r="O115" i="2"/>
  <c r="N47" i="8"/>
  <c r="N48" i="8" s="1"/>
  <c r="N174" i="2"/>
  <c r="M79" i="8"/>
  <c r="M80" i="8" s="1"/>
  <c r="N481" i="2"/>
  <c r="M279" i="8"/>
  <c r="M280" i="8" s="1"/>
  <c r="F468" i="8"/>
  <c r="F356" i="8"/>
  <c r="D4" i="8" s="1"/>
  <c r="N365" i="2" l="1"/>
  <c r="O302" i="2"/>
  <c r="N175" i="8"/>
  <c r="N176" i="8" s="1"/>
  <c r="P359" i="2"/>
  <c r="O199" i="8"/>
  <c r="O200" i="8" s="1"/>
  <c r="P424" i="2"/>
  <c r="O255" i="8"/>
  <c r="O256" i="8" s="1"/>
  <c r="P120" i="2"/>
  <c r="O67" i="8"/>
  <c r="O68" i="8" s="1"/>
  <c r="P362" i="2"/>
  <c r="O211" i="8"/>
  <c r="O212" i="8" s="1"/>
  <c r="O417" i="2"/>
  <c r="N227" i="8"/>
  <c r="N228" i="8" s="1"/>
  <c r="N180" i="2"/>
  <c r="M103" i="8"/>
  <c r="M104" i="8" s="1"/>
  <c r="P121" i="2"/>
  <c r="O71" i="8"/>
  <c r="O72" i="8" s="1"/>
  <c r="P118" i="2"/>
  <c r="O59" i="8"/>
  <c r="O60" i="8" s="1"/>
  <c r="P304" i="2"/>
  <c r="O183" i="8"/>
  <c r="O184" i="8" s="1"/>
  <c r="P55" i="2"/>
  <c r="O11" i="8"/>
  <c r="O12" i="8" s="1"/>
  <c r="P364" i="2"/>
  <c r="O219" i="8"/>
  <c r="O220" i="8" s="1"/>
  <c r="P476" i="2"/>
  <c r="O259" i="8"/>
  <c r="O260" i="8" s="1"/>
  <c r="O477" i="2"/>
  <c r="N263" i="8"/>
  <c r="N264" i="8" s="1"/>
  <c r="P356" i="2"/>
  <c r="O365" i="2"/>
  <c r="O187" i="8"/>
  <c r="O188" i="8" s="1"/>
  <c r="N175" i="2"/>
  <c r="N183" i="2" s="1"/>
  <c r="M83" i="8"/>
  <c r="M84" i="8" s="1"/>
  <c r="P241" i="2"/>
  <c r="O143" i="8"/>
  <c r="O144" i="8" s="1"/>
  <c r="O178" i="2"/>
  <c r="N95" i="8"/>
  <c r="N96" i="8" s="1"/>
  <c r="O179" i="2"/>
  <c r="N99" i="8"/>
  <c r="N100" i="8" s="1"/>
  <c r="O303" i="2"/>
  <c r="N179" i="8"/>
  <c r="N180" i="8" s="1"/>
  <c r="O481" i="2"/>
  <c r="N279" i="8"/>
  <c r="N280" i="8" s="1"/>
  <c r="O174" i="2"/>
  <c r="N79" i="8"/>
  <c r="N80" i="8" s="1"/>
  <c r="O123" i="2"/>
  <c r="P114" i="2"/>
  <c r="O43" i="8"/>
  <c r="O44" i="8" s="1"/>
  <c r="O243" i="2"/>
  <c r="P234" i="2"/>
  <c r="O115" i="8"/>
  <c r="O116" i="8" s="1"/>
  <c r="P115" i="2"/>
  <c r="O47" i="8"/>
  <c r="O48" i="8" s="1"/>
  <c r="P237" i="2"/>
  <c r="O127" i="8"/>
  <c r="O128" i="8" s="1"/>
  <c r="O483" i="2"/>
  <c r="N287" i="8"/>
  <c r="N288" i="8" s="1"/>
  <c r="P298" i="2"/>
  <c r="O159" i="8"/>
  <c r="O160" i="8" s="1"/>
  <c r="P239" i="2"/>
  <c r="O135" i="8"/>
  <c r="O136" i="8" s="1"/>
  <c r="O420" i="2"/>
  <c r="N239" i="8"/>
  <c r="N240" i="8" s="1"/>
  <c r="O182" i="2"/>
  <c r="N111" i="8"/>
  <c r="N112" i="8" s="1"/>
  <c r="P361" i="2"/>
  <c r="O207" i="8"/>
  <c r="O208" i="8" s="1"/>
  <c r="O421" i="2"/>
  <c r="N243" i="8"/>
  <c r="N244" i="8" s="1"/>
  <c r="O63" i="2"/>
  <c r="P54" i="2"/>
  <c r="O7" i="8"/>
  <c r="O8" i="8" s="1"/>
  <c r="O482" i="2"/>
  <c r="N283" i="8"/>
  <c r="N284" i="8" s="1"/>
  <c r="P236" i="2"/>
  <c r="O123" i="8"/>
  <c r="O124" i="8" s="1"/>
  <c r="P419" i="2"/>
  <c r="O235" i="8"/>
  <c r="O236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O484" i="2"/>
  <c r="N291" i="8"/>
  <c r="N292" i="8" s="1"/>
  <c r="P418" i="2"/>
  <c r="O231" i="8"/>
  <c r="O232" i="8" s="1"/>
  <c r="P357" i="2"/>
  <c r="O191" i="8"/>
  <c r="O192" i="8" s="1"/>
  <c r="P56" i="2"/>
  <c r="O15" i="8"/>
  <c r="O16" i="8" s="1"/>
  <c r="P300" i="2"/>
  <c r="O167" i="8"/>
  <c r="O168" i="8" s="1"/>
  <c r="O177" i="2"/>
  <c r="N91" i="8"/>
  <c r="N92" i="8" s="1"/>
  <c r="P358" i="2"/>
  <c r="O195" i="8"/>
  <c r="O196" i="8" s="1"/>
  <c r="M183" i="2"/>
  <c r="O181" i="2"/>
  <c r="N107" i="8"/>
  <c r="N108" i="8" s="1"/>
  <c r="P59" i="2"/>
  <c r="O27" i="8"/>
  <c r="O28" i="8" s="1"/>
  <c r="Q117" i="2"/>
  <c r="P55" i="8"/>
  <c r="P56" i="8" s="1"/>
  <c r="O480" i="2"/>
  <c r="N275" i="8"/>
  <c r="N276" i="8" s="1"/>
  <c r="O416" i="2"/>
  <c r="N425" i="2"/>
  <c r="N223" i="8"/>
  <c r="N224" i="8" s="1"/>
  <c r="O176" i="2"/>
  <c r="N87" i="8"/>
  <c r="N88" i="8" s="1"/>
  <c r="P57" i="2"/>
  <c r="O19" i="8"/>
  <c r="O20" i="8" s="1"/>
  <c r="P116" i="2"/>
  <c r="O51" i="8"/>
  <c r="O52" i="8" s="1"/>
  <c r="P62" i="2"/>
  <c r="O39" i="8"/>
  <c r="O40" i="8" s="1"/>
  <c r="P58" i="2"/>
  <c r="O23" i="8"/>
  <c r="O24" i="8" s="1"/>
  <c r="P363" i="2"/>
  <c r="O215" i="8"/>
  <c r="O216" i="8" s="1"/>
  <c r="P240" i="2"/>
  <c r="O139" i="8"/>
  <c r="O140" i="8" s="1"/>
  <c r="P296" i="2"/>
  <c r="O151" i="8"/>
  <c r="O152" i="8" s="1"/>
  <c r="P360" i="2"/>
  <c r="O203" i="8"/>
  <c r="O204" i="8" s="1"/>
  <c r="O423" i="2"/>
  <c r="N251" i="8"/>
  <c r="N252" i="8" s="1"/>
  <c r="O478" i="2"/>
  <c r="N267" i="8"/>
  <c r="N268" i="8" s="1"/>
  <c r="P299" i="2"/>
  <c r="O163" i="8"/>
  <c r="O164" i="8" s="1"/>
  <c r="N305" i="2"/>
  <c r="P122" i="2"/>
  <c r="O75" i="8"/>
  <c r="O76" i="8" s="1"/>
  <c r="P301" i="2"/>
  <c r="O171" i="8"/>
  <c r="O172" i="8" s="1"/>
  <c r="P422" i="2"/>
  <c r="O247" i="8"/>
  <c r="O248" i="8" s="1"/>
  <c r="P238" i="2"/>
  <c r="O131" i="8"/>
  <c r="O132" i="8" s="1"/>
  <c r="P297" i="2"/>
  <c r="O155" i="8"/>
  <c r="O156" i="8" s="1"/>
  <c r="O479" i="2"/>
  <c r="N271" i="8"/>
  <c r="N272" i="8" s="1"/>
  <c r="O305" i="2" l="1"/>
  <c r="Q242" i="2"/>
  <c r="P147" i="8"/>
  <c r="P148" i="8" s="1"/>
  <c r="Q116" i="2"/>
  <c r="P51" i="8"/>
  <c r="P52" i="8" s="1"/>
  <c r="Q298" i="2"/>
  <c r="P159" i="8"/>
  <c r="P160" i="8" s="1"/>
  <c r="Q59" i="2"/>
  <c r="P27" i="8"/>
  <c r="P28" i="8" s="1"/>
  <c r="P421" i="2"/>
  <c r="O243" i="8"/>
  <c r="O244" i="8" s="1"/>
  <c r="P174" i="2"/>
  <c r="O79" i="8"/>
  <c r="O80" i="8" s="1"/>
  <c r="Q296" i="2"/>
  <c r="P151" i="8"/>
  <c r="P152" i="8" s="1"/>
  <c r="Q357" i="2"/>
  <c r="P191" i="8"/>
  <c r="P192" i="8" s="1"/>
  <c r="O175" i="2"/>
  <c r="N83" i="8"/>
  <c r="N84" i="8" s="1"/>
  <c r="P417" i="2"/>
  <c r="O227" i="8"/>
  <c r="O228" i="8" s="1"/>
  <c r="P477" i="2"/>
  <c r="O263" i="8"/>
  <c r="O264" i="8" s="1"/>
  <c r="Q299" i="2"/>
  <c r="P163" i="8"/>
  <c r="P164" i="8" s="1"/>
  <c r="P483" i="2"/>
  <c r="O287" i="8"/>
  <c r="O288" i="8" s="1"/>
  <c r="P481" i="2"/>
  <c r="O279" i="8"/>
  <c r="O280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P181" i="2"/>
  <c r="O107" i="8"/>
  <c r="O108" i="8" s="1"/>
  <c r="Q418" i="2"/>
  <c r="P231" i="8"/>
  <c r="P232" i="8" s="1"/>
  <c r="Q361" i="2"/>
  <c r="P207" i="8"/>
  <c r="P208" i="8" s="1"/>
  <c r="Q237" i="2"/>
  <c r="P127" i="8"/>
  <c r="P128" i="8" s="1"/>
  <c r="Q304" i="2"/>
  <c r="P183" i="8"/>
  <c r="P184" i="8" s="1"/>
  <c r="Q362" i="2"/>
  <c r="P211" i="8"/>
  <c r="P212" i="8" s="1"/>
  <c r="P484" i="2"/>
  <c r="O291" i="8"/>
  <c r="O292" i="8" s="1"/>
  <c r="Q115" i="2"/>
  <c r="P47" i="8"/>
  <c r="P48" i="8" s="1"/>
  <c r="Q120" i="2"/>
  <c r="P67" i="8"/>
  <c r="P68" i="8" s="1"/>
  <c r="Q363" i="2"/>
  <c r="P215" i="8"/>
  <c r="P216" i="8" s="1"/>
  <c r="Q422" i="2"/>
  <c r="P247" i="8"/>
  <c r="P248" i="8" s="1"/>
  <c r="Q360" i="2"/>
  <c r="P203" i="8"/>
  <c r="P204" i="8" s="1"/>
  <c r="Q56" i="2"/>
  <c r="P15" i="8"/>
  <c r="P16" i="8" s="1"/>
  <c r="Q60" i="2"/>
  <c r="P31" i="8"/>
  <c r="P32" i="8" s="1"/>
  <c r="Q301" i="2"/>
  <c r="P171" i="8"/>
  <c r="P172" i="8" s="1"/>
  <c r="Q235" i="2"/>
  <c r="P119" i="8"/>
  <c r="P120" i="8" s="1"/>
  <c r="P479" i="2"/>
  <c r="O271" i="8"/>
  <c r="O272" i="8" s="1"/>
  <c r="Q240" i="2"/>
  <c r="P139" i="8"/>
  <c r="P140" i="8" s="1"/>
  <c r="P176" i="2"/>
  <c r="O87" i="8"/>
  <c r="O88" i="8" s="1"/>
  <c r="Q419" i="2"/>
  <c r="P235" i="8"/>
  <c r="P236" i="8" s="1"/>
  <c r="P365" i="2"/>
  <c r="Q356" i="2"/>
  <c r="P187" i="8"/>
  <c r="P188" i="8" s="1"/>
  <c r="Q118" i="2"/>
  <c r="P59" i="8"/>
  <c r="P60" i="8" s="1"/>
  <c r="P420" i="2"/>
  <c r="O239" i="8"/>
  <c r="O240" i="8" s="1"/>
  <c r="Q121" i="2"/>
  <c r="P71" i="8"/>
  <c r="P72" i="8" s="1"/>
  <c r="Q424" i="2"/>
  <c r="P255" i="8"/>
  <c r="P256" i="8" s="1"/>
  <c r="Q297" i="2"/>
  <c r="P155" i="8"/>
  <c r="P156" i="8" s="1"/>
  <c r="Q58" i="2"/>
  <c r="P23" i="8"/>
  <c r="P24" i="8" s="1"/>
  <c r="P177" i="2"/>
  <c r="O91" i="8"/>
  <c r="O92" i="8" s="1"/>
  <c r="P179" i="2"/>
  <c r="O99" i="8"/>
  <c r="O100" i="8" s="1"/>
  <c r="Q476" i="2"/>
  <c r="P259" i="8"/>
  <c r="P260" i="8" s="1"/>
  <c r="Q358" i="2"/>
  <c r="P195" i="8"/>
  <c r="P196" i="8" s="1"/>
  <c r="P303" i="2"/>
  <c r="O179" i="8"/>
  <c r="O180" i="8" s="1"/>
  <c r="P478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O425" i="2"/>
  <c r="P416" i="2"/>
  <c r="O223" i="8"/>
  <c r="O224" i="8" s="1"/>
  <c r="Q236" i="2"/>
  <c r="P123" i="8"/>
  <c r="P124" i="8" s="1"/>
  <c r="P243" i="2"/>
  <c r="Q234" i="2"/>
  <c r="P115" i="8"/>
  <c r="P116" i="8" s="1"/>
  <c r="P480" i="2"/>
  <c r="O275" i="8"/>
  <c r="O276" i="8" s="1"/>
  <c r="P482" i="2"/>
  <c r="O283" i="8"/>
  <c r="O284" i="8" s="1"/>
  <c r="O485" i="2"/>
  <c r="Q359" i="2"/>
  <c r="P199" i="8"/>
  <c r="P200" i="8" s="1"/>
  <c r="Q238" i="2"/>
  <c r="P131" i="8"/>
  <c r="P132" i="8" s="1"/>
  <c r="Q62" i="2"/>
  <c r="P39" i="8"/>
  <c r="P40" i="8" s="1"/>
  <c r="P423" i="2"/>
  <c r="O251" i="8"/>
  <c r="O252" i="8" s="1"/>
  <c r="R117" i="2"/>
  <c r="Q55" i="8"/>
  <c r="Q56" i="8" s="1"/>
  <c r="Q300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Q364" i="2"/>
  <c r="P219" i="8"/>
  <c r="P220" i="8" s="1"/>
  <c r="O180" i="2"/>
  <c r="N103" i="8"/>
  <c r="N104" i="8" s="1"/>
  <c r="P302" i="2"/>
  <c r="O175" i="8"/>
  <c r="O176" i="8" s="1"/>
  <c r="O183" i="2" l="1"/>
  <c r="R476" i="2"/>
  <c r="Q259" i="8"/>
  <c r="Q260" i="8" s="1"/>
  <c r="R121" i="2"/>
  <c r="Q71" i="8"/>
  <c r="Q72" i="8" s="1"/>
  <c r="R364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421" i="2"/>
  <c r="P243" i="8"/>
  <c r="P244" i="8" s="1"/>
  <c r="Q480" i="2"/>
  <c r="P275" i="8"/>
  <c r="P276" i="8" s="1"/>
  <c r="R240" i="2"/>
  <c r="Q139" i="8"/>
  <c r="Q140" i="8" s="1"/>
  <c r="R304" i="2"/>
  <c r="Q183" i="8"/>
  <c r="Q184" i="8" s="1"/>
  <c r="Q477" i="2"/>
  <c r="P263" i="8"/>
  <c r="P264" i="8" s="1"/>
  <c r="R422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417" i="2"/>
  <c r="P227" i="8"/>
  <c r="P228" i="8" s="1"/>
  <c r="R122" i="2"/>
  <c r="Q75" i="8"/>
  <c r="Q76" i="8" s="1"/>
  <c r="R299" i="2"/>
  <c r="Q163" i="8"/>
  <c r="Q164" i="8" s="1"/>
  <c r="R239" i="2"/>
  <c r="Q135" i="8"/>
  <c r="Q136" i="8" s="1"/>
  <c r="R62" i="2"/>
  <c r="Q39" i="8"/>
  <c r="Q40" i="8" s="1"/>
  <c r="R363" i="2"/>
  <c r="Q215" i="8"/>
  <c r="Q216" i="8" s="1"/>
  <c r="R361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479" i="2"/>
  <c r="P271" i="8"/>
  <c r="P272" i="8" s="1"/>
  <c r="Q420" i="2"/>
  <c r="P239" i="8"/>
  <c r="P240" i="8" s="1"/>
  <c r="R61" i="2"/>
  <c r="Q35" i="8"/>
  <c r="Q36" i="8" s="1"/>
  <c r="R359" i="2"/>
  <c r="Q199" i="8"/>
  <c r="Q200" i="8" s="1"/>
  <c r="Q478" i="2"/>
  <c r="P267" i="8"/>
  <c r="P268" i="8" s="1"/>
  <c r="Q177" i="2"/>
  <c r="P91" i="8"/>
  <c r="P92" i="8" s="1"/>
  <c r="Q365" i="2"/>
  <c r="R356" i="2"/>
  <c r="Q187" i="8"/>
  <c r="Q188" i="8" s="1"/>
  <c r="R301" i="2"/>
  <c r="Q171" i="8"/>
  <c r="Q172" i="8" s="1"/>
  <c r="P175" i="2"/>
  <c r="P183" i="2" s="1"/>
  <c r="O83" i="8"/>
  <c r="O84" i="8" s="1"/>
  <c r="P180" i="2"/>
  <c r="O103" i="8"/>
  <c r="O104" i="8" s="1"/>
  <c r="Q423" i="2"/>
  <c r="P251" i="8"/>
  <c r="P252" i="8" s="1"/>
  <c r="R362" i="2"/>
  <c r="Q211" i="8"/>
  <c r="Q212" i="8" s="1"/>
  <c r="P485" i="2"/>
  <c r="Q416" i="2"/>
  <c r="P425" i="2"/>
  <c r="P223" i="8"/>
  <c r="P224" i="8" s="1"/>
  <c r="R120" i="2"/>
  <c r="Q67" i="8"/>
  <c r="Q68" i="8" s="1"/>
  <c r="R418" i="2"/>
  <c r="Q231" i="8"/>
  <c r="Q232" i="8" s="1"/>
  <c r="Q182" i="2"/>
  <c r="P111" i="8"/>
  <c r="P112" i="8" s="1"/>
  <c r="R58" i="2"/>
  <c r="Q23" i="8"/>
  <c r="Q24" i="8" s="1"/>
  <c r="R60" i="2"/>
  <c r="Q31" i="8"/>
  <c r="Q32" i="8" s="1"/>
  <c r="Q481" i="2"/>
  <c r="P279" i="8"/>
  <c r="P280" i="8" s="1"/>
  <c r="R357" i="2"/>
  <c r="Q191" i="8"/>
  <c r="Q192" i="8" s="1"/>
  <c r="R298" i="2"/>
  <c r="Q159" i="8"/>
  <c r="Q160" i="8" s="1"/>
  <c r="R300" i="2"/>
  <c r="Q167" i="8"/>
  <c r="Q168" i="8" s="1"/>
  <c r="Q302" i="2"/>
  <c r="P175" i="8"/>
  <c r="P176" i="8" s="1"/>
  <c r="Q482" i="2"/>
  <c r="P283" i="8"/>
  <c r="P284" i="8" s="1"/>
  <c r="Q303" i="2"/>
  <c r="Q305" i="2" s="1"/>
  <c r="P179" i="8"/>
  <c r="P180" i="8" s="1"/>
  <c r="R419" i="2"/>
  <c r="Q235" i="8"/>
  <c r="Q236" i="8" s="1"/>
  <c r="R115" i="2"/>
  <c r="Q47" i="8"/>
  <c r="Q48" i="8" s="1"/>
  <c r="Q181" i="2"/>
  <c r="P107" i="8"/>
  <c r="P108" i="8" s="1"/>
  <c r="S117" i="2"/>
  <c r="R55" i="8"/>
  <c r="R56" i="8" s="1"/>
  <c r="R297" i="2"/>
  <c r="Q155" i="8"/>
  <c r="Q156" i="8" s="1"/>
  <c r="R56" i="2"/>
  <c r="Q15" i="8"/>
  <c r="Q16" i="8" s="1"/>
  <c r="P305" i="2"/>
  <c r="R116" i="2"/>
  <c r="Q51" i="8"/>
  <c r="Q52" i="8" s="1"/>
  <c r="R358" i="2"/>
  <c r="Q195" i="8"/>
  <c r="Q196" i="8" s="1"/>
  <c r="Q176" i="2"/>
  <c r="P87" i="8"/>
  <c r="P88" i="8" s="1"/>
  <c r="Q484" i="2"/>
  <c r="P291" i="8"/>
  <c r="P292" i="8" s="1"/>
  <c r="R57" i="2"/>
  <c r="Q19" i="8"/>
  <c r="Q20" i="8" s="1"/>
  <c r="Q483" i="2"/>
  <c r="P287" i="8"/>
  <c r="P288" i="8" s="1"/>
  <c r="R296" i="2"/>
  <c r="Q151" i="8"/>
  <c r="Q152" i="8" s="1"/>
  <c r="R424" i="2"/>
  <c r="Q255" i="8"/>
  <c r="Q256" i="8" s="1"/>
  <c r="R360" i="2"/>
  <c r="Q203" i="8"/>
  <c r="Q204" i="8" s="1"/>
  <c r="R242" i="2"/>
  <c r="Q147" i="8"/>
  <c r="Q148" i="8" s="1"/>
  <c r="S56" i="2" l="1"/>
  <c r="R15" i="8"/>
  <c r="R16" i="8" s="1"/>
  <c r="S60" i="2"/>
  <c r="R31" i="8"/>
  <c r="R32" i="8" s="1"/>
  <c r="R365" i="2"/>
  <c r="S356" i="2"/>
  <c r="R187" i="8"/>
  <c r="R188" i="8" s="1"/>
  <c r="S235" i="2"/>
  <c r="R119" i="8"/>
  <c r="R120" i="8" s="1"/>
  <c r="S422" i="2"/>
  <c r="R247" i="8"/>
  <c r="R248" i="8" s="1"/>
  <c r="R63" i="2"/>
  <c r="S54" i="2"/>
  <c r="R7" i="8"/>
  <c r="R8" i="8" s="1"/>
  <c r="R482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478" i="2"/>
  <c r="Q267" i="8"/>
  <c r="Q268" i="8" s="1"/>
  <c r="Q175" i="2"/>
  <c r="P83" i="8"/>
  <c r="P84" i="8" s="1"/>
  <c r="S57" i="2"/>
  <c r="R19" i="8"/>
  <c r="R20" i="8" s="1"/>
  <c r="R302" i="2"/>
  <c r="Q175" i="8"/>
  <c r="Q176" i="8" s="1"/>
  <c r="S362" i="2"/>
  <c r="R211" i="8"/>
  <c r="R212" i="8" s="1"/>
  <c r="S304" i="2"/>
  <c r="R183" i="8"/>
  <c r="R184" i="8" s="1"/>
  <c r="T117" i="2"/>
  <c r="S55" i="8"/>
  <c r="S56" i="8" s="1"/>
  <c r="S300" i="2"/>
  <c r="R167" i="8"/>
  <c r="R168" i="8" s="1"/>
  <c r="R176" i="2"/>
  <c r="Q87" i="8"/>
  <c r="Q88" i="8" s="1"/>
  <c r="R423" i="2"/>
  <c r="Q251" i="8"/>
  <c r="Q252" i="8" s="1"/>
  <c r="S299" i="2"/>
  <c r="R163" i="8"/>
  <c r="R164" i="8" s="1"/>
  <c r="S238" i="2"/>
  <c r="R131" i="8"/>
  <c r="R132" i="8" s="1"/>
  <c r="S240" i="2"/>
  <c r="R139" i="8"/>
  <c r="R140" i="8" s="1"/>
  <c r="S364" i="2"/>
  <c r="R219" i="8"/>
  <c r="R220" i="8" s="1"/>
  <c r="S59" i="2"/>
  <c r="R27" i="8"/>
  <c r="R28" i="8" s="1"/>
  <c r="S116" i="2"/>
  <c r="R51" i="8"/>
  <c r="R52" i="8" s="1"/>
  <c r="S120" i="2"/>
  <c r="R67" i="8"/>
  <c r="R68" i="8" s="1"/>
  <c r="R483" i="2"/>
  <c r="Q287" i="8"/>
  <c r="Q288" i="8" s="1"/>
  <c r="S58" i="2"/>
  <c r="R23" i="8"/>
  <c r="R24" i="8" s="1"/>
  <c r="S62" i="2"/>
  <c r="R39" i="8"/>
  <c r="R40" i="8" s="1"/>
  <c r="R477" i="2"/>
  <c r="Q263" i="8"/>
  <c r="Q264" i="8" s="1"/>
  <c r="R484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298" i="2"/>
  <c r="R159" i="8"/>
  <c r="R160" i="8" s="1"/>
  <c r="S359" i="2"/>
  <c r="R199" i="8"/>
  <c r="R200" i="8" s="1"/>
  <c r="S114" i="2"/>
  <c r="R123" i="2"/>
  <c r="R43" i="8"/>
  <c r="R44" i="8" s="1"/>
  <c r="S297" i="2"/>
  <c r="R155" i="8"/>
  <c r="R156" i="8" s="1"/>
  <c r="R174" i="2"/>
  <c r="Q79" i="8"/>
  <c r="Q80" i="8" s="1"/>
  <c r="S239" i="2"/>
  <c r="R135" i="8"/>
  <c r="R136" i="8" s="1"/>
  <c r="S360" i="2"/>
  <c r="R203" i="8"/>
  <c r="R204" i="8" s="1"/>
  <c r="S358" i="2"/>
  <c r="R195" i="8"/>
  <c r="R196" i="8" s="1"/>
  <c r="S418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480" i="2"/>
  <c r="Q275" i="8"/>
  <c r="Q276" i="8" s="1"/>
  <c r="S61" i="2"/>
  <c r="R35" i="8"/>
  <c r="R36" i="8" s="1"/>
  <c r="S296" i="2"/>
  <c r="R151" i="8"/>
  <c r="R152" i="8" s="1"/>
  <c r="S419" i="2"/>
  <c r="R235" i="8"/>
  <c r="R236" i="8" s="1"/>
  <c r="R481" i="2"/>
  <c r="Q279" i="8"/>
  <c r="Q280" i="8" s="1"/>
  <c r="R420" i="2"/>
  <c r="Q239" i="8"/>
  <c r="Q240" i="8" s="1"/>
  <c r="S361" i="2"/>
  <c r="R207" i="8"/>
  <c r="R208" i="8" s="1"/>
  <c r="Q485" i="2"/>
  <c r="S424" i="2"/>
  <c r="R255" i="8"/>
  <c r="R256" i="8" s="1"/>
  <c r="S115" i="2"/>
  <c r="R47" i="8"/>
  <c r="R48" i="8" s="1"/>
  <c r="S357" i="2"/>
  <c r="R191" i="8"/>
  <c r="R192" i="8" s="1"/>
  <c r="S121" i="2"/>
  <c r="R71" i="8"/>
  <c r="R72" i="8" s="1"/>
  <c r="R417" i="2"/>
  <c r="Q227" i="8"/>
  <c r="Q228" i="8" s="1"/>
  <c r="S236" i="2"/>
  <c r="R123" i="8"/>
  <c r="R124" i="8" s="1"/>
  <c r="R421" i="2"/>
  <c r="Q243" i="8"/>
  <c r="Q244" i="8" s="1"/>
  <c r="S301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476" i="2"/>
  <c r="R259" i="8"/>
  <c r="R260" i="8" s="1"/>
  <c r="R303" i="2"/>
  <c r="R305" i="2" s="1"/>
  <c r="Q179" i="8"/>
  <c r="Q180" i="8" s="1"/>
  <c r="Q425" i="2"/>
  <c r="R416" i="2"/>
  <c r="Q223" i="8"/>
  <c r="Q224" i="8" s="1"/>
  <c r="R479" i="2"/>
  <c r="Q271" i="8"/>
  <c r="Q272" i="8" s="1"/>
  <c r="S363" i="2"/>
  <c r="R215" i="8"/>
  <c r="R216" i="8" s="1"/>
  <c r="T357" i="2" l="1"/>
  <c r="S191" i="8"/>
  <c r="S192" i="8" s="1"/>
  <c r="T418" i="2"/>
  <c r="S231" i="8"/>
  <c r="S232" i="8" s="1"/>
  <c r="S123" i="2"/>
  <c r="T114" i="2"/>
  <c r="S43" i="8"/>
  <c r="S44" i="8" s="1"/>
  <c r="S477" i="2"/>
  <c r="R263" i="8"/>
  <c r="R264" i="8" s="1"/>
  <c r="T54" i="2"/>
  <c r="S63" i="2"/>
  <c r="S7" i="8"/>
  <c r="S8" i="8" s="1"/>
  <c r="S481" i="2"/>
  <c r="R279" i="8"/>
  <c r="R280" i="8" s="1"/>
  <c r="T55" i="2"/>
  <c r="S11" i="8"/>
  <c r="S12" i="8" s="1"/>
  <c r="T240" i="2"/>
  <c r="S139" i="8"/>
  <c r="S140" i="8" s="1"/>
  <c r="T304" i="2"/>
  <c r="S183" i="8"/>
  <c r="S184" i="8" s="1"/>
  <c r="S243" i="2"/>
  <c r="T234" i="2"/>
  <c r="S115" i="8"/>
  <c r="S116" i="8" s="1"/>
  <c r="T422" i="2"/>
  <c r="S247" i="8"/>
  <c r="S248" i="8" s="1"/>
  <c r="T297" i="2"/>
  <c r="S155" i="8"/>
  <c r="S156" i="8" s="1"/>
  <c r="R175" i="2"/>
  <c r="Q83" i="8"/>
  <c r="Q84" i="8" s="1"/>
  <c r="R425" i="2"/>
  <c r="S416" i="2"/>
  <c r="R223" i="8"/>
  <c r="R224" i="8" s="1"/>
  <c r="T301" i="2"/>
  <c r="S171" i="8"/>
  <c r="S172" i="8" s="1"/>
  <c r="T424" i="2"/>
  <c r="S255" i="8"/>
  <c r="S256" i="8" s="1"/>
  <c r="T61" i="2"/>
  <c r="S35" i="8"/>
  <c r="S36" i="8" s="1"/>
  <c r="T360" i="2"/>
  <c r="S203" i="8"/>
  <c r="S204" i="8" s="1"/>
  <c r="T298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358" i="2"/>
  <c r="S195" i="8"/>
  <c r="S196" i="8" s="1"/>
  <c r="T238" i="2"/>
  <c r="S131" i="8"/>
  <c r="S132" i="8" s="1"/>
  <c r="T362" i="2"/>
  <c r="S211" i="8"/>
  <c r="S212" i="8" s="1"/>
  <c r="T235" i="2"/>
  <c r="S119" i="8"/>
  <c r="S120" i="8" s="1"/>
  <c r="T419" i="2"/>
  <c r="S235" i="8"/>
  <c r="S236" i="8" s="1"/>
  <c r="T300" i="2"/>
  <c r="S167" i="8"/>
  <c r="S168" i="8" s="1"/>
  <c r="S479" i="2"/>
  <c r="R271" i="8"/>
  <c r="R272" i="8" s="1"/>
  <c r="T296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359" i="2"/>
  <c r="S199" i="8"/>
  <c r="S200" i="8" s="1"/>
  <c r="T299" i="2"/>
  <c r="S163" i="8"/>
  <c r="S164" i="8" s="1"/>
  <c r="S302" i="2"/>
  <c r="R175" i="8"/>
  <c r="R176" i="8" s="1"/>
  <c r="S365" i="2"/>
  <c r="T356" i="2"/>
  <c r="S187" i="8"/>
  <c r="S188" i="8" s="1"/>
  <c r="T364" i="2"/>
  <c r="S219" i="8"/>
  <c r="S220" i="8" s="1"/>
  <c r="T115" i="2"/>
  <c r="S47" i="8"/>
  <c r="S48" i="8" s="1"/>
  <c r="S421" i="2"/>
  <c r="R243" i="8"/>
  <c r="R244" i="8" s="1"/>
  <c r="S480" i="2"/>
  <c r="R275" i="8"/>
  <c r="R276" i="8" s="1"/>
  <c r="S181" i="2"/>
  <c r="R107" i="8"/>
  <c r="R108" i="8" s="1"/>
  <c r="S483" i="2"/>
  <c r="R287" i="8"/>
  <c r="R288" i="8" s="1"/>
  <c r="S303" i="2"/>
  <c r="R179" i="8"/>
  <c r="R180" i="8" s="1"/>
  <c r="T361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S485" i="2"/>
  <c r="T476" i="2"/>
  <c r="S259" i="8"/>
  <c r="S260" i="8" s="1"/>
  <c r="S420" i="2"/>
  <c r="R239" i="8"/>
  <c r="R240" i="8" s="1"/>
  <c r="Q183" i="2"/>
  <c r="S423" i="2"/>
  <c r="R251" i="8"/>
  <c r="R252" i="8" s="1"/>
  <c r="T57" i="2"/>
  <c r="S19" i="8"/>
  <c r="S20" i="8" s="1"/>
  <c r="S478" i="2"/>
  <c r="R267" i="8"/>
  <c r="R268" i="8" s="1"/>
  <c r="T363" i="2"/>
  <c r="S215" i="8"/>
  <c r="S216" i="8" s="1"/>
  <c r="R485" i="2"/>
  <c r="S417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484" i="2"/>
  <c r="R291" i="8"/>
  <c r="R292" i="8" s="1"/>
  <c r="T59" i="2"/>
  <c r="S27" i="8"/>
  <c r="S28" i="8" s="1"/>
  <c r="S482" i="2"/>
  <c r="R283" i="8"/>
  <c r="R284" i="8" s="1"/>
  <c r="T56" i="2"/>
  <c r="S15" i="8"/>
  <c r="S16" i="8" s="1"/>
  <c r="S175" i="2" l="1"/>
  <c r="R83" i="8"/>
  <c r="R84" i="8" s="1"/>
  <c r="U56" i="2"/>
  <c r="T15" i="8"/>
  <c r="T16" i="8" s="1"/>
  <c r="T176" i="2"/>
  <c r="S87" i="8"/>
  <c r="S88" i="8" s="1"/>
  <c r="U361" i="2"/>
  <c r="T207" i="8"/>
  <c r="T208" i="8" s="1"/>
  <c r="U364" i="2"/>
  <c r="T219" i="8"/>
  <c r="T220" i="8" s="1"/>
  <c r="U235" i="2"/>
  <c r="T119" i="8"/>
  <c r="T120" i="8" s="1"/>
  <c r="U298" i="2"/>
  <c r="T159" i="8"/>
  <c r="T160" i="8" s="1"/>
  <c r="T481" i="2"/>
  <c r="S279" i="8"/>
  <c r="S280" i="8" s="1"/>
  <c r="T177" i="2"/>
  <c r="S91" i="8"/>
  <c r="S92" i="8" s="1"/>
  <c r="U362" i="2"/>
  <c r="T211" i="8"/>
  <c r="T212" i="8" s="1"/>
  <c r="U360" i="2"/>
  <c r="T203" i="8"/>
  <c r="T204" i="8" s="1"/>
  <c r="T478" i="2"/>
  <c r="S267" i="8"/>
  <c r="S268" i="8" s="1"/>
  <c r="U120" i="2"/>
  <c r="T67" i="8"/>
  <c r="T68" i="8" s="1"/>
  <c r="U62" i="2"/>
  <c r="T39" i="8"/>
  <c r="T40" i="8" s="1"/>
  <c r="U422" i="2"/>
  <c r="T247" i="8"/>
  <c r="T248" i="8" s="1"/>
  <c r="T63" i="2"/>
  <c r="U54" i="2"/>
  <c r="T7" i="8"/>
  <c r="T8" i="8" s="1"/>
  <c r="U239" i="2"/>
  <c r="T135" i="8"/>
  <c r="T136" i="8" s="1"/>
  <c r="T365" i="2"/>
  <c r="U356" i="2"/>
  <c r="T187" i="8"/>
  <c r="T188" i="8" s="1"/>
  <c r="T178" i="2"/>
  <c r="S95" i="8"/>
  <c r="S96" i="8" s="1"/>
  <c r="T483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302" i="2"/>
  <c r="S175" i="8"/>
  <c r="S176" i="8" s="1"/>
  <c r="S305" i="2"/>
  <c r="T243" i="2"/>
  <c r="U234" i="2"/>
  <c r="T115" i="8"/>
  <c r="T116" i="8" s="1"/>
  <c r="T477" i="2"/>
  <c r="S263" i="8"/>
  <c r="S264" i="8" s="1"/>
  <c r="U363" i="2"/>
  <c r="T215" i="8"/>
  <c r="T216" i="8" s="1"/>
  <c r="U118" i="2"/>
  <c r="T59" i="8"/>
  <c r="T60" i="8" s="1"/>
  <c r="U297" i="2"/>
  <c r="T155" i="8"/>
  <c r="T156" i="8" s="1"/>
  <c r="T482" i="2"/>
  <c r="S283" i="8"/>
  <c r="S284" i="8" s="1"/>
  <c r="U60" i="2"/>
  <c r="T31" i="8"/>
  <c r="T32" i="8" s="1"/>
  <c r="T303" i="2"/>
  <c r="S179" i="8"/>
  <c r="S180" i="8" s="1"/>
  <c r="U59" i="2"/>
  <c r="T27" i="8"/>
  <c r="T28" i="8" s="1"/>
  <c r="T484" i="2"/>
  <c r="S291" i="8"/>
  <c r="S292" i="8" s="1"/>
  <c r="U116" i="2"/>
  <c r="T51" i="8"/>
  <c r="T52" i="8" s="1"/>
  <c r="T181" i="2"/>
  <c r="S107" i="8"/>
  <c r="S108" i="8" s="1"/>
  <c r="U296" i="2"/>
  <c r="T305" i="2"/>
  <c r="T151" i="8"/>
  <c r="T152" i="8" s="1"/>
  <c r="U358" i="2"/>
  <c r="T195" i="8"/>
  <c r="T196" i="8" s="1"/>
  <c r="U424" i="2"/>
  <c r="T255" i="8"/>
  <c r="T256" i="8" s="1"/>
  <c r="U299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480" i="2"/>
  <c r="S275" i="8"/>
  <c r="S276" i="8" s="1"/>
  <c r="T479" i="2"/>
  <c r="T485" i="2" s="1"/>
  <c r="S271" i="8"/>
  <c r="S272" i="8" s="1"/>
  <c r="U241" i="2"/>
  <c r="T143" i="8"/>
  <c r="T144" i="8" s="1"/>
  <c r="U301" i="2"/>
  <c r="T171" i="8"/>
  <c r="T172" i="8" s="1"/>
  <c r="U304" i="2"/>
  <c r="T183" i="8"/>
  <c r="T184" i="8" s="1"/>
  <c r="T423" i="2"/>
  <c r="S251" i="8"/>
  <c r="S252" i="8" s="1"/>
  <c r="U359" i="2"/>
  <c r="T199" i="8"/>
  <c r="T200" i="8" s="1"/>
  <c r="U418" i="2"/>
  <c r="T231" i="8"/>
  <c r="T232" i="8" s="1"/>
  <c r="V117" i="2"/>
  <c r="U55" i="8"/>
  <c r="U56" i="8" s="1"/>
  <c r="S183" i="2"/>
  <c r="T174" i="2"/>
  <c r="S79" i="8"/>
  <c r="S80" i="8" s="1"/>
  <c r="U121" i="2"/>
  <c r="T71" i="8"/>
  <c r="T72" i="8" s="1"/>
  <c r="U122" i="2"/>
  <c r="T75" i="8"/>
  <c r="T76" i="8" s="1"/>
  <c r="T420" i="2"/>
  <c r="S239" i="8"/>
  <c r="S240" i="8" s="1"/>
  <c r="T179" i="2"/>
  <c r="S99" i="8"/>
  <c r="S100" i="8" s="1"/>
  <c r="T421" i="2"/>
  <c r="S243" i="8"/>
  <c r="S244" i="8" s="1"/>
  <c r="U300" i="2"/>
  <c r="T167" i="8"/>
  <c r="T168" i="8" s="1"/>
  <c r="U242" i="2"/>
  <c r="T147" i="8"/>
  <c r="T148" i="8" s="1"/>
  <c r="S425" i="2"/>
  <c r="T416" i="2"/>
  <c r="S223" i="8"/>
  <c r="S224" i="8" s="1"/>
  <c r="U240" i="2"/>
  <c r="T139" i="8"/>
  <c r="T140" i="8" s="1"/>
  <c r="U237" i="2"/>
  <c r="T127" i="8"/>
  <c r="T128" i="8" s="1"/>
  <c r="T417" i="2"/>
  <c r="S227" i="8"/>
  <c r="S228" i="8" s="1"/>
  <c r="U476" i="2"/>
  <c r="T259" i="8"/>
  <c r="T260" i="8" s="1"/>
  <c r="U236" i="2"/>
  <c r="T123" i="8"/>
  <c r="T124" i="8" s="1"/>
  <c r="U115" i="2"/>
  <c r="T47" i="8"/>
  <c r="T48" i="8" s="1"/>
  <c r="U419" i="2"/>
  <c r="T235" i="8"/>
  <c r="T236" i="8" s="1"/>
  <c r="U58" i="2"/>
  <c r="T23" i="8"/>
  <c r="T24" i="8" s="1"/>
  <c r="U55" i="2"/>
  <c r="T11" i="8"/>
  <c r="T12" i="8" s="1"/>
  <c r="U357" i="2"/>
  <c r="T191" i="8"/>
  <c r="T192" i="8" s="1"/>
  <c r="U421" i="2" l="1"/>
  <c r="T243" i="8"/>
  <c r="T244" i="8" s="1"/>
  <c r="U303" i="2"/>
  <c r="T179" i="8"/>
  <c r="T180" i="8" s="1"/>
  <c r="V234" i="2"/>
  <c r="U243" i="2"/>
  <c r="U115" i="8"/>
  <c r="U116" i="8" s="1"/>
  <c r="U483" i="2"/>
  <c r="T287" i="8"/>
  <c r="T288" i="8" s="1"/>
  <c r="V62" i="2"/>
  <c r="U39" i="8"/>
  <c r="U40" i="8" s="1"/>
  <c r="V298" i="2"/>
  <c r="U159" i="8"/>
  <c r="U160" i="8" s="1"/>
  <c r="U480" i="2"/>
  <c r="T275" i="8"/>
  <c r="T276" i="8" s="1"/>
  <c r="V358" i="2"/>
  <c r="U195" i="8"/>
  <c r="U196" i="8" s="1"/>
  <c r="U417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359" i="2"/>
  <c r="U199" i="8"/>
  <c r="U200" i="8" s="1"/>
  <c r="V58" i="2"/>
  <c r="U23" i="8"/>
  <c r="U24" i="8" s="1"/>
  <c r="U420" i="2"/>
  <c r="T239" i="8"/>
  <c r="T240" i="8" s="1"/>
  <c r="U182" i="2"/>
  <c r="T111" i="8"/>
  <c r="T112" i="8" s="1"/>
  <c r="V296" i="2"/>
  <c r="U151" i="8"/>
  <c r="U152" i="8" s="1"/>
  <c r="U482" i="2"/>
  <c r="T283" i="8"/>
  <c r="T284" i="8" s="1"/>
  <c r="U302" i="2"/>
  <c r="U305" i="2" s="1"/>
  <c r="T175" i="8"/>
  <c r="T176" i="8" s="1"/>
  <c r="U365" i="2"/>
  <c r="V356" i="2"/>
  <c r="U187" i="8"/>
  <c r="U188" i="8" s="1"/>
  <c r="U478" i="2"/>
  <c r="T267" i="8"/>
  <c r="T268" i="8" s="1"/>
  <c r="V364" i="2"/>
  <c r="U219" i="8"/>
  <c r="U220" i="8" s="1"/>
  <c r="V55" i="2"/>
  <c r="U11" i="8"/>
  <c r="U12" i="8" s="1"/>
  <c r="V240" i="2"/>
  <c r="U139" i="8"/>
  <c r="U140" i="8" s="1"/>
  <c r="U423" i="2"/>
  <c r="T251" i="8"/>
  <c r="T252" i="8" s="1"/>
  <c r="W117" i="2"/>
  <c r="V55" i="8"/>
  <c r="V56" i="8" s="1"/>
  <c r="V424" i="2"/>
  <c r="U255" i="8"/>
  <c r="U256" i="8" s="1"/>
  <c r="V357" i="2"/>
  <c r="U191" i="8"/>
  <c r="U192" i="8" s="1"/>
  <c r="V418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419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297" i="2"/>
  <c r="U155" i="8"/>
  <c r="U156" i="8" s="1"/>
  <c r="V119" i="2"/>
  <c r="U63" i="8"/>
  <c r="U64" i="8" s="1"/>
  <c r="V360" i="2"/>
  <c r="U203" i="8"/>
  <c r="U204" i="8" s="1"/>
  <c r="V361" i="2"/>
  <c r="U207" i="8"/>
  <c r="U208" i="8" s="1"/>
  <c r="T425" i="2"/>
  <c r="U416" i="2"/>
  <c r="T223" i="8"/>
  <c r="T224" i="8" s="1"/>
  <c r="V304" i="2"/>
  <c r="U183" i="8"/>
  <c r="U184" i="8" s="1"/>
  <c r="V239" i="2"/>
  <c r="U135" i="8"/>
  <c r="U136" i="8" s="1"/>
  <c r="U479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362" i="2"/>
  <c r="U211" i="8"/>
  <c r="U212" i="8" s="1"/>
  <c r="U176" i="2"/>
  <c r="T87" i="8"/>
  <c r="T88" i="8" s="1"/>
  <c r="V301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484" i="2"/>
  <c r="T291" i="8"/>
  <c r="T292" i="8" s="1"/>
  <c r="V363" i="2"/>
  <c r="U215" i="8"/>
  <c r="U216" i="8" s="1"/>
  <c r="V61" i="2"/>
  <c r="U35" i="8"/>
  <c r="U36" i="8" s="1"/>
  <c r="U177" i="2"/>
  <c r="T91" i="8"/>
  <c r="T92" i="8" s="1"/>
  <c r="V56" i="2"/>
  <c r="U15" i="8"/>
  <c r="U16" i="8" s="1"/>
  <c r="V299" i="2"/>
  <c r="U163" i="8"/>
  <c r="U164" i="8" s="1"/>
  <c r="V241" i="2"/>
  <c r="U143" i="8"/>
  <c r="U144" i="8" s="1"/>
  <c r="V476" i="2"/>
  <c r="U259" i="8"/>
  <c r="U260" i="8" s="1"/>
  <c r="V300" i="2"/>
  <c r="U167" i="8"/>
  <c r="U168" i="8" s="1"/>
  <c r="V59" i="2"/>
  <c r="U27" i="8"/>
  <c r="U28" i="8" s="1"/>
  <c r="U477" i="2"/>
  <c r="T263" i="8"/>
  <c r="T264" i="8" s="1"/>
  <c r="V238" i="2"/>
  <c r="U131" i="8"/>
  <c r="U132" i="8" s="1"/>
  <c r="V422" i="2"/>
  <c r="U247" i="8"/>
  <c r="U248" i="8" s="1"/>
  <c r="U481" i="2"/>
  <c r="T279" i="8"/>
  <c r="T280" i="8" s="1"/>
  <c r="T175" i="2"/>
  <c r="T183" i="2" s="1"/>
  <c r="S83" i="8"/>
  <c r="S84" i="8" s="1"/>
  <c r="U485" i="2" l="1"/>
  <c r="W61" i="2"/>
  <c r="V35" i="8"/>
  <c r="V36" i="8" s="1"/>
  <c r="V365" i="2"/>
  <c r="W356" i="2"/>
  <c r="V187" i="8"/>
  <c r="V188" i="8" s="1"/>
  <c r="W300" i="2"/>
  <c r="V167" i="8"/>
  <c r="V168" i="8" s="1"/>
  <c r="W116" i="2"/>
  <c r="V51" i="8"/>
  <c r="V52" i="8" s="1"/>
  <c r="X117" i="2"/>
  <c r="W55" i="8"/>
  <c r="W56" i="8" s="1"/>
  <c r="W476" i="2"/>
  <c r="V259" i="8"/>
  <c r="V260" i="8" s="1"/>
  <c r="V484" i="2"/>
  <c r="U291" i="8"/>
  <c r="U292" i="8" s="1"/>
  <c r="W360" i="2"/>
  <c r="V203" i="8"/>
  <c r="V204" i="8" s="1"/>
  <c r="W235" i="2"/>
  <c r="V119" i="8"/>
  <c r="V120" i="8" s="1"/>
  <c r="V423" i="2"/>
  <c r="U251" i="8"/>
  <c r="U252" i="8" s="1"/>
  <c r="W237" i="2"/>
  <c r="V127" i="8"/>
  <c r="V128" i="8" s="1"/>
  <c r="W62" i="2"/>
  <c r="V39" i="8"/>
  <c r="V40" i="8" s="1"/>
  <c r="W361" i="2"/>
  <c r="V207" i="8"/>
  <c r="V208" i="8" s="1"/>
  <c r="W298" i="2"/>
  <c r="V159" i="8"/>
  <c r="V160" i="8" s="1"/>
  <c r="W301" i="2"/>
  <c r="V171" i="8"/>
  <c r="V172" i="8" s="1"/>
  <c r="W115" i="2"/>
  <c r="V47" i="8"/>
  <c r="V48" i="8" s="1"/>
  <c r="V482" i="2"/>
  <c r="U283" i="8"/>
  <c r="U284" i="8" s="1"/>
  <c r="V481" i="2"/>
  <c r="U279" i="8"/>
  <c r="U280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483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479" i="2"/>
  <c r="U271" i="8"/>
  <c r="U272" i="8" s="1"/>
  <c r="W296" i="2"/>
  <c r="V151" i="8"/>
  <c r="V152" i="8" s="1"/>
  <c r="V480" i="2"/>
  <c r="U275" i="8"/>
  <c r="U276" i="8" s="1"/>
  <c r="W359" i="2"/>
  <c r="V199" i="8"/>
  <c r="V200" i="8" s="1"/>
  <c r="W297" i="2"/>
  <c r="V155" i="8"/>
  <c r="V156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424" i="2"/>
  <c r="V255" i="8"/>
  <c r="V256" i="8" s="1"/>
  <c r="W114" i="2"/>
  <c r="V123" i="2"/>
  <c r="V43" i="8"/>
  <c r="V44" i="8" s="1"/>
  <c r="W419" i="2"/>
  <c r="V235" i="8"/>
  <c r="V236" i="8" s="1"/>
  <c r="U175" i="2"/>
  <c r="T83" i="8"/>
  <c r="T84" i="8" s="1"/>
  <c r="W121" i="2"/>
  <c r="V71" i="8"/>
  <c r="V72" i="8" s="1"/>
  <c r="V302" i="2"/>
  <c r="U175" i="8"/>
  <c r="U176" i="8" s="1"/>
  <c r="W299" i="2"/>
  <c r="V163" i="8"/>
  <c r="V164" i="8" s="1"/>
  <c r="W56" i="2"/>
  <c r="V15" i="8"/>
  <c r="V16" i="8" s="1"/>
  <c r="V181" i="2"/>
  <c r="U107" i="8"/>
  <c r="U108" i="8" s="1"/>
  <c r="W418" i="2"/>
  <c r="V231" i="8"/>
  <c r="V232" i="8" s="1"/>
  <c r="W364" i="2"/>
  <c r="V219" i="8"/>
  <c r="V220" i="8" s="1"/>
  <c r="V182" i="2"/>
  <c r="U111" i="8"/>
  <c r="U112" i="8" s="1"/>
  <c r="V417" i="2"/>
  <c r="U227" i="8"/>
  <c r="U228" i="8" s="1"/>
  <c r="W363" i="2"/>
  <c r="V215" i="8"/>
  <c r="V216" i="8" s="1"/>
  <c r="W239" i="2"/>
  <c r="V135" i="8"/>
  <c r="V136" i="8" s="1"/>
  <c r="V303" i="2"/>
  <c r="U179" i="8"/>
  <c r="U180" i="8" s="1"/>
  <c r="W422" i="2"/>
  <c r="V247" i="8"/>
  <c r="V248" i="8" s="1"/>
  <c r="V477" i="2"/>
  <c r="U263" i="8"/>
  <c r="U264" i="8" s="1"/>
  <c r="W236" i="2"/>
  <c r="V123" i="8"/>
  <c r="V124" i="8" s="1"/>
  <c r="W304" i="2"/>
  <c r="V183" i="8"/>
  <c r="V184" i="8" s="1"/>
  <c r="U180" i="2"/>
  <c r="U183" i="2" s="1"/>
  <c r="T103" i="8"/>
  <c r="T104" i="8" s="1"/>
  <c r="W357" i="2"/>
  <c r="V191" i="8"/>
  <c r="V192" i="8" s="1"/>
  <c r="V478" i="2"/>
  <c r="U267" i="8"/>
  <c r="U268" i="8" s="1"/>
  <c r="V420" i="2"/>
  <c r="U239" i="8"/>
  <c r="U240" i="8" s="1"/>
  <c r="W358" i="2"/>
  <c r="V195" i="8"/>
  <c r="V196" i="8" s="1"/>
  <c r="W238" i="2"/>
  <c r="V131" i="8"/>
  <c r="V132" i="8" s="1"/>
  <c r="W242" i="2"/>
  <c r="V147" i="8"/>
  <c r="V148" i="8" s="1"/>
  <c r="W362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U425" i="2"/>
  <c r="V416" i="2"/>
  <c r="U223" i="8"/>
  <c r="U224" i="8" s="1"/>
  <c r="V421" i="2"/>
  <c r="U243" i="8"/>
  <c r="U244" i="8" s="1"/>
  <c r="V485" i="2" l="1"/>
  <c r="X476" i="2"/>
  <c r="W259" i="8"/>
  <c r="W260" i="8" s="1"/>
  <c r="V180" i="2"/>
  <c r="U103" i="8"/>
  <c r="U104" i="8" s="1"/>
  <c r="X359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421" i="2"/>
  <c r="V243" i="8"/>
  <c r="V244" i="8" s="1"/>
  <c r="X242" i="2"/>
  <c r="W147" i="8"/>
  <c r="W148" i="8" s="1"/>
  <c r="X304" i="2"/>
  <c r="W183" i="8"/>
  <c r="W184" i="8" s="1"/>
  <c r="W417" i="2"/>
  <c r="V227" i="8"/>
  <c r="V228" i="8" s="1"/>
  <c r="W302" i="2"/>
  <c r="V175" i="8"/>
  <c r="V176" i="8" s="1"/>
  <c r="X234" i="2"/>
  <c r="W243" i="2"/>
  <c r="W115" i="8"/>
  <c r="W116" i="8" s="1"/>
  <c r="W480" i="2"/>
  <c r="V275" i="8"/>
  <c r="V276" i="8" s="1"/>
  <c r="W483" i="2"/>
  <c r="V287" i="8"/>
  <c r="V288" i="8" s="1"/>
  <c r="Y117" i="2"/>
  <c r="X55" i="8"/>
  <c r="X56" i="8" s="1"/>
  <c r="W481" i="2"/>
  <c r="V279" i="8"/>
  <c r="V280" i="8" s="1"/>
  <c r="X237" i="2"/>
  <c r="W127" i="8"/>
  <c r="W128" i="8" s="1"/>
  <c r="X57" i="2"/>
  <c r="W19" i="8"/>
  <c r="W20" i="8" s="1"/>
  <c r="X424" i="2"/>
  <c r="W255" i="8"/>
  <c r="W256" i="8" s="1"/>
  <c r="X361" i="2"/>
  <c r="W207" i="8"/>
  <c r="W208" i="8" s="1"/>
  <c r="X362" i="2"/>
  <c r="W211" i="8"/>
  <c r="W212" i="8" s="1"/>
  <c r="X299" i="2"/>
  <c r="W163" i="8"/>
  <c r="W164" i="8" s="1"/>
  <c r="W63" i="2"/>
  <c r="X54" i="2"/>
  <c r="W7" i="8"/>
  <c r="W8" i="8" s="1"/>
  <c r="W416" i="2"/>
  <c r="V425" i="2"/>
  <c r="V223" i="8"/>
  <c r="V224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296" i="2"/>
  <c r="W151" i="8"/>
  <c r="W152" i="8" s="1"/>
  <c r="X120" i="2"/>
  <c r="W67" i="8"/>
  <c r="W68" i="8" s="1"/>
  <c r="X116" i="2"/>
  <c r="W51" i="8"/>
  <c r="W52" i="8" s="1"/>
  <c r="W478" i="2"/>
  <c r="V267" i="8"/>
  <c r="V268" i="8" s="1"/>
  <c r="V305" i="2"/>
  <c r="W482" i="2"/>
  <c r="V283" i="8"/>
  <c r="V284" i="8" s="1"/>
  <c r="W423" i="2"/>
  <c r="V251" i="8"/>
  <c r="V252" i="8" s="1"/>
  <c r="W181" i="2"/>
  <c r="V107" i="8"/>
  <c r="V108" i="8" s="1"/>
  <c r="X118" i="2"/>
  <c r="W59" i="8"/>
  <c r="W60" i="8" s="1"/>
  <c r="X358" i="2"/>
  <c r="W195" i="8"/>
  <c r="W196" i="8" s="1"/>
  <c r="W477" i="2"/>
  <c r="V263" i="8"/>
  <c r="V264" i="8" s="1"/>
  <c r="X364" i="2"/>
  <c r="W219" i="8"/>
  <c r="W220" i="8" s="1"/>
  <c r="V175" i="2"/>
  <c r="U83" i="8"/>
  <c r="U84" i="8" s="1"/>
  <c r="X60" i="2"/>
  <c r="W31" i="8"/>
  <c r="W32" i="8" s="1"/>
  <c r="X240" i="2"/>
  <c r="W139" i="8"/>
  <c r="W140" i="8" s="1"/>
  <c r="X300" i="2"/>
  <c r="W167" i="8"/>
  <c r="W168" i="8" s="1"/>
  <c r="W177" i="2"/>
  <c r="V91" i="8"/>
  <c r="V92" i="8" s="1"/>
  <c r="X357" i="2"/>
  <c r="W191" i="8"/>
  <c r="W192" i="8" s="1"/>
  <c r="X56" i="2"/>
  <c r="W15" i="8"/>
  <c r="W16" i="8" s="1"/>
  <c r="X297" i="2"/>
  <c r="W155" i="8"/>
  <c r="W156" i="8" s="1"/>
  <c r="W174" i="2"/>
  <c r="V183" i="2"/>
  <c r="V79" i="8"/>
  <c r="V80" i="8" s="1"/>
  <c r="X363" i="2"/>
  <c r="W215" i="8"/>
  <c r="W216" i="8" s="1"/>
  <c r="W479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420" i="2"/>
  <c r="V239" i="8"/>
  <c r="V240" i="8" s="1"/>
  <c r="X422" i="2"/>
  <c r="W247" i="8"/>
  <c r="W248" i="8" s="1"/>
  <c r="X418" i="2"/>
  <c r="W231" i="8"/>
  <c r="W232" i="8" s="1"/>
  <c r="X419" i="2"/>
  <c r="W235" i="8"/>
  <c r="W236" i="8" s="1"/>
  <c r="X55" i="2"/>
  <c r="W11" i="8"/>
  <c r="W12" i="8" s="1"/>
  <c r="W178" i="2"/>
  <c r="V95" i="8"/>
  <c r="V96" i="8" s="1"/>
  <c r="W365" i="2"/>
  <c r="X356" i="2"/>
  <c r="W187" i="8"/>
  <c r="W188" i="8" s="1"/>
  <c r="W176" i="2"/>
  <c r="V87" i="8"/>
  <c r="V88" i="8" s="1"/>
  <c r="X301" i="2"/>
  <c r="W171" i="8"/>
  <c r="W172" i="8" s="1"/>
  <c r="X360" i="2"/>
  <c r="W203" i="8"/>
  <c r="W204" i="8" s="1"/>
  <c r="W303" i="2"/>
  <c r="W305" i="2" s="1"/>
  <c r="V179" i="8"/>
  <c r="V180" i="8" s="1"/>
  <c r="W123" i="2"/>
  <c r="X114" i="2"/>
  <c r="W43" i="8"/>
  <c r="W44" i="8" s="1"/>
  <c r="X58" i="2"/>
  <c r="W23" i="8"/>
  <c r="W24" i="8" s="1"/>
  <c r="X298" i="2"/>
  <c r="W159" i="8"/>
  <c r="W160" i="8" s="1"/>
  <c r="W484" i="2"/>
  <c r="V291" i="8"/>
  <c r="V292" i="8" s="1"/>
  <c r="X61" i="2"/>
  <c r="W35" i="8"/>
  <c r="W36" i="8" s="1"/>
  <c r="Y357" i="2" l="1"/>
  <c r="X191" i="8"/>
  <c r="X192" i="8" s="1"/>
  <c r="X477" i="2"/>
  <c r="W263" i="8"/>
  <c r="W264" i="8" s="1"/>
  <c r="Y236" i="2"/>
  <c r="X123" i="8"/>
  <c r="X124" i="8" s="1"/>
  <c r="Y361" i="2"/>
  <c r="X207" i="8"/>
  <c r="X208" i="8" s="1"/>
  <c r="X480" i="2"/>
  <c r="W275" i="8"/>
  <c r="W276" i="8" s="1"/>
  <c r="Y424" i="2"/>
  <c r="X255" i="8"/>
  <c r="X256" i="8" s="1"/>
  <c r="X479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421" i="2"/>
  <c r="W243" i="8"/>
  <c r="W244" i="8" s="1"/>
  <c r="Y360" i="2"/>
  <c r="X203" i="8"/>
  <c r="X204" i="8" s="1"/>
  <c r="Y61" i="2"/>
  <c r="X35" i="8"/>
  <c r="X36" i="8" s="1"/>
  <c r="Y418" i="2"/>
  <c r="X231" i="8"/>
  <c r="X232" i="8" s="1"/>
  <c r="Y116" i="2"/>
  <c r="X51" i="8"/>
  <c r="X52" i="8" s="1"/>
  <c r="Y119" i="2"/>
  <c r="X63" i="8"/>
  <c r="X64" i="8" s="1"/>
  <c r="Y301" i="2"/>
  <c r="X171" i="8"/>
  <c r="X172" i="8" s="1"/>
  <c r="Y358" i="2"/>
  <c r="X195" i="8"/>
  <c r="X196" i="8" s="1"/>
  <c r="X484" i="2"/>
  <c r="W291" i="8"/>
  <c r="W292" i="8" s="1"/>
  <c r="X176" i="2"/>
  <c r="W87" i="8"/>
  <c r="W88" i="8" s="1"/>
  <c r="Y300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478" i="2"/>
  <c r="W267" i="8"/>
  <c r="W268" i="8" s="1"/>
  <c r="Y298" i="2"/>
  <c r="X159" i="8"/>
  <c r="X160" i="8" s="1"/>
  <c r="X420" i="2"/>
  <c r="W239" i="8"/>
  <c r="W240" i="8" s="1"/>
  <c r="Y363" i="2"/>
  <c r="X215" i="8"/>
  <c r="X216" i="8" s="1"/>
  <c r="Y296" i="2"/>
  <c r="X151" i="8"/>
  <c r="X152" i="8" s="1"/>
  <c r="X416" i="2"/>
  <c r="W425" i="2"/>
  <c r="W223" i="8"/>
  <c r="W224" i="8" s="1"/>
  <c r="X302" i="2"/>
  <c r="W175" i="8"/>
  <c r="W176" i="8" s="1"/>
  <c r="Y241" i="2"/>
  <c r="X143" i="8"/>
  <c r="X144" i="8" s="1"/>
  <c r="Y422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417" i="2"/>
  <c r="W227" i="8"/>
  <c r="W228" i="8" s="1"/>
  <c r="Y359" i="2"/>
  <c r="X199" i="8"/>
  <c r="X200" i="8" s="1"/>
  <c r="Y115" i="2"/>
  <c r="X47" i="8"/>
  <c r="X48" i="8" s="1"/>
  <c r="Y238" i="2"/>
  <c r="X131" i="8"/>
  <c r="X132" i="8" s="1"/>
  <c r="X423" i="2"/>
  <c r="W251" i="8"/>
  <c r="W252" i="8" s="1"/>
  <c r="X481" i="2"/>
  <c r="W279" i="8"/>
  <c r="W280" i="8" s="1"/>
  <c r="Y419" i="2"/>
  <c r="X235" i="8"/>
  <c r="X236" i="8" s="1"/>
  <c r="Y60" i="2"/>
  <c r="X31" i="8"/>
  <c r="X32" i="8" s="1"/>
  <c r="Y304" i="2"/>
  <c r="X183" i="8"/>
  <c r="X184" i="8" s="1"/>
  <c r="W180" i="2"/>
  <c r="W183" i="2" s="1"/>
  <c r="V103" i="8"/>
  <c r="V104" i="8" s="1"/>
  <c r="X365" i="2"/>
  <c r="Y356" i="2"/>
  <c r="X187" i="8"/>
  <c r="X188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Y297" i="2"/>
  <c r="X155" i="8"/>
  <c r="X156" i="8" s="1"/>
  <c r="W175" i="2"/>
  <c r="V83" i="8"/>
  <c r="V84" i="8" s="1"/>
  <c r="X482" i="2"/>
  <c r="W283" i="8"/>
  <c r="W284" i="8" s="1"/>
  <c r="Y121" i="2"/>
  <c r="X71" i="8"/>
  <c r="X72" i="8" s="1"/>
  <c r="Y299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W485" i="2"/>
  <c r="X177" i="2"/>
  <c r="W91" i="8"/>
  <c r="W92" i="8" s="1"/>
  <c r="Y55" i="2"/>
  <c r="X11" i="8"/>
  <c r="X12" i="8" s="1"/>
  <c r="X303" i="2"/>
  <c r="W179" i="8"/>
  <c r="W180" i="8" s="1"/>
  <c r="Y56" i="2"/>
  <c r="X15" i="8"/>
  <c r="X16" i="8" s="1"/>
  <c r="Y364" i="2"/>
  <c r="X219" i="8"/>
  <c r="X220" i="8" s="1"/>
  <c r="X182" i="2"/>
  <c r="W111" i="8"/>
  <c r="W112" i="8" s="1"/>
  <c r="Y362" i="2"/>
  <c r="X211" i="8"/>
  <c r="X212" i="8" s="1"/>
  <c r="X483" i="2"/>
  <c r="W287" i="8"/>
  <c r="W288" i="8" s="1"/>
  <c r="Y476" i="2"/>
  <c r="X259" i="8"/>
  <c r="X260" i="8" s="1"/>
  <c r="X305" i="2" l="1"/>
  <c r="Z300" i="2"/>
  <c r="Y167" i="8"/>
  <c r="Y168" i="8" s="1"/>
  <c r="Z60" i="2"/>
  <c r="Y31" i="8"/>
  <c r="Y32" i="8" s="1"/>
  <c r="Y417" i="2"/>
  <c r="X227" i="8"/>
  <c r="X228" i="8" s="1"/>
  <c r="Z424" i="2"/>
  <c r="Y255" i="8"/>
  <c r="Y256" i="8" s="1"/>
  <c r="Z299" i="2"/>
  <c r="Y163" i="8"/>
  <c r="Y164" i="8" s="1"/>
  <c r="Z241" i="2"/>
  <c r="Y143" i="8"/>
  <c r="Y144" i="8" s="1"/>
  <c r="Z298" i="2"/>
  <c r="Y159" i="8"/>
  <c r="Y160" i="8" s="1"/>
  <c r="Y484" i="2"/>
  <c r="X291" i="8"/>
  <c r="X292" i="8" s="1"/>
  <c r="Z360" i="2"/>
  <c r="Y203" i="8"/>
  <c r="Y204" i="8" s="1"/>
  <c r="Z122" i="2"/>
  <c r="Y75" i="8"/>
  <c r="Y76" i="8" s="1"/>
  <c r="Z363" i="2"/>
  <c r="Y215" i="8"/>
  <c r="Y216" i="8" s="1"/>
  <c r="Z476" i="2"/>
  <c r="Y259" i="8"/>
  <c r="Y260" i="8" s="1"/>
  <c r="AA117" i="2"/>
  <c r="Z55" i="8"/>
  <c r="Z56" i="8" s="1"/>
  <c r="Y420" i="2"/>
  <c r="X239" i="8"/>
  <c r="X240" i="8" s="1"/>
  <c r="Y177" i="2"/>
  <c r="X91" i="8"/>
  <c r="X92" i="8" s="1"/>
  <c r="Z419" i="2"/>
  <c r="Y235" i="8"/>
  <c r="Y236" i="8" s="1"/>
  <c r="Y63" i="2"/>
  <c r="Z54" i="2"/>
  <c r="Y7" i="8"/>
  <c r="Y8" i="8" s="1"/>
  <c r="Y480" i="2"/>
  <c r="X275" i="8"/>
  <c r="X276" i="8" s="1"/>
  <c r="Z304" i="2"/>
  <c r="Y183" i="8"/>
  <c r="Y184" i="8" s="1"/>
  <c r="Y479" i="2"/>
  <c r="X271" i="8"/>
  <c r="X272" i="8" s="1"/>
  <c r="Y481" i="2"/>
  <c r="X279" i="8"/>
  <c r="X280" i="8" s="1"/>
  <c r="Z361" i="2"/>
  <c r="Y207" i="8"/>
  <c r="Y208" i="8" s="1"/>
  <c r="Z418" i="2"/>
  <c r="Y231" i="8"/>
  <c r="Y232" i="8" s="1"/>
  <c r="Z358" i="2"/>
  <c r="Y195" i="8"/>
  <c r="Y196" i="8" s="1"/>
  <c r="Z362" i="2"/>
  <c r="Y211" i="8"/>
  <c r="Y212" i="8" s="1"/>
  <c r="Z58" i="2"/>
  <c r="Y23" i="8"/>
  <c r="Y24" i="8" s="1"/>
  <c r="Z235" i="2"/>
  <c r="Y119" i="8"/>
  <c r="Y120" i="8" s="1"/>
  <c r="Z301" i="2"/>
  <c r="Y171" i="8"/>
  <c r="Y172" i="8" s="1"/>
  <c r="Z62" i="2"/>
  <c r="Y39" i="8"/>
  <c r="Y40" i="8" s="1"/>
  <c r="Y416" i="2"/>
  <c r="X425" i="2"/>
  <c r="X223" i="8"/>
  <c r="X224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478" i="2"/>
  <c r="X267" i="8"/>
  <c r="X268" i="8" s="1"/>
  <c r="Z238" i="2"/>
  <c r="Y131" i="8"/>
  <c r="Y132" i="8" s="1"/>
  <c r="Z296" i="2"/>
  <c r="Y151" i="8"/>
  <c r="Y152" i="8" s="1"/>
  <c r="Y477" i="2"/>
  <c r="X263" i="8"/>
  <c r="X264" i="8" s="1"/>
  <c r="Y303" i="2"/>
  <c r="X179" i="8"/>
  <c r="X180" i="8" s="1"/>
  <c r="Z359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482" i="2"/>
  <c r="X283" i="8"/>
  <c r="X284" i="8" s="1"/>
  <c r="Z59" i="2"/>
  <c r="Y27" i="8"/>
  <c r="Y28" i="8" s="1"/>
  <c r="Y182" i="2"/>
  <c r="X111" i="8"/>
  <c r="X112" i="8" s="1"/>
  <c r="Y423" i="2"/>
  <c r="X251" i="8"/>
  <c r="X252" i="8" s="1"/>
  <c r="Z297" i="2"/>
  <c r="Y155" i="8"/>
  <c r="Y156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422" i="2"/>
  <c r="Y247" i="8"/>
  <c r="Y248" i="8" s="1"/>
  <c r="Y176" i="2"/>
  <c r="X87" i="8"/>
  <c r="X88" i="8" s="1"/>
  <c r="X485" i="2"/>
  <c r="Y483" i="2"/>
  <c r="X287" i="8"/>
  <c r="X288" i="8" s="1"/>
  <c r="Y174" i="2"/>
  <c r="X79" i="8"/>
  <c r="X80" i="8" s="1"/>
  <c r="Y302" i="2"/>
  <c r="X175" i="8"/>
  <c r="X176" i="8" s="1"/>
  <c r="Y421" i="2"/>
  <c r="X243" i="8"/>
  <c r="X244" i="8" s="1"/>
  <c r="Y179" i="2"/>
  <c r="X99" i="8"/>
  <c r="X100" i="8" s="1"/>
  <c r="Z356" i="2"/>
  <c r="Y365" i="2"/>
  <c r="Y187" i="8"/>
  <c r="Y188" i="8" s="1"/>
  <c r="Z364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357" i="2"/>
  <c r="Y191" i="8"/>
  <c r="Y192" i="8" s="1"/>
  <c r="Y485" i="2" l="1"/>
  <c r="Y175" i="2"/>
  <c r="X83" i="8"/>
  <c r="X84" i="8" s="1"/>
  <c r="Z420" i="2"/>
  <c r="Y239" i="8"/>
  <c r="Y240" i="8" s="1"/>
  <c r="AA364" i="2"/>
  <c r="Z219" i="8"/>
  <c r="Z220" i="8" s="1"/>
  <c r="Z483" i="2"/>
  <c r="Y287" i="8"/>
  <c r="Y288" i="8" s="1"/>
  <c r="Z181" i="2"/>
  <c r="Y107" i="8"/>
  <c r="Y108" i="8" s="1"/>
  <c r="AA121" i="2"/>
  <c r="Z71" i="8"/>
  <c r="Z72" i="8" s="1"/>
  <c r="Z478" i="2"/>
  <c r="Y267" i="8"/>
  <c r="Y268" i="8" s="1"/>
  <c r="AA235" i="2"/>
  <c r="Z119" i="8"/>
  <c r="Z120" i="8" s="1"/>
  <c r="Z479" i="2"/>
  <c r="Y271" i="8"/>
  <c r="Y272" i="8" s="1"/>
  <c r="AA298" i="2"/>
  <c r="Z159" i="8"/>
  <c r="Z160" i="8" s="1"/>
  <c r="AA356" i="2"/>
  <c r="Z365" i="2"/>
  <c r="Z187" i="8"/>
  <c r="Z188" i="8" s="1"/>
  <c r="Z423" i="2"/>
  <c r="Y251" i="8"/>
  <c r="Y252" i="8" s="1"/>
  <c r="AA359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358" i="2"/>
  <c r="Z195" i="8"/>
  <c r="Z196" i="8" s="1"/>
  <c r="AA54" i="2"/>
  <c r="Z63" i="2"/>
  <c r="Z7" i="8"/>
  <c r="Z8" i="8" s="1"/>
  <c r="AA363" i="2"/>
  <c r="Z215" i="8"/>
  <c r="Z216" i="8" s="1"/>
  <c r="AA424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422" i="2"/>
  <c r="Z247" i="8"/>
  <c r="Z248" i="8" s="1"/>
  <c r="AA476" i="2"/>
  <c r="Z259" i="8"/>
  <c r="Z260" i="8" s="1"/>
  <c r="AA362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302" i="2"/>
  <c r="Z305" i="2" s="1"/>
  <c r="Y175" i="8"/>
  <c r="Y176" i="8" s="1"/>
  <c r="Z416" i="2"/>
  <c r="Y425" i="2"/>
  <c r="Y223" i="8"/>
  <c r="Y224" i="8" s="1"/>
  <c r="AA418" i="2"/>
  <c r="Z231" i="8"/>
  <c r="Z232" i="8" s="1"/>
  <c r="AA122" i="2"/>
  <c r="Z75" i="8"/>
  <c r="Z76" i="8" s="1"/>
  <c r="Z417" i="2"/>
  <c r="Y227" i="8"/>
  <c r="Y228" i="8" s="1"/>
  <c r="AA357" i="2"/>
  <c r="Z191" i="8"/>
  <c r="Z192" i="8" s="1"/>
  <c r="Z480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419" i="2"/>
  <c r="Z235" i="8"/>
  <c r="Z236" i="8" s="1"/>
  <c r="AA297" i="2"/>
  <c r="Z155" i="8"/>
  <c r="Z156" i="8" s="1"/>
  <c r="Z176" i="2"/>
  <c r="Y87" i="8"/>
  <c r="Y88" i="8" s="1"/>
  <c r="AA58" i="2"/>
  <c r="Z23" i="8"/>
  <c r="Z24" i="8" s="1"/>
  <c r="AA304" i="2"/>
  <c r="Z183" i="8"/>
  <c r="Z184" i="8" s="1"/>
  <c r="AA120" i="2"/>
  <c r="Z67" i="8"/>
  <c r="Z68" i="8" s="1"/>
  <c r="AA299" i="2"/>
  <c r="Z163" i="8"/>
  <c r="Z164" i="8" s="1"/>
  <c r="AA115" i="2"/>
  <c r="Z47" i="8"/>
  <c r="Z48" i="8" s="1"/>
  <c r="Z182" i="2"/>
  <c r="Y111" i="8"/>
  <c r="Y112" i="8" s="1"/>
  <c r="Z303" i="2"/>
  <c r="Y179" i="8"/>
  <c r="Y180" i="8" s="1"/>
  <c r="Z421" i="2"/>
  <c r="Y243" i="8"/>
  <c r="Y244" i="8" s="1"/>
  <c r="Z477" i="2"/>
  <c r="Y263" i="8"/>
  <c r="Y264" i="8" s="1"/>
  <c r="Z482" i="2"/>
  <c r="Y283" i="8"/>
  <c r="Y284" i="8" s="1"/>
  <c r="Y305" i="2"/>
  <c r="X183" i="2"/>
  <c r="AA296" i="2"/>
  <c r="Z151" i="8"/>
  <c r="Z152" i="8" s="1"/>
  <c r="AA62" i="2"/>
  <c r="Z39" i="8"/>
  <c r="Z40" i="8" s="1"/>
  <c r="AA361" i="2"/>
  <c r="Z207" i="8"/>
  <c r="Z208" i="8" s="1"/>
  <c r="AA360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Y183" i="2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301" i="2"/>
  <c r="Z171" i="8"/>
  <c r="Z172" i="8" s="1"/>
  <c r="Z481" i="2"/>
  <c r="Y279" i="8"/>
  <c r="Y280" i="8" s="1"/>
  <c r="Z484" i="2"/>
  <c r="Y291" i="8"/>
  <c r="Y292" i="8" s="1"/>
  <c r="AA300" i="2"/>
  <c r="Z167" i="8"/>
  <c r="Z168" i="8" s="1"/>
  <c r="Z485" i="2" l="1"/>
  <c r="AB239" i="2"/>
  <c r="AA135" i="8"/>
  <c r="AA136" i="8" s="1"/>
  <c r="AB300" i="2"/>
  <c r="AA167" i="8"/>
  <c r="AA168" i="8" s="1"/>
  <c r="AB237" i="2"/>
  <c r="AA127" i="8"/>
  <c r="AA128" i="8" s="1"/>
  <c r="AA482" i="2"/>
  <c r="Z283" i="8"/>
  <c r="Z284" i="8" s="1"/>
  <c r="AB120" i="2"/>
  <c r="AA67" i="8"/>
  <c r="AA68" i="8" s="1"/>
  <c r="AB116" i="2"/>
  <c r="AA51" i="8"/>
  <c r="AA52" i="8" s="1"/>
  <c r="AB476" i="2"/>
  <c r="AA259" i="8"/>
  <c r="AA260" i="8" s="1"/>
  <c r="AA478" i="2"/>
  <c r="Z267" i="8"/>
  <c r="Z268" i="8" s="1"/>
  <c r="AA416" i="2"/>
  <c r="Z425" i="2"/>
  <c r="Z223" i="8"/>
  <c r="Z224" i="8" s="1"/>
  <c r="AB54" i="2"/>
  <c r="AA63" i="2"/>
  <c r="AA7" i="8"/>
  <c r="AA8" i="8" s="1"/>
  <c r="AB359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421" i="2"/>
  <c r="Z243" i="8"/>
  <c r="Z244" i="8" s="1"/>
  <c r="AB58" i="2"/>
  <c r="AA23" i="8"/>
  <c r="AA24" i="8" s="1"/>
  <c r="AA480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360" i="2"/>
  <c r="AA203" i="8"/>
  <c r="AA204" i="8" s="1"/>
  <c r="AA302" i="2"/>
  <c r="Z175" i="8"/>
  <c r="Z176" i="8" s="1"/>
  <c r="AB358" i="2"/>
  <c r="AA195" i="8"/>
  <c r="AA196" i="8" s="1"/>
  <c r="AA423" i="2"/>
  <c r="Z251" i="8"/>
  <c r="Z252" i="8" s="1"/>
  <c r="AB361" i="2"/>
  <c r="AA207" i="8"/>
  <c r="AA208" i="8" s="1"/>
  <c r="AB119" i="2"/>
  <c r="AA63" i="8"/>
  <c r="AA64" i="8" s="1"/>
  <c r="AA481" i="2"/>
  <c r="Z279" i="8"/>
  <c r="Z280" i="8" s="1"/>
  <c r="AB118" i="2"/>
  <c r="AA59" i="8"/>
  <c r="AA60" i="8" s="1"/>
  <c r="AB301" i="2"/>
  <c r="AA171" i="8"/>
  <c r="AA172" i="8" s="1"/>
  <c r="AA174" i="2"/>
  <c r="Z79" i="8"/>
  <c r="Z80" i="8" s="1"/>
  <c r="AA303" i="2"/>
  <c r="Z179" i="8"/>
  <c r="Z180" i="8" s="1"/>
  <c r="AA176" i="2"/>
  <c r="Z87" i="8"/>
  <c r="Z88" i="8" s="1"/>
  <c r="AB357" i="2"/>
  <c r="AA191" i="8"/>
  <c r="AA192" i="8" s="1"/>
  <c r="AC117" i="2"/>
  <c r="AB55" i="8"/>
  <c r="AB56" i="8" s="1"/>
  <c r="AA123" i="2"/>
  <c r="AB114" i="2"/>
  <c r="AA43" i="8"/>
  <c r="AA44" i="8" s="1"/>
  <c r="AA365" i="2"/>
  <c r="AB356" i="2"/>
  <c r="AA187" i="8"/>
  <c r="AA188" i="8" s="1"/>
  <c r="AA483" i="2"/>
  <c r="Z287" i="8"/>
  <c r="Z288" i="8" s="1"/>
  <c r="AB422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B297" i="2"/>
  <c r="AA155" i="8"/>
  <c r="AA156" i="8" s="1"/>
  <c r="AA417" i="2"/>
  <c r="Z227" i="8"/>
  <c r="Z228" i="8" s="1"/>
  <c r="AB55" i="2"/>
  <c r="AA11" i="8"/>
  <c r="AA12" i="8" s="1"/>
  <c r="AB234" i="2"/>
  <c r="AA243" i="2"/>
  <c r="AA115" i="8"/>
  <c r="AA116" i="8" s="1"/>
  <c r="AB298" i="2"/>
  <c r="AA159" i="8"/>
  <c r="AA160" i="8" s="1"/>
  <c r="AB364" i="2"/>
  <c r="AA219" i="8"/>
  <c r="AA220" i="8" s="1"/>
  <c r="AA484" i="2"/>
  <c r="Z291" i="8"/>
  <c r="Z292" i="8" s="1"/>
  <c r="AA477" i="2"/>
  <c r="AA485" i="2" s="1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296" i="2"/>
  <c r="AA151" i="8"/>
  <c r="AA152" i="8" s="1"/>
  <c r="Z180" i="2"/>
  <c r="Y103" i="8"/>
  <c r="Y104" i="8" s="1"/>
  <c r="AB304" i="2"/>
  <c r="AA183" i="8"/>
  <c r="AA184" i="8" s="1"/>
  <c r="AB61" i="2"/>
  <c r="AA35" i="8"/>
  <c r="AA36" i="8" s="1"/>
  <c r="AB115" i="2"/>
  <c r="AA47" i="8"/>
  <c r="AA48" i="8" s="1"/>
  <c r="AB419" i="2"/>
  <c r="AA235" i="8"/>
  <c r="AA236" i="8" s="1"/>
  <c r="AB122" i="2"/>
  <c r="AA75" i="8"/>
  <c r="AA76" i="8" s="1"/>
  <c r="AB424" i="2"/>
  <c r="AA255" i="8"/>
  <c r="AA256" i="8" s="1"/>
  <c r="AA479" i="2"/>
  <c r="Z271" i="8"/>
  <c r="Z272" i="8" s="1"/>
  <c r="AA420" i="2"/>
  <c r="Z239" i="8"/>
  <c r="Z240" i="8" s="1"/>
  <c r="AB299" i="2"/>
  <c r="AA163" i="8"/>
  <c r="AA164" i="8" s="1"/>
  <c r="AB236" i="2"/>
  <c r="AA123" i="8"/>
  <c r="AA124" i="8" s="1"/>
  <c r="AB362" i="2"/>
  <c r="AA211" i="8"/>
  <c r="AA212" i="8" s="1"/>
  <c r="AA179" i="2"/>
  <c r="Z99" i="8"/>
  <c r="Z100" i="8" s="1"/>
  <c r="AA177" i="2"/>
  <c r="Z91" i="8"/>
  <c r="Z92" i="8" s="1"/>
  <c r="AB418" i="2"/>
  <c r="AA231" i="8"/>
  <c r="AA232" i="8" s="1"/>
  <c r="AB363" i="2"/>
  <c r="AA215" i="8"/>
  <c r="AA216" i="8" s="1"/>
  <c r="AB235" i="2"/>
  <c r="AA119" i="8"/>
  <c r="AA120" i="8" s="1"/>
  <c r="Z175" i="2"/>
  <c r="Z183" i="2" s="1"/>
  <c r="Y83" i="8"/>
  <c r="Y84" i="8" s="1"/>
  <c r="AC57" i="2" l="1"/>
  <c r="AB19" i="8"/>
  <c r="AB20" i="8" s="1"/>
  <c r="AC242" i="2"/>
  <c r="AB147" i="8"/>
  <c r="AB148" i="8" s="1"/>
  <c r="AC362" i="2"/>
  <c r="AB211" i="8"/>
  <c r="AB212" i="8" s="1"/>
  <c r="AC419" i="2"/>
  <c r="AB235" i="8"/>
  <c r="AB236" i="8" s="1"/>
  <c r="AC234" i="2"/>
  <c r="AB243" i="2"/>
  <c r="AB115" i="8"/>
  <c r="AB116" i="8" s="1"/>
  <c r="AC422" i="2"/>
  <c r="AB247" i="8"/>
  <c r="AB248" i="8" s="1"/>
  <c r="AB176" i="2"/>
  <c r="AA87" i="8"/>
  <c r="AA88" i="8" s="1"/>
  <c r="AC476" i="2"/>
  <c r="AB259" i="8"/>
  <c r="AB260" i="8" s="1"/>
  <c r="AC62" i="2"/>
  <c r="AB39" i="8"/>
  <c r="AB40" i="8" s="1"/>
  <c r="AB423" i="2"/>
  <c r="AA251" i="8"/>
  <c r="AA252" i="8" s="1"/>
  <c r="AC240" i="2"/>
  <c r="AB139" i="8"/>
  <c r="AB140" i="8" s="1"/>
  <c r="AC359" i="2"/>
  <c r="AB199" i="8"/>
  <c r="AB200" i="8" s="1"/>
  <c r="AB178" i="2"/>
  <c r="AA95" i="8"/>
  <c r="AA96" i="8" s="1"/>
  <c r="AC119" i="2"/>
  <c r="AB63" i="8"/>
  <c r="AB64" i="8" s="1"/>
  <c r="AC299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357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477" i="2"/>
  <c r="AA263" i="8"/>
  <c r="AA264" i="8" s="1"/>
  <c r="AB174" i="2"/>
  <c r="AA79" i="8"/>
  <c r="AA80" i="8" s="1"/>
  <c r="AC358" i="2"/>
  <c r="AB195" i="8"/>
  <c r="AB196" i="8" s="1"/>
  <c r="AB480" i="2"/>
  <c r="AA275" i="8"/>
  <c r="AA276" i="8" s="1"/>
  <c r="AC115" i="2"/>
  <c r="AB47" i="8"/>
  <c r="AB48" i="8" s="1"/>
  <c r="AB303" i="2"/>
  <c r="AB305" i="2" s="1"/>
  <c r="AA179" i="8"/>
  <c r="AA180" i="8" s="1"/>
  <c r="AB417" i="2"/>
  <c r="AA227" i="8"/>
  <c r="AA228" i="8" s="1"/>
  <c r="AC356" i="2"/>
  <c r="AB365" i="2"/>
  <c r="AB187" i="8"/>
  <c r="AB188" i="8" s="1"/>
  <c r="AC363" i="2"/>
  <c r="AB215" i="8"/>
  <c r="AB216" i="8" s="1"/>
  <c r="AB420" i="2"/>
  <c r="AA239" i="8"/>
  <c r="AA240" i="8" s="1"/>
  <c r="AC304" i="2"/>
  <c r="AB183" i="8"/>
  <c r="AB184" i="8" s="1"/>
  <c r="AC297" i="2"/>
  <c r="AB155" i="8"/>
  <c r="AB156" i="8" s="1"/>
  <c r="AC54" i="2"/>
  <c r="AB63" i="2"/>
  <c r="AB7" i="8"/>
  <c r="AB8" i="8" s="1"/>
  <c r="AB482" i="2"/>
  <c r="AA283" i="8"/>
  <c r="AA284" i="8" s="1"/>
  <c r="AC238" i="2"/>
  <c r="AB131" i="8"/>
  <c r="AB132" i="8" s="1"/>
  <c r="AB484" i="2"/>
  <c r="AA291" i="8"/>
  <c r="AA292" i="8" s="1"/>
  <c r="AC114" i="2"/>
  <c r="AB123" i="2"/>
  <c r="AB43" i="8"/>
  <c r="AB44" i="8" s="1"/>
  <c r="AC301" i="2"/>
  <c r="AB171" i="8"/>
  <c r="AB172" i="8" s="1"/>
  <c r="AB302" i="2"/>
  <c r="AA175" i="8"/>
  <c r="AA176" i="8" s="1"/>
  <c r="AC58" i="2"/>
  <c r="AB23" i="8"/>
  <c r="AB24" i="8" s="1"/>
  <c r="AC418" i="2"/>
  <c r="AB231" i="8"/>
  <c r="AB232" i="8" s="1"/>
  <c r="AB479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364" i="2"/>
  <c r="AB219" i="8"/>
  <c r="AB220" i="8" s="1"/>
  <c r="AC118" i="2"/>
  <c r="AB59" i="8"/>
  <c r="AB60" i="8" s="1"/>
  <c r="AC360" i="2"/>
  <c r="AB203" i="8"/>
  <c r="AB204" i="8" s="1"/>
  <c r="AB421" i="2"/>
  <c r="AA243" i="8"/>
  <c r="AA244" i="8" s="1"/>
  <c r="AA425" i="2"/>
  <c r="AB416" i="2"/>
  <c r="AA223" i="8"/>
  <c r="AA224" i="8" s="1"/>
  <c r="AC361" i="2"/>
  <c r="AB207" i="8"/>
  <c r="AB208" i="8" s="1"/>
  <c r="AA175" i="2"/>
  <c r="Z83" i="8"/>
  <c r="Z84" i="8" s="1"/>
  <c r="AC55" i="2"/>
  <c r="AB11" i="8"/>
  <c r="AB12" i="8" s="1"/>
  <c r="AC424" i="2"/>
  <c r="AB255" i="8"/>
  <c r="AB256" i="8" s="1"/>
  <c r="AC59" i="2"/>
  <c r="AB27" i="8"/>
  <c r="AB28" i="8" s="1"/>
  <c r="AD117" i="2"/>
  <c r="AC55" i="8"/>
  <c r="AC56" i="8" s="1"/>
  <c r="AC300" i="2"/>
  <c r="AB167" i="8"/>
  <c r="AB168" i="8" s="1"/>
  <c r="AC60" i="2"/>
  <c r="AB31" i="8"/>
  <c r="AB32" i="8" s="1"/>
  <c r="AB483" i="2"/>
  <c r="AA287" i="8"/>
  <c r="AA288" i="8" s="1"/>
  <c r="AB177" i="2"/>
  <c r="AA91" i="8"/>
  <c r="AA92" i="8" s="1"/>
  <c r="AC296" i="2"/>
  <c r="AB151" i="8"/>
  <c r="AB152" i="8" s="1"/>
  <c r="AA305" i="2"/>
  <c r="AC298" i="2"/>
  <c r="AB159" i="8"/>
  <c r="AB160" i="8" s="1"/>
  <c r="AB481" i="2"/>
  <c r="AA279" i="8"/>
  <c r="AA280" i="8" s="1"/>
  <c r="AC241" i="2"/>
  <c r="AB143" i="8"/>
  <c r="AB144" i="8" s="1"/>
  <c r="AC56" i="2"/>
  <c r="AB15" i="8"/>
  <c r="AB16" i="8" s="1"/>
  <c r="AB478" i="2"/>
  <c r="AA267" i="8"/>
  <c r="AA268" i="8" s="1"/>
  <c r="AA183" i="2" l="1"/>
  <c r="AD57" i="2"/>
  <c r="AC19" i="8"/>
  <c r="AC20" i="8" s="1"/>
  <c r="AD118" i="2"/>
  <c r="AC59" i="8"/>
  <c r="AC60" i="8" s="1"/>
  <c r="AD418" i="2"/>
  <c r="AC231" i="8"/>
  <c r="AC232" i="8" s="1"/>
  <c r="AD357" i="2"/>
  <c r="AC191" i="8"/>
  <c r="AC192" i="8" s="1"/>
  <c r="AC178" i="2"/>
  <c r="AB95" i="8"/>
  <c r="AB96" i="8" s="1"/>
  <c r="AD239" i="2"/>
  <c r="AC135" i="8"/>
  <c r="AC136" i="8" s="1"/>
  <c r="AC478" i="2"/>
  <c r="AB267" i="8"/>
  <c r="AB268" i="8" s="1"/>
  <c r="AD55" i="2"/>
  <c r="AC11" i="8"/>
  <c r="AC12" i="8" s="1"/>
  <c r="AD121" i="2"/>
  <c r="AC71" i="8"/>
  <c r="AC72" i="8" s="1"/>
  <c r="AD359" i="2"/>
  <c r="AC199" i="8"/>
  <c r="AC200" i="8" s="1"/>
  <c r="AD56" i="2"/>
  <c r="AC15" i="8"/>
  <c r="AC16" i="8" s="1"/>
  <c r="AC483" i="2"/>
  <c r="AB287" i="8"/>
  <c r="AB288" i="8" s="1"/>
  <c r="AB175" i="2"/>
  <c r="AA83" i="8"/>
  <c r="AA84" i="8" s="1"/>
  <c r="AC417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302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482" i="2"/>
  <c r="AB283" i="8"/>
  <c r="AB284" i="8" s="1"/>
  <c r="AD356" i="2"/>
  <c r="AC365" i="2"/>
  <c r="AC187" i="8"/>
  <c r="AC188" i="8" s="1"/>
  <c r="AD364" i="2"/>
  <c r="AC219" i="8"/>
  <c r="AC220" i="8" s="1"/>
  <c r="AC477" i="2"/>
  <c r="AB263" i="8"/>
  <c r="AB264" i="8" s="1"/>
  <c r="AD60" i="2"/>
  <c r="AC31" i="8"/>
  <c r="AC32" i="8" s="1"/>
  <c r="AD361" i="2"/>
  <c r="AC207" i="8"/>
  <c r="AC208" i="8" s="1"/>
  <c r="AC303" i="2"/>
  <c r="AC305" i="2" s="1"/>
  <c r="AB179" i="8"/>
  <c r="AB180" i="8" s="1"/>
  <c r="AD424" i="2"/>
  <c r="AC255" i="8"/>
  <c r="AC256" i="8" s="1"/>
  <c r="AD422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301" i="2"/>
  <c r="AC171" i="8"/>
  <c r="AC172" i="8" s="1"/>
  <c r="AD297" i="2"/>
  <c r="AC155" i="8"/>
  <c r="AC156" i="8" s="1"/>
  <c r="AD235" i="2"/>
  <c r="AC119" i="8"/>
  <c r="AC120" i="8" s="1"/>
  <c r="AC179" i="2"/>
  <c r="AB99" i="8"/>
  <c r="AB100" i="8" s="1"/>
  <c r="AC423" i="2"/>
  <c r="AB251" i="8"/>
  <c r="AB252" i="8" s="1"/>
  <c r="AD419" i="2"/>
  <c r="AC235" i="8"/>
  <c r="AC236" i="8" s="1"/>
  <c r="AD360" i="2"/>
  <c r="AC203" i="8"/>
  <c r="AC204" i="8" s="1"/>
  <c r="AD119" i="2"/>
  <c r="AC63" i="8"/>
  <c r="AC64" i="8" s="1"/>
  <c r="AD238" i="2"/>
  <c r="AC131" i="8"/>
  <c r="AC132" i="8" s="1"/>
  <c r="AC481" i="2"/>
  <c r="AB279" i="8"/>
  <c r="AB280" i="8" s="1"/>
  <c r="AD115" i="2"/>
  <c r="AC47" i="8"/>
  <c r="AC48" i="8" s="1"/>
  <c r="AC479" i="2"/>
  <c r="AB271" i="8"/>
  <c r="AB272" i="8" s="1"/>
  <c r="AD300" i="2"/>
  <c r="AC167" i="8"/>
  <c r="AC168" i="8" s="1"/>
  <c r="AC416" i="2"/>
  <c r="AB425" i="2"/>
  <c r="AB223" i="8"/>
  <c r="AB224" i="8" s="1"/>
  <c r="AC182" i="2"/>
  <c r="AB111" i="8"/>
  <c r="AB112" i="8" s="1"/>
  <c r="AD304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362" i="2"/>
  <c r="AC211" i="8"/>
  <c r="AC212" i="8" s="1"/>
  <c r="AC480" i="2"/>
  <c r="AB275" i="8"/>
  <c r="AB276" i="8" s="1"/>
  <c r="AD363" i="2"/>
  <c r="AC215" i="8"/>
  <c r="AC216" i="8" s="1"/>
  <c r="AD298" i="2"/>
  <c r="AC159" i="8"/>
  <c r="AC160" i="8" s="1"/>
  <c r="AE117" i="2"/>
  <c r="AE55" i="8" s="1"/>
  <c r="AE56" i="8" s="1"/>
  <c r="F56" i="8" s="1"/>
  <c r="AD55" i="8"/>
  <c r="AD56" i="8" s="1"/>
  <c r="AC123" i="2"/>
  <c r="AD114" i="2"/>
  <c r="AC43" i="8"/>
  <c r="AC44" i="8" s="1"/>
  <c r="AC421" i="2"/>
  <c r="AB243" i="8"/>
  <c r="AB244" i="8" s="1"/>
  <c r="AB180" i="2"/>
  <c r="AA103" i="8"/>
  <c r="AA104" i="8" s="1"/>
  <c r="AC420" i="2"/>
  <c r="AB239" i="8"/>
  <c r="AB240" i="8" s="1"/>
  <c r="AC181" i="2"/>
  <c r="AB107" i="8"/>
  <c r="AB108" i="8" s="1"/>
  <c r="AD299" i="2"/>
  <c r="AC163" i="8"/>
  <c r="AC164" i="8" s="1"/>
  <c r="AB485" i="2"/>
  <c r="AD242" i="2"/>
  <c r="AC147" i="8"/>
  <c r="AC148" i="8" s="1"/>
  <c r="AD296" i="2"/>
  <c r="AC151" i="8"/>
  <c r="AC152" i="8" s="1"/>
  <c r="AD59" i="2"/>
  <c r="AC27" i="8"/>
  <c r="AC28" i="8" s="1"/>
  <c r="AC484" i="2"/>
  <c r="AB291" i="8"/>
  <c r="AB292" i="8" s="1"/>
  <c r="AD358" i="2"/>
  <c r="AC195" i="8"/>
  <c r="AC196" i="8" s="1"/>
  <c r="AC485" i="2"/>
  <c r="AD476" i="2"/>
  <c r="AC259" i="8"/>
  <c r="AC260" i="8" s="1"/>
  <c r="AE115" i="2" l="1"/>
  <c r="AE47" i="8" s="1"/>
  <c r="AE48" i="8" s="1"/>
  <c r="F48" i="8" s="1"/>
  <c r="AD47" i="8"/>
  <c r="AD48" i="8" s="1"/>
  <c r="AD179" i="2"/>
  <c r="AC99" i="8"/>
  <c r="AC100" i="8" s="1"/>
  <c r="AE422" i="2"/>
  <c r="AE247" i="8" s="1"/>
  <c r="AE248" i="8" s="1"/>
  <c r="AD247" i="8"/>
  <c r="AD248" i="8" s="1"/>
  <c r="AE61" i="2"/>
  <c r="AE35" i="8" s="1"/>
  <c r="AE36" i="8" s="1"/>
  <c r="F36" i="8" s="1"/>
  <c r="AD35" i="8"/>
  <c r="AD36" i="8" s="1"/>
  <c r="AD417" i="2"/>
  <c r="AC227" i="8"/>
  <c r="AC228" i="8" s="1"/>
  <c r="AD478" i="2"/>
  <c r="AC267" i="8"/>
  <c r="AC268" i="8" s="1"/>
  <c r="AE242" i="2"/>
  <c r="AE147" i="8" s="1"/>
  <c r="AE148" i="8" s="1"/>
  <c r="AD147" i="8"/>
  <c r="AD148" i="8" s="1"/>
  <c r="AD481" i="2"/>
  <c r="AC279" i="8"/>
  <c r="AC280" i="8" s="1"/>
  <c r="AE304" i="2"/>
  <c r="AE183" i="8" s="1"/>
  <c r="AE184" i="8" s="1"/>
  <c r="AD183" i="8"/>
  <c r="AD184" i="8" s="1"/>
  <c r="AD482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F136" i="8" s="1"/>
  <c r="AD135" i="8"/>
  <c r="AD136" i="8" s="1"/>
  <c r="AE238" i="2"/>
  <c r="AE131" i="8" s="1"/>
  <c r="AE132" i="8" s="1"/>
  <c r="AD131" i="8"/>
  <c r="AD132" i="8" s="1"/>
  <c r="AE297" i="2"/>
  <c r="AE155" i="8" s="1"/>
  <c r="AE156" i="8" s="1"/>
  <c r="AD155" i="8"/>
  <c r="AD156" i="8" s="1"/>
  <c r="AD303" i="2"/>
  <c r="AC179" i="8"/>
  <c r="AC180" i="8" s="1"/>
  <c r="AD483" i="2"/>
  <c r="AC287" i="8"/>
  <c r="AC288" i="8" s="1"/>
  <c r="AD178" i="2"/>
  <c r="AC95" i="8"/>
  <c r="AC96" i="8" s="1"/>
  <c r="AE298" i="2"/>
  <c r="AE159" i="8" s="1"/>
  <c r="AE160" i="8" s="1"/>
  <c r="AD159" i="8"/>
  <c r="AD160" i="8" s="1"/>
  <c r="AE358" i="2"/>
  <c r="AE195" i="8" s="1"/>
  <c r="AE196" i="8" s="1"/>
  <c r="F196" i="8" s="1"/>
  <c r="AD195" i="8"/>
  <c r="AD196" i="8" s="1"/>
  <c r="AD181" i="2"/>
  <c r="AC107" i="8"/>
  <c r="AC108" i="8" s="1"/>
  <c r="AE363" i="2"/>
  <c r="AE215" i="8" s="1"/>
  <c r="AE216" i="8" s="1"/>
  <c r="AD215" i="8"/>
  <c r="AD216" i="8" s="1"/>
  <c r="AD182" i="2"/>
  <c r="AC111" i="8"/>
  <c r="AC112" i="8" s="1"/>
  <c r="AD176" i="2"/>
  <c r="AC87" i="8"/>
  <c r="AC88" i="8" s="1"/>
  <c r="AD302" i="2"/>
  <c r="AC175" i="8"/>
  <c r="AC176" i="8" s="1"/>
  <c r="AD484" i="2"/>
  <c r="AC291" i="8"/>
  <c r="AC292" i="8" s="1"/>
  <c r="AD420" i="2"/>
  <c r="AC239" i="8"/>
  <c r="AC240" i="8" s="1"/>
  <c r="AE119" i="2"/>
  <c r="AE63" i="8" s="1"/>
  <c r="AE64" i="8" s="1"/>
  <c r="AD63" i="8"/>
  <c r="AD64" i="8" s="1"/>
  <c r="AE301" i="2"/>
  <c r="AE171" i="8" s="1"/>
  <c r="AE172" i="8" s="1"/>
  <c r="AD171" i="8"/>
  <c r="AD172" i="8" s="1"/>
  <c r="AE361" i="2"/>
  <c r="AE207" i="8" s="1"/>
  <c r="AE208" i="8" s="1"/>
  <c r="AD207" i="8"/>
  <c r="AD208" i="8" s="1"/>
  <c r="AE56" i="2"/>
  <c r="AE15" i="8" s="1"/>
  <c r="AE16" i="8" s="1"/>
  <c r="F16" i="8" s="1"/>
  <c r="AD15" i="8"/>
  <c r="AD16" i="8" s="1"/>
  <c r="AE357" i="2"/>
  <c r="AE191" i="8" s="1"/>
  <c r="AE192" i="8" s="1"/>
  <c r="AD191" i="8"/>
  <c r="AD192" i="8" s="1"/>
  <c r="AE424" i="2"/>
  <c r="AE255" i="8" s="1"/>
  <c r="AE256" i="8" s="1"/>
  <c r="AD255" i="8"/>
  <c r="AD256" i="8" s="1"/>
  <c r="AD480" i="2"/>
  <c r="AC275" i="8"/>
  <c r="AC276" i="8" s="1"/>
  <c r="AE236" i="2"/>
  <c r="AE123" i="8" s="1"/>
  <c r="AE124" i="8" s="1"/>
  <c r="AD123" i="8"/>
  <c r="AD124" i="8" s="1"/>
  <c r="AE299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C183" i="2" s="1"/>
  <c r="AB83" i="8"/>
  <c r="AB84" i="8" s="1"/>
  <c r="AE59" i="2"/>
  <c r="AE27" i="8" s="1"/>
  <c r="AE28" i="8" s="1"/>
  <c r="AD27" i="8"/>
  <c r="AD28" i="8" s="1"/>
  <c r="AC180" i="2"/>
  <c r="AB103" i="8"/>
  <c r="AB104" i="8" s="1"/>
  <c r="AD416" i="2"/>
  <c r="AC425" i="2"/>
  <c r="AC223" i="8"/>
  <c r="AC224" i="8" s="1"/>
  <c r="AE360" i="2"/>
  <c r="AE203" i="8" s="1"/>
  <c r="AE204" i="8" s="1"/>
  <c r="F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359" i="2"/>
  <c r="AE199" i="8" s="1"/>
  <c r="AE200" i="8" s="1"/>
  <c r="AD199" i="8"/>
  <c r="AD200" i="8" s="1"/>
  <c r="AE418" i="2"/>
  <c r="AE231" i="8" s="1"/>
  <c r="AE232" i="8" s="1"/>
  <c r="F232" i="8" s="1"/>
  <c r="AD231" i="8"/>
  <c r="AD232" i="8" s="1"/>
  <c r="AE476" i="2"/>
  <c r="AD259" i="8"/>
  <c r="AD260" i="8" s="1"/>
  <c r="AE116" i="2"/>
  <c r="AE51" i="8" s="1"/>
  <c r="AE52" i="8" s="1"/>
  <c r="AD51" i="8"/>
  <c r="AD52" i="8" s="1"/>
  <c r="AD365" i="2"/>
  <c r="AE356" i="2"/>
  <c r="AD187" i="8"/>
  <c r="AD188" i="8" s="1"/>
  <c r="AE362" i="2"/>
  <c r="AE211" i="8" s="1"/>
  <c r="AE212" i="8" s="1"/>
  <c r="AD211" i="8"/>
  <c r="AD212" i="8" s="1"/>
  <c r="AD177" i="2"/>
  <c r="AC91" i="8"/>
  <c r="AC92" i="8" s="1"/>
  <c r="AE296" i="2"/>
  <c r="AD305" i="2"/>
  <c r="AD151" i="8"/>
  <c r="AD152" i="8" s="1"/>
  <c r="AD421" i="2"/>
  <c r="AC243" i="8"/>
  <c r="AC244" i="8" s="1"/>
  <c r="AE300" i="2"/>
  <c r="AE167" i="8" s="1"/>
  <c r="AE168" i="8" s="1"/>
  <c r="AD167" i="8"/>
  <c r="AD168" i="8" s="1"/>
  <c r="AE419" i="2"/>
  <c r="AE235" i="8" s="1"/>
  <c r="AE236" i="8" s="1"/>
  <c r="F236" i="8" s="1"/>
  <c r="AD235" i="8"/>
  <c r="AD236" i="8" s="1"/>
  <c r="AE241" i="2"/>
  <c r="AE143" i="8" s="1"/>
  <c r="AE144" i="8" s="1"/>
  <c r="F144" i="8" s="1"/>
  <c r="AD143" i="8"/>
  <c r="AD144" i="8" s="1"/>
  <c r="AD477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F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479" i="2"/>
  <c r="AC271" i="8"/>
  <c r="AC272" i="8" s="1"/>
  <c r="AD423" i="2"/>
  <c r="AC251" i="8"/>
  <c r="AC252" i="8" s="1"/>
  <c r="AE58" i="2"/>
  <c r="AE23" i="8" s="1"/>
  <c r="AE24" i="8" s="1"/>
  <c r="AD23" i="8"/>
  <c r="AD24" i="8" s="1"/>
  <c r="AE364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F32" i="8" l="1"/>
  <c r="F248" i="8"/>
  <c r="F128" i="8"/>
  <c r="F76" i="8"/>
  <c r="F40" i="8"/>
  <c r="F168" i="8"/>
  <c r="F52" i="8"/>
  <c r="F164" i="8"/>
  <c r="F172" i="8"/>
  <c r="F216" i="8"/>
  <c r="F156" i="8"/>
  <c r="F72" i="8"/>
  <c r="F148" i="8"/>
  <c r="F140" i="8"/>
  <c r="F20" i="8"/>
  <c r="F200" i="8"/>
  <c r="AD180" i="2"/>
  <c r="AC103" i="8"/>
  <c r="AC104" i="8" s="1"/>
  <c r="F256" i="8"/>
  <c r="AE484" i="2"/>
  <c r="AE291" i="8" s="1"/>
  <c r="AE292" i="8" s="1"/>
  <c r="F292" i="8" s="1"/>
  <c r="AD291" i="8"/>
  <c r="AD292" i="8" s="1"/>
  <c r="F160" i="8"/>
  <c r="F68" i="8"/>
  <c r="F124" i="8"/>
  <c r="F24" i="8"/>
  <c r="AE416" i="2"/>
  <c r="AD425" i="2"/>
  <c r="AD223" i="8"/>
  <c r="AD224" i="8" s="1"/>
  <c r="AE478" i="2"/>
  <c r="AE267" i="8" s="1"/>
  <c r="AE268" i="8" s="1"/>
  <c r="F268" i="8" s="1"/>
  <c r="AD267" i="8"/>
  <c r="AD268" i="8" s="1"/>
  <c r="AE417" i="2"/>
  <c r="AE227" i="8" s="1"/>
  <c r="AE228" i="8" s="1"/>
  <c r="AD227" i="8"/>
  <c r="AD228" i="8" s="1"/>
  <c r="F132" i="8"/>
  <c r="AE151" i="8"/>
  <c r="AE152" i="8" s="1"/>
  <c r="F152" i="8" s="1"/>
  <c r="AE420" i="2"/>
  <c r="AE239" i="8" s="1"/>
  <c r="AE240" i="8" s="1"/>
  <c r="AD239" i="8"/>
  <c r="AD240" i="8" s="1"/>
  <c r="AE177" i="2"/>
  <c r="AE91" i="8" s="1"/>
  <c r="AE92" i="8" s="1"/>
  <c r="AD91" i="8"/>
  <c r="AD92" i="8" s="1"/>
  <c r="AE479" i="2"/>
  <c r="AE271" i="8" s="1"/>
  <c r="AE272" i="8" s="1"/>
  <c r="AD271" i="8"/>
  <c r="AD272" i="8" s="1"/>
  <c r="AE477" i="2"/>
  <c r="AE263" i="8" s="1"/>
  <c r="AE264" i="8" s="1"/>
  <c r="AD263" i="8"/>
  <c r="AD264" i="8" s="1"/>
  <c r="F12" i="8"/>
  <c r="F212" i="8"/>
  <c r="F28" i="8"/>
  <c r="F192" i="8"/>
  <c r="AE302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480" i="2"/>
  <c r="AE275" i="8" s="1"/>
  <c r="AE276" i="8" s="1"/>
  <c r="AD275" i="8"/>
  <c r="AD276" i="8" s="1"/>
  <c r="AE423" i="2"/>
  <c r="AE251" i="8" s="1"/>
  <c r="AE252" i="8" s="1"/>
  <c r="F252" i="8" s="1"/>
  <c r="AD251" i="8"/>
  <c r="AD252" i="8" s="1"/>
  <c r="AE365" i="2"/>
  <c r="AE187" i="8"/>
  <c r="AE188" i="8" s="1"/>
  <c r="F188" i="8" s="1"/>
  <c r="AD175" i="2"/>
  <c r="AD183" i="2" s="1"/>
  <c r="AC83" i="8"/>
  <c r="AC84" i="8" s="1"/>
  <c r="AE176" i="2"/>
  <c r="AE87" i="8" s="1"/>
  <c r="AE88" i="8" s="1"/>
  <c r="AD87" i="8"/>
  <c r="AD88" i="8" s="1"/>
  <c r="AE483" i="2"/>
  <c r="AE287" i="8" s="1"/>
  <c r="AE288" i="8" s="1"/>
  <c r="F288" i="8" s="1"/>
  <c r="AD287" i="8"/>
  <c r="AD288" i="8" s="1"/>
  <c r="AE421" i="2"/>
  <c r="AE243" i="8" s="1"/>
  <c r="AE244" i="8" s="1"/>
  <c r="AD243" i="8"/>
  <c r="AD244" i="8" s="1"/>
  <c r="AE481" i="2"/>
  <c r="AE279" i="8" s="1"/>
  <c r="AE280" i="8" s="1"/>
  <c r="AD279" i="8"/>
  <c r="AD280" i="8" s="1"/>
  <c r="AD485" i="2"/>
  <c r="AE482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303" i="2"/>
  <c r="AE179" i="8" s="1"/>
  <c r="AE180" i="8" s="1"/>
  <c r="F180" i="8" s="1"/>
  <c r="AD179" i="8"/>
  <c r="AD180" i="8" s="1"/>
  <c r="F184" i="8"/>
  <c r="AE179" i="2"/>
  <c r="AE99" i="8" s="1"/>
  <c r="AE100" i="8" s="1"/>
  <c r="AD99" i="8"/>
  <c r="AD100" i="8" s="1"/>
  <c r="F88" i="8" l="1"/>
  <c r="F100" i="8"/>
  <c r="F272" i="8"/>
  <c r="F228" i="8"/>
  <c r="F112" i="8"/>
  <c r="F284" i="8"/>
  <c r="F92" i="8"/>
  <c r="F280" i="8"/>
  <c r="F176" i="8"/>
  <c r="AE305" i="2"/>
  <c r="F244" i="8"/>
  <c r="AE180" i="2"/>
  <c r="AE103" i="8" s="1"/>
  <c r="AE104" i="8" s="1"/>
  <c r="F104" i="8" s="1"/>
  <c r="AD103" i="8"/>
  <c r="AD104" i="8" s="1"/>
  <c r="F276" i="8"/>
  <c r="AE485" i="2"/>
  <c r="AE425" i="2"/>
  <c r="AE223" i="8"/>
  <c r="AE224" i="8" s="1"/>
  <c r="F224" i="8" s="1"/>
  <c r="D3" i="8" s="1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F84" i="8" l="1"/>
  <c r="D2" i="8" s="1"/>
  <c r="AE183" i="2"/>
</calcChain>
</file>

<file path=xl/sharedStrings.xml><?xml version="1.0" encoding="utf-8"?>
<sst xmlns="http://schemas.openxmlformats.org/spreadsheetml/2006/main" count="5769" uniqueCount="1315">
  <si>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</si>
  <si>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</si>
  <si>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</si>
  <si>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</si>
  <si>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</si>
  <si>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</si>
  <si>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</si>
  <si>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</si>
  <si>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</si>
  <si>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</si>
  <si>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</si>
  <si>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</si>
  <si>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</si>
  <si>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</si>
  <si>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</si>
  <si>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</si>
  <si>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</si>
  <si>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</si>
  <si>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</si>
  <si>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</si>
  <si>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</si>
  <si>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</si>
  <si>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Kernel sheet in the CPAT Mitigation layout (columns A-AI, years K-AI): 4 CBAM sectors x 2 scenarios. All formulas; codes built from components.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</si>
  <si>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</si>
  <si>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</si>
  <si>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</si>
  <si>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</si>
  <si>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</si>
  <si>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Pre-tax price before new policies (pbc), new-policy wedge (nce), shadow price (shp), sector coverage (tcf), share of shadow price on efficiency (ssc); both scenarios.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</si>
  <si>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</si>
  <si>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</si>
  <si>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</si>
  <si>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</si>
  <si>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</si>
  <si>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Kernel output against the values stored in CPAT_1_0pre_456 for the same rows; max absolute and relative differences.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</si>
  <si>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</si>
  <si>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</si>
  <si>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</si>
  <si>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</si>
  <si>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</si>
  <si>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</si>
  <si>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</si>
  <si>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</si>
  <si>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</si>
  <si>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</si>
  <si>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</si>
  <si>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</si>
  <si>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</si>
  <si>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</si>
  <si>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</si>
  <si>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</si>
  <si>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</si>
  <si>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</si>
  <si>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</si>
  <si>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</si>
  <si>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</si>
  <si>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</si>
  <si>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</si>
  <si>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</si>
  <si>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</si>
  <si>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</si>
  <si>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</si>
  <si>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</si>
  <si>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</si>
  <si>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</si>
  <si>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</si>
  <si>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</si>
  <si>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</si>
  <si>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</si>
  <si>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</si>
  <si>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</si>
  <si>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</si>
  <si>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</si>
  <si>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</si>
  <si>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</si>
  <si>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</si>
  <si>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</si>
  <si>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</si>
  <si>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</si>
  <si>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</si>
  <si>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</si>
  <si>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</si>
  <si>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</si>
  <si>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</si>
  <si>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</si>
  <si>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</si>
  <si>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</si>
  <si>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</si>
  <si>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</si>
  <si>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</si>
  <si>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</si>
  <si>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</si>
  <si>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</si>
  <si>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</si>
  <si>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</si>
  <si>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</si>
  <si>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</si>
  <si>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</si>
  <si>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</si>
  <si>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</si>
  <si>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</si>
  <si>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</si>
  <si>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</si>
  <si>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</si>
  <si>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</si>
  <si>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</si>
  <si>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</si>
  <si>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</si>
  <si>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</si>
  <si>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</si>
  <si>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</si>
  <si>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</si>
  <si>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</si>
  <si>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</si>
  <si>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</si>
  <si>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</si>
  <si>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</si>
  <si>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</si>
  <si>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</si>
  <si>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</si>
  <si>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</si>
  <si>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</si>
  <si>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</si>
  <si>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</si>
  <si>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</si>
  <si>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</si>
  <si>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</si>
  <si>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</si>
  <si>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</si>
  <si>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</si>
  <si>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</si>
  <si>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</si>
  <si>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</si>
  <si>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</si>
  <si>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</si>
  <si>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</si>
  <si>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</si>
  <si>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</si>
  <si>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</si>
  <si>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</si>
  <si>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</si>
  <si>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</si>
  <si>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</si>
  <si>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</si>
  <si>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</si>
  <si>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</si>
  <si>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</si>
  <si>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</si>
  <si>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</si>
  <si>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</si>
  <si>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</si>
  <si>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</si>
  <si>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</si>
  <si>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</si>
  <si>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</si>
  <si>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</si>
  <si>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</si>
  <si>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</si>
  <si>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</si>
  <si>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</si>
  <si>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</si>
  <si>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</si>
  <si>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</si>
  <si>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</si>
  <si>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</si>
  <si>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</si>
  <si>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</si>
  <si>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</si>
  <si>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</si>
  <si>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</si>
  <si>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</si>
  <si>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</si>
  <si>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</si>
  <si>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</si>
  <si>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</si>
  <si>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</si>
  <si>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</si>
  <si>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</si>
  <si>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</si>
  <si>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</si>
  <si>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</si>
  <si>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</si>
  <si>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</si>
  <si>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</si>
  <si>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</si>
  <si>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</si>
  <si>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</si>
  <si>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</si>
  <si>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</si>
  <si>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</si>
  <si>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</si>
  <si>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</si>
  <si>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</si>
  <si>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</si>
  <si>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</si>
  <si>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</si>
  <si>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</si>
  <si>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</si>
  <si>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</si>
  <si>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</si>
  <si>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</si>
  <si>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</si>
  <si>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</si>
  <si>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</si>
  <si>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</si>
  <si>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</si>
  <si>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</si>
  <si>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</si>
  <si>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</si>
  <si>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</si>
  <si>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</si>
  <si>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</si>
  <si>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</si>
  <si>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</si>
  <si>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</si>
  <si>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</si>
  <si>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</si>
  <si>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</si>
  <si>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</si>
  <si>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</si>
  <si>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</si>
  <si>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</si>
  <si>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</si>
  <si>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</si>
  <si>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</si>
  <si>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</si>
  <si>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</si>
  <si>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</si>
  <si>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</si>
  <si>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</si>
  <si>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</si>
  <si>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</si>
  <si>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</si>
  <si>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</si>
  <si>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</si>
  <si>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</si>
  <si>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</si>
  <si>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</si>
  <si>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</si>
  <si>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</si>
  <si>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</si>
  <si>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</si>
  <si>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</si>
  <si>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</si>
  <si>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</si>
  <si>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</si>
  <si>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</si>
  <si>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</si>
  <si>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</si>
  <si>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</si>
  <si>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</si>
  <si>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</si>
  <si>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</si>
  <si>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</si>
  <si>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</si>
  <si>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</si>
  <si>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</si>
  <si>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</si>
  <si>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</si>
  <si>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</si>
  <si>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</si>
  <si>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</si>
  <si>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</si>
  <si>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</si>
  <si>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</si>
  <si>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</si>
  <si>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</si>
  <si>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</si>
  <si>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</si>
  <si>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</si>
  <si>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</si>
  <si>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</si>
  <si>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</si>
  <si>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</si>
  <si>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</si>
  <si>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</si>
  <si>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</si>
  <si>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</si>
  <si>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</si>
  <si>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</si>
  <si>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</si>
  <si>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</si>
  <si>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</si>
  <si>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</si>
  <si>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</si>
  <si>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</si>
  <si>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</si>
  <si>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</si>
  <si>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</si>
  <si>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</si>
  <si>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</si>
  <si>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</si>
  <si>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</si>
  <si>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</si>
  <si>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</si>
  <si>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</si>
  <si>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</si>
  <si>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</si>
  <si>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</si>
  <si>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</si>
  <si>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</si>
  <si>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</si>
  <si>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</si>
  <si>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</si>
  <si>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</si>
  <si>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</si>
  <si>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</si>
  <si>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</si>
  <si>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</si>
  <si>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</si>
  <si>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</si>
  <si>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</si>
  <si>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</si>
  <si>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</si>
  <si>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</si>
  <si>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</si>
  <si>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</si>
  <si>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</si>
  <si>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</si>
  <si>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</si>
  <si>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</si>
  <si>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</si>
  <si>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</si>
  <si>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</si>
  <si>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</si>
  <si>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</si>
  <si>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</si>
  <si>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</si>
  <si>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</si>
  <si>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</si>
  <si>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</si>
  <si>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</si>
  <si>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</si>
  <si>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</si>
  <si>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</si>
  <si>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</si>
  <si>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</si>
  <si>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</si>
  <si>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</si>
  <si>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</si>
  <si>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</si>
  <si>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</si>
  <si>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</si>
  <si>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</si>
  <si>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</si>
  <si>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</si>
  <si>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</si>
  <si>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</si>
  <si>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</si>
  <si>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</si>
  <si>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</si>
  <si>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</si>
  <si>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</si>
  <si>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</si>
  <si>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</si>
  <si>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</si>
  <si>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</si>
  <si>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</si>
  <si>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</si>
  <si>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</si>
  <si>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</si>
  <si>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</si>
  <si>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</si>
  <si>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</si>
  <si>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</si>
  <si>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</si>
  <si>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</si>
  <si>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</si>
  <si>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</si>
  <si>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</si>
  <si>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</si>
  <si>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</si>
  <si>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</si>
  <si>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</si>
  <si>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</si>
  <si>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</si>
  <si>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</si>
  <si>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</si>
  <si>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</si>
  <si>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</si>
  <si>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</si>
  <si>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</si>
  <si>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</si>
  <si>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</si>
  <si>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</si>
  <si>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</si>
  <si>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</si>
  <si>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</si>
  <si>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</si>
  <si>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</si>
  <si>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</si>
  <si>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</si>
  <si>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</si>
  <si>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</si>
  <si>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</si>
  <si>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</si>
  <si>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</si>
  <si>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</si>
  <si>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</si>
  <si>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</si>
  <si>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</si>
  <si>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</si>
  <si>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</si>
  <si>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</si>
  <si>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</si>
  <si>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</si>
  <si>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</si>
  <si>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</si>
  <si>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</si>
  <si>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</si>
  <si>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</si>
  <si>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</si>
  <si>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</si>
  <si>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</si>
  <si>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</si>
  <si>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</si>
  <si>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</si>
  <si>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</si>
  <si>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</si>
  <si>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</si>
  <si>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</si>
  <si>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</si>
  <si>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</si>
  <si>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</si>
  <si>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</si>
  <si>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</si>
  <si>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</si>
  <si>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</si>
  <si>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</si>
  <si>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</si>
  <si>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</si>
  <si>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</si>
  <si>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</si>
  <si>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</si>
  <si>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</si>
  <si>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</si>
  <si>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</si>
  <si>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</si>
  <si>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</si>
  <si>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</si>
  <si>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</si>
  <si>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</si>
  <si>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</si>
  <si>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</si>
  <si>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</si>
  <si>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</si>
  <si>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</si>
  <si>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</si>
  <si>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</si>
  <si>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</si>
  <si>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</si>
  <si>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</si>
  <si>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</si>
  <si>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</si>
  <si>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</si>
  <si>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</si>
  <si>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</si>
  <si>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</si>
  <si>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</si>
  <si>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</si>
  <si>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</si>
  <si>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</si>
  <si>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</si>
  <si>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</si>
  <si>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</si>
  <si>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</si>
  <si>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</si>
  <si>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</si>
  <si>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</si>
  <si>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</si>
  <si>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</si>
  <si>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</si>
  <si>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</si>
  <si>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</si>
  <si>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</si>
  <si>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</si>
  <si>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</si>
  <si>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</si>
  <si>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</si>
  <si>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</si>
  <si>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</si>
  <si>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</si>
  <si>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</si>
  <si>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</si>
  <si>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</si>
  <si>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</si>
  <si>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</si>
  <si>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</si>
  <si>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</si>
  <si>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</si>
  <si>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</si>
  <si>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</si>
  <si>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</si>
  <si>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</si>
  <si>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</si>
  <si>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</si>
  <si>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</si>
  <si>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</si>
  <si>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</si>
  <si>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</si>
  <si>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</si>
  <si>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</si>
  <si>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</si>
  <si>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</si>
  <si>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</si>
  <si>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</si>
  <si>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</si>
  <si>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</si>
  <si>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</si>
  <si>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</si>
  <si>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</si>
  <si>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</si>
  <si>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</si>
  <si>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</si>
  <si>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</si>
  <si>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</si>
  <si>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</si>
  <si>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</si>
  <si>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</si>
  <si>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</si>
  <si>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</si>
  <si>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</si>
  <si>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</si>
  <si>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</si>
  <si>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</si>
  <si>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</si>
  <si>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</si>
  <si>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</si>
  <si>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</si>
  <si>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</si>
  <si>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</si>
  <si>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</si>
  <si>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</si>
  <si>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</si>
  <si>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</si>
  <si>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</si>
  <si>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</si>
  <si>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</si>
  <si>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</si>
  <si>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</si>
  <si>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</si>
  <si>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</si>
  <si>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</si>
  <si>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</si>
  <si>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</si>
  <si>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</si>
  <si>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</si>
  <si>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</si>
  <si>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</si>
  <si>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</si>
  <si>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</si>
  <si>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</si>
  <si>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</si>
  <si>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</si>
  <si>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</si>
  <si>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</si>
  <si>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</si>
  <si>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</si>
  <si>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</si>
  <si>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</si>
  <si>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</si>
  <si>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</si>
  <si>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</si>
  <si>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</si>
  <si>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</si>
  <si>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</si>
  <si>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</si>
  <si>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</si>
  <si>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</si>
  <si>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</si>
  <si>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</si>
  <si>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</si>
  <si>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</si>
  <si>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</si>
  <si>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</si>
  <si>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</si>
  <si>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</si>
  <si>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</si>
  <si>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</si>
  <si>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</si>
  <si>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</si>
  <si>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</si>
  <si>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</si>
  <si>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</si>
  <si>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</si>
  <si>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</si>
  <si>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</si>
  <si>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</si>
  <si>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</si>
  <si>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</si>
  <si>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</si>
  <si>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</si>
  <si>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</si>
  <si>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</si>
  <si>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</si>
  <si>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</si>
  <si>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</si>
  <si>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</si>
  <si>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</si>
  <si>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</si>
  <si>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</si>
  <si>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</si>
  <si>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</si>
  <si>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</si>
  <si>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</si>
  <si>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</si>
  <si>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</si>
  <si>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</si>
  <si>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</si>
  <si>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</si>
  <si>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</si>
  <si>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</si>
  <si>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</si>
  <si>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</si>
  <si>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</si>
  <si>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</si>
  <si>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</si>
  <si>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</si>
  <si>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</si>
  <si>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</si>
  <si>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</si>
  <si>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</si>
  <si>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</si>
  <si>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</si>
  <si>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</si>
  <si>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</si>
  <si>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</si>
  <si>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</si>
  <si>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</si>
  <si>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</si>
  <si>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</si>
  <si>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</si>
  <si>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</si>
  <si>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</si>
  <si>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</si>
  <si>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</si>
  <si>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</si>
  <si>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</si>
  <si>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</si>
  <si>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</si>
  <si>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</si>
  <si>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</si>
  <si>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</si>
  <si>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</si>
  <si>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</si>
  <si>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</si>
  <si>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</si>
  <si>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</si>
  <si>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</si>
  <si>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</si>
  <si>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</si>
  <si>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</si>
  <si>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</si>
  <si>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</si>
  <si>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</si>
  <si>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</si>
  <si>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</si>
  <si>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</si>
  <si>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</si>
  <si>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</si>
  <si>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</si>
  <si>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</si>
  <si>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</si>
  <si>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</si>
  <si>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</si>
  <si>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</si>
  <si>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</si>
  <si>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</si>
  <si>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</si>
  <si>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</si>
  <si>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</si>
  <si>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</si>
  <si>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</si>
  <si>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</si>
  <si>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</si>
  <si>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</si>
  <si>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</si>
  <si>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</si>
  <si>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</si>
  <si>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</si>
  <si>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</si>
  <si>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</si>
  <si>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</si>
  <si>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</si>
  <si>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</si>
  <si>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</si>
  <si>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</si>
  <si>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</si>
  <si>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</si>
  <si>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</si>
  <si>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</si>
  <si>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</si>
  <si>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</si>
  <si>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</si>
  <si>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</si>
  <si>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</si>
  <si>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</si>
  <si>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</si>
  <si>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</si>
  <si>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</si>
  <si>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</si>
  <si>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</si>
  <si>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</si>
  <si>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</si>
  <si>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</si>
  <si>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</si>
  <si>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</si>
  <si>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</si>
  <si>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</si>
  <si>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</si>
  <si>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</si>
  <si>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</si>
  <si>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</si>
  <si>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</si>
  <si>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</si>
  <si>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</si>
  <si>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</si>
  <si>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</si>
  <si>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</si>
  <si>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</si>
  <si>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</si>
  <si>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</si>
  <si>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</si>
  <si>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</si>
  <si>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</si>
  <si>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</si>
  <si>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</si>
  <si>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</si>
  <si>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</si>
  <si>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</si>
  <si>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</si>
  <si>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</si>
  <si>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</si>
  <si>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</si>
  <si>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</si>
  <si>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</si>
  <si>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</si>
  <si>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</si>
  <si>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</si>
  <si>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</si>
  <si>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</si>
  <si>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</si>
  <si>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</si>
  <si>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</si>
  <si>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</si>
  <si>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</si>
  <si>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</si>
  <si>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</si>
  <si>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</si>
  <si>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</si>
  <si>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</si>
  <si>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</si>
  <si>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</si>
  <si>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</si>
  <si>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</si>
  <si>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</si>
  <si>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</si>
  <si>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</si>
  <si>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</si>
  <si>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</si>
  <si>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</si>
  <si>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</si>
  <si>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</si>
  <si>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</si>
  <si>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</si>
  <si>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</si>
  <si>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</si>
  <si>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</si>
  <si>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</si>
  <si>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</si>
  <si>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</si>
  <si>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</si>
  <si>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</si>
  <si>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</si>
  <si>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</si>
  <si>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</si>
  <si>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</si>
  <si>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</si>
  <si>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</si>
  <si>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</si>
  <si>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</si>
  <si>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</si>
  <si>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</si>
  <si>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</si>
  <si>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</si>
  <si>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</si>
  <si>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</si>
  <si>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</si>
  <si>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</si>
  <si>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</si>
  <si>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</si>
  <si>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</si>
  <si>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</si>
  <si>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</si>
  <si>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</si>
  <si>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</si>
  <si>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</si>
  <si>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</si>
  <si>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</si>
  <si>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</si>
  <si>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</si>
  <si>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</si>
  <si>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</si>
  <si>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</si>
  <si>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</si>
  <si>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</si>
  <si>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</si>
  <si>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</si>
  <si>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</si>
  <si>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</si>
  <si>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</si>
  <si>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</si>
  <si>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</si>
  <si>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</si>
  <si>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</si>
  <si>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</si>
  <si>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</si>
  <si>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</si>
  <si>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</si>
  <si>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</si>
  <si>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</si>
  <si>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</si>
  <si>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</si>
  <si>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</si>
  <si>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</si>
  <si>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</si>
  <si>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</si>
  <si>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</si>
  <si>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</si>
  <si>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</si>
  <si>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</si>
  <si>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</si>
  <si>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</si>
  <si>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</si>
  <si>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</si>
  <si>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</si>
  <si>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</si>
  <si>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</si>
  <si>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</si>
  <si>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</si>
  <si>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</si>
  <si>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</si>
  <si>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</si>
  <si>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</si>
  <si>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</si>
  <si>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</si>
  <si>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</si>
  <si>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</si>
  <si>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</si>
  <si>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</si>
  <si>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</si>
  <si>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</si>
  <si>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</si>
  <si>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</si>
  <si>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</si>
  <si>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</si>
  <si>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</si>
  <si>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</si>
  <si>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</si>
  <si>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</si>
  <si>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</si>
  <si>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</si>
  <si>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</si>
  <si>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</si>
  <si>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</si>
  <si>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</si>
  <si>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</si>
  <si>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</si>
  <si>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</si>
  <si>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</si>
  <si>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</si>
  <si>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</si>
  <si>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</si>
  <si>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</si>
  <si>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</si>
  <si>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</si>
  <si>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</si>
  <si>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</si>
  <si>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</si>
  <si>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</si>
  <si>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</si>
  <si>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</si>
  <si>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</si>
  <si>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</si>
  <si>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</si>
  <si>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</si>
  <si>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</si>
  <si>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</si>
  <si>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</si>
  <si>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</si>
  <si>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</si>
  <si>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</si>
  <si>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</si>
  <si>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</si>
  <si>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</si>
  <si>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</si>
  <si>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</si>
  <si>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</si>
  <si>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</si>
  <si>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</si>
  <si>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</si>
  <si>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</si>
  <si>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</si>
  <si>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</si>
  <si>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</si>
  <si>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</si>
  <si>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</si>
  <si>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</si>
  <si>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</si>
  <si>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</si>
  <si>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</si>
  <si>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</si>
  <si>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</si>
  <si>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</si>
  <si>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</si>
  <si>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</si>
  <si>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</si>
  <si>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</si>
  <si>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</si>
  <si>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</si>
  <si>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</si>
  <si>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</si>
  <si>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</si>
  <si>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</si>
  <si>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</si>
  <si>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</si>
  <si>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</si>
  <si>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</si>
  <si>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</si>
  <si>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</si>
  <si>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</si>
  <si>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</si>
  <si>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</si>
  <si>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</si>
  <si>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</si>
  <si>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</si>
  <si>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</si>
  <si>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</si>
  <si>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</si>
  <si>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</si>
  <si>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</si>
  <si>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</si>
  <si>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</si>
  <si>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</si>
  <si>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</si>
  <si>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</si>
  <si>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</si>
  <si>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</si>
  <si>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</si>
  <si>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</si>
  <si>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</si>
  <si>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</si>
  <si>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</si>
  <si>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</si>
  <si>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</si>
  <si>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</si>
  <si>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</si>
  <si>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</si>
  <si>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</si>
  <si>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</si>
  <si>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</si>
  <si>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</si>
  <si>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</si>
  <si>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</si>
  <si>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</si>
  <si>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</si>
  <si>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</si>
  <si>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</si>
  <si>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</si>
  <si>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</si>
  <si>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</si>
  <si>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</si>
  <si>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</si>
  <si>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</si>
  <si>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</si>
  <si>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</si>
  <si>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</si>
  <si>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</si>
  <si>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</si>
  <si>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</si>
  <si>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</si>
  <si>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</si>
  <si>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</si>
  <si>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</si>
  <si>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</si>
  <si>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</si>
  <si>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</si>
  <si>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</si>
  <si>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</si>
  <si>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</si>
  <si>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</si>
  <si>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</si>
  <si>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</si>
  <si>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</si>
  <si>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</si>
  <si>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</si>
  <si>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</si>
  <si>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</si>
  <si>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</si>
  <si>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</si>
  <si>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</si>
  <si>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</si>
  <si>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</si>
  <si>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</si>
  <si>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</si>
  <si>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</si>
  <si>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</si>
  <si>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</si>
  <si>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</si>
  <si>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</si>
  <si>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</si>
  <si>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</si>
  <si>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</si>
  <si>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</si>
  <si>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</si>
  <si>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</si>
  <si>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</si>
  <si>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</si>
  <si>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</si>
  <si>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</si>
  <si>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</si>
  <si>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</si>
  <si>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</si>
  <si>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</si>
  <si>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</si>
  <si>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</si>
  <si>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</si>
  <si>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</si>
  <si>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</si>
  <si>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</si>
  <si>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</si>
  <si>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</si>
  <si>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</si>
  <si>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</si>
  <si>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</si>
  <si>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</si>
  <si>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</si>
  <si>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</si>
  <si>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</si>
  <si>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</si>
  <si>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</si>
  <si>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</si>
  <si>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</si>
  <si>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</si>
  <si>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</si>
  <si>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</si>
  <si>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</si>
  <si>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</si>
  <si>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</si>
  <si>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</si>
  <si>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</si>
  <si>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</si>
  <si>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</si>
  <si>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</si>
  <si>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</si>
  <si>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</si>
  <si>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</si>
  <si>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</si>
  <si>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</si>
  <si>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</si>
  <si>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</si>
  <si>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</si>
  <si>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</si>
  <si>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</si>
  <si>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</si>
  <si>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</si>
  <si>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</si>
  <si>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</si>
  <si>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</si>
  <si>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</si>
  <si>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</si>
  <si>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</si>
  <si>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</si>
  <si>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</si>
  <si>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</si>
  <si>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</si>
  <si>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</si>
  <si>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</si>
  <si>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</si>
  <si>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</si>
  <si>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</si>
  <si>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</si>
  <si>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</si>
  <si>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</si>
  <si>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</si>
  <si>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</si>
  <si>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</si>
  <si>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</si>
  <si>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</si>
  <si>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</si>
  <si>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</si>
  <si>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</si>
  <si>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</si>
  <si>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</si>
  <si>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</si>
  <si>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</si>
  <si>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</si>
  <si>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</si>
  <si>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</si>
  <si>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</si>
  <si>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</si>
  <si>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</si>
  <si>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</si>
  <si>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</si>
  <si>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</si>
  <si>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</si>
  <si>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</si>
  <si>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</si>
  <si>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</si>
  <si>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</si>
  <si>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</si>
  <si>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</si>
  <si>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</si>
  <si>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</si>
  <si>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</si>
  <si>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</si>
  <si>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</si>
  <si>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</si>
  <si>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</si>
  <si>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</si>
  <si>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</si>
  <si>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</si>
  <si>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</si>
  <si>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</si>
  <si>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</si>
  <si>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</si>
  <si>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</si>
  <si>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</si>
  <si>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</si>
  <si>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</si>
  <si>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</si>
  <si>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</si>
  <si>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</si>
  <si>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</si>
  <si>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</si>
  <si>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</si>
  <si>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</si>
  <si>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</si>
  <si>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</si>
  <si>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</si>
  <si>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</si>
  <si>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</si>
  <si>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</si>
  <si>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</si>
  <si>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</si>
  <si>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</si>
  <si>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</si>
  <si>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</si>
  <si>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</si>
  <si>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</si>
  <si>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</si>
  <si>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</si>
  <si>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</si>
  <si>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</si>
  <si>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</si>
  <si>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</si>
  <si>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</si>
  <si>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</si>
  <si>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</si>
  <si>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</si>
  <si>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</si>
  <si>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</si>
  <si>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</si>
  <si>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</si>
  <si>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</si>
  <si>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</si>
  <si>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</si>
  <si>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</si>
  <si>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</si>
  <si>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</si>
  <si>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</si>
  <si>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</si>
  <si>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</si>
  <si>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</si>
  <si>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</si>
  <si>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</si>
  <si>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</si>
  <si>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</si>
  <si>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</si>
  <si>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</si>
  <si>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</si>
  <si>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</si>
  <si>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</si>
  <si>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</si>
  <si>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</si>
  <si>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</si>
  <si>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</si>
  <si>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</si>
  <si>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</si>
  <si>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</si>
  <si>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</si>
  <si>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</si>
  <si>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</si>
  <si>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</si>
  <si>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</si>
  <si>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</si>
  <si>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</si>
  <si>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</si>
  <si>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</si>
  <si>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</si>
  <si>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</si>
  <si>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</si>
  <si>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</si>
  <si>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</si>
  <si>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</si>
  <si>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</si>
  <si>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</si>
  <si>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</si>
  <si>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</si>
  <si>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</si>
  <si>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</si>
  <si>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</si>
  <si>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</si>
  <si>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</si>
  <si>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</si>
  <si>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</si>
  <si>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</si>
  <si>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</si>
  <si>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</si>
  <si>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</si>
  <si>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</si>
  <si>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</si>
  <si>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</si>
  <si>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</si>
  <si>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</si>
  <si>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</si>
  <si>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</si>
  <si>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</si>
  <si>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</si>
  <si>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</si>
  <si>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</si>
  <si>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</si>
  <si>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</si>
  <si>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</si>
  <si>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</si>
  <si>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</si>
  <si>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</si>
  <si>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</si>
  <si>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</si>
  <si>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</si>
  <si>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</si>
  <si>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</si>
  <si>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</si>
  <si>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</si>
  <si>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</si>
  <si>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</si>
  <si>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</si>
  <si>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</si>
  <si>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</si>
  <si>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</si>
  <si>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</si>
  <si>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</si>
  <si>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</si>
  <si>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</si>
  <si>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</si>
  <si>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</si>
  <si>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</si>
  <si>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</si>
  <si>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</si>
  <si>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</si>
  <si>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</si>
  <si>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</si>
  <si>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</si>
  <si>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</si>
  <si>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</si>
  <si>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</si>
  <si>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</si>
  <si>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</si>
  <si>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</si>
  <si>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</si>
  <si>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</si>
  <si>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</si>
  <si>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</si>
  <si>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</si>
  <si>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</si>
  <si>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</si>
  <si>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</si>
  <si>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</si>
  <si>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</si>
  <si>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</si>
  <si>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</si>
  <si>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</si>
  <si>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</si>
  <si>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</si>
  <si>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</si>
  <si>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</si>
  <si>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</si>
  <si>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</si>
  <si>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</si>
  <si>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</si>
  <si>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</si>
  <si>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</si>
  <si>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</si>
  <si>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</si>
  <si>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</si>
  <si>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</si>
  <si>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</si>
  <si>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</si>
  <si>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</si>
  <si>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</si>
  <si>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</si>
  <si>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</si>
  <si>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</si>
  <si>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</si>
  <si>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</si>
  <si>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</si>
  <si>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</si>
  <si>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</si>
  <si>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</si>
  <si>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CPAT industry kernel - Egypt prototype v0.2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</si>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</sst>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</numFmts>
  <fonts count="18" x14ac:knownFonts="1">
    <font>
      <sz val="11"/>
      <color theme="1"/>
      <name val="Calibri"/>
      <family val="2"/>
      <charset val="1"/>
    </font>
    <font>
      <b/>
      <sz val="14"/>
      <color rgb="FF37562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7F7F7F"/>
      <name val="Arial"/>
      <charset val="1"/>
    </font>
    <font>
      <sz val="10"/>
      <name val="Consolas"/>
      <charset val="1"/>
    </font>
    <font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1"/>
      <color rgb="FFD9D9D9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b/>
      <sz val="12"/>
      <color rgb="FF375623"/>
      <name val="Arial"/>
      <charset val="1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Normal="100" workbookViewId="0"/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1309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52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52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52">
        <f>INDEX(MTInputs!$F$8:$F$415,MATCH("CPLevelTarget",MTInputs!$H$8:$H$415,0))</f>
        <v>50</v>
      </c>
      <c r="C9" s="3" t="s">
        <v>16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5" t="s">
        <v>21</v>
      </c>
      <c r="C17" s="3" t="s">
        <v>22</v>
      </c>
    </row>
    <row r="18" spans="1:3" x14ac:dyDescent="0.45">
      <c r="A18" s="5" t="s">
        <v>23</v>
      </c>
      <c r="C18" s="3" t="s">
        <v>24</v>
      </c>
    </row>
    <row r="19" spans="1:3" x14ac:dyDescent="0.45">
      <c r="A19" s="5" t="s">
        <v>25</v>
      </c>
      <c r="C19" s="3" t="s">
        <v>26</v>
      </c>
    </row>
    <row r="20" spans="1:3" x14ac:dyDescent="0.45">
      <c r="A20" s="5" t="s">
        <v>27</v>
      </c>
      <c r="C20" s="3" t="s">
        <v>28</v>
      </c>
    </row>
    <row r="21" spans="1:3" x14ac:dyDescent="0.45">
      <c r="A21" s="5" t="s">
        <v>29</v>
      </c>
      <c r="C21" s="3" t="s">
        <v>30</v>
      </c>
    </row>
    <row r="22" spans="1:3" x14ac:dyDescent="0.45">
      <c r="A22" s="5" t="s">
        <v>31</v>
      </c>
      <c r="C22" s="3" t="s">
        <v>32</v>
      </c>
    </row>
    <row r="23" spans="1:3" x14ac:dyDescent="0.45">
      <c r="A23" s="5" t="s">
        <v>33</v>
      </c>
      <c r="C23" s="3" t="s">
        <v>34</v>
      </c>
    </row>
    <row r="25" spans="1:3" x14ac:dyDescent="0.45">
      <c r="A25" s="53" t="s">
        <v>1310</v>
      </c>
    </row>
    <row r="26" spans="1:3" x14ac:dyDescent="0.45">
      <c r="A26" t="s">
        <v>1311</v>
      </c>
      <c r="C26" t="s">
        <v>1312</v>
      </c>
    </row>
    <row r="27" spans="1:3" x14ac:dyDescent="0.45">
      <c r="A27" t="s">
        <v>1313</v>
      </c>
      <c r="C27" t="s">
        <v>1314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85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45</v>
      </c>
      <c r="C5" s="7" t="s">
        <v>46</v>
      </c>
      <c r="D5" s="6" t="s">
        <v>47</v>
      </c>
      <c r="E5" s="7" t="s">
        <v>38</v>
      </c>
      <c r="F5" s="7" t="s">
        <v>48</v>
      </c>
      <c r="G5" s="7" t="s">
        <v>49</v>
      </c>
      <c r="H5" s="12" t="s">
        <v>41</v>
      </c>
      <c r="I5" s="6" t="s">
        <v>50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51</v>
      </c>
    </row>
    <row r="7" spans="1:35" x14ac:dyDescent="0.45">
      <c r="B7" s="14" t="s">
        <v>52</v>
      </c>
      <c r="C7" s="14" t="str">
        <f t="shared" ref="C7:C15" si="0">$C$5</f>
        <v>irn</v>
      </c>
      <c r="D7" s="15" t="s">
        <v>53</v>
      </c>
      <c r="E7" s="16" t="s">
        <v>54</v>
      </c>
      <c r="F7" s="14" t="s">
        <v>55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56</v>
      </c>
      <c r="C8" s="14" t="str">
        <f t="shared" si="0"/>
        <v>irn</v>
      </c>
      <c r="D8" s="15" t="s">
        <v>57</v>
      </c>
      <c r="E8" s="16" t="s">
        <v>54</v>
      </c>
      <c r="F8" s="14" t="s">
        <v>55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58</v>
      </c>
      <c r="C9" s="14" t="str">
        <f t="shared" si="0"/>
        <v>irn</v>
      </c>
      <c r="D9" s="15" t="s">
        <v>59</v>
      </c>
      <c r="E9" s="16" t="s">
        <v>60</v>
      </c>
      <c r="F9" s="14" t="s">
        <v>55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61</v>
      </c>
      <c r="C10" s="14" t="str">
        <f t="shared" si="0"/>
        <v>irn</v>
      </c>
      <c r="D10" s="15" t="s">
        <v>62</v>
      </c>
      <c r="E10" s="16" t="s">
        <v>60</v>
      </c>
      <c r="F10" s="14" t="s">
        <v>55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63</v>
      </c>
      <c r="C11" s="14" t="str">
        <f t="shared" si="0"/>
        <v>irn</v>
      </c>
      <c r="D11" s="15" t="s">
        <v>64</v>
      </c>
      <c r="E11" s="16" t="s">
        <v>60</v>
      </c>
      <c r="F11" s="14" t="s">
        <v>55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65</v>
      </c>
      <c r="C12" s="14" t="str">
        <f t="shared" si="0"/>
        <v>irn</v>
      </c>
      <c r="D12" s="15" t="s">
        <v>66</v>
      </c>
      <c r="E12" s="16" t="s">
        <v>60</v>
      </c>
      <c r="F12" s="14" t="s">
        <v>55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69</v>
      </c>
      <c r="F13" s="14" t="s">
        <v>55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70</v>
      </c>
      <c r="C14" s="14" t="str">
        <f t="shared" si="0"/>
        <v>irn</v>
      </c>
      <c r="D14" s="15" t="s">
        <v>71</v>
      </c>
      <c r="E14" s="16" t="s">
        <v>54</v>
      </c>
      <c r="F14" s="14" t="s">
        <v>55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72</v>
      </c>
      <c r="C15" s="14" t="str">
        <f t="shared" si="0"/>
        <v>irn</v>
      </c>
      <c r="D15" s="15" t="s">
        <v>73</v>
      </c>
      <c r="E15" s="16" t="s">
        <v>74</v>
      </c>
      <c r="F15" s="14" t="s">
        <v>55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75</v>
      </c>
    </row>
    <row r="17" spans="2:31" x14ac:dyDescent="0.45">
      <c r="B17" s="14" t="s">
        <v>52</v>
      </c>
      <c r="C17" s="14" t="str">
        <f t="shared" ref="C17:C25" si="1">$C$5</f>
        <v>irn</v>
      </c>
      <c r="D17" s="15" t="s">
        <v>53</v>
      </c>
      <c r="E17" s="16" t="s">
        <v>54</v>
      </c>
      <c r="F17" s="14" t="s">
        <v>76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56</v>
      </c>
      <c r="C18" s="14" t="str">
        <f t="shared" si="1"/>
        <v>irn</v>
      </c>
      <c r="D18" s="15" t="s">
        <v>57</v>
      </c>
      <c r="E18" s="16" t="s">
        <v>54</v>
      </c>
      <c r="F18" s="14" t="s">
        <v>76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58</v>
      </c>
      <c r="C19" s="14" t="str">
        <f t="shared" si="1"/>
        <v>irn</v>
      </c>
      <c r="D19" s="15" t="s">
        <v>59</v>
      </c>
      <c r="E19" s="16" t="s">
        <v>60</v>
      </c>
      <c r="F19" s="14" t="s">
        <v>76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61</v>
      </c>
      <c r="C20" s="14" t="str">
        <f t="shared" si="1"/>
        <v>irn</v>
      </c>
      <c r="D20" s="15" t="s">
        <v>62</v>
      </c>
      <c r="E20" s="16" t="s">
        <v>60</v>
      </c>
      <c r="F20" s="14" t="s">
        <v>76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63</v>
      </c>
      <c r="C21" s="14" t="str">
        <f t="shared" si="1"/>
        <v>irn</v>
      </c>
      <c r="D21" s="15" t="s">
        <v>64</v>
      </c>
      <c r="E21" s="16" t="s">
        <v>60</v>
      </c>
      <c r="F21" s="14" t="s">
        <v>76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65</v>
      </c>
      <c r="C22" s="14" t="str">
        <f t="shared" si="1"/>
        <v>irn</v>
      </c>
      <c r="D22" s="15" t="s">
        <v>66</v>
      </c>
      <c r="E22" s="16" t="s">
        <v>60</v>
      </c>
      <c r="F22" s="14" t="s">
        <v>76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67</v>
      </c>
      <c r="C23" s="14" t="str">
        <f t="shared" si="1"/>
        <v>irn</v>
      </c>
      <c r="D23" s="15" t="s">
        <v>68</v>
      </c>
      <c r="E23" s="16" t="s">
        <v>69</v>
      </c>
      <c r="F23" s="14" t="s">
        <v>76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70</v>
      </c>
      <c r="C24" s="14" t="str">
        <f t="shared" si="1"/>
        <v>irn</v>
      </c>
      <c r="D24" s="15" t="s">
        <v>71</v>
      </c>
      <c r="E24" s="16" t="s">
        <v>54</v>
      </c>
      <c r="F24" s="14" t="s">
        <v>76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72</v>
      </c>
      <c r="C25" s="14" t="str">
        <f t="shared" si="1"/>
        <v>irn</v>
      </c>
      <c r="D25" s="15" t="s">
        <v>73</v>
      </c>
      <c r="E25" s="16" t="s">
        <v>74</v>
      </c>
      <c r="F25" s="14" t="s">
        <v>76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77</v>
      </c>
    </row>
    <row r="27" spans="2:31" x14ac:dyDescent="0.45">
      <c r="B27" s="14" t="s">
        <v>52</v>
      </c>
      <c r="C27" s="14" t="str">
        <f t="shared" ref="C27:C35" si="2">$C$5</f>
        <v>irn</v>
      </c>
      <c r="D27" s="15" t="s">
        <v>53</v>
      </c>
      <c r="E27" s="16" t="s">
        <v>54</v>
      </c>
      <c r="F27" s="14" t="s">
        <v>78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56</v>
      </c>
      <c r="C28" s="14" t="str">
        <f t="shared" si="2"/>
        <v>irn</v>
      </c>
      <c r="D28" s="15" t="s">
        <v>57</v>
      </c>
      <c r="E28" s="16" t="s">
        <v>54</v>
      </c>
      <c r="F28" s="14" t="s">
        <v>78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58</v>
      </c>
      <c r="C29" s="14" t="str">
        <f t="shared" si="2"/>
        <v>irn</v>
      </c>
      <c r="D29" s="15" t="s">
        <v>59</v>
      </c>
      <c r="E29" s="16" t="s">
        <v>60</v>
      </c>
      <c r="F29" s="14" t="s">
        <v>78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61</v>
      </c>
      <c r="C30" s="14" t="str">
        <f t="shared" si="2"/>
        <v>irn</v>
      </c>
      <c r="D30" s="15" t="s">
        <v>62</v>
      </c>
      <c r="E30" s="16" t="s">
        <v>60</v>
      </c>
      <c r="F30" s="14" t="s">
        <v>78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63</v>
      </c>
      <c r="C31" s="14" t="str">
        <f t="shared" si="2"/>
        <v>irn</v>
      </c>
      <c r="D31" s="15" t="s">
        <v>64</v>
      </c>
      <c r="E31" s="16" t="s">
        <v>60</v>
      </c>
      <c r="F31" s="14" t="s">
        <v>78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65</v>
      </c>
      <c r="C32" s="14" t="str">
        <f t="shared" si="2"/>
        <v>irn</v>
      </c>
      <c r="D32" s="15" t="s">
        <v>66</v>
      </c>
      <c r="E32" s="16" t="s">
        <v>60</v>
      </c>
      <c r="F32" s="14" t="s">
        <v>78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67</v>
      </c>
      <c r="C33" s="14" t="str">
        <f t="shared" si="2"/>
        <v>irn</v>
      </c>
      <c r="D33" s="15" t="s">
        <v>68</v>
      </c>
      <c r="E33" s="16" t="s">
        <v>69</v>
      </c>
      <c r="F33" s="14" t="s">
        <v>78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70</v>
      </c>
      <c r="C34" s="14" t="str">
        <f t="shared" si="2"/>
        <v>irn</v>
      </c>
      <c r="D34" s="15" t="s">
        <v>71</v>
      </c>
      <c r="E34" s="16" t="s">
        <v>54</v>
      </c>
      <c r="F34" s="14" t="s">
        <v>78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72</v>
      </c>
      <c r="C35" s="14" t="str">
        <f t="shared" si="2"/>
        <v>irn</v>
      </c>
      <c r="D35" s="15" t="s">
        <v>73</v>
      </c>
      <c r="E35" s="16" t="s">
        <v>74</v>
      </c>
      <c r="F35" s="14" t="s">
        <v>78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79</v>
      </c>
    </row>
    <row r="37" spans="2:31" x14ac:dyDescent="0.45">
      <c r="B37" s="14" t="s">
        <v>80</v>
      </c>
      <c r="C37" s="14" t="str">
        <f>$C$5</f>
        <v>irn</v>
      </c>
      <c r="D37" s="15" t="s">
        <v>81</v>
      </c>
      <c r="E37" s="16" t="s">
        <v>82</v>
      </c>
      <c r="F37" s="14" t="s">
        <v>83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80</v>
      </c>
      <c r="C38" s="14" t="str">
        <f>$C$5</f>
        <v>irn</v>
      </c>
      <c r="D38" s="15" t="s">
        <v>84</v>
      </c>
      <c r="E38" s="16" t="s">
        <v>82</v>
      </c>
      <c r="F38" s="14" t="s">
        <v>85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80</v>
      </c>
      <c r="C39" s="14" t="str">
        <f>$C$5</f>
        <v>irn</v>
      </c>
      <c r="D39" s="15" t="s">
        <v>86</v>
      </c>
      <c r="E39" s="16" t="s">
        <v>87</v>
      </c>
      <c r="F39" s="14" t="s">
        <v>88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80</v>
      </c>
      <c r="C40" s="14" t="str">
        <f>$C$5</f>
        <v>irn</v>
      </c>
      <c r="D40" s="15" t="s">
        <v>89</v>
      </c>
      <c r="E40" s="16" t="s">
        <v>90</v>
      </c>
      <c r="F40" s="14" t="s">
        <v>91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80</v>
      </c>
      <c r="C41" s="14" t="str">
        <f>$C$5</f>
        <v>irn</v>
      </c>
      <c r="D41" s="15" t="s">
        <v>92</v>
      </c>
      <c r="E41" s="16" t="s">
        <v>90</v>
      </c>
      <c r="F41" s="14" t="s">
        <v>93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94</v>
      </c>
    </row>
    <row r="43" spans="2:31" x14ac:dyDescent="0.45">
      <c r="B43" s="7" t="s">
        <v>35</v>
      </c>
      <c r="C43" s="7" t="s">
        <v>36</v>
      </c>
      <c r="D43" s="21" t="s">
        <v>37</v>
      </c>
      <c r="E43" s="7" t="s">
        <v>95</v>
      </c>
      <c r="F43" s="7" t="s">
        <v>96</v>
      </c>
      <c r="G43" s="7" t="s">
        <v>97</v>
      </c>
      <c r="H43" s="7" t="s">
        <v>98</v>
      </c>
      <c r="I43" s="7" t="s">
        <v>99</v>
      </c>
      <c r="J43" s="7" t="s">
        <v>100</v>
      </c>
    </row>
    <row r="44" spans="2:31" x14ac:dyDescent="0.45">
      <c r="B44" s="14" t="s">
        <v>52</v>
      </c>
      <c r="C44" s="14" t="str">
        <f t="shared" ref="C44:C52" si="3">$C$5</f>
        <v>irn</v>
      </c>
      <c r="D44" s="22" t="s">
        <v>101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56</v>
      </c>
      <c r="C45" s="14" t="str">
        <f t="shared" si="3"/>
        <v>irn</v>
      </c>
      <c r="D45" s="22" t="s">
        <v>102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58</v>
      </c>
      <c r="C46" s="14" t="str">
        <f t="shared" si="3"/>
        <v>irn</v>
      </c>
      <c r="D46" s="22" t="s">
        <v>103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61</v>
      </c>
      <c r="C47" s="14" t="str">
        <f t="shared" si="3"/>
        <v>irn</v>
      </c>
      <c r="D47" s="22" t="s">
        <v>104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63</v>
      </c>
      <c r="C48" s="14" t="str">
        <f t="shared" si="3"/>
        <v>irn</v>
      </c>
      <c r="D48" s="22" t="s">
        <v>105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65</v>
      </c>
      <c r="C49" s="14" t="str">
        <f t="shared" si="3"/>
        <v>irn</v>
      </c>
      <c r="D49" s="22" t="s">
        <v>106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67</v>
      </c>
      <c r="C50" s="14" t="str">
        <f t="shared" si="3"/>
        <v>irn</v>
      </c>
      <c r="D50" s="22" t="s">
        <v>107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70</v>
      </c>
      <c r="C51" s="14" t="str">
        <f t="shared" si="3"/>
        <v>irn</v>
      </c>
      <c r="D51" s="22" t="s">
        <v>108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72</v>
      </c>
      <c r="C52" s="14" t="str">
        <f t="shared" si="3"/>
        <v>irn</v>
      </c>
      <c r="D52" s="22" t="s">
        <v>109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110</v>
      </c>
    </row>
    <row r="54" spans="2:31" x14ac:dyDescent="0.45">
      <c r="B54" s="14" t="s">
        <v>52</v>
      </c>
      <c r="C54" s="14" t="str">
        <f t="shared" ref="C54:C63" si="4">$C$5</f>
        <v>irn</v>
      </c>
      <c r="D54" s="15" t="s">
        <v>53</v>
      </c>
      <c r="E54" s="16" t="s">
        <v>111</v>
      </c>
      <c r="F54" s="14" t="s">
        <v>112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56</v>
      </c>
      <c r="C55" s="14" t="str">
        <f t="shared" si="4"/>
        <v>irn</v>
      </c>
      <c r="D55" s="15" t="s">
        <v>57</v>
      </c>
      <c r="E55" s="16" t="s">
        <v>111</v>
      </c>
      <c r="F55" s="14" t="s">
        <v>112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58</v>
      </c>
      <c r="C56" s="14" t="str">
        <f t="shared" si="4"/>
        <v>irn</v>
      </c>
      <c r="D56" s="15" t="s">
        <v>59</v>
      </c>
      <c r="E56" s="16" t="s">
        <v>111</v>
      </c>
      <c r="F56" s="14" t="s">
        <v>112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61</v>
      </c>
      <c r="C57" s="14" t="str">
        <f t="shared" si="4"/>
        <v>irn</v>
      </c>
      <c r="D57" s="15" t="s">
        <v>62</v>
      </c>
      <c r="E57" s="16" t="s">
        <v>111</v>
      </c>
      <c r="F57" s="14" t="s">
        <v>112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63</v>
      </c>
      <c r="C58" s="14" t="str">
        <f t="shared" si="4"/>
        <v>irn</v>
      </c>
      <c r="D58" s="15" t="s">
        <v>64</v>
      </c>
      <c r="E58" s="16" t="s">
        <v>111</v>
      </c>
      <c r="F58" s="14" t="s">
        <v>112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65</v>
      </c>
      <c r="C59" s="14" t="str">
        <f t="shared" si="4"/>
        <v>irn</v>
      </c>
      <c r="D59" s="15" t="s">
        <v>66</v>
      </c>
      <c r="E59" s="16" t="s">
        <v>111</v>
      </c>
      <c r="F59" s="14" t="s">
        <v>112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67</v>
      </c>
      <c r="C60" s="14" t="str">
        <f t="shared" si="4"/>
        <v>irn</v>
      </c>
      <c r="D60" s="15" t="s">
        <v>68</v>
      </c>
      <c r="E60" s="16" t="s">
        <v>111</v>
      </c>
      <c r="F60" s="14" t="s">
        <v>112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70</v>
      </c>
      <c r="C61" s="14" t="str">
        <f t="shared" si="4"/>
        <v>irn</v>
      </c>
      <c r="D61" s="15" t="s">
        <v>71</v>
      </c>
      <c r="E61" s="16" t="s">
        <v>111</v>
      </c>
      <c r="F61" s="14" t="s">
        <v>112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72</v>
      </c>
      <c r="C62" s="14" t="str">
        <f t="shared" si="4"/>
        <v>irn</v>
      </c>
      <c r="D62" s="15" t="s">
        <v>73</v>
      </c>
      <c r="E62" s="16" t="s">
        <v>111</v>
      </c>
      <c r="F62" s="14" t="s">
        <v>112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113</v>
      </c>
      <c r="C63" s="14" t="str">
        <f t="shared" si="4"/>
        <v>irn</v>
      </c>
      <c r="D63" s="25" t="s">
        <v>114</v>
      </c>
      <c r="E63" s="16" t="s">
        <v>111</v>
      </c>
      <c r="F63" s="14" t="s">
        <v>112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115</v>
      </c>
      <c r="C65" s="7" t="s">
        <v>116</v>
      </c>
      <c r="D65" s="6" t="s">
        <v>47</v>
      </c>
      <c r="E65" s="7" t="s">
        <v>38</v>
      </c>
      <c r="F65" s="7" t="s">
        <v>48</v>
      </c>
      <c r="G65" s="7" t="s">
        <v>49</v>
      </c>
      <c r="H65" s="12" t="s">
        <v>41</v>
      </c>
      <c r="I65" s="6" t="s">
        <v>50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51</v>
      </c>
    </row>
    <row r="67" spans="1:35" x14ac:dyDescent="0.45">
      <c r="B67" s="14" t="s">
        <v>52</v>
      </c>
      <c r="C67" s="14" t="str">
        <f t="shared" ref="C67:C75" si="15">$C$65</f>
        <v>cem</v>
      </c>
      <c r="D67" s="15" t="s">
        <v>53</v>
      </c>
      <c r="E67" s="16" t="s">
        <v>54</v>
      </c>
      <c r="F67" s="14" t="s">
        <v>55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56</v>
      </c>
      <c r="C68" s="14" t="str">
        <f t="shared" si="15"/>
        <v>cem</v>
      </c>
      <c r="D68" s="15" t="s">
        <v>57</v>
      </c>
      <c r="E68" s="16" t="s">
        <v>54</v>
      </c>
      <c r="F68" s="14" t="s">
        <v>55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58</v>
      </c>
      <c r="C69" s="14" t="str">
        <f t="shared" si="15"/>
        <v>cem</v>
      </c>
      <c r="D69" s="15" t="s">
        <v>59</v>
      </c>
      <c r="E69" s="16" t="s">
        <v>60</v>
      </c>
      <c r="F69" s="14" t="s">
        <v>55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61</v>
      </c>
      <c r="C70" s="14" t="str">
        <f t="shared" si="15"/>
        <v>cem</v>
      </c>
      <c r="D70" s="15" t="s">
        <v>62</v>
      </c>
      <c r="E70" s="16" t="s">
        <v>60</v>
      </c>
      <c r="F70" s="14" t="s">
        <v>55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63</v>
      </c>
      <c r="C71" s="14" t="str">
        <f t="shared" si="15"/>
        <v>cem</v>
      </c>
      <c r="D71" s="15" t="s">
        <v>64</v>
      </c>
      <c r="E71" s="16" t="s">
        <v>60</v>
      </c>
      <c r="F71" s="14" t="s">
        <v>55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65</v>
      </c>
      <c r="C72" s="14" t="str">
        <f t="shared" si="15"/>
        <v>cem</v>
      </c>
      <c r="D72" s="15" t="s">
        <v>66</v>
      </c>
      <c r="E72" s="16" t="s">
        <v>60</v>
      </c>
      <c r="F72" s="14" t="s">
        <v>55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67</v>
      </c>
      <c r="C73" s="14" t="str">
        <f t="shared" si="15"/>
        <v>cem</v>
      </c>
      <c r="D73" s="15" t="s">
        <v>68</v>
      </c>
      <c r="E73" s="16" t="s">
        <v>69</v>
      </c>
      <c r="F73" s="14" t="s">
        <v>55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70</v>
      </c>
      <c r="C74" s="14" t="str">
        <f t="shared" si="15"/>
        <v>cem</v>
      </c>
      <c r="D74" s="15" t="s">
        <v>71</v>
      </c>
      <c r="E74" s="16" t="s">
        <v>54</v>
      </c>
      <c r="F74" s="14" t="s">
        <v>55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72</v>
      </c>
      <c r="C75" s="14" t="str">
        <f t="shared" si="15"/>
        <v>cem</v>
      </c>
      <c r="D75" s="15" t="s">
        <v>73</v>
      </c>
      <c r="E75" s="16" t="s">
        <v>74</v>
      </c>
      <c r="F75" s="14" t="s">
        <v>55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75</v>
      </c>
    </row>
    <row r="77" spans="1:35" x14ac:dyDescent="0.45">
      <c r="B77" s="14" t="s">
        <v>52</v>
      </c>
      <c r="C77" s="14" t="str">
        <f t="shared" ref="C77:C85" si="16">$C$65</f>
        <v>cem</v>
      </c>
      <c r="D77" s="15" t="s">
        <v>53</v>
      </c>
      <c r="E77" s="16" t="s">
        <v>54</v>
      </c>
      <c r="F77" s="14" t="s">
        <v>76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56</v>
      </c>
      <c r="C78" s="14" t="str">
        <f t="shared" si="16"/>
        <v>cem</v>
      </c>
      <c r="D78" s="15" t="s">
        <v>57</v>
      </c>
      <c r="E78" s="16" t="s">
        <v>54</v>
      </c>
      <c r="F78" s="14" t="s">
        <v>76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58</v>
      </c>
      <c r="C79" s="14" t="str">
        <f t="shared" si="16"/>
        <v>cem</v>
      </c>
      <c r="D79" s="15" t="s">
        <v>59</v>
      </c>
      <c r="E79" s="16" t="s">
        <v>60</v>
      </c>
      <c r="F79" s="14" t="s">
        <v>76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61</v>
      </c>
      <c r="C80" s="14" t="str">
        <f t="shared" si="16"/>
        <v>cem</v>
      </c>
      <c r="D80" s="15" t="s">
        <v>62</v>
      </c>
      <c r="E80" s="16" t="s">
        <v>60</v>
      </c>
      <c r="F80" s="14" t="s">
        <v>76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63</v>
      </c>
      <c r="C81" s="14" t="str">
        <f t="shared" si="16"/>
        <v>cem</v>
      </c>
      <c r="D81" s="15" t="s">
        <v>64</v>
      </c>
      <c r="E81" s="16" t="s">
        <v>60</v>
      </c>
      <c r="F81" s="14" t="s">
        <v>76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65</v>
      </c>
      <c r="C82" s="14" t="str">
        <f t="shared" si="16"/>
        <v>cem</v>
      </c>
      <c r="D82" s="15" t="s">
        <v>66</v>
      </c>
      <c r="E82" s="16" t="s">
        <v>60</v>
      </c>
      <c r="F82" s="14" t="s">
        <v>76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67</v>
      </c>
      <c r="C83" s="14" t="str">
        <f t="shared" si="16"/>
        <v>cem</v>
      </c>
      <c r="D83" s="15" t="s">
        <v>68</v>
      </c>
      <c r="E83" s="16" t="s">
        <v>69</v>
      </c>
      <c r="F83" s="14" t="s">
        <v>76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70</v>
      </c>
      <c r="C84" s="14" t="str">
        <f t="shared" si="16"/>
        <v>cem</v>
      </c>
      <c r="D84" s="15" t="s">
        <v>71</v>
      </c>
      <c r="E84" s="16" t="s">
        <v>54</v>
      </c>
      <c r="F84" s="14" t="s">
        <v>76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72</v>
      </c>
      <c r="C85" s="14" t="str">
        <f t="shared" si="16"/>
        <v>cem</v>
      </c>
      <c r="D85" s="15" t="s">
        <v>73</v>
      </c>
      <c r="E85" s="16" t="s">
        <v>74</v>
      </c>
      <c r="F85" s="14" t="s">
        <v>76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77</v>
      </c>
    </row>
    <row r="87" spans="2:31" x14ac:dyDescent="0.45">
      <c r="B87" s="14" t="s">
        <v>52</v>
      </c>
      <c r="C87" s="14" t="str">
        <f t="shared" ref="C87:C95" si="17">$C$65</f>
        <v>cem</v>
      </c>
      <c r="D87" s="15" t="s">
        <v>53</v>
      </c>
      <c r="E87" s="16" t="s">
        <v>54</v>
      </c>
      <c r="F87" s="14" t="s">
        <v>78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56</v>
      </c>
      <c r="C88" s="14" t="str">
        <f t="shared" si="17"/>
        <v>cem</v>
      </c>
      <c r="D88" s="15" t="s">
        <v>57</v>
      </c>
      <c r="E88" s="16" t="s">
        <v>54</v>
      </c>
      <c r="F88" s="14" t="s">
        <v>78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58</v>
      </c>
      <c r="C89" s="14" t="str">
        <f t="shared" si="17"/>
        <v>cem</v>
      </c>
      <c r="D89" s="15" t="s">
        <v>59</v>
      </c>
      <c r="E89" s="16" t="s">
        <v>60</v>
      </c>
      <c r="F89" s="14" t="s">
        <v>78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61</v>
      </c>
      <c r="C90" s="14" t="str">
        <f t="shared" si="17"/>
        <v>cem</v>
      </c>
      <c r="D90" s="15" t="s">
        <v>62</v>
      </c>
      <c r="E90" s="16" t="s">
        <v>60</v>
      </c>
      <c r="F90" s="14" t="s">
        <v>78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63</v>
      </c>
      <c r="C91" s="14" t="str">
        <f t="shared" si="17"/>
        <v>cem</v>
      </c>
      <c r="D91" s="15" t="s">
        <v>64</v>
      </c>
      <c r="E91" s="16" t="s">
        <v>60</v>
      </c>
      <c r="F91" s="14" t="s">
        <v>78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65</v>
      </c>
      <c r="C92" s="14" t="str">
        <f t="shared" si="17"/>
        <v>cem</v>
      </c>
      <c r="D92" s="15" t="s">
        <v>66</v>
      </c>
      <c r="E92" s="16" t="s">
        <v>60</v>
      </c>
      <c r="F92" s="14" t="s">
        <v>78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67</v>
      </c>
      <c r="C93" s="14" t="str">
        <f t="shared" si="17"/>
        <v>cem</v>
      </c>
      <c r="D93" s="15" t="s">
        <v>68</v>
      </c>
      <c r="E93" s="16" t="s">
        <v>69</v>
      </c>
      <c r="F93" s="14" t="s">
        <v>78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70</v>
      </c>
      <c r="C94" s="14" t="str">
        <f t="shared" si="17"/>
        <v>cem</v>
      </c>
      <c r="D94" s="15" t="s">
        <v>71</v>
      </c>
      <c r="E94" s="16" t="s">
        <v>54</v>
      </c>
      <c r="F94" s="14" t="s">
        <v>78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72</v>
      </c>
      <c r="C95" s="14" t="str">
        <f t="shared" si="17"/>
        <v>cem</v>
      </c>
      <c r="D95" s="15" t="s">
        <v>73</v>
      </c>
      <c r="E95" s="16" t="s">
        <v>74</v>
      </c>
      <c r="F95" s="14" t="s">
        <v>78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79</v>
      </c>
    </row>
    <row r="97" spans="2:31" x14ac:dyDescent="0.45">
      <c r="B97" s="14" t="s">
        <v>80</v>
      </c>
      <c r="C97" s="14" t="str">
        <f>$C$65</f>
        <v>cem</v>
      </c>
      <c r="D97" s="15" t="s">
        <v>81</v>
      </c>
      <c r="E97" s="16" t="s">
        <v>82</v>
      </c>
      <c r="F97" s="14" t="s">
        <v>83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80</v>
      </c>
      <c r="C98" s="14" t="str">
        <f>$C$65</f>
        <v>cem</v>
      </c>
      <c r="D98" s="15" t="s">
        <v>84</v>
      </c>
      <c r="E98" s="16" t="s">
        <v>82</v>
      </c>
      <c r="F98" s="14" t="s">
        <v>85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80</v>
      </c>
      <c r="C99" s="14" t="str">
        <f>$C$65</f>
        <v>cem</v>
      </c>
      <c r="D99" s="15" t="s">
        <v>86</v>
      </c>
      <c r="E99" s="16" t="s">
        <v>87</v>
      </c>
      <c r="F99" s="14" t="s">
        <v>88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80</v>
      </c>
      <c r="C100" s="14" t="str">
        <f>$C$65</f>
        <v>cem</v>
      </c>
      <c r="D100" s="15" t="s">
        <v>89</v>
      </c>
      <c r="E100" s="16" t="s">
        <v>90</v>
      </c>
      <c r="F100" s="14" t="s">
        <v>91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80</v>
      </c>
      <c r="C101" s="14" t="str">
        <f>$C$65</f>
        <v>cem</v>
      </c>
      <c r="D101" s="15" t="s">
        <v>92</v>
      </c>
      <c r="E101" s="16" t="s">
        <v>90</v>
      </c>
      <c r="F101" s="14" t="s">
        <v>93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94</v>
      </c>
    </row>
    <row r="103" spans="2:31" x14ac:dyDescent="0.45">
      <c r="B103" s="7" t="s">
        <v>35</v>
      </c>
      <c r="C103" s="7" t="s">
        <v>36</v>
      </c>
      <c r="D103" s="21" t="s">
        <v>37</v>
      </c>
      <c r="E103" s="7" t="s">
        <v>95</v>
      </c>
      <c r="F103" s="7" t="s">
        <v>96</v>
      </c>
      <c r="G103" s="7" t="s">
        <v>97</v>
      </c>
      <c r="H103" s="7" t="s">
        <v>98</v>
      </c>
      <c r="I103" s="7" t="s">
        <v>99</v>
      </c>
      <c r="J103" s="7" t="s">
        <v>100</v>
      </c>
    </row>
    <row r="104" spans="2:31" x14ac:dyDescent="0.45">
      <c r="B104" s="14" t="s">
        <v>52</v>
      </c>
      <c r="C104" s="14" t="str">
        <f t="shared" ref="C104:C112" si="18">$C$65</f>
        <v>cem</v>
      </c>
      <c r="D104" s="22" t="s">
        <v>101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56</v>
      </c>
      <c r="C105" s="14" t="str">
        <f t="shared" si="18"/>
        <v>cem</v>
      </c>
      <c r="D105" s="22" t="s">
        <v>102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58</v>
      </c>
      <c r="C106" s="14" t="str">
        <f t="shared" si="18"/>
        <v>cem</v>
      </c>
      <c r="D106" s="22" t="s">
        <v>103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61</v>
      </c>
      <c r="C107" s="14" t="str">
        <f t="shared" si="18"/>
        <v>cem</v>
      </c>
      <c r="D107" s="22" t="s">
        <v>104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63</v>
      </c>
      <c r="C108" s="14" t="str">
        <f t="shared" si="18"/>
        <v>cem</v>
      </c>
      <c r="D108" s="22" t="s">
        <v>105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65</v>
      </c>
      <c r="C109" s="14" t="str">
        <f t="shared" si="18"/>
        <v>cem</v>
      </c>
      <c r="D109" s="22" t="s">
        <v>106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67</v>
      </c>
      <c r="C110" s="14" t="str">
        <f t="shared" si="18"/>
        <v>cem</v>
      </c>
      <c r="D110" s="22" t="s">
        <v>107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70</v>
      </c>
      <c r="C111" s="14" t="str">
        <f t="shared" si="18"/>
        <v>cem</v>
      </c>
      <c r="D111" s="22" t="s">
        <v>108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72</v>
      </c>
      <c r="C112" s="14" t="str">
        <f t="shared" si="18"/>
        <v>cem</v>
      </c>
      <c r="D112" s="22" t="s">
        <v>109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110</v>
      </c>
    </row>
    <row r="114" spans="1:35" x14ac:dyDescent="0.45">
      <c r="B114" s="14" t="s">
        <v>52</v>
      </c>
      <c r="C114" s="14" t="str">
        <f t="shared" ref="C114:C123" si="19">$C$65</f>
        <v>cem</v>
      </c>
      <c r="D114" s="15" t="s">
        <v>53</v>
      </c>
      <c r="E114" s="16" t="s">
        <v>111</v>
      </c>
      <c r="F114" s="14" t="s">
        <v>112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56</v>
      </c>
      <c r="C115" s="14" t="str">
        <f t="shared" si="19"/>
        <v>cem</v>
      </c>
      <c r="D115" s="15" t="s">
        <v>57</v>
      </c>
      <c r="E115" s="16" t="s">
        <v>111</v>
      </c>
      <c r="F115" s="14" t="s">
        <v>112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58</v>
      </c>
      <c r="C116" s="14" t="str">
        <f t="shared" si="19"/>
        <v>cem</v>
      </c>
      <c r="D116" s="15" t="s">
        <v>59</v>
      </c>
      <c r="E116" s="16" t="s">
        <v>111</v>
      </c>
      <c r="F116" s="14" t="s">
        <v>112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61</v>
      </c>
      <c r="C117" s="14" t="str">
        <f t="shared" si="19"/>
        <v>cem</v>
      </c>
      <c r="D117" s="15" t="s">
        <v>62</v>
      </c>
      <c r="E117" s="16" t="s">
        <v>111</v>
      </c>
      <c r="F117" s="14" t="s">
        <v>112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63</v>
      </c>
      <c r="C118" s="14" t="str">
        <f t="shared" si="19"/>
        <v>cem</v>
      </c>
      <c r="D118" s="15" t="s">
        <v>64</v>
      </c>
      <c r="E118" s="16" t="s">
        <v>111</v>
      </c>
      <c r="F118" s="14" t="s">
        <v>112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65</v>
      </c>
      <c r="C119" s="14" t="str">
        <f t="shared" si="19"/>
        <v>cem</v>
      </c>
      <c r="D119" s="15" t="s">
        <v>66</v>
      </c>
      <c r="E119" s="16" t="s">
        <v>111</v>
      </c>
      <c r="F119" s="14" t="s">
        <v>112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67</v>
      </c>
      <c r="C120" s="14" t="str">
        <f t="shared" si="19"/>
        <v>cem</v>
      </c>
      <c r="D120" s="15" t="s">
        <v>68</v>
      </c>
      <c r="E120" s="16" t="s">
        <v>111</v>
      </c>
      <c r="F120" s="14" t="s">
        <v>112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70</v>
      </c>
      <c r="C121" s="14" t="str">
        <f t="shared" si="19"/>
        <v>cem</v>
      </c>
      <c r="D121" s="15" t="s">
        <v>71</v>
      </c>
      <c r="E121" s="16" t="s">
        <v>111</v>
      </c>
      <c r="F121" s="14" t="s">
        <v>112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72</v>
      </c>
      <c r="C122" s="14" t="str">
        <f t="shared" si="19"/>
        <v>cem</v>
      </c>
      <c r="D122" s="15" t="s">
        <v>73</v>
      </c>
      <c r="E122" s="16" t="s">
        <v>111</v>
      </c>
      <c r="F122" s="14" t="s">
        <v>112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113</v>
      </c>
      <c r="C123" s="14" t="str">
        <f t="shared" si="19"/>
        <v>cem</v>
      </c>
      <c r="D123" s="25" t="s">
        <v>114</v>
      </c>
      <c r="E123" s="16" t="s">
        <v>111</v>
      </c>
      <c r="F123" s="14" t="s">
        <v>112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117</v>
      </c>
      <c r="C125" s="7" t="s">
        <v>118</v>
      </c>
      <c r="D125" s="6" t="s">
        <v>47</v>
      </c>
      <c r="E125" s="7" t="s">
        <v>38</v>
      </c>
      <c r="F125" s="7" t="s">
        <v>48</v>
      </c>
      <c r="G125" s="7" t="s">
        <v>49</v>
      </c>
      <c r="H125" s="12" t="s">
        <v>41</v>
      </c>
      <c r="I125" s="6" t="s">
        <v>50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51</v>
      </c>
    </row>
    <row r="127" spans="1:35" x14ac:dyDescent="0.45">
      <c r="B127" s="14" t="s">
        <v>52</v>
      </c>
      <c r="C127" s="14" t="str">
        <f t="shared" ref="C127:C135" si="30">$C$125</f>
        <v>nfm</v>
      </c>
      <c r="D127" s="15" t="s">
        <v>53</v>
      </c>
      <c r="E127" s="16" t="s">
        <v>54</v>
      </c>
      <c r="F127" s="14" t="s">
        <v>55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56</v>
      </c>
      <c r="C128" s="14" t="str">
        <f t="shared" si="30"/>
        <v>nfm</v>
      </c>
      <c r="D128" s="15" t="s">
        <v>57</v>
      </c>
      <c r="E128" s="16" t="s">
        <v>54</v>
      </c>
      <c r="F128" s="14" t="s">
        <v>55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58</v>
      </c>
      <c r="C129" s="14" t="str">
        <f t="shared" si="30"/>
        <v>nfm</v>
      </c>
      <c r="D129" s="15" t="s">
        <v>59</v>
      </c>
      <c r="E129" s="16" t="s">
        <v>60</v>
      </c>
      <c r="F129" s="14" t="s">
        <v>55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61</v>
      </c>
      <c r="C130" s="14" t="str">
        <f t="shared" si="30"/>
        <v>nfm</v>
      </c>
      <c r="D130" s="15" t="s">
        <v>62</v>
      </c>
      <c r="E130" s="16" t="s">
        <v>60</v>
      </c>
      <c r="F130" s="14" t="s">
        <v>55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63</v>
      </c>
      <c r="C131" s="14" t="str">
        <f t="shared" si="30"/>
        <v>nfm</v>
      </c>
      <c r="D131" s="15" t="s">
        <v>64</v>
      </c>
      <c r="E131" s="16" t="s">
        <v>60</v>
      </c>
      <c r="F131" s="14" t="s">
        <v>55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65</v>
      </c>
      <c r="C132" s="14" t="str">
        <f t="shared" si="30"/>
        <v>nfm</v>
      </c>
      <c r="D132" s="15" t="s">
        <v>66</v>
      </c>
      <c r="E132" s="16" t="s">
        <v>60</v>
      </c>
      <c r="F132" s="14" t="s">
        <v>55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67</v>
      </c>
      <c r="C133" s="14" t="str">
        <f t="shared" si="30"/>
        <v>nfm</v>
      </c>
      <c r="D133" s="15" t="s">
        <v>68</v>
      </c>
      <c r="E133" s="16" t="s">
        <v>69</v>
      </c>
      <c r="F133" s="14" t="s">
        <v>55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70</v>
      </c>
      <c r="C134" s="14" t="str">
        <f t="shared" si="30"/>
        <v>nfm</v>
      </c>
      <c r="D134" s="15" t="s">
        <v>71</v>
      </c>
      <c r="E134" s="16" t="s">
        <v>54</v>
      </c>
      <c r="F134" s="14" t="s">
        <v>55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72</v>
      </c>
      <c r="C135" s="14" t="str">
        <f t="shared" si="30"/>
        <v>nfm</v>
      </c>
      <c r="D135" s="15" t="s">
        <v>73</v>
      </c>
      <c r="E135" s="16" t="s">
        <v>74</v>
      </c>
      <c r="F135" s="14" t="s">
        <v>55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75</v>
      </c>
    </row>
    <row r="137" spans="2:31" x14ac:dyDescent="0.45">
      <c r="B137" s="14" t="s">
        <v>52</v>
      </c>
      <c r="C137" s="14" t="str">
        <f t="shared" ref="C137:C145" si="31">$C$125</f>
        <v>nfm</v>
      </c>
      <c r="D137" s="15" t="s">
        <v>53</v>
      </c>
      <c r="E137" s="16" t="s">
        <v>54</v>
      </c>
      <c r="F137" s="14" t="s">
        <v>76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56</v>
      </c>
      <c r="C138" s="14" t="str">
        <f t="shared" si="31"/>
        <v>nfm</v>
      </c>
      <c r="D138" s="15" t="s">
        <v>57</v>
      </c>
      <c r="E138" s="16" t="s">
        <v>54</v>
      </c>
      <c r="F138" s="14" t="s">
        <v>76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58</v>
      </c>
      <c r="C139" s="14" t="str">
        <f t="shared" si="31"/>
        <v>nfm</v>
      </c>
      <c r="D139" s="15" t="s">
        <v>59</v>
      </c>
      <c r="E139" s="16" t="s">
        <v>60</v>
      </c>
      <c r="F139" s="14" t="s">
        <v>76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61</v>
      </c>
      <c r="C140" s="14" t="str">
        <f t="shared" si="31"/>
        <v>nfm</v>
      </c>
      <c r="D140" s="15" t="s">
        <v>62</v>
      </c>
      <c r="E140" s="16" t="s">
        <v>60</v>
      </c>
      <c r="F140" s="14" t="s">
        <v>76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63</v>
      </c>
      <c r="C141" s="14" t="str">
        <f t="shared" si="31"/>
        <v>nfm</v>
      </c>
      <c r="D141" s="15" t="s">
        <v>64</v>
      </c>
      <c r="E141" s="16" t="s">
        <v>60</v>
      </c>
      <c r="F141" s="14" t="s">
        <v>76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65</v>
      </c>
      <c r="C142" s="14" t="str">
        <f t="shared" si="31"/>
        <v>nfm</v>
      </c>
      <c r="D142" s="15" t="s">
        <v>66</v>
      </c>
      <c r="E142" s="16" t="s">
        <v>60</v>
      </c>
      <c r="F142" s="14" t="s">
        <v>76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67</v>
      </c>
      <c r="C143" s="14" t="str">
        <f t="shared" si="31"/>
        <v>nfm</v>
      </c>
      <c r="D143" s="15" t="s">
        <v>68</v>
      </c>
      <c r="E143" s="16" t="s">
        <v>69</v>
      </c>
      <c r="F143" s="14" t="s">
        <v>76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70</v>
      </c>
      <c r="C144" s="14" t="str">
        <f t="shared" si="31"/>
        <v>nfm</v>
      </c>
      <c r="D144" s="15" t="s">
        <v>71</v>
      </c>
      <c r="E144" s="16" t="s">
        <v>54</v>
      </c>
      <c r="F144" s="14" t="s">
        <v>76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72</v>
      </c>
      <c r="C145" s="14" t="str">
        <f t="shared" si="31"/>
        <v>nfm</v>
      </c>
      <c r="D145" s="15" t="s">
        <v>73</v>
      </c>
      <c r="E145" s="16" t="s">
        <v>74</v>
      </c>
      <c r="F145" s="14" t="s">
        <v>76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77</v>
      </c>
    </row>
    <row r="147" spans="2:31" x14ac:dyDescent="0.45">
      <c r="B147" s="14" t="s">
        <v>52</v>
      </c>
      <c r="C147" s="14" t="str">
        <f t="shared" ref="C147:C155" si="32">$C$125</f>
        <v>nfm</v>
      </c>
      <c r="D147" s="15" t="s">
        <v>53</v>
      </c>
      <c r="E147" s="16" t="s">
        <v>54</v>
      </c>
      <c r="F147" s="14" t="s">
        <v>78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56</v>
      </c>
      <c r="C148" s="14" t="str">
        <f t="shared" si="32"/>
        <v>nfm</v>
      </c>
      <c r="D148" s="15" t="s">
        <v>57</v>
      </c>
      <c r="E148" s="16" t="s">
        <v>54</v>
      </c>
      <c r="F148" s="14" t="s">
        <v>78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58</v>
      </c>
      <c r="C149" s="14" t="str">
        <f t="shared" si="32"/>
        <v>nfm</v>
      </c>
      <c r="D149" s="15" t="s">
        <v>59</v>
      </c>
      <c r="E149" s="16" t="s">
        <v>60</v>
      </c>
      <c r="F149" s="14" t="s">
        <v>78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61</v>
      </c>
      <c r="C150" s="14" t="str">
        <f t="shared" si="32"/>
        <v>nfm</v>
      </c>
      <c r="D150" s="15" t="s">
        <v>62</v>
      </c>
      <c r="E150" s="16" t="s">
        <v>60</v>
      </c>
      <c r="F150" s="14" t="s">
        <v>78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63</v>
      </c>
      <c r="C151" s="14" t="str">
        <f t="shared" si="32"/>
        <v>nfm</v>
      </c>
      <c r="D151" s="15" t="s">
        <v>64</v>
      </c>
      <c r="E151" s="16" t="s">
        <v>60</v>
      </c>
      <c r="F151" s="14" t="s">
        <v>78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65</v>
      </c>
      <c r="C152" s="14" t="str">
        <f t="shared" si="32"/>
        <v>nfm</v>
      </c>
      <c r="D152" s="15" t="s">
        <v>66</v>
      </c>
      <c r="E152" s="16" t="s">
        <v>60</v>
      </c>
      <c r="F152" s="14" t="s">
        <v>78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67</v>
      </c>
      <c r="C153" s="14" t="str">
        <f t="shared" si="32"/>
        <v>nfm</v>
      </c>
      <c r="D153" s="15" t="s">
        <v>68</v>
      </c>
      <c r="E153" s="16" t="s">
        <v>69</v>
      </c>
      <c r="F153" s="14" t="s">
        <v>78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70</v>
      </c>
      <c r="C154" s="14" t="str">
        <f t="shared" si="32"/>
        <v>nfm</v>
      </c>
      <c r="D154" s="15" t="s">
        <v>71</v>
      </c>
      <c r="E154" s="16" t="s">
        <v>54</v>
      </c>
      <c r="F154" s="14" t="s">
        <v>78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72</v>
      </c>
      <c r="C155" s="14" t="str">
        <f t="shared" si="32"/>
        <v>nfm</v>
      </c>
      <c r="D155" s="15" t="s">
        <v>73</v>
      </c>
      <c r="E155" s="16" t="s">
        <v>74</v>
      </c>
      <c r="F155" s="14" t="s">
        <v>78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79</v>
      </c>
    </row>
    <row r="157" spans="2:31" x14ac:dyDescent="0.45">
      <c r="B157" s="14" t="s">
        <v>80</v>
      </c>
      <c r="C157" s="14" t="str">
        <f>$C$125</f>
        <v>nfm</v>
      </c>
      <c r="D157" s="15" t="s">
        <v>81</v>
      </c>
      <c r="E157" s="16" t="s">
        <v>82</v>
      </c>
      <c r="F157" s="14" t="s">
        <v>83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80</v>
      </c>
      <c r="C158" s="14" t="str">
        <f>$C$125</f>
        <v>nfm</v>
      </c>
      <c r="D158" s="15" t="s">
        <v>84</v>
      </c>
      <c r="E158" s="16" t="s">
        <v>82</v>
      </c>
      <c r="F158" s="14" t="s">
        <v>85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80</v>
      </c>
      <c r="C159" s="14" t="str">
        <f>$C$125</f>
        <v>nfm</v>
      </c>
      <c r="D159" s="15" t="s">
        <v>86</v>
      </c>
      <c r="E159" s="16" t="s">
        <v>87</v>
      </c>
      <c r="F159" s="14" t="s">
        <v>88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80</v>
      </c>
      <c r="C160" s="14" t="str">
        <f>$C$125</f>
        <v>nfm</v>
      </c>
      <c r="D160" s="15" t="s">
        <v>89</v>
      </c>
      <c r="E160" s="16" t="s">
        <v>90</v>
      </c>
      <c r="F160" s="14" t="s">
        <v>91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80</v>
      </c>
      <c r="C161" s="14" t="str">
        <f>$C$125</f>
        <v>nfm</v>
      </c>
      <c r="D161" s="15" t="s">
        <v>92</v>
      </c>
      <c r="E161" s="16" t="s">
        <v>90</v>
      </c>
      <c r="F161" s="14" t="s">
        <v>93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94</v>
      </c>
    </row>
    <row r="163" spans="2:31" x14ac:dyDescent="0.45">
      <c r="B163" s="7" t="s">
        <v>35</v>
      </c>
      <c r="C163" s="7" t="s">
        <v>36</v>
      </c>
      <c r="D163" s="21" t="s">
        <v>37</v>
      </c>
      <c r="E163" s="7" t="s">
        <v>95</v>
      </c>
      <c r="F163" s="7" t="s">
        <v>96</v>
      </c>
      <c r="G163" s="7" t="s">
        <v>97</v>
      </c>
      <c r="H163" s="7" t="s">
        <v>98</v>
      </c>
      <c r="I163" s="7" t="s">
        <v>99</v>
      </c>
      <c r="J163" s="7" t="s">
        <v>100</v>
      </c>
    </row>
    <row r="164" spans="2:31" x14ac:dyDescent="0.45">
      <c r="B164" s="14" t="s">
        <v>52</v>
      </c>
      <c r="C164" s="14" t="str">
        <f t="shared" ref="C164:C172" si="33">$C$125</f>
        <v>nfm</v>
      </c>
      <c r="D164" s="22" t="s">
        <v>101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56</v>
      </c>
      <c r="C165" s="14" t="str">
        <f t="shared" si="33"/>
        <v>nfm</v>
      </c>
      <c r="D165" s="22" t="s">
        <v>102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58</v>
      </c>
      <c r="C166" s="14" t="str">
        <f t="shared" si="33"/>
        <v>nfm</v>
      </c>
      <c r="D166" s="22" t="s">
        <v>103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61</v>
      </c>
      <c r="C167" s="14" t="str">
        <f t="shared" si="33"/>
        <v>nfm</v>
      </c>
      <c r="D167" s="22" t="s">
        <v>104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63</v>
      </c>
      <c r="C168" s="14" t="str">
        <f t="shared" si="33"/>
        <v>nfm</v>
      </c>
      <c r="D168" s="22" t="s">
        <v>105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65</v>
      </c>
      <c r="C169" s="14" t="str">
        <f t="shared" si="33"/>
        <v>nfm</v>
      </c>
      <c r="D169" s="22" t="s">
        <v>106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67</v>
      </c>
      <c r="C170" s="14" t="str">
        <f t="shared" si="33"/>
        <v>nfm</v>
      </c>
      <c r="D170" s="22" t="s">
        <v>107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70</v>
      </c>
      <c r="C171" s="14" t="str">
        <f t="shared" si="33"/>
        <v>nfm</v>
      </c>
      <c r="D171" s="22" t="s">
        <v>108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72</v>
      </c>
      <c r="C172" s="14" t="str">
        <f t="shared" si="33"/>
        <v>nfm</v>
      </c>
      <c r="D172" s="22" t="s">
        <v>109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110</v>
      </c>
    </row>
    <row r="174" spans="2:31" x14ac:dyDescent="0.45">
      <c r="B174" s="14" t="s">
        <v>52</v>
      </c>
      <c r="C174" s="14" t="str">
        <f t="shared" ref="C174:C183" si="34">$C$125</f>
        <v>nfm</v>
      </c>
      <c r="D174" s="15" t="s">
        <v>53</v>
      </c>
      <c r="E174" s="16" t="s">
        <v>111</v>
      </c>
      <c r="F174" s="14" t="s">
        <v>112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56</v>
      </c>
      <c r="C175" s="14" t="str">
        <f t="shared" si="34"/>
        <v>nfm</v>
      </c>
      <c r="D175" s="15" t="s">
        <v>57</v>
      </c>
      <c r="E175" s="16" t="s">
        <v>111</v>
      </c>
      <c r="F175" s="14" t="s">
        <v>112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58</v>
      </c>
      <c r="C176" s="14" t="str">
        <f t="shared" si="34"/>
        <v>nfm</v>
      </c>
      <c r="D176" s="15" t="s">
        <v>59</v>
      </c>
      <c r="E176" s="16" t="s">
        <v>111</v>
      </c>
      <c r="F176" s="14" t="s">
        <v>112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61</v>
      </c>
      <c r="C177" s="14" t="str">
        <f t="shared" si="34"/>
        <v>nfm</v>
      </c>
      <c r="D177" s="15" t="s">
        <v>62</v>
      </c>
      <c r="E177" s="16" t="s">
        <v>111</v>
      </c>
      <c r="F177" s="14" t="s">
        <v>112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63</v>
      </c>
      <c r="C178" s="14" t="str">
        <f t="shared" si="34"/>
        <v>nfm</v>
      </c>
      <c r="D178" s="15" t="s">
        <v>64</v>
      </c>
      <c r="E178" s="16" t="s">
        <v>111</v>
      </c>
      <c r="F178" s="14" t="s">
        <v>112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65</v>
      </c>
      <c r="C179" s="14" t="str">
        <f t="shared" si="34"/>
        <v>nfm</v>
      </c>
      <c r="D179" s="15" t="s">
        <v>66</v>
      </c>
      <c r="E179" s="16" t="s">
        <v>111</v>
      </c>
      <c r="F179" s="14" t="s">
        <v>112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67</v>
      </c>
      <c r="C180" s="14" t="str">
        <f t="shared" si="34"/>
        <v>nfm</v>
      </c>
      <c r="D180" s="15" t="s">
        <v>68</v>
      </c>
      <c r="E180" s="16" t="s">
        <v>111</v>
      </c>
      <c r="F180" s="14" t="s">
        <v>112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70</v>
      </c>
      <c r="C181" s="14" t="str">
        <f t="shared" si="34"/>
        <v>nfm</v>
      </c>
      <c r="D181" s="15" t="s">
        <v>71</v>
      </c>
      <c r="E181" s="16" t="s">
        <v>111</v>
      </c>
      <c r="F181" s="14" t="s">
        <v>112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72</v>
      </c>
      <c r="C182" s="14" t="str">
        <f t="shared" si="34"/>
        <v>nfm</v>
      </c>
      <c r="D182" s="15" t="s">
        <v>73</v>
      </c>
      <c r="E182" s="16" t="s">
        <v>111</v>
      </c>
      <c r="F182" s="14" t="s">
        <v>112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113</v>
      </c>
      <c r="C183" s="14" t="str">
        <f t="shared" si="34"/>
        <v>nfm</v>
      </c>
      <c r="D183" s="25" t="s">
        <v>114</v>
      </c>
      <c r="E183" s="16" t="s">
        <v>111</v>
      </c>
      <c r="F183" s="14" t="s">
        <v>112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119</v>
      </c>
      <c r="C185" s="7" t="s">
        <v>120</v>
      </c>
      <c r="D185" s="6" t="s">
        <v>47</v>
      </c>
      <c r="E185" s="7" t="s">
        <v>38</v>
      </c>
      <c r="F185" s="7" t="s">
        <v>48</v>
      </c>
      <c r="G185" s="7" t="s">
        <v>49</v>
      </c>
      <c r="H185" s="12" t="s">
        <v>41</v>
      </c>
      <c r="I185" s="6" t="s">
        <v>50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51</v>
      </c>
    </row>
    <row r="187" spans="1:35" x14ac:dyDescent="0.45">
      <c r="B187" s="14" t="s">
        <v>52</v>
      </c>
      <c r="C187" s="14" t="str">
        <f t="shared" ref="C187:C195" si="45">$C$185</f>
        <v>mch</v>
      </c>
      <c r="D187" s="15" t="s">
        <v>53</v>
      </c>
      <c r="E187" s="16" t="s">
        <v>54</v>
      </c>
      <c r="F187" s="14" t="s">
        <v>55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56</v>
      </c>
      <c r="C188" s="14" t="str">
        <f t="shared" si="45"/>
        <v>mch</v>
      </c>
      <c r="D188" s="15" t="s">
        <v>57</v>
      </c>
      <c r="E188" s="16" t="s">
        <v>54</v>
      </c>
      <c r="F188" s="14" t="s">
        <v>55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58</v>
      </c>
      <c r="C189" s="14" t="str">
        <f t="shared" si="45"/>
        <v>mch</v>
      </c>
      <c r="D189" s="15" t="s">
        <v>59</v>
      </c>
      <c r="E189" s="16" t="s">
        <v>60</v>
      </c>
      <c r="F189" s="14" t="s">
        <v>55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61</v>
      </c>
      <c r="C190" s="14" t="str">
        <f t="shared" si="45"/>
        <v>mch</v>
      </c>
      <c r="D190" s="15" t="s">
        <v>62</v>
      </c>
      <c r="E190" s="16" t="s">
        <v>60</v>
      </c>
      <c r="F190" s="14" t="s">
        <v>55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63</v>
      </c>
      <c r="C191" s="14" t="str">
        <f t="shared" si="45"/>
        <v>mch</v>
      </c>
      <c r="D191" s="15" t="s">
        <v>64</v>
      </c>
      <c r="E191" s="16" t="s">
        <v>60</v>
      </c>
      <c r="F191" s="14" t="s">
        <v>55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65</v>
      </c>
      <c r="C192" s="14" t="str">
        <f t="shared" si="45"/>
        <v>mch</v>
      </c>
      <c r="D192" s="15" t="s">
        <v>66</v>
      </c>
      <c r="E192" s="16" t="s">
        <v>60</v>
      </c>
      <c r="F192" s="14" t="s">
        <v>55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67</v>
      </c>
      <c r="C193" s="14" t="str">
        <f t="shared" si="45"/>
        <v>mch</v>
      </c>
      <c r="D193" s="15" t="s">
        <v>68</v>
      </c>
      <c r="E193" s="16" t="s">
        <v>69</v>
      </c>
      <c r="F193" s="14" t="s">
        <v>55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70</v>
      </c>
      <c r="C194" s="14" t="str">
        <f t="shared" si="45"/>
        <v>mch</v>
      </c>
      <c r="D194" s="15" t="s">
        <v>71</v>
      </c>
      <c r="E194" s="16" t="s">
        <v>54</v>
      </c>
      <c r="F194" s="14" t="s">
        <v>55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72</v>
      </c>
      <c r="C195" s="14" t="str">
        <f t="shared" si="45"/>
        <v>mch</v>
      </c>
      <c r="D195" s="15" t="s">
        <v>73</v>
      </c>
      <c r="E195" s="16" t="s">
        <v>74</v>
      </c>
      <c r="F195" s="14" t="s">
        <v>55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75</v>
      </c>
    </row>
    <row r="197" spans="2:31" x14ac:dyDescent="0.45">
      <c r="B197" s="14" t="s">
        <v>52</v>
      </c>
      <c r="C197" s="14" t="str">
        <f t="shared" ref="C197:C205" si="46">$C$185</f>
        <v>mch</v>
      </c>
      <c r="D197" s="15" t="s">
        <v>53</v>
      </c>
      <c r="E197" s="16" t="s">
        <v>54</v>
      </c>
      <c r="F197" s="14" t="s">
        <v>76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56</v>
      </c>
      <c r="C198" s="14" t="str">
        <f t="shared" si="46"/>
        <v>mch</v>
      </c>
      <c r="D198" s="15" t="s">
        <v>57</v>
      </c>
      <c r="E198" s="16" t="s">
        <v>54</v>
      </c>
      <c r="F198" s="14" t="s">
        <v>76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58</v>
      </c>
      <c r="C199" s="14" t="str">
        <f t="shared" si="46"/>
        <v>mch</v>
      </c>
      <c r="D199" s="15" t="s">
        <v>59</v>
      </c>
      <c r="E199" s="16" t="s">
        <v>60</v>
      </c>
      <c r="F199" s="14" t="s">
        <v>76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61</v>
      </c>
      <c r="C200" s="14" t="str">
        <f t="shared" si="46"/>
        <v>mch</v>
      </c>
      <c r="D200" s="15" t="s">
        <v>62</v>
      </c>
      <c r="E200" s="16" t="s">
        <v>60</v>
      </c>
      <c r="F200" s="14" t="s">
        <v>76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63</v>
      </c>
      <c r="C201" s="14" t="str">
        <f t="shared" si="46"/>
        <v>mch</v>
      </c>
      <c r="D201" s="15" t="s">
        <v>64</v>
      </c>
      <c r="E201" s="16" t="s">
        <v>60</v>
      </c>
      <c r="F201" s="14" t="s">
        <v>76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65</v>
      </c>
      <c r="C202" s="14" t="str">
        <f t="shared" si="46"/>
        <v>mch</v>
      </c>
      <c r="D202" s="15" t="s">
        <v>66</v>
      </c>
      <c r="E202" s="16" t="s">
        <v>60</v>
      </c>
      <c r="F202" s="14" t="s">
        <v>76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67</v>
      </c>
      <c r="C203" s="14" t="str">
        <f t="shared" si="46"/>
        <v>mch</v>
      </c>
      <c r="D203" s="15" t="s">
        <v>68</v>
      </c>
      <c r="E203" s="16" t="s">
        <v>69</v>
      </c>
      <c r="F203" s="14" t="s">
        <v>76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70</v>
      </c>
      <c r="C204" s="14" t="str">
        <f t="shared" si="46"/>
        <v>mch</v>
      </c>
      <c r="D204" s="15" t="s">
        <v>71</v>
      </c>
      <c r="E204" s="16" t="s">
        <v>54</v>
      </c>
      <c r="F204" s="14" t="s">
        <v>76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72</v>
      </c>
      <c r="C205" s="14" t="str">
        <f t="shared" si="46"/>
        <v>mch</v>
      </c>
      <c r="D205" s="15" t="s">
        <v>73</v>
      </c>
      <c r="E205" s="16" t="s">
        <v>74</v>
      </c>
      <c r="F205" s="14" t="s">
        <v>76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77</v>
      </c>
    </row>
    <row r="207" spans="2:31" x14ac:dyDescent="0.45">
      <c r="B207" s="14" t="s">
        <v>52</v>
      </c>
      <c r="C207" s="14" t="str">
        <f t="shared" ref="C207:C215" si="47">$C$185</f>
        <v>mch</v>
      </c>
      <c r="D207" s="15" t="s">
        <v>53</v>
      </c>
      <c r="E207" s="16" t="s">
        <v>54</v>
      </c>
      <c r="F207" s="14" t="s">
        <v>78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56</v>
      </c>
      <c r="C208" s="14" t="str">
        <f t="shared" si="47"/>
        <v>mch</v>
      </c>
      <c r="D208" s="15" t="s">
        <v>57</v>
      </c>
      <c r="E208" s="16" t="s">
        <v>54</v>
      </c>
      <c r="F208" s="14" t="s">
        <v>78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58</v>
      </c>
      <c r="C209" s="14" t="str">
        <f t="shared" si="47"/>
        <v>mch</v>
      </c>
      <c r="D209" s="15" t="s">
        <v>59</v>
      </c>
      <c r="E209" s="16" t="s">
        <v>60</v>
      </c>
      <c r="F209" s="14" t="s">
        <v>78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61</v>
      </c>
      <c r="C210" s="14" t="str">
        <f t="shared" si="47"/>
        <v>mch</v>
      </c>
      <c r="D210" s="15" t="s">
        <v>62</v>
      </c>
      <c r="E210" s="16" t="s">
        <v>60</v>
      </c>
      <c r="F210" s="14" t="s">
        <v>78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63</v>
      </c>
      <c r="C211" s="14" t="str">
        <f t="shared" si="47"/>
        <v>mch</v>
      </c>
      <c r="D211" s="15" t="s">
        <v>64</v>
      </c>
      <c r="E211" s="16" t="s">
        <v>60</v>
      </c>
      <c r="F211" s="14" t="s">
        <v>78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65</v>
      </c>
      <c r="C212" s="14" t="str">
        <f t="shared" si="47"/>
        <v>mch</v>
      </c>
      <c r="D212" s="15" t="s">
        <v>66</v>
      </c>
      <c r="E212" s="16" t="s">
        <v>60</v>
      </c>
      <c r="F212" s="14" t="s">
        <v>78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67</v>
      </c>
      <c r="C213" s="14" t="str">
        <f t="shared" si="47"/>
        <v>mch</v>
      </c>
      <c r="D213" s="15" t="s">
        <v>68</v>
      </c>
      <c r="E213" s="16" t="s">
        <v>69</v>
      </c>
      <c r="F213" s="14" t="s">
        <v>78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70</v>
      </c>
      <c r="C214" s="14" t="str">
        <f t="shared" si="47"/>
        <v>mch</v>
      </c>
      <c r="D214" s="15" t="s">
        <v>71</v>
      </c>
      <c r="E214" s="16" t="s">
        <v>54</v>
      </c>
      <c r="F214" s="14" t="s">
        <v>78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72</v>
      </c>
      <c r="C215" s="14" t="str">
        <f t="shared" si="47"/>
        <v>mch</v>
      </c>
      <c r="D215" s="15" t="s">
        <v>73</v>
      </c>
      <c r="E215" s="16" t="s">
        <v>74</v>
      </c>
      <c r="F215" s="14" t="s">
        <v>78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79</v>
      </c>
    </row>
    <row r="217" spans="2:31" x14ac:dyDescent="0.45">
      <c r="B217" s="14" t="s">
        <v>80</v>
      </c>
      <c r="C217" s="14" t="str">
        <f>$C$185</f>
        <v>mch</v>
      </c>
      <c r="D217" s="15" t="s">
        <v>81</v>
      </c>
      <c r="E217" s="16" t="s">
        <v>82</v>
      </c>
      <c r="F217" s="14" t="s">
        <v>83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80</v>
      </c>
      <c r="C218" s="14" t="str">
        <f>$C$185</f>
        <v>mch</v>
      </c>
      <c r="D218" s="15" t="s">
        <v>84</v>
      </c>
      <c r="E218" s="16" t="s">
        <v>82</v>
      </c>
      <c r="F218" s="14" t="s">
        <v>85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80</v>
      </c>
      <c r="C219" s="14" t="str">
        <f>$C$185</f>
        <v>mch</v>
      </c>
      <c r="D219" s="15" t="s">
        <v>86</v>
      </c>
      <c r="E219" s="16" t="s">
        <v>87</v>
      </c>
      <c r="F219" s="14" t="s">
        <v>88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80</v>
      </c>
      <c r="C220" s="14" t="str">
        <f>$C$185</f>
        <v>mch</v>
      </c>
      <c r="D220" s="15" t="s">
        <v>89</v>
      </c>
      <c r="E220" s="16" t="s">
        <v>90</v>
      </c>
      <c r="F220" s="14" t="s">
        <v>91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80</v>
      </c>
      <c r="C221" s="14" t="str">
        <f>$C$185</f>
        <v>mch</v>
      </c>
      <c r="D221" s="15" t="s">
        <v>92</v>
      </c>
      <c r="E221" s="16" t="s">
        <v>90</v>
      </c>
      <c r="F221" s="14" t="s">
        <v>93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94</v>
      </c>
    </row>
    <row r="223" spans="2:31" x14ac:dyDescent="0.45">
      <c r="B223" s="7" t="s">
        <v>35</v>
      </c>
      <c r="C223" s="7" t="s">
        <v>36</v>
      </c>
      <c r="D223" s="21" t="s">
        <v>37</v>
      </c>
      <c r="E223" s="7" t="s">
        <v>95</v>
      </c>
      <c r="F223" s="7" t="s">
        <v>96</v>
      </c>
      <c r="G223" s="7" t="s">
        <v>97</v>
      </c>
      <c r="H223" s="7" t="s">
        <v>98</v>
      </c>
      <c r="I223" s="7" t="s">
        <v>99</v>
      </c>
      <c r="J223" s="7" t="s">
        <v>100</v>
      </c>
    </row>
    <row r="224" spans="2:31" x14ac:dyDescent="0.45">
      <c r="B224" s="14" t="s">
        <v>52</v>
      </c>
      <c r="C224" s="14" t="str">
        <f t="shared" ref="C224:C232" si="48">$C$185</f>
        <v>mch</v>
      </c>
      <c r="D224" s="22" t="s">
        <v>101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56</v>
      </c>
      <c r="C225" s="14" t="str">
        <f t="shared" si="48"/>
        <v>mch</v>
      </c>
      <c r="D225" s="22" t="s">
        <v>102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58</v>
      </c>
      <c r="C226" s="14" t="str">
        <f t="shared" si="48"/>
        <v>mch</v>
      </c>
      <c r="D226" s="22" t="s">
        <v>103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61</v>
      </c>
      <c r="C227" s="14" t="str">
        <f t="shared" si="48"/>
        <v>mch</v>
      </c>
      <c r="D227" s="22" t="s">
        <v>104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63</v>
      </c>
      <c r="C228" s="14" t="str">
        <f t="shared" si="48"/>
        <v>mch</v>
      </c>
      <c r="D228" s="22" t="s">
        <v>105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65</v>
      </c>
      <c r="C229" s="14" t="str">
        <f t="shared" si="48"/>
        <v>mch</v>
      </c>
      <c r="D229" s="22" t="s">
        <v>106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67</v>
      </c>
      <c r="C230" s="14" t="str">
        <f t="shared" si="48"/>
        <v>mch</v>
      </c>
      <c r="D230" s="22" t="s">
        <v>107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70</v>
      </c>
      <c r="C231" s="14" t="str">
        <f t="shared" si="48"/>
        <v>mch</v>
      </c>
      <c r="D231" s="22" t="s">
        <v>108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72</v>
      </c>
      <c r="C232" s="14" t="str">
        <f t="shared" si="48"/>
        <v>mch</v>
      </c>
      <c r="D232" s="22" t="s">
        <v>109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110</v>
      </c>
    </row>
    <row r="234" spans="2:31" x14ac:dyDescent="0.45">
      <c r="B234" s="14" t="s">
        <v>52</v>
      </c>
      <c r="C234" s="14" t="str">
        <f t="shared" ref="C234:C243" si="49">$C$185</f>
        <v>mch</v>
      </c>
      <c r="D234" s="15" t="s">
        <v>53</v>
      </c>
      <c r="E234" s="16" t="s">
        <v>111</v>
      </c>
      <c r="F234" s="14" t="s">
        <v>112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56</v>
      </c>
      <c r="C235" s="14" t="str">
        <f t="shared" si="49"/>
        <v>mch</v>
      </c>
      <c r="D235" s="15" t="s">
        <v>57</v>
      </c>
      <c r="E235" s="16" t="s">
        <v>111</v>
      </c>
      <c r="F235" s="14" t="s">
        <v>112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58</v>
      </c>
      <c r="C236" s="14" t="str">
        <f t="shared" si="49"/>
        <v>mch</v>
      </c>
      <c r="D236" s="15" t="s">
        <v>59</v>
      </c>
      <c r="E236" s="16" t="s">
        <v>111</v>
      </c>
      <c r="F236" s="14" t="s">
        <v>112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61</v>
      </c>
      <c r="C237" s="14" t="str">
        <f t="shared" si="49"/>
        <v>mch</v>
      </c>
      <c r="D237" s="15" t="s">
        <v>62</v>
      </c>
      <c r="E237" s="16" t="s">
        <v>111</v>
      </c>
      <c r="F237" s="14" t="s">
        <v>112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63</v>
      </c>
      <c r="C238" s="14" t="str">
        <f t="shared" si="49"/>
        <v>mch</v>
      </c>
      <c r="D238" s="15" t="s">
        <v>64</v>
      </c>
      <c r="E238" s="16" t="s">
        <v>111</v>
      </c>
      <c r="F238" s="14" t="s">
        <v>112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65</v>
      </c>
      <c r="C239" s="14" t="str">
        <f t="shared" si="49"/>
        <v>mch</v>
      </c>
      <c r="D239" s="15" t="s">
        <v>66</v>
      </c>
      <c r="E239" s="16" t="s">
        <v>111</v>
      </c>
      <c r="F239" s="14" t="s">
        <v>112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67</v>
      </c>
      <c r="C240" s="14" t="str">
        <f t="shared" si="49"/>
        <v>mch</v>
      </c>
      <c r="D240" s="15" t="s">
        <v>68</v>
      </c>
      <c r="E240" s="16" t="s">
        <v>111</v>
      </c>
      <c r="F240" s="14" t="s">
        <v>112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70</v>
      </c>
      <c r="C241" s="14" t="str">
        <f t="shared" si="49"/>
        <v>mch</v>
      </c>
      <c r="D241" s="15" t="s">
        <v>71</v>
      </c>
      <c r="E241" s="16" t="s">
        <v>111</v>
      </c>
      <c r="F241" s="14" t="s">
        <v>112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72</v>
      </c>
      <c r="C242" s="14" t="str">
        <f t="shared" si="49"/>
        <v>mch</v>
      </c>
      <c r="D242" s="15" t="s">
        <v>73</v>
      </c>
      <c r="E242" s="16" t="s">
        <v>111</v>
      </c>
      <c r="F242" s="14" t="s">
        <v>112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113</v>
      </c>
      <c r="C243" s="14" t="str">
        <f t="shared" si="49"/>
        <v>mch</v>
      </c>
      <c r="D243" s="25" t="s">
        <v>114</v>
      </c>
      <c r="E243" s="16" t="s">
        <v>111</v>
      </c>
      <c r="F243" s="14" t="s">
        <v>112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ht="18" customHeight="1" x14ac:dyDescent="0.45">
      <c r="A245" s="8">
        <v>7</v>
      </c>
      <c r="B245" s="9" t="s">
        <v>121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7" spans="1:35" x14ac:dyDescent="0.45">
      <c r="A247" s="11"/>
      <c r="B247" s="6" t="s">
        <v>45</v>
      </c>
      <c r="C247" s="7" t="s">
        <v>46</v>
      </c>
      <c r="D247" s="6" t="s">
        <v>47</v>
      </c>
      <c r="E247" s="7" t="s">
        <v>38</v>
      </c>
      <c r="F247" s="7" t="s">
        <v>48</v>
      </c>
      <c r="G247" s="7" t="s">
        <v>49</v>
      </c>
      <c r="H247" s="12" t="s">
        <v>41</v>
      </c>
      <c r="I247" s="6" t="s">
        <v>50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x14ac:dyDescent="0.45">
      <c r="B248" s="13" t="s">
        <v>51</v>
      </c>
    </row>
    <row r="249" spans="1:35" x14ac:dyDescent="0.45">
      <c r="B249" s="14" t="s">
        <v>52</v>
      </c>
      <c r="C249" s="14" t="str">
        <f t="shared" ref="C249:C257" si="60">$C$247</f>
        <v>irn</v>
      </c>
      <c r="D249" s="15" t="s">
        <v>53</v>
      </c>
      <c r="E249" s="16" t="s">
        <v>54</v>
      </c>
      <c r="F249" s="14" t="s">
        <v>55</v>
      </c>
      <c r="G249" s="17" t="str">
        <f>Settings!$B$3&amp;".mit.pbc."&amp;Settings!$B$4&amp;"."&amp;$B249&amp;".a."&amp;$J$247</f>
        <v>egy.mit.pbc.ind.coa.a.2</v>
      </c>
      <c r="H249" s="45" t="str">
        <f>Settings!$B$3&amp;".mit.ptp."&amp;$C$247&amp;"."&amp;$B249&amp;".e."&amp;$J$247</f>
        <v>egy.mit.ptp.irn.coa.e.2</v>
      </c>
      <c r="K249" s="18">
        <f>INDEX(Data_Prices!K:K,MATCH($G249,Data_Prices!$A:$A,0))</f>
        <v>11.182901589243899</v>
      </c>
      <c r="L249" s="18">
        <f>INDEX(Data_Prices!L:L,MATCH($G249,Data_Prices!$A:$A,0))</f>
        <v>10.5233613454312</v>
      </c>
      <c r="M249" s="18">
        <f>INDEX(Data_Prices!M:M,MATCH($G249,Data_Prices!$A:$A,0))</f>
        <v>10.2995608274442</v>
      </c>
      <c r="N249" s="18">
        <f>INDEX(Data_Prices!N:N,MATCH($G249,Data_Prices!$A:$A,0))</f>
        <v>9.5775283595382597</v>
      </c>
      <c r="O249" s="18">
        <f>INDEX(Data_Prices!O:O,MATCH($G249,Data_Prices!$A:$A,0))</f>
        <v>8.4854782869580507</v>
      </c>
      <c r="P249" s="18">
        <f>INDEX(Data_Prices!P:P,MATCH($G249,Data_Prices!$A:$A,0))</f>
        <v>9.0871922352498604</v>
      </c>
      <c r="Q249" s="18">
        <f>INDEX(Data_Prices!Q:Q,MATCH($G249,Data_Prices!$A:$A,0))</f>
        <v>9.2229237289326793</v>
      </c>
      <c r="R249" s="18">
        <f>INDEX(Data_Prices!R:R,MATCH($G249,Data_Prices!$A:$A,0))</f>
        <v>9.1585649555096893</v>
      </c>
      <c r="S249" s="18">
        <f>INDEX(Data_Prices!S:S,MATCH($G249,Data_Prices!$A:$A,0))</f>
        <v>9.0895478773973792</v>
      </c>
      <c r="T249" s="18">
        <f>INDEX(Data_Prices!T:T,MATCH($G249,Data_Prices!$A:$A,0))</f>
        <v>9.0156816660228305</v>
      </c>
      <c r="U249" s="18">
        <f>INDEX(Data_Prices!U:U,MATCH($G249,Data_Prices!$A:$A,0))</f>
        <v>8.9443977655571096</v>
      </c>
      <c r="V249" s="18">
        <f>INDEX(Data_Prices!V:V,MATCH($G249,Data_Prices!$A:$A,0))</f>
        <v>8.9443977655571096</v>
      </c>
      <c r="W249" s="18">
        <f>INDEX(Data_Prices!W:W,MATCH($G249,Data_Prices!$A:$A,0))</f>
        <v>8.9443977655571096</v>
      </c>
      <c r="X249" s="18">
        <f>INDEX(Data_Prices!X:X,MATCH($G249,Data_Prices!$A:$A,0))</f>
        <v>8.9443977655571096</v>
      </c>
      <c r="Y249" s="18">
        <f>INDEX(Data_Prices!Y:Y,MATCH($G249,Data_Prices!$A:$A,0))</f>
        <v>8.9443977655571096</v>
      </c>
      <c r="Z249" s="18">
        <f>INDEX(Data_Prices!Z:Z,MATCH($G249,Data_Prices!$A:$A,0))</f>
        <v>8.9443977655571096</v>
      </c>
      <c r="AA249" s="18">
        <f>INDEX(Data_Prices!AA:AA,MATCH($G249,Data_Prices!$A:$A,0))</f>
        <v>8.9443977655571096</v>
      </c>
      <c r="AB249" s="18">
        <f>INDEX(Data_Prices!AB:AB,MATCH($G249,Data_Prices!$A:$A,0))</f>
        <v>8.9443977655571096</v>
      </c>
      <c r="AC249" s="18">
        <f>INDEX(Data_Prices!AC:AC,MATCH($G249,Data_Prices!$A:$A,0))</f>
        <v>8.9443977655571096</v>
      </c>
      <c r="AD249" s="18">
        <f>INDEX(Data_Prices!AD:AD,MATCH($G249,Data_Prices!$A:$A,0))</f>
        <v>8.9443977655571096</v>
      </c>
      <c r="AE249" s="18">
        <f>INDEX(Data_Prices!AE:AE,MATCH($G249,Data_Prices!$A:$A,0))</f>
        <v>8.9443977655571096</v>
      </c>
    </row>
    <row r="250" spans="1:35" x14ac:dyDescent="0.45">
      <c r="B250" s="14" t="s">
        <v>56</v>
      </c>
      <c r="C250" s="14" t="str">
        <f t="shared" si="60"/>
        <v>irn</v>
      </c>
      <c r="D250" s="15" t="s">
        <v>57</v>
      </c>
      <c r="E250" s="16" t="s">
        <v>54</v>
      </c>
      <c r="F250" s="14" t="s">
        <v>55</v>
      </c>
      <c r="G250" s="17" t="str">
        <f>Settings!$B$3&amp;".mit.pbc."&amp;Settings!$B$4&amp;"."&amp;$B250&amp;".a."&amp;$J$247</f>
        <v>egy.mit.pbc.ind.nga.a.2</v>
      </c>
      <c r="H250" s="45" t="str">
        <f>Settings!$B$3&amp;".mit.ptp."&amp;$C$247&amp;"."&amp;$B250&amp;".e."&amp;$J$247</f>
        <v>egy.mit.ptp.irn.nga.e.2</v>
      </c>
      <c r="K250" s="18">
        <f>INDEX(Data_Prices!K:K,MATCH($G250,Data_Prices!$A:$A,0))</f>
        <v>6.0634636156729096</v>
      </c>
      <c r="L250" s="18">
        <f>INDEX(Data_Prices!L:L,MATCH($G250,Data_Prices!$A:$A,0))</f>
        <v>5.4510150816191896</v>
      </c>
      <c r="M250" s="18">
        <f>INDEX(Data_Prices!M:M,MATCH($G250,Data_Prices!$A:$A,0))</f>
        <v>5.1193563062624801</v>
      </c>
      <c r="N250" s="18">
        <f>INDEX(Data_Prices!N:N,MATCH($G250,Data_Prices!$A:$A,0))</f>
        <v>5.08218458640407</v>
      </c>
      <c r="O250" s="18">
        <f>INDEX(Data_Prices!O:O,MATCH($G250,Data_Prices!$A:$A,0))</f>
        <v>5.08218458640407</v>
      </c>
      <c r="P250" s="18">
        <f>INDEX(Data_Prices!P:P,MATCH($G250,Data_Prices!$A:$A,0))</f>
        <v>5.08218458640407</v>
      </c>
      <c r="Q250" s="18">
        <f>INDEX(Data_Prices!Q:Q,MATCH($G250,Data_Prices!$A:$A,0))</f>
        <v>5.08218458640407</v>
      </c>
      <c r="R250" s="18">
        <f>INDEX(Data_Prices!R:R,MATCH($G250,Data_Prices!$A:$A,0))</f>
        <v>5.08218458640407</v>
      </c>
      <c r="S250" s="18">
        <f>INDEX(Data_Prices!S:S,MATCH($G250,Data_Prices!$A:$A,0))</f>
        <v>5.08218458640407</v>
      </c>
      <c r="T250" s="18">
        <f>INDEX(Data_Prices!T:T,MATCH($G250,Data_Prices!$A:$A,0))</f>
        <v>5.08218458640407</v>
      </c>
      <c r="U250" s="18">
        <f>INDEX(Data_Prices!U:U,MATCH($G250,Data_Prices!$A:$A,0))</f>
        <v>5.08218458640407</v>
      </c>
      <c r="V250" s="18">
        <f>INDEX(Data_Prices!V:V,MATCH($G250,Data_Prices!$A:$A,0))</f>
        <v>5.08218458640407</v>
      </c>
      <c r="W250" s="18">
        <f>INDEX(Data_Prices!W:W,MATCH($G250,Data_Prices!$A:$A,0))</f>
        <v>5.08218458640407</v>
      </c>
      <c r="X250" s="18">
        <f>INDEX(Data_Prices!X:X,MATCH($G250,Data_Prices!$A:$A,0))</f>
        <v>5.08218458640407</v>
      </c>
      <c r="Y250" s="18">
        <f>INDEX(Data_Prices!Y:Y,MATCH($G250,Data_Prices!$A:$A,0))</f>
        <v>5.08218458640407</v>
      </c>
      <c r="Z250" s="18">
        <f>INDEX(Data_Prices!Z:Z,MATCH($G250,Data_Prices!$A:$A,0))</f>
        <v>5.08218458640407</v>
      </c>
      <c r="AA250" s="18">
        <f>INDEX(Data_Prices!AA:AA,MATCH($G250,Data_Prices!$A:$A,0))</f>
        <v>5.08218458640407</v>
      </c>
      <c r="AB250" s="18">
        <f>INDEX(Data_Prices!AB:AB,MATCH($G250,Data_Prices!$A:$A,0))</f>
        <v>5.08218458640407</v>
      </c>
      <c r="AC250" s="18">
        <f>INDEX(Data_Prices!AC:AC,MATCH($G250,Data_Prices!$A:$A,0))</f>
        <v>5.08218458640407</v>
      </c>
      <c r="AD250" s="18">
        <f>INDEX(Data_Prices!AD:AD,MATCH($G250,Data_Prices!$A:$A,0))</f>
        <v>5.08218458640407</v>
      </c>
      <c r="AE250" s="18">
        <f>INDEX(Data_Prices!AE:AE,MATCH($G250,Data_Prices!$A:$A,0))</f>
        <v>5.08218458640407</v>
      </c>
    </row>
    <row r="251" spans="1:35" x14ac:dyDescent="0.45">
      <c r="B251" s="14" t="s">
        <v>58</v>
      </c>
      <c r="C251" s="14" t="str">
        <f t="shared" si="60"/>
        <v>irn</v>
      </c>
      <c r="D251" s="15" t="s">
        <v>59</v>
      </c>
      <c r="E251" s="16" t="s">
        <v>60</v>
      </c>
      <c r="F251" s="14" t="s">
        <v>55</v>
      </c>
      <c r="G251" s="17" t="str">
        <f>Settings!$B$3&amp;".mit.pbc."&amp;Settings!$B$4&amp;"."&amp;$B251&amp;".a."&amp;$J$247</f>
        <v>egy.mit.pbc.ind.gso.a.2</v>
      </c>
      <c r="H251" s="45" t="str">
        <f>Settings!$B$3&amp;".mit.ptp."&amp;$C$247&amp;"."&amp;$B251&amp;".e."&amp;$J$247</f>
        <v>egy.mit.ptp.irn.gso.e.2</v>
      </c>
      <c r="K251" s="18">
        <f>INDEX(Data_Prices!K:K,MATCH($G251,Data_Prices!$A:$A,0))</f>
        <v>0.67114653332181595</v>
      </c>
      <c r="L251" s="18">
        <f>INDEX(Data_Prices!L:L,MATCH($G251,Data_Prices!$A:$A,0))</f>
        <v>0.61197797679140598</v>
      </c>
      <c r="M251" s="18">
        <f>INDEX(Data_Prices!M:M,MATCH($G251,Data_Prices!$A:$A,0))</f>
        <v>0.61180974964187596</v>
      </c>
      <c r="N251" s="18">
        <f>INDEX(Data_Prices!N:N,MATCH($G251,Data_Prices!$A:$A,0))</f>
        <v>0.60358310017790595</v>
      </c>
      <c r="O251" s="18">
        <f>INDEX(Data_Prices!O:O,MATCH($G251,Data_Prices!$A:$A,0))</f>
        <v>0.60358310017790595</v>
      </c>
      <c r="P251" s="18">
        <f>INDEX(Data_Prices!P:P,MATCH($G251,Data_Prices!$A:$A,0))</f>
        <v>0.60358310017790595</v>
      </c>
      <c r="Q251" s="18">
        <f>INDEX(Data_Prices!Q:Q,MATCH($G251,Data_Prices!$A:$A,0))</f>
        <v>0.60358310017790595</v>
      </c>
      <c r="R251" s="18">
        <f>INDEX(Data_Prices!R:R,MATCH($G251,Data_Prices!$A:$A,0))</f>
        <v>0.60358310017790595</v>
      </c>
      <c r="S251" s="18">
        <f>INDEX(Data_Prices!S:S,MATCH($G251,Data_Prices!$A:$A,0))</f>
        <v>0.60358310017790595</v>
      </c>
      <c r="T251" s="18">
        <f>INDEX(Data_Prices!T:T,MATCH($G251,Data_Prices!$A:$A,0))</f>
        <v>0.60358310017790595</v>
      </c>
      <c r="U251" s="18">
        <f>INDEX(Data_Prices!U:U,MATCH($G251,Data_Prices!$A:$A,0))</f>
        <v>0.60358310017790595</v>
      </c>
      <c r="V251" s="18">
        <f>INDEX(Data_Prices!V:V,MATCH($G251,Data_Prices!$A:$A,0))</f>
        <v>0.60358310017790595</v>
      </c>
      <c r="W251" s="18">
        <f>INDEX(Data_Prices!W:W,MATCH($G251,Data_Prices!$A:$A,0))</f>
        <v>0.60358310017790595</v>
      </c>
      <c r="X251" s="18">
        <f>INDEX(Data_Prices!X:X,MATCH($G251,Data_Prices!$A:$A,0))</f>
        <v>0.60358310017790595</v>
      </c>
      <c r="Y251" s="18">
        <f>INDEX(Data_Prices!Y:Y,MATCH($G251,Data_Prices!$A:$A,0))</f>
        <v>0.60358310017790595</v>
      </c>
      <c r="Z251" s="18">
        <f>INDEX(Data_Prices!Z:Z,MATCH($G251,Data_Prices!$A:$A,0))</f>
        <v>0.60358310017790595</v>
      </c>
      <c r="AA251" s="18">
        <f>INDEX(Data_Prices!AA:AA,MATCH($G251,Data_Prices!$A:$A,0))</f>
        <v>0.60358310017790595</v>
      </c>
      <c r="AB251" s="18">
        <f>INDEX(Data_Prices!AB:AB,MATCH($G251,Data_Prices!$A:$A,0))</f>
        <v>0.60358310017790595</v>
      </c>
      <c r="AC251" s="18">
        <f>INDEX(Data_Prices!AC:AC,MATCH($G251,Data_Prices!$A:$A,0))</f>
        <v>0.60358310017790595</v>
      </c>
      <c r="AD251" s="18">
        <f>INDEX(Data_Prices!AD:AD,MATCH($G251,Data_Prices!$A:$A,0))</f>
        <v>0.60358310017790595</v>
      </c>
      <c r="AE251" s="18">
        <f>INDEX(Data_Prices!AE:AE,MATCH($G251,Data_Prices!$A:$A,0))</f>
        <v>0.60358310017790595</v>
      </c>
    </row>
    <row r="252" spans="1:35" x14ac:dyDescent="0.45">
      <c r="B252" s="14" t="s">
        <v>61</v>
      </c>
      <c r="C252" s="14" t="str">
        <f t="shared" si="60"/>
        <v>irn</v>
      </c>
      <c r="D252" s="15" t="s">
        <v>62</v>
      </c>
      <c r="E252" s="16" t="s">
        <v>60</v>
      </c>
      <c r="F252" s="14" t="s">
        <v>55</v>
      </c>
      <c r="G252" s="17" t="str">
        <f>Settings!$B$3&amp;".mit.pbc."&amp;Settings!$B$4&amp;"."&amp;$B252&amp;".a."&amp;$J$247</f>
        <v>egy.mit.pbc.ind.die.a.2</v>
      </c>
      <c r="H252" s="45" t="str">
        <f>Settings!$B$3&amp;".mit.ptp."&amp;$C$247&amp;"."&amp;$B252&amp;".e."&amp;$J$247</f>
        <v>egy.mit.ptp.irn.die.e.2</v>
      </c>
      <c r="K252" s="18">
        <f>INDEX(Data_Prices!K:K,MATCH($G252,Data_Prices!$A:$A,0))</f>
        <v>0.55971121315568795</v>
      </c>
      <c r="L252" s="18">
        <f>INDEX(Data_Prices!L:L,MATCH($G252,Data_Prices!$A:$A,0))</f>
        <v>0.49458873084106802</v>
      </c>
      <c r="M252" s="18">
        <f>INDEX(Data_Prices!M:M,MATCH($G252,Data_Prices!$A:$A,0))</f>
        <v>0.50778654720250105</v>
      </c>
      <c r="N252" s="18">
        <f>INDEX(Data_Prices!N:N,MATCH($G252,Data_Prices!$A:$A,0))</f>
        <v>0.47043642679561698</v>
      </c>
      <c r="O252" s="18">
        <f>INDEX(Data_Prices!O:O,MATCH($G252,Data_Prices!$A:$A,0))</f>
        <v>0.47043642679561698</v>
      </c>
      <c r="P252" s="18">
        <f>INDEX(Data_Prices!P:P,MATCH($G252,Data_Prices!$A:$A,0))</f>
        <v>0.47043642679561698</v>
      </c>
      <c r="Q252" s="18">
        <f>INDEX(Data_Prices!Q:Q,MATCH($G252,Data_Prices!$A:$A,0))</f>
        <v>0.47043642679561698</v>
      </c>
      <c r="R252" s="18">
        <f>INDEX(Data_Prices!R:R,MATCH($G252,Data_Prices!$A:$A,0))</f>
        <v>0.47043642679561698</v>
      </c>
      <c r="S252" s="18">
        <f>INDEX(Data_Prices!S:S,MATCH($G252,Data_Prices!$A:$A,0))</f>
        <v>0.47043642679561698</v>
      </c>
      <c r="T252" s="18">
        <f>INDEX(Data_Prices!T:T,MATCH($G252,Data_Prices!$A:$A,0))</f>
        <v>0.47043642679561698</v>
      </c>
      <c r="U252" s="18">
        <f>INDEX(Data_Prices!U:U,MATCH($G252,Data_Prices!$A:$A,0))</f>
        <v>0.47043642679561698</v>
      </c>
      <c r="V252" s="18">
        <f>INDEX(Data_Prices!V:V,MATCH($G252,Data_Prices!$A:$A,0))</f>
        <v>0.47043642679561698</v>
      </c>
      <c r="W252" s="18">
        <f>INDEX(Data_Prices!W:W,MATCH($G252,Data_Prices!$A:$A,0))</f>
        <v>0.47043642679561698</v>
      </c>
      <c r="X252" s="18">
        <f>INDEX(Data_Prices!X:X,MATCH($G252,Data_Prices!$A:$A,0))</f>
        <v>0.47043642679561698</v>
      </c>
      <c r="Y252" s="18">
        <f>INDEX(Data_Prices!Y:Y,MATCH($G252,Data_Prices!$A:$A,0))</f>
        <v>0.47043642679561698</v>
      </c>
      <c r="Z252" s="18">
        <f>INDEX(Data_Prices!Z:Z,MATCH($G252,Data_Prices!$A:$A,0))</f>
        <v>0.47043642679561698</v>
      </c>
      <c r="AA252" s="18">
        <f>INDEX(Data_Prices!AA:AA,MATCH($G252,Data_Prices!$A:$A,0))</f>
        <v>0.47043642679561698</v>
      </c>
      <c r="AB252" s="18">
        <f>INDEX(Data_Prices!AB:AB,MATCH($G252,Data_Prices!$A:$A,0))</f>
        <v>0.47043642679561698</v>
      </c>
      <c r="AC252" s="18">
        <f>INDEX(Data_Prices!AC:AC,MATCH($G252,Data_Prices!$A:$A,0))</f>
        <v>0.47043642679561698</v>
      </c>
      <c r="AD252" s="18">
        <f>INDEX(Data_Prices!AD:AD,MATCH($G252,Data_Prices!$A:$A,0))</f>
        <v>0.47043642679561698</v>
      </c>
      <c r="AE252" s="18">
        <f>INDEX(Data_Prices!AE:AE,MATCH($G252,Data_Prices!$A:$A,0))</f>
        <v>0.47043642679561698</v>
      </c>
    </row>
    <row r="253" spans="1:35" x14ac:dyDescent="0.45">
      <c r="B253" s="14" t="s">
        <v>63</v>
      </c>
      <c r="C253" s="14" t="str">
        <f t="shared" si="60"/>
        <v>irn</v>
      </c>
      <c r="D253" s="15" t="s">
        <v>64</v>
      </c>
      <c r="E253" s="16" t="s">
        <v>60</v>
      </c>
      <c r="F253" s="14" t="s">
        <v>55</v>
      </c>
      <c r="G253" s="17" t="str">
        <f>Settings!$B$3&amp;".mit.pbc."&amp;Settings!$B$4&amp;"."&amp;$B253&amp;".a."&amp;$J$247</f>
        <v>egy.mit.pbc.ind.lpg.a.2</v>
      </c>
      <c r="H253" s="45" t="str">
        <f>Settings!$B$3&amp;".mit.ptp."&amp;$C$247&amp;"."&amp;$B253&amp;".e."&amp;$J$247</f>
        <v>egy.mit.ptp.irn.lpg.e.2</v>
      </c>
      <c r="K253" s="18">
        <f>INDEX(Data_Prices!K:K,MATCH($G253,Data_Prices!$A:$A,0))</f>
        <v>0.20036669112673799</v>
      </c>
      <c r="L253" s="18">
        <f>INDEX(Data_Prices!L:L,MATCH($G253,Data_Prices!$A:$A,0))</f>
        <v>0.15734473625227399</v>
      </c>
      <c r="M253" s="18">
        <f>INDEX(Data_Prices!M:M,MATCH($G253,Data_Prices!$A:$A,0))</f>
        <v>0.164484037759277</v>
      </c>
      <c r="N253" s="18">
        <f>INDEX(Data_Prices!N:N,MATCH($G253,Data_Prices!$A:$A,0))</f>
        <v>0.15070907780704901</v>
      </c>
      <c r="O253" s="18">
        <f>INDEX(Data_Prices!O:O,MATCH($G253,Data_Prices!$A:$A,0))</f>
        <v>0.15070907780704901</v>
      </c>
      <c r="P253" s="18">
        <f>INDEX(Data_Prices!P:P,MATCH($G253,Data_Prices!$A:$A,0))</f>
        <v>0.15070907780704901</v>
      </c>
      <c r="Q253" s="18">
        <f>INDEX(Data_Prices!Q:Q,MATCH($G253,Data_Prices!$A:$A,0))</f>
        <v>0.15070907780704901</v>
      </c>
      <c r="R253" s="18">
        <f>INDEX(Data_Prices!R:R,MATCH($G253,Data_Prices!$A:$A,0))</f>
        <v>0.15070907780704901</v>
      </c>
      <c r="S253" s="18">
        <f>INDEX(Data_Prices!S:S,MATCH($G253,Data_Prices!$A:$A,0))</f>
        <v>0.15070907780704901</v>
      </c>
      <c r="T253" s="18">
        <f>INDEX(Data_Prices!T:T,MATCH($G253,Data_Prices!$A:$A,0))</f>
        <v>0.15070907780704901</v>
      </c>
      <c r="U253" s="18">
        <f>INDEX(Data_Prices!U:U,MATCH($G253,Data_Prices!$A:$A,0))</f>
        <v>0.15070907780704901</v>
      </c>
      <c r="V253" s="18">
        <f>INDEX(Data_Prices!V:V,MATCH($G253,Data_Prices!$A:$A,0))</f>
        <v>0.15070907780704901</v>
      </c>
      <c r="W253" s="18">
        <f>INDEX(Data_Prices!W:W,MATCH($G253,Data_Prices!$A:$A,0))</f>
        <v>0.15070907780704901</v>
      </c>
      <c r="X253" s="18">
        <f>INDEX(Data_Prices!X:X,MATCH($G253,Data_Prices!$A:$A,0))</f>
        <v>0.15070907780704901</v>
      </c>
      <c r="Y253" s="18">
        <f>INDEX(Data_Prices!Y:Y,MATCH($G253,Data_Prices!$A:$A,0))</f>
        <v>0.15070907780704901</v>
      </c>
      <c r="Z253" s="18">
        <f>INDEX(Data_Prices!Z:Z,MATCH($G253,Data_Prices!$A:$A,0))</f>
        <v>0.15070907780704901</v>
      </c>
      <c r="AA253" s="18">
        <f>INDEX(Data_Prices!AA:AA,MATCH($G253,Data_Prices!$A:$A,0))</f>
        <v>0.15070907780704901</v>
      </c>
      <c r="AB253" s="18">
        <f>INDEX(Data_Prices!AB:AB,MATCH($G253,Data_Prices!$A:$A,0))</f>
        <v>0.15070907780704901</v>
      </c>
      <c r="AC253" s="18">
        <f>INDEX(Data_Prices!AC:AC,MATCH($G253,Data_Prices!$A:$A,0))</f>
        <v>0.15070907780704901</v>
      </c>
      <c r="AD253" s="18">
        <f>INDEX(Data_Prices!AD:AD,MATCH($G253,Data_Prices!$A:$A,0))</f>
        <v>0.15070907780704901</v>
      </c>
      <c r="AE253" s="18">
        <f>INDEX(Data_Prices!AE:AE,MATCH($G253,Data_Prices!$A:$A,0))</f>
        <v>0.15070907780704901</v>
      </c>
    </row>
    <row r="254" spans="1:35" x14ac:dyDescent="0.45">
      <c r="B254" s="14" t="s">
        <v>65</v>
      </c>
      <c r="C254" s="14" t="str">
        <f t="shared" si="60"/>
        <v>irn</v>
      </c>
      <c r="D254" s="15" t="s">
        <v>66</v>
      </c>
      <c r="E254" s="16" t="s">
        <v>60</v>
      </c>
      <c r="F254" s="14" t="s">
        <v>55</v>
      </c>
      <c r="G254" s="17" t="str">
        <f>Settings!$B$3&amp;".mit.pbc."&amp;Settings!$B$4&amp;"."&amp;$B254&amp;".a."&amp;$J$247</f>
        <v>egy.mit.pbc.ind.ker.a.2</v>
      </c>
      <c r="H254" s="45" t="str">
        <f>Settings!$B$3&amp;".mit.ptp."&amp;$C$247&amp;"."&amp;$B254&amp;".e."&amp;$J$247</f>
        <v>egy.mit.ptp.irn.ker.e.2</v>
      </c>
      <c r="K254" s="18">
        <f>INDEX(Data_Prices!K:K,MATCH($G254,Data_Prices!$A:$A,0))</f>
        <v>0.48429424097343499</v>
      </c>
      <c r="L254" s="18">
        <f>INDEX(Data_Prices!L:L,MATCH($G254,Data_Prices!$A:$A,0))</f>
        <v>0.45642817050012802</v>
      </c>
      <c r="M254" s="18">
        <f>INDEX(Data_Prices!M:M,MATCH($G254,Data_Prices!$A:$A,0))</f>
        <v>0.43168920195599497</v>
      </c>
      <c r="N254" s="18">
        <f>INDEX(Data_Prices!N:N,MATCH($G254,Data_Prices!$A:$A,0))</f>
        <v>0.42507558395597</v>
      </c>
      <c r="O254" s="18">
        <f>INDEX(Data_Prices!O:O,MATCH($G254,Data_Prices!$A:$A,0))</f>
        <v>0.42507558395597</v>
      </c>
      <c r="P254" s="18">
        <f>INDEX(Data_Prices!P:P,MATCH($G254,Data_Prices!$A:$A,0))</f>
        <v>0.42507558395597</v>
      </c>
      <c r="Q254" s="18">
        <f>INDEX(Data_Prices!Q:Q,MATCH($G254,Data_Prices!$A:$A,0))</f>
        <v>0.42507558395597</v>
      </c>
      <c r="R254" s="18">
        <f>INDEX(Data_Prices!R:R,MATCH($G254,Data_Prices!$A:$A,0))</f>
        <v>0.42507558395597</v>
      </c>
      <c r="S254" s="18">
        <f>INDEX(Data_Prices!S:S,MATCH($G254,Data_Prices!$A:$A,0))</f>
        <v>0.42507558395597</v>
      </c>
      <c r="T254" s="18">
        <f>INDEX(Data_Prices!T:T,MATCH($G254,Data_Prices!$A:$A,0))</f>
        <v>0.42507558395597</v>
      </c>
      <c r="U254" s="18">
        <f>INDEX(Data_Prices!U:U,MATCH($G254,Data_Prices!$A:$A,0))</f>
        <v>0.42507558395597</v>
      </c>
      <c r="V254" s="18">
        <f>INDEX(Data_Prices!V:V,MATCH($G254,Data_Prices!$A:$A,0))</f>
        <v>0.42507558395597</v>
      </c>
      <c r="W254" s="18">
        <f>INDEX(Data_Prices!W:W,MATCH($G254,Data_Prices!$A:$A,0))</f>
        <v>0.42507558395597</v>
      </c>
      <c r="X254" s="18">
        <f>INDEX(Data_Prices!X:X,MATCH($G254,Data_Prices!$A:$A,0))</f>
        <v>0.42507558395597</v>
      </c>
      <c r="Y254" s="18">
        <f>INDEX(Data_Prices!Y:Y,MATCH($G254,Data_Prices!$A:$A,0))</f>
        <v>0.42507558395597</v>
      </c>
      <c r="Z254" s="18">
        <f>INDEX(Data_Prices!Z:Z,MATCH($G254,Data_Prices!$A:$A,0))</f>
        <v>0.42507558395597</v>
      </c>
      <c r="AA254" s="18">
        <f>INDEX(Data_Prices!AA:AA,MATCH($G254,Data_Prices!$A:$A,0))</f>
        <v>0.42507558395597</v>
      </c>
      <c r="AB254" s="18">
        <f>INDEX(Data_Prices!AB:AB,MATCH($G254,Data_Prices!$A:$A,0))</f>
        <v>0.42507558395597</v>
      </c>
      <c r="AC254" s="18">
        <f>INDEX(Data_Prices!AC:AC,MATCH($G254,Data_Prices!$A:$A,0))</f>
        <v>0.42507558395597</v>
      </c>
      <c r="AD254" s="18">
        <f>INDEX(Data_Prices!AD:AD,MATCH($G254,Data_Prices!$A:$A,0))</f>
        <v>0.42507558395597</v>
      </c>
      <c r="AE254" s="18">
        <f>INDEX(Data_Prices!AE:AE,MATCH($G254,Data_Prices!$A:$A,0))</f>
        <v>0.42507558395597</v>
      </c>
    </row>
    <row r="255" spans="1:35" x14ac:dyDescent="0.45">
      <c r="B255" s="14" t="s">
        <v>67</v>
      </c>
      <c r="C255" s="14" t="str">
        <f t="shared" si="60"/>
        <v>irn</v>
      </c>
      <c r="D255" s="15" t="s">
        <v>68</v>
      </c>
      <c r="E255" s="16" t="s">
        <v>69</v>
      </c>
      <c r="F255" s="14" t="s">
        <v>55</v>
      </c>
      <c r="G255" s="17" t="str">
        <f>Settings!$B$3&amp;".mit.pbc."&amp;Settings!$B$4&amp;"."&amp;$B255&amp;".a."&amp;$J$247</f>
        <v>egy.mit.pbc.ind.oop.a.2</v>
      </c>
      <c r="H255" s="45" t="str">
        <f>Settings!$B$3&amp;".mit.ptp."&amp;$C$247&amp;"."&amp;$B255&amp;".e."&amp;$J$247</f>
        <v>egy.mit.ptp.irn.oop.e.2</v>
      </c>
      <c r="K255" s="18">
        <f>INDEX(Data_Prices!K:K,MATCH($G255,Data_Prices!$A:$A,0))</f>
        <v>41.500338498868402</v>
      </c>
      <c r="L255" s="18">
        <f>INDEX(Data_Prices!L:L,MATCH($G255,Data_Prices!$A:$A,0))</f>
        <v>34.4153703043132</v>
      </c>
      <c r="M255" s="18">
        <f>INDEX(Data_Prices!M:M,MATCH($G255,Data_Prices!$A:$A,0))</f>
        <v>37.368960690431997</v>
      </c>
      <c r="N255" s="18">
        <f>INDEX(Data_Prices!N:N,MATCH($G255,Data_Prices!$A:$A,0))</f>
        <v>28.982761101477301</v>
      </c>
      <c r="O255" s="18">
        <f>INDEX(Data_Prices!O:O,MATCH($G255,Data_Prices!$A:$A,0))</f>
        <v>15</v>
      </c>
      <c r="P255" s="18">
        <f>INDEX(Data_Prices!P:P,MATCH($G255,Data_Prices!$A:$A,0))</f>
        <v>24.2586300842555</v>
      </c>
      <c r="Q255" s="18">
        <f>INDEX(Data_Prices!Q:Q,MATCH($G255,Data_Prices!$A:$A,0))</f>
        <v>13.096208196132499</v>
      </c>
      <c r="R255" s="18">
        <f>INDEX(Data_Prices!R:R,MATCH($G255,Data_Prices!$A:$A,0))</f>
        <v>10.0252451140106</v>
      </c>
      <c r="S255" s="18">
        <f>INDEX(Data_Prices!S:S,MATCH($G255,Data_Prices!$A:$A,0))</f>
        <v>8.4772306913736202</v>
      </c>
      <c r="T255" s="18">
        <f>INDEX(Data_Prices!T:T,MATCH($G255,Data_Prices!$A:$A,0))</f>
        <v>7.1234824452092198</v>
      </c>
      <c r="U255" s="18">
        <f>INDEX(Data_Prices!U:U,MATCH($G255,Data_Prices!$A:$A,0))</f>
        <v>5.6527597394100599</v>
      </c>
      <c r="V255" s="18">
        <f>INDEX(Data_Prices!V:V,MATCH($G255,Data_Prices!$A:$A,0))</f>
        <v>5.6527597394100599</v>
      </c>
      <c r="W255" s="18">
        <f>INDEX(Data_Prices!W:W,MATCH($G255,Data_Prices!$A:$A,0))</f>
        <v>5.6527597394100599</v>
      </c>
      <c r="X255" s="18">
        <f>INDEX(Data_Prices!X:X,MATCH($G255,Data_Prices!$A:$A,0))</f>
        <v>5.6527597394100599</v>
      </c>
      <c r="Y255" s="18">
        <f>INDEX(Data_Prices!Y:Y,MATCH($G255,Data_Prices!$A:$A,0))</f>
        <v>5.6527597394100599</v>
      </c>
      <c r="Z255" s="18">
        <f>INDEX(Data_Prices!Z:Z,MATCH($G255,Data_Prices!$A:$A,0))</f>
        <v>5.6527597394100697</v>
      </c>
      <c r="AA255" s="18">
        <f>INDEX(Data_Prices!AA:AA,MATCH($G255,Data_Prices!$A:$A,0))</f>
        <v>5.6527597394100599</v>
      </c>
      <c r="AB255" s="18">
        <f>INDEX(Data_Prices!AB:AB,MATCH($G255,Data_Prices!$A:$A,0))</f>
        <v>5.6527597394100599</v>
      </c>
      <c r="AC255" s="18">
        <f>INDEX(Data_Prices!AC:AC,MATCH($G255,Data_Prices!$A:$A,0))</f>
        <v>5.6527597394100404</v>
      </c>
      <c r="AD255" s="18">
        <f>INDEX(Data_Prices!AD:AD,MATCH($G255,Data_Prices!$A:$A,0))</f>
        <v>5.6527597394100599</v>
      </c>
      <c r="AE255" s="18">
        <f>INDEX(Data_Prices!AE:AE,MATCH($G255,Data_Prices!$A:$A,0))</f>
        <v>5.6527597394100404</v>
      </c>
    </row>
    <row r="256" spans="1:35" x14ac:dyDescent="0.45">
      <c r="B256" s="14" t="s">
        <v>70</v>
      </c>
      <c r="C256" s="14" t="str">
        <f t="shared" si="60"/>
        <v>irn</v>
      </c>
      <c r="D256" s="15" t="s">
        <v>71</v>
      </c>
      <c r="E256" s="16" t="s">
        <v>54</v>
      </c>
      <c r="F256" s="14" t="s">
        <v>55</v>
      </c>
      <c r="G256" s="17" t="str">
        <f>Settings!$B$3&amp;".mit.pbc."&amp;Settings!$B$4&amp;"."&amp;$B256&amp;".a."&amp;$J$247</f>
        <v>egy.mit.pbc.ind.bio.a.2</v>
      </c>
      <c r="H256" s="45" t="str">
        <f>Settings!$B$3&amp;".mit.ptp."&amp;$C$247&amp;"."&amp;$B256&amp;".e."&amp;$J$247</f>
        <v>egy.mit.ptp.irn.bio.e.2</v>
      </c>
      <c r="K256" s="18">
        <f>INDEX(Data_Prices!K:K,MATCH($G256,Data_Prices!$A:$A,0))</f>
        <v>15.3345505293169</v>
      </c>
      <c r="L256" s="18">
        <f>INDEX(Data_Prices!L:L,MATCH($G256,Data_Prices!$A:$A,0))</f>
        <v>14.199528390634899</v>
      </c>
      <c r="M256" s="18">
        <f>INDEX(Data_Prices!M:M,MATCH($G256,Data_Prices!$A:$A,0))</f>
        <v>13.8404416133152</v>
      </c>
      <c r="N256" s="18">
        <f>INDEX(Data_Prices!N:N,MATCH($G256,Data_Prices!$A:$A,0))</f>
        <v>13.5677269404465</v>
      </c>
      <c r="O256" s="18">
        <f>INDEX(Data_Prices!O:O,MATCH($G256,Data_Prices!$A:$A,0))</f>
        <v>13.5677269404465</v>
      </c>
      <c r="P256" s="18">
        <f>INDEX(Data_Prices!P:P,MATCH($G256,Data_Prices!$A:$A,0))</f>
        <v>13.5677269404465</v>
      </c>
      <c r="Q256" s="18">
        <f>INDEX(Data_Prices!Q:Q,MATCH($G256,Data_Prices!$A:$A,0))</f>
        <v>13.5677269404465</v>
      </c>
      <c r="R256" s="18">
        <f>INDEX(Data_Prices!R:R,MATCH($G256,Data_Prices!$A:$A,0))</f>
        <v>13.5677269404465</v>
      </c>
      <c r="S256" s="18">
        <f>INDEX(Data_Prices!S:S,MATCH($G256,Data_Prices!$A:$A,0))</f>
        <v>13.5677269404465</v>
      </c>
      <c r="T256" s="18">
        <f>INDEX(Data_Prices!T:T,MATCH($G256,Data_Prices!$A:$A,0))</f>
        <v>13.5677269404465</v>
      </c>
      <c r="U256" s="18">
        <f>INDEX(Data_Prices!U:U,MATCH($G256,Data_Prices!$A:$A,0))</f>
        <v>13.5677269404465</v>
      </c>
      <c r="V256" s="18">
        <f>INDEX(Data_Prices!V:V,MATCH($G256,Data_Prices!$A:$A,0))</f>
        <v>13.5677269404465</v>
      </c>
      <c r="W256" s="18">
        <f>INDEX(Data_Prices!W:W,MATCH($G256,Data_Prices!$A:$A,0))</f>
        <v>13.5677269404465</v>
      </c>
      <c r="X256" s="18">
        <f>INDEX(Data_Prices!X:X,MATCH($G256,Data_Prices!$A:$A,0))</f>
        <v>13.5677269404465</v>
      </c>
      <c r="Y256" s="18">
        <f>INDEX(Data_Prices!Y:Y,MATCH($G256,Data_Prices!$A:$A,0))</f>
        <v>13.5677269404465</v>
      </c>
      <c r="Z256" s="18">
        <f>INDEX(Data_Prices!Z:Z,MATCH($G256,Data_Prices!$A:$A,0))</f>
        <v>13.5677269404465</v>
      </c>
      <c r="AA256" s="18">
        <f>INDEX(Data_Prices!AA:AA,MATCH($G256,Data_Prices!$A:$A,0))</f>
        <v>13.5677269404465</v>
      </c>
      <c r="AB256" s="18">
        <f>INDEX(Data_Prices!AB:AB,MATCH($G256,Data_Prices!$A:$A,0))</f>
        <v>13.5677269404465</v>
      </c>
      <c r="AC256" s="18">
        <f>INDEX(Data_Prices!AC:AC,MATCH($G256,Data_Prices!$A:$A,0))</f>
        <v>13.5677269404465</v>
      </c>
      <c r="AD256" s="18">
        <f>INDEX(Data_Prices!AD:AD,MATCH($G256,Data_Prices!$A:$A,0))</f>
        <v>13.5677269404465</v>
      </c>
      <c r="AE256" s="18">
        <f>INDEX(Data_Prices!AE:AE,MATCH($G256,Data_Prices!$A:$A,0))</f>
        <v>13.5677269404465</v>
      </c>
    </row>
    <row r="257" spans="2:31" x14ac:dyDescent="0.45">
      <c r="B257" s="14" t="s">
        <v>72</v>
      </c>
      <c r="C257" s="14" t="str">
        <f t="shared" si="60"/>
        <v>irn</v>
      </c>
      <c r="D257" s="15" t="s">
        <v>73</v>
      </c>
      <c r="E257" s="16" t="s">
        <v>74</v>
      </c>
      <c r="F257" s="14" t="s">
        <v>55</v>
      </c>
      <c r="G257" s="17" t="str">
        <f>Settings!$B$3&amp;".mit.pbc."&amp;Settings!$B$4&amp;"."&amp;$B257&amp;".a."&amp;$J$247</f>
        <v>egy.mit.pbc.ind.ren.a.2</v>
      </c>
      <c r="H257" s="45" t="str">
        <f>Settings!$B$3&amp;".mit.ptp."&amp;$C$247&amp;"."&amp;$B257&amp;".e."&amp;$J$247</f>
        <v>egy.mit.ptp.irn.ren.e.2</v>
      </c>
      <c r="K257" s="18">
        <f>INDEX(Data_Prices!K:K,MATCH($G257,Data_Prices!$A:$A,0))</f>
        <v>0</v>
      </c>
      <c r="L257" s="18">
        <f>INDEX(Data_Prices!L:L,MATCH($G257,Data_Prices!$A:$A,0))</f>
        <v>0.14404498679319799</v>
      </c>
      <c r="M257" s="18">
        <f>INDEX(Data_Prices!M:M,MATCH($G257,Data_Prices!$A:$A,0))</f>
        <v>0.141386241751359</v>
      </c>
      <c r="N257" s="18">
        <f>INDEX(Data_Prices!N:N,MATCH($G257,Data_Prices!$A:$A,0))</f>
        <v>0.13539756544373099</v>
      </c>
      <c r="O257" s="18">
        <f>INDEX(Data_Prices!O:O,MATCH($G257,Data_Prices!$A:$A,0))</f>
        <v>0.13152288542065099</v>
      </c>
      <c r="P257" s="18">
        <f>INDEX(Data_Prices!P:P,MATCH($G257,Data_Prices!$A:$A,0))</f>
        <v>0.12882610848523099</v>
      </c>
      <c r="Q257" s="18">
        <f>INDEX(Data_Prices!Q:Q,MATCH($G257,Data_Prices!$A:$A,0))</f>
        <v>0.12594200976473999</v>
      </c>
      <c r="R257" s="18">
        <f>INDEX(Data_Prices!R:R,MATCH($G257,Data_Prices!$A:$A,0))</f>
        <v>0.123113265701861</v>
      </c>
      <c r="S257" s="18">
        <f>INDEX(Data_Prices!S:S,MATCH($G257,Data_Prices!$A:$A,0))</f>
        <v>0.119391738089068</v>
      </c>
      <c r="T257" s="18">
        <f>INDEX(Data_Prices!T:T,MATCH($G257,Data_Prices!$A:$A,0))</f>
        <v>0.11554419046792</v>
      </c>
      <c r="U257" s="18">
        <f>INDEX(Data_Prices!U:U,MATCH($G257,Data_Prices!$A:$A,0))</f>
        <v>0.11492423065415899</v>
      </c>
      <c r="V257" s="18">
        <f>INDEX(Data_Prices!V:V,MATCH($G257,Data_Prices!$A:$A,0))</f>
        <v>0.114346912116736</v>
      </c>
      <c r="W257" s="18">
        <f>INDEX(Data_Prices!W:W,MATCH($G257,Data_Prices!$A:$A,0))</f>
        <v>0.113738711172664</v>
      </c>
      <c r="X257" s="18">
        <f>INDEX(Data_Prices!X:X,MATCH($G257,Data_Prices!$A:$A,0))</f>
        <v>0.112999900487521</v>
      </c>
      <c r="Y257" s="18">
        <f>INDEX(Data_Prices!Y:Y,MATCH($G257,Data_Prices!$A:$A,0))</f>
        <v>0.112177685835534</v>
      </c>
      <c r="Z257" s="18">
        <f>INDEX(Data_Prices!Z:Z,MATCH($G257,Data_Prices!$A:$A,0))</f>
        <v>0.111417903250404</v>
      </c>
      <c r="AA257" s="18">
        <f>INDEX(Data_Prices!AA:AA,MATCH($G257,Data_Prices!$A:$A,0))</f>
        <v>0.11052581998545399</v>
      </c>
      <c r="AB257" s="18">
        <f>INDEX(Data_Prices!AB:AB,MATCH($G257,Data_Prices!$A:$A,0))</f>
        <v>0.109699565234896</v>
      </c>
      <c r="AC257" s="18">
        <f>INDEX(Data_Prices!AC:AC,MATCH($G257,Data_Prices!$A:$A,0))</f>
        <v>0.10772678896394899</v>
      </c>
      <c r="AD257" s="18">
        <f>INDEX(Data_Prices!AD:AD,MATCH($G257,Data_Prices!$A:$A,0))</f>
        <v>0.10582092445093499</v>
      </c>
      <c r="AE257" s="18">
        <f>INDEX(Data_Prices!AE:AE,MATCH($G257,Data_Prices!$A:$A,0))</f>
        <v>0.103855595705721</v>
      </c>
    </row>
    <row r="258" spans="2:31" x14ac:dyDescent="0.45">
      <c r="B258" s="13" t="s">
        <v>75</v>
      </c>
    </row>
    <row r="259" spans="2:31" x14ac:dyDescent="0.45">
      <c r="B259" s="14" t="s">
        <v>52</v>
      </c>
      <c r="C259" s="14" t="str">
        <f t="shared" ref="C259:C267" si="61">$C$247</f>
        <v>irn</v>
      </c>
      <c r="D259" s="15" t="s">
        <v>53</v>
      </c>
      <c r="E259" s="16" t="s">
        <v>54</v>
      </c>
      <c r="F259" s="14" t="s">
        <v>76</v>
      </c>
      <c r="G259" s="17" t="str">
        <f>Settings!$B$3&amp;".mit.nce."&amp;Settings!$B$4&amp;"."&amp;$B259&amp;".a."&amp;$J$247</f>
        <v>egy.mit.nce.ind.coa.a.2</v>
      </c>
      <c r="H259" s="45" t="str">
        <f>Settings!$B$3&amp;".mit.atp."&amp;$C$247&amp;"."&amp;$B259&amp;".e."&amp;$J$247</f>
        <v>egy.mit.atp.irn.coa.e.2</v>
      </c>
      <c r="K259" s="18">
        <f>K249+INDEX(Data_Prices!K:K,MATCH($G259,Data_Prices!$A:$A,0))*K$279</f>
        <v>11.182901589243899</v>
      </c>
      <c r="L259" s="18">
        <f>L249+INDEX(Data_Prices!L:L,MATCH($G259,Data_Prices!$A:$A,0))*L$279</f>
        <v>10.5233613454312</v>
      </c>
      <c r="M259" s="18">
        <f>M249+INDEX(Data_Prices!M:M,MATCH($G259,Data_Prices!$A:$A,0))*M$279</f>
        <v>10.2995608274442</v>
      </c>
      <c r="N259" s="18">
        <f>N249+INDEX(Data_Prices!N:N,MATCH($G259,Data_Prices!$A:$A,0))*N$279</f>
        <v>9.5775283595382597</v>
      </c>
      <c r="O259" s="18">
        <f>O249+INDEX(Data_Prices!O:O,MATCH($G259,Data_Prices!$A:$A,0))*O$279</f>
        <v>8.4854782869580507</v>
      </c>
      <c r="P259" s="18">
        <f>P249+INDEX(Data_Prices!P:P,MATCH($G259,Data_Prices!$A:$A,0))*P$279</f>
        <v>9.0871922352498604</v>
      </c>
      <c r="Q259" s="18">
        <f>Q249+INDEX(Data_Prices!Q:Q,MATCH($G259,Data_Prices!$A:$A,0))*Q$279</f>
        <v>10.472923728932679</v>
      </c>
      <c r="R259" s="18">
        <f>R249+INDEX(Data_Prices!R:R,MATCH($G259,Data_Prices!$A:$A,0))*R$279</f>
        <v>11.658564955509689</v>
      </c>
      <c r="S259" s="18">
        <f>S249+INDEX(Data_Prices!S:S,MATCH($G259,Data_Prices!$A:$A,0))*S$279</f>
        <v>12.839547877397379</v>
      </c>
      <c r="T259" s="18">
        <f>T249+INDEX(Data_Prices!T:T,MATCH($G259,Data_Prices!$A:$A,0))*T$279</f>
        <v>14.01568166602283</v>
      </c>
      <c r="U259" s="18">
        <f>U249+INDEX(Data_Prices!U:U,MATCH($G259,Data_Prices!$A:$A,0))*U$279</f>
        <v>15.19439776555711</v>
      </c>
      <c r="V259" s="18">
        <f>V249+INDEX(Data_Prices!V:V,MATCH($G259,Data_Prices!$A:$A,0))*V$279</f>
        <v>16.44439776555711</v>
      </c>
      <c r="W259" s="18">
        <f>W249+INDEX(Data_Prices!W:W,MATCH($G259,Data_Prices!$A:$A,0))*W$279</f>
        <v>17.69439776555711</v>
      </c>
      <c r="X259" s="18">
        <f>X249+INDEX(Data_Prices!X:X,MATCH($G259,Data_Prices!$A:$A,0))*X$279</f>
        <v>18.94439776555711</v>
      </c>
      <c r="Y259" s="18">
        <f>Y249+INDEX(Data_Prices!Y:Y,MATCH($G259,Data_Prices!$A:$A,0))*Y$279</f>
        <v>20.19439776555711</v>
      </c>
      <c r="Z259" s="18">
        <f>Z249+INDEX(Data_Prices!Z:Z,MATCH($G259,Data_Prices!$A:$A,0))*Z$279</f>
        <v>21.44439776555711</v>
      </c>
      <c r="AA259" s="18">
        <f>AA249+INDEX(Data_Prices!AA:AA,MATCH($G259,Data_Prices!$A:$A,0))*AA$279</f>
        <v>22.69439776555711</v>
      </c>
      <c r="AB259" s="18">
        <f>AB249+INDEX(Data_Prices!AB:AB,MATCH($G259,Data_Prices!$A:$A,0))*AB$279</f>
        <v>23.94439776555711</v>
      </c>
      <c r="AC259" s="18">
        <f>AC249+INDEX(Data_Prices!AC:AC,MATCH($G259,Data_Prices!$A:$A,0))*AC$279</f>
        <v>25.19439776555711</v>
      </c>
      <c r="AD259" s="18">
        <f>AD249+INDEX(Data_Prices!AD:AD,MATCH($G259,Data_Prices!$A:$A,0))*AD$279</f>
        <v>26.44439776555711</v>
      </c>
      <c r="AE259" s="18">
        <f>AE249+INDEX(Data_Prices!AE:AE,MATCH($G259,Data_Prices!$A:$A,0))*AE$279</f>
        <v>27.69439776555711</v>
      </c>
    </row>
    <row r="260" spans="2:31" x14ac:dyDescent="0.45">
      <c r="B260" s="14" t="s">
        <v>56</v>
      </c>
      <c r="C260" s="14" t="str">
        <f t="shared" si="61"/>
        <v>irn</v>
      </c>
      <c r="D260" s="15" t="s">
        <v>57</v>
      </c>
      <c r="E260" s="16" t="s">
        <v>54</v>
      </c>
      <c r="F260" s="14" t="s">
        <v>76</v>
      </c>
      <c r="G260" s="17" t="str">
        <f>Settings!$B$3&amp;".mit.nce."&amp;Settings!$B$4&amp;"."&amp;$B260&amp;".a."&amp;$J$247</f>
        <v>egy.mit.nce.ind.nga.a.2</v>
      </c>
      <c r="H260" s="45" t="str">
        <f>Settings!$B$3&amp;".mit.atp."&amp;$C$247&amp;"."&amp;$B260&amp;".e."&amp;$J$247</f>
        <v>egy.mit.atp.irn.nga.e.2</v>
      </c>
      <c r="K260" s="18">
        <f>K250+INDEX(Data_Prices!K:K,MATCH($G260,Data_Prices!$A:$A,0))*K$279</f>
        <v>6.0634636156729096</v>
      </c>
      <c r="L260" s="18">
        <f>L250+INDEX(Data_Prices!L:L,MATCH($G260,Data_Prices!$A:$A,0))*L$279</f>
        <v>5.4510150816191896</v>
      </c>
      <c r="M260" s="18">
        <f>M250+INDEX(Data_Prices!M:M,MATCH($G260,Data_Prices!$A:$A,0))*M$279</f>
        <v>5.1193563062624801</v>
      </c>
      <c r="N260" s="18">
        <f>N250+INDEX(Data_Prices!N:N,MATCH($G260,Data_Prices!$A:$A,0))*N$279</f>
        <v>5.08218458640407</v>
      </c>
      <c r="O260" s="18">
        <f>O250+INDEX(Data_Prices!O:O,MATCH($G260,Data_Prices!$A:$A,0))*O$279</f>
        <v>5.08218458640407</v>
      </c>
      <c r="P260" s="18">
        <f>P250+INDEX(Data_Prices!P:P,MATCH($G260,Data_Prices!$A:$A,0))*P$279</f>
        <v>5.08218458640407</v>
      </c>
      <c r="Q260" s="18">
        <f>Q250+INDEX(Data_Prices!Q:Q,MATCH($G260,Data_Prices!$A:$A,0))*Q$279</f>
        <v>5.7796845864040698</v>
      </c>
      <c r="R260" s="18">
        <f>R250+INDEX(Data_Prices!R:R,MATCH($G260,Data_Prices!$A:$A,0))*R$279</f>
        <v>6.4771845864040696</v>
      </c>
      <c r="S260" s="18">
        <f>S250+INDEX(Data_Prices!S:S,MATCH($G260,Data_Prices!$A:$A,0))*S$279</f>
        <v>7.1746845864040694</v>
      </c>
      <c r="T260" s="18">
        <f>T250+INDEX(Data_Prices!T:T,MATCH($G260,Data_Prices!$A:$A,0))*T$279</f>
        <v>7.87218458640407</v>
      </c>
      <c r="U260" s="18">
        <f>U250+INDEX(Data_Prices!U:U,MATCH($G260,Data_Prices!$A:$A,0))*U$279</f>
        <v>8.5696845864040689</v>
      </c>
      <c r="V260" s="18">
        <f>V250+INDEX(Data_Prices!V:V,MATCH($G260,Data_Prices!$A:$A,0))*V$279</f>
        <v>9.2671845864040705</v>
      </c>
      <c r="W260" s="18">
        <f>W250+INDEX(Data_Prices!W:W,MATCH($G260,Data_Prices!$A:$A,0))*W$279</f>
        <v>9.9646845864040703</v>
      </c>
      <c r="X260" s="18">
        <f>X250+INDEX(Data_Prices!X:X,MATCH($G260,Data_Prices!$A:$A,0))*X$279</f>
        <v>10.66218458640407</v>
      </c>
      <c r="Y260" s="18">
        <f>Y250+INDEX(Data_Prices!Y:Y,MATCH($G260,Data_Prices!$A:$A,0))*Y$279</f>
        <v>11.35968458640407</v>
      </c>
      <c r="Z260" s="18">
        <f>Z250+INDEX(Data_Prices!Z:Z,MATCH($G260,Data_Prices!$A:$A,0))*Z$279</f>
        <v>12.05718458640407</v>
      </c>
      <c r="AA260" s="18">
        <f>AA250+INDEX(Data_Prices!AA:AA,MATCH($G260,Data_Prices!$A:$A,0))*AA$279</f>
        <v>12.754684586404071</v>
      </c>
      <c r="AB260" s="18">
        <f>AB250+INDEX(Data_Prices!AB:AB,MATCH($G260,Data_Prices!$A:$A,0))*AB$279</f>
        <v>13.452184586404069</v>
      </c>
      <c r="AC260" s="18">
        <f>AC250+INDEX(Data_Prices!AC:AC,MATCH($G260,Data_Prices!$A:$A,0))*AC$279</f>
        <v>14.149684586404071</v>
      </c>
      <c r="AD260" s="18">
        <f>AD250+INDEX(Data_Prices!AD:AD,MATCH($G260,Data_Prices!$A:$A,0))*AD$279</f>
        <v>14.847184586404071</v>
      </c>
      <c r="AE260" s="18">
        <f>AE250+INDEX(Data_Prices!AE:AE,MATCH($G260,Data_Prices!$A:$A,0))*AE$279</f>
        <v>15.54468458640407</v>
      </c>
    </row>
    <row r="261" spans="2:31" x14ac:dyDescent="0.45">
      <c r="B261" s="14" t="s">
        <v>58</v>
      </c>
      <c r="C261" s="14" t="str">
        <f t="shared" si="61"/>
        <v>irn</v>
      </c>
      <c r="D261" s="15" t="s">
        <v>59</v>
      </c>
      <c r="E261" s="16" t="s">
        <v>60</v>
      </c>
      <c r="F261" s="14" t="s">
        <v>76</v>
      </c>
      <c r="G261" s="17" t="str">
        <f>Settings!$B$3&amp;".mit.nce."&amp;Settings!$B$4&amp;"."&amp;$B261&amp;".a."&amp;$J$247</f>
        <v>egy.mit.nce.ind.gso.a.2</v>
      </c>
      <c r="H261" s="45" t="str">
        <f>Settings!$B$3&amp;".mit.atp."&amp;$C$247&amp;"."&amp;$B261&amp;".e."&amp;$J$247</f>
        <v>egy.mit.atp.irn.gso.e.2</v>
      </c>
      <c r="K261" s="18">
        <f>K251+INDEX(Data_Prices!K:K,MATCH($G261,Data_Prices!$A:$A,0))*K$279</f>
        <v>0.67114653332181595</v>
      </c>
      <c r="L261" s="18">
        <f>L251+INDEX(Data_Prices!L:L,MATCH($G261,Data_Prices!$A:$A,0))*L$279</f>
        <v>0.61197797679140598</v>
      </c>
      <c r="M261" s="18">
        <f>M251+INDEX(Data_Prices!M:M,MATCH($G261,Data_Prices!$A:$A,0))*M$279</f>
        <v>0.61180974964187596</v>
      </c>
      <c r="N261" s="18">
        <f>N251+INDEX(Data_Prices!N:N,MATCH($G261,Data_Prices!$A:$A,0))*N$279</f>
        <v>0.60358310017790595</v>
      </c>
      <c r="O261" s="18">
        <f>O251+INDEX(Data_Prices!O:O,MATCH($G261,Data_Prices!$A:$A,0))*O$279</f>
        <v>0.60358310017790595</v>
      </c>
      <c r="P261" s="18">
        <f>P251+INDEX(Data_Prices!P:P,MATCH($G261,Data_Prices!$A:$A,0))*P$279</f>
        <v>0.60358310017790595</v>
      </c>
      <c r="Q261" s="18">
        <f>Q251+INDEX(Data_Prices!Q:Q,MATCH($G261,Data_Prices!$A:$A,0))*Q$279</f>
        <v>0.63251094334940594</v>
      </c>
      <c r="R261" s="18">
        <f>R251+INDEX(Data_Prices!R:R,MATCH($G261,Data_Prices!$A:$A,0))*R$279</f>
        <v>0.66143878652090593</v>
      </c>
      <c r="S261" s="18">
        <f>S251+INDEX(Data_Prices!S:S,MATCH($G261,Data_Prices!$A:$A,0))*S$279</f>
        <v>0.69036662969240592</v>
      </c>
      <c r="T261" s="18">
        <f>T251+INDEX(Data_Prices!T:T,MATCH($G261,Data_Prices!$A:$A,0))*T$279</f>
        <v>0.71929447286390591</v>
      </c>
      <c r="U261" s="18">
        <f>U251+INDEX(Data_Prices!U:U,MATCH($G261,Data_Prices!$A:$A,0))*U$279</f>
        <v>0.74822231603540601</v>
      </c>
      <c r="V261" s="18">
        <f>V251+INDEX(Data_Prices!V:V,MATCH($G261,Data_Prices!$A:$A,0))*V$279</f>
        <v>0.77715015920690589</v>
      </c>
      <c r="W261" s="18">
        <f>W251+INDEX(Data_Prices!W:W,MATCH($G261,Data_Prices!$A:$A,0))*W$279</f>
        <v>0.80607800237840599</v>
      </c>
      <c r="X261" s="18">
        <f>X251+INDEX(Data_Prices!X:X,MATCH($G261,Data_Prices!$A:$A,0))*X$279</f>
        <v>0.83500584554990598</v>
      </c>
      <c r="Y261" s="18">
        <f>Y251+INDEX(Data_Prices!Y:Y,MATCH($G261,Data_Prices!$A:$A,0))*Y$279</f>
        <v>0.86393368872140597</v>
      </c>
      <c r="Z261" s="18">
        <f>Z251+INDEX(Data_Prices!Z:Z,MATCH($G261,Data_Prices!$A:$A,0))*Z$279</f>
        <v>0.89286153189290596</v>
      </c>
      <c r="AA261" s="18">
        <f>AA251+INDEX(Data_Prices!AA:AA,MATCH($G261,Data_Prices!$A:$A,0))*AA$279</f>
        <v>0.92178937506440595</v>
      </c>
      <c r="AB261" s="18">
        <f>AB251+INDEX(Data_Prices!AB:AB,MATCH($G261,Data_Prices!$A:$A,0))*AB$279</f>
        <v>0.95071721823590594</v>
      </c>
      <c r="AC261" s="18">
        <f>AC251+INDEX(Data_Prices!AC:AC,MATCH($G261,Data_Prices!$A:$A,0))*AC$279</f>
        <v>0.97964506140740593</v>
      </c>
      <c r="AD261" s="18">
        <f>AD251+INDEX(Data_Prices!AD:AD,MATCH($G261,Data_Prices!$A:$A,0))*AD$279</f>
        <v>1.008572904578906</v>
      </c>
      <c r="AE261" s="18">
        <f>AE251+INDEX(Data_Prices!AE:AE,MATCH($G261,Data_Prices!$A:$A,0))*AE$279</f>
        <v>1.0375007477504059</v>
      </c>
    </row>
    <row r="262" spans="2:31" x14ac:dyDescent="0.45">
      <c r="B262" s="14" t="s">
        <v>61</v>
      </c>
      <c r="C262" s="14" t="str">
        <f t="shared" si="61"/>
        <v>irn</v>
      </c>
      <c r="D262" s="15" t="s">
        <v>62</v>
      </c>
      <c r="E262" s="16" t="s">
        <v>60</v>
      </c>
      <c r="F262" s="14" t="s">
        <v>76</v>
      </c>
      <c r="G262" s="17" t="str">
        <f>Settings!$B$3&amp;".mit.nce."&amp;Settings!$B$4&amp;"."&amp;$B262&amp;".a."&amp;$J$247</f>
        <v>egy.mit.nce.ind.die.a.2</v>
      </c>
      <c r="H262" s="45" t="str">
        <f>Settings!$B$3&amp;".mit.atp."&amp;$C$247&amp;"."&amp;$B262&amp;".e."&amp;$J$247</f>
        <v>egy.mit.atp.irn.die.e.2</v>
      </c>
      <c r="K262" s="18">
        <f>K252+INDEX(Data_Prices!K:K,MATCH($G262,Data_Prices!$A:$A,0))*K$279</f>
        <v>0.55971121315568795</v>
      </c>
      <c r="L262" s="18">
        <f>L252+INDEX(Data_Prices!L:L,MATCH($G262,Data_Prices!$A:$A,0))*L$279</f>
        <v>0.49458873084106802</v>
      </c>
      <c r="M262" s="18">
        <f>M252+INDEX(Data_Prices!M:M,MATCH($G262,Data_Prices!$A:$A,0))*M$279</f>
        <v>0.50778654720250105</v>
      </c>
      <c r="N262" s="18">
        <f>N252+INDEX(Data_Prices!N:N,MATCH($G262,Data_Prices!$A:$A,0))*N$279</f>
        <v>0.47043642679561698</v>
      </c>
      <c r="O262" s="18">
        <f>O252+INDEX(Data_Prices!O:O,MATCH($G262,Data_Prices!$A:$A,0))*O$279</f>
        <v>0.47043642679561698</v>
      </c>
      <c r="P262" s="18">
        <f>P252+INDEX(Data_Prices!P:P,MATCH($G262,Data_Prices!$A:$A,0))*P$279</f>
        <v>0.47043642679561698</v>
      </c>
      <c r="Q262" s="18">
        <f>Q252+INDEX(Data_Prices!Q:Q,MATCH($G262,Data_Prices!$A:$A,0))*Q$279</f>
        <v>0.50344686565449193</v>
      </c>
      <c r="R262" s="18">
        <f>R252+INDEX(Data_Prices!R:R,MATCH($G262,Data_Prices!$A:$A,0))*R$279</f>
        <v>0.53645730451336693</v>
      </c>
      <c r="S262" s="18">
        <f>S252+INDEX(Data_Prices!S:S,MATCH($G262,Data_Prices!$A:$A,0))*S$279</f>
        <v>0.56946774337224193</v>
      </c>
      <c r="T262" s="18">
        <f>T252+INDEX(Data_Prices!T:T,MATCH($G262,Data_Prices!$A:$A,0))*T$279</f>
        <v>0.60247818223111693</v>
      </c>
      <c r="U262" s="18">
        <f>U252+INDEX(Data_Prices!U:U,MATCH($G262,Data_Prices!$A:$A,0))*U$279</f>
        <v>0.63548862108999193</v>
      </c>
      <c r="V262" s="18">
        <f>V252+INDEX(Data_Prices!V:V,MATCH($G262,Data_Prices!$A:$A,0))*V$279</f>
        <v>0.66849905994886694</v>
      </c>
      <c r="W262" s="18">
        <f>W252+INDEX(Data_Prices!W:W,MATCH($G262,Data_Prices!$A:$A,0))*W$279</f>
        <v>0.70150949880774194</v>
      </c>
      <c r="X262" s="18">
        <f>X252+INDEX(Data_Prices!X:X,MATCH($G262,Data_Prices!$A:$A,0))*X$279</f>
        <v>0.73451993766661694</v>
      </c>
      <c r="Y262" s="18">
        <f>Y252+INDEX(Data_Prices!Y:Y,MATCH($G262,Data_Prices!$A:$A,0))*Y$279</f>
        <v>0.76753037652549194</v>
      </c>
      <c r="Z262" s="18">
        <f>Z252+INDEX(Data_Prices!Z:Z,MATCH($G262,Data_Prices!$A:$A,0))*Z$279</f>
        <v>0.80054081538436694</v>
      </c>
      <c r="AA262" s="18">
        <f>AA252+INDEX(Data_Prices!AA:AA,MATCH($G262,Data_Prices!$A:$A,0))*AA$279</f>
        <v>0.83355125424324195</v>
      </c>
      <c r="AB262" s="18">
        <f>AB252+INDEX(Data_Prices!AB:AB,MATCH($G262,Data_Prices!$A:$A,0))*AB$279</f>
        <v>0.86656169310211695</v>
      </c>
      <c r="AC262" s="18">
        <f>AC252+INDEX(Data_Prices!AC:AC,MATCH($G262,Data_Prices!$A:$A,0))*AC$279</f>
        <v>0.89957213196099195</v>
      </c>
      <c r="AD262" s="18">
        <f>AD252+INDEX(Data_Prices!AD:AD,MATCH($G262,Data_Prices!$A:$A,0))*AD$279</f>
        <v>0.93258257081986695</v>
      </c>
      <c r="AE262" s="18">
        <f>AE252+INDEX(Data_Prices!AE:AE,MATCH($G262,Data_Prices!$A:$A,0))*AE$279</f>
        <v>0.96559300967874195</v>
      </c>
    </row>
    <row r="263" spans="2:31" x14ac:dyDescent="0.45">
      <c r="B263" s="14" t="s">
        <v>63</v>
      </c>
      <c r="C263" s="14" t="str">
        <f t="shared" si="61"/>
        <v>irn</v>
      </c>
      <c r="D263" s="15" t="s">
        <v>64</v>
      </c>
      <c r="E263" s="16" t="s">
        <v>60</v>
      </c>
      <c r="F263" s="14" t="s">
        <v>76</v>
      </c>
      <c r="G263" s="17" t="str">
        <f>Settings!$B$3&amp;".mit.nce."&amp;Settings!$B$4&amp;"."&amp;$B263&amp;".a."&amp;$J$247</f>
        <v>egy.mit.nce.ind.lpg.a.2</v>
      </c>
      <c r="H263" s="45" t="str">
        <f>Settings!$B$3&amp;".mit.atp."&amp;$C$247&amp;"."&amp;$B263&amp;".e."&amp;$J$247</f>
        <v>egy.mit.atp.irn.lpg.e.2</v>
      </c>
      <c r="K263" s="18">
        <f>K253+INDEX(Data_Prices!K:K,MATCH($G263,Data_Prices!$A:$A,0))*K$279</f>
        <v>0.20036669112673799</v>
      </c>
      <c r="L263" s="18">
        <f>L253+INDEX(Data_Prices!L:L,MATCH($G263,Data_Prices!$A:$A,0))*L$279</f>
        <v>0.15734473625227399</v>
      </c>
      <c r="M263" s="18">
        <f>M253+INDEX(Data_Prices!M:M,MATCH($G263,Data_Prices!$A:$A,0))*M$279</f>
        <v>0.164484037759277</v>
      </c>
      <c r="N263" s="18">
        <f>N253+INDEX(Data_Prices!N:N,MATCH($G263,Data_Prices!$A:$A,0))*N$279</f>
        <v>0.15070907780704901</v>
      </c>
      <c r="O263" s="18">
        <f>O253+INDEX(Data_Prices!O:O,MATCH($G263,Data_Prices!$A:$A,0))*O$279</f>
        <v>0.15070907780704901</v>
      </c>
      <c r="P263" s="18">
        <f>P253+INDEX(Data_Prices!P:P,MATCH($G263,Data_Prices!$A:$A,0))*P$279</f>
        <v>0.15070907780704901</v>
      </c>
      <c r="Q263" s="18">
        <f>Q253+INDEX(Data_Prices!Q:Q,MATCH($G263,Data_Prices!$A:$A,0))*Q$279</f>
        <v>0.17281516073434472</v>
      </c>
      <c r="R263" s="18">
        <f>R253+INDEX(Data_Prices!R:R,MATCH($G263,Data_Prices!$A:$A,0))*R$279</f>
        <v>0.1949212436616404</v>
      </c>
      <c r="S263" s="18">
        <f>S253+INDEX(Data_Prices!S:S,MATCH($G263,Data_Prices!$A:$A,0))*S$279</f>
        <v>0.21702732658893611</v>
      </c>
      <c r="T263" s="18">
        <f>T253+INDEX(Data_Prices!T:T,MATCH($G263,Data_Prices!$A:$A,0))*T$279</f>
        <v>0.2391334095162318</v>
      </c>
      <c r="U263" s="18">
        <f>U253+INDEX(Data_Prices!U:U,MATCH($G263,Data_Prices!$A:$A,0))*U$279</f>
        <v>0.26123949244352801</v>
      </c>
      <c r="V263" s="18">
        <f>V253+INDEX(Data_Prices!V:V,MATCH($G263,Data_Prices!$A:$A,0))*V$279</f>
        <v>0.283345575370823</v>
      </c>
      <c r="W263" s="18">
        <f>W253+INDEX(Data_Prices!W:W,MATCH($G263,Data_Prices!$A:$A,0))*W$279</f>
        <v>0.30545165829811904</v>
      </c>
      <c r="X263" s="18">
        <f>X253+INDEX(Data_Prices!X:X,MATCH($G263,Data_Prices!$A:$A,0))*X$279</f>
        <v>0.32755774122541503</v>
      </c>
      <c r="Y263" s="18">
        <f>Y253+INDEX(Data_Prices!Y:Y,MATCH($G263,Data_Prices!$A:$A,0))*Y$279</f>
        <v>0.34966382415271002</v>
      </c>
      <c r="Z263" s="18">
        <f>Z253+INDEX(Data_Prices!Z:Z,MATCH($G263,Data_Prices!$A:$A,0))*Z$279</f>
        <v>0.37176990708000601</v>
      </c>
      <c r="AA263" s="18">
        <f>AA253+INDEX(Data_Prices!AA:AA,MATCH($G263,Data_Prices!$A:$A,0))*AA$279</f>
        <v>0.393875990007302</v>
      </c>
      <c r="AB263" s="18">
        <f>AB253+INDEX(Data_Prices!AB:AB,MATCH($G263,Data_Prices!$A:$A,0))*AB$279</f>
        <v>0.41598207293459699</v>
      </c>
      <c r="AC263" s="18">
        <f>AC253+INDEX(Data_Prices!AC:AC,MATCH($G263,Data_Prices!$A:$A,0))*AC$279</f>
        <v>0.43808815586189298</v>
      </c>
      <c r="AD263" s="18">
        <f>AD253+INDEX(Data_Prices!AD:AD,MATCH($G263,Data_Prices!$A:$A,0))*AD$279</f>
        <v>0.46019423878918903</v>
      </c>
      <c r="AE263" s="18">
        <f>AE253+INDEX(Data_Prices!AE:AE,MATCH($G263,Data_Prices!$A:$A,0))*AE$279</f>
        <v>0.48230032171648402</v>
      </c>
    </row>
    <row r="264" spans="2:31" x14ac:dyDescent="0.45">
      <c r="B264" s="14" t="s">
        <v>65</v>
      </c>
      <c r="C264" s="14" t="str">
        <f t="shared" si="61"/>
        <v>irn</v>
      </c>
      <c r="D264" s="15" t="s">
        <v>66</v>
      </c>
      <c r="E264" s="16" t="s">
        <v>60</v>
      </c>
      <c r="F264" s="14" t="s">
        <v>76</v>
      </c>
      <c r="G264" s="17" t="str">
        <f>Settings!$B$3&amp;".mit.nce."&amp;Settings!$B$4&amp;"."&amp;$B264&amp;".a."&amp;$J$247</f>
        <v>egy.mit.nce.ind.ker.a.2</v>
      </c>
      <c r="H264" s="45" t="str">
        <f>Settings!$B$3&amp;".mit.atp."&amp;$C$247&amp;"."&amp;$B264&amp;".e."&amp;$J$247</f>
        <v>egy.mit.atp.irn.ker.e.2</v>
      </c>
      <c r="K264" s="18">
        <f>K254+INDEX(Data_Prices!K:K,MATCH($G264,Data_Prices!$A:$A,0))*K$279</f>
        <v>0.48429424097343499</v>
      </c>
      <c r="L264" s="18">
        <f>L254+INDEX(Data_Prices!L:L,MATCH($G264,Data_Prices!$A:$A,0))*L$279</f>
        <v>0.45642817050012802</v>
      </c>
      <c r="M264" s="18">
        <f>M254+INDEX(Data_Prices!M:M,MATCH($G264,Data_Prices!$A:$A,0))*M$279</f>
        <v>0.43168920195599497</v>
      </c>
      <c r="N264" s="18">
        <f>N254+INDEX(Data_Prices!N:N,MATCH($G264,Data_Prices!$A:$A,0))*N$279</f>
        <v>0.42507558395597</v>
      </c>
      <c r="O264" s="18">
        <f>O254+INDEX(Data_Prices!O:O,MATCH($G264,Data_Prices!$A:$A,0))*O$279</f>
        <v>0.42507558395597</v>
      </c>
      <c r="P264" s="18">
        <f>P254+INDEX(Data_Prices!P:P,MATCH($G264,Data_Prices!$A:$A,0))*P$279</f>
        <v>0.42507558395597</v>
      </c>
      <c r="Q264" s="18">
        <f>Q254+INDEX(Data_Prices!Q:Q,MATCH($G264,Data_Prices!$A:$A,0))*Q$279</f>
        <v>0.45706441406607851</v>
      </c>
      <c r="R264" s="18">
        <f>R254+INDEX(Data_Prices!R:R,MATCH($G264,Data_Prices!$A:$A,0))*R$279</f>
        <v>0.48905324417618701</v>
      </c>
      <c r="S264" s="18">
        <f>S254+INDEX(Data_Prices!S:S,MATCH($G264,Data_Prices!$A:$A,0))*S$279</f>
        <v>0.52104207428629556</v>
      </c>
      <c r="T264" s="18">
        <f>T254+INDEX(Data_Prices!T:T,MATCH($G264,Data_Prices!$A:$A,0))*T$279</f>
        <v>0.55303090439640401</v>
      </c>
      <c r="U264" s="18">
        <f>U254+INDEX(Data_Prices!U:U,MATCH($G264,Data_Prices!$A:$A,0))*U$279</f>
        <v>0.58501973450651301</v>
      </c>
      <c r="V264" s="18">
        <f>V254+INDEX(Data_Prices!V:V,MATCH($G264,Data_Prices!$A:$A,0))*V$279</f>
        <v>0.61700856461662101</v>
      </c>
      <c r="W264" s="18">
        <f>W254+INDEX(Data_Prices!W:W,MATCH($G264,Data_Prices!$A:$A,0))*W$279</f>
        <v>0.64899739472673001</v>
      </c>
      <c r="X264" s="18">
        <f>X254+INDEX(Data_Prices!X:X,MATCH($G264,Data_Prices!$A:$A,0))*X$279</f>
        <v>0.68098622483683802</v>
      </c>
      <c r="Y264" s="18">
        <f>Y254+INDEX(Data_Prices!Y:Y,MATCH($G264,Data_Prices!$A:$A,0))*Y$279</f>
        <v>0.71297505494694702</v>
      </c>
      <c r="Z264" s="18">
        <f>Z254+INDEX(Data_Prices!Z:Z,MATCH($G264,Data_Prices!$A:$A,0))*Z$279</f>
        <v>0.74496388505705502</v>
      </c>
      <c r="AA264" s="18">
        <f>AA254+INDEX(Data_Prices!AA:AA,MATCH($G264,Data_Prices!$A:$A,0))*AA$279</f>
        <v>0.77695271516716302</v>
      </c>
      <c r="AB264" s="18">
        <f>AB254+INDEX(Data_Prices!AB:AB,MATCH($G264,Data_Prices!$A:$A,0))*AB$279</f>
        <v>0.80894154527727202</v>
      </c>
      <c r="AC264" s="18">
        <f>AC254+INDEX(Data_Prices!AC:AC,MATCH($G264,Data_Prices!$A:$A,0))*AC$279</f>
        <v>0.84093037538738002</v>
      </c>
      <c r="AD264" s="18">
        <f>AD254+INDEX(Data_Prices!AD:AD,MATCH($G264,Data_Prices!$A:$A,0))*AD$279</f>
        <v>0.87291920549748903</v>
      </c>
      <c r="AE264" s="18">
        <f>AE254+INDEX(Data_Prices!AE:AE,MATCH($G264,Data_Prices!$A:$A,0))*AE$279</f>
        <v>0.90490803560759703</v>
      </c>
    </row>
    <row r="265" spans="2:31" x14ac:dyDescent="0.45">
      <c r="B265" s="14" t="s">
        <v>67</v>
      </c>
      <c r="C265" s="14" t="str">
        <f t="shared" si="61"/>
        <v>irn</v>
      </c>
      <c r="D265" s="15" t="s">
        <v>68</v>
      </c>
      <c r="E265" s="16" t="s">
        <v>69</v>
      </c>
      <c r="F265" s="14" t="s">
        <v>76</v>
      </c>
      <c r="G265" s="17" t="str">
        <f>Settings!$B$3&amp;".mit.nce."&amp;Settings!$B$4&amp;"."&amp;$B265&amp;".a."&amp;$J$247</f>
        <v>egy.mit.nce.ind.oop.a.2</v>
      </c>
      <c r="H265" s="45" t="str">
        <f>Settings!$B$3&amp;".mit.atp."&amp;$C$247&amp;"."&amp;$B265&amp;".e."&amp;$J$247</f>
        <v>egy.mit.atp.irn.oop.e.2</v>
      </c>
      <c r="K265" s="18">
        <f>K255+INDEX(Data_Prices!K:K,MATCH($G265,Data_Prices!$A:$A,0))*K$279</f>
        <v>41.500338498868402</v>
      </c>
      <c r="L265" s="18">
        <f>L255+INDEX(Data_Prices!L:L,MATCH($G265,Data_Prices!$A:$A,0))*L$279</f>
        <v>34.4153703043132</v>
      </c>
      <c r="M265" s="18">
        <f>M255+INDEX(Data_Prices!M:M,MATCH($G265,Data_Prices!$A:$A,0))*M$279</f>
        <v>37.368960690431997</v>
      </c>
      <c r="N265" s="18">
        <f>N255+INDEX(Data_Prices!N:N,MATCH($G265,Data_Prices!$A:$A,0))*N$279</f>
        <v>28.982761101477301</v>
      </c>
      <c r="O265" s="18">
        <f>O255+INDEX(Data_Prices!O:O,MATCH($G265,Data_Prices!$A:$A,0))*O$279</f>
        <v>15</v>
      </c>
      <c r="P265" s="18">
        <f>P255+INDEX(Data_Prices!P:P,MATCH($G265,Data_Prices!$A:$A,0))*P$279</f>
        <v>24.2586300842555</v>
      </c>
      <c r="Q265" s="18">
        <f>Q255+INDEX(Data_Prices!Q:Q,MATCH($G265,Data_Prices!$A:$A,0))*Q$279</f>
        <v>18.963758196132499</v>
      </c>
      <c r="R265" s="18">
        <f>R255+INDEX(Data_Prices!R:R,MATCH($G265,Data_Prices!$A:$A,0))*R$279</f>
        <v>21.760345114010597</v>
      </c>
      <c r="S265" s="18">
        <f>S255+INDEX(Data_Prices!S:S,MATCH($G265,Data_Prices!$A:$A,0))*S$279</f>
        <v>26.079880691373621</v>
      </c>
      <c r="T265" s="18">
        <f>T255+INDEX(Data_Prices!T:T,MATCH($G265,Data_Prices!$A:$A,0))*T$279</f>
        <v>30.593682445209218</v>
      </c>
      <c r="U265" s="18">
        <f>U255+INDEX(Data_Prices!U:U,MATCH($G265,Data_Prices!$A:$A,0))*U$279</f>
        <v>34.990509739410058</v>
      </c>
      <c r="V265" s="18">
        <f>V255+INDEX(Data_Prices!V:V,MATCH($G265,Data_Prices!$A:$A,0))*V$279</f>
        <v>40.858059739410059</v>
      </c>
      <c r="W265" s="18">
        <f>W255+INDEX(Data_Prices!W:W,MATCH($G265,Data_Prices!$A:$A,0))*W$279</f>
        <v>46.725609739410061</v>
      </c>
      <c r="X265" s="18">
        <f>X255+INDEX(Data_Prices!X:X,MATCH($G265,Data_Prices!$A:$A,0))*X$279</f>
        <v>52.593159739410055</v>
      </c>
      <c r="Y265" s="18">
        <f>Y255+INDEX(Data_Prices!Y:Y,MATCH($G265,Data_Prices!$A:$A,0))*Y$279</f>
        <v>58.460709739410056</v>
      </c>
      <c r="Z265" s="18">
        <f>Z255+INDEX(Data_Prices!Z:Z,MATCH($G265,Data_Prices!$A:$A,0))*Z$279</f>
        <v>64.328259739410072</v>
      </c>
      <c r="AA265" s="18">
        <f>AA255+INDEX(Data_Prices!AA:AA,MATCH($G265,Data_Prices!$A:$A,0))*AA$279</f>
        <v>70.195809739410052</v>
      </c>
      <c r="AB265" s="18">
        <f>AB255+INDEX(Data_Prices!AB:AB,MATCH($G265,Data_Prices!$A:$A,0))*AB$279</f>
        <v>76.06335973941006</v>
      </c>
      <c r="AC265" s="18">
        <f>AC255+INDEX(Data_Prices!AC:AC,MATCH($G265,Data_Prices!$A:$A,0))*AC$279</f>
        <v>81.930909739410041</v>
      </c>
      <c r="AD265" s="18">
        <f>AD255+INDEX(Data_Prices!AD:AD,MATCH($G265,Data_Prices!$A:$A,0))*AD$279</f>
        <v>87.798459739410063</v>
      </c>
      <c r="AE265" s="18">
        <f>AE255+INDEX(Data_Prices!AE:AE,MATCH($G265,Data_Prices!$A:$A,0))*AE$279</f>
        <v>93.666009739410043</v>
      </c>
    </row>
    <row r="266" spans="2:31" x14ac:dyDescent="0.45">
      <c r="B266" s="14" t="s">
        <v>70</v>
      </c>
      <c r="C266" s="14" t="str">
        <f t="shared" si="61"/>
        <v>irn</v>
      </c>
      <c r="D266" s="15" t="s">
        <v>71</v>
      </c>
      <c r="E266" s="16" t="s">
        <v>54</v>
      </c>
      <c r="F266" s="14" t="s">
        <v>76</v>
      </c>
      <c r="G266" s="17" t="str">
        <f>Settings!$B$3&amp;".mit.nce."&amp;Settings!$B$4&amp;"."&amp;$B266&amp;".a."&amp;$J$247</f>
        <v>egy.mit.nce.ind.bio.a.2</v>
      </c>
      <c r="H266" s="45" t="str">
        <f>Settings!$B$3&amp;".mit.atp."&amp;$C$247&amp;"."&amp;$B266&amp;".e."&amp;$J$247</f>
        <v>egy.mit.atp.irn.bio.e.2</v>
      </c>
      <c r="K266" s="18">
        <f>K256+INDEX(Data_Prices!K:K,MATCH($G266,Data_Prices!$A:$A,0))*K$279</f>
        <v>15.3345505293169</v>
      </c>
      <c r="L266" s="18">
        <f>L256+INDEX(Data_Prices!L:L,MATCH($G266,Data_Prices!$A:$A,0))*L$279</f>
        <v>14.199528390634899</v>
      </c>
      <c r="M266" s="18">
        <f>M256+INDEX(Data_Prices!M:M,MATCH($G266,Data_Prices!$A:$A,0))*M$279</f>
        <v>13.8404416133152</v>
      </c>
      <c r="N266" s="18">
        <f>N256+INDEX(Data_Prices!N:N,MATCH($G266,Data_Prices!$A:$A,0))*N$279</f>
        <v>13.5677269404465</v>
      </c>
      <c r="O266" s="18">
        <f>O256+INDEX(Data_Prices!O:O,MATCH($G266,Data_Prices!$A:$A,0))*O$279</f>
        <v>13.5677269404465</v>
      </c>
      <c r="P266" s="18">
        <f>P256+INDEX(Data_Prices!P:P,MATCH($G266,Data_Prices!$A:$A,0))*P$279</f>
        <v>13.5677269404465</v>
      </c>
      <c r="Q266" s="18">
        <f>Q256+INDEX(Data_Prices!Q:Q,MATCH($G266,Data_Prices!$A:$A,0))*Q$279</f>
        <v>13.5677269404465</v>
      </c>
      <c r="R266" s="18">
        <f>R256+INDEX(Data_Prices!R:R,MATCH($G266,Data_Prices!$A:$A,0))*R$279</f>
        <v>13.5677269404465</v>
      </c>
      <c r="S266" s="18">
        <f>S256+INDEX(Data_Prices!S:S,MATCH($G266,Data_Prices!$A:$A,0))*S$279</f>
        <v>13.5677269404465</v>
      </c>
      <c r="T266" s="18">
        <f>T256+INDEX(Data_Prices!T:T,MATCH($G266,Data_Prices!$A:$A,0))*T$279</f>
        <v>13.5677269404465</v>
      </c>
      <c r="U266" s="18">
        <f>U256+INDEX(Data_Prices!U:U,MATCH($G266,Data_Prices!$A:$A,0))*U$279</f>
        <v>13.5677269404465</v>
      </c>
      <c r="V266" s="18">
        <f>V256+INDEX(Data_Prices!V:V,MATCH($G266,Data_Prices!$A:$A,0))*V$279</f>
        <v>13.5677269404465</v>
      </c>
      <c r="W266" s="18">
        <f>W256+INDEX(Data_Prices!W:W,MATCH($G266,Data_Prices!$A:$A,0))*W$279</f>
        <v>13.5677269404465</v>
      </c>
      <c r="X266" s="18">
        <f>X256+INDEX(Data_Prices!X:X,MATCH($G266,Data_Prices!$A:$A,0))*X$279</f>
        <v>13.5677269404465</v>
      </c>
      <c r="Y266" s="18">
        <f>Y256+INDEX(Data_Prices!Y:Y,MATCH($G266,Data_Prices!$A:$A,0))*Y$279</f>
        <v>13.5677269404465</v>
      </c>
      <c r="Z266" s="18">
        <f>Z256+INDEX(Data_Prices!Z:Z,MATCH($G266,Data_Prices!$A:$A,0))*Z$279</f>
        <v>13.5677269404465</v>
      </c>
      <c r="AA266" s="18">
        <f>AA256+INDEX(Data_Prices!AA:AA,MATCH($G266,Data_Prices!$A:$A,0))*AA$279</f>
        <v>13.5677269404465</v>
      </c>
      <c r="AB266" s="18">
        <f>AB256+INDEX(Data_Prices!AB:AB,MATCH($G266,Data_Prices!$A:$A,0))*AB$279</f>
        <v>13.5677269404465</v>
      </c>
      <c r="AC266" s="18">
        <f>AC256+INDEX(Data_Prices!AC:AC,MATCH($G266,Data_Prices!$A:$A,0))*AC$279</f>
        <v>13.5677269404465</v>
      </c>
      <c r="AD266" s="18">
        <f>AD256+INDEX(Data_Prices!AD:AD,MATCH($G266,Data_Prices!$A:$A,0))*AD$279</f>
        <v>13.5677269404465</v>
      </c>
      <c r="AE266" s="18">
        <f>AE256+INDEX(Data_Prices!AE:AE,MATCH($G266,Data_Prices!$A:$A,0))*AE$279</f>
        <v>13.5677269404465</v>
      </c>
    </row>
    <row r="267" spans="2:31" x14ac:dyDescent="0.45">
      <c r="B267" s="14" t="s">
        <v>72</v>
      </c>
      <c r="C267" s="14" t="str">
        <f t="shared" si="61"/>
        <v>irn</v>
      </c>
      <c r="D267" s="15" t="s">
        <v>73</v>
      </c>
      <c r="E267" s="16" t="s">
        <v>74</v>
      </c>
      <c r="F267" s="14" t="s">
        <v>76</v>
      </c>
      <c r="G267" s="17" t="str">
        <f>Settings!$B$3&amp;".mit.nce."&amp;Settings!$B$4&amp;"."&amp;$B267&amp;".a."&amp;$J$247</f>
        <v>egy.mit.nce.ind.ren.a.2</v>
      </c>
      <c r="H267" s="45" t="str">
        <f>Settings!$B$3&amp;".mit.atp."&amp;$C$247&amp;"."&amp;$B267&amp;".e."&amp;$J$247</f>
        <v>egy.mit.atp.irn.ren.e.2</v>
      </c>
      <c r="K267" s="18">
        <f>K257+INDEX(Data_Prices!K:K,MATCH($G267,Data_Prices!$A:$A,0))*K$279</f>
        <v>0</v>
      </c>
      <c r="L267" s="18">
        <f>L257+INDEX(Data_Prices!L:L,MATCH($G267,Data_Prices!$A:$A,0))*L$279</f>
        <v>0.14404498679319799</v>
      </c>
      <c r="M267" s="18">
        <f>M257+INDEX(Data_Prices!M:M,MATCH($G267,Data_Prices!$A:$A,0))*M$279</f>
        <v>0.141386241751359</v>
      </c>
      <c r="N267" s="18">
        <f>N257+INDEX(Data_Prices!N:N,MATCH($G267,Data_Prices!$A:$A,0))*N$279</f>
        <v>0.13539756544373099</v>
      </c>
      <c r="O267" s="18">
        <f>O257+INDEX(Data_Prices!O:O,MATCH($G267,Data_Prices!$A:$A,0))*O$279</f>
        <v>0.13152288542065099</v>
      </c>
      <c r="P267" s="18">
        <f>P257+INDEX(Data_Prices!P:P,MATCH($G267,Data_Prices!$A:$A,0))*P$279</f>
        <v>0.12882610848523099</v>
      </c>
      <c r="Q267" s="18">
        <f>Q257+INDEX(Data_Prices!Q:Q,MATCH($G267,Data_Prices!$A:$A,0))*Q$279</f>
        <v>0.12594200976473999</v>
      </c>
      <c r="R267" s="18">
        <f>R257+INDEX(Data_Prices!R:R,MATCH($G267,Data_Prices!$A:$A,0))*R$279</f>
        <v>0.123113265701861</v>
      </c>
      <c r="S267" s="18">
        <f>S257+INDEX(Data_Prices!S:S,MATCH($G267,Data_Prices!$A:$A,0))*S$279</f>
        <v>0.119391738089068</v>
      </c>
      <c r="T267" s="18">
        <f>T257+INDEX(Data_Prices!T:T,MATCH($G267,Data_Prices!$A:$A,0))*T$279</f>
        <v>0.11554419046792</v>
      </c>
      <c r="U267" s="18">
        <f>U257+INDEX(Data_Prices!U:U,MATCH($G267,Data_Prices!$A:$A,0))*U$279</f>
        <v>0.11492423065415899</v>
      </c>
      <c r="V267" s="18">
        <f>V257+INDEX(Data_Prices!V:V,MATCH($G267,Data_Prices!$A:$A,0))*V$279</f>
        <v>0.114346912116736</v>
      </c>
      <c r="W267" s="18">
        <f>W257+INDEX(Data_Prices!W:W,MATCH($G267,Data_Prices!$A:$A,0))*W$279</f>
        <v>0.113738711172664</v>
      </c>
      <c r="X267" s="18">
        <f>X257+INDEX(Data_Prices!X:X,MATCH($G267,Data_Prices!$A:$A,0))*X$279</f>
        <v>0.112999900487521</v>
      </c>
      <c r="Y267" s="18">
        <f>Y257+INDEX(Data_Prices!Y:Y,MATCH($G267,Data_Prices!$A:$A,0))*Y$279</f>
        <v>0.112177685835534</v>
      </c>
      <c r="Z267" s="18">
        <f>Z257+INDEX(Data_Prices!Z:Z,MATCH($G267,Data_Prices!$A:$A,0))*Z$279</f>
        <v>0.111417903250404</v>
      </c>
      <c r="AA267" s="18">
        <f>AA257+INDEX(Data_Prices!AA:AA,MATCH($G267,Data_Prices!$A:$A,0))*AA$279</f>
        <v>0.11052581998545399</v>
      </c>
      <c r="AB267" s="18">
        <f>AB257+INDEX(Data_Prices!AB:AB,MATCH($G267,Data_Prices!$A:$A,0))*AB$279</f>
        <v>0.109699565234896</v>
      </c>
      <c r="AC267" s="18">
        <f>AC257+INDEX(Data_Prices!AC:AC,MATCH($G267,Data_Prices!$A:$A,0))*AC$279</f>
        <v>0.10772678896394899</v>
      </c>
      <c r="AD267" s="18">
        <f>AD257+INDEX(Data_Prices!AD:AD,MATCH($G267,Data_Prices!$A:$A,0))*AD$279</f>
        <v>0.10582092445093499</v>
      </c>
      <c r="AE267" s="18">
        <f>AE257+INDEX(Data_Prices!AE:AE,MATCH($G267,Data_Prices!$A:$A,0))*AE$279</f>
        <v>0.103855595705721</v>
      </c>
    </row>
    <row r="268" spans="2:31" x14ac:dyDescent="0.45">
      <c r="B268" s="13" t="s">
        <v>77</v>
      </c>
    </row>
    <row r="269" spans="2:31" x14ac:dyDescent="0.45">
      <c r="B269" s="14" t="s">
        <v>52</v>
      </c>
      <c r="C269" s="14" t="str">
        <f t="shared" ref="C269:C277" si="62">$C$247</f>
        <v>irn</v>
      </c>
      <c r="D269" s="15" t="s">
        <v>53</v>
      </c>
      <c r="E269" s="16" t="s">
        <v>54</v>
      </c>
      <c r="F269" s="14" t="s">
        <v>78</v>
      </c>
      <c r="G269" s="17" t="str">
        <f>Settings!$B$3&amp;".mit.shp."&amp;$B269&amp;"."&amp;Settings!$B$4&amp;"."&amp;$J$247</f>
        <v>egy.mit.shp.coa.ind.2</v>
      </c>
      <c r="H269" s="45" t="str">
        <f>Settings!$B$3&amp;".mit.shp."&amp;$C$247&amp;"."&amp;$B269&amp;".e."&amp;$J$247</f>
        <v>egy.mit.shp.irn.coa.e.2</v>
      </c>
      <c r="K269" s="19">
        <f>K259+INDEX(Data_Prices!K:K,MATCH($G269,Data_Prices!$A:$A,0))*K$280</f>
        <v>11.182901589243899</v>
      </c>
      <c r="L269" s="19">
        <f>L259+INDEX(Data_Prices!L:L,MATCH($G269,Data_Prices!$A:$A,0))*L$280</f>
        <v>10.5233613454312</v>
      </c>
      <c r="M269" s="19">
        <f>M259+INDEX(Data_Prices!M:M,MATCH($G269,Data_Prices!$A:$A,0))*M$280</f>
        <v>10.2995608274442</v>
      </c>
      <c r="N269" s="19">
        <f>N259+INDEX(Data_Prices!N:N,MATCH($G269,Data_Prices!$A:$A,0))*N$280</f>
        <v>9.5775283595382597</v>
      </c>
      <c r="O269" s="19">
        <f>O259+INDEX(Data_Prices!O:O,MATCH($G269,Data_Prices!$A:$A,0))*O$280</f>
        <v>8.4854782869580507</v>
      </c>
      <c r="P269" s="19">
        <f>P259+INDEX(Data_Prices!P:P,MATCH($G269,Data_Prices!$A:$A,0))*P$280</f>
        <v>9.0871922352498604</v>
      </c>
      <c r="Q269" s="19">
        <f>Q259+INDEX(Data_Prices!Q:Q,MATCH($G269,Data_Prices!$A:$A,0))*Q$280</f>
        <v>10.472923728932679</v>
      </c>
      <c r="R269" s="19">
        <f>R259+INDEX(Data_Prices!R:R,MATCH($G269,Data_Prices!$A:$A,0))*R$280</f>
        <v>11.658564955509689</v>
      </c>
      <c r="S269" s="19">
        <f>S259+INDEX(Data_Prices!S:S,MATCH($G269,Data_Prices!$A:$A,0))*S$280</f>
        <v>12.839547877397379</v>
      </c>
      <c r="T269" s="19">
        <f>T259+INDEX(Data_Prices!T:T,MATCH($G269,Data_Prices!$A:$A,0))*T$280</f>
        <v>14.01568166602283</v>
      </c>
      <c r="U269" s="19">
        <f>U259+INDEX(Data_Prices!U:U,MATCH($G269,Data_Prices!$A:$A,0))*U$280</f>
        <v>15.19439776555711</v>
      </c>
      <c r="V269" s="19">
        <f>V259+INDEX(Data_Prices!V:V,MATCH($G269,Data_Prices!$A:$A,0))*V$280</f>
        <v>16.44439776555711</v>
      </c>
      <c r="W269" s="19">
        <f>W259+INDEX(Data_Prices!W:W,MATCH($G269,Data_Prices!$A:$A,0))*W$280</f>
        <v>17.69439776555711</v>
      </c>
      <c r="X269" s="19">
        <f>X259+INDEX(Data_Prices!X:X,MATCH($G269,Data_Prices!$A:$A,0))*X$280</f>
        <v>18.94439776555711</v>
      </c>
      <c r="Y269" s="19">
        <f>Y259+INDEX(Data_Prices!Y:Y,MATCH($G269,Data_Prices!$A:$A,0))*Y$280</f>
        <v>20.19439776555711</v>
      </c>
      <c r="Z269" s="19">
        <f>Z259+INDEX(Data_Prices!Z:Z,MATCH($G269,Data_Prices!$A:$A,0))*Z$280</f>
        <v>21.44439776555711</v>
      </c>
      <c r="AA269" s="19">
        <f>AA259+INDEX(Data_Prices!AA:AA,MATCH($G269,Data_Prices!$A:$A,0))*AA$280</f>
        <v>22.69439776555711</v>
      </c>
      <c r="AB269" s="19">
        <f>AB259+INDEX(Data_Prices!AB:AB,MATCH($G269,Data_Prices!$A:$A,0))*AB$280</f>
        <v>23.94439776555711</v>
      </c>
      <c r="AC269" s="19">
        <f>AC259+INDEX(Data_Prices!AC:AC,MATCH($G269,Data_Prices!$A:$A,0))*AC$280</f>
        <v>25.19439776555711</v>
      </c>
      <c r="AD269" s="19">
        <f>AD259+INDEX(Data_Prices!AD:AD,MATCH($G269,Data_Prices!$A:$A,0))*AD$280</f>
        <v>26.44439776555711</v>
      </c>
      <c r="AE269" s="19">
        <f>AE259+INDEX(Data_Prices!AE:AE,MATCH($G269,Data_Prices!$A:$A,0))*AE$280</f>
        <v>27.69439776555711</v>
      </c>
    </row>
    <row r="270" spans="2:31" x14ac:dyDescent="0.45">
      <c r="B270" s="14" t="s">
        <v>56</v>
      </c>
      <c r="C270" s="14" t="str">
        <f t="shared" si="62"/>
        <v>irn</v>
      </c>
      <c r="D270" s="15" t="s">
        <v>57</v>
      </c>
      <c r="E270" s="16" t="s">
        <v>54</v>
      </c>
      <c r="F270" s="14" t="s">
        <v>78</v>
      </c>
      <c r="G270" s="17" t="str">
        <f>Settings!$B$3&amp;".mit.shp."&amp;$B270&amp;"."&amp;Settings!$B$4&amp;"."&amp;$J$247</f>
        <v>egy.mit.shp.nga.ind.2</v>
      </c>
      <c r="H270" s="45" t="str">
        <f>Settings!$B$3&amp;".mit.shp."&amp;$C$247&amp;"."&amp;$B270&amp;".e."&amp;$J$247</f>
        <v>egy.mit.shp.irn.nga.e.2</v>
      </c>
      <c r="K270" s="19">
        <f>K260+INDEX(Data_Prices!K:K,MATCH($G270,Data_Prices!$A:$A,0))*K$280</f>
        <v>6.0634636156729096</v>
      </c>
      <c r="L270" s="19">
        <f>L260+INDEX(Data_Prices!L:L,MATCH($G270,Data_Prices!$A:$A,0))*L$280</f>
        <v>5.4510150816191896</v>
      </c>
      <c r="M270" s="19">
        <f>M260+INDEX(Data_Prices!M:M,MATCH($G270,Data_Prices!$A:$A,0))*M$280</f>
        <v>5.1193563062624801</v>
      </c>
      <c r="N270" s="19">
        <f>N260+INDEX(Data_Prices!N:N,MATCH($G270,Data_Prices!$A:$A,0))*N$280</f>
        <v>5.08218458640407</v>
      </c>
      <c r="O270" s="19">
        <f>O260+INDEX(Data_Prices!O:O,MATCH($G270,Data_Prices!$A:$A,0))*O$280</f>
        <v>5.08218458640407</v>
      </c>
      <c r="P270" s="19">
        <f>P260+INDEX(Data_Prices!P:P,MATCH($G270,Data_Prices!$A:$A,0))*P$280</f>
        <v>5.08218458640407</v>
      </c>
      <c r="Q270" s="19">
        <f>Q260+INDEX(Data_Prices!Q:Q,MATCH($G270,Data_Prices!$A:$A,0))*Q$280</f>
        <v>5.7796845864040698</v>
      </c>
      <c r="R270" s="19">
        <f>R260+INDEX(Data_Prices!R:R,MATCH($G270,Data_Prices!$A:$A,0))*R$280</f>
        <v>6.4771845864040696</v>
      </c>
      <c r="S270" s="19">
        <f>S260+INDEX(Data_Prices!S:S,MATCH($G270,Data_Prices!$A:$A,0))*S$280</f>
        <v>7.1746845864040694</v>
      </c>
      <c r="T270" s="19">
        <f>T260+INDEX(Data_Prices!T:T,MATCH($G270,Data_Prices!$A:$A,0))*T$280</f>
        <v>7.87218458640407</v>
      </c>
      <c r="U270" s="19">
        <f>U260+INDEX(Data_Prices!U:U,MATCH($G270,Data_Prices!$A:$A,0))*U$280</f>
        <v>8.5696845864040689</v>
      </c>
      <c r="V270" s="19">
        <f>V260+INDEX(Data_Prices!V:V,MATCH($G270,Data_Prices!$A:$A,0))*V$280</f>
        <v>9.2671845864040705</v>
      </c>
      <c r="W270" s="19">
        <f>W260+INDEX(Data_Prices!W:W,MATCH($G270,Data_Prices!$A:$A,0))*W$280</f>
        <v>9.9646845864040703</v>
      </c>
      <c r="X270" s="19">
        <f>X260+INDEX(Data_Prices!X:X,MATCH($G270,Data_Prices!$A:$A,0))*X$280</f>
        <v>10.66218458640407</v>
      </c>
      <c r="Y270" s="19">
        <f>Y260+INDEX(Data_Prices!Y:Y,MATCH($G270,Data_Prices!$A:$A,0))*Y$280</f>
        <v>11.35968458640407</v>
      </c>
      <c r="Z270" s="19">
        <f>Z260+INDEX(Data_Prices!Z:Z,MATCH($G270,Data_Prices!$A:$A,0))*Z$280</f>
        <v>12.05718458640407</v>
      </c>
      <c r="AA270" s="19">
        <f>AA260+INDEX(Data_Prices!AA:AA,MATCH($G270,Data_Prices!$A:$A,0))*AA$280</f>
        <v>12.754684586404071</v>
      </c>
      <c r="AB270" s="19">
        <f>AB260+INDEX(Data_Prices!AB:AB,MATCH($G270,Data_Prices!$A:$A,0))*AB$280</f>
        <v>13.452184586404069</v>
      </c>
      <c r="AC270" s="19">
        <f>AC260+INDEX(Data_Prices!AC:AC,MATCH($G270,Data_Prices!$A:$A,0))*AC$280</f>
        <v>14.149684586404071</v>
      </c>
      <c r="AD270" s="19">
        <f>AD260+INDEX(Data_Prices!AD:AD,MATCH($G270,Data_Prices!$A:$A,0))*AD$280</f>
        <v>14.847184586404071</v>
      </c>
      <c r="AE270" s="19">
        <f>AE260+INDEX(Data_Prices!AE:AE,MATCH($G270,Data_Prices!$A:$A,0))*AE$280</f>
        <v>15.54468458640407</v>
      </c>
    </row>
    <row r="271" spans="2:31" x14ac:dyDescent="0.45">
      <c r="B271" s="14" t="s">
        <v>58</v>
      </c>
      <c r="C271" s="14" t="str">
        <f t="shared" si="62"/>
        <v>irn</v>
      </c>
      <c r="D271" s="15" t="s">
        <v>59</v>
      </c>
      <c r="E271" s="16" t="s">
        <v>60</v>
      </c>
      <c r="F271" s="14" t="s">
        <v>78</v>
      </c>
      <c r="G271" s="17" t="str">
        <f>Settings!$B$3&amp;".mit.shp."&amp;$B271&amp;"."&amp;Settings!$B$4&amp;"."&amp;$J$247</f>
        <v>egy.mit.shp.gso.ind.2</v>
      </c>
      <c r="H271" s="45" t="str">
        <f>Settings!$B$3&amp;".mit.shp."&amp;$C$247&amp;"."&amp;$B271&amp;".e."&amp;$J$247</f>
        <v>egy.mit.shp.irn.gso.e.2</v>
      </c>
      <c r="K271" s="19">
        <f>K261+INDEX(Data_Prices!K:K,MATCH($G271,Data_Prices!$A:$A,0))*K$280</f>
        <v>0.67114653332181595</v>
      </c>
      <c r="L271" s="19">
        <f>L261+INDEX(Data_Prices!L:L,MATCH($G271,Data_Prices!$A:$A,0))*L$280</f>
        <v>0.61197797679140598</v>
      </c>
      <c r="M271" s="19">
        <f>M261+INDEX(Data_Prices!M:M,MATCH($G271,Data_Prices!$A:$A,0))*M$280</f>
        <v>0.61180974964187596</v>
      </c>
      <c r="N271" s="19">
        <f>N261+INDEX(Data_Prices!N:N,MATCH($G271,Data_Prices!$A:$A,0))*N$280</f>
        <v>0.60358310017790595</v>
      </c>
      <c r="O271" s="19">
        <f>O261+INDEX(Data_Prices!O:O,MATCH($G271,Data_Prices!$A:$A,0))*O$280</f>
        <v>0.60358310017790595</v>
      </c>
      <c r="P271" s="19">
        <f>P261+INDEX(Data_Prices!P:P,MATCH($G271,Data_Prices!$A:$A,0))*P$280</f>
        <v>0.60358310017790595</v>
      </c>
      <c r="Q271" s="19">
        <f>Q261+INDEX(Data_Prices!Q:Q,MATCH($G271,Data_Prices!$A:$A,0))*Q$280</f>
        <v>0.63251094334940594</v>
      </c>
      <c r="R271" s="19">
        <f>R261+INDEX(Data_Prices!R:R,MATCH($G271,Data_Prices!$A:$A,0))*R$280</f>
        <v>0.66143878652090593</v>
      </c>
      <c r="S271" s="19">
        <f>S261+INDEX(Data_Prices!S:S,MATCH($G271,Data_Prices!$A:$A,0))*S$280</f>
        <v>0.69036662969240592</v>
      </c>
      <c r="T271" s="19">
        <f>T261+INDEX(Data_Prices!T:T,MATCH($G271,Data_Prices!$A:$A,0))*T$280</f>
        <v>0.71929447286390591</v>
      </c>
      <c r="U271" s="19">
        <f>U261+INDEX(Data_Prices!U:U,MATCH($G271,Data_Prices!$A:$A,0))*U$280</f>
        <v>0.74822231603540601</v>
      </c>
      <c r="V271" s="19">
        <f>V261+INDEX(Data_Prices!V:V,MATCH($G271,Data_Prices!$A:$A,0))*V$280</f>
        <v>0.77715015920690589</v>
      </c>
      <c r="W271" s="19">
        <f>W261+INDEX(Data_Prices!W:W,MATCH($G271,Data_Prices!$A:$A,0))*W$280</f>
        <v>0.80607800237840599</v>
      </c>
      <c r="X271" s="19">
        <f>X261+INDEX(Data_Prices!X:X,MATCH($G271,Data_Prices!$A:$A,0))*X$280</f>
        <v>0.83500584554990598</v>
      </c>
      <c r="Y271" s="19">
        <f>Y261+INDEX(Data_Prices!Y:Y,MATCH($G271,Data_Prices!$A:$A,0))*Y$280</f>
        <v>0.86393368872140597</v>
      </c>
      <c r="Z271" s="19">
        <f>Z261+INDEX(Data_Prices!Z:Z,MATCH($G271,Data_Prices!$A:$A,0))*Z$280</f>
        <v>0.89286153189290596</v>
      </c>
      <c r="AA271" s="19">
        <f>AA261+INDEX(Data_Prices!AA:AA,MATCH($G271,Data_Prices!$A:$A,0))*AA$280</f>
        <v>0.92178937506440595</v>
      </c>
      <c r="AB271" s="19">
        <f>AB261+INDEX(Data_Prices!AB:AB,MATCH($G271,Data_Prices!$A:$A,0))*AB$280</f>
        <v>0.95071721823590594</v>
      </c>
      <c r="AC271" s="19">
        <f>AC261+INDEX(Data_Prices!AC:AC,MATCH($G271,Data_Prices!$A:$A,0))*AC$280</f>
        <v>0.97964506140740593</v>
      </c>
      <c r="AD271" s="19">
        <f>AD261+INDEX(Data_Prices!AD:AD,MATCH($G271,Data_Prices!$A:$A,0))*AD$280</f>
        <v>1.008572904578906</v>
      </c>
      <c r="AE271" s="19">
        <f>AE261+INDEX(Data_Prices!AE:AE,MATCH($G271,Data_Prices!$A:$A,0))*AE$280</f>
        <v>1.0375007477504059</v>
      </c>
    </row>
    <row r="272" spans="2:31" x14ac:dyDescent="0.45">
      <c r="B272" s="14" t="s">
        <v>61</v>
      </c>
      <c r="C272" s="14" t="str">
        <f t="shared" si="62"/>
        <v>irn</v>
      </c>
      <c r="D272" s="15" t="s">
        <v>62</v>
      </c>
      <c r="E272" s="16" t="s">
        <v>60</v>
      </c>
      <c r="F272" s="14" t="s">
        <v>78</v>
      </c>
      <c r="G272" s="17" t="str">
        <f>Settings!$B$3&amp;".mit.shp."&amp;$B272&amp;"."&amp;Settings!$B$4&amp;"."&amp;$J$247</f>
        <v>egy.mit.shp.die.ind.2</v>
      </c>
      <c r="H272" s="45" t="str">
        <f>Settings!$B$3&amp;".mit.shp."&amp;$C$247&amp;"."&amp;$B272&amp;".e."&amp;$J$247</f>
        <v>egy.mit.shp.irn.die.e.2</v>
      </c>
      <c r="K272" s="19">
        <f>K262+INDEX(Data_Prices!K:K,MATCH($G272,Data_Prices!$A:$A,0))*K$280</f>
        <v>0.55971121315568795</v>
      </c>
      <c r="L272" s="19">
        <f>L262+INDEX(Data_Prices!L:L,MATCH($G272,Data_Prices!$A:$A,0))*L$280</f>
        <v>0.49458873084106802</v>
      </c>
      <c r="M272" s="19">
        <f>M262+INDEX(Data_Prices!M:M,MATCH($G272,Data_Prices!$A:$A,0))*M$280</f>
        <v>0.50778654720250105</v>
      </c>
      <c r="N272" s="19">
        <f>N262+INDEX(Data_Prices!N:N,MATCH($G272,Data_Prices!$A:$A,0))*N$280</f>
        <v>0.47043642679561698</v>
      </c>
      <c r="O272" s="19">
        <f>O262+INDEX(Data_Prices!O:O,MATCH($G272,Data_Prices!$A:$A,0))*O$280</f>
        <v>0.47043642679561698</v>
      </c>
      <c r="P272" s="19">
        <f>P262+INDEX(Data_Prices!P:P,MATCH($G272,Data_Prices!$A:$A,0))*P$280</f>
        <v>0.47043642679561698</v>
      </c>
      <c r="Q272" s="19">
        <f>Q262+INDEX(Data_Prices!Q:Q,MATCH($G272,Data_Prices!$A:$A,0))*Q$280</f>
        <v>0.50344686565449193</v>
      </c>
      <c r="R272" s="19">
        <f>R262+INDEX(Data_Prices!R:R,MATCH($G272,Data_Prices!$A:$A,0))*R$280</f>
        <v>0.53645730451336693</v>
      </c>
      <c r="S272" s="19">
        <f>S262+INDEX(Data_Prices!S:S,MATCH($G272,Data_Prices!$A:$A,0))*S$280</f>
        <v>0.56946774337224193</v>
      </c>
      <c r="T272" s="19">
        <f>T262+INDEX(Data_Prices!T:T,MATCH($G272,Data_Prices!$A:$A,0))*T$280</f>
        <v>0.60247818223111693</v>
      </c>
      <c r="U272" s="19">
        <f>U262+INDEX(Data_Prices!U:U,MATCH($G272,Data_Prices!$A:$A,0))*U$280</f>
        <v>0.63548862108999193</v>
      </c>
      <c r="V272" s="19">
        <f>V262+INDEX(Data_Prices!V:V,MATCH($G272,Data_Prices!$A:$A,0))*V$280</f>
        <v>0.66849905994886694</v>
      </c>
      <c r="W272" s="19">
        <f>W262+INDEX(Data_Prices!W:W,MATCH($G272,Data_Prices!$A:$A,0))*W$280</f>
        <v>0.70150949880774194</v>
      </c>
      <c r="X272" s="19">
        <f>X262+INDEX(Data_Prices!X:X,MATCH($G272,Data_Prices!$A:$A,0))*X$280</f>
        <v>0.73451993766661694</v>
      </c>
      <c r="Y272" s="19">
        <f>Y262+INDEX(Data_Prices!Y:Y,MATCH($G272,Data_Prices!$A:$A,0))*Y$280</f>
        <v>0.76753037652549194</v>
      </c>
      <c r="Z272" s="19">
        <f>Z262+INDEX(Data_Prices!Z:Z,MATCH($G272,Data_Prices!$A:$A,0))*Z$280</f>
        <v>0.80054081538436694</v>
      </c>
      <c r="AA272" s="19">
        <f>AA262+INDEX(Data_Prices!AA:AA,MATCH($G272,Data_Prices!$A:$A,0))*AA$280</f>
        <v>0.83355125424324195</v>
      </c>
      <c r="AB272" s="19">
        <f>AB262+INDEX(Data_Prices!AB:AB,MATCH($G272,Data_Prices!$A:$A,0))*AB$280</f>
        <v>0.86656169310211695</v>
      </c>
      <c r="AC272" s="19">
        <f>AC262+INDEX(Data_Prices!AC:AC,MATCH($G272,Data_Prices!$A:$A,0))*AC$280</f>
        <v>0.89957213196099195</v>
      </c>
      <c r="AD272" s="19">
        <f>AD262+INDEX(Data_Prices!AD:AD,MATCH($G272,Data_Prices!$A:$A,0))*AD$280</f>
        <v>0.93258257081986695</v>
      </c>
      <c r="AE272" s="19">
        <f>AE262+INDEX(Data_Prices!AE:AE,MATCH($G272,Data_Prices!$A:$A,0))*AE$280</f>
        <v>0.96559300967874195</v>
      </c>
    </row>
    <row r="273" spans="2:31" x14ac:dyDescent="0.45">
      <c r="B273" s="14" t="s">
        <v>63</v>
      </c>
      <c r="C273" s="14" t="str">
        <f t="shared" si="62"/>
        <v>irn</v>
      </c>
      <c r="D273" s="15" t="s">
        <v>64</v>
      </c>
      <c r="E273" s="16" t="s">
        <v>60</v>
      </c>
      <c r="F273" s="14" t="s">
        <v>78</v>
      </c>
      <c r="G273" s="17" t="str">
        <f>Settings!$B$3&amp;".mit.shp."&amp;$B273&amp;"."&amp;Settings!$B$4&amp;"."&amp;$J$247</f>
        <v>egy.mit.shp.lpg.ind.2</v>
      </c>
      <c r="H273" s="45" t="str">
        <f>Settings!$B$3&amp;".mit.shp."&amp;$C$247&amp;"."&amp;$B273&amp;".e."&amp;$J$247</f>
        <v>egy.mit.shp.irn.lpg.e.2</v>
      </c>
      <c r="K273" s="19">
        <f>K263+INDEX(Data_Prices!K:K,MATCH($G273,Data_Prices!$A:$A,0))*K$280</f>
        <v>0.20036669112673799</v>
      </c>
      <c r="L273" s="19">
        <f>L263+INDEX(Data_Prices!L:L,MATCH($G273,Data_Prices!$A:$A,0))*L$280</f>
        <v>0.15734473625227399</v>
      </c>
      <c r="M273" s="19">
        <f>M263+INDEX(Data_Prices!M:M,MATCH($G273,Data_Prices!$A:$A,0))*M$280</f>
        <v>0.164484037759277</v>
      </c>
      <c r="N273" s="19">
        <f>N263+INDEX(Data_Prices!N:N,MATCH($G273,Data_Prices!$A:$A,0))*N$280</f>
        <v>0.15070907780704901</v>
      </c>
      <c r="O273" s="19">
        <f>O263+INDEX(Data_Prices!O:O,MATCH($G273,Data_Prices!$A:$A,0))*O$280</f>
        <v>0.15070907780704901</v>
      </c>
      <c r="P273" s="19">
        <f>P263+INDEX(Data_Prices!P:P,MATCH($G273,Data_Prices!$A:$A,0))*P$280</f>
        <v>0.15070907780704901</v>
      </c>
      <c r="Q273" s="19">
        <f>Q263+INDEX(Data_Prices!Q:Q,MATCH($G273,Data_Prices!$A:$A,0))*Q$280</f>
        <v>0.17281516073434472</v>
      </c>
      <c r="R273" s="19">
        <f>R263+INDEX(Data_Prices!R:R,MATCH($G273,Data_Prices!$A:$A,0))*R$280</f>
        <v>0.1949212436616404</v>
      </c>
      <c r="S273" s="19">
        <f>S263+INDEX(Data_Prices!S:S,MATCH($G273,Data_Prices!$A:$A,0))*S$280</f>
        <v>0.21702732658893611</v>
      </c>
      <c r="T273" s="19">
        <f>T263+INDEX(Data_Prices!T:T,MATCH($G273,Data_Prices!$A:$A,0))*T$280</f>
        <v>0.2391334095162318</v>
      </c>
      <c r="U273" s="19">
        <f>U263+INDEX(Data_Prices!U:U,MATCH($G273,Data_Prices!$A:$A,0))*U$280</f>
        <v>0.26123949244352801</v>
      </c>
      <c r="V273" s="19">
        <f>V263+INDEX(Data_Prices!V:V,MATCH($G273,Data_Prices!$A:$A,0))*V$280</f>
        <v>0.283345575370823</v>
      </c>
      <c r="W273" s="19">
        <f>W263+INDEX(Data_Prices!W:W,MATCH($G273,Data_Prices!$A:$A,0))*W$280</f>
        <v>0.30545165829811904</v>
      </c>
      <c r="X273" s="19">
        <f>X263+INDEX(Data_Prices!X:X,MATCH($G273,Data_Prices!$A:$A,0))*X$280</f>
        <v>0.32755774122541503</v>
      </c>
      <c r="Y273" s="19">
        <f>Y263+INDEX(Data_Prices!Y:Y,MATCH($G273,Data_Prices!$A:$A,0))*Y$280</f>
        <v>0.34966382415271002</v>
      </c>
      <c r="Z273" s="19">
        <f>Z263+INDEX(Data_Prices!Z:Z,MATCH($G273,Data_Prices!$A:$A,0))*Z$280</f>
        <v>0.37176990708000601</v>
      </c>
      <c r="AA273" s="19">
        <f>AA263+INDEX(Data_Prices!AA:AA,MATCH($G273,Data_Prices!$A:$A,0))*AA$280</f>
        <v>0.393875990007302</v>
      </c>
      <c r="AB273" s="19">
        <f>AB263+INDEX(Data_Prices!AB:AB,MATCH($G273,Data_Prices!$A:$A,0))*AB$280</f>
        <v>0.41598207293459699</v>
      </c>
      <c r="AC273" s="19">
        <f>AC263+INDEX(Data_Prices!AC:AC,MATCH($G273,Data_Prices!$A:$A,0))*AC$280</f>
        <v>0.43808815586189298</v>
      </c>
      <c r="AD273" s="19">
        <f>AD263+INDEX(Data_Prices!AD:AD,MATCH($G273,Data_Prices!$A:$A,0))*AD$280</f>
        <v>0.46019423878918903</v>
      </c>
      <c r="AE273" s="19">
        <f>AE263+INDEX(Data_Prices!AE:AE,MATCH($G273,Data_Prices!$A:$A,0))*AE$280</f>
        <v>0.48230032171648402</v>
      </c>
    </row>
    <row r="274" spans="2:31" x14ac:dyDescent="0.45">
      <c r="B274" s="14" t="s">
        <v>65</v>
      </c>
      <c r="C274" s="14" t="str">
        <f t="shared" si="62"/>
        <v>irn</v>
      </c>
      <c r="D274" s="15" t="s">
        <v>66</v>
      </c>
      <c r="E274" s="16" t="s">
        <v>60</v>
      </c>
      <c r="F274" s="14" t="s">
        <v>78</v>
      </c>
      <c r="G274" s="17" t="str">
        <f>Settings!$B$3&amp;".mit.shp."&amp;$B274&amp;"."&amp;Settings!$B$4&amp;"."&amp;$J$247</f>
        <v>egy.mit.shp.ker.ind.2</v>
      </c>
      <c r="H274" s="45" t="str">
        <f>Settings!$B$3&amp;".mit.shp."&amp;$C$247&amp;"."&amp;$B274&amp;".e."&amp;$J$247</f>
        <v>egy.mit.shp.irn.ker.e.2</v>
      </c>
      <c r="K274" s="19">
        <f>K264+INDEX(Data_Prices!K:K,MATCH($G274,Data_Prices!$A:$A,0))*K$280</f>
        <v>0.48429424097343499</v>
      </c>
      <c r="L274" s="19">
        <f>L264+INDEX(Data_Prices!L:L,MATCH($G274,Data_Prices!$A:$A,0))*L$280</f>
        <v>0.45642817050012802</v>
      </c>
      <c r="M274" s="19">
        <f>M264+INDEX(Data_Prices!M:M,MATCH($G274,Data_Prices!$A:$A,0))*M$280</f>
        <v>0.43168920195599497</v>
      </c>
      <c r="N274" s="19">
        <f>N264+INDEX(Data_Prices!N:N,MATCH($G274,Data_Prices!$A:$A,0))*N$280</f>
        <v>0.42507558395597</v>
      </c>
      <c r="O274" s="19">
        <f>O264+INDEX(Data_Prices!O:O,MATCH($G274,Data_Prices!$A:$A,0))*O$280</f>
        <v>0.42507558395597</v>
      </c>
      <c r="P274" s="19">
        <f>P264+INDEX(Data_Prices!P:P,MATCH($G274,Data_Prices!$A:$A,0))*P$280</f>
        <v>0.42507558395597</v>
      </c>
      <c r="Q274" s="19">
        <f>Q264+INDEX(Data_Prices!Q:Q,MATCH($G274,Data_Prices!$A:$A,0))*Q$280</f>
        <v>0.45706441406607851</v>
      </c>
      <c r="R274" s="19">
        <f>R264+INDEX(Data_Prices!R:R,MATCH($G274,Data_Prices!$A:$A,0))*R$280</f>
        <v>0.48905324417618701</v>
      </c>
      <c r="S274" s="19">
        <f>S264+INDEX(Data_Prices!S:S,MATCH($G274,Data_Prices!$A:$A,0))*S$280</f>
        <v>0.52104207428629556</v>
      </c>
      <c r="T274" s="19">
        <f>T264+INDEX(Data_Prices!T:T,MATCH($G274,Data_Prices!$A:$A,0))*T$280</f>
        <v>0.55303090439640401</v>
      </c>
      <c r="U274" s="19">
        <f>U264+INDEX(Data_Prices!U:U,MATCH($G274,Data_Prices!$A:$A,0))*U$280</f>
        <v>0.58501973450651301</v>
      </c>
      <c r="V274" s="19">
        <f>V264+INDEX(Data_Prices!V:V,MATCH($G274,Data_Prices!$A:$A,0))*V$280</f>
        <v>0.61700856461662101</v>
      </c>
      <c r="W274" s="19">
        <f>W264+INDEX(Data_Prices!W:W,MATCH($G274,Data_Prices!$A:$A,0))*W$280</f>
        <v>0.64899739472673001</v>
      </c>
      <c r="X274" s="19">
        <f>X264+INDEX(Data_Prices!X:X,MATCH($G274,Data_Prices!$A:$A,0))*X$280</f>
        <v>0.68098622483683802</v>
      </c>
      <c r="Y274" s="19">
        <f>Y264+INDEX(Data_Prices!Y:Y,MATCH($G274,Data_Prices!$A:$A,0))*Y$280</f>
        <v>0.71297505494694702</v>
      </c>
      <c r="Z274" s="19">
        <f>Z264+INDEX(Data_Prices!Z:Z,MATCH($G274,Data_Prices!$A:$A,0))*Z$280</f>
        <v>0.74496388505705502</v>
      </c>
      <c r="AA274" s="19">
        <f>AA264+INDEX(Data_Prices!AA:AA,MATCH($G274,Data_Prices!$A:$A,0))*AA$280</f>
        <v>0.77695271516716302</v>
      </c>
      <c r="AB274" s="19">
        <f>AB264+INDEX(Data_Prices!AB:AB,MATCH($G274,Data_Prices!$A:$A,0))*AB$280</f>
        <v>0.80894154527727202</v>
      </c>
      <c r="AC274" s="19">
        <f>AC264+INDEX(Data_Prices!AC:AC,MATCH($G274,Data_Prices!$A:$A,0))*AC$280</f>
        <v>0.84093037538738002</v>
      </c>
      <c r="AD274" s="19">
        <f>AD264+INDEX(Data_Prices!AD:AD,MATCH($G274,Data_Prices!$A:$A,0))*AD$280</f>
        <v>0.87291920549748903</v>
      </c>
      <c r="AE274" s="19">
        <f>AE264+INDEX(Data_Prices!AE:AE,MATCH($G274,Data_Prices!$A:$A,0))*AE$280</f>
        <v>0.90490803560759703</v>
      </c>
    </row>
    <row r="275" spans="2:31" x14ac:dyDescent="0.45">
      <c r="B275" s="14" t="s">
        <v>67</v>
      </c>
      <c r="C275" s="14" t="str">
        <f t="shared" si="62"/>
        <v>irn</v>
      </c>
      <c r="D275" s="15" t="s">
        <v>68</v>
      </c>
      <c r="E275" s="16" t="s">
        <v>69</v>
      </c>
      <c r="F275" s="14" t="s">
        <v>78</v>
      </c>
      <c r="G275" s="17" t="str">
        <f>Settings!$B$3&amp;".mit.shp."&amp;$B275&amp;"."&amp;Settings!$B$4&amp;"."&amp;$J$247</f>
        <v>egy.mit.shp.oop.ind.2</v>
      </c>
      <c r="H275" s="45" t="str">
        <f>Settings!$B$3&amp;".mit.shp."&amp;$C$247&amp;"."&amp;$B275&amp;".e."&amp;$J$247</f>
        <v>egy.mit.shp.irn.oop.e.2</v>
      </c>
      <c r="K275" s="19">
        <f>K265+INDEX(Data_Prices!K:K,MATCH($G275,Data_Prices!$A:$A,0))*K$280</f>
        <v>41.500338498868402</v>
      </c>
      <c r="L275" s="19">
        <f>L265+INDEX(Data_Prices!L:L,MATCH($G275,Data_Prices!$A:$A,0))*L$280</f>
        <v>34.4153703043132</v>
      </c>
      <c r="M275" s="19">
        <f>M265+INDEX(Data_Prices!M:M,MATCH($G275,Data_Prices!$A:$A,0))*M$280</f>
        <v>37.368960690431997</v>
      </c>
      <c r="N275" s="19">
        <f>N265+INDEX(Data_Prices!N:N,MATCH($G275,Data_Prices!$A:$A,0))*N$280</f>
        <v>28.982761101477301</v>
      </c>
      <c r="O275" s="19">
        <f>O265+INDEX(Data_Prices!O:O,MATCH($G275,Data_Prices!$A:$A,0))*O$280</f>
        <v>15</v>
      </c>
      <c r="P275" s="19">
        <f>P265+INDEX(Data_Prices!P:P,MATCH($G275,Data_Prices!$A:$A,0))*P$280</f>
        <v>24.2586300842555</v>
      </c>
      <c r="Q275" s="19">
        <f>Q265+INDEX(Data_Prices!Q:Q,MATCH($G275,Data_Prices!$A:$A,0))*Q$280</f>
        <v>18.963758196132499</v>
      </c>
      <c r="R275" s="19">
        <f>R265+INDEX(Data_Prices!R:R,MATCH($G275,Data_Prices!$A:$A,0))*R$280</f>
        <v>21.760345114010597</v>
      </c>
      <c r="S275" s="19">
        <f>S265+INDEX(Data_Prices!S:S,MATCH($G275,Data_Prices!$A:$A,0))*S$280</f>
        <v>26.079880691373621</v>
      </c>
      <c r="T275" s="19">
        <f>T265+INDEX(Data_Prices!T:T,MATCH($G275,Data_Prices!$A:$A,0))*T$280</f>
        <v>30.593682445209218</v>
      </c>
      <c r="U275" s="19">
        <f>U265+INDEX(Data_Prices!U:U,MATCH($G275,Data_Prices!$A:$A,0))*U$280</f>
        <v>34.990509739410058</v>
      </c>
      <c r="V275" s="19">
        <f>V265+INDEX(Data_Prices!V:V,MATCH($G275,Data_Prices!$A:$A,0))*V$280</f>
        <v>40.858059739410059</v>
      </c>
      <c r="W275" s="19">
        <f>W265+INDEX(Data_Prices!W:W,MATCH($G275,Data_Prices!$A:$A,0))*W$280</f>
        <v>46.725609739410061</v>
      </c>
      <c r="X275" s="19">
        <f>X265+INDEX(Data_Prices!X:X,MATCH($G275,Data_Prices!$A:$A,0))*X$280</f>
        <v>52.593159739410055</v>
      </c>
      <c r="Y275" s="19">
        <f>Y265+INDEX(Data_Prices!Y:Y,MATCH($G275,Data_Prices!$A:$A,0))*Y$280</f>
        <v>58.460709739410056</v>
      </c>
      <c r="Z275" s="19">
        <f>Z265+INDEX(Data_Prices!Z:Z,MATCH($G275,Data_Prices!$A:$A,0))*Z$280</f>
        <v>64.328259739410072</v>
      </c>
      <c r="AA275" s="19">
        <f>AA265+INDEX(Data_Prices!AA:AA,MATCH($G275,Data_Prices!$A:$A,0))*AA$280</f>
        <v>70.195809739410052</v>
      </c>
      <c r="AB275" s="19">
        <f>AB265+INDEX(Data_Prices!AB:AB,MATCH($G275,Data_Prices!$A:$A,0))*AB$280</f>
        <v>76.06335973941006</v>
      </c>
      <c r="AC275" s="19">
        <f>AC265+INDEX(Data_Prices!AC:AC,MATCH($G275,Data_Prices!$A:$A,0))*AC$280</f>
        <v>81.930909739410041</v>
      </c>
      <c r="AD275" s="19">
        <f>AD265+INDEX(Data_Prices!AD:AD,MATCH($G275,Data_Prices!$A:$A,0))*AD$280</f>
        <v>87.798459739410063</v>
      </c>
      <c r="AE275" s="19">
        <f>AE265+INDEX(Data_Prices!AE:AE,MATCH($G275,Data_Prices!$A:$A,0))*AE$280</f>
        <v>93.666009739410043</v>
      </c>
    </row>
    <row r="276" spans="2:31" x14ac:dyDescent="0.45">
      <c r="B276" s="14" t="s">
        <v>70</v>
      </c>
      <c r="C276" s="14" t="str">
        <f t="shared" si="62"/>
        <v>irn</v>
      </c>
      <c r="D276" s="15" t="s">
        <v>71</v>
      </c>
      <c r="E276" s="16" t="s">
        <v>54</v>
      </c>
      <c r="F276" s="14" t="s">
        <v>78</v>
      </c>
      <c r="G276" s="17" t="str">
        <f>Settings!$B$3&amp;".mit.shp."&amp;$B276&amp;"."&amp;Settings!$B$4&amp;"."&amp;$J$247</f>
        <v>egy.mit.shp.bio.ind.2</v>
      </c>
      <c r="H276" s="45" t="str">
        <f>Settings!$B$3&amp;".mit.shp."&amp;$C$247&amp;"."&amp;$B276&amp;".e."&amp;$J$247</f>
        <v>egy.mit.shp.irn.bio.e.2</v>
      </c>
      <c r="K276" s="19">
        <f>K266+INDEX(Data_Prices!K:K,MATCH($G276,Data_Prices!$A:$A,0))*K$280</f>
        <v>15.3345505293169</v>
      </c>
      <c r="L276" s="19">
        <f>L266+INDEX(Data_Prices!L:L,MATCH($G276,Data_Prices!$A:$A,0))*L$280</f>
        <v>14.199528390634899</v>
      </c>
      <c r="M276" s="19">
        <f>M266+INDEX(Data_Prices!M:M,MATCH($G276,Data_Prices!$A:$A,0))*M$280</f>
        <v>13.8404416133152</v>
      </c>
      <c r="N276" s="19">
        <f>N266+INDEX(Data_Prices!N:N,MATCH($G276,Data_Prices!$A:$A,0))*N$280</f>
        <v>13.5677269404465</v>
      </c>
      <c r="O276" s="19">
        <f>O266+INDEX(Data_Prices!O:O,MATCH($G276,Data_Prices!$A:$A,0))*O$280</f>
        <v>13.5677269404465</v>
      </c>
      <c r="P276" s="19">
        <f>P266+INDEX(Data_Prices!P:P,MATCH($G276,Data_Prices!$A:$A,0))*P$280</f>
        <v>13.5677269404465</v>
      </c>
      <c r="Q276" s="19">
        <f>Q266+INDEX(Data_Prices!Q:Q,MATCH($G276,Data_Prices!$A:$A,0))*Q$280</f>
        <v>13.5677269404465</v>
      </c>
      <c r="R276" s="19">
        <f>R266+INDEX(Data_Prices!R:R,MATCH($G276,Data_Prices!$A:$A,0))*R$280</f>
        <v>13.5677269404465</v>
      </c>
      <c r="S276" s="19">
        <f>S266+INDEX(Data_Prices!S:S,MATCH($G276,Data_Prices!$A:$A,0))*S$280</f>
        <v>13.5677269404465</v>
      </c>
      <c r="T276" s="19">
        <f>T266+INDEX(Data_Prices!T:T,MATCH($G276,Data_Prices!$A:$A,0))*T$280</f>
        <v>13.5677269404465</v>
      </c>
      <c r="U276" s="19">
        <f>U266+INDEX(Data_Prices!U:U,MATCH($G276,Data_Prices!$A:$A,0))*U$280</f>
        <v>13.5677269404465</v>
      </c>
      <c r="V276" s="19">
        <f>V266+INDEX(Data_Prices!V:V,MATCH($G276,Data_Prices!$A:$A,0))*V$280</f>
        <v>13.5677269404465</v>
      </c>
      <c r="W276" s="19">
        <f>W266+INDEX(Data_Prices!W:W,MATCH($G276,Data_Prices!$A:$A,0))*W$280</f>
        <v>13.5677269404465</v>
      </c>
      <c r="X276" s="19">
        <f>X266+INDEX(Data_Prices!X:X,MATCH($G276,Data_Prices!$A:$A,0))*X$280</f>
        <v>13.5677269404465</v>
      </c>
      <c r="Y276" s="19">
        <f>Y266+INDEX(Data_Prices!Y:Y,MATCH($G276,Data_Prices!$A:$A,0))*Y$280</f>
        <v>13.5677269404465</v>
      </c>
      <c r="Z276" s="19">
        <f>Z266+INDEX(Data_Prices!Z:Z,MATCH($G276,Data_Prices!$A:$A,0))*Z$280</f>
        <v>13.5677269404465</v>
      </c>
      <c r="AA276" s="19">
        <f>AA266+INDEX(Data_Prices!AA:AA,MATCH($G276,Data_Prices!$A:$A,0))*AA$280</f>
        <v>13.5677269404465</v>
      </c>
      <c r="AB276" s="19">
        <f>AB266+INDEX(Data_Prices!AB:AB,MATCH($G276,Data_Prices!$A:$A,0))*AB$280</f>
        <v>13.5677269404465</v>
      </c>
      <c r="AC276" s="19">
        <f>AC266+INDEX(Data_Prices!AC:AC,MATCH($G276,Data_Prices!$A:$A,0))*AC$280</f>
        <v>13.5677269404465</v>
      </c>
      <c r="AD276" s="19">
        <f>AD266+INDEX(Data_Prices!AD:AD,MATCH($G276,Data_Prices!$A:$A,0))*AD$280</f>
        <v>13.5677269404465</v>
      </c>
      <c r="AE276" s="19">
        <f>AE266+INDEX(Data_Prices!AE:AE,MATCH($G276,Data_Prices!$A:$A,0))*AE$280</f>
        <v>13.5677269404465</v>
      </c>
    </row>
    <row r="277" spans="2:31" x14ac:dyDescent="0.45">
      <c r="B277" s="14" t="s">
        <v>72</v>
      </c>
      <c r="C277" s="14" t="str">
        <f t="shared" si="62"/>
        <v>irn</v>
      </c>
      <c r="D277" s="15" t="s">
        <v>73</v>
      </c>
      <c r="E277" s="16" t="s">
        <v>74</v>
      </c>
      <c r="F277" s="14" t="s">
        <v>78</v>
      </c>
      <c r="G277" s="17" t="str">
        <f>Settings!$B$3&amp;".mit.shp."&amp;$B277&amp;"."&amp;Settings!$B$4&amp;"."&amp;$J$247</f>
        <v>egy.mit.shp.ren.ind.2</v>
      </c>
      <c r="H277" s="45" t="str">
        <f>Settings!$B$3&amp;".mit.shp."&amp;$C$247&amp;"."&amp;$B277&amp;".e."&amp;$J$247</f>
        <v>egy.mit.shp.irn.ren.e.2</v>
      </c>
      <c r="K277" s="19">
        <f>K267+INDEX(Data_Prices!K:K,MATCH($G277,Data_Prices!$A:$A,0))*K$280</f>
        <v>0</v>
      </c>
      <c r="L277" s="19">
        <f>L267+INDEX(Data_Prices!L:L,MATCH($G277,Data_Prices!$A:$A,0))*L$280</f>
        <v>0.14404498679319799</v>
      </c>
      <c r="M277" s="19">
        <f>M267+INDEX(Data_Prices!M:M,MATCH($G277,Data_Prices!$A:$A,0))*M$280</f>
        <v>0.141386241751359</v>
      </c>
      <c r="N277" s="19">
        <f>N267+INDEX(Data_Prices!N:N,MATCH($G277,Data_Prices!$A:$A,0))*N$280</f>
        <v>0.13539756544373099</v>
      </c>
      <c r="O277" s="19">
        <f>O267+INDEX(Data_Prices!O:O,MATCH($G277,Data_Prices!$A:$A,0))*O$280</f>
        <v>0.13152288542065099</v>
      </c>
      <c r="P277" s="19">
        <f>P267+INDEX(Data_Prices!P:P,MATCH($G277,Data_Prices!$A:$A,0))*P$280</f>
        <v>0.12882610848523099</v>
      </c>
      <c r="Q277" s="19">
        <f>Q267+INDEX(Data_Prices!Q:Q,MATCH($G277,Data_Prices!$A:$A,0))*Q$280</f>
        <v>0.12594200976473999</v>
      </c>
      <c r="R277" s="19">
        <f>R267+INDEX(Data_Prices!R:R,MATCH($G277,Data_Prices!$A:$A,0))*R$280</f>
        <v>0.123113265701861</v>
      </c>
      <c r="S277" s="19">
        <f>S267+INDEX(Data_Prices!S:S,MATCH($G277,Data_Prices!$A:$A,0))*S$280</f>
        <v>0.119391738089068</v>
      </c>
      <c r="T277" s="19">
        <f>T267+INDEX(Data_Prices!T:T,MATCH($G277,Data_Prices!$A:$A,0))*T$280</f>
        <v>0.11554419046792</v>
      </c>
      <c r="U277" s="19">
        <f>U267+INDEX(Data_Prices!U:U,MATCH($G277,Data_Prices!$A:$A,0))*U$280</f>
        <v>0.11492423065415899</v>
      </c>
      <c r="V277" s="19">
        <f>V267+INDEX(Data_Prices!V:V,MATCH($G277,Data_Prices!$A:$A,0))*V$280</f>
        <v>0.114346912116736</v>
      </c>
      <c r="W277" s="19">
        <f>W267+INDEX(Data_Prices!W:W,MATCH($G277,Data_Prices!$A:$A,0))*W$280</f>
        <v>0.113738711172664</v>
      </c>
      <c r="X277" s="19">
        <f>X267+INDEX(Data_Prices!X:X,MATCH($G277,Data_Prices!$A:$A,0))*X$280</f>
        <v>0.112999900487521</v>
      </c>
      <c r="Y277" s="19">
        <f>Y267+INDEX(Data_Prices!Y:Y,MATCH($G277,Data_Prices!$A:$A,0))*Y$280</f>
        <v>0.112177685835534</v>
      </c>
      <c r="Z277" s="19">
        <f>Z267+INDEX(Data_Prices!Z:Z,MATCH($G277,Data_Prices!$A:$A,0))*Z$280</f>
        <v>0.111417903250404</v>
      </c>
      <c r="AA277" s="19">
        <f>AA267+INDEX(Data_Prices!AA:AA,MATCH($G277,Data_Prices!$A:$A,0))*AA$280</f>
        <v>0.11052581998545399</v>
      </c>
      <c r="AB277" s="19">
        <f>AB267+INDEX(Data_Prices!AB:AB,MATCH($G277,Data_Prices!$A:$A,0))*AB$280</f>
        <v>0.109699565234896</v>
      </c>
      <c r="AC277" s="19">
        <f>AC267+INDEX(Data_Prices!AC:AC,MATCH($G277,Data_Prices!$A:$A,0))*AC$280</f>
        <v>0.10772678896394899</v>
      </c>
      <c r="AD277" s="19">
        <f>AD267+INDEX(Data_Prices!AD:AD,MATCH($G277,Data_Prices!$A:$A,0))*AD$280</f>
        <v>0.10582092445093499</v>
      </c>
      <c r="AE277" s="19">
        <f>AE267+INDEX(Data_Prices!AE:AE,MATCH($G277,Data_Prices!$A:$A,0))*AE$280</f>
        <v>0.103855595705721</v>
      </c>
    </row>
    <row r="278" spans="2:31" x14ac:dyDescent="0.45">
      <c r="B278" s="13" t="s">
        <v>79</v>
      </c>
    </row>
    <row r="279" spans="2:31" x14ac:dyDescent="0.45">
      <c r="B279" s="14" t="s">
        <v>80</v>
      </c>
      <c r="C279" s="14" t="str">
        <f>$C$247</f>
        <v>irn</v>
      </c>
      <c r="D279" s="15" t="s">
        <v>81</v>
      </c>
      <c r="E279" s="16" t="s">
        <v>82</v>
      </c>
      <c r="F279" s="14" t="s">
        <v>83</v>
      </c>
      <c r="G279" s="17" t="str">
        <f>Settings!$B$3&amp;".mit.tcf."&amp;$C$247&amp;"."&amp;$J$247</f>
        <v>egy.mit.tcf.irn.2</v>
      </c>
      <c r="K279" s="19">
        <f>INDEX(Data_Prices!K:K,MATCH($G279,Data_Prices!$A:$A,0))</f>
        <v>0</v>
      </c>
      <c r="L279" s="19">
        <f>INDEX(Data_Prices!L:L,MATCH($G279,Data_Prices!$A:$A,0))</f>
        <v>0</v>
      </c>
      <c r="M279" s="19">
        <f>INDEX(Data_Prices!M:M,MATCH($G279,Data_Prices!$A:$A,0))</f>
        <v>0</v>
      </c>
      <c r="N279" s="19">
        <f>INDEX(Data_Prices!N:N,MATCH($G279,Data_Prices!$A:$A,0))</f>
        <v>0</v>
      </c>
      <c r="O279" s="19">
        <f>INDEX(Data_Prices!O:O,MATCH($G279,Data_Prices!$A:$A,0))</f>
        <v>0</v>
      </c>
      <c r="P279" s="19">
        <f>INDEX(Data_Prices!P:P,MATCH($G279,Data_Prices!$A:$A,0))</f>
        <v>1</v>
      </c>
      <c r="Q279" s="19">
        <f>INDEX(Data_Prices!Q:Q,MATCH($G279,Data_Prices!$A:$A,0))</f>
        <v>1</v>
      </c>
      <c r="R279" s="19">
        <f>INDEX(Data_Prices!R:R,MATCH($G279,Data_Prices!$A:$A,0))</f>
        <v>1</v>
      </c>
      <c r="S279" s="19">
        <f>INDEX(Data_Prices!S:S,MATCH($G279,Data_Prices!$A:$A,0))</f>
        <v>1</v>
      </c>
      <c r="T279" s="19">
        <f>INDEX(Data_Prices!T:T,MATCH($G279,Data_Prices!$A:$A,0))</f>
        <v>1</v>
      </c>
      <c r="U279" s="19">
        <f>INDEX(Data_Prices!U:U,MATCH($G279,Data_Prices!$A:$A,0))</f>
        <v>1</v>
      </c>
      <c r="V279" s="19">
        <f>INDEX(Data_Prices!V:V,MATCH($G279,Data_Prices!$A:$A,0))</f>
        <v>1</v>
      </c>
      <c r="W279" s="19">
        <f>INDEX(Data_Prices!W:W,MATCH($G279,Data_Prices!$A:$A,0))</f>
        <v>1</v>
      </c>
      <c r="X279" s="19">
        <f>INDEX(Data_Prices!X:X,MATCH($G279,Data_Prices!$A:$A,0))</f>
        <v>1</v>
      </c>
      <c r="Y279" s="19">
        <f>INDEX(Data_Prices!Y:Y,MATCH($G279,Data_Prices!$A:$A,0))</f>
        <v>1</v>
      </c>
      <c r="Z279" s="19">
        <f>INDEX(Data_Prices!Z:Z,MATCH($G279,Data_Prices!$A:$A,0))</f>
        <v>1</v>
      </c>
      <c r="AA279" s="19">
        <f>INDEX(Data_Prices!AA:AA,MATCH($G279,Data_Prices!$A:$A,0))</f>
        <v>1</v>
      </c>
      <c r="AB279" s="19">
        <f>INDEX(Data_Prices!AB:AB,MATCH($G279,Data_Prices!$A:$A,0))</f>
        <v>1</v>
      </c>
      <c r="AC279" s="19">
        <f>INDEX(Data_Prices!AC:AC,MATCH($G279,Data_Prices!$A:$A,0))</f>
        <v>1</v>
      </c>
      <c r="AD279" s="19">
        <f>INDEX(Data_Prices!AD:AD,MATCH($G279,Data_Prices!$A:$A,0))</f>
        <v>1</v>
      </c>
      <c r="AE279" s="19">
        <f>INDEX(Data_Prices!AE:AE,MATCH($G279,Data_Prices!$A:$A,0))</f>
        <v>1</v>
      </c>
    </row>
    <row r="280" spans="2:31" x14ac:dyDescent="0.45">
      <c r="B280" s="14" t="s">
        <v>80</v>
      </c>
      <c r="C280" s="14" t="str">
        <f>$C$247</f>
        <v>irn</v>
      </c>
      <c r="D280" s="15" t="s">
        <v>84</v>
      </c>
      <c r="E280" s="16" t="s">
        <v>82</v>
      </c>
      <c r="F280" s="14" t="s">
        <v>85</v>
      </c>
      <c r="G280" s="17" t="str">
        <f>Settings!$B$3&amp;".mit.ssc."&amp;$C$247&amp;"."&amp;$J$247</f>
        <v>egy.mit.ssc.irn.2</v>
      </c>
      <c r="K280" s="19">
        <f>INDEX(Data_Prices!K:K,MATCH($G280,Data_Prices!$A:$A,0))</f>
        <v>0</v>
      </c>
      <c r="L280" s="19">
        <f>INDEX(Data_Prices!L:L,MATCH($G280,Data_Prices!$A:$A,0))</f>
        <v>0</v>
      </c>
      <c r="M280" s="19">
        <f>INDEX(Data_Prices!M:M,MATCH($G280,Data_Prices!$A:$A,0))</f>
        <v>0</v>
      </c>
      <c r="N280" s="19">
        <f>INDEX(Data_Prices!N:N,MATCH($G280,Data_Prices!$A:$A,0))</f>
        <v>0</v>
      </c>
      <c r="O280" s="19">
        <f>INDEX(Data_Prices!O:O,MATCH($G280,Data_Prices!$A:$A,0))</f>
        <v>0</v>
      </c>
      <c r="P280" s="19">
        <f>INDEX(Data_Prices!P:P,MATCH($G280,Data_Prices!$A:$A,0))</f>
        <v>0</v>
      </c>
      <c r="Q280" s="19">
        <f>INDEX(Data_Prices!Q:Q,MATCH($G280,Data_Prices!$A:$A,0))</f>
        <v>0</v>
      </c>
      <c r="R280" s="19">
        <f>INDEX(Data_Prices!R:R,MATCH($G280,Data_Prices!$A:$A,0))</f>
        <v>0</v>
      </c>
      <c r="S280" s="19">
        <f>INDEX(Data_Prices!S:S,MATCH($G280,Data_Prices!$A:$A,0))</f>
        <v>0</v>
      </c>
      <c r="T280" s="19">
        <f>INDEX(Data_Prices!T:T,MATCH($G280,Data_Prices!$A:$A,0))</f>
        <v>0</v>
      </c>
      <c r="U280" s="19">
        <f>INDEX(Data_Prices!U:U,MATCH($G280,Data_Prices!$A:$A,0))</f>
        <v>0</v>
      </c>
      <c r="V280" s="19">
        <f>INDEX(Data_Prices!V:V,MATCH($G280,Data_Prices!$A:$A,0))</f>
        <v>0</v>
      </c>
      <c r="W280" s="19">
        <f>INDEX(Data_Prices!W:W,MATCH($G280,Data_Prices!$A:$A,0))</f>
        <v>0</v>
      </c>
      <c r="X280" s="19">
        <f>INDEX(Data_Prices!X:X,MATCH($G280,Data_Prices!$A:$A,0))</f>
        <v>0</v>
      </c>
      <c r="Y280" s="19">
        <f>INDEX(Data_Prices!Y:Y,MATCH($G280,Data_Prices!$A:$A,0))</f>
        <v>0</v>
      </c>
      <c r="Z280" s="19">
        <f>INDEX(Data_Prices!Z:Z,MATCH($G280,Data_Prices!$A:$A,0))</f>
        <v>0</v>
      </c>
      <c r="AA280" s="19">
        <f>INDEX(Data_Prices!AA:AA,MATCH($G280,Data_Prices!$A:$A,0))</f>
        <v>0</v>
      </c>
      <c r="AB280" s="19">
        <f>INDEX(Data_Prices!AB:AB,MATCH($G280,Data_Prices!$A:$A,0))</f>
        <v>0</v>
      </c>
      <c r="AC280" s="19">
        <f>INDEX(Data_Prices!AC:AC,MATCH($G280,Data_Prices!$A:$A,0))</f>
        <v>0</v>
      </c>
      <c r="AD280" s="19">
        <f>INDEX(Data_Prices!AD:AD,MATCH($G280,Data_Prices!$A:$A,0))</f>
        <v>0</v>
      </c>
      <c r="AE280" s="19">
        <f>INDEX(Data_Prices!AE:AE,MATCH($G280,Data_Prices!$A:$A,0))</f>
        <v>0</v>
      </c>
    </row>
    <row r="281" spans="2:31" x14ac:dyDescent="0.45">
      <c r="B281" s="14" t="s">
        <v>80</v>
      </c>
      <c r="C281" s="14" t="str">
        <f>$C$247</f>
        <v>irn</v>
      </c>
      <c r="D281" s="15" t="s">
        <v>86</v>
      </c>
      <c r="E281" s="16" t="s">
        <v>87</v>
      </c>
      <c r="F281" s="14" t="s">
        <v>88</v>
      </c>
      <c r="G281" s="17" t="str">
        <f>Settings!$B$3&amp;".mit.gdp.pos.pct."&amp;$J$247</f>
        <v>egy.mit.gdp.pos.pct.2</v>
      </c>
      <c r="K281" s="20">
        <f>INDEX(Data_Macro!K:K,MATCH($G281,Data_Macro!$A:$A,0))</f>
        <v>0</v>
      </c>
      <c r="L281" s="20">
        <f>INDEX(Data_Macro!L:L,MATCH($G281,Data_Macro!$A:$A,0))</f>
        <v>6.6513450000000002E-2</v>
      </c>
      <c r="M281" s="20">
        <f>INDEX(Data_Macro!M:M,MATCH($G281,Data_Macro!$A:$A,0))</f>
        <v>3.760281E-2</v>
      </c>
      <c r="N281" s="20">
        <f>INDEX(Data_Macro!N:N,MATCH($G281,Data_Macro!$A:$A,0))</f>
        <v>2.3988010000000001E-2</v>
      </c>
      <c r="O281" s="20">
        <f>INDEX(Data_Macro!O:O,MATCH($G281,Data_Macro!$A:$A,0))</f>
        <v>4.3923869999999997E-2</v>
      </c>
      <c r="P281" s="20">
        <f>INDEX(Data_Macro!P:P,MATCH($G281,Data_Macro!$A:$A,0))</f>
        <v>4.239706E-2</v>
      </c>
      <c r="Q281" s="20">
        <f>INDEX(Data_Macro!Q:Q,MATCH($G281,Data_Macro!$A:$A,0))</f>
        <v>4.8298383783007597E-2</v>
      </c>
      <c r="R281" s="20">
        <f>INDEX(Data_Macro!R:R,MATCH($G281,Data_Macro!$A:$A,0))</f>
        <v>5.55905477124225E-2</v>
      </c>
      <c r="S281" s="20">
        <f>INDEX(Data_Macro!S:S,MATCH($G281,Data_Macro!$A:$A,0))</f>
        <v>5.2137235389631401E-2</v>
      </c>
      <c r="T281" s="20">
        <f>INDEX(Data_Macro!T:T,MATCH($G281,Data_Macro!$A:$A,0))</f>
        <v>4.8124907491929901E-2</v>
      </c>
      <c r="U281" s="20">
        <f>INDEX(Data_Macro!U:U,MATCH($G281,Data_Macro!$A:$A,0))</f>
        <v>4.7208796526521303E-2</v>
      </c>
      <c r="V281" s="20">
        <f>INDEX(Data_Macro!V:V,MATCH($G281,Data_Macro!$A:$A,0))</f>
        <v>4.66890433006764E-2</v>
      </c>
      <c r="W281" s="20">
        <f>INDEX(Data_Macro!W:W,MATCH($G281,Data_Macro!$A:$A,0))</f>
        <v>4.6632750147029202E-2</v>
      </c>
      <c r="X281" s="20">
        <f>INDEX(Data_Macro!X:X,MATCH($G281,Data_Macro!$A:$A,0))</f>
        <v>4.6872723264421497E-2</v>
      </c>
      <c r="Y281" s="20">
        <f>INDEX(Data_Macro!Y:Y,MATCH($G281,Data_Macro!$A:$A,0))</f>
        <v>4.7469921753048698E-2</v>
      </c>
      <c r="Z281" s="20">
        <f>INDEX(Data_Macro!Z:Z,MATCH($G281,Data_Macro!$A:$A,0))</f>
        <v>4.8590713024029002E-2</v>
      </c>
      <c r="AA281" s="20">
        <f>INDEX(Data_Macro!AA:AA,MATCH($G281,Data_Macro!$A:$A,0))</f>
        <v>4.9941182078066401E-2</v>
      </c>
      <c r="AB281" s="20">
        <f>INDEX(Data_Macro!AB:AB,MATCH($G281,Data_Macro!$A:$A,0))</f>
        <v>5.13941835424786E-2</v>
      </c>
      <c r="AC281" s="20">
        <f>INDEX(Data_Macro!AC:AC,MATCH($G281,Data_Macro!$A:$A,0))</f>
        <v>5.2681763019776701E-2</v>
      </c>
      <c r="AD281" s="20">
        <f>INDEX(Data_Macro!AD:AD,MATCH($G281,Data_Macro!$A:$A,0))</f>
        <v>5.3800711336350303E-2</v>
      </c>
      <c r="AE281" s="20">
        <f>INDEX(Data_Macro!AE:AE,MATCH($G281,Data_Macro!$A:$A,0))</f>
        <v>5.4789398044337599E-2</v>
      </c>
    </row>
    <row r="282" spans="2:31" x14ac:dyDescent="0.45">
      <c r="B282" s="14" t="s">
        <v>80</v>
      </c>
      <c r="C282" s="14" t="str">
        <f>$C$247</f>
        <v>irn</v>
      </c>
      <c r="D282" s="15" t="s">
        <v>89</v>
      </c>
      <c r="E282" s="16" t="s">
        <v>90</v>
      </c>
      <c r="F282" s="14" t="s">
        <v>91</v>
      </c>
      <c r="G282" s="17" t="str">
        <f>Settings!$B$3&amp;".mit.inc.ela.adj."&amp;$J$247</f>
        <v>egy.mit.inc.ela.adj.2</v>
      </c>
      <c r="K282" s="19">
        <f>INDEX(Data_Macro!K:K,MATCH($G282,Data_Macro!$A:$A,0))</f>
        <v>0</v>
      </c>
      <c r="L282" s="19">
        <f>INDEX(Data_Macro!L:L,MATCH($G282,Data_Macro!$A:$A,0))</f>
        <v>1.02715172471961</v>
      </c>
      <c r="M282" s="19">
        <f>INDEX(Data_Macro!M:M,MATCH($G282,Data_Macro!$A:$A,0))</f>
        <v>1.02715172471961</v>
      </c>
      <c r="N282" s="19">
        <f>INDEX(Data_Macro!N:N,MATCH($G282,Data_Macro!$A:$A,0))</f>
        <v>1.0205698358851201</v>
      </c>
      <c r="O282" s="19">
        <f>INDEX(Data_Macro!O:O,MATCH($G282,Data_Macro!$A:$A,0))</f>
        <v>1.01733442885234</v>
      </c>
      <c r="P282" s="19">
        <f>INDEX(Data_Macro!P:P,MATCH($G282,Data_Macro!$A:$A,0))</f>
        <v>1.00766833225382</v>
      </c>
      <c r="Q282" s="19">
        <f>INDEX(Data_Macro!Q:Q,MATCH($G282,Data_Macro!$A:$A,0))</f>
        <v>1.0007442871755301</v>
      </c>
      <c r="R282" s="19">
        <f>INDEX(Data_Macro!R:R,MATCH($G282,Data_Macro!$A:$A,0))</f>
        <v>0.99188455719464297</v>
      </c>
      <c r="S282" s="19">
        <f>INDEX(Data_Macro!S:S,MATCH($G282,Data_Macro!$A:$A,0))</f>
        <v>0.98058056507860303</v>
      </c>
      <c r="T282" s="19">
        <f>INDEX(Data_Macro!T:T,MATCH($G282,Data_Macro!$A:$A,0))</f>
        <v>0.970250789717781</v>
      </c>
      <c r="U282" s="19">
        <f>INDEX(Data_Macro!U:U,MATCH($G282,Data_Macro!$A:$A,0))</f>
        <v>0.964288208159648</v>
      </c>
      <c r="V282" s="19">
        <f>INDEX(Data_Macro!V:V,MATCH($G282,Data_Macro!$A:$A,0))</f>
        <v>0.96183439341951105</v>
      </c>
      <c r="W282" s="19">
        <f>INDEX(Data_Macro!W:W,MATCH($G282,Data_Macro!$A:$A,0))</f>
        <v>0.95941695116164405</v>
      </c>
      <c r="X282" s="19">
        <f>INDEX(Data_Macro!X:X,MATCH($G282,Data_Macro!$A:$A,0))</f>
        <v>0.95701429252188397</v>
      </c>
      <c r="Y282" s="19">
        <f>INDEX(Data_Macro!Y:Y,MATCH($G282,Data_Macro!$A:$A,0))</f>
        <v>0.95468193722552197</v>
      </c>
      <c r="Z282" s="19">
        <f>INDEX(Data_Macro!Z:Z,MATCH($G282,Data_Macro!$A:$A,0))</f>
        <v>0.95240071158774597</v>
      </c>
      <c r="AA282" s="19">
        <f>INDEX(Data_Macro!AA:AA,MATCH($G282,Data_Macro!$A:$A,0))</f>
        <v>0.95011647499405505</v>
      </c>
      <c r="AB282" s="19">
        <f>INDEX(Data_Macro!AB:AB,MATCH($G282,Data_Macro!$A:$A,0))</f>
        <v>0.947927358499145</v>
      </c>
      <c r="AC282" s="19">
        <f>INDEX(Data_Macro!AC:AC,MATCH($G282,Data_Macro!$A:$A,0))</f>
        <v>0.94587674776299702</v>
      </c>
      <c r="AD282" s="19">
        <f>INDEX(Data_Macro!AD:AD,MATCH($G282,Data_Macro!$A:$A,0))</f>
        <v>0.94405480582839296</v>
      </c>
      <c r="AE282" s="19">
        <f>INDEX(Data_Macro!AE:AE,MATCH($G282,Data_Macro!$A:$A,0))</f>
        <v>0.94246391225206505</v>
      </c>
    </row>
    <row r="283" spans="2:31" x14ac:dyDescent="0.45">
      <c r="B283" s="14" t="s">
        <v>80</v>
      </c>
      <c r="C283" s="14" t="str">
        <f>$C$247</f>
        <v>irn</v>
      </c>
      <c r="D283" s="15" t="s">
        <v>92</v>
      </c>
      <c r="E283" s="16" t="s">
        <v>90</v>
      </c>
      <c r="F283" s="14" t="s">
        <v>93</v>
      </c>
      <c r="G283" s="17" t="str">
        <f>Settings!$B$3&amp;".mit.shock."&amp;$J$247</f>
        <v>egy.mit.shock.2</v>
      </c>
      <c r="K283" s="19">
        <f>INDEX(Data_Macro!K:K,MATCH($G283,Data_Macro!$A:$A,0))</f>
        <v>0</v>
      </c>
      <c r="L283" s="19">
        <f>INDEX(Data_Macro!L:L,MATCH($G283,Data_Macro!$A:$A,0))</f>
        <v>0</v>
      </c>
      <c r="M283" s="19">
        <f>INDEX(Data_Macro!M:M,MATCH($G283,Data_Macro!$A:$A,0))</f>
        <v>-0.20813308302044201</v>
      </c>
      <c r="N283" s="19">
        <f>INDEX(Data_Macro!N:N,MATCH($G283,Data_Macro!$A:$A,0))</f>
        <v>9.2371428571428604E-2</v>
      </c>
      <c r="O283" s="19">
        <f>INDEX(Data_Macro!O:O,MATCH($G283,Data_Macro!$A:$A,0))</f>
        <v>0</v>
      </c>
      <c r="P283" s="19">
        <f>INDEX(Data_Macro!P:P,MATCH($G283,Data_Macro!$A:$A,0))</f>
        <v>0</v>
      </c>
      <c r="Q283" s="19">
        <f>INDEX(Data_Macro!Q:Q,MATCH($G283,Data_Macro!$A:$A,0))</f>
        <v>0</v>
      </c>
      <c r="R283" s="19">
        <f>INDEX(Data_Macro!R:R,MATCH($G283,Data_Macro!$A:$A,0))</f>
        <v>0</v>
      </c>
      <c r="S283" s="19">
        <f>INDEX(Data_Macro!S:S,MATCH($G283,Data_Macro!$A:$A,0))</f>
        <v>0</v>
      </c>
      <c r="T283" s="19">
        <f>INDEX(Data_Macro!T:T,MATCH($G283,Data_Macro!$A:$A,0))</f>
        <v>0</v>
      </c>
      <c r="U283" s="19">
        <f>INDEX(Data_Macro!U:U,MATCH($G283,Data_Macro!$A:$A,0))</f>
        <v>0</v>
      </c>
      <c r="V283" s="19">
        <f>INDEX(Data_Macro!V:V,MATCH($G283,Data_Macro!$A:$A,0))</f>
        <v>0</v>
      </c>
      <c r="W283" s="19">
        <f>INDEX(Data_Macro!W:W,MATCH($G283,Data_Macro!$A:$A,0))</f>
        <v>0</v>
      </c>
      <c r="X283" s="19">
        <f>INDEX(Data_Macro!X:X,MATCH($G283,Data_Macro!$A:$A,0))</f>
        <v>0</v>
      </c>
      <c r="Y283" s="19">
        <f>INDEX(Data_Macro!Y:Y,MATCH($G283,Data_Macro!$A:$A,0))</f>
        <v>0</v>
      </c>
      <c r="Z283" s="19">
        <f>INDEX(Data_Macro!Z:Z,MATCH($G283,Data_Macro!$A:$A,0))</f>
        <v>0</v>
      </c>
      <c r="AA283" s="19">
        <f>INDEX(Data_Macro!AA:AA,MATCH($G283,Data_Macro!$A:$A,0))</f>
        <v>0</v>
      </c>
      <c r="AB283" s="19">
        <f>INDEX(Data_Macro!AB:AB,MATCH($G283,Data_Macro!$A:$A,0))</f>
        <v>0</v>
      </c>
      <c r="AC283" s="19">
        <f>INDEX(Data_Macro!AC:AC,MATCH($G283,Data_Macro!$A:$A,0))</f>
        <v>0</v>
      </c>
      <c r="AD283" s="19">
        <f>INDEX(Data_Macro!AD:AD,MATCH($G283,Data_Macro!$A:$A,0))</f>
        <v>0</v>
      </c>
      <c r="AE283" s="19">
        <f>INDEX(Data_Macro!AE:AE,MATCH($G283,Data_Macro!$A:$A,0))</f>
        <v>0</v>
      </c>
    </row>
    <row r="284" spans="2:31" x14ac:dyDescent="0.45">
      <c r="B284" s="13" t="s">
        <v>94</v>
      </c>
    </row>
    <row r="285" spans="2:31" x14ac:dyDescent="0.45">
      <c r="B285" s="7" t="s">
        <v>35</v>
      </c>
      <c r="C285" s="7" t="s">
        <v>36</v>
      </c>
      <c r="D285" s="21" t="s">
        <v>37</v>
      </c>
      <c r="E285" s="7" t="s">
        <v>95</v>
      </c>
      <c r="F285" s="7" t="s">
        <v>96</v>
      </c>
      <c r="G285" s="7" t="s">
        <v>97</v>
      </c>
      <c r="H285" s="7" t="s">
        <v>98</v>
      </c>
      <c r="I285" s="7" t="s">
        <v>99</v>
      </c>
      <c r="J285" s="7" t="s">
        <v>100</v>
      </c>
    </row>
    <row r="286" spans="2:31" x14ac:dyDescent="0.45">
      <c r="B286" s="14" t="s">
        <v>52</v>
      </c>
      <c r="C286" s="14" t="str">
        <f t="shared" ref="C286:C294" si="63">$C$247</f>
        <v>irn</v>
      </c>
      <c r="D286" s="22" t="s">
        <v>101</v>
      </c>
      <c r="E286" s="23">
        <f>INDEX(Data_Elast!$D:$G,MATCH("el_inc_"&amp;INDEX(Data_Elast!$J:$J,MATCH($B286,Data_Elast!$I:$I,0)),Data_Elast!$A:$A,0),MATCH(Settings!$B$5,Data_Elast!$D$1:$G$1,0))</f>
        <v>0.5</v>
      </c>
      <c r="F286" s="23">
        <f>INDEX(Data_Elast!$D:$G,MATCH("el_dem_"&amp;INDEX(Data_Elast!$J:$J,MATCH($B286,Data_Elast!$I:$I,0)),Data_Elast!$A:$A,0),MATCH(Settings!$B$5,Data_Elast!$D$1:$G$1,0))</f>
        <v>-0.3</v>
      </c>
      <c r="G286" s="23">
        <f>INDEX(Data_Elast!$D:$G,MATCH("el_eff_"&amp;INDEX(Data_Elast!$J:$J,MATCH($B286,Data_Elast!$I:$I,0)),Data_Elast!$A:$A,0),MATCH(Settings!$B$5,Data_Elast!$D$1:$G$1,0))</f>
        <v>-0.4</v>
      </c>
      <c r="H286" s="23">
        <f>INDEX(Data_Elast!$D:$G,MATCH("eff_imp_"&amp;INDEX(Data_Elast!$K:$K,MATCH($B286,Data_Elast!$I:$I,0)),Data_Elast!$A:$A,0),MATCH(Settings!$B$5,Data_Elast!$D$1:$G$1,0))</f>
        <v>5.0000000000000001E-3</v>
      </c>
      <c r="I286" s="23">
        <f>Settings!$B$7</f>
        <v>0</v>
      </c>
      <c r="J286" s="16" t="str">
        <f>INDEX(Data_Elast!$J:$J,MATCH($B286,Data_Elast!$I:$I,0))</f>
        <v>coa</v>
      </c>
    </row>
    <row r="287" spans="2:31" x14ac:dyDescent="0.45">
      <c r="B287" s="14" t="s">
        <v>56</v>
      </c>
      <c r="C287" s="14" t="str">
        <f t="shared" si="63"/>
        <v>irn</v>
      </c>
      <c r="D287" s="22" t="s">
        <v>102</v>
      </c>
      <c r="E287" s="23">
        <f>INDEX(Data_Elast!$D:$G,MATCH("el_inc_"&amp;INDEX(Data_Elast!$J:$J,MATCH($B287,Data_Elast!$I:$I,0)),Data_Elast!$A:$A,0),MATCH(Settings!$B$5,Data_Elast!$D$1:$G$1,0))</f>
        <v>1</v>
      </c>
      <c r="F287" s="23">
        <f>INDEX(Data_Elast!$D:$G,MATCH("el_dem_"&amp;INDEX(Data_Elast!$J:$J,MATCH($B287,Data_Elast!$I:$I,0)),Data_Elast!$A:$A,0),MATCH(Settings!$B$5,Data_Elast!$D$1:$G$1,0))</f>
        <v>-0.5</v>
      </c>
      <c r="G287" s="23">
        <f>INDEX(Data_Elast!$D:$G,MATCH("el_eff_"&amp;INDEX(Data_Elast!$J:$J,MATCH($B287,Data_Elast!$I:$I,0)),Data_Elast!$A:$A,0),MATCH(Settings!$B$5,Data_Elast!$D$1:$G$1,0))</f>
        <v>-0.5</v>
      </c>
      <c r="H287" s="23">
        <f>INDEX(Data_Elast!$D:$G,MATCH("eff_imp_"&amp;INDEX(Data_Elast!$K:$K,MATCH($B287,Data_Elast!$I:$I,0)),Data_Elast!$A:$A,0),MATCH(Settings!$B$5,Data_Elast!$D$1:$G$1,0))</f>
        <v>0.01</v>
      </c>
      <c r="I287" s="23">
        <f>Settings!$B$7</f>
        <v>0</v>
      </c>
      <c r="J287" s="16" t="str">
        <f>INDEX(Data_Elast!$J:$J,MATCH($B287,Data_Elast!$I:$I,0))</f>
        <v>nga</v>
      </c>
    </row>
    <row r="288" spans="2:31" x14ac:dyDescent="0.45">
      <c r="B288" s="14" t="s">
        <v>58</v>
      </c>
      <c r="C288" s="14" t="str">
        <f t="shared" si="63"/>
        <v>irn</v>
      </c>
      <c r="D288" s="22" t="s">
        <v>103</v>
      </c>
      <c r="E288" s="23">
        <f>INDEX(Data_Elast!$D:$G,MATCH("el_inc_"&amp;INDEX(Data_Elast!$J:$J,MATCH($B288,Data_Elast!$I:$I,0)),Data_Elast!$A:$A,0),MATCH(Settings!$B$5,Data_Elast!$D$1:$G$1,0))</f>
        <v>0.5</v>
      </c>
      <c r="F288" s="23">
        <f>INDEX(Data_Elast!$D:$G,MATCH("el_dem_"&amp;INDEX(Data_Elast!$J:$J,MATCH($B288,Data_Elast!$I:$I,0)),Data_Elast!$A:$A,0),MATCH(Settings!$B$5,Data_Elast!$D$1:$G$1,0))</f>
        <v>-0.4</v>
      </c>
      <c r="G288" s="23">
        <f>INDEX(Data_Elast!$D:$G,MATCH("el_eff_"&amp;INDEX(Data_Elast!$J:$J,MATCH($B288,Data_Elast!$I:$I,0)),Data_Elast!$A:$A,0),MATCH(Settings!$B$5,Data_Elast!$D$1:$G$1,0))</f>
        <v>-0.7</v>
      </c>
      <c r="H288" s="23">
        <f>INDEX(Data_Elast!$D:$G,MATCH("eff_imp_"&amp;INDEX(Data_Elast!$K:$K,MATCH($B288,Data_Elast!$I:$I,0)),Data_Elast!$A:$A,0),MATCH(Settings!$B$5,Data_Elast!$D$1:$G$1,0))</f>
        <v>5.0000000000000001E-3</v>
      </c>
      <c r="I288" s="23">
        <f>Settings!$B$7</f>
        <v>0</v>
      </c>
      <c r="J288" s="16" t="str">
        <f>INDEX(Data_Elast!$J:$J,MATCH($B288,Data_Elast!$I:$I,0))</f>
        <v>gso</v>
      </c>
    </row>
    <row r="289" spans="2:31" x14ac:dyDescent="0.45">
      <c r="B289" s="14" t="s">
        <v>61</v>
      </c>
      <c r="C289" s="14" t="str">
        <f t="shared" si="63"/>
        <v>irn</v>
      </c>
      <c r="D289" s="22" t="s">
        <v>104</v>
      </c>
      <c r="E289" s="23">
        <f>INDEX(Data_Elast!$D:$G,MATCH("el_inc_"&amp;INDEX(Data_Elast!$J:$J,MATCH($B289,Data_Elast!$I:$I,0)),Data_Elast!$A:$A,0),MATCH(Settings!$B$5,Data_Elast!$D$1:$G$1,0))</f>
        <v>0.5</v>
      </c>
      <c r="F289" s="23">
        <f>INDEX(Data_Elast!$D:$G,MATCH("el_dem_"&amp;INDEX(Data_Elast!$J:$J,MATCH($B289,Data_Elast!$I:$I,0)),Data_Elast!$A:$A,0),MATCH(Settings!$B$5,Data_Elast!$D$1:$G$1,0))</f>
        <v>-0.7</v>
      </c>
      <c r="G289" s="23">
        <f>INDEX(Data_Elast!$D:$G,MATCH("el_eff_"&amp;INDEX(Data_Elast!$J:$J,MATCH($B289,Data_Elast!$I:$I,0)),Data_Elast!$A:$A,0),MATCH(Settings!$B$5,Data_Elast!$D$1:$G$1,0))</f>
        <v>-1.2</v>
      </c>
      <c r="H289" s="23">
        <f>INDEX(Data_Elast!$D:$G,MATCH("eff_imp_"&amp;INDEX(Data_Elast!$K:$K,MATCH($B289,Data_Elast!$I:$I,0)),Data_Elast!$A:$A,0),MATCH(Settings!$B$5,Data_Elast!$D$1:$G$1,0))</f>
        <v>5.0000000000000001E-3</v>
      </c>
      <c r="I289" s="23">
        <f>Settings!$B$7</f>
        <v>0</v>
      </c>
      <c r="J289" s="16" t="str">
        <f>INDEX(Data_Elast!$J:$J,MATCH($B289,Data_Elast!$I:$I,0))</f>
        <v>die</v>
      </c>
    </row>
    <row r="290" spans="2:31" x14ac:dyDescent="0.45">
      <c r="B290" s="14" t="s">
        <v>63</v>
      </c>
      <c r="C290" s="14" t="str">
        <f t="shared" si="63"/>
        <v>irn</v>
      </c>
      <c r="D290" s="22" t="s">
        <v>105</v>
      </c>
      <c r="E290" s="23">
        <f>INDEX(Data_Elast!$D:$G,MATCH("el_inc_"&amp;INDEX(Data_Elast!$J:$J,MATCH($B290,Data_Elast!$I:$I,0)),Data_Elast!$A:$A,0),MATCH(Settings!$B$5,Data_Elast!$D$1:$G$1,0))</f>
        <v>0.8</v>
      </c>
      <c r="F290" s="23">
        <f>INDEX(Data_Elast!$D:$G,MATCH("el_dem_"&amp;INDEX(Data_Elast!$J:$J,MATCH($B290,Data_Elast!$I:$I,0)),Data_Elast!$A:$A,0),MATCH(Settings!$B$5,Data_Elast!$D$1:$G$1,0))</f>
        <v>-0.4</v>
      </c>
      <c r="G290" s="23">
        <f>INDEX(Data_Elast!$D:$G,MATCH("el_eff_"&amp;INDEX(Data_Elast!$J:$J,MATCH($B290,Data_Elast!$I:$I,0)),Data_Elast!$A:$A,0),MATCH(Settings!$B$5,Data_Elast!$D$1:$G$1,0))</f>
        <v>-0.4</v>
      </c>
      <c r="H290" s="23">
        <f>INDEX(Data_Elast!$D:$G,MATCH("eff_imp_"&amp;INDEX(Data_Elast!$K:$K,MATCH($B290,Data_Elast!$I:$I,0)),Data_Elast!$A:$A,0),MATCH(Settings!$B$5,Data_Elast!$D$1:$G$1,0))</f>
        <v>5.0000000000000001E-3</v>
      </c>
      <c r="I290" s="23">
        <f>Settings!$B$7</f>
        <v>0</v>
      </c>
      <c r="J290" s="16" t="str">
        <f>INDEX(Data_Elast!$J:$J,MATCH($B290,Data_Elast!$I:$I,0))</f>
        <v>oil</v>
      </c>
    </row>
    <row r="291" spans="2:31" x14ac:dyDescent="0.45">
      <c r="B291" s="14" t="s">
        <v>65</v>
      </c>
      <c r="C291" s="14" t="str">
        <f t="shared" si="63"/>
        <v>irn</v>
      </c>
      <c r="D291" s="22" t="s">
        <v>106</v>
      </c>
      <c r="E291" s="23">
        <f>INDEX(Data_Elast!$D:$G,MATCH("el_inc_"&amp;INDEX(Data_Elast!$J:$J,MATCH($B291,Data_Elast!$I:$I,0)),Data_Elast!$A:$A,0),MATCH(Settings!$B$5,Data_Elast!$D$1:$G$1,0))</f>
        <v>0.8</v>
      </c>
      <c r="F291" s="23">
        <f>INDEX(Data_Elast!$D:$G,MATCH("el_dem_"&amp;INDEX(Data_Elast!$J:$J,MATCH($B291,Data_Elast!$I:$I,0)),Data_Elast!$A:$A,0),MATCH(Settings!$B$5,Data_Elast!$D$1:$G$1,0))</f>
        <v>-0.4</v>
      </c>
      <c r="G291" s="23">
        <f>INDEX(Data_Elast!$D:$G,MATCH("el_eff_"&amp;INDEX(Data_Elast!$J:$J,MATCH($B291,Data_Elast!$I:$I,0)),Data_Elast!$A:$A,0),MATCH(Settings!$B$5,Data_Elast!$D$1:$G$1,0))</f>
        <v>-0.4</v>
      </c>
      <c r="H291" s="23">
        <f>INDEX(Data_Elast!$D:$G,MATCH("eff_imp_"&amp;INDEX(Data_Elast!$K:$K,MATCH($B291,Data_Elast!$I:$I,0)),Data_Elast!$A:$A,0),MATCH(Settings!$B$5,Data_Elast!$D$1:$G$1,0))</f>
        <v>5.0000000000000001E-3</v>
      </c>
      <c r="I291" s="23">
        <f>Settings!$B$7</f>
        <v>0</v>
      </c>
      <c r="J291" s="16" t="str">
        <f>INDEX(Data_Elast!$J:$J,MATCH($B291,Data_Elast!$I:$I,0))</f>
        <v>oil</v>
      </c>
    </row>
    <row r="292" spans="2:31" x14ac:dyDescent="0.45">
      <c r="B292" s="14" t="s">
        <v>67</v>
      </c>
      <c r="C292" s="14" t="str">
        <f t="shared" si="63"/>
        <v>irn</v>
      </c>
      <c r="D292" s="22" t="s">
        <v>107</v>
      </c>
      <c r="E292" s="23">
        <f>INDEX(Data_Elast!$D:$G,MATCH("el_inc_"&amp;INDEX(Data_Elast!$J:$J,MATCH($B292,Data_Elast!$I:$I,0)),Data_Elast!$A:$A,0),MATCH(Settings!$B$5,Data_Elast!$D$1:$G$1,0))</f>
        <v>0.8</v>
      </c>
      <c r="F292" s="23">
        <f>INDEX(Data_Elast!$D:$G,MATCH("el_dem_"&amp;INDEX(Data_Elast!$J:$J,MATCH($B292,Data_Elast!$I:$I,0)),Data_Elast!$A:$A,0),MATCH(Settings!$B$5,Data_Elast!$D$1:$G$1,0))</f>
        <v>-0.4</v>
      </c>
      <c r="G292" s="23">
        <f>INDEX(Data_Elast!$D:$G,MATCH("el_eff_"&amp;INDEX(Data_Elast!$J:$J,MATCH($B292,Data_Elast!$I:$I,0)),Data_Elast!$A:$A,0),MATCH(Settings!$B$5,Data_Elast!$D$1:$G$1,0))</f>
        <v>-0.4</v>
      </c>
      <c r="H292" s="23">
        <f>INDEX(Data_Elast!$D:$G,MATCH("eff_imp_"&amp;INDEX(Data_Elast!$K:$K,MATCH($B292,Data_Elast!$I:$I,0)),Data_Elast!$A:$A,0),MATCH(Settings!$B$5,Data_Elast!$D$1:$G$1,0))</f>
        <v>5.0000000000000001E-3</v>
      </c>
      <c r="I292" s="23">
        <f>Settings!$B$7</f>
        <v>0</v>
      </c>
      <c r="J292" s="16" t="str">
        <f>INDEX(Data_Elast!$J:$J,MATCH($B292,Data_Elast!$I:$I,0))</f>
        <v>oil</v>
      </c>
    </row>
    <row r="293" spans="2:31" x14ac:dyDescent="0.45">
      <c r="B293" s="14" t="s">
        <v>70</v>
      </c>
      <c r="C293" s="14" t="str">
        <f t="shared" si="63"/>
        <v>irn</v>
      </c>
      <c r="D293" s="22" t="s">
        <v>108</v>
      </c>
      <c r="E293" s="23">
        <f>INDEX(Data_Elast!$D:$G,MATCH("el_inc_"&amp;INDEX(Data_Elast!$J:$J,MATCH($B293,Data_Elast!$I:$I,0)),Data_Elast!$A:$A,0),MATCH(Settings!$B$5,Data_Elast!$D$1:$G$1,0))</f>
        <v>0.1</v>
      </c>
      <c r="F293" s="23">
        <f>INDEX(Data_Elast!$D:$G,MATCH("el_dem_"&amp;INDEX(Data_Elast!$J:$J,MATCH($B293,Data_Elast!$I:$I,0)),Data_Elast!$A:$A,0),MATCH(Settings!$B$5,Data_Elast!$D$1:$G$1,0))</f>
        <v>-0.3</v>
      </c>
      <c r="G293" s="23">
        <f>INDEX(Data_Elast!$D:$G,MATCH("el_eff_"&amp;INDEX(Data_Elast!$J:$J,MATCH($B293,Data_Elast!$I:$I,0)),Data_Elast!$A:$A,0),MATCH(Settings!$B$5,Data_Elast!$D$1:$G$1,0))</f>
        <v>-0.2</v>
      </c>
      <c r="H293" s="23">
        <f>INDEX(Data_Elast!$D:$G,MATCH("eff_imp_"&amp;INDEX(Data_Elast!$K:$K,MATCH($B293,Data_Elast!$I:$I,0)),Data_Elast!$A:$A,0),MATCH(Settings!$B$5,Data_Elast!$D$1:$G$1,0))</f>
        <v>5.0000000000000001E-3</v>
      </c>
      <c r="I293" s="23">
        <f>Settings!$B$7</f>
        <v>0</v>
      </c>
      <c r="J293" s="16" t="str">
        <f>INDEX(Data_Elast!$J:$J,MATCH($B293,Data_Elast!$I:$I,0))</f>
        <v>bio</v>
      </c>
    </row>
    <row r="294" spans="2:31" x14ac:dyDescent="0.45">
      <c r="B294" s="14" t="s">
        <v>72</v>
      </c>
      <c r="C294" s="14" t="str">
        <f t="shared" si="63"/>
        <v>irn</v>
      </c>
      <c r="D294" s="22" t="s">
        <v>109</v>
      </c>
      <c r="E294" s="23">
        <f>INDEX(Data_Elast!$D:$G,MATCH("el_inc_"&amp;INDEX(Data_Elast!$J:$J,MATCH($B294,Data_Elast!$I:$I,0)),Data_Elast!$A:$A,0),MATCH(Settings!$B$5,Data_Elast!$D$1:$G$1,0))</f>
        <v>0.8</v>
      </c>
      <c r="F294" s="23">
        <f>INDEX(Data_Elast!$D:$G,MATCH("el_dem_"&amp;INDEX(Data_Elast!$J:$J,MATCH($B294,Data_Elast!$I:$I,0)),Data_Elast!$A:$A,0),MATCH(Settings!$B$5,Data_Elast!$D$1:$G$1,0))</f>
        <v>-0.5</v>
      </c>
      <c r="G294" s="23">
        <f>INDEX(Data_Elast!$D:$G,MATCH("el_eff_"&amp;INDEX(Data_Elast!$J:$J,MATCH($B294,Data_Elast!$I:$I,0)),Data_Elast!$A:$A,0),MATCH(Settings!$B$5,Data_Elast!$D$1:$G$1,0))</f>
        <v>-0.4</v>
      </c>
      <c r="H294" s="23">
        <f>INDEX(Data_Elast!$D:$G,MATCH("eff_imp_"&amp;INDEX(Data_Elast!$K:$K,MATCH($B294,Data_Elast!$I:$I,0)),Data_Elast!$A:$A,0),MATCH(Settings!$B$5,Data_Elast!$D$1:$G$1,0))</f>
        <v>5.0000000000000001E-3</v>
      </c>
      <c r="I294" s="23">
        <f>Settings!$B$7</f>
        <v>0</v>
      </c>
      <c r="J294" s="16" t="str">
        <f>INDEX(Data_Elast!$J:$J,MATCH($B294,Data_Elast!$I:$I,0))</f>
        <v>ren</v>
      </c>
    </row>
    <row r="295" spans="2:31" x14ac:dyDescent="0.45">
      <c r="B295" s="13" t="s">
        <v>110</v>
      </c>
    </row>
    <row r="296" spans="2:31" x14ac:dyDescent="0.45">
      <c r="B296" s="14" t="s">
        <v>52</v>
      </c>
      <c r="C296" s="14" t="str">
        <f t="shared" ref="C296:C305" si="64">$C$247</f>
        <v>irn</v>
      </c>
      <c r="D296" s="15" t="s">
        <v>53</v>
      </c>
      <c r="E296" s="16" t="s">
        <v>111</v>
      </c>
      <c r="F296" s="14" t="s">
        <v>112</v>
      </c>
      <c r="G296" s="17" t="str">
        <f>Settings!$B$3&amp;".mit.enc."&amp;$B296</f>
        <v>egy.mit.enc.coa</v>
      </c>
      <c r="H296" s="45" t="str">
        <f>Settings!$B$3&amp;".mit.ener."&amp;$C$247&amp;"."&amp;$B296&amp;".e."&amp;$J$247</f>
        <v>egy.mit.ener.irn.coa.e.2</v>
      </c>
      <c r="L296" s="47">
        <f>INDEX(Data_Energy!$D$3:$U$22,MATCH($B296,Data_Energy!$C$3:$C$22,0),MATCH($C296,Data_Energy!$D$2:$U$2,0))</f>
        <v>232.65735477013101</v>
      </c>
      <c r="M296" s="24">
        <f t="shared" ref="M296:AE296" si="65">L296*(1+M$281)^($E286*M$282)*(1+M$283)*IF(L259&lt;=0,1,M259/L259)^$F286*(IF(L269&lt;=0,1,M269/L269)^$G286/(1+$H286+$I286))^(1+$F286)</f>
        <v>189.45265610688699</v>
      </c>
      <c r="N296" s="24">
        <f t="shared" si="65"/>
        <v>217.72883870914094</v>
      </c>
      <c r="O296" s="24">
        <f t="shared" si="65"/>
        <v>237.89793015048883</v>
      </c>
      <c r="P296" s="24">
        <f t="shared" si="65"/>
        <v>232.65006903124424</v>
      </c>
      <c r="Q296" s="24">
        <f t="shared" si="65"/>
        <v>218.61847136811463</v>
      </c>
      <c r="R296" s="24">
        <f t="shared" si="65"/>
        <v>210.28498690349488</v>
      </c>
      <c r="S296" s="24">
        <f t="shared" si="65"/>
        <v>203.14643963897521</v>
      </c>
      <c r="T296" s="24">
        <f t="shared" si="65"/>
        <v>196.84230886321788</v>
      </c>
      <c r="U296" s="24">
        <f t="shared" si="65"/>
        <v>191.39075749537983</v>
      </c>
      <c r="V296" s="24">
        <f t="shared" si="65"/>
        <v>186.2178811492559</v>
      </c>
      <c r="W296" s="24">
        <f t="shared" si="65"/>
        <v>181.78008799508211</v>
      </c>
      <c r="X296" s="24">
        <f t="shared" si="65"/>
        <v>177.97349187208462</v>
      </c>
      <c r="Y296" s="24">
        <f t="shared" si="65"/>
        <v>174.72635256308322</v>
      </c>
      <c r="Z296" s="24">
        <f t="shared" si="65"/>
        <v>171.99928670368777</v>
      </c>
      <c r="AA296" s="24">
        <f t="shared" si="65"/>
        <v>169.74391219112042</v>
      </c>
      <c r="AB296" s="24">
        <f t="shared" si="65"/>
        <v>167.91465652501745</v>
      </c>
      <c r="AC296" s="24">
        <f t="shared" si="65"/>
        <v>166.45600964782685</v>
      </c>
      <c r="AD296" s="24">
        <f t="shared" si="65"/>
        <v>165.32123471166477</v>
      </c>
      <c r="AE296" s="24">
        <f t="shared" si="65"/>
        <v>164.47316873515103</v>
      </c>
    </row>
    <row r="297" spans="2:31" x14ac:dyDescent="0.45">
      <c r="B297" s="14" t="s">
        <v>56</v>
      </c>
      <c r="C297" s="14" t="str">
        <f t="shared" si="64"/>
        <v>irn</v>
      </c>
      <c r="D297" s="15" t="s">
        <v>57</v>
      </c>
      <c r="E297" s="16" t="s">
        <v>111</v>
      </c>
      <c r="F297" s="14" t="s">
        <v>112</v>
      </c>
      <c r="G297" s="17" t="str">
        <f>Settings!$B$3&amp;".mit.enc."&amp;$B297</f>
        <v>egy.mit.enc.nga</v>
      </c>
      <c r="H297" s="45" t="str">
        <f>Settings!$B$3&amp;".mit.ener."&amp;$C$247&amp;"."&amp;$B297&amp;".e."&amp;$J$247</f>
        <v>egy.mit.ener.irn.nga.e.2</v>
      </c>
      <c r="L297" s="47">
        <f>INDEX(Data_Energy!$D$3:$U$22,MATCH($B297,Data_Energy!$C$3:$C$22,0),MATCH($C297,Data_Energy!$D$2:$U$2,0))</f>
        <v>1669.05671904213</v>
      </c>
      <c r="M297" s="24">
        <f t="shared" ref="M297:AE297" si="66">L297*(1+M$281)^($E287*M$282)*(1+M$283)*IF(L260&lt;=0,1,M260/L260)^$F287*(IF(L270&lt;=0,1,M270/L270)^$G287/(1+$H287+$I287))^(1+$F287)</f>
        <v>1431.7775208824874</v>
      </c>
      <c r="N297" s="24">
        <f t="shared" si="66"/>
        <v>1603.1180815212331</v>
      </c>
      <c r="O297" s="24">
        <f t="shared" si="66"/>
        <v>1666.4691074748598</v>
      </c>
      <c r="P297" s="24">
        <f t="shared" si="66"/>
        <v>1729.0519522219979</v>
      </c>
      <c r="Q297" s="24">
        <f t="shared" si="66"/>
        <v>1637.7863258003924</v>
      </c>
      <c r="R297" s="24">
        <f t="shared" si="66"/>
        <v>1578.6642302926864</v>
      </c>
      <c r="S297" s="24">
        <f t="shared" si="66"/>
        <v>1529.186426457856</v>
      </c>
      <c r="T297" s="24">
        <f t="shared" si="66"/>
        <v>1485.5462441642114</v>
      </c>
      <c r="U297" s="24">
        <f t="shared" si="66"/>
        <v>1450.0773513762756</v>
      </c>
      <c r="V297" s="24">
        <f t="shared" si="66"/>
        <v>1421.6889075958395</v>
      </c>
      <c r="W297" s="24">
        <f t="shared" si="66"/>
        <v>1399.5811578972728</v>
      </c>
      <c r="X297" s="24">
        <f t="shared" si="66"/>
        <v>1383.0540457815332</v>
      </c>
      <c r="Y297" s="24">
        <f t="shared" si="66"/>
        <v>1371.7254363432976</v>
      </c>
      <c r="Z297" s="24">
        <f t="shared" si="66"/>
        <v>1365.5951108489828</v>
      </c>
      <c r="AA297" s="24">
        <f t="shared" si="66"/>
        <v>1364.4341895239875</v>
      </c>
      <c r="AB297" s="24">
        <f t="shared" si="66"/>
        <v>1367.9863527047883</v>
      </c>
      <c r="AC297" s="24">
        <f t="shared" si="66"/>
        <v>1375.7703000424297</v>
      </c>
      <c r="AD297" s="24">
        <f t="shared" si="66"/>
        <v>1387.3865840128028</v>
      </c>
      <c r="AE297" s="24">
        <f t="shared" si="66"/>
        <v>1402.5434936424012</v>
      </c>
    </row>
    <row r="298" spans="2:31" x14ac:dyDescent="0.45">
      <c r="B298" s="14" t="s">
        <v>58</v>
      </c>
      <c r="C298" s="14" t="str">
        <f t="shared" si="64"/>
        <v>irn</v>
      </c>
      <c r="D298" s="15" t="s">
        <v>59</v>
      </c>
      <c r="E298" s="16" t="s">
        <v>111</v>
      </c>
      <c r="F298" s="14" t="s">
        <v>112</v>
      </c>
      <c r="G298" s="17" t="str">
        <f>Settings!$B$3&amp;".mit.enc."&amp;$B298</f>
        <v>egy.mit.enc.gso</v>
      </c>
      <c r="H298" s="45" t="str">
        <f>Settings!$B$3&amp;".mit.ener."&amp;$C$247&amp;"."&amp;$B298&amp;".e."&amp;$J$247</f>
        <v>egy.mit.ener.irn.gso.e.2</v>
      </c>
      <c r="L298" s="47">
        <f>INDEX(Data_Energy!$D$3:$U$22,MATCH($B298,Data_Energy!$C$3:$C$22,0),MATCH($C298,Data_Energy!$D$2:$U$2,0))</f>
        <v>0</v>
      </c>
      <c r="M298" s="24">
        <f t="shared" ref="M298:AE298" si="67">L298*(1+M$281)^($E288*M$282)*(1+M$283)*IF(L261&lt;=0,1,M261/L261)^$F288*(IF(L271&lt;=0,1,M271/L271)^$G288/(1+$H288+$I288))^(1+$F288)</f>
        <v>0</v>
      </c>
      <c r="N298" s="24">
        <f t="shared" si="67"/>
        <v>0</v>
      </c>
      <c r="O298" s="24">
        <f t="shared" si="67"/>
        <v>0</v>
      </c>
      <c r="P298" s="24">
        <f t="shared" si="67"/>
        <v>0</v>
      </c>
      <c r="Q298" s="24">
        <f t="shared" si="67"/>
        <v>0</v>
      </c>
      <c r="R298" s="24">
        <f t="shared" si="67"/>
        <v>0</v>
      </c>
      <c r="S298" s="24">
        <f t="shared" si="67"/>
        <v>0</v>
      </c>
      <c r="T298" s="24">
        <f t="shared" si="67"/>
        <v>0</v>
      </c>
      <c r="U298" s="24">
        <f t="shared" si="67"/>
        <v>0</v>
      </c>
      <c r="V298" s="24">
        <f t="shared" si="67"/>
        <v>0</v>
      </c>
      <c r="W298" s="24">
        <f t="shared" si="67"/>
        <v>0</v>
      </c>
      <c r="X298" s="24">
        <f t="shared" si="67"/>
        <v>0</v>
      </c>
      <c r="Y298" s="24">
        <f t="shared" si="67"/>
        <v>0</v>
      </c>
      <c r="Z298" s="24">
        <f t="shared" si="67"/>
        <v>0</v>
      </c>
      <c r="AA298" s="24">
        <f t="shared" si="67"/>
        <v>0</v>
      </c>
      <c r="AB298" s="24">
        <f t="shared" si="67"/>
        <v>0</v>
      </c>
      <c r="AC298" s="24">
        <f t="shared" si="67"/>
        <v>0</v>
      </c>
      <c r="AD298" s="24">
        <f t="shared" si="67"/>
        <v>0</v>
      </c>
      <c r="AE298" s="24">
        <f t="shared" si="67"/>
        <v>0</v>
      </c>
    </row>
    <row r="299" spans="2:31" x14ac:dyDescent="0.45">
      <c r="B299" s="14" t="s">
        <v>61</v>
      </c>
      <c r="C299" s="14" t="str">
        <f t="shared" si="64"/>
        <v>irn</v>
      </c>
      <c r="D299" s="15" t="s">
        <v>62</v>
      </c>
      <c r="E299" s="16" t="s">
        <v>111</v>
      </c>
      <c r="F299" s="14" t="s">
        <v>112</v>
      </c>
      <c r="G299" s="17" t="str">
        <f>Settings!$B$3&amp;".mit.enc."&amp;$B299</f>
        <v>egy.mit.enc.die</v>
      </c>
      <c r="H299" s="45" t="str">
        <f>Settings!$B$3&amp;".mit.ener."&amp;$C$247&amp;"."&amp;$B299&amp;".e."&amp;$J$247</f>
        <v>egy.mit.ener.irn.die.e.2</v>
      </c>
      <c r="L299" s="47">
        <f>INDEX(Data_Energy!$D$3:$U$22,MATCH($B299,Data_Energy!$C$3:$C$22,0),MATCH($C299,Data_Energy!$D$2:$U$2,0))</f>
        <v>0</v>
      </c>
      <c r="M299" s="24">
        <f t="shared" ref="M299:AE299" si="68">L299*(1+M$281)^($E289*M$282)*(1+M$283)*IF(L262&lt;=0,1,M262/L262)^$F289*(IF(L272&lt;=0,1,M272/L272)^$G289/(1+$H289+$I289))^(1+$F289)</f>
        <v>0</v>
      </c>
      <c r="N299" s="24">
        <f t="shared" si="68"/>
        <v>0</v>
      </c>
      <c r="O299" s="24">
        <f t="shared" si="68"/>
        <v>0</v>
      </c>
      <c r="P299" s="24">
        <f t="shared" si="68"/>
        <v>0</v>
      </c>
      <c r="Q299" s="24">
        <f t="shared" si="68"/>
        <v>0</v>
      </c>
      <c r="R299" s="24">
        <f t="shared" si="68"/>
        <v>0</v>
      </c>
      <c r="S299" s="24">
        <f t="shared" si="68"/>
        <v>0</v>
      </c>
      <c r="T299" s="24">
        <f t="shared" si="68"/>
        <v>0</v>
      </c>
      <c r="U299" s="24">
        <f t="shared" si="68"/>
        <v>0</v>
      </c>
      <c r="V299" s="24">
        <f t="shared" si="68"/>
        <v>0</v>
      </c>
      <c r="W299" s="24">
        <f t="shared" si="68"/>
        <v>0</v>
      </c>
      <c r="X299" s="24">
        <f t="shared" si="68"/>
        <v>0</v>
      </c>
      <c r="Y299" s="24">
        <f t="shared" si="68"/>
        <v>0</v>
      </c>
      <c r="Z299" s="24">
        <f t="shared" si="68"/>
        <v>0</v>
      </c>
      <c r="AA299" s="24">
        <f t="shared" si="68"/>
        <v>0</v>
      </c>
      <c r="AB299" s="24">
        <f t="shared" si="68"/>
        <v>0</v>
      </c>
      <c r="AC299" s="24">
        <f t="shared" si="68"/>
        <v>0</v>
      </c>
      <c r="AD299" s="24">
        <f t="shared" si="68"/>
        <v>0</v>
      </c>
      <c r="AE299" s="24">
        <f t="shared" si="68"/>
        <v>0</v>
      </c>
    </row>
    <row r="300" spans="2:31" x14ac:dyDescent="0.45">
      <c r="B300" s="14" t="s">
        <v>63</v>
      </c>
      <c r="C300" s="14" t="str">
        <f t="shared" si="64"/>
        <v>irn</v>
      </c>
      <c r="D300" s="15" t="s">
        <v>64</v>
      </c>
      <c r="E300" s="16" t="s">
        <v>111</v>
      </c>
      <c r="F300" s="14" t="s">
        <v>112</v>
      </c>
      <c r="G300" s="17" t="str">
        <f>Settings!$B$3&amp;".mit.enc."&amp;$B300</f>
        <v>egy.mit.enc.lpg</v>
      </c>
      <c r="H300" s="45" t="str">
        <f>Settings!$B$3&amp;".mit.ener."&amp;$C$247&amp;"."&amp;$B300&amp;".e."&amp;$J$247</f>
        <v>egy.mit.ener.irn.lpg.e.2</v>
      </c>
      <c r="L300" s="47">
        <f>INDEX(Data_Energy!$D$3:$U$22,MATCH($B300,Data_Energy!$C$3:$C$22,0),MATCH($C300,Data_Energy!$D$2:$U$2,0))</f>
        <v>0</v>
      </c>
      <c r="M300" s="24">
        <f t="shared" ref="M300:AE300" si="69">L300*(1+M$281)^($E290*M$282)*(1+M$283)*IF(L263&lt;=0,1,M263/L263)^$F290*(IF(L273&lt;=0,1,M273/L273)^$G290/(1+$H290+$I290))^(1+$F290)</f>
        <v>0</v>
      </c>
      <c r="N300" s="24">
        <f t="shared" si="69"/>
        <v>0</v>
      </c>
      <c r="O300" s="24">
        <f t="shared" si="69"/>
        <v>0</v>
      </c>
      <c r="P300" s="24">
        <f t="shared" si="69"/>
        <v>0</v>
      </c>
      <c r="Q300" s="24">
        <f t="shared" si="69"/>
        <v>0</v>
      </c>
      <c r="R300" s="24">
        <f t="shared" si="69"/>
        <v>0</v>
      </c>
      <c r="S300" s="24">
        <f t="shared" si="69"/>
        <v>0</v>
      </c>
      <c r="T300" s="24">
        <f t="shared" si="69"/>
        <v>0</v>
      </c>
      <c r="U300" s="24">
        <f t="shared" si="69"/>
        <v>0</v>
      </c>
      <c r="V300" s="24">
        <f t="shared" si="69"/>
        <v>0</v>
      </c>
      <c r="W300" s="24">
        <f t="shared" si="69"/>
        <v>0</v>
      </c>
      <c r="X300" s="24">
        <f t="shared" si="69"/>
        <v>0</v>
      </c>
      <c r="Y300" s="24">
        <f t="shared" si="69"/>
        <v>0</v>
      </c>
      <c r="Z300" s="24">
        <f t="shared" si="69"/>
        <v>0</v>
      </c>
      <c r="AA300" s="24">
        <f t="shared" si="69"/>
        <v>0</v>
      </c>
      <c r="AB300" s="24">
        <f t="shared" si="69"/>
        <v>0</v>
      </c>
      <c r="AC300" s="24">
        <f t="shared" si="69"/>
        <v>0</v>
      </c>
      <c r="AD300" s="24">
        <f t="shared" si="69"/>
        <v>0</v>
      </c>
      <c r="AE300" s="24">
        <f t="shared" si="69"/>
        <v>0</v>
      </c>
    </row>
    <row r="301" spans="2:31" x14ac:dyDescent="0.45">
      <c r="B301" s="14" t="s">
        <v>65</v>
      </c>
      <c r="C301" s="14" t="str">
        <f t="shared" si="64"/>
        <v>irn</v>
      </c>
      <c r="D301" s="15" t="s">
        <v>66</v>
      </c>
      <c r="E301" s="16" t="s">
        <v>111</v>
      </c>
      <c r="F301" s="14" t="s">
        <v>112</v>
      </c>
      <c r="G301" s="17" t="str">
        <f>Settings!$B$3&amp;".mit.enc."&amp;$B301</f>
        <v>egy.mit.enc.ker</v>
      </c>
      <c r="H301" s="45" t="str">
        <f>Settings!$B$3&amp;".mit.ener."&amp;$C$247&amp;"."&amp;$B301&amp;".e."&amp;$J$247</f>
        <v>egy.mit.ener.irn.ker.e.2</v>
      </c>
      <c r="L301" s="47">
        <f>INDEX(Data_Energy!$D$3:$U$22,MATCH($B301,Data_Energy!$C$3:$C$22,0),MATCH($C301,Data_Energy!$D$2:$U$2,0))</f>
        <v>0</v>
      </c>
      <c r="M301" s="24">
        <f t="shared" ref="M301:AE301" si="70">L301*(1+M$281)^($E291*M$282)*(1+M$283)*IF(L264&lt;=0,1,M264/L264)^$F291*(IF(L274&lt;=0,1,M274/L274)^$G291/(1+$H291+$I291))^(1+$F291)</f>
        <v>0</v>
      </c>
      <c r="N301" s="24">
        <f t="shared" si="70"/>
        <v>0</v>
      </c>
      <c r="O301" s="24">
        <f t="shared" si="70"/>
        <v>0</v>
      </c>
      <c r="P301" s="24">
        <f t="shared" si="70"/>
        <v>0</v>
      </c>
      <c r="Q301" s="24">
        <f t="shared" si="70"/>
        <v>0</v>
      </c>
      <c r="R301" s="24">
        <f t="shared" si="70"/>
        <v>0</v>
      </c>
      <c r="S301" s="24">
        <f t="shared" si="70"/>
        <v>0</v>
      </c>
      <c r="T301" s="24">
        <f t="shared" si="70"/>
        <v>0</v>
      </c>
      <c r="U301" s="24">
        <f t="shared" si="70"/>
        <v>0</v>
      </c>
      <c r="V301" s="24">
        <f t="shared" si="70"/>
        <v>0</v>
      </c>
      <c r="W301" s="24">
        <f t="shared" si="70"/>
        <v>0</v>
      </c>
      <c r="X301" s="24">
        <f t="shared" si="70"/>
        <v>0</v>
      </c>
      <c r="Y301" s="24">
        <f t="shared" si="70"/>
        <v>0</v>
      </c>
      <c r="Z301" s="24">
        <f t="shared" si="70"/>
        <v>0</v>
      </c>
      <c r="AA301" s="24">
        <f t="shared" si="70"/>
        <v>0</v>
      </c>
      <c r="AB301" s="24">
        <f t="shared" si="70"/>
        <v>0</v>
      </c>
      <c r="AC301" s="24">
        <f t="shared" si="70"/>
        <v>0</v>
      </c>
      <c r="AD301" s="24">
        <f t="shared" si="70"/>
        <v>0</v>
      </c>
      <c r="AE301" s="24">
        <f t="shared" si="70"/>
        <v>0</v>
      </c>
    </row>
    <row r="302" spans="2:31" x14ac:dyDescent="0.45">
      <c r="B302" s="14" t="s">
        <v>67</v>
      </c>
      <c r="C302" s="14" t="str">
        <f t="shared" si="64"/>
        <v>irn</v>
      </c>
      <c r="D302" s="15" t="s">
        <v>68</v>
      </c>
      <c r="E302" s="16" t="s">
        <v>111</v>
      </c>
      <c r="F302" s="14" t="s">
        <v>112</v>
      </c>
      <c r="G302" s="17" t="str">
        <f>Settings!$B$3&amp;".mit.enc."&amp;$B302</f>
        <v>egy.mit.enc.oop</v>
      </c>
      <c r="H302" s="45" t="str">
        <f>Settings!$B$3&amp;".mit.ener."&amp;$C$247&amp;"."&amp;$B302&amp;".e."&amp;$J$247</f>
        <v>egy.mit.ener.irn.oop.e.2</v>
      </c>
      <c r="L302" s="47">
        <f>INDEX(Data_Energy!$D$3:$U$22,MATCH($B302,Data_Energy!$C$3:$C$22,0),MATCH($C302,Data_Energy!$D$2:$U$2,0))</f>
        <v>0</v>
      </c>
      <c r="M302" s="24">
        <f t="shared" ref="M302:AE302" si="71">L302*(1+M$281)^($E292*M$282)*(1+M$283)*IF(L265&lt;=0,1,M265/L265)^$F292*(IF(L275&lt;=0,1,M275/L275)^$G292/(1+$H292+$I292))^(1+$F292)</f>
        <v>0</v>
      </c>
      <c r="N302" s="24">
        <f t="shared" si="71"/>
        <v>0</v>
      </c>
      <c r="O302" s="24">
        <f t="shared" si="71"/>
        <v>0</v>
      </c>
      <c r="P302" s="24">
        <f t="shared" si="71"/>
        <v>0</v>
      </c>
      <c r="Q302" s="24">
        <f t="shared" si="71"/>
        <v>0</v>
      </c>
      <c r="R302" s="24">
        <f t="shared" si="71"/>
        <v>0</v>
      </c>
      <c r="S302" s="24">
        <f t="shared" si="71"/>
        <v>0</v>
      </c>
      <c r="T302" s="24">
        <f t="shared" si="71"/>
        <v>0</v>
      </c>
      <c r="U302" s="24">
        <f t="shared" si="71"/>
        <v>0</v>
      </c>
      <c r="V302" s="24">
        <f t="shared" si="71"/>
        <v>0</v>
      </c>
      <c r="W302" s="24">
        <f t="shared" si="71"/>
        <v>0</v>
      </c>
      <c r="X302" s="24">
        <f t="shared" si="71"/>
        <v>0</v>
      </c>
      <c r="Y302" s="24">
        <f t="shared" si="71"/>
        <v>0</v>
      </c>
      <c r="Z302" s="24">
        <f t="shared" si="71"/>
        <v>0</v>
      </c>
      <c r="AA302" s="24">
        <f t="shared" si="71"/>
        <v>0</v>
      </c>
      <c r="AB302" s="24">
        <f t="shared" si="71"/>
        <v>0</v>
      </c>
      <c r="AC302" s="24">
        <f t="shared" si="71"/>
        <v>0</v>
      </c>
      <c r="AD302" s="24">
        <f t="shared" si="71"/>
        <v>0</v>
      </c>
      <c r="AE302" s="24">
        <f t="shared" si="71"/>
        <v>0</v>
      </c>
    </row>
    <row r="303" spans="2:31" x14ac:dyDescent="0.45">
      <c r="B303" s="14" t="s">
        <v>70</v>
      </c>
      <c r="C303" s="14" t="str">
        <f t="shared" si="64"/>
        <v>irn</v>
      </c>
      <c r="D303" s="15" t="s">
        <v>71</v>
      </c>
      <c r="E303" s="16" t="s">
        <v>111</v>
      </c>
      <c r="F303" s="14" t="s">
        <v>112</v>
      </c>
      <c r="G303" s="17" t="str">
        <f>Settings!$B$3&amp;".mit.enc."&amp;$B303</f>
        <v>egy.mit.enc.bio</v>
      </c>
      <c r="H303" s="45" t="str">
        <f>Settings!$B$3&amp;".mit.ener."&amp;$C$247&amp;"."&amp;$B303&amp;".e."&amp;$J$247</f>
        <v>egy.mit.ener.irn.bio.e.2</v>
      </c>
      <c r="L303" s="47">
        <f>INDEX(Data_Energy!$D$3:$U$22,MATCH($B303,Data_Energy!$C$3:$C$22,0),MATCH($C303,Data_Energy!$D$2:$U$2,0))</f>
        <v>0</v>
      </c>
      <c r="M303" s="24">
        <f t="shared" ref="M303:AE303" si="72">L303*(1+M$281)^($E293*M$282)*(1+M$283)*IF(L266&lt;=0,1,M266/L266)^$F293*(IF(L276&lt;=0,1,M276/L276)^$G293/(1+$H293+$I293))^(1+$F293)</f>
        <v>0</v>
      </c>
      <c r="N303" s="24">
        <f t="shared" si="72"/>
        <v>0</v>
      </c>
      <c r="O303" s="24">
        <f t="shared" si="72"/>
        <v>0</v>
      </c>
      <c r="P303" s="24">
        <f t="shared" si="72"/>
        <v>0</v>
      </c>
      <c r="Q303" s="24">
        <f t="shared" si="72"/>
        <v>0</v>
      </c>
      <c r="R303" s="24">
        <f t="shared" si="72"/>
        <v>0</v>
      </c>
      <c r="S303" s="24">
        <f t="shared" si="72"/>
        <v>0</v>
      </c>
      <c r="T303" s="24">
        <f t="shared" si="72"/>
        <v>0</v>
      </c>
      <c r="U303" s="24">
        <f t="shared" si="72"/>
        <v>0</v>
      </c>
      <c r="V303" s="24">
        <f t="shared" si="72"/>
        <v>0</v>
      </c>
      <c r="W303" s="24">
        <f t="shared" si="72"/>
        <v>0</v>
      </c>
      <c r="X303" s="24">
        <f t="shared" si="72"/>
        <v>0</v>
      </c>
      <c r="Y303" s="24">
        <f t="shared" si="72"/>
        <v>0</v>
      </c>
      <c r="Z303" s="24">
        <f t="shared" si="72"/>
        <v>0</v>
      </c>
      <c r="AA303" s="24">
        <f t="shared" si="72"/>
        <v>0</v>
      </c>
      <c r="AB303" s="24">
        <f t="shared" si="72"/>
        <v>0</v>
      </c>
      <c r="AC303" s="24">
        <f t="shared" si="72"/>
        <v>0</v>
      </c>
      <c r="AD303" s="24">
        <f t="shared" si="72"/>
        <v>0</v>
      </c>
      <c r="AE303" s="24">
        <f t="shared" si="72"/>
        <v>0</v>
      </c>
    </row>
    <row r="304" spans="2:31" x14ac:dyDescent="0.45">
      <c r="B304" s="14" t="s">
        <v>72</v>
      </c>
      <c r="C304" s="14" t="str">
        <f t="shared" si="64"/>
        <v>irn</v>
      </c>
      <c r="D304" s="15" t="s">
        <v>73</v>
      </c>
      <c r="E304" s="16" t="s">
        <v>111</v>
      </c>
      <c r="F304" s="14" t="s">
        <v>112</v>
      </c>
      <c r="G304" s="17" t="str">
        <f>Settings!$B$3&amp;".mit.enc."&amp;$B304</f>
        <v>egy.mit.enc.ren</v>
      </c>
      <c r="H304" s="45" t="str">
        <f>Settings!$B$3&amp;".mit.ener."&amp;$C$247&amp;"."&amp;$B304&amp;".e."&amp;$J$247</f>
        <v>egy.mit.ener.irn.ren.e.2</v>
      </c>
      <c r="L304" s="47">
        <f>INDEX(Data_Energy!$D$3:$U$22,MATCH($B304,Data_Energy!$C$3:$C$22,0),MATCH($C304,Data_Energy!$D$2:$U$2,0))</f>
        <v>0</v>
      </c>
      <c r="M304" s="24">
        <f t="shared" ref="M304:AE304" si="73">L304*(1+M$281)^($E294*M$282)*(1+M$283)*IF(L267&lt;=0,1,M267/L267)^$F294*(IF(L277&lt;=0,1,M277/L277)^$G294/(1+$H294+$I294))^(1+$F294)</f>
        <v>0</v>
      </c>
      <c r="N304" s="24">
        <f t="shared" si="73"/>
        <v>0</v>
      </c>
      <c r="O304" s="24">
        <f t="shared" si="73"/>
        <v>0</v>
      </c>
      <c r="P304" s="24">
        <f t="shared" si="73"/>
        <v>0</v>
      </c>
      <c r="Q304" s="24">
        <f t="shared" si="73"/>
        <v>0</v>
      </c>
      <c r="R304" s="24">
        <f t="shared" si="73"/>
        <v>0</v>
      </c>
      <c r="S304" s="24">
        <f t="shared" si="73"/>
        <v>0</v>
      </c>
      <c r="T304" s="24">
        <f t="shared" si="73"/>
        <v>0</v>
      </c>
      <c r="U304" s="24">
        <f t="shared" si="73"/>
        <v>0</v>
      </c>
      <c r="V304" s="24">
        <f t="shared" si="73"/>
        <v>0</v>
      </c>
      <c r="W304" s="24">
        <f t="shared" si="73"/>
        <v>0</v>
      </c>
      <c r="X304" s="24">
        <f t="shared" si="73"/>
        <v>0</v>
      </c>
      <c r="Y304" s="24">
        <f t="shared" si="73"/>
        <v>0</v>
      </c>
      <c r="Z304" s="24">
        <f t="shared" si="73"/>
        <v>0</v>
      </c>
      <c r="AA304" s="24">
        <f t="shared" si="73"/>
        <v>0</v>
      </c>
      <c r="AB304" s="24">
        <f t="shared" si="73"/>
        <v>0</v>
      </c>
      <c r="AC304" s="24">
        <f t="shared" si="73"/>
        <v>0</v>
      </c>
      <c r="AD304" s="24">
        <f t="shared" si="73"/>
        <v>0</v>
      </c>
      <c r="AE304" s="24">
        <f t="shared" si="73"/>
        <v>0</v>
      </c>
    </row>
    <row r="305" spans="1:35" x14ac:dyDescent="0.45">
      <c r="B305" s="14" t="s">
        <v>113</v>
      </c>
      <c r="C305" s="14" t="str">
        <f t="shared" si="64"/>
        <v>irn</v>
      </c>
      <c r="D305" s="25" t="s">
        <v>114</v>
      </c>
      <c r="E305" s="16" t="s">
        <v>111</v>
      </c>
      <c r="F305" s="14" t="s">
        <v>112</v>
      </c>
      <c r="H305" s="45" t="str">
        <f>Settings!$B$3&amp;".mit.ener."&amp;$C$247&amp;".tot.e."&amp;$J$247</f>
        <v>egy.mit.ener.irn.tot.e.2</v>
      </c>
      <c r="L305" s="26">
        <f t="shared" ref="L305:AE305" si="74">SUM(L296:L304)</f>
        <v>1901.7140738122609</v>
      </c>
      <c r="M305" s="26">
        <f t="shared" si="74"/>
        <v>1621.2301769893743</v>
      </c>
      <c r="N305" s="26">
        <f t="shared" si="74"/>
        <v>1820.8469202303741</v>
      </c>
      <c r="O305" s="26">
        <f t="shared" si="74"/>
        <v>1904.3670376253485</v>
      </c>
      <c r="P305" s="26">
        <f t="shared" si="74"/>
        <v>1961.702021253242</v>
      </c>
      <c r="Q305" s="26">
        <f t="shared" si="74"/>
        <v>1856.404797168507</v>
      </c>
      <c r="R305" s="26">
        <f t="shared" si="74"/>
        <v>1788.9492171961813</v>
      </c>
      <c r="S305" s="26">
        <f t="shared" si="74"/>
        <v>1732.3328660968311</v>
      </c>
      <c r="T305" s="26">
        <f t="shared" si="74"/>
        <v>1682.3885530274292</v>
      </c>
      <c r="U305" s="26">
        <f t="shared" si="74"/>
        <v>1641.4681088716554</v>
      </c>
      <c r="V305" s="26">
        <f t="shared" si="74"/>
        <v>1607.9067887450954</v>
      </c>
      <c r="W305" s="26">
        <f t="shared" si="74"/>
        <v>1581.3612458923549</v>
      </c>
      <c r="X305" s="26">
        <f t="shared" si="74"/>
        <v>1561.0275376536179</v>
      </c>
      <c r="Y305" s="26">
        <f t="shared" si="74"/>
        <v>1546.4517889063809</v>
      </c>
      <c r="Z305" s="26">
        <f t="shared" si="74"/>
        <v>1537.5943975526707</v>
      </c>
      <c r="AA305" s="26">
        <f t="shared" si="74"/>
        <v>1534.1781017151079</v>
      </c>
      <c r="AB305" s="26">
        <f t="shared" si="74"/>
        <v>1535.9010092298058</v>
      </c>
      <c r="AC305" s="26">
        <f t="shared" si="74"/>
        <v>1542.2263096902566</v>
      </c>
      <c r="AD305" s="26">
        <f t="shared" si="74"/>
        <v>1552.7078187244676</v>
      </c>
      <c r="AE305" s="26">
        <f t="shared" si="74"/>
        <v>1567.0166623775522</v>
      </c>
    </row>
    <row r="307" spans="1:35" x14ac:dyDescent="0.45">
      <c r="A307" s="11"/>
      <c r="B307" s="6" t="s">
        <v>115</v>
      </c>
      <c r="C307" s="7" t="s">
        <v>116</v>
      </c>
      <c r="D307" s="6" t="s">
        <v>47</v>
      </c>
      <c r="E307" s="7" t="s">
        <v>38</v>
      </c>
      <c r="F307" s="7" t="s">
        <v>48</v>
      </c>
      <c r="G307" s="7" t="s">
        <v>49</v>
      </c>
      <c r="H307" s="12" t="s">
        <v>41</v>
      </c>
      <c r="I307" s="6" t="s">
        <v>50</v>
      </c>
      <c r="J307" s="48">
        <v>2</v>
      </c>
      <c r="K307" s="6">
        <v>2021</v>
      </c>
      <c r="L307" s="46">
        <v>2022</v>
      </c>
      <c r="M307" s="6">
        <v>2023</v>
      </c>
      <c r="N307" s="6">
        <v>2024</v>
      </c>
      <c r="O307" s="6">
        <v>2025</v>
      </c>
      <c r="P307" s="6">
        <v>2026</v>
      </c>
      <c r="Q307" s="6">
        <v>2027</v>
      </c>
      <c r="R307" s="6">
        <v>2028</v>
      </c>
      <c r="S307" s="6">
        <v>2029</v>
      </c>
      <c r="T307" s="6">
        <v>2030</v>
      </c>
      <c r="U307" s="6">
        <v>2031</v>
      </c>
      <c r="V307" s="6">
        <v>2032</v>
      </c>
      <c r="W307" s="6">
        <v>2033</v>
      </c>
      <c r="X307" s="6">
        <v>2034</v>
      </c>
      <c r="Y307" s="6">
        <v>2035</v>
      </c>
      <c r="Z307" s="6">
        <v>2036</v>
      </c>
      <c r="AA307" s="6">
        <v>2037</v>
      </c>
      <c r="AB307" s="6">
        <v>2038</v>
      </c>
      <c r="AC307" s="6">
        <v>2039</v>
      </c>
      <c r="AD307" s="6">
        <v>2040</v>
      </c>
      <c r="AE307" s="6">
        <v>2041</v>
      </c>
      <c r="AF307" s="6">
        <v>2042</v>
      </c>
      <c r="AG307" s="6">
        <v>2043</v>
      </c>
      <c r="AH307" s="6">
        <v>2044</v>
      </c>
      <c r="AI307" s="6">
        <v>2045</v>
      </c>
    </row>
    <row r="308" spans="1:35" x14ac:dyDescent="0.45">
      <c r="B308" s="13" t="s">
        <v>51</v>
      </c>
    </row>
    <row r="309" spans="1:35" x14ac:dyDescent="0.45">
      <c r="B309" s="14" t="s">
        <v>52</v>
      </c>
      <c r="C309" s="14" t="str">
        <f t="shared" ref="C309:C317" si="75">$C$307</f>
        <v>cem</v>
      </c>
      <c r="D309" s="15" t="s">
        <v>53</v>
      </c>
      <c r="E309" s="16" t="s">
        <v>54</v>
      </c>
      <c r="F309" s="14" t="s">
        <v>55</v>
      </c>
      <c r="G309" s="17" t="str">
        <f>Settings!$B$3&amp;".mit.pbc."&amp;Settings!$B$4&amp;"."&amp;$B309&amp;".a."&amp;$J$307</f>
        <v>egy.mit.pbc.ind.coa.a.2</v>
      </c>
      <c r="H309" s="45" t="str">
        <f>Settings!$B$3&amp;".mit.ptp."&amp;$C$307&amp;"."&amp;$B309&amp;".e."&amp;$J$307</f>
        <v>egy.mit.ptp.cem.coa.e.2</v>
      </c>
      <c r="K309" s="18">
        <f>INDEX(Data_Prices!K:K,MATCH($G309,Data_Prices!$A:$A,0))</f>
        <v>11.182901589243899</v>
      </c>
      <c r="L309" s="18">
        <f>INDEX(Data_Prices!L:L,MATCH($G309,Data_Prices!$A:$A,0))</f>
        <v>10.5233613454312</v>
      </c>
      <c r="M309" s="18">
        <f>INDEX(Data_Prices!M:M,MATCH($G309,Data_Prices!$A:$A,0))</f>
        <v>10.2995608274442</v>
      </c>
      <c r="N309" s="18">
        <f>INDEX(Data_Prices!N:N,MATCH($G309,Data_Prices!$A:$A,0))</f>
        <v>9.5775283595382597</v>
      </c>
      <c r="O309" s="18">
        <f>INDEX(Data_Prices!O:O,MATCH($G309,Data_Prices!$A:$A,0))</f>
        <v>8.4854782869580507</v>
      </c>
      <c r="P309" s="18">
        <f>INDEX(Data_Prices!P:P,MATCH($G309,Data_Prices!$A:$A,0))</f>
        <v>9.0871922352498604</v>
      </c>
      <c r="Q309" s="18">
        <f>INDEX(Data_Prices!Q:Q,MATCH($G309,Data_Prices!$A:$A,0))</f>
        <v>9.2229237289326793</v>
      </c>
      <c r="R309" s="18">
        <f>INDEX(Data_Prices!R:R,MATCH($G309,Data_Prices!$A:$A,0))</f>
        <v>9.1585649555096893</v>
      </c>
      <c r="S309" s="18">
        <f>INDEX(Data_Prices!S:S,MATCH($G309,Data_Prices!$A:$A,0))</f>
        <v>9.0895478773973792</v>
      </c>
      <c r="T309" s="18">
        <f>INDEX(Data_Prices!T:T,MATCH($G309,Data_Prices!$A:$A,0))</f>
        <v>9.0156816660228305</v>
      </c>
      <c r="U309" s="18">
        <f>INDEX(Data_Prices!U:U,MATCH($G309,Data_Prices!$A:$A,0))</f>
        <v>8.9443977655571096</v>
      </c>
      <c r="V309" s="18">
        <f>INDEX(Data_Prices!V:V,MATCH($G309,Data_Prices!$A:$A,0))</f>
        <v>8.9443977655571096</v>
      </c>
      <c r="W309" s="18">
        <f>INDEX(Data_Prices!W:W,MATCH($G309,Data_Prices!$A:$A,0))</f>
        <v>8.9443977655571096</v>
      </c>
      <c r="X309" s="18">
        <f>INDEX(Data_Prices!X:X,MATCH($G309,Data_Prices!$A:$A,0))</f>
        <v>8.9443977655571096</v>
      </c>
      <c r="Y309" s="18">
        <f>INDEX(Data_Prices!Y:Y,MATCH($G309,Data_Prices!$A:$A,0))</f>
        <v>8.9443977655571096</v>
      </c>
      <c r="Z309" s="18">
        <f>INDEX(Data_Prices!Z:Z,MATCH($G309,Data_Prices!$A:$A,0))</f>
        <v>8.9443977655571096</v>
      </c>
      <c r="AA309" s="18">
        <f>INDEX(Data_Prices!AA:AA,MATCH($G309,Data_Prices!$A:$A,0))</f>
        <v>8.9443977655571096</v>
      </c>
      <c r="AB309" s="18">
        <f>INDEX(Data_Prices!AB:AB,MATCH($G309,Data_Prices!$A:$A,0))</f>
        <v>8.9443977655571096</v>
      </c>
      <c r="AC309" s="18">
        <f>INDEX(Data_Prices!AC:AC,MATCH($G309,Data_Prices!$A:$A,0))</f>
        <v>8.9443977655571096</v>
      </c>
      <c r="AD309" s="18">
        <f>INDEX(Data_Prices!AD:AD,MATCH($G309,Data_Prices!$A:$A,0))</f>
        <v>8.9443977655571096</v>
      </c>
      <c r="AE309" s="18">
        <f>INDEX(Data_Prices!AE:AE,MATCH($G309,Data_Prices!$A:$A,0))</f>
        <v>8.9443977655571096</v>
      </c>
    </row>
    <row r="310" spans="1:35" x14ac:dyDescent="0.45">
      <c r="B310" s="14" t="s">
        <v>56</v>
      </c>
      <c r="C310" s="14" t="str">
        <f t="shared" si="75"/>
        <v>cem</v>
      </c>
      <c r="D310" s="15" t="s">
        <v>57</v>
      </c>
      <c r="E310" s="16" t="s">
        <v>54</v>
      </c>
      <c r="F310" s="14" t="s">
        <v>55</v>
      </c>
      <c r="G310" s="17" t="str">
        <f>Settings!$B$3&amp;".mit.pbc."&amp;Settings!$B$4&amp;"."&amp;$B310&amp;".a."&amp;$J$307</f>
        <v>egy.mit.pbc.ind.nga.a.2</v>
      </c>
      <c r="H310" s="45" t="str">
        <f>Settings!$B$3&amp;".mit.ptp."&amp;$C$307&amp;"."&amp;$B310&amp;".e."&amp;$J$307</f>
        <v>egy.mit.ptp.cem.nga.e.2</v>
      </c>
      <c r="K310" s="18">
        <f>INDEX(Data_Prices!K:K,MATCH($G310,Data_Prices!$A:$A,0))</f>
        <v>6.0634636156729096</v>
      </c>
      <c r="L310" s="18">
        <f>INDEX(Data_Prices!L:L,MATCH($G310,Data_Prices!$A:$A,0))</f>
        <v>5.4510150816191896</v>
      </c>
      <c r="M310" s="18">
        <f>INDEX(Data_Prices!M:M,MATCH($G310,Data_Prices!$A:$A,0))</f>
        <v>5.1193563062624801</v>
      </c>
      <c r="N310" s="18">
        <f>INDEX(Data_Prices!N:N,MATCH($G310,Data_Prices!$A:$A,0))</f>
        <v>5.08218458640407</v>
      </c>
      <c r="O310" s="18">
        <f>INDEX(Data_Prices!O:O,MATCH($G310,Data_Prices!$A:$A,0))</f>
        <v>5.08218458640407</v>
      </c>
      <c r="P310" s="18">
        <f>INDEX(Data_Prices!P:P,MATCH($G310,Data_Prices!$A:$A,0))</f>
        <v>5.08218458640407</v>
      </c>
      <c r="Q310" s="18">
        <f>INDEX(Data_Prices!Q:Q,MATCH($G310,Data_Prices!$A:$A,0))</f>
        <v>5.08218458640407</v>
      </c>
      <c r="R310" s="18">
        <f>INDEX(Data_Prices!R:R,MATCH($G310,Data_Prices!$A:$A,0))</f>
        <v>5.08218458640407</v>
      </c>
      <c r="S310" s="18">
        <f>INDEX(Data_Prices!S:S,MATCH($G310,Data_Prices!$A:$A,0))</f>
        <v>5.08218458640407</v>
      </c>
      <c r="T310" s="18">
        <f>INDEX(Data_Prices!T:T,MATCH($G310,Data_Prices!$A:$A,0))</f>
        <v>5.08218458640407</v>
      </c>
      <c r="U310" s="18">
        <f>INDEX(Data_Prices!U:U,MATCH($G310,Data_Prices!$A:$A,0))</f>
        <v>5.08218458640407</v>
      </c>
      <c r="V310" s="18">
        <f>INDEX(Data_Prices!V:V,MATCH($G310,Data_Prices!$A:$A,0))</f>
        <v>5.08218458640407</v>
      </c>
      <c r="W310" s="18">
        <f>INDEX(Data_Prices!W:W,MATCH($G310,Data_Prices!$A:$A,0))</f>
        <v>5.08218458640407</v>
      </c>
      <c r="X310" s="18">
        <f>INDEX(Data_Prices!X:X,MATCH($G310,Data_Prices!$A:$A,0))</f>
        <v>5.08218458640407</v>
      </c>
      <c r="Y310" s="18">
        <f>INDEX(Data_Prices!Y:Y,MATCH($G310,Data_Prices!$A:$A,0))</f>
        <v>5.08218458640407</v>
      </c>
      <c r="Z310" s="18">
        <f>INDEX(Data_Prices!Z:Z,MATCH($G310,Data_Prices!$A:$A,0))</f>
        <v>5.08218458640407</v>
      </c>
      <c r="AA310" s="18">
        <f>INDEX(Data_Prices!AA:AA,MATCH($G310,Data_Prices!$A:$A,0))</f>
        <v>5.08218458640407</v>
      </c>
      <c r="AB310" s="18">
        <f>INDEX(Data_Prices!AB:AB,MATCH($G310,Data_Prices!$A:$A,0))</f>
        <v>5.08218458640407</v>
      </c>
      <c r="AC310" s="18">
        <f>INDEX(Data_Prices!AC:AC,MATCH($G310,Data_Prices!$A:$A,0))</f>
        <v>5.08218458640407</v>
      </c>
      <c r="AD310" s="18">
        <f>INDEX(Data_Prices!AD:AD,MATCH($G310,Data_Prices!$A:$A,0))</f>
        <v>5.08218458640407</v>
      </c>
      <c r="AE310" s="18">
        <f>INDEX(Data_Prices!AE:AE,MATCH($G310,Data_Prices!$A:$A,0))</f>
        <v>5.08218458640407</v>
      </c>
    </row>
    <row r="311" spans="1:35" x14ac:dyDescent="0.45">
      <c r="B311" s="14" t="s">
        <v>58</v>
      </c>
      <c r="C311" s="14" t="str">
        <f t="shared" si="75"/>
        <v>cem</v>
      </c>
      <c r="D311" s="15" t="s">
        <v>59</v>
      </c>
      <c r="E311" s="16" t="s">
        <v>60</v>
      </c>
      <c r="F311" s="14" t="s">
        <v>55</v>
      </c>
      <c r="G311" s="17" t="str">
        <f>Settings!$B$3&amp;".mit.pbc."&amp;Settings!$B$4&amp;"."&amp;$B311&amp;".a."&amp;$J$307</f>
        <v>egy.mit.pbc.ind.gso.a.2</v>
      </c>
      <c r="H311" s="45" t="str">
        <f>Settings!$B$3&amp;".mit.ptp."&amp;$C$307&amp;"."&amp;$B311&amp;".e."&amp;$J$307</f>
        <v>egy.mit.ptp.cem.gso.e.2</v>
      </c>
      <c r="K311" s="18">
        <f>INDEX(Data_Prices!K:K,MATCH($G311,Data_Prices!$A:$A,0))</f>
        <v>0.67114653332181595</v>
      </c>
      <c r="L311" s="18">
        <f>INDEX(Data_Prices!L:L,MATCH($G311,Data_Prices!$A:$A,0))</f>
        <v>0.61197797679140598</v>
      </c>
      <c r="M311" s="18">
        <f>INDEX(Data_Prices!M:M,MATCH($G311,Data_Prices!$A:$A,0))</f>
        <v>0.61180974964187596</v>
      </c>
      <c r="N311" s="18">
        <f>INDEX(Data_Prices!N:N,MATCH($G311,Data_Prices!$A:$A,0))</f>
        <v>0.60358310017790595</v>
      </c>
      <c r="O311" s="18">
        <f>INDEX(Data_Prices!O:O,MATCH($G311,Data_Prices!$A:$A,0))</f>
        <v>0.60358310017790595</v>
      </c>
      <c r="P311" s="18">
        <f>INDEX(Data_Prices!P:P,MATCH($G311,Data_Prices!$A:$A,0))</f>
        <v>0.60358310017790595</v>
      </c>
      <c r="Q311" s="18">
        <f>INDEX(Data_Prices!Q:Q,MATCH($G311,Data_Prices!$A:$A,0))</f>
        <v>0.60358310017790595</v>
      </c>
      <c r="R311" s="18">
        <f>INDEX(Data_Prices!R:R,MATCH($G311,Data_Prices!$A:$A,0))</f>
        <v>0.60358310017790595</v>
      </c>
      <c r="S311" s="18">
        <f>INDEX(Data_Prices!S:S,MATCH($G311,Data_Prices!$A:$A,0))</f>
        <v>0.60358310017790595</v>
      </c>
      <c r="T311" s="18">
        <f>INDEX(Data_Prices!T:T,MATCH($G311,Data_Prices!$A:$A,0))</f>
        <v>0.60358310017790595</v>
      </c>
      <c r="U311" s="18">
        <f>INDEX(Data_Prices!U:U,MATCH($G311,Data_Prices!$A:$A,0))</f>
        <v>0.60358310017790595</v>
      </c>
      <c r="V311" s="18">
        <f>INDEX(Data_Prices!V:V,MATCH($G311,Data_Prices!$A:$A,0))</f>
        <v>0.60358310017790595</v>
      </c>
      <c r="W311" s="18">
        <f>INDEX(Data_Prices!W:W,MATCH($G311,Data_Prices!$A:$A,0))</f>
        <v>0.60358310017790595</v>
      </c>
      <c r="X311" s="18">
        <f>INDEX(Data_Prices!X:X,MATCH($G311,Data_Prices!$A:$A,0))</f>
        <v>0.60358310017790595</v>
      </c>
      <c r="Y311" s="18">
        <f>INDEX(Data_Prices!Y:Y,MATCH($G311,Data_Prices!$A:$A,0))</f>
        <v>0.60358310017790595</v>
      </c>
      <c r="Z311" s="18">
        <f>INDEX(Data_Prices!Z:Z,MATCH($G311,Data_Prices!$A:$A,0))</f>
        <v>0.60358310017790595</v>
      </c>
      <c r="AA311" s="18">
        <f>INDEX(Data_Prices!AA:AA,MATCH($G311,Data_Prices!$A:$A,0))</f>
        <v>0.60358310017790595</v>
      </c>
      <c r="AB311" s="18">
        <f>INDEX(Data_Prices!AB:AB,MATCH($G311,Data_Prices!$A:$A,0))</f>
        <v>0.60358310017790595</v>
      </c>
      <c r="AC311" s="18">
        <f>INDEX(Data_Prices!AC:AC,MATCH($G311,Data_Prices!$A:$A,0))</f>
        <v>0.60358310017790595</v>
      </c>
      <c r="AD311" s="18">
        <f>INDEX(Data_Prices!AD:AD,MATCH($G311,Data_Prices!$A:$A,0))</f>
        <v>0.60358310017790595</v>
      </c>
      <c r="AE311" s="18">
        <f>INDEX(Data_Prices!AE:AE,MATCH($G311,Data_Prices!$A:$A,0))</f>
        <v>0.60358310017790595</v>
      </c>
    </row>
    <row r="312" spans="1:35" x14ac:dyDescent="0.45">
      <c r="B312" s="14" t="s">
        <v>61</v>
      </c>
      <c r="C312" s="14" t="str">
        <f t="shared" si="75"/>
        <v>cem</v>
      </c>
      <c r="D312" s="15" t="s">
        <v>62</v>
      </c>
      <c r="E312" s="16" t="s">
        <v>60</v>
      </c>
      <c r="F312" s="14" t="s">
        <v>55</v>
      </c>
      <c r="G312" s="17" t="str">
        <f>Settings!$B$3&amp;".mit.pbc."&amp;Settings!$B$4&amp;"."&amp;$B312&amp;".a."&amp;$J$307</f>
        <v>egy.mit.pbc.ind.die.a.2</v>
      </c>
      <c r="H312" s="45" t="str">
        <f>Settings!$B$3&amp;".mit.ptp."&amp;$C$307&amp;"."&amp;$B312&amp;".e."&amp;$J$307</f>
        <v>egy.mit.ptp.cem.die.e.2</v>
      </c>
      <c r="K312" s="18">
        <f>INDEX(Data_Prices!K:K,MATCH($G312,Data_Prices!$A:$A,0))</f>
        <v>0.55971121315568795</v>
      </c>
      <c r="L312" s="18">
        <f>INDEX(Data_Prices!L:L,MATCH($G312,Data_Prices!$A:$A,0))</f>
        <v>0.49458873084106802</v>
      </c>
      <c r="M312" s="18">
        <f>INDEX(Data_Prices!M:M,MATCH($G312,Data_Prices!$A:$A,0))</f>
        <v>0.50778654720250105</v>
      </c>
      <c r="N312" s="18">
        <f>INDEX(Data_Prices!N:N,MATCH($G312,Data_Prices!$A:$A,0))</f>
        <v>0.47043642679561698</v>
      </c>
      <c r="O312" s="18">
        <f>INDEX(Data_Prices!O:O,MATCH($G312,Data_Prices!$A:$A,0))</f>
        <v>0.47043642679561698</v>
      </c>
      <c r="P312" s="18">
        <f>INDEX(Data_Prices!P:P,MATCH($G312,Data_Prices!$A:$A,0))</f>
        <v>0.47043642679561698</v>
      </c>
      <c r="Q312" s="18">
        <f>INDEX(Data_Prices!Q:Q,MATCH($G312,Data_Prices!$A:$A,0))</f>
        <v>0.47043642679561698</v>
      </c>
      <c r="R312" s="18">
        <f>INDEX(Data_Prices!R:R,MATCH($G312,Data_Prices!$A:$A,0))</f>
        <v>0.47043642679561698</v>
      </c>
      <c r="S312" s="18">
        <f>INDEX(Data_Prices!S:S,MATCH($G312,Data_Prices!$A:$A,0))</f>
        <v>0.47043642679561698</v>
      </c>
      <c r="T312" s="18">
        <f>INDEX(Data_Prices!T:T,MATCH($G312,Data_Prices!$A:$A,0))</f>
        <v>0.47043642679561698</v>
      </c>
      <c r="U312" s="18">
        <f>INDEX(Data_Prices!U:U,MATCH($G312,Data_Prices!$A:$A,0))</f>
        <v>0.47043642679561698</v>
      </c>
      <c r="V312" s="18">
        <f>INDEX(Data_Prices!V:V,MATCH($G312,Data_Prices!$A:$A,0))</f>
        <v>0.47043642679561698</v>
      </c>
      <c r="W312" s="18">
        <f>INDEX(Data_Prices!W:W,MATCH($G312,Data_Prices!$A:$A,0))</f>
        <v>0.47043642679561698</v>
      </c>
      <c r="X312" s="18">
        <f>INDEX(Data_Prices!X:X,MATCH($G312,Data_Prices!$A:$A,0))</f>
        <v>0.47043642679561698</v>
      </c>
      <c r="Y312" s="18">
        <f>INDEX(Data_Prices!Y:Y,MATCH($G312,Data_Prices!$A:$A,0))</f>
        <v>0.47043642679561698</v>
      </c>
      <c r="Z312" s="18">
        <f>INDEX(Data_Prices!Z:Z,MATCH($G312,Data_Prices!$A:$A,0))</f>
        <v>0.47043642679561698</v>
      </c>
      <c r="AA312" s="18">
        <f>INDEX(Data_Prices!AA:AA,MATCH($G312,Data_Prices!$A:$A,0))</f>
        <v>0.47043642679561698</v>
      </c>
      <c r="AB312" s="18">
        <f>INDEX(Data_Prices!AB:AB,MATCH($G312,Data_Prices!$A:$A,0))</f>
        <v>0.47043642679561698</v>
      </c>
      <c r="AC312" s="18">
        <f>INDEX(Data_Prices!AC:AC,MATCH($G312,Data_Prices!$A:$A,0))</f>
        <v>0.47043642679561698</v>
      </c>
      <c r="AD312" s="18">
        <f>INDEX(Data_Prices!AD:AD,MATCH($G312,Data_Prices!$A:$A,0))</f>
        <v>0.47043642679561698</v>
      </c>
      <c r="AE312" s="18">
        <f>INDEX(Data_Prices!AE:AE,MATCH($G312,Data_Prices!$A:$A,0))</f>
        <v>0.47043642679561698</v>
      </c>
    </row>
    <row r="313" spans="1:35" x14ac:dyDescent="0.45">
      <c r="B313" s="14" t="s">
        <v>63</v>
      </c>
      <c r="C313" s="14" t="str">
        <f t="shared" si="75"/>
        <v>cem</v>
      </c>
      <c r="D313" s="15" t="s">
        <v>64</v>
      </c>
      <c r="E313" s="16" t="s">
        <v>60</v>
      </c>
      <c r="F313" s="14" t="s">
        <v>55</v>
      </c>
      <c r="G313" s="17" t="str">
        <f>Settings!$B$3&amp;".mit.pbc."&amp;Settings!$B$4&amp;"."&amp;$B313&amp;".a."&amp;$J$307</f>
        <v>egy.mit.pbc.ind.lpg.a.2</v>
      </c>
      <c r="H313" s="45" t="str">
        <f>Settings!$B$3&amp;".mit.ptp."&amp;$C$307&amp;"."&amp;$B313&amp;".e."&amp;$J$307</f>
        <v>egy.mit.ptp.cem.lpg.e.2</v>
      </c>
      <c r="K313" s="18">
        <f>INDEX(Data_Prices!K:K,MATCH($G313,Data_Prices!$A:$A,0))</f>
        <v>0.20036669112673799</v>
      </c>
      <c r="L313" s="18">
        <f>INDEX(Data_Prices!L:L,MATCH($G313,Data_Prices!$A:$A,0))</f>
        <v>0.15734473625227399</v>
      </c>
      <c r="M313" s="18">
        <f>INDEX(Data_Prices!M:M,MATCH($G313,Data_Prices!$A:$A,0))</f>
        <v>0.164484037759277</v>
      </c>
      <c r="N313" s="18">
        <f>INDEX(Data_Prices!N:N,MATCH($G313,Data_Prices!$A:$A,0))</f>
        <v>0.15070907780704901</v>
      </c>
      <c r="O313" s="18">
        <f>INDEX(Data_Prices!O:O,MATCH($G313,Data_Prices!$A:$A,0))</f>
        <v>0.15070907780704901</v>
      </c>
      <c r="P313" s="18">
        <f>INDEX(Data_Prices!P:P,MATCH($G313,Data_Prices!$A:$A,0))</f>
        <v>0.15070907780704901</v>
      </c>
      <c r="Q313" s="18">
        <f>INDEX(Data_Prices!Q:Q,MATCH($G313,Data_Prices!$A:$A,0))</f>
        <v>0.15070907780704901</v>
      </c>
      <c r="R313" s="18">
        <f>INDEX(Data_Prices!R:R,MATCH($G313,Data_Prices!$A:$A,0))</f>
        <v>0.15070907780704901</v>
      </c>
      <c r="S313" s="18">
        <f>INDEX(Data_Prices!S:S,MATCH($G313,Data_Prices!$A:$A,0))</f>
        <v>0.15070907780704901</v>
      </c>
      <c r="T313" s="18">
        <f>INDEX(Data_Prices!T:T,MATCH($G313,Data_Prices!$A:$A,0))</f>
        <v>0.15070907780704901</v>
      </c>
      <c r="U313" s="18">
        <f>INDEX(Data_Prices!U:U,MATCH($G313,Data_Prices!$A:$A,0))</f>
        <v>0.15070907780704901</v>
      </c>
      <c r="V313" s="18">
        <f>INDEX(Data_Prices!V:V,MATCH($G313,Data_Prices!$A:$A,0))</f>
        <v>0.15070907780704901</v>
      </c>
      <c r="W313" s="18">
        <f>INDEX(Data_Prices!W:W,MATCH($G313,Data_Prices!$A:$A,0))</f>
        <v>0.15070907780704901</v>
      </c>
      <c r="X313" s="18">
        <f>INDEX(Data_Prices!X:X,MATCH($G313,Data_Prices!$A:$A,0))</f>
        <v>0.15070907780704901</v>
      </c>
      <c r="Y313" s="18">
        <f>INDEX(Data_Prices!Y:Y,MATCH($G313,Data_Prices!$A:$A,0))</f>
        <v>0.15070907780704901</v>
      </c>
      <c r="Z313" s="18">
        <f>INDEX(Data_Prices!Z:Z,MATCH($G313,Data_Prices!$A:$A,0))</f>
        <v>0.15070907780704901</v>
      </c>
      <c r="AA313" s="18">
        <f>INDEX(Data_Prices!AA:AA,MATCH($G313,Data_Prices!$A:$A,0))</f>
        <v>0.15070907780704901</v>
      </c>
      <c r="AB313" s="18">
        <f>INDEX(Data_Prices!AB:AB,MATCH($G313,Data_Prices!$A:$A,0))</f>
        <v>0.15070907780704901</v>
      </c>
      <c r="AC313" s="18">
        <f>INDEX(Data_Prices!AC:AC,MATCH($G313,Data_Prices!$A:$A,0))</f>
        <v>0.15070907780704901</v>
      </c>
      <c r="AD313" s="18">
        <f>INDEX(Data_Prices!AD:AD,MATCH($G313,Data_Prices!$A:$A,0))</f>
        <v>0.15070907780704901</v>
      </c>
      <c r="AE313" s="18">
        <f>INDEX(Data_Prices!AE:AE,MATCH($G313,Data_Prices!$A:$A,0))</f>
        <v>0.15070907780704901</v>
      </c>
    </row>
    <row r="314" spans="1:35" x14ac:dyDescent="0.45">
      <c r="B314" s="14" t="s">
        <v>65</v>
      </c>
      <c r="C314" s="14" t="str">
        <f t="shared" si="75"/>
        <v>cem</v>
      </c>
      <c r="D314" s="15" t="s">
        <v>66</v>
      </c>
      <c r="E314" s="16" t="s">
        <v>60</v>
      </c>
      <c r="F314" s="14" t="s">
        <v>55</v>
      </c>
      <c r="G314" s="17" t="str">
        <f>Settings!$B$3&amp;".mit.pbc."&amp;Settings!$B$4&amp;"."&amp;$B314&amp;".a."&amp;$J$307</f>
        <v>egy.mit.pbc.ind.ker.a.2</v>
      </c>
      <c r="H314" s="45" t="str">
        <f>Settings!$B$3&amp;".mit.ptp."&amp;$C$307&amp;"."&amp;$B314&amp;".e."&amp;$J$307</f>
        <v>egy.mit.ptp.cem.ker.e.2</v>
      </c>
      <c r="K314" s="18">
        <f>INDEX(Data_Prices!K:K,MATCH($G314,Data_Prices!$A:$A,0))</f>
        <v>0.48429424097343499</v>
      </c>
      <c r="L314" s="18">
        <f>INDEX(Data_Prices!L:L,MATCH($G314,Data_Prices!$A:$A,0))</f>
        <v>0.45642817050012802</v>
      </c>
      <c r="M314" s="18">
        <f>INDEX(Data_Prices!M:M,MATCH($G314,Data_Prices!$A:$A,0))</f>
        <v>0.43168920195599497</v>
      </c>
      <c r="N314" s="18">
        <f>INDEX(Data_Prices!N:N,MATCH($G314,Data_Prices!$A:$A,0))</f>
        <v>0.42507558395597</v>
      </c>
      <c r="O314" s="18">
        <f>INDEX(Data_Prices!O:O,MATCH($G314,Data_Prices!$A:$A,0))</f>
        <v>0.42507558395597</v>
      </c>
      <c r="P314" s="18">
        <f>INDEX(Data_Prices!P:P,MATCH($G314,Data_Prices!$A:$A,0))</f>
        <v>0.42507558395597</v>
      </c>
      <c r="Q314" s="18">
        <f>INDEX(Data_Prices!Q:Q,MATCH($G314,Data_Prices!$A:$A,0))</f>
        <v>0.42507558395597</v>
      </c>
      <c r="R314" s="18">
        <f>INDEX(Data_Prices!R:R,MATCH($G314,Data_Prices!$A:$A,0))</f>
        <v>0.42507558395597</v>
      </c>
      <c r="S314" s="18">
        <f>INDEX(Data_Prices!S:S,MATCH($G314,Data_Prices!$A:$A,0))</f>
        <v>0.42507558395597</v>
      </c>
      <c r="T314" s="18">
        <f>INDEX(Data_Prices!T:T,MATCH($G314,Data_Prices!$A:$A,0))</f>
        <v>0.42507558395597</v>
      </c>
      <c r="U314" s="18">
        <f>INDEX(Data_Prices!U:U,MATCH($G314,Data_Prices!$A:$A,0))</f>
        <v>0.42507558395597</v>
      </c>
      <c r="V314" s="18">
        <f>INDEX(Data_Prices!V:V,MATCH($G314,Data_Prices!$A:$A,0))</f>
        <v>0.42507558395597</v>
      </c>
      <c r="W314" s="18">
        <f>INDEX(Data_Prices!W:W,MATCH($G314,Data_Prices!$A:$A,0))</f>
        <v>0.42507558395597</v>
      </c>
      <c r="X314" s="18">
        <f>INDEX(Data_Prices!X:X,MATCH($G314,Data_Prices!$A:$A,0))</f>
        <v>0.42507558395597</v>
      </c>
      <c r="Y314" s="18">
        <f>INDEX(Data_Prices!Y:Y,MATCH($G314,Data_Prices!$A:$A,0))</f>
        <v>0.42507558395597</v>
      </c>
      <c r="Z314" s="18">
        <f>INDEX(Data_Prices!Z:Z,MATCH($G314,Data_Prices!$A:$A,0))</f>
        <v>0.42507558395597</v>
      </c>
      <c r="AA314" s="18">
        <f>INDEX(Data_Prices!AA:AA,MATCH($G314,Data_Prices!$A:$A,0))</f>
        <v>0.42507558395597</v>
      </c>
      <c r="AB314" s="18">
        <f>INDEX(Data_Prices!AB:AB,MATCH($G314,Data_Prices!$A:$A,0))</f>
        <v>0.42507558395597</v>
      </c>
      <c r="AC314" s="18">
        <f>INDEX(Data_Prices!AC:AC,MATCH($G314,Data_Prices!$A:$A,0))</f>
        <v>0.42507558395597</v>
      </c>
      <c r="AD314" s="18">
        <f>INDEX(Data_Prices!AD:AD,MATCH($G314,Data_Prices!$A:$A,0))</f>
        <v>0.42507558395597</v>
      </c>
      <c r="AE314" s="18">
        <f>INDEX(Data_Prices!AE:AE,MATCH($G314,Data_Prices!$A:$A,0))</f>
        <v>0.42507558395597</v>
      </c>
    </row>
    <row r="315" spans="1:35" x14ac:dyDescent="0.45">
      <c r="B315" s="14" t="s">
        <v>67</v>
      </c>
      <c r="C315" s="14" t="str">
        <f t="shared" si="75"/>
        <v>cem</v>
      </c>
      <c r="D315" s="15" t="s">
        <v>68</v>
      </c>
      <c r="E315" s="16" t="s">
        <v>69</v>
      </c>
      <c r="F315" s="14" t="s">
        <v>55</v>
      </c>
      <c r="G315" s="17" t="str">
        <f>Settings!$B$3&amp;".mit.pbc."&amp;Settings!$B$4&amp;"."&amp;$B315&amp;".a."&amp;$J$307</f>
        <v>egy.mit.pbc.ind.oop.a.2</v>
      </c>
      <c r="H315" s="45" t="str">
        <f>Settings!$B$3&amp;".mit.ptp."&amp;$C$307&amp;"."&amp;$B315&amp;".e."&amp;$J$307</f>
        <v>egy.mit.ptp.cem.oop.e.2</v>
      </c>
      <c r="K315" s="18">
        <f>INDEX(Data_Prices!K:K,MATCH($G315,Data_Prices!$A:$A,0))</f>
        <v>41.500338498868402</v>
      </c>
      <c r="L315" s="18">
        <f>INDEX(Data_Prices!L:L,MATCH($G315,Data_Prices!$A:$A,0))</f>
        <v>34.4153703043132</v>
      </c>
      <c r="M315" s="18">
        <f>INDEX(Data_Prices!M:M,MATCH($G315,Data_Prices!$A:$A,0))</f>
        <v>37.368960690431997</v>
      </c>
      <c r="N315" s="18">
        <f>INDEX(Data_Prices!N:N,MATCH($G315,Data_Prices!$A:$A,0))</f>
        <v>28.982761101477301</v>
      </c>
      <c r="O315" s="18">
        <f>INDEX(Data_Prices!O:O,MATCH($G315,Data_Prices!$A:$A,0))</f>
        <v>15</v>
      </c>
      <c r="P315" s="18">
        <f>INDEX(Data_Prices!P:P,MATCH($G315,Data_Prices!$A:$A,0))</f>
        <v>24.2586300842555</v>
      </c>
      <c r="Q315" s="18">
        <f>INDEX(Data_Prices!Q:Q,MATCH($G315,Data_Prices!$A:$A,0))</f>
        <v>13.096208196132499</v>
      </c>
      <c r="R315" s="18">
        <f>INDEX(Data_Prices!R:R,MATCH($G315,Data_Prices!$A:$A,0))</f>
        <v>10.0252451140106</v>
      </c>
      <c r="S315" s="18">
        <f>INDEX(Data_Prices!S:S,MATCH($G315,Data_Prices!$A:$A,0))</f>
        <v>8.4772306913736202</v>
      </c>
      <c r="T315" s="18">
        <f>INDEX(Data_Prices!T:T,MATCH($G315,Data_Prices!$A:$A,0))</f>
        <v>7.1234824452092198</v>
      </c>
      <c r="U315" s="18">
        <f>INDEX(Data_Prices!U:U,MATCH($G315,Data_Prices!$A:$A,0))</f>
        <v>5.6527597394100599</v>
      </c>
      <c r="V315" s="18">
        <f>INDEX(Data_Prices!V:V,MATCH($G315,Data_Prices!$A:$A,0))</f>
        <v>5.6527597394100599</v>
      </c>
      <c r="W315" s="18">
        <f>INDEX(Data_Prices!W:W,MATCH($G315,Data_Prices!$A:$A,0))</f>
        <v>5.6527597394100599</v>
      </c>
      <c r="X315" s="18">
        <f>INDEX(Data_Prices!X:X,MATCH($G315,Data_Prices!$A:$A,0))</f>
        <v>5.6527597394100599</v>
      </c>
      <c r="Y315" s="18">
        <f>INDEX(Data_Prices!Y:Y,MATCH($G315,Data_Prices!$A:$A,0))</f>
        <v>5.6527597394100599</v>
      </c>
      <c r="Z315" s="18">
        <f>INDEX(Data_Prices!Z:Z,MATCH($G315,Data_Prices!$A:$A,0))</f>
        <v>5.6527597394100697</v>
      </c>
      <c r="AA315" s="18">
        <f>INDEX(Data_Prices!AA:AA,MATCH($G315,Data_Prices!$A:$A,0))</f>
        <v>5.6527597394100599</v>
      </c>
      <c r="AB315" s="18">
        <f>INDEX(Data_Prices!AB:AB,MATCH($G315,Data_Prices!$A:$A,0))</f>
        <v>5.6527597394100599</v>
      </c>
      <c r="AC315" s="18">
        <f>INDEX(Data_Prices!AC:AC,MATCH($G315,Data_Prices!$A:$A,0))</f>
        <v>5.6527597394100404</v>
      </c>
      <c r="AD315" s="18">
        <f>INDEX(Data_Prices!AD:AD,MATCH($G315,Data_Prices!$A:$A,0))</f>
        <v>5.6527597394100599</v>
      </c>
      <c r="AE315" s="18">
        <f>INDEX(Data_Prices!AE:AE,MATCH($G315,Data_Prices!$A:$A,0))</f>
        <v>5.6527597394100404</v>
      </c>
    </row>
    <row r="316" spans="1:35" x14ac:dyDescent="0.45">
      <c r="B316" s="14" t="s">
        <v>70</v>
      </c>
      <c r="C316" s="14" t="str">
        <f t="shared" si="75"/>
        <v>cem</v>
      </c>
      <c r="D316" s="15" t="s">
        <v>71</v>
      </c>
      <c r="E316" s="16" t="s">
        <v>54</v>
      </c>
      <c r="F316" s="14" t="s">
        <v>55</v>
      </c>
      <c r="G316" s="17" t="str">
        <f>Settings!$B$3&amp;".mit.pbc."&amp;Settings!$B$4&amp;"."&amp;$B316&amp;".a."&amp;$J$307</f>
        <v>egy.mit.pbc.ind.bio.a.2</v>
      </c>
      <c r="H316" s="45" t="str">
        <f>Settings!$B$3&amp;".mit.ptp."&amp;$C$307&amp;"."&amp;$B316&amp;".e."&amp;$J$307</f>
        <v>egy.mit.ptp.cem.bio.e.2</v>
      </c>
      <c r="K316" s="18">
        <f>INDEX(Data_Prices!K:K,MATCH($G316,Data_Prices!$A:$A,0))</f>
        <v>15.3345505293169</v>
      </c>
      <c r="L316" s="18">
        <f>INDEX(Data_Prices!L:L,MATCH($G316,Data_Prices!$A:$A,0))</f>
        <v>14.199528390634899</v>
      </c>
      <c r="M316" s="18">
        <f>INDEX(Data_Prices!M:M,MATCH($G316,Data_Prices!$A:$A,0))</f>
        <v>13.8404416133152</v>
      </c>
      <c r="N316" s="18">
        <f>INDEX(Data_Prices!N:N,MATCH($G316,Data_Prices!$A:$A,0))</f>
        <v>13.5677269404465</v>
      </c>
      <c r="O316" s="18">
        <f>INDEX(Data_Prices!O:O,MATCH($G316,Data_Prices!$A:$A,0))</f>
        <v>13.5677269404465</v>
      </c>
      <c r="P316" s="18">
        <f>INDEX(Data_Prices!P:P,MATCH($G316,Data_Prices!$A:$A,0))</f>
        <v>13.5677269404465</v>
      </c>
      <c r="Q316" s="18">
        <f>INDEX(Data_Prices!Q:Q,MATCH($G316,Data_Prices!$A:$A,0))</f>
        <v>13.5677269404465</v>
      </c>
      <c r="R316" s="18">
        <f>INDEX(Data_Prices!R:R,MATCH($G316,Data_Prices!$A:$A,0))</f>
        <v>13.5677269404465</v>
      </c>
      <c r="S316" s="18">
        <f>INDEX(Data_Prices!S:S,MATCH($G316,Data_Prices!$A:$A,0))</f>
        <v>13.5677269404465</v>
      </c>
      <c r="T316" s="18">
        <f>INDEX(Data_Prices!T:T,MATCH($G316,Data_Prices!$A:$A,0))</f>
        <v>13.5677269404465</v>
      </c>
      <c r="U316" s="18">
        <f>INDEX(Data_Prices!U:U,MATCH($G316,Data_Prices!$A:$A,0))</f>
        <v>13.5677269404465</v>
      </c>
      <c r="V316" s="18">
        <f>INDEX(Data_Prices!V:V,MATCH($G316,Data_Prices!$A:$A,0))</f>
        <v>13.5677269404465</v>
      </c>
      <c r="W316" s="18">
        <f>INDEX(Data_Prices!W:W,MATCH($G316,Data_Prices!$A:$A,0))</f>
        <v>13.5677269404465</v>
      </c>
      <c r="X316" s="18">
        <f>INDEX(Data_Prices!X:X,MATCH($G316,Data_Prices!$A:$A,0))</f>
        <v>13.5677269404465</v>
      </c>
      <c r="Y316" s="18">
        <f>INDEX(Data_Prices!Y:Y,MATCH($G316,Data_Prices!$A:$A,0))</f>
        <v>13.5677269404465</v>
      </c>
      <c r="Z316" s="18">
        <f>INDEX(Data_Prices!Z:Z,MATCH($G316,Data_Prices!$A:$A,0))</f>
        <v>13.5677269404465</v>
      </c>
      <c r="AA316" s="18">
        <f>INDEX(Data_Prices!AA:AA,MATCH($G316,Data_Prices!$A:$A,0))</f>
        <v>13.5677269404465</v>
      </c>
      <c r="AB316" s="18">
        <f>INDEX(Data_Prices!AB:AB,MATCH($G316,Data_Prices!$A:$A,0))</f>
        <v>13.5677269404465</v>
      </c>
      <c r="AC316" s="18">
        <f>INDEX(Data_Prices!AC:AC,MATCH($G316,Data_Prices!$A:$A,0))</f>
        <v>13.5677269404465</v>
      </c>
      <c r="AD316" s="18">
        <f>INDEX(Data_Prices!AD:AD,MATCH($G316,Data_Prices!$A:$A,0))</f>
        <v>13.5677269404465</v>
      </c>
      <c r="AE316" s="18">
        <f>INDEX(Data_Prices!AE:AE,MATCH($G316,Data_Prices!$A:$A,0))</f>
        <v>13.5677269404465</v>
      </c>
    </row>
    <row r="317" spans="1:35" x14ac:dyDescent="0.45">
      <c r="B317" s="14" t="s">
        <v>72</v>
      </c>
      <c r="C317" s="14" t="str">
        <f t="shared" si="75"/>
        <v>cem</v>
      </c>
      <c r="D317" s="15" t="s">
        <v>73</v>
      </c>
      <c r="E317" s="16" t="s">
        <v>74</v>
      </c>
      <c r="F317" s="14" t="s">
        <v>55</v>
      </c>
      <c r="G317" s="17" t="str">
        <f>Settings!$B$3&amp;".mit.pbc."&amp;Settings!$B$4&amp;"."&amp;$B317&amp;".a."&amp;$J$307</f>
        <v>egy.mit.pbc.ind.ren.a.2</v>
      </c>
      <c r="H317" s="45" t="str">
        <f>Settings!$B$3&amp;".mit.ptp."&amp;$C$307&amp;"."&amp;$B317&amp;".e."&amp;$J$307</f>
        <v>egy.mit.ptp.cem.ren.e.2</v>
      </c>
      <c r="K317" s="18">
        <f>INDEX(Data_Prices!K:K,MATCH($G317,Data_Prices!$A:$A,0))</f>
        <v>0</v>
      </c>
      <c r="L317" s="18">
        <f>INDEX(Data_Prices!L:L,MATCH($G317,Data_Prices!$A:$A,0))</f>
        <v>0.14404498679319799</v>
      </c>
      <c r="M317" s="18">
        <f>INDEX(Data_Prices!M:M,MATCH($G317,Data_Prices!$A:$A,0))</f>
        <v>0.141386241751359</v>
      </c>
      <c r="N317" s="18">
        <f>INDEX(Data_Prices!N:N,MATCH($G317,Data_Prices!$A:$A,0))</f>
        <v>0.13539756544373099</v>
      </c>
      <c r="O317" s="18">
        <f>INDEX(Data_Prices!O:O,MATCH($G317,Data_Prices!$A:$A,0))</f>
        <v>0.13152288542065099</v>
      </c>
      <c r="P317" s="18">
        <f>INDEX(Data_Prices!P:P,MATCH($G317,Data_Prices!$A:$A,0))</f>
        <v>0.12882610848523099</v>
      </c>
      <c r="Q317" s="18">
        <f>INDEX(Data_Prices!Q:Q,MATCH($G317,Data_Prices!$A:$A,0))</f>
        <v>0.12594200976473999</v>
      </c>
      <c r="R317" s="18">
        <f>INDEX(Data_Prices!R:R,MATCH($G317,Data_Prices!$A:$A,0))</f>
        <v>0.123113265701861</v>
      </c>
      <c r="S317" s="18">
        <f>INDEX(Data_Prices!S:S,MATCH($G317,Data_Prices!$A:$A,0))</f>
        <v>0.119391738089068</v>
      </c>
      <c r="T317" s="18">
        <f>INDEX(Data_Prices!T:T,MATCH($G317,Data_Prices!$A:$A,0))</f>
        <v>0.11554419046792</v>
      </c>
      <c r="U317" s="18">
        <f>INDEX(Data_Prices!U:U,MATCH($G317,Data_Prices!$A:$A,0))</f>
        <v>0.11492423065415899</v>
      </c>
      <c r="V317" s="18">
        <f>INDEX(Data_Prices!V:V,MATCH($G317,Data_Prices!$A:$A,0))</f>
        <v>0.114346912116736</v>
      </c>
      <c r="W317" s="18">
        <f>INDEX(Data_Prices!W:W,MATCH($G317,Data_Prices!$A:$A,0))</f>
        <v>0.113738711172664</v>
      </c>
      <c r="X317" s="18">
        <f>INDEX(Data_Prices!X:X,MATCH($G317,Data_Prices!$A:$A,0))</f>
        <v>0.112999900487521</v>
      </c>
      <c r="Y317" s="18">
        <f>INDEX(Data_Prices!Y:Y,MATCH($G317,Data_Prices!$A:$A,0))</f>
        <v>0.112177685835534</v>
      </c>
      <c r="Z317" s="18">
        <f>INDEX(Data_Prices!Z:Z,MATCH($G317,Data_Prices!$A:$A,0))</f>
        <v>0.111417903250404</v>
      </c>
      <c r="AA317" s="18">
        <f>INDEX(Data_Prices!AA:AA,MATCH($G317,Data_Prices!$A:$A,0))</f>
        <v>0.11052581998545399</v>
      </c>
      <c r="AB317" s="18">
        <f>INDEX(Data_Prices!AB:AB,MATCH($G317,Data_Prices!$A:$A,0))</f>
        <v>0.109699565234896</v>
      </c>
      <c r="AC317" s="18">
        <f>INDEX(Data_Prices!AC:AC,MATCH($G317,Data_Prices!$A:$A,0))</f>
        <v>0.10772678896394899</v>
      </c>
      <c r="AD317" s="18">
        <f>INDEX(Data_Prices!AD:AD,MATCH($G317,Data_Prices!$A:$A,0))</f>
        <v>0.10582092445093499</v>
      </c>
      <c r="AE317" s="18">
        <f>INDEX(Data_Prices!AE:AE,MATCH($G317,Data_Prices!$A:$A,0))</f>
        <v>0.103855595705721</v>
      </c>
    </row>
    <row r="318" spans="1:35" x14ac:dyDescent="0.45">
      <c r="B318" s="13" t="s">
        <v>75</v>
      </c>
    </row>
    <row r="319" spans="1:35" x14ac:dyDescent="0.45">
      <c r="B319" s="14" t="s">
        <v>52</v>
      </c>
      <c r="C319" s="14" t="str">
        <f t="shared" ref="C319:C327" si="76">$C$307</f>
        <v>cem</v>
      </c>
      <c r="D319" s="15" t="s">
        <v>53</v>
      </c>
      <c r="E319" s="16" t="s">
        <v>54</v>
      </c>
      <c r="F319" s="14" t="s">
        <v>76</v>
      </c>
      <c r="G319" s="17" t="str">
        <f>Settings!$B$3&amp;".mit.nce."&amp;Settings!$B$4&amp;"."&amp;$B319&amp;".a."&amp;$J$307</f>
        <v>egy.mit.nce.ind.coa.a.2</v>
      </c>
      <c r="H319" s="45" t="str">
        <f>Settings!$B$3&amp;".mit.atp."&amp;$C$307&amp;"."&amp;$B319&amp;".e."&amp;$J$307</f>
        <v>egy.mit.atp.cem.coa.e.2</v>
      </c>
      <c r="K319" s="18">
        <f>K309+INDEX(Data_Prices!K:K,MATCH($G319,Data_Prices!$A:$A,0))*K$339</f>
        <v>11.182901589243899</v>
      </c>
      <c r="L319" s="18">
        <f>L309+INDEX(Data_Prices!L:L,MATCH($G319,Data_Prices!$A:$A,0))*L$339</f>
        <v>10.5233613454312</v>
      </c>
      <c r="M319" s="18">
        <f>M309+INDEX(Data_Prices!M:M,MATCH($G319,Data_Prices!$A:$A,0))*M$339</f>
        <v>10.2995608274442</v>
      </c>
      <c r="N319" s="18">
        <f>N309+INDEX(Data_Prices!N:N,MATCH($G319,Data_Prices!$A:$A,0))*N$339</f>
        <v>9.5775283595382597</v>
      </c>
      <c r="O319" s="18">
        <f>O309+INDEX(Data_Prices!O:O,MATCH($G319,Data_Prices!$A:$A,0))*O$339</f>
        <v>8.4854782869580507</v>
      </c>
      <c r="P319" s="18">
        <f>P309+INDEX(Data_Prices!P:P,MATCH($G319,Data_Prices!$A:$A,0))*P$339</f>
        <v>9.0871922352498604</v>
      </c>
      <c r="Q319" s="18">
        <f>Q309+INDEX(Data_Prices!Q:Q,MATCH($G319,Data_Prices!$A:$A,0))*Q$339</f>
        <v>10.472923728932679</v>
      </c>
      <c r="R319" s="18">
        <f>R309+INDEX(Data_Prices!R:R,MATCH($G319,Data_Prices!$A:$A,0))*R$339</f>
        <v>11.658564955509689</v>
      </c>
      <c r="S319" s="18">
        <f>S309+INDEX(Data_Prices!S:S,MATCH($G319,Data_Prices!$A:$A,0))*S$339</f>
        <v>12.839547877397379</v>
      </c>
      <c r="T319" s="18">
        <f>T309+INDEX(Data_Prices!T:T,MATCH($G319,Data_Prices!$A:$A,0))*T$339</f>
        <v>14.01568166602283</v>
      </c>
      <c r="U319" s="18">
        <f>U309+INDEX(Data_Prices!U:U,MATCH($G319,Data_Prices!$A:$A,0))*U$339</f>
        <v>15.19439776555711</v>
      </c>
      <c r="V319" s="18">
        <f>V309+INDEX(Data_Prices!V:V,MATCH($G319,Data_Prices!$A:$A,0))*V$339</f>
        <v>16.44439776555711</v>
      </c>
      <c r="W319" s="18">
        <f>W309+INDEX(Data_Prices!W:W,MATCH($G319,Data_Prices!$A:$A,0))*W$339</f>
        <v>17.69439776555711</v>
      </c>
      <c r="X319" s="18">
        <f>X309+INDEX(Data_Prices!X:X,MATCH($G319,Data_Prices!$A:$A,0))*X$339</f>
        <v>18.94439776555711</v>
      </c>
      <c r="Y319" s="18">
        <f>Y309+INDEX(Data_Prices!Y:Y,MATCH($G319,Data_Prices!$A:$A,0))*Y$339</f>
        <v>20.19439776555711</v>
      </c>
      <c r="Z319" s="18">
        <f>Z309+INDEX(Data_Prices!Z:Z,MATCH($G319,Data_Prices!$A:$A,0))*Z$339</f>
        <v>21.44439776555711</v>
      </c>
      <c r="AA319" s="18">
        <f>AA309+INDEX(Data_Prices!AA:AA,MATCH($G319,Data_Prices!$A:$A,0))*AA$339</f>
        <v>22.69439776555711</v>
      </c>
      <c r="AB319" s="18">
        <f>AB309+INDEX(Data_Prices!AB:AB,MATCH($G319,Data_Prices!$A:$A,0))*AB$339</f>
        <v>23.94439776555711</v>
      </c>
      <c r="AC319" s="18">
        <f>AC309+INDEX(Data_Prices!AC:AC,MATCH($G319,Data_Prices!$A:$A,0))*AC$339</f>
        <v>25.19439776555711</v>
      </c>
      <c r="AD319" s="18">
        <f>AD309+INDEX(Data_Prices!AD:AD,MATCH($G319,Data_Prices!$A:$A,0))*AD$339</f>
        <v>26.44439776555711</v>
      </c>
      <c r="AE319" s="18">
        <f>AE309+INDEX(Data_Prices!AE:AE,MATCH($G319,Data_Prices!$A:$A,0))*AE$339</f>
        <v>27.69439776555711</v>
      </c>
    </row>
    <row r="320" spans="1:35" x14ac:dyDescent="0.45">
      <c r="B320" s="14" t="s">
        <v>56</v>
      </c>
      <c r="C320" s="14" t="str">
        <f t="shared" si="76"/>
        <v>cem</v>
      </c>
      <c r="D320" s="15" t="s">
        <v>57</v>
      </c>
      <c r="E320" s="16" t="s">
        <v>54</v>
      </c>
      <c r="F320" s="14" t="s">
        <v>76</v>
      </c>
      <c r="G320" s="17" t="str">
        <f>Settings!$B$3&amp;".mit.nce."&amp;Settings!$B$4&amp;"."&amp;$B320&amp;".a."&amp;$J$307</f>
        <v>egy.mit.nce.ind.nga.a.2</v>
      </c>
      <c r="H320" s="45" t="str">
        <f>Settings!$B$3&amp;".mit.atp."&amp;$C$307&amp;"."&amp;$B320&amp;".e."&amp;$J$307</f>
        <v>egy.mit.atp.cem.nga.e.2</v>
      </c>
      <c r="K320" s="18">
        <f>K310+INDEX(Data_Prices!K:K,MATCH($G320,Data_Prices!$A:$A,0))*K$339</f>
        <v>6.0634636156729096</v>
      </c>
      <c r="L320" s="18">
        <f>L310+INDEX(Data_Prices!L:L,MATCH($G320,Data_Prices!$A:$A,0))*L$339</f>
        <v>5.4510150816191896</v>
      </c>
      <c r="M320" s="18">
        <f>M310+INDEX(Data_Prices!M:M,MATCH($G320,Data_Prices!$A:$A,0))*M$339</f>
        <v>5.1193563062624801</v>
      </c>
      <c r="N320" s="18">
        <f>N310+INDEX(Data_Prices!N:N,MATCH($G320,Data_Prices!$A:$A,0))*N$339</f>
        <v>5.08218458640407</v>
      </c>
      <c r="O320" s="18">
        <f>O310+INDEX(Data_Prices!O:O,MATCH($G320,Data_Prices!$A:$A,0))*O$339</f>
        <v>5.08218458640407</v>
      </c>
      <c r="P320" s="18">
        <f>P310+INDEX(Data_Prices!P:P,MATCH($G320,Data_Prices!$A:$A,0))*P$339</f>
        <v>5.08218458640407</v>
      </c>
      <c r="Q320" s="18">
        <f>Q310+INDEX(Data_Prices!Q:Q,MATCH($G320,Data_Prices!$A:$A,0))*Q$339</f>
        <v>5.7796845864040698</v>
      </c>
      <c r="R320" s="18">
        <f>R310+INDEX(Data_Prices!R:R,MATCH($G320,Data_Prices!$A:$A,0))*R$339</f>
        <v>6.4771845864040696</v>
      </c>
      <c r="S320" s="18">
        <f>S310+INDEX(Data_Prices!S:S,MATCH($G320,Data_Prices!$A:$A,0))*S$339</f>
        <v>7.1746845864040694</v>
      </c>
      <c r="T320" s="18">
        <f>T310+INDEX(Data_Prices!T:T,MATCH($G320,Data_Prices!$A:$A,0))*T$339</f>
        <v>7.87218458640407</v>
      </c>
      <c r="U320" s="18">
        <f>U310+INDEX(Data_Prices!U:U,MATCH($G320,Data_Prices!$A:$A,0))*U$339</f>
        <v>8.5696845864040689</v>
      </c>
      <c r="V320" s="18">
        <f>V310+INDEX(Data_Prices!V:V,MATCH($G320,Data_Prices!$A:$A,0))*V$339</f>
        <v>9.2671845864040705</v>
      </c>
      <c r="W320" s="18">
        <f>W310+INDEX(Data_Prices!W:W,MATCH($G320,Data_Prices!$A:$A,0))*W$339</f>
        <v>9.9646845864040703</v>
      </c>
      <c r="X320" s="18">
        <f>X310+INDEX(Data_Prices!X:X,MATCH($G320,Data_Prices!$A:$A,0))*X$339</f>
        <v>10.66218458640407</v>
      </c>
      <c r="Y320" s="18">
        <f>Y310+INDEX(Data_Prices!Y:Y,MATCH($G320,Data_Prices!$A:$A,0))*Y$339</f>
        <v>11.35968458640407</v>
      </c>
      <c r="Z320" s="18">
        <f>Z310+INDEX(Data_Prices!Z:Z,MATCH($G320,Data_Prices!$A:$A,0))*Z$339</f>
        <v>12.05718458640407</v>
      </c>
      <c r="AA320" s="18">
        <f>AA310+INDEX(Data_Prices!AA:AA,MATCH($G320,Data_Prices!$A:$A,0))*AA$339</f>
        <v>12.754684586404071</v>
      </c>
      <c r="AB320" s="18">
        <f>AB310+INDEX(Data_Prices!AB:AB,MATCH($G320,Data_Prices!$A:$A,0))*AB$339</f>
        <v>13.452184586404069</v>
      </c>
      <c r="AC320" s="18">
        <f>AC310+INDEX(Data_Prices!AC:AC,MATCH($G320,Data_Prices!$A:$A,0))*AC$339</f>
        <v>14.149684586404071</v>
      </c>
      <c r="AD320" s="18">
        <f>AD310+INDEX(Data_Prices!AD:AD,MATCH($G320,Data_Prices!$A:$A,0))*AD$339</f>
        <v>14.847184586404071</v>
      </c>
      <c r="AE320" s="18">
        <f>AE310+INDEX(Data_Prices!AE:AE,MATCH($G320,Data_Prices!$A:$A,0))*AE$339</f>
        <v>15.54468458640407</v>
      </c>
    </row>
    <row r="321" spans="2:31" x14ac:dyDescent="0.45">
      <c r="B321" s="14" t="s">
        <v>58</v>
      </c>
      <c r="C321" s="14" t="str">
        <f t="shared" si="76"/>
        <v>cem</v>
      </c>
      <c r="D321" s="15" t="s">
        <v>59</v>
      </c>
      <c r="E321" s="16" t="s">
        <v>60</v>
      </c>
      <c r="F321" s="14" t="s">
        <v>76</v>
      </c>
      <c r="G321" s="17" t="str">
        <f>Settings!$B$3&amp;".mit.nce."&amp;Settings!$B$4&amp;"."&amp;$B321&amp;".a."&amp;$J$307</f>
        <v>egy.mit.nce.ind.gso.a.2</v>
      </c>
      <c r="H321" s="45" t="str">
        <f>Settings!$B$3&amp;".mit.atp."&amp;$C$307&amp;"."&amp;$B321&amp;".e."&amp;$J$307</f>
        <v>egy.mit.atp.cem.gso.e.2</v>
      </c>
      <c r="K321" s="18">
        <f>K311+INDEX(Data_Prices!K:K,MATCH($G321,Data_Prices!$A:$A,0))*K$339</f>
        <v>0.67114653332181595</v>
      </c>
      <c r="L321" s="18">
        <f>L311+INDEX(Data_Prices!L:L,MATCH($G321,Data_Prices!$A:$A,0))*L$339</f>
        <v>0.61197797679140598</v>
      </c>
      <c r="M321" s="18">
        <f>M311+INDEX(Data_Prices!M:M,MATCH($G321,Data_Prices!$A:$A,0))*M$339</f>
        <v>0.61180974964187596</v>
      </c>
      <c r="N321" s="18">
        <f>N311+INDEX(Data_Prices!N:N,MATCH($G321,Data_Prices!$A:$A,0))*N$339</f>
        <v>0.60358310017790595</v>
      </c>
      <c r="O321" s="18">
        <f>O311+INDEX(Data_Prices!O:O,MATCH($G321,Data_Prices!$A:$A,0))*O$339</f>
        <v>0.60358310017790595</v>
      </c>
      <c r="P321" s="18">
        <f>P311+INDEX(Data_Prices!P:P,MATCH($G321,Data_Prices!$A:$A,0))*P$339</f>
        <v>0.60358310017790595</v>
      </c>
      <c r="Q321" s="18">
        <f>Q311+INDEX(Data_Prices!Q:Q,MATCH($G321,Data_Prices!$A:$A,0))*Q$339</f>
        <v>0.63251094334940594</v>
      </c>
      <c r="R321" s="18">
        <f>R311+INDEX(Data_Prices!R:R,MATCH($G321,Data_Prices!$A:$A,0))*R$339</f>
        <v>0.66143878652090593</v>
      </c>
      <c r="S321" s="18">
        <f>S311+INDEX(Data_Prices!S:S,MATCH($G321,Data_Prices!$A:$A,0))*S$339</f>
        <v>0.69036662969240592</v>
      </c>
      <c r="T321" s="18">
        <f>T311+INDEX(Data_Prices!T:T,MATCH($G321,Data_Prices!$A:$A,0))*T$339</f>
        <v>0.71929447286390591</v>
      </c>
      <c r="U321" s="18">
        <f>U311+INDEX(Data_Prices!U:U,MATCH($G321,Data_Prices!$A:$A,0))*U$339</f>
        <v>0.74822231603540601</v>
      </c>
      <c r="V321" s="18">
        <f>V311+INDEX(Data_Prices!V:V,MATCH($G321,Data_Prices!$A:$A,0))*V$339</f>
        <v>0.77715015920690589</v>
      </c>
      <c r="W321" s="18">
        <f>W311+INDEX(Data_Prices!W:W,MATCH($G321,Data_Prices!$A:$A,0))*W$339</f>
        <v>0.80607800237840599</v>
      </c>
      <c r="X321" s="18">
        <f>X311+INDEX(Data_Prices!X:X,MATCH($G321,Data_Prices!$A:$A,0))*X$339</f>
        <v>0.83500584554990598</v>
      </c>
      <c r="Y321" s="18">
        <f>Y311+INDEX(Data_Prices!Y:Y,MATCH($G321,Data_Prices!$A:$A,0))*Y$339</f>
        <v>0.86393368872140597</v>
      </c>
      <c r="Z321" s="18">
        <f>Z311+INDEX(Data_Prices!Z:Z,MATCH($G321,Data_Prices!$A:$A,0))*Z$339</f>
        <v>0.89286153189290596</v>
      </c>
      <c r="AA321" s="18">
        <f>AA311+INDEX(Data_Prices!AA:AA,MATCH($G321,Data_Prices!$A:$A,0))*AA$339</f>
        <v>0.92178937506440595</v>
      </c>
      <c r="AB321" s="18">
        <f>AB311+INDEX(Data_Prices!AB:AB,MATCH($G321,Data_Prices!$A:$A,0))*AB$339</f>
        <v>0.95071721823590594</v>
      </c>
      <c r="AC321" s="18">
        <f>AC311+INDEX(Data_Prices!AC:AC,MATCH($G321,Data_Prices!$A:$A,0))*AC$339</f>
        <v>0.97964506140740593</v>
      </c>
      <c r="AD321" s="18">
        <f>AD311+INDEX(Data_Prices!AD:AD,MATCH($G321,Data_Prices!$A:$A,0))*AD$339</f>
        <v>1.008572904578906</v>
      </c>
      <c r="AE321" s="18">
        <f>AE311+INDEX(Data_Prices!AE:AE,MATCH($G321,Data_Prices!$A:$A,0))*AE$339</f>
        <v>1.0375007477504059</v>
      </c>
    </row>
    <row r="322" spans="2:31" x14ac:dyDescent="0.45">
      <c r="B322" s="14" t="s">
        <v>61</v>
      </c>
      <c r="C322" s="14" t="str">
        <f t="shared" si="76"/>
        <v>cem</v>
      </c>
      <c r="D322" s="15" t="s">
        <v>62</v>
      </c>
      <c r="E322" s="16" t="s">
        <v>60</v>
      </c>
      <c r="F322" s="14" t="s">
        <v>76</v>
      </c>
      <c r="G322" s="17" t="str">
        <f>Settings!$B$3&amp;".mit.nce."&amp;Settings!$B$4&amp;"."&amp;$B322&amp;".a."&amp;$J$307</f>
        <v>egy.mit.nce.ind.die.a.2</v>
      </c>
      <c r="H322" s="45" t="str">
        <f>Settings!$B$3&amp;".mit.atp."&amp;$C$307&amp;"."&amp;$B322&amp;".e."&amp;$J$307</f>
        <v>egy.mit.atp.cem.die.e.2</v>
      </c>
      <c r="K322" s="18">
        <f>K312+INDEX(Data_Prices!K:K,MATCH($G322,Data_Prices!$A:$A,0))*K$339</f>
        <v>0.55971121315568795</v>
      </c>
      <c r="L322" s="18">
        <f>L312+INDEX(Data_Prices!L:L,MATCH($G322,Data_Prices!$A:$A,0))*L$339</f>
        <v>0.49458873084106802</v>
      </c>
      <c r="M322" s="18">
        <f>M312+INDEX(Data_Prices!M:M,MATCH($G322,Data_Prices!$A:$A,0))*M$339</f>
        <v>0.50778654720250105</v>
      </c>
      <c r="N322" s="18">
        <f>N312+INDEX(Data_Prices!N:N,MATCH($G322,Data_Prices!$A:$A,0))*N$339</f>
        <v>0.47043642679561698</v>
      </c>
      <c r="O322" s="18">
        <f>O312+INDEX(Data_Prices!O:O,MATCH($G322,Data_Prices!$A:$A,0))*O$339</f>
        <v>0.47043642679561698</v>
      </c>
      <c r="P322" s="18">
        <f>P312+INDEX(Data_Prices!P:P,MATCH($G322,Data_Prices!$A:$A,0))*P$339</f>
        <v>0.47043642679561698</v>
      </c>
      <c r="Q322" s="18">
        <f>Q312+INDEX(Data_Prices!Q:Q,MATCH($G322,Data_Prices!$A:$A,0))*Q$339</f>
        <v>0.50344686565449193</v>
      </c>
      <c r="R322" s="18">
        <f>R312+INDEX(Data_Prices!R:R,MATCH($G322,Data_Prices!$A:$A,0))*R$339</f>
        <v>0.53645730451336693</v>
      </c>
      <c r="S322" s="18">
        <f>S312+INDEX(Data_Prices!S:S,MATCH($G322,Data_Prices!$A:$A,0))*S$339</f>
        <v>0.56946774337224193</v>
      </c>
      <c r="T322" s="18">
        <f>T312+INDEX(Data_Prices!T:T,MATCH($G322,Data_Prices!$A:$A,0))*T$339</f>
        <v>0.60247818223111693</v>
      </c>
      <c r="U322" s="18">
        <f>U312+INDEX(Data_Prices!U:U,MATCH($G322,Data_Prices!$A:$A,0))*U$339</f>
        <v>0.63548862108999193</v>
      </c>
      <c r="V322" s="18">
        <f>V312+INDEX(Data_Prices!V:V,MATCH($G322,Data_Prices!$A:$A,0))*V$339</f>
        <v>0.66849905994886694</v>
      </c>
      <c r="W322" s="18">
        <f>W312+INDEX(Data_Prices!W:W,MATCH($G322,Data_Prices!$A:$A,0))*W$339</f>
        <v>0.70150949880774194</v>
      </c>
      <c r="X322" s="18">
        <f>X312+INDEX(Data_Prices!X:X,MATCH($G322,Data_Prices!$A:$A,0))*X$339</f>
        <v>0.73451993766661694</v>
      </c>
      <c r="Y322" s="18">
        <f>Y312+INDEX(Data_Prices!Y:Y,MATCH($G322,Data_Prices!$A:$A,0))*Y$339</f>
        <v>0.76753037652549194</v>
      </c>
      <c r="Z322" s="18">
        <f>Z312+INDEX(Data_Prices!Z:Z,MATCH($G322,Data_Prices!$A:$A,0))*Z$339</f>
        <v>0.80054081538436694</v>
      </c>
      <c r="AA322" s="18">
        <f>AA312+INDEX(Data_Prices!AA:AA,MATCH($G322,Data_Prices!$A:$A,0))*AA$339</f>
        <v>0.83355125424324195</v>
      </c>
      <c r="AB322" s="18">
        <f>AB312+INDEX(Data_Prices!AB:AB,MATCH($G322,Data_Prices!$A:$A,0))*AB$339</f>
        <v>0.86656169310211695</v>
      </c>
      <c r="AC322" s="18">
        <f>AC312+INDEX(Data_Prices!AC:AC,MATCH($G322,Data_Prices!$A:$A,0))*AC$339</f>
        <v>0.89957213196099195</v>
      </c>
      <c r="AD322" s="18">
        <f>AD312+INDEX(Data_Prices!AD:AD,MATCH($G322,Data_Prices!$A:$A,0))*AD$339</f>
        <v>0.93258257081986695</v>
      </c>
      <c r="AE322" s="18">
        <f>AE312+INDEX(Data_Prices!AE:AE,MATCH($G322,Data_Prices!$A:$A,0))*AE$339</f>
        <v>0.96559300967874195</v>
      </c>
    </row>
    <row r="323" spans="2:31" x14ac:dyDescent="0.45">
      <c r="B323" s="14" t="s">
        <v>63</v>
      </c>
      <c r="C323" s="14" t="str">
        <f t="shared" si="76"/>
        <v>cem</v>
      </c>
      <c r="D323" s="15" t="s">
        <v>64</v>
      </c>
      <c r="E323" s="16" t="s">
        <v>60</v>
      </c>
      <c r="F323" s="14" t="s">
        <v>76</v>
      </c>
      <c r="G323" s="17" t="str">
        <f>Settings!$B$3&amp;".mit.nce."&amp;Settings!$B$4&amp;"."&amp;$B323&amp;".a."&amp;$J$307</f>
        <v>egy.mit.nce.ind.lpg.a.2</v>
      </c>
      <c r="H323" s="45" t="str">
        <f>Settings!$B$3&amp;".mit.atp."&amp;$C$307&amp;"."&amp;$B323&amp;".e."&amp;$J$307</f>
        <v>egy.mit.atp.cem.lpg.e.2</v>
      </c>
      <c r="K323" s="18">
        <f>K313+INDEX(Data_Prices!K:K,MATCH($G323,Data_Prices!$A:$A,0))*K$339</f>
        <v>0.20036669112673799</v>
      </c>
      <c r="L323" s="18">
        <f>L313+INDEX(Data_Prices!L:L,MATCH($G323,Data_Prices!$A:$A,0))*L$339</f>
        <v>0.15734473625227399</v>
      </c>
      <c r="M323" s="18">
        <f>M313+INDEX(Data_Prices!M:M,MATCH($G323,Data_Prices!$A:$A,0))*M$339</f>
        <v>0.164484037759277</v>
      </c>
      <c r="N323" s="18">
        <f>N313+INDEX(Data_Prices!N:N,MATCH($G323,Data_Prices!$A:$A,0))*N$339</f>
        <v>0.15070907780704901</v>
      </c>
      <c r="O323" s="18">
        <f>O313+INDEX(Data_Prices!O:O,MATCH($G323,Data_Prices!$A:$A,0))*O$339</f>
        <v>0.15070907780704901</v>
      </c>
      <c r="P323" s="18">
        <f>P313+INDEX(Data_Prices!P:P,MATCH($G323,Data_Prices!$A:$A,0))*P$339</f>
        <v>0.15070907780704901</v>
      </c>
      <c r="Q323" s="18">
        <f>Q313+INDEX(Data_Prices!Q:Q,MATCH($G323,Data_Prices!$A:$A,0))*Q$339</f>
        <v>0.17281516073434472</v>
      </c>
      <c r="R323" s="18">
        <f>R313+INDEX(Data_Prices!R:R,MATCH($G323,Data_Prices!$A:$A,0))*R$339</f>
        <v>0.1949212436616404</v>
      </c>
      <c r="S323" s="18">
        <f>S313+INDEX(Data_Prices!S:S,MATCH($G323,Data_Prices!$A:$A,0))*S$339</f>
        <v>0.21702732658893611</v>
      </c>
      <c r="T323" s="18">
        <f>T313+INDEX(Data_Prices!T:T,MATCH($G323,Data_Prices!$A:$A,0))*T$339</f>
        <v>0.2391334095162318</v>
      </c>
      <c r="U323" s="18">
        <f>U313+INDEX(Data_Prices!U:U,MATCH($G323,Data_Prices!$A:$A,0))*U$339</f>
        <v>0.26123949244352801</v>
      </c>
      <c r="V323" s="18">
        <f>V313+INDEX(Data_Prices!V:V,MATCH($G323,Data_Prices!$A:$A,0))*V$339</f>
        <v>0.283345575370823</v>
      </c>
      <c r="W323" s="18">
        <f>W313+INDEX(Data_Prices!W:W,MATCH($G323,Data_Prices!$A:$A,0))*W$339</f>
        <v>0.30545165829811904</v>
      </c>
      <c r="X323" s="18">
        <f>X313+INDEX(Data_Prices!X:X,MATCH($G323,Data_Prices!$A:$A,0))*X$339</f>
        <v>0.32755774122541503</v>
      </c>
      <c r="Y323" s="18">
        <f>Y313+INDEX(Data_Prices!Y:Y,MATCH($G323,Data_Prices!$A:$A,0))*Y$339</f>
        <v>0.34966382415271002</v>
      </c>
      <c r="Z323" s="18">
        <f>Z313+INDEX(Data_Prices!Z:Z,MATCH($G323,Data_Prices!$A:$A,0))*Z$339</f>
        <v>0.37176990708000601</v>
      </c>
      <c r="AA323" s="18">
        <f>AA313+INDEX(Data_Prices!AA:AA,MATCH($G323,Data_Prices!$A:$A,0))*AA$339</f>
        <v>0.393875990007302</v>
      </c>
      <c r="AB323" s="18">
        <f>AB313+INDEX(Data_Prices!AB:AB,MATCH($G323,Data_Prices!$A:$A,0))*AB$339</f>
        <v>0.41598207293459699</v>
      </c>
      <c r="AC323" s="18">
        <f>AC313+INDEX(Data_Prices!AC:AC,MATCH($G323,Data_Prices!$A:$A,0))*AC$339</f>
        <v>0.43808815586189298</v>
      </c>
      <c r="AD323" s="18">
        <f>AD313+INDEX(Data_Prices!AD:AD,MATCH($G323,Data_Prices!$A:$A,0))*AD$339</f>
        <v>0.46019423878918903</v>
      </c>
      <c r="AE323" s="18">
        <f>AE313+INDEX(Data_Prices!AE:AE,MATCH($G323,Data_Prices!$A:$A,0))*AE$339</f>
        <v>0.48230032171648402</v>
      </c>
    </row>
    <row r="324" spans="2:31" x14ac:dyDescent="0.45">
      <c r="B324" s="14" t="s">
        <v>65</v>
      </c>
      <c r="C324" s="14" t="str">
        <f t="shared" si="76"/>
        <v>cem</v>
      </c>
      <c r="D324" s="15" t="s">
        <v>66</v>
      </c>
      <c r="E324" s="16" t="s">
        <v>60</v>
      </c>
      <c r="F324" s="14" t="s">
        <v>76</v>
      </c>
      <c r="G324" s="17" t="str">
        <f>Settings!$B$3&amp;".mit.nce."&amp;Settings!$B$4&amp;"."&amp;$B324&amp;".a."&amp;$J$307</f>
        <v>egy.mit.nce.ind.ker.a.2</v>
      </c>
      <c r="H324" s="45" t="str">
        <f>Settings!$B$3&amp;".mit.atp."&amp;$C$307&amp;"."&amp;$B324&amp;".e."&amp;$J$307</f>
        <v>egy.mit.atp.cem.ker.e.2</v>
      </c>
      <c r="K324" s="18">
        <f>K314+INDEX(Data_Prices!K:K,MATCH($G324,Data_Prices!$A:$A,0))*K$339</f>
        <v>0.48429424097343499</v>
      </c>
      <c r="L324" s="18">
        <f>L314+INDEX(Data_Prices!L:L,MATCH($G324,Data_Prices!$A:$A,0))*L$339</f>
        <v>0.45642817050012802</v>
      </c>
      <c r="M324" s="18">
        <f>M314+INDEX(Data_Prices!M:M,MATCH($G324,Data_Prices!$A:$A,0))*M$339</f>
        <v>0.43168920195599497</v>
      </c>
      <c r="N324" s="18">
        <f>N314+INDEX(Data_Prices!N:N,MATCH($G324,Data_Prices!$A:$A,0))*N$339</f>
        <v>0.42507558395597</v>
      </c>
      <c r="O324" s="18">
        <f>O314+INDEX(Data_Prices!O:O,MATCH($G324,Data_Prices!$A:$A,0))*O$339</f>
        <v>0.42507558395597</v>
      </c>
      <c r="P324" s="18">
        <f>P314+INDEX(Data_Prices!P:P,MATCH($G324,Data_Prices!$A:$A,0))*P$339</f>
        <v>0.42507558395597</v>
      </c>
      <c r="Q324" s="18">
        <f>Q314+INDEX(Data_Prices!Q:Q,MATCH($G324,Data_Prices!$A:$A,0))*Q$339</f>
        <v>0.45706441406607851</v>
      </c>
      <c r="R324" s="18">
        <f>R314+INDEX(Data_Prices!R:R,MATCH($G324,Data_Prices!$A:$A,0))*R$339</f>
        <v>0.48905324417618701</v>
      </c>
      <c r="S324" s="18">
        <f>S314+INDEX(Data_Prices!S:S,MATCH($G324,Data_Prices!$A:$A,0))*S$339</f>
        <v>0.52104207428629556</v>
      </c>
      <c r="T324" s="18">
        <f>T314+INDEX(Data_Prices!T:T,MATCH($G324,Data_Prices!$A:$A,0))*T$339</f>
        <v>0.55303090439640401</v>
      </c>
      <c r="U324" s="18">
        <f>U314+INDEX(Data_Prices!U:U,MATCH($G324,Data_Prices!$A:$A,0))*U$339</f>
        <v>0.58501973450651301</v>
      </c>
      <c r="V324" s="18">
        <f>V314+INDEX(Data_Prices!V:V,MATCH($G324,Data_Prices!$A:$A,0))*V$339</f>
        <v>0.61700856461662101</v>
      </c>
      <c r="W324" s="18">
        <f>W314+INDEX(Data_Prices!W:W,MATCH($G324,Data_Prices!$A:$A,0))*W$339</f>
        <v>0.64899739472673001</v>
      </c>
      <c r="X324" s="18">
        <f>X314+INDEX(Data_Prices!X:X,MATCH($G324,Data_Prices!$A:$A,0))*X$339</f>
        <v>0.68098622483683802</v>
      </c>
      <c r="Y324" s="18">
        <f>Y314+INDEX(Data_Prices!Y:Y,MATCH($G324,Data_Prices!$A:$A,0))*Y$339</f>
        <v>0.71297505494694702</v>
      </c>
      <c r="Z324" s="18">
        <f>Z314+INDEX(Data_Prices!Z:Z,MATCH($G324,Data_Prices!$A:$A,0))*Z$339</f>
        <v>0.74496388505705502</v>
      </c>
      <c r="AA324" s="18">
        <f>AA314+INDEX(Data_Prices!AA:AA,MATCH($G324,Data_Prices!$A:$A,0))*AA$339</f>
        <v>0.77695271516716302</v>
      </c>
      <c r="AB324" s="18">
        <f>AB314+INDEX(Data_Prices!AB:AB,MATCH($G324,Data_Prices!$A:$A,0))*AB$339</f>
        <v>0.80894154527727202</v>
      </c>
      <c r="AC324" s="18">
        <f>AC314+INDEX(Data_Prices!AC:AC,MATCH($G324,Data_Prices!$A:$A,0))*AC$339</f>
        <v>0.84093037538738002</v>
      </c>
      <c r="AD324" s="18">
        <f>AD314+INDEX(Data_Prices!AD:AD,MATCH($G324,Data_Prices!$A:$A,0))*AD$339</f>
        <v>0.87291920549748903</v>
      </c>
      <c r="AE324" s="18">
        <f>AE314+INDEX(Data_Prices!AE:AE,MATCH($G324,Data_Prices!$A:$A,0))*AE$339</f>
        <v>0.90490803560759703</v>
      </c>
    </row>
    <row r="325" spans="2:31" x14ac:dyDescent="0.45">
      <c r="B325" s="14" t="s">
        <v>67</v>
      </c>
      <c r="C325" s="14" t="str">
        <f t="shared" si="76"/>
        <v>cem</v>
      </c>
      <c r="D325" s="15" t="s">
        <v>68</v>
      </c>
      <c r="E325" s="16" t="s">
        <v>69</v>
      </c>
      <c r="F325" s="14" t="s">
        <v>76</v>
      </c>
      <c r="G325" s="17" t="str">
        <f>Settings!$B$3&amp;".mit.nce."&amp;Settings!$B$4&amp;"."&amp;$B325&amp;".a."&amp;$J$307</f>
        <v>egy.mit.nce.ind.oop.a.2</v>
      </c>
      <c r="H325" s="45" t="str">
        <f>Settings!$B$3&amp;".mit.atp."&amp;$C$307&amp;"."&amp;$B325&amp;".e."&amp;$J$307</f>
        <v>egy.mit.atp.cem.oop.e.2</v>
      </c>
      <c r="K325" s="18">
        <f>K315+INDEX(Data_Prices!K:K,MATCH($G325,Data_Prices!$A:$A,0))*K$339</f>
        <v>41.500338498868402</v>
      </c>
      <c r="L325" s="18">
        <f>L315+INDEX(Data_Prices!L:L,MATCH($G325,Data_Prices!$A:$A,0))*L$339</f>
        <v>34.4153703043132</v>
      </c>
      <c r="M325" s="18">
        <f>M315+INDEX(Data_Prices!M:M,MATCH($G325,Data_Prices!$A:$A,0))*M$339</f>
        <v>37.368960690431997</v>
      </c>
      <c r="N325" s="18">
        <f>N315+INDEX(Data_Prices!N:N,MATCH($G325,Data_Prices!$A:$A,0))*N$339</f>
        <v>28.982761101477301</v>
      </c>
      <c r="O325" s="18">
        <f>O315+INDEX(Data_Prices!O:O,MATCH($G325,Data_Prices!$A:$A,0))*O$339</f>
        <v>15</v>
      </c>
      <c r="P325" s="18">
        <f>P315+INDEX(Data_Prices!P:P,MATCH($G325,Data_Prices!$A:$A,0))*P$339</f>
        <v>24.2586300842555</v>
      </c>
      <c r="Q325" s="18">
        <f>Q315+INDEX(Data_Prices!Q:Q,MATCH($G325,Data_Prices!$A:$A,0))*Q$339</f>
        <v>18.963758196132499</v>
      </c>
      <c r="R325" s="18">
        <f>R315+INDEX(Data_Prices!R:R,MATCH($G325,Data_Prices!$A:$A,0))*R$339</f>
        <v>21.760345114010597</v>
      </c>
      <c r="S325" s="18">
        <f>S315+INDEX(Data_Prices!S:S,MATCH($G325,Data_Prices!$A:$A,0))*S$339</f>
        <v>26.079880691373621</v>
      </c>
      <c r="T325" s="18">
        <f>T315+INDEX(Data_Prices!T:T,MATCH($G325,Data_Prices!$A:$A,0))*T$339</f>
        <v>30.593682445209218</v>
      </c>
      <c r="U325" s="18">
        <f>U315+INDEX(Data_Prices!U:U,MATCH($G325,Data_Prices!$A:$A,0))*U$339</f>
        <v>34.990509739410058</v>
      </c>
      <c r="V325" s="18">
        <f>V315+INDEX(Data_Prices!V:V,MATCH($G325,Data_Prices!$A:$A,0))*V$339</f>
        <v>40.858059739410059</v>
      </c>
      <c r="W325" s="18">
        <f>W315+INDEX(Data_Prices!W:W,MATCH($G325,Data_Prices!$A:$A,0))*W$339</f>
        <v>46.725609739410061</v>
      </c>
      <c r="X325" s="18">
        <f>X315+INDEX(Data_Prices!X:X,MATCH($G325,Data_Prices!$A:$A,0))*X$339</f>
        <v>52.593159739410055</v>
      </c>
      <c r="Y325" s="18">
        <f>Y315+INDEX(Data_Prices!Y:Y,MATCH($G325,Data_Prices!$A:$A,0))*Y$339</f>
        <v>58.460709739410056</v>
      </c>
      <c r="Z325" s="18">
        <f>Z315+INDEX(Data_Prices!Z:Z,MATCH($G325,Data_Prices!$A:$A,0))*Z$339</f>
        <v>64.328259739410072</v>
      </c>
      <c r="AA325" s="18">
        <f>AA315+INDEX(Data_Prices!AA:AA,MATCH($G325,Data_Prices!$A:$A,0))*AA$339</f>
        <v>70.195809739410052</v>
      </c>
      <c r="AB325" s="18">
        <f>AB315+INDEX(Data_Prices!AB:AB,MATCH($G325,Data_Prices!$A:$A,0))*AB$339</f>
        <v>76.06335973941006</v>
      </c>
      <c r="AC325" s="18">
        <f>AC315+INDEX(Data_Prices!AC:AC,MATCH($G325,Data_Prices!$A:$A,0))*AC$339</f>
        <v>81.930909739410041</v>
      </c>
      <c r="AD325" s="18">
        <f>AD315+INDEX(Data_Prices!AD:AD,MATCH($G325,Data_Prices!$A:$A,0))*AD$339</f>
        <v>87.798459739410063</v>
      </c>
      <c r="AE325" s="18">
        <f>AE315+INDEX(Data_Prices!AE:AE,MATCH($G325,Data_Prices!$A:$A,0))*AE$339</f>
        <v>93.666009739410043</v>
      </c>
    </row>
    <row r="326" spans="2:31" x14ac:dyDescent="0.45">
      <c r="B326" s="14" t="s">
        <v>70</v>
      </c>
      <c r="C326" s="14" t="str">
        <f t="shared" si="76"/>
        <v>cem</v>
      </c>
      <c r="D326" s="15" t="s">
        <v>71</v>
      </c>
      <c r="E326" s="16" t="s">
        <v>54</v>
      </c>
      <c r="F326" s="14" t="s">
        <v>76</v>
      </c>
      <c r="G326" s="17" t="str">
        <f>Settings!$B$3&amp;".mit.nce."&amp;Settings!$B$4&amp;"."&amp;$B326&amp;".a."&amp;$J$307</f>
        <v>egy.mit.nce.ind.bio.a.2</v>
      </c>
      <c r="H326" s="45" t="str">
        <f>Settings!$B$3&amp;".mit.atp."&amp;$C$307&amp;"."&amp;$B326&amp;".e."&amp;$J$307</f>
        <v>egy.mit.atp.cem.bio.e.2</v>
      </c>
      <c r="K326" s="18">
        <f>K316+INDEX(Data_Prices!K:K,MATCH($G326,Data_Prices!$A:$A,0))*K$339</f>
        <v>15.3345505293169</v>
      </c>
      <c r="L326" s="18">
        <f>L316+INDEX(Data_Prices!L:L,MATCH($G326,Data_Prices!$A:$A,0))*L$339</f>
        <v>14.199528390634899</v>
      </c>
      <c r="M326" s="18">
        <f>M316+INDEX(Data_Prices!M:M,MATCH($G326,Data_Prices!$A:$A,0))*M$339</f>
        <v>13.8404416133152</v>
      </c>
      <c r="N326" s="18">
        <f>N316+INDEX(Data_Prices!N:N,MATCH($G326,Data_Prices!$A:$A,0))*N$339</f>
        <v>13.5677269404465</v>
      </c>
      <c r="O326" s="18">
        <f>O316+INDEX(Data_Prices!O:O,MATCH($G326,Data_Prices!$A:$A,0))*O$339</f>
        <v>13.5677269404465</v>
      </c>
      <c r="P326" s="18">
        <f>P316+INDEX(Data_Prices!P:P,MATCH($G326,Data_Prices!$A:$A,0))*P$339</f>
        <v>13.5677269404465</v>
      </c>
      <c r="Q326" s="18">
        <f>Q316+INDEX(Data_Prices!Q:Q,MATCH($G326,Data_Prices!$A:$A,0))*Q$339</f>
        <v>13.5677269404465</v>
      </c>
      <c r="R326" s="18">
        <f>R316+INDEX(Data_Prices!R:R,MATCH($G326,Data_Prices!$A:$A,0))*R$339</f>
        <v>13.5677269404465</v>
      </c>
      <c r="S326" s="18">
        <f>S316+INDEX(Data_Prices!S:S,MATCH($G326,Data_Prices!$A:$A,0))*S$339</f>
        <v>13.5677269404465</v>
      </c>
      <c r="T326" s="18">
        <f>T316+INDEX(Data_Prices!T:T,MATCH($G326,Data_Prices!$A:$A,0))*T$339</f>
        <v>13.5677269404465</v>
      </c>
      <c r="U326" s="18">
        <f>U316+INDEX(Data_Prices!U:U,MATCH($G326,Data_Prices!$A:$A,0))*U$339</f>
        <v>13.5677269404465</v>
      </c>
      <c r="V326" s="18">
        <f>V316+INDEX(Data_Prices!V:V,MATCH($G326,Data_Prices!$A:$A,0))*V$339</f>
        <v>13.5677269404465</v>
      </c>
      <c r="W326" s="18">
        <f>W316+INDEX(Data_Prices!W:W,MATCH($G326,Data_Prices!$A:$A,0))*W$339</f>
        <v>13.5677269404465</v>
      </c>
      <c r="X326" s="18">
        <f>X316+INDEX(Data_Prices!X:X,MATCH($G326,Data_Prices!$A:$A,0))*X$339</f>
        <v>13.5677269404465</v>
      </c>
      <c r="Y326" s="18">
        <f>Y316+INDEX(Data_Prices!Y:Y,MATCH($G326,Data_Prices!$A:$A,0))*Y$339</f>
        <v>13.5677269404465</v>
      </c>
      <c r="Z326" s="18">
        <f>Z316+INDEX(Data_Prices!Z:Z,MATCH($G326,Data_Prices!$A:$A,0))*Z$339</f>
        <v>13.5677269404465</v>
      </c>
      <c r="AA326" s="18">
        <f>AA316+INDEX(Data_Prices!AA:AA,MATCH($G326,Data_Prices!$A:$A,0))*AA$339</f>
        <v>13.5677269404465</v>
      </c>
      <c r="AB326" s="18">
        <f>AB316+INDEX(Data_Prices!AB:AB,MATCH($G326,Data_Prices!$A:$A,0))*AB$339</f>
        <v>13.5677269404465</v>
      </c>
      <c r="AC326" s="18">
        <f>AC316+INDEX(Data_Prices!AC:AC,MATCH($G326,Data_Prices!$A:$A,0))*AC$339</f>
        <v>13.5677269404465</v>
      </c>
      <c r="AD326" s="18">
        <f>AD316+INDEX(Data_Prices!AD:AD,MATCH($G326,Data_Prices!$A:$A,0))*AD$339</f>
        <v>13.5677269404465</v>
      </c>
      <c r="AE326" s="18">
        <f>AE316+INDEX(Data_Prices!AE:AE,MATCH($G326,Data_Prices!$A:$A,0))*AE$339</f>
        <v>13.5677269404465</v>
      </c>
    </row>
    <row r="327" spans="2:31" x14ac:dyDescent="0.45">
      <c r="B327" s="14" t="s">
        <v>72</v>
      </c>
      <c r="C327" s="14" t="str">
        <f t="shared" si="76"/>
        <v>cem</v>
      </c>
      <c r="D327" s="15" t="s">
        <v>73</v>
      </c>
      <c r="E327" s="16" t="s">
        <v>74</v>
      </c>
      <c r="F327" s="14" t="s">
        <v>76</v>
      </c>
      <c r="G327" s="17" t="str">
        <f>Settings!$B$3&amp;".mit.nce."&amp;Settings!$B$4&amp;"."&amp;$B327&amp;".a."&amp;$J$307</f>
        <v>egy.mit.nce.ind.ren.a.2</v>
      </c>
      <c r="H327" s="45" t="str">
        <f>Settings!$B$3&amp;".mit.atp."&amp;$C$307&amp;"."&amp;$B327&amp;".e."&amp;$J$307</f>
        <v>egy.mit.atp.cem.ren.e.2</v>
      </c>
      <c r="K327" s="18">
        <f>K317+INDEX(Data_Prices!K:K,MATCH($G327,Data_Prices!$A:$A,0))*K$339</f>
        <v>0</v>
      </c>
      <c r="L327" s="18">
        <f>L317+INDEX(Data_Prices!L:L,MATCH($G327,Data_Prices!$A:$A,0))*L$339</f>
        <v>0.14404498679319799</v>
      </c>
      <c r="M327" s="18">
        <f>M317+INDEX(Data_Prices!M:M,MATCH($G327,Data_Prices!$A:$A,0))*M$339</f>
        <v>0.141386241751359</v>
      </c>
      <c r="N327" s="18">
        <f>N317+INDEX(Data_Prices!N:N,MATCH($G327,Data_Prices!$A:$A,0))*N$339</f>
        <v>0.13539756544373099</v>
      </c>
      <c r="O327" s="18">
        <f>O317+INDEX(Data_Prices!O:O,MATCH($G327,Data_Prices!$A:$A,0))*O$339</f>
        <v>0.13152288542065099</v>
      </c>
      <c r="P327" s="18">
        <f>P317+INDEX(Data_Prices!P:P,MATCH($G327,Data_Prices!$A:$A,0))*P$339</f>
        <v>0.12882610848523099</v>
      </c>
      <c r="Q327" s="18">
        <f>Q317+INDEX(Data_Prices!Q:Q,MATCH($G327,Data_Prices!$A:$A,0))*Q$339</f>
        <v>0.12594200976473999</v>
      </c>
      <c r="R327" s="18">
        <f>R317+INDEX(Data_Prices!R:R,MATCH($G327,Data_Prices!$A:$A,0))*R$339</f>
        <v>0.123113265701861</v>
      </c>
      <c r="S327" s="18">
        <f>S317+INDEX(Data_Prices!S:S,MATCH($G327,Data_Prices!$A:$A,0))*S$339</f>
        <v>0.119391738089068</v>
      </c>
      <c r="T327" s="18">
        <f>T317+INDEX(Data_Prices!T:T,MATCH($G327,Data_Prices!$A:$A,0))*T$339</f>
        <v>0.11554419046792</v>
      </c>
      <c r="U327" s="18">
        <f>U317+INDEX(Data_Prices!U:U,MATCH($G327,Data_Prices!$A:$A,0))*U$339</f>
        <v>0.11492423065415899</v>
      </c>
      <c r="V327" s="18">
        <f>V317+INDEX(Data_Prices!V:V,MATCH($G327,Data_Prices!$A:$A,0))*V$339</f>
        <v>0.114346912116736</v>
      </c>
      <c r="W327" s="18">
        <f>W317+INDEX(Data_Prices!W:W,MATCH($G327,Data_Prices!$A:$A,0))*W$339</f>
        <v>0.113738711172664</v>
      </c>
      <c r="X327" s="18">
        <f>X317+INDEX(Data_Prices!X:X,MATCH($G327,Data_Prices!$A:$A,0))*X$339</f>
        <v>0.112999900487521</v>
      </c>
      <c r="Y327" s="18">
        <f>Y317+INDEX(Data_Prices!Y:Y,MATCH($G327,Data_Prices!$A:$A,0))*Y$339</f>
        <v>0.112177685835534</v>
      </c>
      <c r="Z327" s="18">
        <f>Z317+INDEX(Data_Prices!Z:Z,MATCH($G327,Data_Prices!$A:$A,0))*Z$339</f>
        <v>0.111417903250404</v>
      </c>
      <c r="AA327" s="18">
        <f>AA317+INDEX(Data_Prices!AA:AA,MATCH($G327,Data_Prices!$A:$A,0))*AA$339</f>
        <v>0.11052581998545399</v>
      </c>
      <c r="AB327" s="18">
        <f>AB317+INDEX(Data_Prices!AB:AB,MATCH($G327,Data_Prices!$A:$A,0))*AB$339</f>
        <v>0.109699565234896</v>
      </c>
      <c r="AC327" s="18">
        <f>AC317+INDEX(Data_Prices!AC:AC,MATCH($G327,Data_Prices!$A:$A,0))*AC$339</f>
        <v>0.10772678896394899</v>
      </c>
      <c r="AD327" s="18">
        <f>AD317+INDEX(Data_Prices!AD:AD,MATCH($G327,Data_Prices!$A:$A,0))*AD$339</f>
        <v>0.10582092445093499</v>
      </c>
      <c r="AE327" s="18">
        <f>AE317+INDEX(Data_Prices!AE:AE,MATCH($G327,Data_Prices!$A:$A,0))*AE$339</f>
        <v>0.103855595705721</v>
      </c>
    </row>
    <row r="328" spans="2:31" x14ac:dyDescent="0.45">
      <c r="B328" s="13" t="s">
        <v>77</v>
      </c>
    </row>
    <row r="329" spans="2:31" x14ac:dyDescent="0.45">
      <c r="B329" s="14" t="s">
        <v>52</v>
      </c>
      <c r="C329" s="14" t="str">
        <f t="shared" ref="C329:C337" si="77">$C$307</f>
        <v>cem</v>
      </c>
      <c r="D329" s="15" t="s">
        <v>53</v>
      </c>
      <c r="E329" s="16" t="s">
        <v>54</v>
      </c>
      <c r="F329" s="14" t="s">
        <v>78</v>
      </c>
      <c r="G329" s="17" t="str">
        <f>Settings!$B$3&amp;".mit.shp."&amp;$B329&amp;"."&amp;Settings!$B$4&amp;"."&amp;$J$307</f>
        <v>egy.mit.shp.coa.ind.2</v>
      </c>
      <c r="H329" s="45" t="str">
        <f>Settings!$B$3&amp;".mit.shp."&amp;$C$307&amp;"."&amp;$B329&amp;".e."&amp;$J$307</f>
        <v>egy.mit.shp.cem.coa.e.2</v>
      </c>
      <c r="K329" s="19">
        <f>K319+INDEX(Data_Prices!K:K,MATCH($G329,Data_Prices!$A:$A,0))*K$340</f>
        <v>11.182901589243899</v>
      </c>
      <c r="L329" s="19">
        <f>L319+INDEX(Data_Prices!L:L,MATCH($G329,Data_Prices!$A:$A,0))*L$340</f>
        <v>10.5233613454312</v>
      </c>
      <c r="M329" s="19">
        <f>M319+INDEX(Data_Prices!M:M,MATCH($G329,Data_Prices!$A:$A,0))*M$340</f>
        <v>10.2995608274442</v>
      </c>
      <c r="N329" s="19">
        <f>N319+INDEX(Data_Prices!N:N,MATCH($G329,Data_Prices!$A:$A,0))*N$340</f>
        <v>9.5775283595382597</v>
      </c>
      <c r="O329" s="19">
        <f>O319+INDEX(Data_Prices!O:O,MATCH($G329,Data_Prices!$A:$A,0))*O$340</f>
        <v>8.4854782869580507</v>
      </c>
      <c r="P329" s="19">
        <f>P319+INDEX(Data_Prices!P:P,MATCH($G329,Data_Prices!$A:$A,0))*P$340</f>
        <v>9.0871922352498604</v>
      </c>
      <c r="Q329" s="19">
        <f>Q319+INDEX(Data_Prices!Q:Q,MATCH($G329,Data_Prices!$A:$A,0))*Q$340</f>
        <v>10.472923728932679</v>
      </c>
      <c r="R329" s="19">
        <f>R319+INDEX(Data_Prices!R:R,MATCH($G329,Data_Prices!$A:$A,0))*R$340</f>
        <v>11.658564955509689</v>
      </c>
      <c r="S329" s="19">
        <f>S319+INDEX(Data_Prices!S:S,MATCH($G329,Data_Prices!$A:$A,0))*S$340</f>
        <v>12.839547877397379</v>
      </c>
      <c r="T329" s="19">
        <f>T319+INDEX(Data_Prices!T:T,MATCH($G329,Data_Prices!$A:$A,0))*T$340</f>
        <v>14.01568166602283</v>
      </c>
      <c r="U329" s="19">
        <f>U319+INDEX(Data_Prices!U:U,MATCH($G329,Data_Prices!$A:$A,0))*U$340</f>
        <v>15.19439776555711</v>
      </c>
      <c r="V329" s="19">
        <f>V319+INDEX(Data_Prices!V:V,MATCH($G329,Data_Prices!$A:$A,0))*V$340</f>
        <v>16.44439776555711</v>
      </c>
      <c r="W329" s="19">
        <f>W319+INDEX(Data_Prices!W:W,MATCH($G329,Data_Prices!$A:$A,0))*W$340</f>
        <v>17.69439776555711</v>
      </c>
      <c r="X329" s="19">
        <f>X319+INDEX(Data_Prices!X:X,MATCH($G329,Data_Prices!$A:$A,0))*X$340</f>
        <v>18.94439776555711</v>
      </c>
      <c r="Y329" s="19">
        <f>Y319+INDEX(Data_Prices!Y:Y,MATCH($G329,Data_Prices!$A:$A,0))*Y$340</f>
        <v>20.19439776555711</v>
      </c>
      <c r="Z329" s="19">
        <f>Z319+INDEX(Data_Prices!Z:Z,MATCH($G329,Data_Prices!$A:$A,0))*Z$340</f>
        <v>21.44439776555711</v>
      </c>
      <c r="AA329" s="19">
        <f>AA319+INDEX(Data_Prices!AA:AA,MATCH($G329,Data_Prices!$A:$A,0))*AA$340</f>
        <v>22.69439776555711</v>
      </c>
      <c r="AB329" s="19">
        <f>AB319+INDEX(Data_Prices!AB:AB,MATCH($G329,Data_Prices!$A:$A,0))*AB$340</f>
        <v>23.94439776555711</v>
      </c>
      <c r="AC329" s="19">
        <f>AC319+INDEX(Data_Prices!AC:AC,MATCH($G329,Data_Prices!$A:$A,0))*AC$340</f>
        <v>25.19439776555711</v>
      </c>
      <c r="AD329" s="19">
        <f>AD319+INDEX(Data_Prices!AD:AD,MATCH($G329,Data_Prices!$A:$A,0))*AD$340</f>
        <v>26.44439776555711</v>
      </c>
      <c r="AE329" s="19">
        <f>AE319+INDEX(Data_Prices!AE:AE,MATCH($G329,Data_Prices!$A:$A,0))*AE$340</f>
        <v>27.69439776555711</v>
      </c>
    </row>
    <row r="330" spans="2:31" x14ac:dyDescent="0.45">
      <c r="B330" s="14" t="s">
        <v>56</v>
      </c>
      <c r="C330" s="14" t="str">
        <f t="shared" si="77"/>
        <v>cem</v>
      </c>
      <c r="D330" s="15" t="s">
        <v>57</v>
      </c>
      <c r="E330" s="16" t="s">
        <v>54</v>
      </c>
      <c r="F330" s="14" t="s">
        <v>78</v>
      </c>
      <c r="G330" s="17" t="str">
        <f>Settings!$B$3&amp;".mit.shp."&amp;$B330&amp;"."&amp;Settings!$B$4&amp;"."&amp;$J$307</f>
        <v>egy.mit.shp.nga.ind.2</v>
      </c>
      <c r="H330" s="45" t="str">
        <f>Settings!$B$3&amp;".mit.shp."&amp;$C$307&amp;"."&amp;$B330&amp;".e."&amp;$J$307</f>
        <v>egy.mit.shp.cem.nga.e.2</v>
      </c>
      <c r="K330" s="19">
        <f>K320+INDEX(Data_Prices!K:K,MATCH($G330,Data_Prices!$A:$A,0))*K$340</f>
        <v>6.0634636156729096</v>
      </c>
      <c r="L330" s="19">
        <f>L320+INDEX(Data_Prices!L:L,MATCH($G330,Data_Prices!$A:$A,0))*L$340</f>
        <v>5.4510150816191896</v>
      </c>
      <c r="M330" s="19">
        <f>M320+INDEX(Data_Prices!M:M,MATCH($G330,Data_Prices!$A:$A,0))*M$340</f>
        <v>5.1193563062624801</v>
      </c>
      <c r="N330" s="19">
        <f>N320+INDEX(Data_Prices!N:N,MATCH($G330,Data_Prices!$A:$A,0))*N$340</f>
        <v>5.08218458640407</v>
      </c>
      <c r="O330" s="19">
        <f>O320+INDEX(Data_Prices!O:O,MATCH($G330,Data_Prices!$A:$A,0))*O$340</f>
        <v>5.08218458640407</v>
      </c>
      <c r="P330" s="19">
        <f>P320+INDEX(Data_Prices!P:P,MATCH($G330,Data_Prices!$A:$A,0))*P$340</f>
        <v>5.08218458640407</v>
      </c>
      <c r="Q330" s="19">
        <f>Q320+INDEX(Data_Prices!Q:Q,MATCH($G330,Data_Prices!$A:$A,0))*Q$340</f>
        <v>5.7796845864040698</v>
      </c>
      <c r="R330" s="19">
        <f>R320+INDEX(Data_Prices!R:R,MATCH($G330,Data_Prices!$A:$A,0))*R$340</f>
        <v>6.4771845864040696</v>
      </c>
      <c r="S330" s="19">
        <f>S320+INDEX(Data_Prices!S:S,MATCH($G330,Data_Prices!$A:$A,0))*S$340</f>
        <v>7.1746845864040694</v>
      </c>
      <c r="T330" s="19">
        <f>T320+INDEX(Data_Prices!T:T,MATCH($G330,Data_Prices!$A:$A,0))*T$340</f>
        <v>7.87218458640407</v>
      </c>
      <c r="U330" s="19">
        <f>U320+INDEX(Data_Prices!U:U,MATCH($G330,Data_Prices!$A:$A,0))*U$340</f>
        <v>8.5696845864040689</v>
      </c>
      <c r="V330" s="19">
        <f>V320+INDEX(Data_Prices!V:V,MATCH($G330,Data_Prices!$A:$A,0))*V$340</f>
        <v>9.2671845864040705</v>
      </c>
      <c r="W330" s="19">
        <f>W320+INDEX(Data_Prices!W:W,MATCH($G330,Data_Prices!$A:$A,0))*W$340</f>
        <v>9.9646845864040703</v>
      </c>
      <c r="X330" s="19">
        <f>X320+INDEX(Data_Prices!X:X,MATCH($G330,Data_Prices!$A:$A,0))*X$340</f>
        <v>10.66218458640407</v>
      </c>
      <c r="Y330" s="19">
        <f>Y320+INDEX(Data_Prices!Y:Y,MATCH($G330,Data_Prices!$A:$A,0))*Y$340</f>
        <v>11.35968458640407</v>
      </c>
      <c r="Z330" s="19">
        <f>Z320+INDEX(Data_Prices!Z:Z,MATCH($G330,Data_Prices!$A:$A,0))*Z$340</f>
        <v>12.05718458640407</v>
      </c>
      <c r="AA330" s="19">
        <f>AA320+INDEX(Data_Prices!AA:AA,MATCH($G330,Data_Prices!$A:$A,0))*AA$340</f>
        <v>12.754684586404071</v>
      </c>
      <c r="AB330" s="19">
        <f>AB320+INDEX(Data_Prices!AB:AB,MATCH($G330,Data_Prices!$A:$A,0))*AB$340</f>
        <v>13.452184586404069</v>
      </c>
      <c r="AC330" s="19">
        <f>AC320+INDEX(Data_Prices!AC:AC,MATCH($G330,Data_Prices!$A:$A,0))*AC$340</f>
        <v>14.149684586404071</v>
      </c>
      <c r="AD330" s="19">
        <f>AD320+INDEX(Data_Prices!AD:AD,MATCH($G330,Data_Prices!$A:$A,0))*AD$340</f>
        <v>14.847184586404071</v>
      </c>
      <c r="AE330" s="19">
        <f>AE320+INDEX(Data_Prices!AE:AE,MATCH($G330,Data_Prices!$A:$A,0))*AE$340</f>
        <v>15.54468458640407</v>
      </c>
    </row>
    <row r="331" spans="2:31" x14ac:dyDescent="0.45">
      <c r="B331" s="14" t="s">
        <v>58</v>
      </c>
      <c r="C331" s="14" t="str">
        <f t="shared" si="77"/>
        <v>cem</v>
      </c>
      <c r="D331" s="15" t="s">
        <v>59</v>
      </c>
      <c r="E331" s="16" t="s">
        <v>60</v>
      </c>
      <c r="F331" s="14" t="s">
        <v>78</v>
      </c>
      <c r="G331" s="17" t="str">
        <f>Settings!$B$3&amp;".mit.shp."&amp;$B331&amp;"."&amp;Settings!$B$4&amp;"."&amp;$J$307</f>
        <v>egy.mit.shp.gso.ind.2</v>
      </c>
      <c r="H331" s="45" t="str">
        <f>Settings!$B$3&amp;".mit.shp."&amp;$C$307&amp;"."&amp;$B331&amp;".e."&amp;$J$307</f>
        <v>egy.mit.shp.cem.gso.e.2</v>
      </c>
      <c r="K331" s="19">
        <f>K321+INDEX(Data_Prices!K:K,MATCH($G331,Data_Prices!$A:$A,0))*K$340</f>
        <v>0.67114653332181595</v>
      </c>
      <c r="L331" s="19">
        <f>L321+INDEX(Data_Prices!L:L,MATCH($G331,Data_Prices!$A:$A,0))*L$340</f>
        <v>0.61197797679140598</v>
      </c>
      <c r="M331" s="19">
        <f>M321+INDEX(Data_Prices!M:M,MATCH($G331,Data_Prices!$A:$A,0))*M$340</f>
        <v>0.61180974964187596</v>
      </c>
      <c r="N331" s="19">
        <f>N321+INDEX(Data_Prices!N:N,MATCH($G331,Data_Prices!$A:$A,0))*N$340</f>
        <v>0.60358310017790595</v>
      </c>
      <c r="O331" s="19">
        <f>O321+INDEX(Data_Prices!O:O,MATCH($G331,Data_Prices!$A:$A,0))*O$340</f>
        <v>0.60358310017790595</v>
      </c>
      <c r="P331" s="19">
        <f>P321+INDEX(Data_Prices!P:P,MATCH($G331,Data_Prices!$A:$A,0))*P$340</f>
        <v>0.60358310017790595</v>
      </c>
      <c r="Q331" s="19">
        <f>Q321+INDEX(Data_Prices!Q:Q,MATCH($G331,Data_Prices!$A:$A,0))*Q$340</f>
        <v>0.63251094334940594</v>
      </c>
      <c r="R331" s="19">
        <f>R321+INDEX(Data_Prices!R:R,MATCH($G331,Data_Prices!$A:$A,0))*R$340</f>
        <v>0.66143878652090593</v>
      </c>
      <c r="S331" s="19">
        <f>S321+INDEX(Data_Prices!S:S,MATCH($G331,Data_Prices!$A:$A,0))*S$340</f>
        <v>0.69036662969240592</v>
      </c>
      <c r="T331" s="19">
        <f>T321+INDEX(Data_Prices!T:T,MATCH($G331,Data_Prices!$A:$A,0))*T$340</f>
        <v>0.71929447286390591</v>
      </c>
      <c r="U331" s="19">
        <f>U321+INDEX(Data_Prices!U:U,MATCH($G331,Data_Prices!$A:$A,0))*U$340</f>
        <v>0.74822231603540601</v>
      </c>
      <c r="V331" s="19">
        <f>V321+INDEX(Data_Prices!V:V,MATCH($G331,Data_Prices!$A:$A,0))*V$340</f>
        <v>0.77715015920690589</v>
      </c>
      <c r="W331" s="19">
        <f>W321+INDEX(Data_Prices!W:W,MATCH($G331,Data_Prices!$A:$A,0))*W$340</f>
        <v>0.80607800237840599</v>
      </c>
      <c r="X331" s="19">
        <f>X321+INDEX(Data_Prices!X:X,MATCH($G331,Data_Prices!$A:$A,0))*X$340</f>
        <v>0.83500584554990598</v>
      </c>
      <c r="Y331" s="19">
        <f>Y321+INDEX(Data_Prices!Y:Y,MATCH($G331,Data_Prices!$A:$A,0))*Y$340</f>
        <v>0.86393368872140597</v>
      </c>
      <c r="Z331" s="19">
        <f>Z321+INDEX(Data_Prices!Z:Z,MATCH($G331,Data_Prices!$A:$A,0))*Z$340</f>
        <v>0.89286153189290596</v>
      </c>
      <c r="AA331" s="19">
        <f>AA321+INDEX(Data_Prices!AA:AA,MATCH($G331,Data_Prices!$A:$A,0))*AA$340</f>
        <v>0.92178937506440595</v>
      </c>
      <c r="AB331" s="19">
        <f>AB321+INDEX(Data_Prices!AB:AB,MATCH($G331,Data_Prices!$A:$A,0))*AB$340</f>
        <v>0.95071721823590594</v>
      </c>
      <c r="AC331" s="19">
        <f>AC321+INDEX(Data_Prices!AC:AC,MATCH($G331,Data_Prices!$A:$A,0))*AC$340</f>
        <v>0.97964506140740593</v>
      </c>
      <c r="AD331" s="19">
        <f>AD321+INDEX(Data_Prices!AD:AD,MATCH($G331,Data_Prices!$A:$A,0))*AD$340</f>
        <v>1.008572904578906</v>
      </c>
      <c r="AE331" s="19">
        <f>AE321+INDEX(Data_Prices!AE:AE,MATCH($G331,Data_Prices!$A:$A,0))*AE$340</f>
        <v>1.0375007477504059</v>
      </c>
    </row>
    <row r="332" spans="2:31" x14ac:dyDescent="0.45">
      <c r="B332" s="14" t="s">
        <v>61</v>
      </c>
      <c r="C332" s="14" t="str">
        <f t="shared" si="77"/>
        <v>cem</v>
      </c>
      <c r="D332" s="15" t="s">
        <v>62</v>
      </c>
      <c r="E332" s="16" t="s">
        <v>60</v>
      </c>
      <c r="F332" s="14" t="s">
        <v>78</v>
      </c>
      <c r="G332" s="17" t="str">
        <f>Settings!$B$3&amp;".mit.shp."&amp;$B332&amp;"."&amp;Settings!$B$4&amp;"."&amp;$J$307</f>
        <v>egy.mit.shp.die.ind.2</v>
      </c>
      <c r="H332" s="45" t="str">
        <f>Settings!$B$3&amp;".mit.shp."&amp;$C$307&amp;"."&amp;$B332&amp;".e."&amp;$J$307</f>
        <v>egy.mit.shp.cem.die.e.2</v>
      </c>
      <c r="K332" s="19">
        <f>K322+INDEX(Data_Prices!K:K,MATCH($G332,Data_Prices!$A:$A,0))*K$340</f>
        <v>0.55971121315568795</v>
      </c>
      <c r="L332" s="19">
        <f>L322+INDEX(Data_Prices!L:L,MATCH($G332,Data_Prices!$A:$A,0))*L$340</f>
        <v>0.49458873084106802</v>
      </c>
      <c r="M332" s="19">
        <f>M322+INDEX(Data_Prices!M:M,MATCH($G332,Data_Prices!$A:$A,0))*M$340</f>
        <v>0.50778654720250105</v>
      </c>
      <c r="N332" s="19">
        <f>N322+INDEX(Data_Prices!N:N,MATCH($G332,Data_Prices!$A:$A,0))*N$340</f>
        <v>0.47043642679561698</v>
      </c>
      <c r="O332" s="19">
        <f>O322+INDEX(Data_Prices!O:O,MATCH($G332,Data_Prices!$A:$A,0))*O$340</f>
        <v>0.47043642679561698</v>
      </c>
      <c r="P332" s="19">
        <f>P322+INDEX(Data_Prices!P:P,MATCH($G332,Data_Prices!$A:$A,0))*P$340</f>
        <v>0.47043642679561698</v>
      </c>
      <c r="Q332" s="19">
        <f>Q322+INDEX(Data_Prices!Q:Q,MATCH($G332,Data_Prices!$A:$A,0))*Q$340</f>
        <v>0.50344686565449193</v>
      </c>
      <c r="R332" s="19">
        <f>R322+INDEX(Data_Prices!R:R,MATCH($G332,Data_Prices!$A:$A,0))*R$340</f>
        <v>0.53645730451336693</v>
      </c>
      <c r="S332" s="19">
        <f>S322+INDEX(Data_Prices!S:S,MATCH($G332,Data_Prices!$A:$A,0))*S$340</f>
        <v>0.56946774337224193</v>
      </c>
      <c r="T332" s="19">
        <f>T322+INDEX(Data_Prices!T:T,MATCH($G332,Data_Prices!$A:$A,0))*T$340</f>
        <v>0.60247818223111693</v>
      </c>
      <c r="U332" s="19">
        <f>U322+INDEX(Data_Prices!U:U,MATCH($G332,Data_Prices!$A:$A,0))*U$340</f>
        <v>0.63548862108999193</v>
      </c>
      <c r="V332" s="19">
        <f>V322+INDEX(Data_Prices!V:V,MATCH($G332,Data_Prices!$A:$A,0))*V$340</f>
        <v>0.66849905994886694</v>
      </c>
      <c r="W332" s="19">
        <f>W322+INDEX(Data_Prices!W:W,MATCH($G332,Data_Prices!$A:$A,0))*W$340</f>
        <v>0.70150949880774194</v>
      </c>
      <c r="X332" s="19">
        <f>X322+INDEX(Data_Prices!X:X,MATCH($G332,Data_Prices!$A:$A,0))*X$340</f>
        <v>0.73451993766661694</v>
      </c>
      <c r="Y332" s="19">
        <f>Y322+INDEX(Data_Prices!Y:Y,MATCH($G332,Data_Prices!$A:$A,0))*Y$340</f>
        <v>0.76753037652549194</v>
      </c>
      <c r="Z332" s="19">
        <f>Z322+INDEX(Data_Prices!Z:Z,MATCH($G332,Data_Prices!$A:$A,0))*Z$340</f>
        <v>0.80054081538436694</v>
      </c>
      <c r="AA332" s="19">
        <f>AA322+INDEX(Data_Prices!AA:AA,MATCH($G332,Data_Prices!$A:$A,0))*AA$340</f>
        <v>0.83355125424324195</v>
      </c>
      <c r="AB332" s="19">
        <f>AB322+INDEX(Data_Prices!AB:AB,MATCH($G332,Data_Prices!$A:$A,0))*AB$340</f>
        <v>0.86656169310211695</v>
      </c>
      <c r="AC332" s="19">
        <f>AC322+INDEX(Data_Prices!AC:AC,MATCH($G332,Data_Prices!$A:$A,0))*AC$340</f>
        <v>0.89957213196099195</v>
      </c>
      <c r="AD332" s="19">
        <f>AD322+INDEX(Data_Prices!AD:AD,MATCH($G332,Data_Prices!$A:$A,0))*AD$340</f>
        <v>0.93258257081986695</v>
      </c>
      <c r="AE332" s="19">
        <f>AE322+INDEX(Data_Prices!AE:AE,MATCH($G332,Data_Prices!$A:$A,0))*AE$340</f>
        <v>0.96559300967874195</v>
      </c>
    </row>
    <row r="333" spans="2:31" x14ac:dyDescent="0.45">
      <c r="B333" s="14" t="s">
        <v>63</v>
      </c>
      <c r="C333" s="14" t="str">
        <f t="shared" si="77"/>
        <v>cem</v>
      </c>
      <c r="D333" s="15" t="s">
        <v>64</v>
      </c>
      <c r="E333" s="16" t="s">
        <v>60</v>
      </c>
      <c r="F333" s="14" t="s">
        <v>78</v>
      </c>
      <c r="G333" s="17" t="str">
        <f>Settings!$B$3&amp;".mit.shp."&amp;$B333&amp;"."&amp;Settings!$B$4&amp;"."&amp;$J$307</f>
        <v>egy.mit.shp.lpg.ind.2</v>
      </c>
      <c r="H333" s="45" t="str">
        <f>Settings!$B$3&amp;".mit.shp."&amp;$C$307&amp;"."&amp;$B333&amp;".e."&amp;$J$307</f>
        <v>egy.mit.shp.cem.lpg.e.2</v>
      </c>
      <c r="K333" s="19">
        <f>K323+INDEX(Data_Prices!K:K,MATCH($G333,Data_Prices!$A:$A,0))*K$340</f>
        <v>0.20036669112673799</v>
      </c>
      <c r="L333" s="19">
        <f>L323+INDEX(Data_Prices!L:L,MATCH($G333,Data_Prices!$A:$A,0))*L$340</f>
        <v>0.15734473625227399</v>
      </c>
      <c r="M333" s="19">
        <f>M323+INDEX(Data_Prices!M:M,MATCH($G333,Data_Prices!$A:$A,0))*M$340</f>
        <v>0.164484037759277</v>
      </c>
      <c r="N333" s="19">
        <f>N323+INDEX(Data_Prices!N:N,MATCH($G333,Data_Prices!$A:$A,0))*N$340</f>
        <v>0.15070907780704901</v>
      </c>
      <c r="O333" s="19">
        <f>O323+INDEX(Data_Prices!O:O,MATCH($G333,Data_Prices!$A:$A,0))*O$340</f>
        <v>0.15070907780704901</v>
      </c>
      <c r="P333" s="19">
        <f>P323+INDEX(Data_Prices!P:P,MATCH($G333,Data_Prices!$A:$A,0))*P$340</f>
        <v>0.15070907780704901</v>
      </c>
      <c r="Q333" s="19">
        <f>Q323+INDEX(Data_Prices!Q:Q,MATCH($G333,Data_Prices!$A:$A,0))*Q$340</f>
        <v>0.17281516073434472</v>
      </c>
      <c r="R333" s="19">
        <f>R323+INDEX(Data_Prices!R:R,MATCH($G333,Data_Prices!$A:$A,0))*R$340</f>
        <v>0.1949212436616404</v>
      </c>
      <c r="S333" s="19">
        <f>S323+INDEX(Data_Prices!S:S,MATCH($G333,Data_Prices!$A:$A,0))*S$340</f>
        <v>0.21702732658893611</v>
      </c>
      <c r="T333" s="19">
        <f>T323+INDEX(Data_Prices!T:T,MATCH($G333,Data_Prices!$A:$A,0))*T$340</f>
        <v>0.2391334095162318</v>
      </c>
      <c r="U333" s="19">
        <f>U323+INDEX(Data_Prices!U:U,MATCH($G333,Data_Prices!$A:$A,0))*U$340</f>
        <v>0.26123949244352801</v>
      </c>
      <c r="V333" s="19">
        <f>V323+INDEX(Data_Prices!V:V,MATCH($G333,Data_Prices!$A:$A,0))*V$340</f>
        <v>0.283345575370823</v>
      </c>
      <c r="W333" s="19">
        <f>W323+INDEX(Data_Prices!W:W,MATCH($G333,Data_Prices!$A:$A,0))*W$340</f>
        <v>0.30545165829811904</v>
      </c>
      <c r="X333" s="19">
        <f>X323+INDEX(Data_Prices!X:X,MATCH($G333,Data_Prices!$A:$A,0))*X$340</f>
        <v>0.32755774122541503</v>
      </c>
      <c r="Y333" s="19">
        <f>Y323+INDEX(Data_Prices!Y:Y,MATCH($G333,Data_Prices!$A:$A,0))*Y$340</f>
        <v>0.34966382415271002</v>
      </c>
      <c r="Z333" s="19">
        <f>Z323+INDEX(Data_Prices!Z:Z,MATCH($G333,Data_Prices!$A:$A,0))*Z$340</f>
        <v>0.37176990708000601</v>
      </c>
      <c r="AA333" s="19">
        <f>AA323+INDEX(Data_Prices!AA:AA,MATCH($G333,Data_Prices!$A:$A,0))*AA$340</f>
        <v>0.393875990007302</v>
      </c>
      <c r="AB333" s="19">
        <f>AB323+INDEX(Data_Prices!AB:AB,MATCH($G333,Data_Prices!$A:$A,0))*AB$340</f>
        <v>0.41598207293459699</v>
      </c>
      <c r="AC333" s="19">
        <f>AC323+INDEX(Data_Prices!AC:AC,MATCH($G333,Data_Prices!$A:$A,0))*AC$340</f>
        <v>0.43808815586189298</v>
      </c>
      <c r="AD333" s="19">
        <f>AD323+INDEX(Data_Prices!AD:AD,MATCH($G333,Data_Prices!$A:$A,0))*AD$340</f>
        <v>0.46019423878918903</v>
      </c>
      <c r="AE333" s="19">
        <f>AE323+INDEX(Data_Prices!AE:AE,MATCH($G333,Data_Prices!$A:$A,0))*AE$340</f>
        <v>0.48230032171648402</v>
      </c>
    </row>
    <row r="334" spans="2:31" x14ac:dyDescent="0.45">
      <c r="B334" s="14" t="s">
        <v>65</v>
      </c>
      <c r="C334" s="14" t="str">
        <f t="shared" si="77"/>
        <v>cem</v>
      </c>
      <c r="D334" s="15" t="s">
        <v>66</v>
      </c>
      <c r="E334" s="16" t="s">
        <v>60</v>
      </c>
      <c r="F334" s="14" t="s">
        <v>78</v>
      </c>
      <c r="G334" s="17" t="str">
        <f>Settings!$B$3&amp;".mit.shp."&amp;$B334&amp;"."&amp;Settings!$B$4&amp;"."&amp;$J$307</f>
        <v>egy.mit.shp.ker.ind.2</v>
      </c>
      <c r="H334" s="45" t="str">
        <f>Settings!$B$3&amp;".mit.shp."&amp;$C$307&amp;"."&amp;$B334&amp;".e."&amp;$J$307</f>
        <v>egy.mit.shp.cem.ker.e.2</v>
      </c>
      <c r="K334" s="19">
        <f>K324+INDEX(Data_Prices!K:K,MATCH($G334,Data_Prices!$A:$A,0))*K$340</f>
        <v>0.48429424097343499</v>
      </c>
      <c r="L334" s="19">
        <f>L324+INDEX(Data_Prices!L:L,MATCH($G334,Data_Prices!$A:$A,0))*L$340</f>
        <v>0.45642817050012802</v>
      </c>
      <c r="M334" s="19">
        <f>M324+INDEX(Data_Prices!M:M,MATCH($G334,Data_Prices!$A:$A,0))*M$340</f>
        <v>0.43168920195599497</v>
      </c>
      <c r="N334" s="19">
        <f>N324+INDEX(Data_Prices!N:N,MATCH($G334,Data_Prices!$A:$A,0))*N$340</f>
        <v>0.42507558395597</v>
      </c>
      <c r="O334" s="19">
        <f>O324+INDEX(Data_Prices!O:O,MATCH($G334,Data_Prices!$A:$A,0))*O$340</f>
        <v>0.42507558395597</v>
      </c>
      <c r="P334" s="19">
        <f>P324+INDEX(Data_Prices!P:P,MATCH($G334,Data_Prices!$A:$A,0))*P$340</f>
        <v>0.42507558395597</v>
      </c>
      <c r="Q334" s="19">
        <f>Q324+INDEX(Data_Prices!Q:Q,MATCH($G334,Data_Prices!$A:$A,0))*Q$340</f>
        <v>0.45706441406607851</v>
      </c>
      <c r="R334" s="19">
        <f>R324+INDEX(Data_Prices!R:R,MATCH($G334,Data_Prices!$A:$A,0))*R$340</f>
        <v>0.48905324417618701</v>
      </c>
      <c r="S334" s="19">
        <f>S324+INDEX(Data_Prices!S:S,MATCH($G334,Data_Prices!$A:$A,0))*S$340</f>
        <v>0.52104207428629556</v>
      </c>
      <c r="T334" s="19">
        <f>T324+INDEX(Data_Prices!T:T,MATCH($G334,Data_Prices!$A:$A,0))*T$340</f>
        <v>0.55303090439640401</v>
      </c>
      <c r="U334" s="19">
        <f>U324+INDEX(Data_Prices!U:U,MATCH($G334,Data_Prices!$A:$A,0))*U$340</f>
        <v>0.58501973450651301</v>
      </c>
      <c r="V334" s="19">
        <f>V324+INDEX(Data_Prices!V:V,MATCH($G334,Data_Prices!$A:$A,0))*V$340</f>
        <v>0.61700856461662101</v>
      </c>
      <c r="W334" s="19">
        <f>W324+INDEX(Data_Prices!W:W,MATCH($G334,Data_Prices!$A:$A,0))*W$340</f>
        <v>0.64899739472673001</v>
      </c>
      <c r="X334" s="19">
        <f>X324+INDEX(Data_Prices!X:X,MATCH($G334,Data_Prices!$A:$A,0))*X$340</f>
        <v>0.68098622483683802</v>
      </c>
      <c r="Y334" s="19">
        <f>Y324+INDEX(Data_Prices!Y:Y,MATCH($G334,Data_Prices!$A:$A,0))*Y$340</f>
        <v>0.71297505494694702</v>
      </c>
      <c r="Z334" s="19">
        <f>Z324+INDEX(Data_Prices!Z:Z,MATCH($G334,Data_Prices!$A:$A,0))*Z$340</f>
        <v>0.74496388505705502</v>
      </c>
      <c r="AA334" s="19">
        <f>AA324+INDEX(Data_Prices!AA:AA,MATCH($G334,Data_Prices!$A:$A,0))*AA$340</f>
        <v>0.77695271516716302</v>
      </c>
      <c r="AB334" s="19">
        <f>AB324+INDEX(Data_Prices!AB:AB,MATCH($G334,Data_Prices!$A:$A,0))*AB$340</f>
        <v>0.80894154527727202</v>
      </c>
      <c r="AC334" s="19">
        <f>AC324+INDEX(Data_Prices!AC:AC,MATCH($G334,Data_Prices!$A:$A,0))*AC$340</f>
        <v>0.84093037538738002</v>
      </c>
      <c r="AD334" s="19">
        <f>AD324+INDEX(Data_Prices!AD:AD,MATCH($G334,Data_Prices!$A:$A,0))*AD$340</f>
        <v>0.87291920549748903</v>
      </c>
      <c r="AE334" s="19">
        <f>AE324+INDEX(Data_Prices!AE:AE,MATCH($G334,Data_Prices!$A:$A,0))*AE$340</f>
        <v>0.90490803560759703</v>
      </c>
    </row>
    <row r="335" spans="2:31" x14ac:dyDescent="0.45">
      <c r="B335" s="14" t="s">
        <v>67</v>
      </c>
      <c r="C335" s="14" t="str">
        <f t="shared" si="77"/>
        <v>cem</v>
      </c>
      <c r="D335" s="15" t="s">
        <v>68</v>
      </c>
      <c r="E335" s="16" t="s">
        <v>69</v>
      </c>
      <c r="F335" s="14" t="s">
        <v>78</v>
      </c>
      <c r="G335" s="17" t="str">
        <f>Settings!$B$3&amp;".mit.shp."&amp;$B335&amp;"."&amp;Settings!$B$4&amp;"."&amp;$J$307</f>
        <v>egy.mit.shp.oop.ind.2</v>
      </c>
      <c r="H335" s="45" t="str">
        <f>Settings!$B$3&amp;".mit.shp."&amp;$C$307&amp;"."&amp;$B335&amp;".e."&amp;$J$307</f>
        <v>egy.mit.shp.cem.oop.e.2</v>
      </c>
      <c r="K335" s="19">
        <f>K325+INDEX(Data_Prices!K:K,MATCH($G335,Data_Prices!$A:$A,0))*K$340</f>
        <v>41.500338498868402</v>
      </c>
      <c r="L335" s="19">
        <f>L325+INDEX(Data_Prices!L:L,MATCH($G335,Data_Prices!$A:$A,0))*L$340</f>
        <v>34.4153703043132</v>
      </c>
      <c r="M335" s="19">
        <f>M325+INDEX(Data_Prices!M:M,MATCH($G335,Data_Prices!$A:$A,0))*M$340</f>
        <v>37.368960690431997</v>
      </c>
      <c r="N335" s="19">
        <f>N325+INDEX(Data_Prices!N:N,MATCH($G335,Data_Prices!$A:$A,0))*N$340</f>
        <v>28.982761101477301</v>
      </c>
      <c r="O335" s="19">
        <f>O325+INDEX(Data_Prices!O:O,MATCH($G335,Data_Prices!$A:$A,0))*O$340</f>
        <v>15</v>
      </c>
      <c r="P335" s="19">
        <f>P325+INDEX(Data_Prices!P:P,MATCH($G335,Data_Prices!$A:$A,0))*P$340</f>
        <v>24.2586300842555</v>
      </c>
      <c r="Q335" s="19">
        <f>Q325+INDEX(Data_Prices!Q:Q,MATCH($G335,Data_Prices!$A:$A,0))*Q$340</f>
        <v>18.963758196132499</v>
      </c>
      <c r="R335" s="19">
        <f>R325+INDEX(Data_Prices!R:R,MATCH($G335,Data_Prices!$A:$A,0))*R$340</f>
        <v>21.760345114010597</v>
      </c>
      <c r="S335" s="19">
        <f>S325+INDEX(Data_Prices!S:S,MATCH($G335,Data_Prices!$A:$A,0))*S$340</f>
        <v>26.079880691373621</v>
      </c>
      <c r="T335" s="19">
        <f>T325+INDEX(Data_Prices!T:T,MATCH($G335,Data_Prices!$A:$A,0))*T$340</f>
        <v>30.593682445209218</v>
      </c>
      <c r="U335" s="19">
        <f>U325+INDEX(Data_Prices!U:U,MATCH($G335,Data_Prices!$A:$A,0))*U$340</f>
        <v>34.990509739410058</v>
      </c>
      <c r="V335" s="19">
        <f>V325+INDEX(Data_Prices!V:V,MATCH($G335,Data_Prices!$A:$A,0))*V$340</f>
        <v>40.858059739410059</v>
      </c>
      <c r="W335" s="19">
        <f>W325+INDEX(Data_Prices!W:W,MATCH($G335,Data_Prices!$A:$A,0))*W$340</f>
        <v>46.725609739410061</v>
      </c>
      <c r="X335" s="19">
        <f>X325+INDEX(Data_Prices!X:X,MATCH($G335,Data_Prices!$A:$A,0))*X$340</f>
        <v>52.593159739410055</v>
      </c>
      <c r="Y335" s="19">
        <f>Y325+INDEX(Data_Prices!Y:Y,MATCH($G335,Data_Prices!$A:$A,0))*Y$340</f>
        <v>58.460709739410056</v>
      </c>
      <c r="Z335" s="19">
        <f>Z325+INDEX(Data_Prices!Z:Z,MATCH($G335,Data_Prices!$A:$A,0))*Z$340</f>
        <v>64.328259739410072</v>
      </c>
      <c r="AA335" s="19">
        <f>AA325+INDEX(Data_Prices!AA:AA,MATCH($G335,Data_Prices!$A:$A,0))*AA$340</f>
        <v>70.195809739410052</v>
      </c>
      <c r="AB335" s="19">
        <f>AB325+INDEX(Data_Prices!AB:AB,MATCH($G335,Data_Prices!$A:$A,0))*AB$340</f>
        <v>76.06335973941006</v>
      </c>
      <c r="AC335" s="19">
        <f>AC325+INDEX(Data_Prices!AC:AC,MATCH($G335,Data_Prices!$A:$A,0))*AC$340</f>
        <v>81.930909739410041</v>
      </c>
      <c r="AD335" s="19">
        <f>AD325+INDEX(Data_Prices!AD:AD,MATCH($G335,Data_Prices!$A:$A,0))*AD$340</f>
        <v>87.798459739410063</v>
      </c>
      <c r="AE335" s="19">
        <f>AE325+INDEX(Data_Prices!AE:AE,MATCH($G335,Data_Prices!$A:$A,0))*AE$340</f>
        <v>93.666009739410043</v>
      </c>
    </row>
    <row r="336" spans="2:31" x14ac:dyDescent="0.45">
      <c r="B336" s="14" t="s">
        <v>70</v>
      </c>
      <c r="C336" s="14" t="str">
        <f t="shared" si="77"/>
        <v>cem</v>
      </c>
      <c r="D336" s="15" t="s">
        <v>71</v>
      </c>
      <c r="E336" s="16" t="s">
        <v>54</v>
      </c>
      <c r="F336" s="14" t="s">
        <v>78</v>
      </c>
      <c r="G336" s="17" t="str">
        <f>Settings!$B$3&amp;".mit.shp."&amp;$B336&amp;"."&amp;Settings!$B$4&amp;"."&amp;$J$307</f>
        <v>egy.mit.shp.bio.ind.2</v>
      </c>
      <c r="H336" s="45" t="str">
        <f>Settings!$B$3&amp;".mit.shp."&amp;$C$307&amp;"."&amp;$B336&amp;".e."&amp;$J$307</f>
        <v>egy.mit.shp.cem.bio.e.2</v>
      </c>
      <c r="K336" s="19">
        <f>K326+INDEX(Data_Prices!K:K,MATCH($G336,Data_Prices!$A:$A,0))*K$340</f>
        <v>15.3345505293169</v>
      </c>
      <c r="L336" s="19">
        <f>L326+INDEX(Data_Prices!L:L,MATCH($G336,Data_Prices!$A:$A,0))*L$340</f>
        <v>14.199528390634899</v>
      </c>
      <c r="M336" s="19">
        <f>M326+INDEX(Data_Prices!M:M,MATCH($G336,Data_Prices!$A:$A,0))*M$340</f>
        <v>13.8404416133152</v>
      </c>
      <c r="N336" s="19">
        <f>N326+INDEX(Data_Prices!N:N,MATCH($G336,Data_Prices!$A:$A,0))*N$340</f>
        <v>13.5677269404465</v>
      </c>
      <c r="O336" s="19">
        <f>O326+INDEX(Data_Prices!O:O,MATCH($G336,Data_Prices!$A:$A,0))*O$340</f>
        <v>13.5677269404465</v>
      </c>
      <c r="P336" s="19">
        <f>P326+INDEX(Data_Prices!P:P,MATCH($G336,Data_Prices!$A:$A,0))*P$340</f>
        <v>13.5677269404465</v>
      </c>
      <c r="Q336" s="19">
        <f>Q326+INDEX(Data_Prices!Q:Q,MATCH($G336,Data_Prices!$A:$A,0))*Q$340</f>
        <v>13.5677269404465</v>
      </c>
      <c r="R336" s="19">
        <f>R326+INDEX(Data_Prices!R:R,MATCH($G336,Data_Prices!$A:$A,0))*R$340</f>
        <v>13.5677269404465</v>
      </c>
      <c r="S336" s="19">
        <f>S326+INDEX(Data_Prices!S:S,MATCH($G336,Data_Prices!$A:$A,0))*S$340</f>
        <v>13.5677269404465</v>
      </c>
      <c r="T336" s="19">
        <f>T326+INDEX(Data_Prices!T:T,MATCH($G336,Data_Prices!$A:$A,0))*T$340</f>
        <v>13.5677269404465</v>
      </c>
      <c r="U336" s="19">
        <f>U326+INDEX(Data_Prices!U:U,MATCH($G336,Data_Prices!$A:$A,0))*U$340</f>
        <v>13.5677269404465</v>
      </c>
      <c r="V336" s="19">
        <f>V326+INDEX(Data_Prices!V:V,MATCH($G336,Data_Prices!$A:$A,0))*V$340</f>
        <v>13.5677269404465</v>
      </c>
      <c r="W336" s="19">
        <f>W326+INDEX(Data_Prices!W:W,MATCH($G336,Data_Prices!$A:$A,0))*W$340</f>
        <v>13.5677269404465</v>
      </c>
      <c r="X336" s="19">
        <f>X326+INDEX(Data_Prices!X:X,MATCH($G336,Data_Prices!$A:$A,0))*X$340</f>
        <v>13.5677269404465</v>
      </c>
      <c r="Y336" s="19">
        <f>Y326+INDEX(Data_Prices!Y:Y,MATCH($G336,Data_Prices!$A:$A,0))*Y$340</f>
        <v>13.5677269404465</v>
      </c>
      <c r="Z336" s="19">
        <f>Z326+INDEX(Data_Prices!Z:Z,MATCH($G336,Data_Prices!$A:$A,0))*Z$340</f>
        <v>13.5677269404465</v>
      </c>
      <c r="AA336" s="19">
        <f>AA326+INDEX(Data_Prices!AA:AA,MATCH($G336,Data_Prices!$A:$A,0))*AA$340</f>
        <v>13.5677269404465</v>
      </c>
      <c r="AB336" s="19">
        <f>AB326+INDEX(Data_Prices!AB:AB,MATCH($G336,Data_Prices!$A:$A,0))*AB$340</f>
        <v>13.5677269404465</v>
      </c>
      <c r="AC336" s="19">
        <f>AC326+INDEX(Data_Prices!AC:AC,MATCH($G336,Data_Prices!$A:$A,0))*AC$340</f>
        <v>13.5677269404465</v>
      </c>
      <c r="AD336" s="19">
        <f>AD326+INDEX(Data_Prices!AD:AD,MATCH($G336,Data_Prices!$A:$A,0))*AD$340</f>
        <v>13.5677269404465</v>
      </c>
      <c r="AE336" s="19">
        <f>AE326+INDEX(Data_Prices!AE:AE,MATCH($G336,Data_Prices!$A:$A,0))*AE$340</f>
        <v>13.5677269404465</v>
      </c>
    </row>
    <row r="337" spans="2:31" x14ac:dyDescent="0.45">
      <c r="B337" s="14" t="s">
        <v>72</v>
      </c>
      <c r="C337" s="14" t="str">
        <f t="shared" si="77"/>
        <v>cem</v>
      </c>
      <c r="D337" s="15" t="s">
        <v>73</v>
      </c>
      <c r="E337" s="16" t="s">
        <v>74</v>
      </c>
      <c r="F337" s="14" t="s">
        <v>78</v>
      </c>
      <c r="G337" s="17" t="str">
        <f>Settings!$B$3&amp;".mit.shp."&amp;$B337&amp;"."&amp;Settings!$B$4&amp;"."&amp;$J$307</f>
        <v>egy.mit.shp.ren.ind.2</v>
      </c>
      <c r="H337" s="45" t="str">
        <f>Settings!$B$3&amp;".mit.shp."&amp;$C$307&amp;"."&amp;$B337&amp;".e."&amp;$J$307</f>
        <v>egy.mit.shp.cem.ren.e.2</v>
      </c>
      <c r="K337" s="19">
        <f>K327+INDEX(Data_Prices!K:K,MATCH($G337,Data_Prices!$A:$A,0))*K$340</f>
        <v>0</v>
      </c>
      <c r="L337" s="19">
        <f>L327+INDEX(Data_Prices!L:L,MATCH($G337,Data_Prices!$A:$A,0))*L$340</f>
        <v>0.14404498679319799</v>
      </c>
      <c r="M337" s="19">
        <f>M327+INDEX(Data_Prices!M:M,MATCH($G337,Data_Prices!$A:$A,0))*M$340</f>
        <v>0.141386241751359</v>
      </c>
      <c r="N337" s="19">
        <f>N327+INDEX(Data_Prices!N:N,MATCH($G337,Data_Prices!$A:$A,0))*N$340</f>
        <v>0.13539756544373099</v>
      </c>
      <c r="O337" s="19">
        <f>O327+INDEX(Data_Prices!O:O,MATCH($G337,Data_Prices!$A:$A,0))*O$340</f>
        <v>0.13152288542065099</v>
      </c>
      <c r="P337" s="19">
        <f>P327+INDEX(Data_Prices!P:P,MATCH($G337,Data_Prices!$A:$A,0))*P$340</f>
        <v>0.12882610848523099</v>
      </c>
      <c r="Q337" s="19">
        <f>Q327+INDEX(Data_Prices!Q:Q,MATCH($G337,Data_Prices!$A:$A,0))*Q$340</f>
        <v>0.12594200976473999</v>
      </c>
      <c r="R337" s="19">
        <f>R327+INDEX(Data_Prices!R:R,MATCH($G337,Data_Prices!$A:$A,0))*R$340</f>
        <v>0.123113265701861</v>
      </c>
      <c r="S337" s="19">
        <f>S327+INDEX(Data_Prices!S:S,MATCH($G337,Data_Prices!$A:$A,0))*S$340</f>
        <v>0.119391738089068</v>
      </c>
      <c r="T337" s="19">
        <f>T327+INDEX(Data_Prices!T:T,MATCH($G337,Data_Prices!$A:$A,0))*T$340</f>
        <v>0.11554419046792</v>
      </c>
      <c r="U337" s="19">
        <f>U327+INDEX(Data_Prices!U:U,MATCH($G337,Data_Prices!$A:$A,0))*U$340</f>
        <v>0.11492423065415899</v>
      </c>
      <c r="V337" s="19">
        <f>V327+INDEX(Data_Prices!V:V,MATCH($G337,Data_Prices!$A:$A,0))*V$340</f>
        <v>0.114346912116736</v>
      </c>
      <c r="W337" s="19">
        <f>W327+INDEX(Data_Prices!W:W,MATCH($G337,Data_Prices!$A:$A,0))*W$340</f>
        <v>0.113738711172664</v>
      </c>
      <c r="X337" s="19">
        <f>X327+INDEX(Data_Prices!X:X,MATCH($G337,Data_Prices!$A:$A,0))*X$340</f>
        <v>0.112999900487521</v>
      </c>
      <c r="Y337" s="19">
        <f>Y327+INDEX(Data_Prices!Y:Y,MATCH($G337,Data_Prices!$A:$A,0))*Y$340</f>
        <v>0.112177685835534</v>
      </c>
      <c r="Z337" s="19">
        <f>Z327+INDEX(Data_Prices!Z:Z,MATCH($G337,Data_Prices!$A:$A,0))*Z$340</f>
        <v>0.111417903250404</v>
      </c>
      <c r="AA337" s="19">
        <f>AA327+INDEX(Data_Prices!AA:AA,MATCH($G337,Data_Prices!$A:$A,0))*AA$340</f>
        <v>0.11052581998545399</v>
      </c>
      <c r="AB337" s="19">
        <f>AB327+INDEX(Data_Prices!AB:AB,MATCH($G337,Data_Prices!$A:$A,0))*AB$340</f>
        <v>0.109699565234896</v>
      </c>
      <c r="AC337" s="19">
        <f>AC327+INDEX(Data_Prices!AC:AC,MATCH($G337,Data_Prices!$A:$A,0))*AC$340</f>
        <v>0.10772678896394899</v>
      </c>
      <c r="AD337" s="19">
        <f>AD327+INDEX(Data_Prices!AD:AD,MATCH($G337,Data_Prices!$A:$A,0))*AD$340</f>
        <v>0.10582092445093499</v>
      </c>
      <c r="AE337" s="19">
        <f>AE327+INDEX(Data_Prices!AE:AE,MATCH($G337,Data_Prices!$A:$A,0))*AE$340</f>
        <v>0.103855595705721</v>
      </c>
    </row>
    <row r="338" spans="2:31" x14ac:dyDescent="0.45">
      <c r="B338" s="13" t="s">
        <v>79</v>
      </c>
    </row>
    <row r="339" spans="2:31" x14ac:dyDescent="0.45">
      <c r="B339" s="14" t="s">
        <v>80</v>
      </c>
      <c r="C339" s="14" t="str">
        <f>$C$307</f>
        <v>cem</v>
      </c>
      <c r="D339" s="15" t="s">
        <v>81</v>
      </c>
      <c r="E339" s="16" t="s">
        <v>82</v>
      </c>
      <c r="F339" s="14" t="s">
        <v>83</v>
      </c>
      <c r="G339" s="17" t="str">
        <f>Settings!$B$3&amp;".mit.tcf."&amp;$C$307&amp;"."&amp;$J$307</f>
        <v>egy.mit.tcf.cem.2</v>
      </c>
      <c r="K339" s="19">
        <f>INDEX(Data_Prices!K:K,MATCH($G339,Data_Prices!$A:$A,0))</f>
        <v>0</v>
      </c>
      <c r="L339" s="19">
        <f>INDEX(Data_Prices!L:L,MATCH($G339,Data_Prices!$A:$A,0))</f>
        <v>0</v>
      </c>
      <c r="M339" s="19">
        <f>INDEX(Data_Prices!M:M,MATCH($G339,Data_Prices!$A:$A,0))</f>
        <v>0</v>
      </c>
      <c r="N339" s="19">
        <f>INDEX(Data_Prices!N:N,MATCH($G339,Data_Prices!$A:$A,0))</f>
        <v>0</v>
      </c>
      <c r="O339" s="19">
        <f>INDEX(Data_Prices!O:O,MATCH($G339,Data_Prices!$A:$A,0))</f>
        <v>0</v>
      </c>
      <c r="P339" s="19">
        <f>INDEX(Data_Prices!P:P,MATCH($G339,Data_Prices!$A:$A,0))</f>
        <v>1</v>
      </c>
      <c r="Q339" s="19">
        <f>INDEX(Data_Prices!Q:Q,MATCH($G339,Data_Prices!$A:$A,0))</f>
        <v>1</v>
      </c>
      <c r="R339" s="19">
        <f>INDEX(Data_Prices!R:R,MATCH($G339,Data_Prices!$A:$A,0))</f>
        <v>1</v>
      </c>
      <c r="S339" s="19">
        <f>INDEX(Data_Prices!S:S,MATCH($G339,Data_Prices!$A:$A,0))</f>
        <v>1</v>
      </c>
      <c r="T339" s="19">
        <f>INDEX(Data_Prices!T:T,MATCH($G339,Data_Prices!$A:$A,0))</f>
        <v>1</v>
      </c>
      <c r="U339" s="19">
        <f>INDEX(Data_Prices!U:U,MATCH($G339,Data_Prices!$A:$A,0))</f>
        <v>1</v>
      </c>
      <c r="V339" s="19">
        <f>INDEX(Data_Prices!V:V,MATCH($G339,Data_Prices!$A:$A,0))</f>
        <v>1</v>
      </c>
      <c r="W339" s="19">
        <f>INDEX(Data_Prices!W:W,MATCH($G339,Data_Prices!$A:$A,0))</f>
        <v>1</v>
      </c>
      <c r="X339" s="19">
        <f>INDEX(Data_Prices!X:X,MATCH($G339,Data_Prices!$A:$A,0))</f>
        <v>1</v>
      </c>
      <c r="Y339" s="19">
        <f>INDEX(Data_Prices!Y:Y,MATCH($G339,Data_Prices!$A:$A,0))</f>
        <v>1</v>
      </c>
      <c r="Z339" s="19">
        <f>INDEX(Data_Prices!Z:Z,MATCH($G339,Data_Prices!$A:$A,0))</f>
        <v>1</v>
      </c>
      <c r="AA339" s="19">
        <f>INDEX(Data_Prices!AA:AA,MATCH($G339,Data_Prices!$A:$A,0))</f>
        <v>1</v>
      </c>
      <c r="AB339" s="19">
        <f>INDEX(Data_Prices!AB:AB,MATCH($G339,Data_Prices!$A:$A,0))</f>
        <v>1</v>
      </c>
      <c r="AC339" s="19">
        <f>INDEX(Data_Prices!AC:AC,MATCH($G339,Data_Prices!$A:$A,0))</f>
        <v>1</v>
      </c>
      <c r="AD339" s="19">
        <f>INDEX(Data_Prices!AD:AD,MATCH($G339,Data_Prices!$A:$A,0))</f>
        <v>1</v>
      </c>
      <c r="AE339" s="19">
        <f>INDEX(Data_Prices!AE:AE,MATCH($G339,Data_Prices!$A:$A,0))</f>
        <v>1</v>
      </c>
    </row>
    <row r="340" spans="2:31" x14ac:dyDescent="0.45">
      <c r="B340" s="14" t="s">
        <v>80</v>
      </c>
      <c r="C340" s="14" t="str">
        <f>$C$307</f>
        <v>cem</v>
      </c>
      <c r="D340" s="15" t="s">
        <v>84</v>
      </c>
      <c r="E340" s="16" t="s">
        <v>82</v>
      </c>
      <c r="F340" s="14" t="s">
        <v>85</v>
      </c>
      <c r="G340" s="17" t="str">
        <f>Settings!$B$3&amp;".mit.ssc."&amp;$C$307&amp;"."&amp;$J$307</f>
        <v>egy.mit.ssc.cem.2</v>
      </c>
      <c r="K340" s="19">
        <f>INDEX(Data_Prices!K:K,MATCH($G340,Data_Prices!$A:$A,0))</f>
        <v>0</v>
      </c>
      <c r="L340" s="19">
        <f>INDEX(Data_Prices!L:L,MATCH($G340,Data_Prices!$A:$A,0))</f>
        <v>0</v>
      </c>
      <c r="M340" s="19">
        <f>INDEX(Data_Prices!M:M,MATCH($G340,Data_Prices!$A:$A,0))</f>
        <v>0</v>
      </c>
      <c r="N340" s="19">
        <f>INDEX(Data_Prices!N:N,MATCH($G340,Data_Prices!$A:$A,0))</f>
        <v>0</v>
      </c>
      <c r="O340" s="19">
        <f>INDEX(Data_Prices!O:O,MATCH($G340,Data_Prices!$A:$A,0))</f>
        <v>0</v>
      </c>
      <c r="P340" s="19">
        <f>INDEX(Data_Prices!P:P,MATCH($G340,Data_Prices!$A:$A,0))</f>
        <v>0</v>
      </c>
      <c r="Q340" s="19">
        <f>INDEX(Data_Prices!Q:Q,MATCH($G340,Data_Prices!$A:$A,0))</f>
        <v>0</v>
      </c>
      <c r="R340" s="19">
        <f>INDEX(Data_Prices!R:R,MATCH($G340,Data_Prices!$A:$A,0))</f>
        <v>0</v>
      </c>
      <c r="S340" s="19">
        <f>INDEX(Data_Prices!S:S,MATCH($G340,Data_Prices!$A:$A,0))</f>
        <v>0</v>
      </c>
      <c r="T340" s="19">
        <f>INDEX(Data_Prices!T:T,MATCH($G340,Data_Prices!$A:$A,0))</f>
        <v>0</v>
      </c>
      <c r="U340" s="19">
        <f>INDEX(Data_Prices!U:U,MATCH($G340,Data_Prices!$A:$A,0))</f>
        <v>0</v>
      </c>
      <c r="V340" s="19">
        <f>INDEX(Data_Prices!V:V,MATCH($G340,Data_Prices!$A:$A,0))</f>
        <v>0</v>
      </c>
      <c r="W340" s="19">
        <f>INDEX(Data_Prices!W:W,MATCH($G340,Data_Prices!$A:$A,0))</f>
        <v>0</v>
      </c>
      <c r="X340" s="19">
        <f>INDEX(Data_Prices!X:X,MATCH($G340,Data_Prices!$A:$A,0))</f>
        <v>0</v>
      </c>
      <c r="Y340" s="19">
        <f>INDEX(Data_Prices!Y:Y,MATCH($G340,Data_Prices!$A:$A,0))</f>
        <v>0</v>
      </c>
      <c r="Z340" s="19">
        <f>INDEX(Data_Prices!Z:Z,MATCH($G340,Data_Prices!$A:$A,0))</f>
        <v>0</v>
      </c>
      <c r="AA340" s="19">
        <f>INDEX(Data_Prices!AA:AA,MATCH($G340,Data_Prices!$A:$A,0))</f>
        <v>0</v>
      </c>
      <c r="AB340" s="19">
        <f>INDEX(Data_Prices!AB:AB,MATCH($G340,Data_Prices!$A:$A,0))</f>
        <v>0</v>
      </c>
      <c r="AC340" s="19">
        <f>INDEX(Data_Prices!AC:AC,MATCH($G340,Data_Prices!$A:$A,0))</f>
        <v>0</v>
      </c>
      <c r="AD340" s="19">
        <f>INDEX(Data_Prices!AD:AD,MATCH($G340,Data_Prices!$A:$A,0))</f>
        <v>0</v>
      </c>
      <c r="AE340" s="19">
        <f>INDEX(Data_Prices!AE:AE,MATCH($G340,Data_Prices!$A:$A,0))</f>
        <v>0</v>
      </c>
    </row>
    <row r="341" spans="2:31" x14ac:dyDescent="0.45">
      <c r="B341" s="14" t="s">
        <v>80</v>
      </c>
      <c r="C341" s="14" t="str">
        <f>$C$307</f>
        <v>cem</v>
      </c>
      <c r="D341" s="15" t="s">
        <v>86</v>
      </c>
      <c r="E341" s="16" t="s">
        <v>87</v>
      </c>
      <c r="F341" s="14" t="s">
        <v>88</v>
      </c>
      <c r="G341" s="17" t="str">
        <f>Settings!$B$3&amp;".mit.gdp.pos.pct."&amp;$J$307</f>
        <v>egy.mit.gdp.pos.pct.2</v>
      </c>
      <c r="K341" s="20">
        <f>INDEX(Data_Macro!K:K,MATCH($G341,Data_Macro!$A:$A,0))</f>
        <v>0</v>
      </c>
      <c r="L341" s="20">
        <f>INDEX(Data_Macro!L:L,MATCH($G341,Data_Macro!$A:$A,0))</f>
        <v>6.6513450000000002E-2</v>
      </c>
      <c r="M341" s="20">
        <f>INDEX(Data_Macro!M:M,MATCH($G341,Data_Macro!$A:$A,0))</f>
        <v>3.760281E-2</v>
      </c>
      <c r="N341" s="20">
        <f>INDEX(Data_Macro!N:N,MATCH($G341,Data_Macro!$A:$A,0))</f>
        <v>2.3988010000000001E-2</v>
      </c>
      <c r="O341" s="20">
        <f>INDEX(Data_Macro!O:O,MATCH($G341,Data_Macro!$A:$A,0))</f>
        <v>4.3923869999999997E-2</v>
      </c>
      <c r="P341" s="20">
        <f>INDEX(Data_Macro!P:P,MATCH($G341,Data_Macro!$A:$A,0))</f>
        <v>4.239706E-2</v>
      </c>
      <c r="Q341" s="20">
        <f>INDEX(Data_Macro!Q:Q,MATCH($G341,Data_Macro!$A:$A,0))</f>
        <v>4.8298383783007597E-2</v>
      </c>
      <c r="R341" s="20">
        <f>INDEX(Data_Macro!R:R,MATCH($G341,Data_Macro!$A:$A,0))</f>
        <v>5.55905477124225E-2</v>
      </c>
      <c r="S341" s="20">
        <f>INDEX(Data_Macro!S:S,MATCH($G341,Data_Macro!$A:$A,0))</f>
        <v>5.2137235389631401E-2</v>
      </c>
      <c r="T341" s="20">
        <f>INDEX(Data_Macro!T:T,MATCH($G341,Data_Macro!$A:$A,0))</f>
        <v>4.8124907491929901E-2</v>
      </c>
      <c r="U341" s="20">
        <f>INDEX(Data_Macro!U:U,MATCH($G341,Data_Macro!$A:$A,0))</f>
        <v>4.7208796526521303E-2</v>
      </c>
      <c r="V341" s="20">
        <f>INDEX(Data_Macro!V:V,MATCH($G341,Data_Macro!$A:$A,0))</f>
        <v>4.66890433006764E-2</v>
      </c>
      <c r="W341" s="20">
        <f>INDEX(Data_Macro!W:W,MATCH($G341,Data_Macro!$A:$A,0))</f>
        <v>4.6632750147029202E-2</v>
      </c>
      <c r="X341" s="20">
        <f>INDEX(Data_Macro!X:X,MATCH($G341,Data_Macro!$A:$A,0))</f>
        <v>4.6872723264421497E-2</v>
      </c>
      <c r="Y341" s="20">
        <f>INDEX(Data_Macro!Y:Y,MATCH($G341,Data_Macro!$A:$A,0))</f>
        <v>4.7469921753048698E-2</v>
      </c>
      <c r="Z341" s="20">
        <f>INDEX(Data_Macro!Z:Z,MATCH($G341,Data_Macro!$A:$A,0))</f>
        <v>4.8590713024029002E-2</v>
      </c>
      <c r="AA341" s="20">
        <f>INDEX(Data_Macro!AA:AA,MATCH($G341,Data_Macro!$A:$A,0))</f>
        <v>4.9941182078066401E-2</v>
      </c>
      <c r="AB341" s="20">
        <f>INDEX(Data_Macro!AB:AB,MATCH($G341,Data_Macro!$A:$A,0))</f>
        <v>5.13941835424786E-2</v>
      </c>
      <c r="AC341" s="20">
        <f>INDEX(Data_Macro!AC:AC,MATCH($G341,Data_Macro!$A:$A,0))</f>
        <v>5.2681763019776701E-2</v>
      </c>
      <c r="AD341" s="20">
        <f>INDEX(Data_Macro!AD:AD,MATCH($G341,Data_Macro!$A:$A,0))</f>
        <v>5.3800711336350303E-2</v>
      </c>
      <c r="AE341" s="20">
        <f>INDEX(Data_Macro!AE:AE,MATCH($G341,Data_Macro!$A:$A,0))</f>
        <v>5.4789398044337599E-2</v>
      </c>
    </row>
    <row r="342" spans="2:31" x14ac:dyDescent="0.45">
      <c r="B342" s="14" t="s">
        <v>80</v>
      </c>
      <c r="C342" s="14" t="str">
        <f>$C$307</f>
        <v>cem</v>
      </c>
      <c r="D342" s="15" t="s">
        <v>89</v>
      </c>
      <c r="E342" s="16" t="s">
        <v>90</v>
      </c>
      <c r="F342" s="14" t="s">
        <v>91</v>
      </c>
      <c r="G342" s="17" t="str">
        <f>Settings!$B$3&amp;".mit.inc.ela.adj."&amp;$J$307</f>
        <v>egy.mit.inc.ela.adj.2</v>
      </c>
      <c r="K342" s="19">
        <f>INDEX(Data_Macro!K:K,MATCH($G342,Data_Macro!$A:$A,0))</f>
        <v>0</v>
      </c>
      <c r="L342" s="19">
        <f>INDEX(Data_Macro!L:L,MATCH($G342,Data_Macro!$A:$A,0))</f>
        <v>1.02715172471961</v>
      </c>
      <c r="M342" s="19">
        <f>INDEX(Data_Macro!M:M,MATCH($G342,Data_Macro!$A:$A,0))</f>
        <v>1.02715172471961</v>
      </c>
      <c r="N342" s="19">
        <f>INDEX(Data_Macro!N:N,MATCH($G342,Data_Macro!$A:$A,0))</f>
        <v>1.0205698358851201</v>
      </c>
      <c r="O342" s="19">
        <f>INDEX(Data_Macro!O:O,MATCH($G342,Data_Macro!$A:$A,0))</f>
        <v>1.01733442885234</v>
      </c>
      <c r="P342" s="19">
        <f>INDEX(Data_Macro!P:P,MATCH($G342,Data_Macro!$A:$A,0))</f>
        <v>1.00766833225382</v>
      </c>
      <c r="Q342" s="19">
        <f>INDEX(Data_Macro!Q:Q,MATCH($G342,Data_Macro!$A:$A,0))</f>
        <v>1.0007442871755301</v>
      </c>
      <c r="R342" s="19">
        <f>INDEX(Data_Macro!R:R,MATCH($G342,Data_Macro!$A:$A,0))</f>
        <v>0.99188455719464297</v>
      </c>
      <c r="S342" s="19">
        <f>INDEX(Data_Macro!S:S,MATCH($G342,Data_Macro!$A:$A,0))</f>
        <v>0.98058056507860303</v>
      </c>
      <c r="T342" s="19">
        <f>INDEX(Data_Macro!T:T,MATCH($G342,Data_Macro!$A:$A,0))</f>
        <v>0.970250789717781</v>
      </c>
      <c r="U342" s="19">
        <f>INDEX(Data_Macro!U:U,MATCH($G342,Data_Macro!$A:$A,0))</f>
        <v>0.964288208159648</v>
      </c>
      <c r="V342" s="19">
        <f>INDEX(Data_Macro!V:V,MATCH($G342,Data_Macro!$A:$A,0))</f>
        <v>0.96183439341951105</v>
      </c>
      <c r="W342" s="19">
        <f>INDEX(Data_Macro!W:W,MATCH($G342,Data_Macro!$A:$A,0))</f>
        <v>0.95941695116164405</v>
      </c>
      <c r="X342" s="19">
        <f>INDEX(Data_Macro!X:X,MATCH($G342,Data_Macro!$A:$A,0))</f>
        <v>0.95701429252188397</v>
      </c>
      <c r="Y342" s="19">
        <f>INDEX(Data_Macro!Y:Y,MATCH($G342,Data_Macro!$A:$A,0))</f>
        <v>0.95468193722552197</v>
      </c>
      <c r="Z342" s="19">
        <f>INDEX(Data_Macro!Z:Z,MATCH($G342,Data_Macro!$A:$A,0))</f>
        <v>0.95240071158774597</v>
      </c>
      <c r="AA342" s="19">
        <f>INDEX(Data_Macro!AA:AA,MATCH($G342,Data_Macro!$A:$A,0))</f>
        <v>0.95011647499405505</v>
      </c>
      <c r="AB342" s="19">
        <f>INDEX(Data_Macro!AB:AB,MATCH($G342,Data_Macro!$A:$A,0))</f>
        <v>0.947927358499145</v>
      </c>
      <c r="AC342" s="19">
        <f>INDEX(Data_Macro!AC:AC,MATCH($G342,Data_Macro!$A:$A,0))</f>
        <v>0.94587674776299702</v>
      </c>
      <c r="AD342" s="19">
        <f>INDEX(Data_Macro!AD:AD,MATCH($G342,Data_Macro!$A:$A,0))</f>
        <v>0.94405480582839296</v>
      </c>
      <c r="AE342" s="19">
        <f>INDEX(Data_Macro!AE:AE,MATCH($G342,Data_Macro!$A:$A,0))</f>
        <v>0.94246391225206505</v>
      </c>
    </row>
    <row r="343" spans="2:31" x14ac:dyDescent="0.45">
      <c r="B343" s="14" t="s">
        <v>80</v>
      </c>
      <c r="C343" s="14" t="str">
        <f>$C$307</f>
        <v>cem</v>
      </c>
      <c r="D343" s="15" t="s">
        <v>92</v>
      </c>
      <c r="E343" s="16" t="s">
        <v>90</v>
      </c>
      <c r="F343" s="14" t="s">
        <v>93</v>
      </c>
      <c r="G343" s="17" t="str">
        <f>Settings!$B$3&amp;".mit.shock."&amp;$J$307</f>
        <v>egy.mit.shock.2</v>
      </c>
      <c r="K343" s="19">
        <f>INDEX(Data_Macro!K:K,MATCH($G343,Data_Macro!$A:$A,0))</f>
        <v>0</v>
      </c>
      <c r="L343" s="19">
        <f>INDEX(Data_Macro!L:L,MATCH($G343,Data_Macro!$A:$A,0))</f>
        <v>0</v>
      </c>
      <c r="M343" s="19">
        <f>INDEX(Data_Macro!M:M,MATCH($G343,Data_Macro!$A:$A,0))</f>
        <v>-0.20813308302044201</v>
      </c>
      <c r="N343" s="19">
        <f>INDEX(Data_Macro!N:N,MATCH($G343,Data_Macro!$A:$A,0))</f>
        <v>9.2371428571428604E-2</v>
      </c>
      <c r="O343" s="19">
        <f>INDEX(Data_Macro!O:O,MATCH($G343,Data_Macro!$A:$A,0))</f>
        <v>0</v>
      </c>
      <c r="P343" s="19">
        <f>INDEX(Data_Macro!P:P,MATCH($G343,Data_Macro!$A:$A,0))</f>
        <v>0</v>
      </c>
      <c r="Q343" s="19">
        <f>INDEX(Data_Macro!Q:Q,MATCH($G343,Data_Macro!$A:$A,0))</f>
        <v>0</v>
      </c>
      <c r="R343" s="19">
        <f>INDEX(Data_Macro!R:R,MATCH($G343,Data_Macro!$A:$A,0))</f>
        <v>0</v>
      </c>
      <c r="S343" s="19">
        <f>INDEX(Data_Macro!S:S,MATCH($G343,Data_Macro!$A:$A,0))</f>
        <v>0</v>
      </c>
      <c r="T343" s="19">
        <f>INDEX(Data_Macro!T:T,MATCH($G343,Data_Macro!$A:$A,0))</f>
        <v>0</v>
      </c>
      <c r="U343" s="19">
        <f>INDEX(Data_Macro!U:U,MATCH($G343,Data_Macro!$A:$A,0))</f>
        <v>0</v>
      </c>
      <c r="V343" s="19">
        <f>INDEX(Data_Macro!V:V,MATCH($G343,Data_Macro!$A:$A,0))</f>
        <v>0</v>
      </c>
      <c r="W343" s="19">
        <f>INDEX(Data_Macro!W:W,MATCH($G343,Data_Macro!$A:$A,0))</f>
        <v>0</v>
      </c>
      <c r="X343" s="19">
        <f>INDEX(Data_Macro!X:X,MATCH($G343,Data_Macro!$A:$A,0))</f>
        <v>0</v>
      </c>
      <c r="Y343" s="19">
        <f>INDEX(Data_Macro!Y:Y,MATCH($G343,Data_Macro!$A:$A,0))</f>
        <v>0</v>
      </c>
      <c r="Z343" s="19">
        <f>INDEX(Data_Macro!Z:Z,MATCH($G343,Data_Macro!$A:$A,0))</f>
        <v>0</v>
      </c>
      <c r="AA343" s="19">
        <f>INDEX(Data_Macro!AA:AA,MATCH($G343,Data_Macro!$A:$A,0))</f>
        <v>0</v>
      </c>
      <c r="AB343" s="19">
        <f>INDEX(Data_Macro!AB:AB,MATCH($G343,Data_Macro!$A:$A,0))</f>
        <v>0</v>
      </c>
      <c r="AC343" s="19">
        <f>INDEX(Data_Macro!AC:AC,MATCH($G343,Data_Macro!$A:$A,0))</f>
        <v>0</v>
      </c>
      <c r="AD343" s="19">
        <f>INDEX(Data_Macro!AD:AD,MATCH($G343,Data_Macro!$A:$A,0))</f>
        <v>0</v>
      </c>
      <c r="AE343" s="19">
        <f>INDEX(Data_Macro!AE:AE,MATCH($G343,Data_Macro!$A:$A,0))</f>
        <v>0</v>
      </c>
    </row>
    <row r="344" spans="2:31" x14ac:dyDescent="0.45">
      <c r="B344" s="13" t="s">
        <v>94</v>
      </c>
    </row>
    <row r="345" spans="2:31" x14ac:dyDescent="0.45">
      <c r="B345" s="7" t="s">
        <v>35</v>
      </c>
      <c r="C345" s="7" t="s">
        <v>36</v>
      </c>
      <c r="D345" s="21" t="s">
        <v>37</v>
      </c>
      <c r="E345" s="7" t="s">
        <v>95</v>
      </c>
      <c r="F345" s="7" t="s">
        <v>96</v>
      </c>
      <c r="G345" s="7" t="s">
        <v>97</v>
      </c>
      <c r="H345" s="7" t="s">
        <v>98</v>
      </c>
      <c r="I345" s="7" t="s">
        <v>99</v>
      </c>
      <c r="J345" s="7" t="s">
        <v>100</v>
      </c>
    </row>
    <row r="346" spans="2:31" x14ac:dyDescent="0.45">
      <c r="B346" s="14" t="s">
        <v>52</v>
      </c>
      <c r="C346" s="14" t="str">
        <f t="shared" ref="C346:C354" si="78">$C$307</f>
        <v>cem</v>
      </c>
      <c r="D346" s="22" t="s">
        <v>101</v>
      </c>
      <c r="E346" s="23">
        <f>INDEX(Data_Elast!$D:$G,MATCH("el_inc_"&amp;INDEX(Data_Elast!$J:$J,MATCH($B346,Data_Elast!$I:$I,0)),Data_Elast!$A:$A,0),MATCH(Settings!$B$5,Data_Elast!$D$1:$G$1,0))</f>
        <v>0.5</v>
      </c>
      <c r="F346" s="23">
        <f>INDEX(Data_Elast!$D:$G,MATCH("el_dem_"&amp;INDEX(Data_Elast!$J:$J,MATCH($B346,Data_Elast!$I:$I,0)),Data_Elast!$A:$A,0),MATCH(Settings!$B$5,Data_Elast!$D$1:$G$1,0))</f>
        <v>-0.3</v>
      </c>
      <c r="G346" s="23">
        <f>INDEX(Data_Elast!$D:$G,MATCH("el_eff_"&amp;INDEX(Data_Elast!$J:$J,MATCH($B346,Data_Elast!$I:$I,0)),Data_Elast!$A:$A,0),MATCH(Settings!$B$5,Data_Elast!$D$1:$G$1,0))</f>
        <v>-0.4</v>
      </c>
      <c r="H346" s="23">
        <f>INDEX(Data_Elast!$D:$G,MATCH("eff_imp_"&amp;INDEX(Data_Elast!$K:$K,MATCH($B346,Data_Elast!$I:$I,0)),Data_Elast!$A:$A,0),MATCH(Settings!$B$5,Data_Elast!$D$1:$G$1,0))</f>
        <v>5.0000000000000001E-3</v>
      </c>
      <c r="I346" s="23">
        <f>Settings!$B$7</f>
        <v>0</v>
      </c>
      <c r="J346" s="16" t="str">
        <f>INDEX(Data_Elast!$J:$J,MATCH($B346,Data_Elast!$I:$I,0))</f>
        <v>coa</v>
      </c>
    </row>
    <row r="347" spans="2:31" x14ac:dyDescent="0.45">
      <c r="B347" s="14" t="s">
        <v>56</v>
      </c>
      <c r="C347" s="14" t="str">
        <f t="shared" si="78"/>
        <v>cem</v>
      </c>
      <c r="D347" s="22" t="s">
        <v>102</v>
      </c>
      <c r="E347" s="23">
        <f>INDEX(Data_Elast!$D:$G,MATCH("el_inc_"&amp;INDEX(Data_Elast!$J:$J,MATCH($B347,Data_Elast!$I:$I,0)),Data_Elast!$A:$A,0),MATCH(Settings!$B$5,Data_Elast!$D$1:$G$1,0))</f>
        <v>1</v>
      </c>
      <c r="F347" s="23">
        <f>INDEX(Data_Elast!$D:$G,MATCH("el_dem_"&amp;INDEX(Data_Elast!$J:$J,MATCH($B347,Data_Elast!$I:$I,0)),Data_Elast!$A:$A,0),MATCH(Settings!$B$5,Data_Elast!$D$1:$G$1,0))</f>
        <v>-0.5</v>
      </c>
      <c r="G347" s="23">
        <f>INDEX(Data_Elast!$D:$G,MATCH("el_eff_"&amp;INDEX(Data_Elast!$J:$J,MATCH($B347,Data_Elast!$I:$I,0)),Data_Elast!$A:$A,0),MATCH(Settings!$B$5,Data_Elast!$D$1:$G$1,0))</f>
        <v>-0.5</v>
      </c>
      <c r="H347" s="23">
        <f>INDEX(Data_Elast!$D:$G,MATCH("eff_imp_"&amp;INDEX(Data_Elast!$K:$K,MATCH($B347,Data_Elast!$I:$I,0)),Data_Elast!$A:$A,0),MATCH(Settings!$B$5,Data_Elast!$D$1:$G$1,0))</f>
        <v>0.01</v>
      </c>
      <c r="I347" s="23">
        <f>Settings!$B$7</f>
        <v>0</v>
      </c>
      <c r="J347" s="16" t="str">
        <f>INDEX(Data_Elast!$J:$J,MATCH($B347,Data_Elast!$I:$I,0))</f>
        <v>nga</v>
      </c>
    </row>
    <row r="348" spans="2:31" x14ac:dyDescent="0.45">
      <c r="B348" s="14" t="s">
        <v>58</v>
      </c>
      <c r="C348" s="14" t="str">
        <f t="shared" si="78"/>
        <v>cem</v>
      </c>
      <c r="D348" s="22" t="s">
        <v>103</v>
      </c>
      <c r="E348" s="23">
        <f>INDEX(Data_Elast!$D:$G,MATCH("el_inc_"&amp;INDEX(Data_Elast!$J:$J,MATCH($B348,Data_Elast!$I:$I,0)),Data_Elast!$A:$A,0),MATCH(Settings!$B$5,Data_Elast!$D$1:$G$1,0))</f>
        <v>0.5</v>
      </c>
      <c r="F348" s="23">
        <f>INDEX(Data_Elast!$D:$G,MATCH("el_dem_"&amp;INDEX(Data_Elast!$J:$J,MATCH($B348,Data_Elast!$I:$I,0)),Data_Elast!$A:$A,0),MATCH(Settings!$B$5,Data_Elast!$D$1:$G$1,0))</f>
        <v>-0.4</v>
      </c>
      <c r="G348" s="23">
        <f>INDEX(Data_Elast!$D:$G,MATCH("el_eff_"&amp;INDEX(Data_Elast!$J:$J,MATCH($B348,Data_Elast!$I:$I,0)),Data_Elast!$A:$A,0),MATCH(Settings!$B$5,Data_Elast!$D$1:$G$1,0))</f>
        <v>-0.7</v>
      </c>
      <c r="H348" s="23">
        <f>INDEX(Data_Elast!$D:$G,MATCH("eff_imp_"&amp;INDEX(Data_Elast!$K:$K,MATCH($B348,Data_Elast!$I:$I,0)),Data_Elast!$A:$A,0),MATCH(Settings!$B$5,Data_Elast!$D$1:$G$1,0))</f>
        <v>5.0000000000000001E-3</v>
      </c>
      <c r="I348" s="23">
        <f>Settings!$B$7</f>
        <v>0</v>
      </c>
      <c r="J348" s="16" t="str">
        <f>INDEX(Data_Elast!$J:$J,MATCH($B348,Data_Elast!$I:$I,0))</f>
        <v>gso</v>
      </c>
    </row>
    <row r="349" spans="2:31" x14ac:dyDescent="0.45">
      <c r="B349" s="14" t="s">
        <v>61</v>
      </c>
      <c r="C349" s="14" t="str">
        <f t="shared" si="78"/>
        <v>cem</v>
      </c>
      <c r="D349" s="22" t="s">
        <v>104</v>
      </c>
      <c r="E349" s="23">
        <f>INDEX(Data_Elast!$D:$G,MATCH("el_inc_"&amp;INDEX(Data_Elast!$J:$J,MATCH($B349,Data_Elast!$I:$I,0)),Data_Elast!$A:$A,0),MATCH(Settings!$B$5,Data_Elast!$D$1:$G$1,0))</f>
        <v>0.5</v>
      </c>
      <c r="F349" s="23">
        <f>INDEX(Data_Elast!$D:$G,MATCH("el_dem_"&amp;INDEX(Data_Elast!$J:$J,MATCH($B349,Data_Elast!$I:$I,0)),Data_Elast!$A:$A,0),MATCH(Settings!$B$5,Data_Elast!$D$1:$G$1,0))</f>
        <v>-0.7</v>
      </c>
      <c r="G349" s="23">
        <f>INDEX(Data_Elast!$D:$G,MATCH("el_eff_"&amp;INDEX(Data_Elast!$J:$J,MATCH($B349,Data_Elast!$I:$I,0)),Data_Elast!$A:$A,0),MATCH(Settings!$B$5,Data_Elast!$D$1:$G$1,0))</f>
        <v>-1.2</v>
      </c>
      <c r="H349" s="23">
        <f>INDEX(Data_Elast!$D:$G,MATCH("eff_imp_"&amp;INDEX(Data_Elast!$K:$K,MATCH($B349,Data_Elast!$I:$I,0)),Data_Elast!$A:$A,0),MATCH(Settings!$B$5,Data_Elast!$D$1:$G$1,0))</f>
        <v>5.0000000000000001E-3</v>
      </c>
      <c r="I349" s="23">
        <f>Settings!$B$7</f>
        <v>0</v>
      </c>
      <c r="J349" s="16" t="str">
        <f>INDEX(Data_Elast!$J:$J,MATCH($B349,Data_Elast!$I:$I,0))</f>
        <v>die</v>
      </c>
    </row>
    <row r="350" spans="2:31" x14ac:dyDescent="0.45">
      <c r="B350" s="14" t="s">
        <v>63</v>
      </c>
      <c r="C350" s="14" t="str">
        <f t="shared" si="78"/>
        <v>cem</v>
      </c>
      <c r="D350" s="22" t="s">
        <v>105</v>
      </c>
      <c r="E350" s="23">
        <f>INDEX(Data_Elast!$D:$G,MATCH("el_inc_"&amp;INDEX(Data_Elast!$J:$J,MATCH($B350,Data_Elast!$I:$I,0)),Data_Elast!$A:$A,0),MATCH(Settings!$B$5,Data_Elast!$D$1:$G$1,0))</f>
        <v>0.8</v>
      </c>
      <c r="F350" s="23">
        <f>INDEX(Data_Elast!$D:$G,MATCH("el_dem_"&amp;INDEX(Data_Elast!$J:$J,MATCH($B350,Data_Elast!$I:$I,0)),Data_Elast!$A:$A,0),MATCH(Settings!$B$5,Data_Elast!$D$1:$G$1,0))</f>
        <v>-0.4</v>
      </c>
      <c r="G350" s="23">
        <f>INDEX(Data_Elast!$D:$G,MATCH("el_eff_"&amp;INDEX(Data_Elast!$J:$J,MATCH($B350,Data_Elast!$I:$I,0)),Data_Elast!$A:$A,0),MATCH(Settings!$B$5,Data_Elast!$D$1:$G$1,0))</f>
        <v>-0.4</v>
      </c>
      <c r="H350" s="23">
        <f>INDEX(Data_Elast!$D:$G,MATCH("eff_imp_"&amp;INDEX(Data_Elast!$K:$K,MATCH($B350,Data_Elast!$I:$I,0)),Data_Elast!$A:$A,0),MATCH(Settings!$B$5,Data_Elast!$D$1:$G$1,0))</f>
        <v>5.0000000000000001E-3</v>
      </c>
      <c r="I350" s="23">
        <f>Settings!$B$7</f>
        <v>0</v>
      </c>
      <c r="J350" s="16" t="str">
        <f>INDEX(Data_Elast!$J:$J,MATCH($B350,Data_Elast!$I:$I,0))</f>
        <v>oil</v>
      </c>
    </row>
    <row r="351" spans="2:31" x14ac:dyDescent="0.45">
      <c r="B351" s="14" t="s">
        <v>65</v>
      </c>
      <c r="C351" s="14" t="str">
        <f t="shared" si="78"/>
        <v>cem</v>
      </c>
      <c r="D351" s="22" t="s">
        <v>106</v>
      </c>
      <c r="E351" s="23">
        <f>INDEX(Data_Elast!$D:$G,MATCH("el_inc_"&amp;INDEX(Data_Elast!$J:$J,MATCH($B351,Data_Elast!$I:$I,0)),Data_Elast!$A:$A,0),MATCH(Settings!$B$5,Data_Elast!$D$1:$G$1,0))</f>
        <v>0.8</v>
      </c>
      <c r="F351" s="23">
        <f>INDEX(Data_Elast!$D:$G,MATCH("el_dem_"&amp;INDEX(Data_Elast!$J:$J,MATCH($B351,Data_Elast!$I:$I,0)),Data_Elast!$A:$A,0),MATCH(Settings!$B$5,Data_Elast!$D$1:$G$1,0))</f>
        <v>-0.4</v>
      </c>
      <c r="G351" s="23">
        <f>INDEX(Data_Elast!$D:$G,MATCH("el_eff_"&amp;INDEX(Data_Elast!$J:$J,MATCH($B351,Data_Elast!$I:$I,0)),Data_Elast!$A:$A,0),MATCH(Settings!$B$5,Data_Elast!$D$1:$G$1,0))</f>
        <v>-0.4</v>
      </c>
      <c r="H351" s="23">
        <f>INDEX(Data_Elast!$D:$G,MATCH("eff_imp_"&amp;INDEX(Data_Elast!$K:$K,MATCH($B351,Data_Elast!$I:$I,0)),Data_Elast!$A:$A,0),MATCH(Settings!$B$5,Data_Elast!$D$1:$G$1,0))</f>
        <v>5.0000000000000001E-3</v>
      </c>
      <c r="I351" s="23">
        <f>Settings!$B$7</f>
        <v>0</v>
      </c>
      <c r="J351" s="16" t="str">
        <f>INDEX(Data_Elast!$J:$J,MATCH($B351,Data_Elast!$I:$I,0))</f>
        <v>oil</v>
      </c>
    </row>
    <row r="352" spans="2:31" x14ac:dyDescent="0.45">
      <c r="B352" s="14" t="s">
        <v>67</v>
      </c>
      <c r="C352" s="14" t="str">
        <f t="shared" si="78"/>
        <v>cem</v>
      </c>
      <c r="D352" s="22" t="s">
        <v>107</v>
      </c>
      <c r="E352" s="23">
        <f>INDEX(Data_Elast!$D:$G,MATCH("el_inc_"&amp;INDEX(Data_Elast!$J:$J,MATCH($B352,Data_Elast!$I:$I,0)),Data_Elast!$A:$A,0),MATCH(Settings!$B$5,Data_Elast!$D$1:$G$1,0))</f>
        <v>0.8</v>
      </c>
      <c r="F352" s="23">
        <f>INDEX(Data_Elast!$D:$G,MATCH("el_dem_"&amp;INDEX(Data_Elast!$J:$J,MATCH($B352,Data_Elast!$I:$I,0)),Data_Elast!$A:$A,0),MATCH(Settings!$B$5,Data_Elast!$D$1:$G$1,0))</f>
        <v>-0.4</v>
      </c>
      <c r="G352" s="23">
        <f>INDEX(Data_Elast!$D:$G,MATCH("el_eff_"&amp;INDEX(Data_Elast!$J:$J,MATCH($B352,Data_Elast!$I:$I,0)),Data_Elast!$A:$A,0),MATCH(Settings!$B$5,Data_Elast!$D$1:$G$1,0))</f>
        <v>-0.4</v>
      </c>
      <c r="H352" s="23">
        <f>INDEX(Data_Elast!$D:$G,MATCH("eff_imp_"&amp;INDEX(Data_Elast!$K:$K,MATCH($B352,Data_Elast!$I:$I,0)),Data_Elast!$A:$A,0),MATCH(Settings!$B$5,Data_Elast!$D$1:$G$1,0))</f>
        <v>5.0000000000000001E-3</v>
      </c>
      <c r="I352" s="23">
        <f>Settings!$B$7</f>
        <v>0</v>
      </c>
      <c r="J352" s="16" t="str">
        <f>INDEX(Data_Elast!$J:$J,MATCH($B352,Data_Elast!$I:$I,0))</f>
        <v>oil</v>
      </c>
    </row>
    <row r="353" spans="1:35" x14ac:dyDescent="0.45">
      <c r="B353" s="14" t="s">
        <v>70</v>
      </c>
      <c r="C353" s="14" t="str">
        <f t="shared" si="78"/>
        <v>cem</v>
      </c>
      <c r="D353" s="22" t="s">
        <v>108</v>
      </c>
      <c r="E353" s="23">
        <f>INDEX(Data_Elast!$D:$G,MATCH("el_inc_"&amp;INDEX(Data_Elast!$J:$J,MATCH($B353,Data_Elast!$I:$I,0)),Data_Elast!$A:$A,0),MATCH(Settings!$B$5,Data_Elast!$D$1:$G$1,0))</f>
        <v>0.1</v>
      </c>
      <c r="F353" s="23">
        <f>INDEX(Data_Elast!$D:$G,MATCH("el_dem_"&amp;INDEX(Data_Elast!$J:$J,MATCH($B353,Data_Elast!$I:$I,0)),Data_Elast!$A:$A,0),MATCH(Settings!$B$5,Data_Elast!$D$1:$G$1,0))</f>
        <v>-0.3</v>
      </c>
      <c r="G353" s="23">
        <f>INDEX(Data_Elast!$D:$G,MATCH("el_eff_"&amp;INDEX(Data_Elast!$J:$J,MATCH($B353,Data_Elast!$I:$I,0)),Data_Elast!$A:$A,0),MATCH(Settings!$B$5,Data_Elast!$D$1:$G$1,0))</f>
        <v>-0.2</v>
      </c>
      <c r="H353" s="23">
        <f>INDEX(Data_Elast!$D:$G,MATCH("eff_imp_"&amp;INDEX(Data_Elast!$K:$K,MATCH($B353,Data_Elast!$I:$I,0)),Data_Elast!$A:$A,0),MATCH(Settings!$B$5,Data_Elast!$D$1:$G$1,0))</f>
        <v>5.0000000000000001E-3</v>
      </c>
      <c r="I353" s="23">
        <f>Settings!$B$7</f>
        <v>0</v>
      </c>
      <c r="J353" s="16" t="str">
        <f>INDEX(Data_Elast!$J:$J,MATCH($B353,Data_Elast!$I:$I,0))</f>
        <v>bio</v>
      </c>
    </row>
    <row r="354" spans="1:35" x14ac:dyDescent="0.45">
      <c r="B354" s="14" t="s">
        <v>72</v>
      </c>
      <c r="C354" s="14" t="str">
        <f t="shared" si="78"/>
        <v>cem</v>
      </c>
      <c r="D354" s="22" t="s">
        <v>109</v>
      </c>
      <c r="E354" s="23">
        <f>INDEX(Data_Elast!$D:$G,MATCH("el_inc_"&amp;INDEX(Data_Elast!$J:$J,MATCH($B354,Data_Elast!$I:$I,0)),Data_Elast!$A:$A,0),MATCH(Settings!$B$5,Data_Elast!$D$1:$G$1,0))</f>
        <v>0.8</v>
      </c>
      <c r="F354" s="23">
        <f>INDEX(Data_Elast!$D:$G,MATCH("el_dem_"&amp;INDEX(Data_Elast!$J:$J,MATCH($B354,Data_Elast!$I:$I,0)),Data_Elast!$A:$A,0),MATCH(Settings!$B$5,Data_Elast!$D$1:$G$1,0))</f>
        <v>-0.5</v>
      </c>
      <c r="G354" s="23">
        <f>INDEX(Data_Elast!$D:$G,MATCH("el_eff_"&amp;INDEX(Data_Elast!$J:$J,MATCH($B354,Data_Elast!$I:$I,0)),Data_Elast!$A:$A,0),MATCH(Settings!$B$5,Data_Elast!$D$1:$G$1,0))</f>
        <v>-0.4</v>
      </c>
      <c r="H354" s="23">
        <f>INDEX(Data_Elast!$D:$G,MATCH("eff_imp_"&amp;INDEX(Data_Elast!$K:$K,MATCH($B354,Data_Elast!$I:$I,0)),Data_Elast!$A:$A,0),MATCH(Settings!$B$5,Data_Elast!$D$1:$G$1,0))</f>
        <v>5.0000000000000001E-3</v>
      </c>
      <c r="I354" s="23">
        <f>Settings!$B$7</f>
        <v>0</v>
      </c>
      <c r="J354" s="16" t="str">
        <f>INDEX(Data_Elast!$J:$J,MATCH($B354,Data_Elast!$I:$I,0))</f>
        <v>ren</v>
      </c>
    </row>
    <row r="355" spans="1:35" x14ac:dyDescent="0.45">
      <c r="B355" s="13" t="s">
        <v>110</v>
      </c>
    </row>
    <row r="356" spans="1:35" x14ac:dyDescent="0.45">
      <c r="B356" s="14" t="s">
        <v>52</v>
      </c>
      <c r="C356" s="14" t="str">
        <f t="shared" ref="C356:C365" si="79">$C$307</f>
        <v>cem</v>
      </c>
      <c r="D356" s="15" t="s">
        <v>53</v>
      </c>
      <c r="E356" s="16" t="s">
        <v>111</v>
      </c>
      <c r="F356" s="14" t="s">
        <v>112</v>
      </c>
      <c r="G356" s="17" t="str">
        <f>Settings!$B$3&amp;".mit.enc."&amp;$B356</f>
        <v>egy.mit.enc.coa</v>
      </c>
      <c r="H356" s="45" t="str">
        <f>Settings!$B$3&amp;".mit.ener."&amp;$C$307&amp;"."&amp;$B356&amp;".e."&amp;$J$307</f>
        <v>egy.mit.ener.cem.coa.e.2</v>
      </c>
      <c r="L356" s="47">
        <f>INDEX(Data_Energy!$D$3:$U$22,MATCH($B356,Data_Energy!$C$3:$C$22,0),MATCH($C356,Data_Energy!$D$2:$U$2,0))</f>
        <v>1463.05522446279</v>
      </c>
      <c r="M356" s="24">
        <f t="shared" ref="M356:AE356" si="80">L356*(1+M$341)^($E346*M$342)*(1+M$343)*IF(L319&lt;=0,1,M319/L319)^$F346*(IF(L329&lt;=0,1,M329/L329)^$G346/(1+$H346+$I346))^(1+$F346)</f>
        <v>1191.3644362517186</v>
      </c>
      <c r="N356" s="24">
        <f t="shared" si="80"/>
        <v>1369.1779282213379</v>
      </c>
      <c r="O356" s="24">
        <f t="shared" si="80"/>
        <v>1496.0103450821184</v>
      </c>
      <c r="P356" s="24">
        <f t="shared" si="80"/>
        <v>1463.0094084242087</v>
      </c>
      <c r="Q356" s="24">
        <f t="shared" si="80"/>
        <v>1374.7723428524598</v>
      </c>
      <c r="R356" s="24">
        <f t="shared" si="80"/>
        <v>1322.3676037201524</v>
      </c>
      <c r="S356" s="24">
        <f t="shared" si="80"/>
        <v>1277.4771729802817</v>
      </c>
      <c r="T356" s="24">
        <f t="shared" si="80"/>
        <v>1237.8339324892117</v>
      </c>
      <c r="U356" s="24">
        <f t="shared" si="80"/>
        <v>1203.5520989403735</v>
      </c>
      <c r="V356" s="24">
        <f t="shared" si="80"/>
        <v>1171.0227006276741</v>
      </c>
      <c r="W356" s="24">
        <f t="shared" si="80"/>
        <v>1143.1158396315363</v>
      </c>
      <c r="X356" s="24">
        <f t="shared" si="80"/>
        <v>1119.1782325411702</v>
      </c>
      <c r="Y356" s="24">
        <f t="shared" si="80"/>
        <v>1098.7587442542565</v>
      </c>
      <c r="Z356" s="24">
        <f t="shared" si="80"/>
        <v>1081.6097142698629</v>
      </c>
      <c r="AA356" s="24">
        <f t="shared" si="80"/>
        <v>1067.4268939287992</v>
      </c>
      <c r="AB356" s="24">
        <f t="shared" si="80"/>
        <v>1055.9237026292408</v>
      </c>
      <c r="AC356" s="24">
        <f t="shared" si="80"/>
        <v>1046.7510678916517</v>
      </c>
      <c r="AD356" s="24">
        <f t="shared" si="80"/>
        <v>1039.6150871676307</v>
      </c>
      <c r="AE356" s="24">
        <f t="shared" si="80"/>
        <v>1034.2820627341093</v>
      </c>
    </row>
    <row r="357" spans="1:35" x14ac:dyDescent="0.45">
      <c r="B357" s="14" t="s">
        <v>56</v>
      </c>
      <c r="C357" s="14" t="str">
        <f t="shared" si="79"/>
        <v>cem</v>
      </c>
      <c r="D357" s="15" t="s">
        <v>57</v>
      </c>
      <c r="E357" s="16" t="s">
        <v>111</v>
      </c>
      <c r="F357" s="14" t="s">
        <v>112</v>
      </c>
      <c r="G357" s="17" t="str">
        <f>Settings!$B$3&amp;".mit.enc."&amp;$B357</f>
        <v>egy.mit.enc.nga</v>
      </c>
      <c r="H357" s="45" t="str">
        <f>Settings!$B$3&amp;".mit.ener."&amp;$C$307&amp;"."&amp;$B357&amp;".e."&amp;$J$307</f>
        <v>egy.mit.ener.cem.nga.e.2</v>
      </c>
      <c r="L357" s="47">
        <f>INDEX(Data_Energy!$D$3:$U$22,MATCH($B357,Data_Energy!$C$3:$C$22,0),MATCH($C357,Data_Energy!$D$2:$U$2,0))</f>
        <v>1747.39153476208</v>
      </c>
      <c r="M357" s="24">
        <f t="shared" ref="M357:AE357" si="81">L357*(1+M$341)^($E347*M$342)*(1+M$343)*IF(L320&lt;=0,1,M320/L320)^$F347*(IF(L330&lt;=0,1,M330/L330)^$G347/(1+$H347+$I347))^(1+$F347)</f>
        <v>1498.9759731403976</v>
      </c>
      <c r="N357" s="24">
        <f t="shared" si="81"/>
        <v>1678.358160579395</v>
      </c>
      <c r="O357" s="24">
        <f t="shared" si="81"/>
        <v>1744.6824773068638</v>
      </c>
      <c r="P357" s="24">
        <f t="shared" si="81"/>
        <v>1810.2025593297435</v>
      </c>
      <c r="Q357" s="24">
        <f t="shared" si="81"/>
        <v>1714.6535098550225</v>
      </c>
      <c r="R357" s="24">
        <f t="shared" si="81"/>
        <v>1652.7566024408457</v>
      </c>
      <c r="S357" s="24">
        <f t="shared" si="81"/>
        <v>1600.9566278844272</v>
      </c>
      <c r="T357" s="24">
        <f t="shared" si="81"/>
        <v>1555.2682553771394</v>
      </c>
      <c r="U357" s="24">
        <f t="shared" si="81"/>
        <v>1518.1346802877367</v>
      </c>
      <c r="V357" s="24">
        <f t="shared" si="81"/>
        <v>1488.4138650625523</v>
      </c>
      <c r="W357" s="24">
        <f t="shared" si="81"/>
        <v>1465.2685194100186</v>
      </c>
      <c r="X357" s="24">
        <f t="shared" si="81"/>
        <v>1447.9657306697532</v>
      </c>
      <c r="Y357" s="24">
        <f t="shared" si="81"/>
        <v>1436.1054289752967</v>
      </c>
      <c r="Z357" s="24">
        <f t="shared" si="81"/>
        <v>1429.6873853271161</v>
      </c>
      <c r="AA357" s="24">
        <f t="shared" si="81"/>
        <v>1428.4719778022084</v>
      </c>
      <c r="AB357" s="24">
        <f t="shared" si="81"/>
        <v>1432.1908567362852</v>
      </c>
      <c r="AC357" s="24">
        <f t="shared" si="81"/>
        <v>1440.3401326294581</v>
      </c>
      <c r="AD357" s="24">
        <f t="shared" si="81"/>
        <v>1452.5016104532147</v>
      </c>
      <c r="AE357" s="24">
        <f t="shared" si="81"/>
        <v>1468.3698881922207</v>
      </c>
    </row>
    <row r="358" spans="1:35" x14ac:dyDescent="0.45">
      <c r="B358" s="14" t="s">
        <v>58</v>
      </c>
      <c r="C358" s="14" t="str">
        <f t="shared" si="79"/>
        <v>cem</v>
      </c>
      <c r="D358" s="15" t="s">
        <v>59</v>
      </c>
      <c r="E358" s="16" t="s">
        <v>111</v>
      </c>
      <c r="F358" s="14" t="s">
        <v>112</v>
      </c>
      <c r="G358" s="17" t="str">
        <f>Settings!$B$3&amp;".mit.enc."&amp;$B358</f>
        <v>egy.mit.enc.gso</v>
      </c>
      <c r="H358" s="45" t="str">
        <f>Settings!$B$3&amp;".mit.ener."&amp;$C$307&amp;"."&amp;$B358&amp;".e."&amp;$J$307</f>
        <v>egy.mit.ener.cem.gso.e.2</v>
      </c>
      <c r="L358" s="47">
        <f>INDEX(Data_Energy!$D$3:$U$22,MATCH($B358,Data_Energy!$C$3:$C$22,0),MATCH($C358,Data_Energy!$D$2:$U$2,0))</f>
        <v>0</v>
      </c>
      <c r="M358" s="24">
        <f t="shared" ref="M358:AE358" si="82">L358*(1+M$341)^($E348*M$342)*(1+M$343)*IF(L321&lt;=0,1,M321/L321)^$F348*(IF(L331&lt;=0,1,M331/L331)^$G348/(1+$H348+$I348))^(1+$F348)</f>
        <v>0</v>
      </c>
      <c r="N358" s="24">
        <f t="shared" si="82"/>
        <v>0</v>
      </c>
      <c r="O358" s="24">
        <f t="shared" si="82"/>
        <v>0</v>
      </c>
      <c r="P358" s="24">
        <f t="shared" si="82"/>
        <v>0</v>
      </c>
      <c r="Q358" s="24">
        <f t="shared" si="82"/>
        <v>0</v>
      </c>
      <c r="R358" s="24">
        <f t="shared" si="82"/>
        <v>0</v>
      </c>
      <c r="S358" s="24">
        <f t="shared" si="82"/>
        <v>0</v>
      </c>
      <c r="T358" s="24">
        <f t="shared" si="82"/>
        <v>0</v>
      </c>
      <c r="U358" s="24">
        <f t="shared" si="82"/>
        <v>0</v>
      </c>
      <c r="V358" s="24">
        <f t="shared" si="82"/>
        <v>0</v>
      </c>
      <c r="W358" s="24">
        <f t="shared" si="82"/>
        <v>0</v>
      </c>
      <c r="X358" s="24">
        <f t="shared" si="82"/>
        <v>0</v>
      </c>
      <c r="Y358" s="24">
        <f t="shared" si="82"/>
        <v>0</v>
      </c>
      <c r="Z358" s="24">
        <f t="shared" si="82"/>
        <v>0</v>
      </c>
      <c r="AA358" s="24">
        <f t="shared" si="82"/>
        <v>0</v>
      </c>
      <c r="AB358" s="24">
        <f t="shared" si="82"/>
        <v>0</v>
      </c>
      <c r="AC358" s="24">
        <f t="shared" si="82"/>
        <v>0</v>
      </c>
      <c r="AD358" s="24">
        <f t="shared" si="82"/>
        <v>0</v>
      </c>
      <c r="AE358" s="24">
        <f t="shared" si="82"/>
        <v>0</v>
      </c>
    </row>
    <row r="359" spans="1:35" x14ac:dyDescent="0.45">
      <c r="B359" s="14" t="s">
        <v>61</v>
      </c>
      <c r="C359" s="14" t="str">
        <f t="shared" si="79"/>
        <v>cem</v>
      </c>
      <c r="D359" s="15" t="s">
        <v>62</v>
      </c>
      <c r="E359" s="16" t="s">
        <v>111</v>
      </c>
      <c r="F359" s="14" t="s">
        <v>112</v>
      </c>
      <c r="G359" s="17" t="str">
        <f>Settings!$B$3&amp;".mit.enc."&amp;$B359</f>
        <v>egy.mit.enc.die</v>
      </c>
      <c r="H359" s="45" t="str">
        <f>Settings!$B$3&amp;".mit.ener."&amp;$C$307&amp;"."&amp;$B359&amp;".e."&amp;$J$307</f>
        <v>egy.mit.ener.cem.die.e.2</v>
      </c>
      <c r="L359" s="47">
        <f>INDEX(Data_Energy!$D$3:$U$22,MATCH($B359,Data_Energy!$C$3:$C$22,0),MATCH($C359,Data_Energy!$D$2:$U$2,0))</f>
        <v>0</v>
      </c>
      <c r="M359" s="24">
        <f t="shared" ref="M359:AE359" si="83">L359*(1+M$341)^($E349*M$342)*(1+M$343)*IF(L322&lt;=0,1,M322/L322)^$F349*(IF(L332&lt;=0,1,M332/L332)^$G349/(1+$H349+$I349))^(1+$F349)</f>
        <v>0</v>
      </c>
      <c r="N359" s="24">
        <f t="shared" si="83"/>
        <v>0</v>
      </c>
      <c r="O359" s="24">
        <f t="shared" si="83"/>
        <v>0</v>
      </c>
      <c r="P359" s="24">
        <f t="shared" si="83"/>
        <v>0</v>
      </c>
      <c r="Q359" s="24">
        <f t="shared" si="83"/>
        <v>0</v>
      </c>
      <c r="R359" s="24">
        <f t="shared" si="83"/>
        <v>0</v>
      </c>
      <c r="S359" s="24">
        <f t="shared" si="83"/>
        <v>0</v>
      </c>
      <c r="T359" s="24">
        <f t="shared" si="83"/>
        <v>0</v>
      </c>
      <c r="U359" s="24">
        <f t="shared" si="83"/>
        <v>0</v>
      </c>
      <c r="V359" s="24">
        <f t="shared" si="83"/>
        <v>0</v>
      </c>
      <c r="W359" s="24">
        <f t="shared" si="83"/>
        <v>0</v>
      </c>
      <c r="X359" s="24">
        <f t="shared" si="83"/>
        <v>0</v>
      </c>
      <c r="Y359" s="24">
        <f t="shared" si="83"/>
        <v>0</v>
      </c>
      <c r="Z359" s="24">
        <f t="shared" si="83"/>
        <v>0</v>
      </c>
      <c r="AA359" s="24">
        <f t="shared" si="83"/>
        <v>0</v>
      </c>
      <c r="AB359" s="24">
        <f t="shared" si="83"/>
        <v>0</v>
      </c>
      <c r="AC359" s="24">
        <f t="shared" si="83"/>
        <v>0</v>
      </c>
      <c r="AD359" s="24">
        <f t="shared" si="83"/>
        <v>0</v>
      </c>
      <c r="AE359" s="24">
        <f t="shared" si="83"/>
        <v>0</v>
      </c>
    </row>
    <row r="360" spans="1:35" x14ac:dyDescent="0.45">
      <c r="B360" s="14" t="s">
        <v>63</v>
      </c>
      <c r="C360" s="14" t="str">
        <f t="shared" si="79"/>
        <v>cem</v>
      </c>
      <c r="D360" s="15" t="s">
        <v>64</v>
      </c>
      <c r="E360" s="16" t="s">
        <v>111</v>
      </c>
      <c r="F360" s="14" t="s">
        <v>112</v>
      </c>
      <c r="G360" s="17" t="str">
        <f>Settings!$B$3&amp;".mit.enc."&amp;$B360</f>
        <v>egy.mit.enc.lpg</v>
      </c>
      <c r="H360" s="45" t="str">
        <f>Settings!$B$3&amp;".mit.ener."&amp;$C$307&amp;"."&amp;$B360&amp;".e."&amp;$J$307</f>
        <v>egy.mit.ener.cem.lpg.e.2</v>
      </c>
      <c r="L360" s="47">
        <f>INDEX(Data_Energy!$D$3:$U$22,MATCH($B360,Data_Energy!$C$3:$C$22,0),MATCH($C360,Data_Energy!$D$2:$U$2,0))</f>
        <v>0</v>
      </c>
      <c r="M360" s="24">
        <f t="shared" ref="M360:AE360" si="84">L360*(1+M$341)^($E350*M$342)*(1+M$343)*IF(L323&lt;=0,1,M323/L323)^$F350*(IF(L333&lt;=0,1,M333/L333)^$G350/(1+$H350+$I350))^(1+$F350)</f>
        <v>0</v>
      </c>
      <c r="N360" s="24">
        <f t="shared" si="84"/>
        <v>0</v>
      </c>
      <c r="O360" s="24">
        <f t="shared" si="84"/>
        <v>0</v>
      </c>
      <c r="P360" s="24">
        <f t="shared" si="84"/>
        <v>0</v>
      </c>
      <c r="Q360" s="24">
        <f t="shared" si="84"/>
        <v>0</v>
      </c>
      <c r="R360" s="24">
        <f t="shared" si="84"/>
        <v>0</v>
      </c>
      <c r="S360" s="24">
        <f t="shared" si="84"/>
        <v>0</v>
      </c>
      <c r="T360" s="24">
        <f t="shared" si="84"/>
        <v>0</v>
      </c>
      <c r="U360" s="24">
        <f t="shared" si="84"/>
        <v>0</v>
      </c>
      <c r="V360" s="24">
        <f t="shared" si="84"/>
        <v>0</v>
      </c>
      <c r="W360" s="24">
        <f t="shared" si="84"/>
        <v>0</v>
      </c>
      <c r="X360" s="24">
        <f t="shared" si="84"/>
        <v>0</v>
      </c>
      <c r="Y360" s="24">
        <f t="shared" si="84"/>
        <v>0</v>
      </c>
      <c r="Z360" s="24">
        <f t="shared" si="84"/>
        <v>0</v>
      </c>
      <c r="AA360" s="24">
        <f t="shared" si="84"/>
        <v>0</v>
      </c>
      <c r="AB360" s="24">
        <f t="shared" si="84"/>
        <v>0</v>
      </c>
      <c r="AC360" s="24">
        <f t="shared" si="84"/>
        <v>0</v>
      </c>
      <c r="AD360" s="24">
        <f t="shared" si="84"/>
        <v>0</v>
      </c>
      <c r="AE360" s="24">
        <f t="shared" si="84"/>
        <v>0</v>
      </c>
    </row>
    <row r="361" spans="1:35" x14ac:dyDescent="0.45">
      <c r="B361" s="14" t="s">
        <v>65</v>
      </c>
      <c r="C361" s="14" t="str">
        <f t="shared" si="79"/>
        <v>cem</v>
      </c>
      <c r="D361" s="15" t="s">
        <v>66</v>
      </c>
      <c r="E361" s="16" t="s">
        <v>111</v>
      </c>
      <c r="F361" s="14" t="s">
        <v>112</v>
      </c>
      <c r="G361" s="17" t="str">
        <f>Settings!$B$3&amp;".mit.enc."&amp;$B361</f>
        <v>egy.mit.enc.ker</v>
      </c>
      <c r="H361" s="45" t="str">
        <f>Settings!$B$3&amp;".mit.ener."&amp;$C$307&amp;"."&amp;$B361&amp;".e."&amp;$J$307</f>
        <v>egy.mit.ener.cem.ker.e.2</v>
      </c>
      <c r="L361" s="47">
        <f>INDEX(Data_Energy!$D$3:$U$22,MATCH($B361,Data_Energy!$C$3:$C$22,0),MATCH($C361,Data_Energy!$D$2:$U$2,0))</f>
        <v>0</v>
      </c>
      <c r="M361" s="24">
        <f t="shared" ref="M361:AE361" si="85">L361*(1+M$341)^($E351*M$342)*(1+M$343)*IF(L324&lt;=0,1,M324/L324)^$F351*(IF(L334&lt;=0,1,M334/L334)^$G351/(1+$H351+$I351))^(1+$F351)</f>
        <v>0</v>
      </c>
      <c r="N361" s="24">
        <f t="shared" si="85"/>
        <v>0</v>
      </c>
      <c r="O361" s="24">
        <f t="shared" si="85"/>
        <v>0</v>
      </c>
      <c r="P361" s="24">
        <f t="shared" si="85"/>
        <v>0</v>
      </c>
      <c r="Q361" s="24">
        <f t="shared" si="85"/>
        <v>0</v>
      </c>
      <c r="R361" s="24">
        <f t="shared" si="85"/>
        <v>0</v>
      </c>
      <c r="S361" s="24">
        <f t="shared" si="85"/>
        <v>0</v>
      </c>
      <c r="T361" s="24">
        <f t="shared" si="85"/>
        <v>0</v>
      </c>
      <c r="U361" s="24">
        <f t="shared" si="85"/>
        <v>0</v>
      </c>
      <c r="V361" s="24">
        <f t="shared" si="85"/>
        <v>0</v>
      </c>
      <c r="W361" s="24">
        <f t="shared" si="85"/>
        <v>0</v>
      </c>
      <c r="X361" s="24">
        <f t="shared" si="85"/>
        <v>0</v>
      </c>
      <c r="Y361" s="24">
        <f t="shared" si="85"/>
        <v>0</v>
      </c>
      <c r="Z361" s="24">
        <f t="shared" si="85"/>
        <v>0</v>
      </c>
      <c r="AA361" s="24">
        <f t="shared" si="85"/>
        <v>0</v>
      </c>
      <c r="AB361" s="24">
        <f t="shared" si="85"/>
        <v>0</v>
      </c>
      <c r="AC361" s="24">
        <f t="shared" si="85"/>
        <v>0</v>
      </c>
      <c r="AD361" s="24">
        <f t="shared" si="85"/>
        <v>0</v>
      </c>
      <c r="AE361" s="24">
        <f t="shared" si="85"/>
        <v>0</v>
      </c>
    </row>
    <row r="362" spans="1:35" x14ac:dyDescent="0.45">
      <c r="B362" s="14" t="s">
        <v>67</v>
      </c>
      <c r="C362" s="14" t="str">
        <f t="shared" si="79"/>
        <v>cem</v>
      </c>
      <c r="D362" s="15" t="s">
        <v>68</v>
      </c>
      <c r="E362" s="16" t="s">
        <v>111</v>
      </c>
      <c r="F362" s="14" t="s">
        <v>112</v>
      </c>
      <c r="G362" s="17" t="str">
        <f>Settings!$B$3&amp;".mit.enc."&amp;$B362</f>
        <v>egy.mit.enc.oop</v>
      </c>
      <c r="H362" s="45" t="str">
        <f>Settings!$B$3&amp;".mit.ener."&amp;$C$307&amp;"."&amp;$B362&amp;".e."&amp;$J$307</f>
        <v>egy.mit.ener.cem.oop.e.2</v>
      </c>
      <c r="L362" s="47">
        <f>INDEX(Data_Energy!$D$3:$U$22,MATCH($B362,Data_Energy!$C$3:$C$22,0),MATCH($C362,Data_Energy!$D$2:$U$2,0))</f>
        <v>0</v>
      </c>
      <c r="M362" s="24">
        <f t="shared" ref="M362:AE362" si="86">L362*(1+M$341)^($E352*M$342)*(1+M$343)*IF(L325&lt;=0,1,M325/L325)^$F352*(IF(L335&lt;=0,1,M335/L335)^$G352/(1+$H352+$I352))^(1+$F352)</f>
        <v>0</v>
      </c>
      <c r="N362" s="24">
        <f t="shared" si="86"/>
        <v>0</v>
      </c>
      <c r="O362" s="24">
        <f t="shared" si="86"/>
        <v>0</v>
      </c>
      <c r="P362" s="24">
        <f t="shared" si="86"/>
        <v>0</v>
      </c>
      <c r="Q362" s="24">
        <f t="shared" si="86"/>
        <v>0</v>
      </c>
      <c r="R362" s="24">
        <f t="shared" si="86"/>
        <v>0</v>
      </c>
      <c r="S362" s="24">
        <f t="shared" si="86"/>
        <v>0</v>
      </c>
      <c r="T362" s="24">
        <f t="shared" si="86"/>
        <v>0</v>
      </c>
      <c r="U362" s="24">
        <f t="shared" si="86"/>
        <v>0</v>
      </c>
      <c r="V362" s="24">
        <f t="shared" si="86"/>
        <v>0</v>
      </c>
      <c r="W362" s="24">
        <f t="shared" si="86"/>
        <v>0</v>
      </c>
      <c r="X362" s="24">
        <f t="shared" si="86"/>
        <v>0</v>
      </c>
      <c r="Y362" s="24">
        <f t="shared" si="86"/>
        <v>0</v>
      </c>
      <c r="Z362" s="24">
        <f t="shared" si="86"/>
        <v>0</v>
      </c>
      <c r="AA362" s="24">
        <f t="shared" si="86"/>
        <v>0</v>
      </c>
      <c r="AB362" s="24">
        <f t="shared" si="86"/>
        <v>0</v>
      </c>
      <c r="AC362" s="24">
        <f t="shared" si="86"/>
        <v>0</v>
      </c>
      <c r="AD362" s="24">
        <f t="shared" si="86"/>
        <v>0</v>
      </c>
      <c r="AE362" s="24">
        <f t="shared" si="86"/>
        <v>0</v>
      </c>
    </row>
    <row r="363" spans="1:35" x14ac:dyDescent="0.45">
      <c r="B363" s="14" t="s">
        <v>70</v>
      </c>
      <c r="C363" s="14" t="str">
        <f t="shared" si="79"/>
        <v>cem</v>
      </c>
      <c r="D363" s="15" t="s">
        <v>71</v>
      </c>
      <c r="E363" s="16" t="s">
        <v>111</v>
      </c>
      <c r="F363" s="14" t="s">
        <v>112</v>
      </c>
      <c r="G363" s="17" t="str">
        <f>Settings!$B$3&amp;".mit.enc."&amp;$B363</f>
        <v>egy.mit.enc.bio</v>
      </c>
      <c r="H363" s="45" t="str">
        <f>Settings!$B$3&amp;".mit.ener."&amp;$C$307&amp;"."&amp;$B363&amp;".e."&amp;$J$307</f>
        <v>egy.mit.ener.cem.bio.e.2</v>
      </c>
      <c r="L363" s="47">
        <f>INDEX(Data_Energy!$D$3:$U$22,MATCH($B363,Data_Energy!$C$3:$C$22,0),MATCH($C363,Data_Energy!$D$2:$U$2,0))</f>
        <v>0</v>
      </c>
      <c r="M363" s="24">
        <f t="shared" ref="M363:AE363" si="87">L363*(1+M$341)^($E353*M$342)*(1+M$343)*IF(L326&lt;=0,1,M326/L326)^$F353*(IF(L336&lt;=0,1,M336/L336)^$G353/(1+$H353+$I353))^(1+$F353)</f>
        <v>0</v>
      </c>
      <c r="N363" s="24">
        <f t="shared" si="87"/>
        <v>0</v>
      </c>
      <c r="O363" s="24">
        <f t="shared" si="87"/>
        <v>0</v>
      </c>
      <c r="P363" s="24">
        <f t="shared" si="87"/>
        <v>0</v>
      </c>
      <c r="Q363" s="24">
        <f t="shared" si="87"/>
        <v>0</v>
      </c>
      <c r="R363" s="24">
        <f t="shared" si="87"/>
        <v>0</v>
      </c>
      <c r="S363" s="24">
        <f t="shared" si="87"/>
        <v>0</v>
      </c>
      <c r="T363" s="24">
        <f t="shared" si="87"/>
        <v>0</v>
      </c>
      <c r="U363" s="24">
        <f t="shared" si="87"/>
        <v>0</v>
      </c>
      <c r="V363" s="24">
        <f t="shared" si="87"/>
        <v>0</v>
      </c>
      <c r="W363" s="24">
        <f t="shared" si="87"/>
        <v>0</v>
      </c>
      <c r="X363" s="24">
        <f t="shared" si="87"/>
        <v>0</v>
      </c>
      <c r="Y363" s="24">
        <f t="shared" si="87"/>
        <v>0</v>
      </c>
      <c r="Z363" s="24">
        <f t="shared" si="87"/>
        <v>0</v>
      </c>
      <c r="AA363" s="24">
        <f t="shared" si="87"/>
        <v>0</v>
      </c>
      <c r="AB363" s="24">
        <f t="shared" si="87"/>
        <v>0</v>
      </c>
      <c r="AC363" s="24">
        <f t="shared" si="87"/>
        <v>0</v>
      </c>
      <c r="AD363" s="24">
        <f t="shared" si="87"/>
        <v>0</v>
      </c>
      <c r="AE363" s="24">
        <f t="shared" si="87"/>
        <v>0</v>
      </c>
    </row>
    <row r="364" spans="1:35" x14ac:dyDescent="0.45">
      <c r="B364" s="14" t="s">
        <v>72</v>
      </c>
      <c r="C364" s="14" t="str">
        <f t="shared" si="79"/>
        <v>cem</v>
      </c>
      <c r="D364" s="15" t="s">
        <v>73</v>
      </c>
      <c r="E364" s="16" t="s">
        <v>111</v>
      </c>
      <c r="F364" s="14" t="s">
        <v>112</v>
      </c>
      <c r="G364" s="17" t="str">
        <f>Settings!$B$3&amp;".mit.enc."&amp;$B364</f>
        <v>egy.mit.enc.ren</v>
      </c>
      <c r="H364" s="45" t="str">
        <f>Settings!$B$3&amp;".mit.ener."&amp;$C$307&amp;"."&amp;$B364&amp;".e."&amp;$J$307</f>
        <v>egy.mit.ener.cem.ren.e.2</v>
      </c>
      <c r="L364" s="47">
        <f>INDEX(Data_Energy!$D$3:$U$22,MATCH($B364,Data_Energy!$C$3:$C$22,0),MATCH($C364,Data_Energy!$D$2:$U$2,0))</f>
        <v>0</v>
      </c>
      <c r="M364" s="24">
        <f t="shared" ref="M364:AE364" si="88">L364*(1+M$341)^($E354*M$342)*(1+M$343)*IF(L327&lt;=0,1,M327/L327)^$F354*(IF(L337&lt;=0,1,M337/L337)^$G354/(1+$H354+$I354))^(1+$F354)</f>
        <v>0</v>
      </c>
      <c r="N364" s="24">
        <f t="shared" si="88"/>
        <v>0</v>
      </c>
      <c r="O364" s="24">
        <f t="shared" si="88"/>
        <v>0</v>
      </c>
      <c r="P364" s="24">
        <f t="shared" si="88"/>
        <v>0</v>
      </c>
      <c r="Q364" s="24">
        <f t="shared" si="88"/>
        <v>0</v>
      </c>
      <c r="R364" s="24">
        <f t="shared" si="88"/>
        <v>0</v>
      </c>
      <c r="S364" s="24">
        <f t="shared" si="88"/>
        <v>0</v>
      </c>
      <c r="T364" s="24">
        <f t="shared" si="88"/>
        <v>0</v>
      </c>
      <c r="U364" s="24">
        <f t="shared" si="88"/>
        <v>0</v>
      </c>
      <c r="V364" s="24">
        <f t="shared" si="88"/>
        <v>0</v>
      </c>
      <c r="W364" s="24">
        <f t="shared" si="88"/>
        <v>0</v>
      </c>
      <c r="X364" s="24">
        <f t="shared" si="88"/>
        <v>0</v>
      </c>
      <c r="Y364" s="24">
        <f t="shared" si="88"/>
        <v>0</v>
      </c>
      <c r="Z364" s="24">
        <f t="shared" si="88"/>
        <v>0</v>
      </c>
      <c r="AA364" s="24">
        <f t="shared" si="88"/>
        <v>0</v>
      </c>
      <c r="AB364" s="24">
        <f t="shared" si="88"/>
        <v>0</v>
      </c>
      <c r="AC364" s="24">
        <f t="shared" si="88"/>
        <v>0</v>
      </c>
      <c r="AD364" s="24">
        <f t="shared" si="88"/>
        <v>0</v>
      </c>
      <c r="AE364" s="24">
        <f t="shared" si="88"/>
        <v>0</v>
      </c>
    </row>
    <row r="365" spans="1:35" x14ac:dyDescent="0.45">
      <c r="B365" s="14" t="s">
        <v>113</v>
      </c>
      <c r="C365" s="14" t="str">
        <f t="shared" si="79"/>
        <v>cem</v>
      </c>
      <c r="D365" s="25" t="s">
        <v>114</v>
      </c>
      <c r="E365" s="16" t="s">
        <v>111</v>
      </c>
      <c r="F365" s="14" t="s">
        <v>112</v>
      </c>
      <c r="H365" s="45" t="str">
        <f>Settings!$B$3&amp;".mit.ener."&amp;$C$307&amp;".tot.e."&amp;$J$307</f>
        <v>egy.mit.ener.cem.tot.e.2</v>
      </c>
      <c r="L365" s="26">
        <f t="shared" ref="L365:AE365" si="89">SUM(L356:L364)</f>
        <v>3210.4467592248702</v>
      </c>
      <c r="M365" s="26">
        <f t="shared" si="89"/>
        <v>2690.3404093921163</v>
      </c>
      <c r="N365" s="26">
        <f t="shared" si="89"/>
        <v>3047.5360888007326</v>
      </c>
      <c r="O365" s="26">
        <f t="shared" si="89"/>
        <v>3240.6928223889822</v>
      </c>
      <c r="P365" s="26">
        <f t="shared" si="89"/>
        <v>3273.2119677539522</v>
      </c>
      <c r="Q365" s="26">
        <f t="shared" si="89"/>
        <v>3089.4258527074826</v>
      </c>
      <c r="R365" s="26">
        <f t="shared" si="89"/>
        <v>2975.1242061609983</v>
      </c>
      <c r="S365" s="26">
        <f t="shared" si="89"/>
        <v>2878.4338008647092</v>
      </c>
      <c r="T365" s="26">
        <f t="shared" si="89"/>
        <v>2793.1021878663514</v>
      </c>
      <c r="U365" s="26">
        <f t="shared" si="89"/>
        <v>2721.68677922811</v>
      </c>
      <c r="V365" s="26">
        <f t="shared" si="89"/>
        <v>2659.4365656902264</v>
      </c>
      <c r="W365" s="26">
        <f t="shared" si="89"/>
        <v>2608.3843590415549</v>
      </c>
      <c r="X365" s="26">
        <f t="shared" si="89"/>
        <v>2567.1439632109232</v>
      </c>
      <c r="Y365" s="26">
        <f t="shared" si="89"/>
        <v>2534.8641732295532</v>
      </c>
      <c r="Z365" s="26">
        <f t="shared" si="89"/>
        <v>2511.297099596979</v>
      </c>
      <c r="AA365" s="26">
        <f t="shared" si="89"/>
        <v>2495.8988717310076</v>
      </c>
      <c r="AB365" s="26">
        <f t="shared" si="89"/>
        <v>2488.114559365526</v>
      </c>
      <c r="AC365" s="26">
        <f t="shared" si="89"/>
        <v>2487.0912005211098</v>
      </c>
      <c r="AD365" s="26">
        <f t="shared" si="89"/>
        <v>2492.1166976208451</v>
      </c>
      <c r="AE365" s="26">
        <f t="shared" si="89"/>
        <v>2502.6519509263298</v>
      </c>
    </row>
    <row r="367" spans="1:35" x14ac:dyDescent="0.45">
      <c r="A367" s="11"/>
      <c r="B367" s="6" t="s">
        <v>117</v>
      </c>
      <c r="C367" s="7" t="s">
        <v>118</v>
      </c>
      <c r="D367" s="6" t="s">
        <v>47</v>
      </c>
      <c r="E367" s="7" t="s">
        <v>38</v>
      </c>
      <c r="F367" s="7" t="s">
        <v>48</v>
      </c>
      <c r="G367" s="7" t="s">
        <v>49</v>
      </c>
      <c r="H367" s="12" t="s">
        <v>41</v>
      </c>
      <c r="I367" s="6" t="s">
        <v>50</v>
      </c>
      <c r="J367" s="48">
        <v>2</v>
      </c>
      <c r="K367" s="6">
        <v>2021</v>
      </c>
      <c r="L367" s="46">
        <v>2022</v>
      </c>
      <c r="M367" s="6">
        <v>2023</v>
      </c>
      <c r="N367" s="6">
        <v>2024</v>
      </c>
      <c r="O367" s="6">
        <v>2025</v>
      </c>
      <c r="P367" s="6">
        <v>2026</v>
      </c>
      <c r="Q367" s="6">
        <v>2027</v>
      </c>
      <c r="R367" s="6">
        <v>2028</v>
      </c>
      <c r="S367" s="6">
        <v>2029</v>
      </c>
      <c r="T367" s="6">
        <v>2030</v>
      </c>
      <c r="U367" s="6">
        <v>2031</v>
      </c>
      <c r="V367" s="6">
        <v>2032</v>
      </c>
      <c r="W367" s="6">
        <v>2033</v>
      </c>
      <c r="X367" s="6">
        <v>2034</v>
      </c>
      <c r="Y367" s="6">
        <v>2035</v>
      </c>
      <c r="Z367" s="6">
        <v>2036</v>
      </c>
      <c r="AA367" s="6">
        <v>2037</v>
      </c>
      <c r="AB367" s="6">
        <v>2038</v>
      </c>
      <c r="AC367" s="6">
        <v>2039</v>
      </c>
      <c r="AD367" s="6">
        <v>2040</v>
      </c>
      <c r="AE367" s="6">
        <v>2041</v>
      </c>
      <c r="AF367" s="6">
        <v>2042</v>
      </c>
      <c r="AG367" s="6">
        <v>2043</v>
      </c>
      <c r="AH367" s="6">
        <v>2044</v>
      </c>
      <c r="AI367" s="6">
        <v>2045</v>
      </c>
    </row>
    <row r="368" spans="1:35" x14ac:dyDescent="0.45">
      <c r="B368" s="13" t="s">
        <v>51</v>
      </c>
    </row>
    <row r="369" spans="2:31" x14ac:dyDescent="0.45">
      <c r="B369" s="14" t="s">
        <v>52</v>
      </c>
      <c r="C369" s="14" t="str">
        <f t="shared" ref="C369:C377" si="90">$C$367</f>
        <v>nfm</v>
      </c>
      <c r="D369" s="15" t="s">
        <v>53</v>
      </c>
      <c r="E369" s="16" t="s">
        <v>54</v>
      </c>
      <c r="F369" s="14" t="s">
        <v>55</v>
      </c>
      <c r="G369" s="17" t="str">
        <f>Settings!$B$3&amp;".mit.pbc."&amp;Settings!$B$4&amp;"."&amp;$B369&amp;".a."&amp;$J$367</f>
        <v>egy.mit.pbc.ind.coa.a.2</v>
      </c>
      <c r="H369" s="45" t="str">
        <f>Settings!$B$3&amp;".mit.ptp."&amp;$C$367&amp;"."&amp;$B369&amp;".e."&amp;$J$367</f>
        <v>egy.mit.ptp.nfm.coa.e.2</v>
      </c>
      <c r="K369" s="18">
        <f>INDEX(Data_Prices!K:K,MATCH($G369,Data_Prices!$A:$A,0))</f>
        <v>11.182901589243899</v>
      </c>
      <c r="L369" s="18">
        <f>INDEX(Data_Prices!L:L,MATCH($G369,Data_Prices!$A:$A,0))</f>
        <v>10.5233613454312</v>
      </c>
      <c r="M369" s="18">
        <f>INDEX(Data_Prices!M:M,MATCH($G369,Data_Prices!$A:$A,0))</f>
        <v>10.2995608274442</v>
      </c>
      <c r="N369" s="18">
        <f>INDEX(Data_Prices!N:N,MATCH($G369,Data_Prices!$A:$A,0))</f>
        <v>9.5775283595382597</v>
      </c>
      <c r="O369" s="18">
        <f>INDEX(Data_Prices!O:O,MATCH($G369,Data_Prices!$A:$A,0))</f>
        <v>8.4854782869580507</v>
      </c>
      <c r="P369" s="18">
        <f>INDEX(Data_Prices!P:P,MATCH($G369,Data_Prices!$A:$A,0))</f>
        <v>9.0871922352498604</v>
      </c>
      <c r="Q369" s="18">
        <f>INDEX(Data_Prices!Q:Q,MATCH($G369,Data_Prices!$A:$A,0))</f>
        <v>9.2229237289326793</v>
      </c>
      <c r="R369" s="18">
        <f>INDEX(Data_Prices!R:R,MATCH($G369,Data_Prices!$A:$A,0))</f>
        <v>9.1585649555096893</v>
      </c>
      <c r="S369" s="18">
        <f>INDEX(Data_Prices!S:S,MATCH($G369,Data_Prices!$A:$A,0))</f>
        <v>9.0895478773973792</v>
      </c>
      <c r="T369" s="18">
        <f>INDEX(Data_Prices!T:T,MATCH($G369,Data_Prices!$A:$A,0))</f>
        <v>9.0156816660228305</v>
      </c>
      <c r="U369" s="18">
        <f>INDEX(Data_Prices!U:U,MATCH($G369,Data_Prices!$A:$A,0))</f>
        <v>8.9443977655571096</v>
      </c>
      <c r="V369" s="18">
        <f>INDEX(Data_Prices!V:V,MATCH($G369,Data_Prices!$A:$A,0))</f>
        <v>8.9443977655571096</v>
      </c>
      <c r="W369" s="18">
        <f>INDEX(Data_Prices!W:W,MATCH($G369,Data_Prices!$A:$A,0))</f>
        <v>8.9443977655571096</v>
      </c>
      <c r="X369" s="18">
        <f>INDEX(Data_Prices!X:X,MATCH($G369,Data_Prices!$A:$A,0))</f>
        <v>8.9443977655571096</v>
      </c>
      <c r="Y369" s="18">
        <f>INDEX(Data_Prices!Y:Y,MATCH($G369,Data_Prices!$A:$A,0))</f>
        <v>8.9443977655571096</v>
      </c>
      <c r="Z369" s="18">
        <f>INDEX(Data_Prices!Z:Z,MATCH($G369,Data_Prices!$A:$A,0))</f>
        <v>8.9443977655571096</v>
      </c>
      <c r="AA369" s="18">
        <f>INDEX(Data_Prices!AA:AA,MATCH($G369,Data_Prices!$A:$A,0))</f>
        <v>8.9443977655571096</v>
      </c>
      <c r="AB369" s="18">
        <f>INDEX(Data_Prices!AB:AB,MATCH($G369,Data_Prices!$A:$A,0))</f>
        <v>8.9443977655571096</v>
      </c>
      <c r="AC369" s="18">
        <f>INDEX(Data_Prices!AC:AC,MATCH($G369,Data_Prices!$A:$A,0))</f>
        <v>8.9443977655571096</v>
      </c>
      <c r="AD369" s="18">
        <f>INDEX(Data_Prices!AD:AD,MATCH($G369,Data_Prices!$A:$A,0))</f>
        <v>8.9443977655571096</v>
      </c>
      <c r="AE369" s="18">
        <f>INDEX(Data_Prices!AE:AE,MATCH($G369,Data_Prices!$A:$A,0))</f>
        <v>8.9443977655571096</v>
      </c>
    </row>
    <row r="370" spans="2:31" x14ac:dyDescent="0.45">
      <c r="B370" s="14" t="s">
        <v>56</v>
      </c>
      <c r="C370" s="14" t="str">
        <f t="shared" si="90"/>
        <v>nfm</v>
      </c>
      <c r="D370" s="15" t="s">
        <v>57</v>
      </c>
      <c r="E370" s="16" t="s">
        <v>54</v>
      </c>
      <c r="F370" s="14" t="s">
        <v>55</v>
      </c>
      <c r="G370" s="17" t="str">
        <f>Settings!$B$3&amp;".mit.pbc."&amp;Settings!$B$4&amp;"."&amp;$B370&amp;".a."&amp;$J$367</f>
        <v>egy.mit.pbc.ind.nga.a.2</v>
      </c>
      <c r="H370" s="45" t="str">
        <f>Settings!$B$3&amp;".mit.ptp."&amp;$C$367&amp;"."&amp;$B370&amp;".e."&amp;$J$367</f>
        <v>egy.mit.ptp.nfm.nga.e.2</v>
      </c>
      <c r="K370" s="18">
        <f>INDEX(Data_Prices!K:K,MATCH($G370,Data_Prices!$A:$A,0))</f>
        <v>6.0634636156729096</v>
      </c>
      <c r="L370" s="18">
        <f>INDEX(Data_Prices!L:L,MATCH($G370,Data_Prices!$A:$A,0))</f>
        <v>5.4510150816191896</v>
      </c>
      <c r="M370" s="18">
        <f>INDEX(Data_Prices!M:M,MATCH($G370,Data_Prices!$A:$A,0))</f>
        <v>5.1193563062624801</v>
      </c>
      <c r="N370" s="18">
        <f>INDEX(Data_Prices!N:N,MATCH($G370,Data_Prices!$A:$A,0))</f>
        <v>5.08218458640407</v>
      </c>
      <c r="O370" s="18">
        <f>INDEX(Data_Prices!O:O,MATCH($G370,Data_Prices!$A:$A,0))</f>
        <v>5.08218458640407</v>
      </c>
      <c r="P370" s="18">
        <f>INDEX(Data_Prices!P:P,MATCH($G370,Data_Prices!$A:$A,0))</f>
        <v>5.08218458640407</v>
      </c>
      <c r="Q370" s="18">
        <f>INDEX(Data_Prices!Q:Q,MATCH($G370,Data_Prices!$A:$A,0))</f>
        <v>5.08218458640407</v>
      </c>
      <c r="R370" s="18">
        <f>INDEX(Data_Prices!R:R,MATCH($G370,Data_Prices!$A:$A,0))</f>
        <v>5.08218458640407</v>
      </c>
      <c r="S370" s="18">
        <f>INDEX(Data_Prices!S:S,MATCH($G370,Data_Prices!$A:$A,0))</f>
        <v>5.08218458640407</v>
      </c>
      <c r="T370" s="18">
        <f>INDEX(Data_Prices!T:T,MATCH($G370,Data_Prices!$A:$A,0))</f>
        <v>5.08218458640407</v>
      </c>
      <c r="U370" s="18">
        <f>INDEX(Data_Prices!U:U,MATCH($G370,Data_Prices!$A:$A,0))</f>
        <v>5.08218458640407</v>
      </c>
      <c r="V370" s="18">
        <f>INDEX(Data_Prices!V:V,MATCH($G370,Data_Prices!$A:$A,0))</f>
        <v>5.08218458640407</v>
      </c>
      <c r="W370" s="18">
        <f>INDEX(Data_Prices!W:W,MATCH($G370,Data_Prices!$A:$A,0))</f>
        <v>5.08218458640407</v>
      </c>
      <c r="X370" s="18">
        <f>INDEX(Data_Prices!X:X,MATCH($G370,Data_Prices!$A:$A,0))</f>
        <v>5.08218458640407</v>
      </c>
      <c r="Y370" s="18">
        <f>INDEX(Data_Prices!Y:Y,MATCH($G370,Data_Prices!$A:$A,0))</f>
        <v>5.08218458640407</v>
      </c>
      <c r="Z370" s="18">
        <f>INDEX(Data_Prices!Z:Z,MATCH($G370,Data_Prices!$A:$A,0))</f>
        <v>5.08218458640407</v>
      </c>
      <c r="AA370" s="18">
        <f>INDEX(Data_Prices!AA:AA,MATCH($G370,Data_Prices!$A:$A,0))</f>
        <v>5.08218458640407</v>
      </c>
      <c r="AB370" s="18">
        <f>INDEX(Data_Prices!AB:AB,MATCH($G370,Data_Prices!$A:$A,0))</f>
        <v>5.08218458640407</v>
      </c>
      <c r="AC370" s="18">
        <f>INDEX(Data_Prices!AC:AC,MATCH($G370,Data_Prices!$A:$A,0))</f>
        <v>5.08218458640407</v>
      </c>
      <c r="AD370" s="18">
        <f>INDEX(Data_Prices!AD:AD,MATCH($G370,Data_Prices!$A:$A,0))</f>
        <v>5.08218458640407</v>
      </c>
      <c r="AE370" s="18">
        <f>INDEX(Data_Prices!AE:AE,MATCH($G370,Data_Prices!$A:$A,0))</f>
        <v>5.08218458640407</v>
      </c>
    </row>
    <row r="371" spans="2:31" x14ac:dyDescent="0.45">
      <c r="B371" s="14" t="s">
        <v>58</v>
      </c>
      <c r="C371" s="14" t="str">
        <f t="shared" si="90"/>
        <v>nfm</v>
      </c>
      <c r="D371" s="15" t="s">
        <v>59</v>
      </c>
      <c r="E371" s="16" t="s">
        <v>60</v>
      </c>
      <c r="F371" s="14" t="s">
        <v>55</v>
      </c>
      <c r="G371" s="17" t="str">
        <f>Settings!$B$3&amp;".mit.pbc."&amp;Settings!$B$4&amp;"."&amp;$B371&amp;".a."&amp;$J$367</f>
        <v>egy.mit.pbc.ind.gso.a.2</v>
      </c>
      <c r="H371" s="45" t="str">
        <f>Settings!$B$3&amp;".mit.ptp."&amp;$C$367&amp;"."&amp;$B371&amp;".e."&amp;$J$367</f>
        <v>egy.mit.ptp.nfm.gso.e.2</v>
      </c>
      <c r="K371" s="18">
        <f>INDEX(Data_Prices!K:K,MATCH($G371,Data_Prices!$A:$A,0))</f>
        <v>0.67114653332181595</v>
      </c>
      <c r="L371" s="18">
        <f>INDEX(Data_Prices!L:L,MATCH($G371,Data_Prices!$A:$A,0))</f>
        <v>0.61197797679140598</v>
      </c>
      <c r="M371" s="18">
        <f>INDEX(Data_Prices!M:M,MATCH($G371,Data_Prices!$A:$A,0))</f>
        <v>0.61180974964187596</v>
      </c>
      <c r="N371" s="18">
        <f>INDEX(Data_Prices!N:N,MATCH($G371,Data_Prices!$A:$A,0))</f>
        <v>0.60358310017790595</v>
      </c>
      <c r="O371" s="18">
        <f>INDEX(Data_Prices!O:O,MATCH($G371,Data_Prices!$A:$A,0))</f>
        <v>0.60358310017790595</v>
      </c>
      <c r="P371" s="18">
        <f>INDEX(Data_Prices!P:P,MATCH($G371,Data_Prices!$A:$A,0))</f>
        <v>0.60358310017790595</v>
      </c>
      <c r="Q371" s="18">
        <f>INDEX(Data_Prices!Q:Q,MATCH($G371,Data_Prices!$A:$A,0))</f>
        <v>0.60358310017790595</v>
      </c>
      <c r="R371" s="18">
        <f>INDEX(Data_Prices!R:R,MATCH($G371,Data_Prices!$A:$A,0))</f>
        <v>0.60358310017790595</v>
      </c>
      <c r="S371" s="18">
        <f>INDEX(Data_Prices!S:S,MATCH($G371,Data_Prices!$A:$A,0))</f>
        <v>0.60358310017790595</v>
      </c>
      <c r="T371" s="18">
        <f>INDEX(Data_Prices!T:T,MATCH($G371,Data_Prices!$A:$A,0))</f>
        <v>0.60358310017790595</v>
      </c>
      <c r="U371" s="18">
        <f>INDEX(Data_Prices!U:U,MATCH($G371,Data_Prices!$A:$A,0))</f>
        <v>0.60358310017790595</v>
      </c>
      <c r="V371" s="18">
        <f>INDEX(Data_Prices!V:V,MATCH($G371,Data_Prices!$A:$A,0))</f>
        <v>0.60358310017790595</v>
      </c>
      <c r="W371" s="18">
        <f>INDEX(Data_Prices!W:W,MATCH($G371,Data_Prices!$A:$A,0))</f>
        <v>0.60358310017790595</v>
      </c>
      <c r="X371" s="18">
        <f>INDEX(Data_Prices!X:X,MATCH($G371,Data_Prices!$A:$A,0))</f>
        <v>0.60358310017790595</v>
      </c>
      <c r="Y371" s="18">
        <f>INDEX(Data_Prices!Y:Y,MATCH($G371,Data_Prices!$A:$A,0))</f>
        <v>0.60358310017790595</v>
      </c>
      <c r="Z371" s="18">
        <f>INDEX(Data_Prices!Z:Z,MATCH($G371,Data_Prices!$A:$A,0))</f>
        <v>0.60358310017790595</v>
      </c>
      <c r="AA371" s="18">
        <f>INDEX(Data_Prices!AA:AA,MATCH($G371,Data_Prices!$A:$A,0))</f>
        <v>0.60358310017790595</v>
      </c>
      <c r="AB371" s="18">
        <f>INDEX(Data_Prices!AB:AB,MATCH($G371,Data_Prices!$A:$A,0))</f>
        <v>0.60358310017790595</v>
      </c>
      <c r="AC371" s="18">
        <f>INDEX(Data_Prices!AC:AC,MATCH($G371,Data_Prices!$A:$A,0))</f>
        <v>0.60358310017790595</v>
      </c>
      <c r="AD371" s="18">
        <f>INDEX(Data_Prices!AD:AD,MATCH($G371,Data_Prices!$A:$A,0))</f>
        <v>0.60358310017790595</v>
      </c>
      <c r="AE371" s="18">
        <f>INDEX(Data_Prices!AE:AE,MATCH($G371,Data_Prices!$A:$A,0))</f>
        <v>0.60358310017790595</v>
      </c>
    </row>
    <row r="372" spans="2:31" x14ac:dyDescent="0.45">
      <c r="B372" s="14" t="s">
        <v>61</v>
      </c>
      <c r="C372" s="14" t="str">
        <f t="shared" si="90"/>
        <v>nfm</v>
      </c>
      <c r="D372" s="15" t="s">
        <v>62</v>
      </c>
      <c r="E372" s="16" t="s">
        <v>60</v>
      </c>
      <c r="F372" s="14" t="s">
        <v>55</v>
      </c>
      <c r="G372" s="17" t="str">
        <f>Settings!$B$3&amp;".mit.pbc."&amp;Settings!$B$4&amp;"."&amp;$B372&amp;".a."&amp;$J$367</f>
        <v>egy.mit.pbc.ind.die.a.2</v>
      </c>
      <c r="H372" s="45" t="str">
        <f>Settings!$B$3&amp;".mit.ptp."&amp;$C$367&amp;"."&amp;$B372&amp;".e."&amp;$J$367</f>
        <v>egy.mit.ptp.nfm.die.e.2</v>
      </c>
      <c r="K372" s="18">
        <f>INDEX(Data_Prices!K:K,MATCH($G372,Data_Prices!$A:$A,0))</f>
        <v>0.55971121315568795</v>
      </c>
      <c r="L372" s="18">
        <f>INDEX(Data_Prices!L:L,MATCH($G372,Data_Prices!$A:$A,0))</f>
        <v>0.49458873084106802</v>
      </c>
      <c r="M372" s="18">
        <f>INDEX(Data_Prices!M:M,MATCH($G372,Data_Prices!$A:$A,0))</f>
        <v>0.50778654720250105</v>
      </c>
      <c r="N372" s="18">
        <f>INDEX(Data_Prices!N:N,MATCH($G372,Data_Prices!$A:$A,0))</f>
        <v>0.47043642679561698</v>
      </c>
      <c r="O372" s="18">
        <f>INDEX(Data_Prices!O:O,MATCH($G372,Data_Prices!$A:$A,0))</f>
        <v>0.47043642679561698</v>
      </c>
      <c r="P372" s="18">
        <f>INDEX(Data_Prices!P:P,MATCH($G372,Data_Prices!$A:$A,0))</f>
        <v>0.47043642679561698</v>
      </c>
      <c r="Q372" s="18">
        <f>INDEX(Data_Prices!Q:Q,MATCH($G372,Data_Prices!$A:$A,0))</f>
        <v>0.47043642679561698</v>
      </c>
      <c r="R372" s="18">
        <f>INDEX(Data_Prices!R:R,MATCH($G372,Data_Prices!$A:$A,0))</f>
        <v>0.47043642679561698</v>
      </c>
      <c r="S372" s="18">
        <f>INDEX(Data_Prices!S:S,MATCH($G372,Data_Prices!$A:$A,0))</f>
        <v>0.47043642679561698</v>
      </c>
      <c r="T372" s="18">
        <f>INDEX(Data_Prices!T:T,MATCH($G372,Data_Prices!$A:$A,0))</f>
        <v>0.47043642679561698</v>
      </c>
      <c r="U372" s="18">
        <f>INDEX(Data_Prices!U:U,MATCH($G372,Data_Prices!$A:$A,0))</f>
        <v>0.47043642679561698</v>
      </c>
      <c r="V372" s="18">
        <f>INDEX(Data_Prices!V:V,MATCH($G372,Data_Prices!$A:$A,0))</f>
        <v>0.47043642679561698</v>
      </c>
      <c r="W372" s="18">
        <f>INDEX(Data_Prices!W:W,MATCH($G372,Data_Prices!$A:$A,0))</f>
        <v>0.47043642679561698</v>
      </c>
      <c r="X372" s="18">
        <f>INDEX(Data_Prices!X:X,MATCH($G372,Data_Prices!$A:$A,0))</f>
        <v>0.47043642679561698</v>
      </c>
      <c r="Y372" s="18">
        <f>INDEX(Data_Prices!Y:Y,MATCH($G372,Data_Prices!$A:$A,0))</f>
        <v>0.47043642679561698</v>
      </c>
      <c r="Z372" s="18">
        <f>INDEX(Data_Prices!Z:Z,MATCH($G372,Data_Prices!$A:$A,0))</f>
        <v>0.47043642679561698</v>
      </c>
      <c r="AA372" s="18">
        <f>INDEX(Data_Prices!AA:AA,MATCH($G372,Data_Prices!$A:$A,0))</f>
        <v>0.47043642679561698</v>
      </c>
      <c r="AB372" s="18">
        <f>INDEX(Data_Prices!AB:AB,MATCH($G372,Data_Prices!$A:$A,0))</f>
        <v>0.47043642679561698</v>
      </c>
      <c r="AC372" s="18">
        <f>INDEX(Data_Prices!AC:AC,MATCH($G372,Data_Prices!$A:$A,0))</f>
        <v>0.47043642679561698</v>
      </c>
      <c r="AD372" s="18">
        <f>INDEX(Data_Prices!AD:AD,MATCH($G372,Data_Prices!$A:$A,0))</f>
        <v>0.47043642679561698</v>
      </c>
      <c r="AE372" s="18">
        <f>INDEX(Data_Prices!AE:AE,MATCH($G372,Data_Prices!$A:$A,0))</f>
        <v>0.47043642679561698</v>
      </c>
    </row>
    <row r="373" spans="2:31" x14ac:dyDescent="0.45">
      <c r="B373" s="14" t="s">
        <v>63</v>
      </c>
      <c r="C373" s="14" t="str">
        <f t="shared" si="90"/>
        <v>nfm</v>
      </c>
      <c r="D373" s="15" t="s">
        <v>64</v>
      </c>
      <c r="E373" s="16" t="s">
        <v>60</v>
      </c>
      <c r="F373" s="14" t="s">
        <v>55</v>
      </c>
      <c r="G373" s="17" t="str">
        <f>Settings!$B$3&amp;".mit.pbc."&amp;Settings!$B$4&amp;"."&amp;$B373&amp;".a."&amp;$J$367</f>
        <v>egy.mit.pbc.ind.lpg.a.2</v>
      </c>
      <c r="H373" s="45" t="str">
        <f>Settings!$B$3&amp;".mit.ptp."&amp;$C$367&amp;"."&amp;$B373&amp;".e."&amp;$J$367</f>
        <v>egy.mit.ptp.nfm.lpg.e.2</v>
      </c>
      <c r="K373" s="18">
        <f>INDEX(Data_Prices!K:K,MATCH($G373,Data_Prices!$A:$A,0))</f>
        <v>0.20036669112673799</v>
      </c>
      <c r="L373" s="18">
        <f>INDEX(Data_Prices!L:L,MATCH($G373,Data_Prices!$A:$A,0))</f>
        <v>0.15734473625227399</v>
      </c>
      <c r="M373" s="18">
        <f>INDEX(Data_Prices!M:M,MATCH($G373,Data_Prices!$A:$A,0))</f>
        <v>0.164484037759277</v>
      </c>
      <c r="N373" s="18">
        <f>INDEX(Data_Prices!N:N,MATCH($G373,Data_Prices!$A:$A,0))</f>
        <v>0.15070907780704901</v>
      </c>
      <c r="O373" s="18">
        <f>INDEX(Data_Prices!O:O,MATCH($G373,Data_Prices!$A:$A,0))</f>
        <v>0.15070907780704901</v>
      </c>
      <c r="P373" s="18">
        <f>INDEX(Data_Prices!P:P,MATCH($G373,Data_Prices!$A:$A,0))</f>
        <v>0.15070907780704901</v>
      </c>
      <c r="Q373" s="18">
        <f>INDEX(Data_Prices!Q:Q,MATCH($G373,Data_Prices!$A:$A,0))</f>
        <v>0.15070907780704901</v>
      </c>
      <c r="R373" s="18">
        <f>INDEX(Data_Prices!R:R,MATCH($G373,Data_Prices!$A:$A,0))</f>
        <v>0.15070907780704901</v>
      </c>
      <c r="S373" s="18">
        <f>INDEX(Data_Prices!S:S,MATCH($G373,Data_Prices!$A:$A,0))</f>
        <v>0.15070907780704901</v>
      </c>
      <c r="T373" s="18">
        <f>INDEX(Data_Prices!T:T,MATCH($G373,Data_Prices!$A:$A,0))</f>
        <v>0.15070907780704901</v>
      </c>
      <c r="U373" s="18">
        <f>INDEX(Data_Prices!U:U,MATCH($G373,Data_Prices!$A:$A,0))</f>
        <v>0.15070907780704901</v>
      </c>
      <c r="V373" s="18">
        <f>INDEX(Data_Prices!V:V,MATCH($G373,Data_Prices!$A:$A,0))</f>
        <v>0.15070907780704901</v>
      </c>
      <c r="W373" s="18">
        <f>INDEX(Data_Prices!W:W,MATCH($G373,Data_Prices!$A:$A,0))</f>
        <v>0.15070907780704901</v>
      </c>
      <c r="X373" s="18">
        <f>INDEX(Data_Prices!X:X,MATCH($G373,Data_Prices!$A:$A,0))</f>
        <v>0.15070907780704901</v>
      </c>
      <c r="Y373" s="18">
        <f>INDEX(Data_Prices!Y:Y,MATCH($G373,Data_Prices!$A:$A,0))</f>
        <v>0.15070907780704901</v>
      </c>
      <c r="Z373" s="18">
        <f>INDEX(Data_Prices!Z:Z,MATCH($G373,Data_Prices!$A:$A,0))</f>
        <v>0.15070907780704901</v>
      </c>
      <c r="AA373" s="18">
        <f>INDEX(Data_Prices!AA:AA,MATCH($G373,Data_Prices!$A:$A,0))</f>
        <v>0.15070907780704901</v>
      </c>
      <c r="AB373" s="18">
        <f>INDEX(Data_Prices!AB:AB,MATCH($G373,Data_Prices!$A:$A,0))</f>
        <v>0.15070907780704901</v>
      </c>
      <c r="AC373" s="18">
        <f>INDEX(Data_Prices!AC:AC,MATCH($G373,Data_Prices!$A:$A,0))</f>
        <v>0.15070907780704901</v>
      </c>
      <c r="AD373" s="18">
        <f>INDEX(Data_Prices!AD:AD,MATCH($G373,Data_Prices!$A:$A,0))</f>
        <v>0.15070907780704901</v>
      </c>
      <c r="AE373" s="18">
        <f>INDEX(Data_Prices!AE:AE,MATCH($G373,Data_Prices!$A:$A,0))</f>
        <v>0.15070907780704901</v>
      </c>
    </row>
    <row r="374" spans="2:31" x14ac:dyDescent="0.45">
      <c r="B374" s="14" t="s">
        <v>65</v>
      </c>
      <c r="C374" s="14" t="str">
        <f t="shared" si="90"/>
        <v>nfm</v>
      </c>
      <c r="D374" s="15" t="s">
        <v>66</v>
      </c>
      <c r="E374" s="16" t="s">
        <v>60</v>
      </c>
      <c r="F374" s="14" t="s">
        <v>55</v>
      </c>
      <c r="G374" s="17" t="str">
        <f>Settings!$B$3&amp;".mit.pbc."&amp;Settings!$B$4&amp;"."&amp;$B374&amp;".a."&amp;$J$367</f>
        <v>egy.mit.pbc.ind.ker.a.2</v>
      </c>
      <c r="H374" s="45" t="str">
        <f>Settings!$B$3&amp;".mit.ptp."&amp;$C$367&amp;"."&amp;$B374&amp;".e."&amp;$J$367</f>
        <v>egy.mit.ptp.nfm.ker.e.2</v>
      </c>
      <c r="K374" s="18">
        <f>INDEX(Data_Prices!K:K,MATCH($G374,Data_Prices!$A:$A,0))</f>
        <v>0.48429424097343499</v>
      </c>
      <c r="L374" s="18">
        <f>INDEX(Data_Prices!L:L,MATCH($G374,Data_Prices!$A:$A,0))</f>
        <v>0.45642817050012802</v>
      </c>
      <c r="M374" s="18">
        <f>INDEX(Data_Prices!M:M,MATCH($G374,Data_Prices!$A:$A,0))</f>
        <v>0.43168920195599497</v>
      </c>
      <c r="N374" s="18">
        <f>INDEX(Data_Prices!N:N,MATCH($G374,Data_Prices!$A:$A,0))</f>
        <v>0.42507558395597</v>
      </c>
      <c r="O374" s="18">
        <f>INDEX(Data_Prices!O:O,MATCH($G374,Data_Prices!$A:$A,0))</f>
        <v>0.42507558395597</v>
      </c>
      <c r="P374" s="18">
        <f>INDEX(Data_Prices!P:P,MATCH($G374,Data_Prices!$A:$A,0))</f>
        <v>0.42507558395597</v>
      </c>
      <c r="Q374" s="18">
        <f>INDEX(Data_Prices!Q:Q,MATCH($G374,Data_Prices!$A:$A,0))</f>
        <v>0.42507558395597</v>
      </c>
      <c r="R374" s="18">
        <f>INDEX(Data_Prices!R:R,MATCH($G374,Data_Prices!$A:$A,0))</f>
        <v>0.42507558395597</v>
      </c>
      <c r="S374" s="18">
        <f>INDEX(Data_Prices!S:S,MATCH($G374,Data_Prices!$A:$A,0))</f>
        <v>0.42507558395597</v>
      </c>
      <c r="T374" s="18">
        <f>INDEX(Data_Prices!T:T,MATCH($G374,Data_Prices!$A:$A,0))</f>
        <v>0.42507558395597</v>
      </c>
      <c r="U374" s="18">
        <f>INDEX(Data_Prices!U:U,MATCH($G374,Data_Prices!$A:$A,0))</f>
        <v>0.42507558395597</v>
      </c>
      <c r="V374" s="18">
        <f>INDEX(Data_Prices!V:V,MATCH($G374,Data_Prices!$A:$A,0))</f>
        <v>0.42507558395597</v>
      </c>
      <c r="W374" s="18">
        <f>INDEX(Data_Prices!W:W,MATCH($G374,Data_Prices!$A:$A,0))</f>
        <v>0.42507558395597</v>
      </c>
      <c r="X374" s="18">
        <f>INDEX(Data_Prices!X:X,MATCH($G374,Data_Prices!$A:$A,0))</f>
        <v>0.42507558395597</v>
      </c>
      <c r="Y374" s="18">
        <f>INDEX(Data_Prices!Y:Y,MATCH($G374,Data_Prices!$A:$A,0))</f>
        <v>0.42507558395597</v>
      </c>
      <c r="Z374" s="18">
        <f>INDEX(Data_Prices!Z:Z,MATCH($G374,Data_Prices!$A:$A,0))</f>
        <v>0.42507558395597</v>
      </c>
      <c r="AA374" s="18">
        <f>INDEX(Data_Prices!AA:AA,MATCH($G374,Data_Prices!$A:$A,0))</f>
        <v>0.42507558395597</v>
      </c>
      <c r="AB374" s="18">
        <f>INDEX(Data_Prices!AB:AB,MATCH($G374,Data_Prices!$A:$A,0))</f>
        <v>0.42507558395597</v>
      </c>
      <c r="AC374" s="18">
        <f>INDEX(Data_Prices!AC:AC,MATCH($G374,Data_Prices!$A:$A,0))</f>
        <v>0.42507558395597</v>
      </c>
      <c r="AD374" s="18">
        <f>INDEX(Data_Prices!AD:AD,MATCH($G374,Data_Prices!$A:$A,0))</f>
        <v>0.42507558395597</v>
      </c>
      <c r="AE374" s="18">
        <f>INDEX(Data_Prices!AE:AE,MATCH($G374,Data_Prices!$A:$A,0))</f>
        <v>0.42507558395597</v>
      </c>
    </row>
    <row r="375" spans="2:31" x14ac:dyDescent="0.45">
      <c r="B375" s="14" t="s">
        <v>67</v>
      </c>
      <c r="C375" s="14" t="str">
        <f t="shared" si="90"/>
        <v>nfm</v>
      </c>
      <c r="D375" s="15" t="s">
        <v>68</v>
      </c>
      <c r="E375" s="16" t="s">
        <v>69</v>
      </c>
      <c r="F375" s="14" t="s">
        <v>55</v>
      </c>
      <c r="G375" s="17" t="str">
        <f>Settings!$B$3&amp;".mit.pbc."&amp;Settings!$B$4&amp;"."&amp;$B375&amp;".a."&amp;$J$367</f>
        <v>egy.mit.pbc.ind.oop.a.2</v>
      </c>
      <c r="H375" s="45" t="str">
        <f>Settings!$B$3&amp;".mit.ptp."&amp;$C$367&amp;"."&amp;$B375&amp;".e."&amp;$J$367</f>
        <v>egy.mit.ptp.nfm.oop.e.2</v>
      </c>
      <c r="K375" s="18">
        <f>INDEX(Data_Prices!K:K,MATCH($G375,Data_Prices!$A:$A,0))</f>
        <v>41.500338498868402</v>
      </c>
      <c r="L375" s="18">
        <f>INDEX(Data_Prices!L:L,MATCH($G375,Data_Prices!$A:$A,0))</f>
        <v>34.4153703043132</v>
      </c>
      <c r="M375" s="18">
        <f>INDEX(Data_Prices!M:M,MATCH($G375,Data_Prices!$A:$A,0))</f>
        <v>37.368960690431997</v>
      </c>
      <c r="N375" s="18">
        <f>INDEX(Data_Prices!N:N,MATCH($G375,Data_Prices!$A:$A,0))</f>
        <v>28.982761101477301</v>
      </c>
      <c r="O375" s="18">
        <f>INDEX(Data_Prices!O:O,MATCH($G375,Data_Prices!$A:$A,0))</f>
        <v>15</v>
      </c>
      <c r="P375" s="18">
        <f>INDEX(Data_Prices!P:P,MATCH($G375,Data_Prices!$A:$A,0))</f>
        <v>24.2586300842555</v>
      </c>
      <c r="Q375" s="18">
        <f>INDEX(Data_Prices!Q:Q,MATCH($G375,Data_Prices!$A:$A,0))</f>
        <v>13.096208196132499</v>
      </c>
      <c r="R375" s="18">
        <f>INDEX(Data_Prices!R:R,MATCH($G375,Data_Prices!$A:$A,0))</f>
        <v>10.0252451140106</v>
      </c>
      <c r="S375" s="18">
        <f>INDEX(Data_Prices!S:S,MATCH($G375,Data_Prices!$A:$A,0))</f>
        <v>8.4772306913736202</v>
      </c>
      <c r="T375" s="18">
        <f>INDEX(Data_Prices!T:T,MATCH($G375,Data_Prices!$A:$A,0))</f>
        <v>7.1234824452092198</v>
      </c>
      <c r="U375" s="18">
        <f>INDEX(Data_Prices!U:U,MATCH($G375,Data_Prices!$A:$A,0))</f>
        <v>5.6527597394100599</v>
      </c>
      <c r="V375" s="18">
        <f>INDEX(Data_Prices!V:V,MATCH($G375,Data_Prices!$A:$A,0))</f>
        <v>5.6527597394100599</v>
      </c>
      <c r="W375" s="18">
        <f>INDEX(Data_Prices!W:W,MATCH($G375,Data_Prices!$A:$A,0))</f>
        <v>5.6527597394100599</v>
      </c>
      <c r="X375" s="18">
        <f>INDEX(Data_Prices!X:X,MATCH($G375,Data_Prices!$A:$A,0))</f>
        <v>5.6527597394100599</v>
      </c>
      <c r="Y375" s="18">
        <f>INDEX(Data_Prices!Y:Y,MATCH($G375,Data_Prices!$A:$A,0))</f>
        <v>5.6527597394100599</v>
      </c>
      <c r="Z375" s="18">
        <f>INDEX(Data_Prices!Z:Z,MATCH($G375,Data_Prices!$A:$A,0))</f>
        <v>5.6527597394100697</v>
      </c>
      <c r="AA375" s="18">
        <f>INDEX(Data_Prices!AA:AA,MATCH($G375,Data_Prices!$A:$A,0))</f>
        <v>5.6527597394100599</v>
      </c>
      <c r="AB375" s="18">
        <f>INDEX(Data_Prices!AB:AB,MATCH($G375,Data_Prices!$A:$A,0))</f>
        <v>5.6527597394100599</v>
      </c>
      <c r="AC375" s="18">
        <f>INDEX(Data_Prices!AC:AC,MATCH($G375,Data_Prices!$A:$A,0))</f>
        <v>5.6527597394100404</v>
      </c>
      <c r="AD375" s="18">
        <f>INDEX(Data_Prices!AD:AD,MATCH($G375,Data_Prices!$A:$A,0))</f>
        <v>5.6527597394100599</v>
      </c>
      <c r="AE375" s="18">
        <f>INDEX(Data_Prices!AE:AE,MATCH($G375,Data_Prices!$A:$A,0))</f>
        <v>5.6527597394100404</v>
      </c>
    </row>
    <row r="376" spans="2:31" x14ac:dyDescent="0.45">
      <c r="B376" s="14" t="s">
        <v>70</v>
      </c>
      <c r="C376" s="14" t="str">
        <f t="shared" si="90"/>
        <v>nfm</v>
      </c>
      <c r="D376" s="15" t="s">
        <v>71</v>
      </c>
      <c r="E376" s="16" t="s">
        <v>54</v>
      </c>
      <c r="F376" s="14" t="s">
        <v>55</v>
      </c>
      <c r="G376" s="17" t="str">
        <f>Settings!$B$3&amp;".mit.pbc."&amp;Settings!$B$4&amp;"."&amp;$B376&amp;".a."&amp;$J$367</f>
        <v>egy.mit.pbc.ind.bio.a.2</v>
      </c>
      <c r="H376" s="45" t="str">
        <f>Settings!$B$3&amp;".mit.ptp."&amp;$C$367&amp;"."&amp;$B376&amp;".e."&amp;$J$367</f>
        <v>egy.mit.ptp.nfm.bio.e.2</v>
      </c>
      <c r="K376" s="18">
        <f>INDEX(Data_Prices!K:K,MATCH($G376,Data_Prices!$A:$A,0))</f>
        <v>15.3345505293169</v>
      </c>
      <c r="L376" s="18">
        <f>INDEX(Data_Prices!L:L,MATCH($G376,Data_Prices!$A:$A,0))</f>
        <v>14.199528390634899</v>
      </c>
      <c r="M376" s="18">
        <f>INDEX(Data_Prices!M:M,MATCH($G376,Data_Prices!$A:$A,0))</f>
        <v>13.8404416133152</v>
      </c>
      <c r="N376" s="18">
        <f>INDEX(Data_Prices!N:N,MATCH($G376,Data_Prices!$A:$A,0))</f>
        <v>13.5677269404465</v>
      </c>
      <c r="O376" s="18">
        <f>INDEX(Data_Prices!O:O,MATCH($G376,Data_Prices!$A:$A,0))</f>
        <v>13.5677269404465</v>
      </c>
      <c r="P376" s="18">
        <f>INDEX(Data_Prices!P:P,MATCH($G376,Data_Prices!$A:$A,0))</f>
        <v>13.5677269404465</v>
      </c>
      <c r="Q376" s="18">
        <f>INDEX(Data_Prices!Q:Q,MATCH($G376,Data_Prices!$A:$A,0))</f>
        <v>13.5677269404465</v>
      </c>
      <c r="R376" s="18">
        <f>INDEX(Data_Prices!R:R,MATCH($G376,Data_Prices!$A:$A,0))</f>
        <v>13.5677269404465</v>
      </c>
      <c r="S376" s="18">
        <f>INDEX(Data_Prices!S:S,MATCH($G376,Data_Prices!$A:$A,0))</f>
        <v>13.5677269404465</v>
      </c>
      <c r="T376" s="18">
        <f>INDEX(Data_Prices!T:T,MATCH($G376,Data_Prices!$A:$A,0))</f>
        <v>13.5677269404465</v>
      </c>
      <c r="U376" s="18">
        <f>INDEX(Data_Prices!U:U,MATCH($G376,Data_Prices!$A:$A,0))</f>
        <v>13.5677269404465</v>
      </c>
      <c r="V376" s="18">
        <f>INDEX(Data_Prices!V:V,MATCH($G376,Data_Prices!$A:$A,0))</f>
        <v>13.5677269404465</v>
      </c>
      <c r="W376" s="18">
        <f>INDEX(Data_Prices!W:W,MATCH($G376,Data_Prices!$A:$A,0))</f>
        <v>13.5677269404465</v>
      </c>
      <c r="X376" s="18">
        <f>INDEX(Data_Prices!X:X,MATCH($G376,Data_Prices!$A:$A,0))</f>
        <v>13.5677269404465</v>
      </c>
      <c r="Y376" s="18">
        <f>INDEX(Data_Prices!Y:Y,MATCH($G376,Data_Prices!$A:$A,0))</f>
        <v>13.5677269404465</v>
      </c>
      <c r="Z376" s="18">
        <f>INDEX(Data_Prices!Z:Z,MATCH($G376,Data_Prices!$A:$A,0))</f>
        <v>13.5677269404465</v>
      </c>
      <c r="AA376" s="18">
        <f>INDEX(Data_Prices!AA:AA,MATCH($G376,Data_Prices!$A:$A,0))</f>
        <v>13.5677269404465</v>
      </c>
      <c r="AB376" s="18">
        <f>INDEX(Data_Prices!AB:AB,MATCH($G376,Data_Prices!$A:$A,0))</f>
        <v>13.5677269404465</v>
      </c>
      <c r="AC376" s="18">
        <f>INDEX(Data_Prices!AC:AC,MATCH($G376,Data_Prices!$A:$A,0))</f>
        <v>13.5677269404465</v>
      </c>
      <c r="AD376" s="18">
        <f>INDEX(Data_Prices!AD:AD,MATCH($G376,Data_Prices!$A:$A,0))</f>
        <v>13.5677269404465</v>
      </c>
      <c r="AE376" s="18">
        <f>INDEX(Data_Prices!AE:AE,MATCH($G376,Data_Prices!$A:$A,0))</f>
        <v>13.5677269404465</v>
      </c>
    </row>
    <row r="377" spans="2:31" x14ac:dyDescent="0.45">
      <c r="B377" s="14" t="s">
        <v>72</v>
      </c>
      <c r="C377" s="14" t="str">
        <f t="shared" si="90"/>
        <v>nfm</v>
      </c>
      <c r="D377" s="15" t="s">
        <v>73</v>
      </c>
      <c r="E377" s="16" t="s">
        <v>74</v>
      </c>
      <c r="F377" s="14" t="s">
        <v>55</v>
      </c>
      <c r="G377" s="17" t="str">
        <f>Settings!$B$3&amp;".mit.pbc."&amp;Settings!$B$4&amp;"."&amp;$B377&amp;".a."&amp;$J$367</f>
        <v>egy.mit.pbc.ind.ren.a.2</v>
      </c>
      <c r="H377" s="45" t="str">
        <f>Settings!$B$3&amp;".mit.ptp."&amp;$C$367&amp;"."&amp;$B377&amp;".e."&amp;$J$367</f>
        <v>egy.mit.ptp.nfm.ren.e.2</v>
      </c>
      <c r="K377" s="18">
        <f>INDEX(Data_Prices!K:K,MATCH($G377,Data_Prices!$A:$A,0))</f>
        <v>0</v>
      </c>
      <c r="L377" s="18">
        <f>INDEX(Data_Prices!L:L,MATCH($G377,Data_Prices!$A:$A,0))</f>
        <v>0.14404498679319799</v>
      </c>
      <c r="M377" s="18">
        <f>INDEX(Data_Prices!M:M,MATCH($G377,Data_Prices!$A:$A,0))</f>
        <v>0.141386241751359</v>
      </c>
      <c r="N377" s="18">
        <f>INDEX(Data_Prices!N:N,MATCH($G377,Data_Prices!$A:$A,0))</f>
        <v>0.13539756544373099</v>
      </c>
      <c r="O377" s="18">
        <f>INDEX(Data_Prices!O:O,MATCH($G377,Data_Prices!$A:$A,0))</f>
        <v>0.13152288542065099</v>
      </c>
      <c r="P377" s="18">
        <f>INDEX(Data_Prices!P:P,MATCH($G377,Data_Prices!$A:$A,0))</f>
        <v>0.12882610848523099</v>
      </c>
      <c r="Q377" s="18">
        <f>INDEX(Data_Prices!Q:Q,MATCH($G377,Data_Prices!$A:$A,0))</f>
        <v>0.12594200976473999</v>
      </c>
      <c r="R377" s="18">
        <f>INDEX(Data_Prices!R:R,MATCH($G377,Data_Prices!$A:$A,0))</f>
        <v>0.123113265701861</v>
      </c>
      <c r="S377" s="18">
        <f>INDEX(Data_Prices!S:S,MATCH($G377,Data_Prices!$A:$A,0))</f>
        <v>0.119391738089068</v>
      </c>
      <c r="T377" s="18">
        <f>INDEX(Data_Prices!T:T,MATCH($G377,Data_Prices!$A:$A,0))</f>
        <v>0.11554419046792</v>
      </c>
      <c r="U377" s="18">
        <f>INDEX(Data_Prices!U:U,MATCH($G377,Data_Prices!$A:$A,0))</f>
        <v>0.11492423065415899</v>
      </c>
      <c r="V377" s="18">
        <f>INDEX(Data_Prices!V:V,MATCH($G377,Data_Prices!$A:$A,0))</f>
        <v>0.114346912116736</v>
      </c>
      <c r="W377" s="18">
        <f>INDEX(Data_Prices!W:W,MATCH($G377,Data_Prices!$A:$A,0))</f>
        <v>0.113738711172664</v>
      </c>
      <c r="X377" s="18">
        <f>INDEX(Data_Prices!X:X,MATCH($G377,Data_Prices!$A:$A,0))</f>
        <v>0.112999900487521</v>
      </c>
      <c r="Y377" s="18">
        <f>INDEX(Data_Prices!Y:Y,MATCH($G377,Data_Prices!$A:$A,0))</f>
        <v>0.112177685835534</v>
      </c>
      <c r="Z377" s="18">
        <f>INDEX(Data_Prices!Z:Z,MATCH($G377,Data_Prices!$A:$A,0))</f>
        <v>0.111417903250404</v>
      </c>
      <c r="AA377" s="18">
        <f>INDEX(Data_Prices!AA:AA,MATCH($G377,Data_Prices!$A:$A,0))</f>
        <v>0.11052581998545399</v>
      </c>
      <c r="AB377" s="18">
        <f>INDEX(Data_Prices!AB:AB,MATCH($G377,Data_Prices!$A:$A,0))</f>
        <v>0.109699565234896</v>
      </c>
      <c r="AC377" s="18">
        <f>INDEX(Data_Prices!AC:AC,MATCH($G377,Data_Prices!$A:$A,0))</f>
        <v>0.10772678896394899</v>
      </c>
      <c r="AD377" s="18">
        <f>INDEX(Data_Prices!AD:AD,MATCH($G377,Data_Prices!$A:$A,0))</f>
        <v>0.10582092445093499</v>
      </c>
      <c r="AE377" s="18">
        <f>INDEX(Data_Prices!AE:AE,MATCH($G377,Data_Prices!$A:$A,0))</f>
        <v>0.103855595705721</v>
      </c>
    </row>
    <row r="378" spans="2:31" x14ac:dyDescent="0.45">
      <c r="B378" s="13" t="s">
        <v>75</v>
      </c>
    </row>
    <row r="379" spans="2:31" x14ac:dyDescent="0.45">
      <c r="B379" s="14" t="s">
        <v>52</v>
      </c>
      <c r="C379" s="14" t="str">
        <f t="shared" ref="C379:C387" si="91">$C$367</f>
        <v>nfm</v>
      </c>
      <c r="D379" s="15" t="s">
        <v>53</v>
      </c>
      <c r="E379" s="16" t="s">
        <v>54</v>
      </c>
      <c r="F379" s="14" t="s">
        <v>76</v>
      </c>
      <c r="G379" s="17" t="str">
        <f>Settings!$B$3&amp;".mit.nce."&amp;Settings!$B$4&amp;"."&amp;$B379&amp;".a."&amp;$J$367</f>
        <v>egy.mit.nce.ind.coa.a.2</v>
      </c>
      <c r="H379" s="45" t="str">
        <f>Settings!$B$3&amp;".mit.atp."&amp;$C$367&amp;"."&amp;$B379&amp;".e."&amp;$J$367</f>
        <v>egy.mit.atp.nfm.coa.e.2</v>
      </c>
      <c r="K379" s="18">
        <f>K369+INDEX(Data_Prices!K:K,MATCH($G379,Data_Prices!$A:$A,0))*K$399</f>
        <v>11.182901589243899</v>
      </c>
      <c r="L379" s="18">
        <f>L369+INDEX(Data_Prices!L:L,MATCH($G379,Data_Prices!$A:$A,0))*L$399</f>
        <v>10.5233613454312</v>
      </c>
      <c r="M379" s="18">
        <f>M369+INDEX(Data_Prices!M:M,MATCH($G379,Data_Prices!$A:$A,0))*M$399</f>
        <v>10.2995608274442</v>
      </c>
      <c r="N379" s="18">
        <f>N369+INDEX(Data_Prices!N:N,MATCH($G379,Data_Prices!$A:$A,0))*N$399</f>
        <v>9.5775283595382597</v>
      </c>
      <c r="O379" s="18">
        <f>O369+INDEX(Data_Prices!O:O,MATCH($G379,Data_Prices!$A:$A,0))*O$399</f>
        <v>8.4854782869580507</v>
      </c>
      <c r="P379" s="18">
        <f>P369+INDEX(Data_Prices!P:P,MATCH($G379,Data_Prices!$A:$A,0))*P$399</f>
        <v>9.0871922352498604</v>
      </c>
      <c r="Q379" s="18">
        <f>Q369+INDEX(Data_Prices!Q:Q,MATCH($G379,Data_Prices!$A:$A,0))*Q$399</f>
        <v>10.472923728932679</v>
      </c>
      <c r="R379" s="18">
        <f>R369+INDEX(Data_Prices!R:R,MATCH($G379,Data_Prices!$A:$A,0))*R$399</f>
        <v>11.658564955509689</v>
      </c>
      <c r="S379" s="18">
        <f>S369+INDEX(Data_Prices!S:S,MATCH($G379,Data_Prices!$A:$A,0))*S$399</f>
        <v>12.839547877397379</v>
      </c>
      <c r="T379" s="18">
        <f>T369+INDEX(Data_Prices!T:T,MATCH($G379,Data_Prices!$A:$A,0))*T$399</f>
        <v>14.01568166602283</v>
      </c>
      <c r="U379" s="18">
        <f>U369+INDEX(Data_Prices!U:U,MATCH($G379,Data_Prices!$A:$A,0))*U$399</f>
        <v>15.19439776555711</v>
      </c>
      <c r="V379" s="18">
        <f>V369+INDEX(Data_Prices!V:V,MATCH($G379,Data_Prices!$A:$A,0))*V$399</f>
        <v>16.44439776555711</v>
      </c>
      <c r="W379" s="18">
        <f>W369+INDEX(Data_Prices!W:W,MATCH($G379,Data_Prices!$A:$A,0))*W$399</f>
        <v>17.69439776555711</v>
      </c>
      <c r="X379" s="18">
        <f>X369+INDEX(Data_Prices!X:X,MATCH($G379,Data_Prices!$A:$A,0))*X$399</f>
        <v>18.94439776555711</v>
      </c>
      <c r="Y379" s="18">
        <f>Y369+INDEX(Data_Prices!Y:Y,MATCH($G379,Data_Prices!$A:$A,0))*Y$399</f>
        <v>20.19439776555711</v>
      </c>
      <c r="Z379" s="18">
        <f>Z369+INDEX(Data_Prices!Z:Z,MATCH($G379,Data_Prices!$A:$A,0))*Z$399</f>
        <v>21.44439776555711</v>
      </c>
      <c r="AA379" s="18">
        <f>AA369+INDEX(Data_Prices!AA:AA,MATCH($G379,Data_Prices!$A:$A,0))*AA$399</f>
        <v>22.69439776555711</v>
      </c>
      <c r="AB379" s="18">
        <f>AB369+INDEX(Data_Prices!AB:AB,MATCH($G379,Data_Prices!$A:$A,0))*AB$399</f>
        <v>23.94439776555711</v>
      </c>
      <c r="AC379" s="18">
        <f>AC369+INDEX(Data_Prices!AC:AC,MATCH($G379,Data_Prices!$A:$A,0))*AC$399</f>
        <v>25.19439776555711</v>
      </c>
      <c r="AD379" s="18">
        <f>AD369+INDEX(Data_Prices!AD:AD,MATCH($G379,Data_Prices!$A:$A,0))*AD$399</f>
        <v>26.44439776555711</v>
      </c>
      <c r="AE379" s="18">
        <f>AE369+INDEX(Data_Prices!AE:AE,MATCH($G379,Data_Prices!$A:$A,0))*AE$399</f>
        <v>27.69439776555711</v>
      </c>
    </row>
    <row r="380" spans="2:31" x14ac:dyDescent="0.45">
      <c r="B380" s="14" t="s">
        <v>56</v>
      </c>
      <c r="C380" s="14" t="str">
        <f t="shared" si="91"/>
        <v>nfm</v>
      </c>
      <c r="D380" s="15" t="s">
        <v>57</v>
      </c>
      <c r="E380" s="16" t="s">
        <v>54</v>
      </c>
      <c r="F380" s="14" t="s">
        <v>76</v>
      </c>
      <c r="G380" s="17" t="str">
        <f>Settings!$B$3&amp;".mit.nce."&amp;Settings!$B$4&amp;"."&amp;$B380&amp;".a."&amp;$J$367</f>
        <v>egy.mit.nce.ind.nga.a.2</v>
      </c>
      <c r="H380" s="45" t="str">
        <f>Settings!$B$3&amp;".mit.atp."&amp;$C$367&amp;"."&amp;$B380&amp;".e."&amp;$J$367</f>
        <v>egy.mit.atp.nfm.nga.e.2</v>
      </c>
      <c r="K380" s="18">
        <f>K370+INDEX(Data_Prices!K:K,MATCH($G380,Data_Prices!$A:$A,0))*K$399</f>
        <v>6.0634636156729096</v>
      </c>
      <c r="L380" s="18">
        <f>L370+INDEX(Data_Prices!L:L,MATCH($G380,Data_Prices!$A:$A,0))*L$399</f>
        <v>5.4510150816191896</v>
      </c>
      <c r="M380" s="18">
        <f>M370+INDEX(Data_Prices!M:M,MATCH($G380,Data_Prices!$A:$A,0))*M$399</f>
        <v>5.1193563062624801</v>
      </c>
      <c r="N380" s="18">
        <f>N370+INDEX(Data_Prices!N:N,MATCH($G380,Data_Prices!$A:$A,0))*N$399</f>
        <v>5.08218458640407</v>
      </c>
      <c r="O380" s="18">
        <f>O370+INDEX(Data_Prices!O:O,MATCH($G380,Data_Prices!$A:$A,0))*O$399</f>
        <v>5.08218458640407</v>
      </c>
      <c r="P380" s="18">
        <f>P370+INDEX(Data_Prices!P:P,MATCH($G380,Data_Prices!$A:$A,0))*P$399</f>
        <v>5.08218458640407</v>
      </c>
      <c r="Q380" s="18">
        <f>Q370+INDEX(Data_Prices!Q:Q,MATCH($G380,Data_Prices!$A:$A,0))*Q$399</f>
        <v>5.7796845864040698</v>
      </c>
      <c r="R380" s="18">
        <f>R370+INDEX(Data_Prices!R:R,MATCH($G380,Data_Prices!$A:$A,0))*R$399</f>
        <v>6.4771845864040696</v>
      </c>
      <c r="S380" s="18">
        <f>S370+INDEX(Data_Prices!S:S,MATCH($G380,Data_Prices!$A:$A,0))*S$399</f>
        <v>7.1746845864040694</v>
      </c>
      <c r="T380" s="18">
        <f>T370+INDEX(Data_Prices!T:T,MATCH($G380,Data_Prices!$A:$A,0))*T$399</f>
        <v>7.87218458640407</v>
      </c>
      <c r="U380" s="18">
        <f>U370+INDEX(Data_Prices!U:U,MATCH($G380,Data_Prices!$A:$A,0))*U$399</f>
        <v>8.5696845864040689</v>
      </c>
      <c r="V380" s="18">
        <f>V370+INDEX(Data_Prices!V:V,MATCH($G380,Data_Prices!$A:$A,0))*V$399</f>
        <v>9.2671845864040705</v>
      </c>
      <c r="W380" s="18">
        <f>W370+INDEX(Data_Prices!W:W,MATCH($G380,Data_Prices!$A:$A,0))*W$399</f>
        <v>9.9646845864040703</v>
      </c>
      <c r="X380" s="18">
        <f>X370+INDEX(Data_Prices!X:X,MATCH($G380,Data_Prices!$A:$A,0))*X$399</f>
        <v>10.66218458640407</v>
      </c>
      <c r="Y380" s="18">
        <f>Y370+INDEX(Data_Prices!Y:Y,MATCH($G380,Data_Prices!$A:$A,0))*Y$399</f>
        <v>11.35968458640407</v>
      </c>
      <c r="Z380" s="18">
        <f>Z370+INDEX(Data_Prices!Z:Z,MATCH($G380,Data_Prices!$A:$A,0))*Z$399</f>
        <v>12.05718458640407</v>
      </c>
      <c r="AA380" s="18">
        <f>AA370+INDEX(Data_Prices!AA:AA,MATCH($G380,Data_Prices!$A:$A,0))*AA$399</f>
        <v>12.754684586404071</v>
      </c>
      <c r="AB380" s="18">
        <f>AB370+INDEX(Data_Prices!AB:AB,MATCH($G380,Data_Prices!$A:$A,0))*AB$399</f>
        <v>13.452184586404069</v>
      </c>
      <c r="AC380" s="18">
        <f>AC370+INDEX(Data_Prices!AC:AC,MATCH($G380,Data_Prices!$A:$A,0))*AC$399</f>
        <v>14.149684586404071</v>
      </c>
      <c r="AD380" s="18">
        <f>AD370+INDEX(Data_Prices!AD:AD,MATCH($G380,Data_Prices!$A:$A,0))*AD$399</f>
        <v>14.847184586404071</v>
      </c>
      <c r="AE380" s="18">
        <f>AE370+INDEX(Data_Prices!AE:AE,MATCH($G380,Data_Prices!$A:$A,0))*AE$399</f>
        <v>15.54468458640407</v>
      </c>
    </row>
    <row r="381" spans="2:31" x14ac:dyDescent="0.45">
      <c r="B381" s="14" t="s">
        <v>58</v>
      </c>
      <c r="C381" s="14" t="str">
        <f t="shared" si="91"/>
        <v>nfm</v>
      </c>
      <c r="D381" s="15" t="s">
        <v>59</v>
      </c>
      <c r="E381" s="16" t="s">
        <v>60</v>
      </c>
      <c r="F381" s="14" t="s">
        <v>76</v>
      </c>
      <c r="G381" s="17" t="str">
        <f>Settings!$B$3&amp;".mit.nce."&amp;Settings!$B$4&amp;"."&amp;$B381&amp;".a."&amp;$J$367</f>
        <v>egy.mit.nce.ind.gso.a.2</v>
      </c>
      <c r="H381" s="45" t="str">
        <f>Settings!$B$3&amp;".mit.atp."&amp;$C$367&amp;"."&amp;$B381&amp;".e."&amp;$J$367</f>
        <v>egy.mit.atp.nfm.gso.e.2</v>
      </c>
      <c r="K381" s="18">
        <f>K371+INDEX(Data_Prices!K:K,MATCH($G381,Data_Prices!$A:$A,0))*K$399</f>
        <v>0.67114653332181595</v>
      </c>
      <c r="L381" s="18">
        <f>L371+INDEX(Data_Prices!L:L,MATCH($G381,Data_Prices!$A:$A,0))*L$399</f>
        <v>0.61197797679140598</v>
      </c>
      <c r="M381" s="18">
        <f>M371+INDEX(Data_Prices!M:M,MATCH($G381,Data_Prices!$A:$A,0))*M$399</f>
        <v>0.61180974964187596</v>
      </c>
      <c r="N381" s="18">
        <f>N371+INDEX(Data_Prices!N:N,MATCH($G381,Data_Prices!$A:$A,0))*N$399</f>
        <v>0.60358310017790595</v>
      </c>
      <c r="O381" s="18">
        <f>O371+INDEX(Data_Prices!O:O,MATCH($G381,Data_Prices!$A:$A,0))*O$399</f>
        <v>0.60358310017790595</v>
      </c>
      <c r="P381" s="18">
        <f>P371+INDEX(Data_Prices!P:P,MATCH($G381,Data_Prices!$A:$A,0))*P$399</f>
        <v>0.60358310017790595</v>
      </c>
      <c r="Q381" s="18">
        <f>Q371+INDEX(Data_Prices!Q:Q,MATCH($G381,Data_Prices!$A:$A,0))*Q$399</f>
        <v>0.63251094334940594</v>
      </c>
      <c r="R381" s="18">
        <f>R371+INDEX(Data_Prices!R:R,MATCH($G381,Data_Prices!$A:$A,0))*R$399</f>
        <v>0.66143878652090593</v>
      </c>
      <c r="S381" s="18">
        <f>S371+INDEX(Data_Prices!S:S,MATCH($G381,Data_Prices!$A:$A,0))*S$399</f>
        <v>0.69036662969240592</v>
      </c>
      <c r="T381" s="18">
        <f>T371+INDEX(Data_Prices!T:T,MATCH($G381,Data_Prices!$A:$A,0))*T$399</f>
        <v>0.71929447286390591</v>
      </c>
      <c r="U381" s="18">
        <f>U371+INDEX(Data_Prices!U:U,MATCH($G381,Data_Prices!$A:$A,0))*U$399</f>
        <v>0.74822231603540601</v>
      </c>
      <c r="V381" s="18">
        <f>V371+INDEX(Data_Prices!V:V,MATCH($G381,Data_Prices!$A:$A,0))*V$399</f>
        <v>0.77715015920690589</v>
      </c>
      <c r="W381" s="18">
        <f>W371+INDEX(Data_Prices!W:W,MATCH($G381,Data_Prices!$A:$A,0))*W$399</f>
        <v>0.80607800237840599</v>
      </c>
      <c r="X381" s="18">
        <f>X371+INDEX(Data_Prices!X:X,MATCH($G381,Data_Prices!$A:$A,0))*X$399</f>
        <v>0.83500584554990598</v>
      </c>
      <c r="Y381" s="18">
        <f>Y371+INDEX(Data_Prices!Y:Y,MATCH($G381,Data_Prices!$A:$A,0))*Y$399</f>
        <v>0.86393368872140597</v>
      </c>
      <c r="Z381" s="18">
        <f>Z371+INDEX(Data_Prices!Z:Z,MATCH($G381,Data_Prices!$A:$A,0))*Z$399</f>
        <v>0.89286153189290596</v>
      </c>
      <c r="AA381" s="18">
        <f>AA371+INDEX(Data_Prices!AA:AA,MATCH($G381,Data_Prices!$A:$A,0))*AA$399</f>
        <v>0.92178937506440595</v>
      </c>
      <c r="AB381" s="18">
        <f>AB371+INDEX(Data_Prices!AB:AB,MATCH($G381,Data_Prices!$A:$A,0))*AB$399</f>
        <v>0.95071721823590594</v>
      </c>
      <c r="AC381" s="18">
        <f>AC371+INDEX(Data_Prices!AC:AC,MATCH($G381,Data_Prices!$A:$A,0))*AC$399</f>
        <v>0.97964506140740593</v>
      </c>
      <c r="AD381" s="18">
        <f>AD371+INDEX(Data_Prices!AD:AD,MATCH($G381,Data_Prices!$A:$A,0))*AD$399</f>
        <v>1.008572904578906</v>
      </c>
      <c r="AE381" s="18">
        <f>AE371+INDEX(Data_Prices!AE:AE,MATCH($G381,Data_Prices!$A:$A,0))*AE$399</f>
        <v>1.0375007477504059</v>
      </c>
    </row>
    <row r="382" spans="2:31" x14ac:dyDescent="0.45">
      <c r="B382" s="14" t="s">
        <v>61</v>
      </c>
      <c r="C382" s="14" t="str">
        <f t="shared" si="91"/>
        <v>nfm</v>
      </c>
      <c r="D382" s="15" t="s">
        <v>62</v>
      </c>
      <c r="E382" s="16" t="s">
        <v>60</v>
      </c>
      <c r="F382" s="14" t="s">
        <v>76</v>
      </c>
      <c r="G382" s="17" t="str">
        <f>Settings!$B$3&amp;".mit.nce."&amp;Settings!$B$4&amp;"."&amp;$B382&amp;".a."&amp;$J$367</f>
        <v>egy.mit.nce.ind.die.a.2</v>
      </c>
      <c r="H382" s="45" t="str">
        <f>Settings!$B$3&amp;".mit.atp."&amp;$C$367&amp;"."&amp;$B382&amp;".e."&amp;$J$367</f>
        <v>egy.mit.atp.nfm.die.e.2</v>
      </c>
      <c r="K382" s="18">
        <f>K372+INDEX(Data_Prices!K:K,MATCH($G382,Data_Prices!$A:$A,0))*K$399</f>
        <v>0.55971121315568795</v>
      </c>
      <c r="L382" s="18">
        <f>L372+INDEX(Data_Prices!L:L,MATCH($G382,Data_Prices!$A:$A,0))*L$399</f>
        <v>0.49458873084106802</v>
      </c>
      <c r="M382" s="18">
        <f>M372+INDEX(Data_Prices!M:M,MATCH($G382,Data_Prices!$A:$A,0))*M$399</f>
        <v>0.50778654720250105</v>
      </c>
      <c r="N382" s="18">
        <f>N372+INDEX(Data_Prices!N:N,MATCH($G382,Data_Prices!$A:$A,0))*N$399</f>
        <v>0.47043642679561698</v>
      </c>
      <c r="O382" s="18">
        <f>O372+INDEX(Data_Prices!O:O,MATCH($G382,Data_Prices!$A:$A,0))*O$399</f>
        <v>0.47043642679561698</v>
      </c>
      <c r="P382" s="18">
        <f>P372+INDEX(Data_Prices!P:P,MATCH($G382,Data_Prices!$A:$A,0))*P$399</f>
        <v>0.47043642679561698</v>
      </c>
      <c r="Q382" s="18">
        <f>Q372+INDEX(Data_Prices!Q:Q,MATCH($G382,Data_Prices!$A:$A,0))*Q$399</f>
        <v>0.50344686565449193</v>
      </c>
      <c r="R382" s="18">
        <f>R372+INDEX(Data_Prices!R:R,MATCH($G382,Data_Prices!$A:$A,0))*R$399</f>
        <v>0.53645730451336693</v>
      </c>
      <c r="S382" s="18">
        <f>S372+INDEX(Data_Prices!S:S,MATCH($G382,Data_Prices!$A:$A,0))*S$399</f>
        <v>0.56946774337224193</v>
      </c>
      <c r="T382" s="18">
        <f>T372+INDEX(Data_Prices!T:T,MATCH($G382,Data_Prices!$A:$A,0))*T$399</f>
        <v>0.60247818223111693</v>
      </c>
      <c r="U382" s="18">
        <f>U372+INDEX(Data_Prices!U:U,MATCH($G382,Data_Prices!$A:$A,0))*U$399</f>
        <v>0.63548862108999193</v>
      </c>
      <c r="V382" s="18">
        <f>V372+INDEX(Data_Prices!V:V,MATCH($G382,Data_Prices!$A:$A,0))*V$399</f>
        <v>0.66849905994886694</v>
      </c>
      <c r="W382" s="18">
        <f>W372+INDEX(Data_Prices!W:W,MATCH($G382,Data_Prices!$A:$A,0))*W$399</f>
        <v>0.70150949880774194</v>
      </c>
      <c r="X382" s="18">
        <f>X372+INDEX(Data_Prices!X:X,MATCH($G382,Data_Prices!$A:$A,0))*X$399</f>
        <v>0.73451993766661694</v>
      </c>
      <c r="Y382" s="18">
        <f>Y372+INDEX(Data_Prices!Y:Y,MATCH($G382,Data_Prices!$A:$A,0))*Y$399</f>
        <v>0.76753037652549194</v>
      </c>
      <c r="Z382" s="18">
        <f>Z372+INDEX(Data_Prices!Z:Z,MATCH($G382,Data_Prices!$A:$A,0))*Z$399</f>
        <v>0.80054081538436694</v>
      </c>
      <c r="AA382" s="18">
        <f>AA372+INDEX(Data_Prices!AA:AA,MATCH($G382,Data_Prices!$A:$A,0))*AA$399</f>
        <v>0.83355125424324195</v>
      </c>
      <c r="AB382" s="18">
        <f>AB372+INDEX(Data_Prices!AB:AB,MATCH($G382,Data_Prices!$A:$A,0))*AB$399</f>
        <v>0.86656169310211695</v>
      </c>
      <c r="AC382" s="18">
        <f>AC372+INDEX(Data_Prices!AC:AC,MATCH($G382,Data_Prices!$A:$A,0))*AC$399</f>
        <v>0.89957213196099195</v>
      </c>
      <c r="AD382" s="18">
        <f>AD372+INDEX(Data_Prices!AD:AD,MATCH($G382,Data_Prices!$A:$A,0))*AD$399</f>
        <v>0.93258257081986695</v>
      </c>
      <c r="AE382" s="18">
        <f>AE372+INDEX(Data_Prices!AE:AE,MATCH($G382,Data_Prices!$A:$A,0))*AE$399</f>
        <v>0.96559300967874195</v>
      </c>
    </row>
    <row r="383" spans="2:31" x14ac:dyDescent="0.45">
      <c r="B383" s="14" t="s">
        <v>63</v>
      </c>
      <c r="C383" s="14" t="str">
        <f t="shared" si="91"/>
        <v>nfm</v>
      </c>
      <c r="D383" s="15" t="s">
        <v>64</v>
      </c>
      <c r="E383" s="16" t="s">
        <v>60</v>
      </c>
      <c r="F383" s="14" t="s">
        <v>76</v>
      </c>
      <c r="G383" s="17" t="str">
        <f>Settings!$B$3&amp;".mit.nce."&amp;Settings!$B$4&amp;"."&amp;$B383&amp;".a."&amp;$J$367</f>
        <v>egy.mit.nce.ind.lpg.a.2</v>
      </c>
      <c r="H383" s="45" t="str">
        <f>Settings!$B$3&amp;".mit.atp."&amp;$C$367&amp;"."&amp;$B383&amp;".e."&amp;$J$367</f>
        <v>egy.mit.atp.nfm.lpg.e.2</v>
      </c>
      <c r="K383" s="18">
        <f>K373+INDEX(Data_Prices!K:K,MATCH($G383,Data_Prices!$A:$A,0))*K$399</f>
        <v>0.20036669112673799</v>
      </c>
      <c r="L383" s="18">
        <f>L373+INDEX(Data_Prices!L:L,MATCH($G383,Data_Prices!$A:$A,0))*L$399</f>
        <v>0.15734473625227399</v>
      </c>
      <c r="M383" s="18">
        <f>M373+INDEX(Data_Prices!M:M,MATCH($G383,Data_Prices!$A:$A,0))*M$399</f>
        <v>0.164484037759277</v>
      </c>
      <c r="N383" s="18">
        <f>N373+INDEX(Data_Prices!N:N,MATCH($G383,Data_Prices!$A:$A,0))*N$399</f>
        <v>0.15070907780704901</v>
      </c>
      <c r="O383" s="18">
        <f>O373+INDEX(Data_Prices!O:O,MATCH($G383,Data_Prices!$A:$A,0))*O$399</f>
        <v>0.15070907780704901</v>
      </c>
      <c r="P383" s="18">
        <f>P373+INDEX(Data_Prices!P:P,MATCH($G383,Data_Prices!$A:$A,0))*P$399</f>
        <v>0.15070907780704901</v>
      </c>
      <c r="Q383" s="18">
        <f>Q373+INDEX(Data_Prices!Q:Q,MATCH($G383,Data_Prices!$A:$A,0))*Q$399</f>
        <v>0.17281516073434472</v>
      </c>
      <c r="R383" s="18">
        <f>R373+INDEX(Data_Prices!R:R,MATCH($G383,Data_Prices!$A:$A,0))*R$399</f>
        <v>0.1949212436616404</v>
      </c>
      <c r="S383" s="18">
        <f>S373+INDEX(Data_Prices!S:S,MATCH($G383,Data_Prices!$A:$A,0))*S$399</f>
        <v>0.21702732658893611</v>
      </c>
      <c r="T383" s="18">
        <f>T373+INDEX(Data_Prices!T:T,MATCH($G383,Data_Prices!$A:$A,0))*T$399</f>
        <v>0.2391334095162318</v>
      </c>
      <c r="U383" s="18">
        <f>U373+INDEX(Data_Prices!U:U,MATCH($G383,Data_Prices!$A:$A,0))*U$399</f>
        <v>0.26123949244352801</v>
      </c>
      <c r="V383" s="18">
        <f>V373+INDEX(Data_Prices!V:V,MATCH($G383,Data_Prices!$A:$A,0))*V$399</f>
        <v>0.283345575370823</v>
      </c>
      <c r="W383" s="18">
        <f>W373+INDEX(Data_Prices!W:W,MATCH($G383,Data_Prices!$A:$A,0))*W$399</f>
        <v>0.30545165829811904</v>
      </c>
      <c r="X383" s="18">
        <f>X373+INDEX(Data_Prices!X:X,MATCH($G383,Data_Prices!$A:$A,0))*X$399</f>
        <v>0.32755774122541503</v>
      </c>
      <c r="Y383" s="18">
        <f>Y373+INDEX(Data_Prices!Y:Y,MATCH($G383,Data_Prices!$A:$A,0))*Y$399</f>
        <v>0.34966382415271002</v>
      </c>
      <c r="Z383" s="18">
        <f>Z373+INDEX(Data_Prices!Z:Z,MATCH($G383,Data_Prices!$A:$A,0))*Z$399</f>
        <v>0.37176990708000601</v>
      </c>
      <c r="AA383" s="18">
        <f>AA373+INDEX(Data_Prices!AA:AA,MATCH($G383,Data_Prices!$A:$A,0))*AA$399</f>
        <v>0.393875990007302</v>
      </c>
      <c r="AB383" s="18">
        <f>AB373+INDEX(Data_Prices!AB:AB,MATCH($G383,Data_Prices!$A:$A,0))*AB$399</f>
        <v>0.41598207293459699</v>
      </c>
      <c r="AC383" s="18">
        <f>AC373+INDEX(Data_Prices!AC:AC,MATCH($G383,Data_Prices!$A:$A,0))*AC$399</f>
        <v>0.43808815586189298</v>
      </c>
      <c r="AD383" s="18">
        <f>AD373+INDEX(Data_Prices!AD:AD,MATCH($G383,Data_Prices!$A:$A,0))*AD$399</f>
        <v>0.46019423878918903</v>
      </c>
      <c r="AE383" s="18">
        <f>AE373+INDEX(Data_Prices!AE:AE,MATCH($G383,Data_Prices!$A:$A,0))*AE$399</f>
        <v>0.48230032171648402</v>
      </c>
    </row>
    <row r="384" spans="2:31" x14ac:dyDescent="0.45">
      <c r="B384" s="14" t="s">
        <v>65</v>
      </c>
      <c r="C384" s="14" t="str">
        <f t="shared" si="91"/>
        <v>nfm</v>
      </c>
      <c r="D384" s="15" t="s">
        <v>66</v>
      </c>
      <c r="E384" s="16" t="s">
        <v>60</v>
      </c>
      <c r="F384" s="14" t="s">
        <v>76</v>
      </c>
      <c r="G384" s="17" t="str">
        <f>Settings!$B$3&amp;".mit.nce."&amp;Settings!$B$4&amp;"."&amp;$B384&amp;".a."&amp;$J$367</f>
        <v>egy.mit.nce.ind.ker.a.2</v>
      </c>
      <c r="H384" s="45" t="str">
        <f>Settings!$B$3&amp;".mit.atp."&amp;$C$367&amp;"."&amp;$B384&amp;".e."&amp;$J$367</f>
        <v>egy.mit.atp.nfm.ker.e.2</v>
      </c>
      <c r="K384" s="18">
        <f>K374+INDEX(Data_Prices!K:K,MATCH($G384,Data_Prices!$A:$A,0))*K$399</f>
        <v>0.48429424097343499</v>
      </c>
      <c r="L384" s="18">
        <f>L374+INDEX(Data_Prices!L:L,MATCH($G384,Data_Prices!$A:$A,0))*L$399</f>
        <v>0.45642817050012802</v>
      </c>
      <c r="M384" s="18">
        <f>M374+INDEX(Data_Prices!M:M,MATCH($G384,Data_Prices!$A:$A,0))*M$399</f>
        <v>0.43168920195599497</v>
      </c>
      <c r="N384" s="18">
        <f>N374+INDEX(Data_Prices!N:N,MATCH($G384,Data_Prices!$A:$A,0))*N$399</f>
        <v>0.42507558395597</v>
      </c>
      <c r="O384" s="18">
        <f>O374+INDEX(Data_Prices!O:O,MATCH($G384,Data_Prices!$A:$A,0))*O$399</f>
        <v>0.42507558395597</v>
      </c>
      <c r="P384" s="18">
        <f>P374+INDEX(Data_Prices!P:P,MATCH($G384,Data_Prices!$A:$A,0))*P$399</f>
        <v>0.42507558395597</v>
      </c>
      <c r="Q384" s="18">
        <f>Q374+INDEX(Data_Prices!Q:Q,MATCH($G384,Data_Prices!$A:$A,0))*Q$399</f>
        <v>0.45706441406607851</v>
      </c>
      <c r="R384" s="18">
        <f>R374+INDEX(Data_Prices!R:R,MATCH($G384,Data_Prices!$A:$A,0))*R$399</f>
        <v>0.48905324417618701</v>
      </c>
      <c r="S384" s="18">
        <f>S374+INDEX(Data_Prices!S:S,MATCH($G384,Data_Prices!$A:$A,0))*S$399</f>
        <v>0.52104207428629556</v>
      </c>
      <c r="T384" s="18">
        <f>T374+INDEX(Data_Prices!T:T,MATCH($G384,Data_Prices!$A:$A,0))*T$399</f>
        <v>0.55303090439640401</v>
      </c>
      <c r="U384" s="18">
        <f>U374+INDEX(Data_Prices!U:U,MATCH($G384,Data_Prices!$A:$A,0))*U$399</f>
        <v>0.58501973450651301</v>
      </c>
      <c r="V384" s="18">
        <f>V374+INDEX(Data_Prices!V:V,MATCH($G384,Data_Prices!$A:$A,0))*V$399</f>
        <v>0.61700856461662101</v>
      </c>
      <c r="W384" s="18">
        <f>W374+INDEX(Data_Prices!W:W,MATCH($G384,Data_Prices!$A:$A,0))*W$399</f>
        <v>0.64899739472673001</v>
      </c>
      <c r="X384" s="18">
        <f>X374+INDEX(Data_Prices!X:X,MATCH($G384,Data_Prices!$A:$A,0))*X$399</f>
        <v>0.68098622483683802</v>
      </c>
      <c r="Y384" s="18">
        <f>Y374+INDEX(Data_Prices!Y:Y,MATCH($G384,Data_Prices!$A:$A,0))*Y$399</f>
        <v>0.71297505494694702</v>
      </c>
      <c r="Z384" s="18">
        <f>Z374+INDEX(Data_Prices!Z:Z,MATCH($G384,Data_Prices!$A:$A,0))*Z$399</f>
        <v>0.74496388505705502</v>
      </c>
      <c r="AA384" s="18">
        <f>AA374+INDEX(Data_Prices!AA:AA,MATCH($G384,Data_Prices!$A:$A,0))*AA$399</f>
        <v>0.77695271516716302</v>
      </c>
      <c r="AB384" s="18">
        <f>AB374+INDEX(Data_Prices!AB:AB,MATCH($G384,Data_Prices!$A:$A,0))*AB$399</f>
        <v>0.80894154527727202</v>
      </c>
      <c r="AC384" s="18">
        <f>AC374+INDEX(Data_Prices!AC:AC,MATCH($G384,Data_Prices!$A:$A,0))*AC$399</f>
        <v>0.84093037538738002</v>
      </c>
      <c r="AD384" s="18">
        <f>AD374+INDEX(Data_Prices!AD:AD,MATCH($G384,Data_Prices!$A:$A,0))*AD$399</f>
        <v>0.87291920549748903</v>
      </c>
      <c r="AE384" s="18">
        <f>AE374+INDEX(Data_Prices!AE:AE,MATCH($G384,Data_Prices!$A:$A,0))*AE$399</f>
        <v>0.90490803560759703</v>
      </c>
    </row>
    <row r="385" spans="2:31" x14ac:dyDescent="0.45">
      <c r="B385" s="14" t="s">
        <v>67</v>
      </c>
      <c r="C385" s="14" t="str">
        <f t="shared" si="91"/>
        <v>nfm</v>
      </c>
      <c r="D385" s="15" t="s">
        <v>68</v>
      </c>
      <c r="E385" s="16" t="s">
        <v>69</v>
      </c>
      <c r="F385" s="14" t="s">
        <v>76</v>
      </c>
      <c r="G385" s="17" t="str">
        <f>Settings!$B$3&amp;".mit.nce."&amp;Settings!$B$4&amp;"."&amp;$B385&amp;".a."&amp;$J$367</f>
        <v>egy.mit.nce.ind.oop.a.2</v>
      </c>
      <c r="H385" s="45" t="str">
        <f>Settings!$B$3&amp;".mit.atp."&amp;$C$367&amp;"."&amp;$B385&amp;".e."&amp;$J$367</f>
        <v>egy.mit.atp.nfm.oop.e.2</v>
      </c>
      <c r="K385" s="18">
        <f>K375+INDEX(Data_Prices!K:K,MATCH($G385,Data_Prices!$A:$A,0))*K$399</f>
        <v>41.500338498868402</v>
      </c>
      <c r="L385" s="18">
        <f>L375+INDEX(Data_Prices!L:L,MATCH($G385,Data_Prices!$A:$A,0))*L$399</f>
        <v>34.4153703043132</v>
      </c>
      <c r="M385" s="18">
        <f>M375+INDEX(Data_Prices!M:M,MATCH($G385,Data_Prices!$A:$A,0))*M$399</f>
        <v>37.368960690431997</v>
      </c>
      <c r="N385" s="18">
        <f>N375+INDEX(Data_Prices!N:N,MATCH($G385,Data_Prices!$A:$A,0))*N$399</f>
        <v>28.982761101477301</v>
      </c>
      <c r="O385" s="18">
        <f>O375+INDEX(Data_Prices!O:O,MATCH($G385,Data_Prices!$A:$A,0))*O$399</f>
        <v>15</v>
      </c>
      <c r="P385" s="18">
        <f>P375+INDEX(Data_Prices!P:P,MATCH($G385,Data_Prices!$A:$A,0))*P$399</f>
        <v>24.2586300842555</v>
      </c>
      <c r="Q385" s="18">
        <f>Q375+INDEX(Data_Prices!Q:Q,MATCH($G385,Data_Prices!$A:$A,0))*Q$399</f>
        <v>18.963758196132499</v>
      </c>
      <c r="R385" s="18">
        <f>R375+INDEX(Data_Prices!R:R,MATCH($G385,Data_Prices!$A:$A,0))*R$399</f>
        <v>21.760345114010597</v>
      </c>
      <c r="S385" s="18">
        <f>S375+INDEX(Data_Prices!S:S,MATCH($G385,Data_Prices!$A:$A,0))*S$399</f>
        <v>26.079880691373621</v>
      </c>
      <c r="T385" s="18">
        <f>T375+INDEX(Data_Prices!T:T,MATCH($G385,Data_Prices!$A:$A,0))*T$399</f>
        <v>30.593682445209218</v>
      </c>
      <c r="U385" s="18">
        <f>U375+INDEX(Data_Prices!U:U,MATCH($G385,Data_Prices!$A:$A,0))*U$399</f>
        <v>34.990509739410058</v>
      </c>
      <c r="V385" s="18">
        <f>V375+INDEX(Data_Prices!V:V,MATCH($G385,Data_Prices!$A:$A,0))*V$399</f>
        <v>40.858059739410059</v>
      </c>
      <c r="W385" s="18">
        <f>W375+INDEX(Data_Prices!W:W,MATCH($G385,Data_Prices!$A:$A,0))*W$399</f>
        <v>46.725609739410061</v>
      </c>
      <c r="X385" s="18">
        <f>X375+INDEX(Data_Prices!X:X,MATCH($G385,Data_Prices!$A:$A,0))*X$399</f>
        <v>52.593159739410055</v>
      </c>
      <c r="Y385" s="18">
        <f>Y375+INDEX(Data_Prices!Y:Y,MATCH($G385,Data_Prices!$A:$A,0))*Y$399</f>
        <v>58.460709739410056</v>
      </c>
      <c r="Z385" s="18">
        <f>Z375+INDEX(Data_Prices!Z:Z,MATCH($G385,Data_Prices!$A:$A,0))*Z$399</f>
        <v>64.328259739410072</v>
      </c>
      <c r="AA385" s="18">
        <f>AA375+INDEX(Data_Prices!AA:AA,MATCH($G385,Data_Prices!$A:$A,0))*AA$399</f>
        <v>70.195809739410052</v>
      </c>
      <c r="AB385" s="18">
        <f>AB375+INDEX(Data_Prices!AB:AB,MATCH($G385,Data_Prices!$A:$A,0))*AB$399</f>
        <v>76.06335973941006</v>
      </c>
      <c r="AC385" s="18">
        <f>AC375+INDEX(Data_Prices!AC:AC,MATCH($G385,Data_Prices!$A:$A,0))*AC$399</f>
        <v>81.930909739410041</v>
      </c>
      <c r="AD385" s="18">
        <f>AD375+INDEX(Data_Prices!AD:AD,MATCH($G385,Data_Prices!$A:$A,0))*AD$399</f>
        <v>87.798459739410063</v>
      </c>
      <c r="AE385" s="18">
        <f>AE375+INDEX(Data_Prices!AE:AE,MATCH($G385,Data_Prices!$A:$A,0))*AE$399</f>
        <v>93.666009739410043</v>
      </c>
    </row>
    <row r="386" spans="2:31" x14ac:dyDescent="0.45">
      <c r="B386" s="14" t="s">
        <v>70</v>
      </c>
      <c r="C386" s="14" t="str">
        <f t="shared" si="91"/>
        <v>nfm</v>
      </c>
      <c r="D386" s="15" t="s">
        <v>71</v>
      </c>
      <c r="E386" s="16" t="s">
        <v>54</v>
      </c>
      <c r="F386" s="14" t="s">
        <v>76</v>
      </c>
      <c r="G386" s="17" t="str">
        <f>Settings!$B$3&amp;".mit.nce."&amp;Settings!$B$4&amp;"."&amp;$B386&amp;".a."&amp;$J$367</f>
        <v>egy.mit.nce.ind.bio.a.2</v>
      </c>
      <c r="H386" s="45" t="str">
        <f>Settings!$B$3&amp;".mit.atp."&amp;$C$367&amp;"."&amp;$B386&amp;".e."&amp;$J$367</f>
        <v>egy.mit.atp.nfm.bio.e.2</v>
      </c>
      <c r="K386" s="18">
        <f>K376+INDEX(Data_Prices!K:K,MATCH($G386,Data_Prices!$A:$A,0))*K$399</f>
        <v>15.3345505293169</v>
      </c>
      <c r="L386" s="18">
        <f>L376+INDEX(Data_Prices!L:L,MATCH($G386,Data_Prices!$A:$A,0))*L$399</f>
        <v>14.199528390634899</v>
      </c>
      <c r="M386" s="18">
        <f>M376+INDEX(Data_Prices!M:M,MATCH($G386,Data_Prices!$A:$A,0))*M$399</f>
        <v>13.8404416133152</v>
      </c>
      <c r="N386" s="18">
        <f>N376+INDEX(Data_Prices!N:N,MATCH($G386,Data_Prices!$A:$A,0))*N$399</f>
        <v>13.5677269404465</v>
      </c>
      <c r="O386" s="18">
        <f>O376+INDEX(Data_Prices!O:O,MATCH($G386,Data_Prices!$A:$A,0))*O$399</f>
        <v>13.5677269404465</v>
      </c>
      <c r="P386" s="18">
        <f>P376+INDEX(Data_Prices!P:P,MATCH($G386,Data_Prices!$A:$A,0))*P$399</f>
        <v>13.5677269404465</v>
      </c>
      <c r="Q386" s="18">
        <f>Q376+INDEX(Data_Prices!Q:Q,MATCH($G386,Data_Prices!$A:$A,0))*Q$399</f>
        <v>13.5677269404465</v>
      </c>
      <c r="R386" s="18">
        <f>R376+INDEX(Data_Prices!R:R,MATCH($G386,Data_Prices!$A:$A,0))*R$399</f>
        <v>13.5677269404465</v>
      </c>
      <c r="S386" s="18">
        <f>S376+INDEX(Data_Prices!S:S,MATCH($G386,Data_Prices!$A:$A,0))*S$399</f>
        <v>13.5677269404465</v>
      </c>
      <c r="T386" s="18">
        <f>T376+INDEX(Data_Prices!T:T,MATCH($G386,Data_Prices!$A:$A,0))*T$399</f>
        <v>13.5677269404465</v>
      </c>
      <c r="U386" s="18">
        <f>U376+INDEX(Data_Prices!U:U,MATCH($G386,Data_Prices!$A:$A,0))*U$399</f>
        <v>13.5677269404465</v>
      </c>
      <c r="V386" s="18">
        <f>V376+INDEX(Data_Prices!V:V,MATCH($G386,Data_Prices!$A:$A,0))*V$399</f>
        <v>13.5677269404465</v>
      </c>
      <c r="W386" s="18">
        <f>W376+INDEX(Data_Prices!W:W,MATCH($G386,Data_Prices!$A:$A,0))*W$399</f>
        <v>13.5677269404465</v>
      </c>
      <c r="X386" s="18">
        <f>X376+INDEX(Data_Prices!X:X,MATCH($G386,Data_Prices!$A:$A,0))*X$399</f>
        <v>13.5677269404465</v>
      </c>
      <c r="Y386" s="18">
        <f>Y376+INDEX(Data_Prices!Y:Y,MATCH($G386,Data_Prices!$A:$A,0))*Y$399</f>
        <v>13.5677269404465</v>
      </c>
      <c r="Z386" s="18">
        <f>Z376+INDEX(Data_Prices!Z:Z,MATCH($G386,Data_Prices!$A:$A,0))*Z$399</f>
        <v>13.5677269404465</v>
      </c>
      <c r="AA386" s="18">
        <f>AA376+INDEX(Data_Prices!AA:AA,MATCH($G386,Data_Prices!$A:$A,0))*AA$399</f>
        <v>13.5677269404465</v>
      </c>
      <c r="AB386" s="18">
        <f>AB376+INDEX(Data_Prices!AB:AB,MATCH($G386,Data_Prices!$A:$A,0))*AB$399</f>
        <v>13.5677269404465</v>
      </c>
      <c r="AC386" s="18">
        <f>AC376+INDEX(Data_Prices!AC:AC,MATCH($G386,Data_Prices!$A:$A,0))*AC$399</f>
        <v>13.5677269404465</v>
      </c>
      <c r="AD386" s="18">
        <f>AD376+INDEX(Data_Prices!AD:AD,MATCH($G386,Data_Prices!$A:$A,0))*AD$399</f>
        <v>13.5677269404465</v>
      </c>
      <c r="AE386" s="18">
        <f>AE376+INDEX(Data_Prices!AE:AE,MATCH($G386,Data_Prices!$A:$A,0))*AE$399</f>
        <v>13.5677269404465</v>
      </c>
    </row>
    <row r="387" spans="2:31" x14ac:dyDescent="0.45">
      <c r="B387" s="14" t="s">
        <v>72</v>
      </c>
      <c r="C387" s="14" t="str">
        <f t="shared" si="91"/>
        <v>nfm</v>
      </c>
      <c r="D387" s="15" t="s">
        <v>73</v>
      </c>
      <c r="E387" s="16" t="s">
        <v>74</v>
      </c>
      <c r="F387" s="14" t="s">
        <v>76</v>
      </c>
      <c r="G387" s="17" t="str">
        <f>Settings!$B$3&amp;".mit.nce."&amp;Settings!$B$4&amp;"."&amp;$B387&amp;".a."&amp;$J$367</f>
        <v>egy.mit.nce.ind.ren.a.2</v>
      </c>
      <c r="H387" s="45" t="str">
        <f>Settings!$B$3&amp;".mit.atp."&amp;$C$367&amp;"."&amp;$B387&amp;".e."&amp;$J$367</f>
        <v>egy.mit.atp.nfm.ren.e.2</v>
      </c>
      <c r="K387" s="18">
        <f>K377+INDEX(Data_Prices!K:K,MATCH($G387,Data_Prices!$A:$A,0))*K$399</f>
        <v>0</v>
      </c>
      <c r="L387" s="18">
        <f>L377+INDEX(Data_Prices!L:L,MATCH($G387,Data_Prices!$A:$A,0))*L$399</f>
        <v>0.14404498679319799</v>
      </c>
      <c r="M387" s="18">
        <f>M377+INDEX(Data_Prices!M:M,MATCH($G387,Data_Prices!$A:$A,0))*M$399</f>
        <v>0.141386241751359</v>
      </c>
      <c r="N387" s="18">
        <f>N377+INDEX(Data_Prices!N:N,MATCH($G387,Data_Prices!$A:$A,0))*N$399</f>
        <v>0.13539756544373099</v>
      </c>
      <c r="O387" s="18">
        <f>O377+INDEX(Data_Prices!O:O,MATCH($G387,Data_Prices!$A:$A,0))*O$399</f>
        <v>0.13152288542065099</v>
      </c>
      <c r="P387" s="18">
        <f>P377+INDEX(Data_Prices!P:P,MATCH($G387,Data_Prices!$A:$A,0))*P$399</f>
        <v>0.12882610848523099</v>
      </c>
      <c r="Q387" s="18">
        <f>Q377+INDEX(Data_Prices!Q:Q,MATCH($G387,Data_Prices!$A:$A,0))*Q$399</f>
        <v>0.12594200976473999</v>
      </c>
      <c r="R387" s="18">
        <f>R377+INDEX(Data_Prices!R:R,MATCH($G387,Data_Prices!$A:$A,0))*R$399</f>
        <v>0.123113265701861</v>
      </c>
      <c r="S387" s="18">
        <f>S377+INDEX(Data_Prices!S:S,MATCH($G387,Data_Prices!$A:$A,0))*S$399</f>
        <v>0.119391738089068</v>
      </c>
      <c r="T387" s="18">
        <f>T377+INDEX(Data_Prices!T:T,MATCH($G387,Data_Prices!$A:$A,0))*T$399</f>
        <v>0.11554419046792</v>
      </c>
      <c r="U387" s="18">
        <f>U377+INDEX(Data_Prices!U:U,MATCH($G387,Data_Prices!$A:$A,0))*U$399</f>
        <v>0.11492423065415899</v>
      </c>
      <c r="V387" s="18">
        <f>V377+INDEX(Data_Prices!V:V,MATCH($G387,Data_Prices!$A:$A,0))*V$399</f>
        <v>0.114346912116736</v>
      </c>
      <c r="W387" s="18">
        <f>W377+INDEX(Data_Prices!W:W,MATCH($G387,Data_Prices!$A:$A,0))*W$399</f>
        <v>0.113738711172664</v>
      </c>
      <c r="X387" s="18">
        <f>X377+INDEX(Data_Prices!X:X,MATCH($G387,Data_Prices!$A:$A,0))*X$399</f>
        <v>0.112999900487521</v>
      </c>
      <c r="Y387" s="18">
        <f>Y377+INDEX(Data_Prices!Y:Y,MATCH($G387,Data_Prices!$A:$A,0))*Y$399</f>
        <v>0.112177685835534</v>
      </c>
      <c r="Z387" s="18">
        <f>Z377+INDEX(Data_Prices!Z:Z,MATCH($G387,Data_Prices!$A:$A,0))*Z$399</f>
        <v>0.111417903250404</v>
      </c>
      <c r="AA387" s="18">
        <f>AA377+INDEX(Data_Prices!AA:AA,MATCH($G387,Data_Prices!$A:$A,0))*AA$399</f>
        <v>0.11052581998545399</v>
      </c>
      <c r="AB387" s="18">
        <f>AB377+INDEX(Data_Prices!AB:AB,MATCH($G387,Data_Prices!$A:$A,0))*AB$399</f>
        <v>0.109699565234896</v>
      </c>
      <c r="AC387" s="18">
        <f>AC377+INDEX(Data_Prices!AC:AC,MATCH($G387,Data_Prices!$A:$A,0))*AC$399</f>
        <v>0.10772678896394899</v>
      </c>
      <c r="AD387" s="18">
        <f>AD377+INDEX(Data_Prices!AD:AD,MATCH($G387,Data_Prices!$A:$A,0))*AD$399</f>
        <v>0.10582092445093499</v>
      </c>
      <c r="AE387" s="18">
        <f>AE377+INDEX(Data_Prices!AE:AE,MATCH($G387,Data_Prices!$A:$A,0))*AE$399</f>
        <v>0.103855595705721</v>
      </c>
    </row>
    <row r="388" spans="2:31" x14ac:dyDescent="0.45">
      <c r="B388" s="13" t="s">
        <v>77</v>
      </c>
    </row>
    <row r="389" spans="2:31" x14ac:dyDescent="0.45">
      <c r="B389" s="14" t="s">
        <v>52</v>
      </c>
      <c r="C389" s="14" t="str">
        <f t="shared" ref="C389:C397" si="92">$C$367</f>
        <v>nfm</v>
      </c>
      <c r="D389" s="15" t="s">
        <v>53</v>
      </c>
      <c r="E389" s="16" t="s">
        <v>54</v>
      </c>
      <c r="F389" s="14" t="s">
        <v>78</v>
      </c>
      <c r="G389" s="17" t="str">
        <f>Settings!$B$3&amp;".mit.shp."&amp;$B389&amp;"."&amp;Settings!$B$4&amp;"."&amp;$J$367</f>
        <v>egy.mit.shp.coa.ind.2</v>
      </c>
      <c r="H389" s="45" t="str">
        <f>Settings!$B$3&amp;".mit.shp."&amp;$C$367&amp;"."&amp;$B389&amp;".e."&amp;$J$367</f>
        <v>egy.mit.shp.nfm.coa.e.2</v>
      </c>
      <c r="K389" s="19">
        <f>K379+INDEX(Data_Prices!K:K,MATCH($G389,Data_Prices!$A:$A,0))*K$400</f>
        <v>11.182901589243899</v>
      </c>
      <c r="L389" s="19">
        <f>L379+INDEX(Data_Prices!L:L,MATCH($G389,Data_Prices!$A:$A,0))*L$400</f>
        <v>10.5233613454312</v>
      </c>
      <c r="M389" s="19">
        <f>M379+INDEX(Data_Prices!M:M,MATCH($G389,Data_Prices!$A:$A,0))*M$400</f>
        <v>10.2995608274442</v>
      </c>
      <c r="N389" s="19">
        <f>N379+INDEX(Data_Prices!N:N,MATCH($G389,Data_Prices!$A:$A,0))*N$400</f>
        <v>9.5775283595382597</v>
      </c>
      <c r="O389" s="19">
        <f>O379+INDEX(Data_Prices!O:O,MATCH($G389,Data_Prices!$A:$A,0))*O$400</f>
        <v>8.4854782869580507</v>
      </c>
      <c r="P389" s="19">
        <f>P379+INDEX(Data_Prices!P:P,MATCH($G389,Data_Prices!$A:$A,0))*P$400</f>
        <v>9.0871922352498604</v>
      </c>
      <c r="Q389" s="19">
        <f>Q379+INDEX(Data_Prices!Q:Q,MATCH($G389,Data_Prices!$A:$A,0))*Q$400</f>
        <v>10.472923728932679</v>
      </c>
      <c r="R389" s="19">
        <f>R379+INDEX(Data_Prices!R:R,MATCH($G389,Data_Prices!$A:$A,0))*R$400</f>
        <v>11.658564955509689</v>
      </c>
      <c r="S389" s="19">
        <f>S379+INDEX(Data_Prices!S:S,MATCH($G389,Data_Prices!$A:$A,0))*S$400</f>
        <v>12.839547877397379</v>
      </c>
      <c r="T389" s="19">
        <f>T379+INDEX(Data_Prices!T:T,MATCH($G389,Data_Prices!$A:$A,0))*T$400</f>
        <v>14.01568166602283</v>
      </c>
      <c r="U389" s="19">
        <f>U379+INDEX(Data_Prices!U:U,MATCH($G389,Data_Prices!$A:$A,0))*U$400</f>
        <v>15.19439776555711</v>
      </c>
      <c r="V389" s="19">
        <f>V379+INDEX(Data_Prices!V:V,MATCH($G389,Data_Prices!$A:$A,0))*V$400</f>
        <v>16.44439776555711</v>
      </c>
      <c r="W389" s="19">
        <f>W379+INDEX(Data_Prices!W:W,MATCH($G389,Data_Prices!$A:$A,0))*W$400</f>
        <v>17.69439776555711</v>
      </c>
      <c r="X389" s="19">
        <f>X379+INDEX(Data_Prices!X:X,MATCH($G389,Data_Prices!$A:$A,0))*X$400</f>
        <v>18.94439776555711</v>
      </c>
      <c r="Y389" s="19">
        <f>Y379+INDEX(Data_Prices!Y:Y,MATCH($G389,Data_Prices!$A:$A,0))*Y$400</f>
        <v>20.19439776555711</v>
      </c>
      <c r="Z389" s="19">
        <f>Z379+INDEX(Data_Prices!Z:Z,MATCH($G389,Data_Prices!$A:$A,0))*Z$400</f>
        <v>21.44439776555711</v>
      </c>
      <c r="AA389" s="19">
        <f>AA379+INDEX(Data_Prices!AA:AA,MATCH($G389,Data_Prices!$A:$A,0))*AA$400</f>
        <v>22.69439776555711</v>
      </c>
      <c r="AB389" s="19">
        <f>AB379+INDEX(Data_Prices!AB:AB,MATCH($G389,Data_Prices!$A:$A,0))*AB$400</f>
        <v>23.94439776555711</v>
      </c>
      <c r="AC389" s="19">
        <f>AC379+INDEX(Data_Prices!AC:AC,MATCH($G389,Data_Prices!$A:$A,0))*AC$400</f>
        <v>25.19439776555711</v>
      </c>
      <c r="AD389" s="19">
        <f>AD379+INDEX(Data_Prices!AD:AD,MATCH($G389,Data_Prices!$A:$A,0))*AD$400</f>
        <v>26.44439776555711</v>
      </c>
      <c r="AE389" s="19">
        <f>AE379+INDEX(Data_Prices!AE:AE,MATCH($G389,Data_Prices!$A:$A,0))*AE$400</f>
        <v>27.69439776555711</v>
      </c>
    </row>
    <row r="390" spans="2:31" x14ac:dyDescent="0.45">
      <c r="B390" s="14" t="s">
        <v>56</v>
      </c>
      <c r="C390" s="14" t="str">
        <f t="shared" si="92"/>
        <v>nfm</v>
      </c>
      <c r="D390" s="15" t="s">
        <v>57</v>
      </c>
      <c r="E390" s="16" t="s">
        <v>54</v>
      </c>
      <c r="F390" s="14" t="s">
        <v>78</v>
      </c>
      <c r="G390" s="17" t="str">
        <f>Settings!$B$3&amp;".mit.shp."&amp;$B390&amp;"."&amp;Settings!$B$4&amp;"."&amp;$J$367</f>
        <v>egy.mit.shp.nga.ind.2</v>
      </c>
      <c r="H390" s="45" t="str">
        <f>Settings!$B$3&amp;".mit.shp."&amp;$C$367&amp;"."&amp;$B390&amp;".e."&amp;$J$367</f>
        <v>egy.mit.shp.nfm.nga.e.2</v>
      </c>
      <c r="K390" s="19">
        <f>K380+INDEX(Data_Prices!K:K,MATCH($G390,Data_Prices!$A:$A,0))*K$400</f>
        <v>6.0634636156729096</v>
      </c>
      <c r="L390" s="19">
        <f>L380+INDEX(Data_Prices!L:L,MATCH($G390,Data_Prices!$A:$A,0))*L$400</f>
        <v>5.4510150816191896</v>
      </c>
      <c r="M390" s="19">
        <f>M380+INDEX(Data_Prices!M:M,MATCH($G390,Data_Prices!$A:$A,0))*M$400</f>
        <v>5.1193563062624801</v>
      </c>
      <c r="N390" s="19">
        <f>N380+INDEX(Data_Prices!N:N,MATCH($G390,Data_Prices!$A:$A,0))*N$400</f>
        <v>5.08218458640407</v>
      </c>
      <c r="O390" s="19">
        <f>O380+INDEX(Data_Prices!O:O,MATCH($G390,Data_Prices!$A:$A,0))*O$400</f>
        <v>5.08218458640407</v>
      </c>
      <c r="P390" s="19">
        <f>P380+INDEX(Data_Prices!P:P,MATCH($G390,Data_Prices!$A:$A,0))*P$400</f>
        <v>5.08218458640407</v>
      </c>
      <c r="Q390" s="19">
        <f>Q380+INDEX(Data_Prices!Q:Q,MATCH($G390,Data_Prices!$A:$A,0))*Q$400</f>
        <v>5.7796845864040698</v>
      </c>
      <c r="R390" s="19">
        <f>R380+INDEX(Data_Prices!R:R,MATCH($G390,Data_Prices!$A:$A,0))*R$400</f>
        <v>6.4771845864040696</v>
      </c>
      <c r="S390" s="19">
        <f>S380+INDEX(Data_Prices!S:S,MATCH($G390,Data_Prices!$A:$A,0))*S$400</f>
        <v>7.1746845864040694</v>
      </c>
      <c r="T390" s="19">
        <f>T380+INDEX(Data_Prices!T:T,MATCH($G390,Data_Prices!$A:$A,0))*T$400</f>
        <v>7.87218458640407</v>
      </c>
      <c r="U390" s="19">
        <f>U380+INDEX(Data_Prices!U:U,MATCH($G390,Data_Prices!$A:$A,0))*U$400</f>
        <v>8.5696845864040689</v>
      </c>
      <c r="V390" s="19">
        <f>V380+INDEX(Data_Prices!V:V,MATCH($G390,Data_Prices!$A:$A,0))*V$400</f>
        <v>9.2671845864040705</v>
      </c>
      <c r="W390" s="19">
        <f>W380+INDEX(Data_Prices!W:W,MATCH($G390,Data_Prices!$A:$A,0))*W$400</f>
        <v>9.9646845864040703</v>
      </c>
      <c r="X390" s="19">
        <f>X380+INDEX(Data_Prices!X:X,MATCH($G390,Data_Prices!$A:$A,0))*X$400</f>
        <v>10.66218458640407</v>
      </c>
      <c r="Y390" s="19">
        <f>Y380+INDEX(Data_Prices!Y:Y,MATCH($G390,Data_Prices!$A:$A,0))*Y$400</f>
        <v>11.35968458640407</v>
      </c>
      <c r="Z390" s="19">
        <f>Z380+INDEX(Data_Prices!Z:Z,MATCH($G390,Data_Prices!$A:$A,0))*Z$400</f>
        <v>12.05718458640407</v>
      </c>
      <c r="AA390" s="19">
        <f>AA380+INDEX(Data_Prices!AA:AA,MATCH($G390,Data_Prices!$A:$A,0))*AA$400</f>
        <v>12.754684586404071</v>
      </c>
      <c r="AB390" s="19">
        <f>AB380+INDEX(Data_Prices!AB:AB,MATCH($G390,Data_Prices!$A:$A,0))*AB$400</f>
        <v>13.452184586404069</v>
      </c>
      <c r="AC390" s="19">
        <f>AC380+INDEX(Data_Prices!AC:AC,MATCH($G390,Data_Prices!$A:$A,0))*AC$400</f>
        <v>14.149684586404071</v>
      </c>
      <c r="AD390" s="19">
        <f>AD380+INDEX(Data_Prices!AD:AD,MATCH($G390,Data_Prices!$A:$A,0))*AD$400</f>
        <v>14.847184586404071</v>
      </c>
      <c r="AE390" s="19">
        <f>AE380+INDEX(Data_Prices!AE:AE,MATCH($G390,Data_Prices!$A:$A,0))*AE$400</f>
        <v>15.54468458640407</v>
      </c>
    </row>
    <row r="391" spans="2:31" x14ac:dyDescent="0.45">
      <c r="B391" s="14" t="s">
        <v>58</v>
      </c>
      <c r="C391" s="14" t="str">
        <f t="shared" si="92"/>
        <v>nfm</v>
      </c>
      <c r="D391" s="15" t="s">
        <v>59</v>
      </c>
      <c r="E391" s="16" t="s">
        <v>60</v>
      </c>
      <c r="F391" s="14" t="s">
        <v>78</v>
      </c>
      <c r="G391" s="17" t="str">
        <f>Settings!$B$3&amp;".mit.shp."&amp;$B391&amp;"."&amp;Settings!$B$4&amp;"."&amp;$J$367</f>
        <v>egy.mit.shp.gso.ind.2</v>
      </c>
      <c r="H391" s="45" t="str">
        <f>Settings!$B$3&amp;".mit.shp."&amp;$C$367&amp;"."&amp;$B391&amp;".e."&amp;$J$367</f>
        <v>egy.mit.shp.nfm.gso.e.2</v>
      </c>
      <c r="K391" s="19">
        <f>K381+INDEX(Data_Prices!K:K,MATCH($G391,Data_Prices!$A:$A,0))*K$400</f>
        <v>0.67114653332181595</v>
      </c>
      <c r="L391" s="19">
        <f>L381+INDEX(Data_Prices!L:L,MATCH($G391,Data_Prices!$A:$A,0))*L$400</f>
        <v>0.61197797679140598</v>
      </c>
      <c r="M391" s="19">
        <f>M381+INDEX(Data_Prices!M:M,MATCH($G391,Data_Prices!$A:$A,0))*M$400</f>
        <v>0.61180974964187596</v>
      </c>
      <c r="N391" s="19">
        <f>N381+INDEX(Data_Prices!N:N,MATCH($G391,Data_Prices!$A:$A,0))*N$400</f>
        <v>0.60358310017790595</v>
      </c>
      <c r="O391" s="19">
        <f>O381+INDEX(Data_Prices!O:O,MATCH($G391,Data_Prices!$A:$A,0))*O$400</f>
        <v>0.60358310017790595</v>
      </c>
      <c r="P391" s="19">
        <f>P381+INDEX(Data_Prices!P:P,MATCH($G391,Data_Prices!$A:$A,0))*P$400</f>
        <v>0.60358310017790595</v>
      </c>
      <c r="Q391" s="19">
        <f>Q381+INDEX(Data_Prices!Q:Q,MATCH($G391,Data_Prices!$A:$A,0))*Q$400</f>
        <v>0.63251094334940594</v>
      </c>
      <c r="R391" s="19">
        <f>R381+INDEX(Data_Prices!R:R,MATCH($G391,Data_Prices!$A:$A,0))*R$400</f>
        <v>0.66143878652090593</v>
      </c>
      <c r="S391" s="19">
        <f>S381+INDEX(Data_Prices!S:S,MATCH($G391,Data_Prices!$A:$A,0))*S$400</f>
        <v>0.69036662969240592</v>
      </c>
      <c r="T391" s="19">
        <f>T381+INDEX(Data_Prices!T:T,MATCH($G391,Data_Prices!$A:$A,0))*T$400</f>
        <v>0.71929447286390591</v>
      </c>
      <c r="U391" s="19">
        <f>U381+INDEX(Data_Prices!U:U,MATCH($G391,Data_Prices!$A:$A,0))*U$400</f>
        <v>0.74822231603540601</v>
      </c>
      <c r="V391" s="19">
        <f>V381+INDEX(Data_Prices!V:V,MATCH($G391,Data_Prices!$A:$A,0))*V$400</f>
        <v>0.77715015920690589</v>
      </c>
      <c r="W391" s="19">
        <f>W381+INDEX(Data_Prices!W:W,MATCH($G391,Data_Prices!$A:$A,0))*W$400</f>
        <v>0.80607800237840599</v>
      </c>
      <c r="X391" s="19">
        <f>X381+INDEX(Data_Prices!X:X,MATCH($G391,Data_Prices!$A:$A,0))*X$400</f>
        <v>0.83500584554990598</v>
      </c>
      <c r="Y391" s="19">
        <f>Y381+INDEX(Data_Prices!Y:Y,MATCH($G391,Data_Prices!$A:$A,0))*Y$400</f>
        <v>0.86393368872140597</v>
      </c>
      <c r="Z391" s="19">
        <f>Z381+INDEX(Data_Prices!Z:Z,MATCH($G391,Data_Prices!$A:$A,0))*Z$400</f>
        <v>0.89286153189290596</v>
      </c>
      <c r="AA391" s="19">
        <f>AA381+INDEX(Data_Prices!AA:AA,MATCH($G391,Data_Prices!$A:$A,0))*AA$400</f>
        <v>0.92178937506440595</v>
      </c>
      <c r="AB391" s="19">
        <f>AB381+INDEX(Data_Prices!AB:AB,MATCH($G391,Data_Prices!$A:$A,0))*AB$400</f>
        <v>0.95071721823590594</v>
      </c>
      <c r="AC391" s="19">
        <f>AC381+INDEX(Data_Prices!AC:AC,MATCH($G391,Data_Prices!$A:$A,0))*AC$400</f>
        <v>0.97964506140740593</v>
      </c>
      <c r="AD391" s="19">
        <f>AD381+INDEX(Data_Prices!AD:AD,MATCH($G391,Data_Prices!$A:$A,0))*AD$400</f>
        <v>1.008572904578906</v>
      </c>
      <c r="AE391" s="19">
        <f>AE381+INDEX(Data_Prices!AE:AE,MATCH($G391,Data_Prices!$A:$A,0))*AE$400</f>
        <v>1.0375007477504059</v>
      </c>
    </row>
    <row r="392" spans="2:31" x14ac:dyDescent="0.45">
      <c r="B392" s="14" t="s">
        <v>61</v>
      </c>
      <c r="C392" s="14" t="str">
        <f t="shared" si="92"/>
        <v>nfm</v>
      </c>
      <c r="D392" s="15" t="s">
        <v>62</v>
      </c>
      <c r="E392" s="16" t="s">
        <v>60</v>
      </c>
      <c r="F392" s="14" t="s">
        <v>78</v>
      </c>
      <c r="G392" s="17" t="str">
        <f>Settings!$B$3&amp;".mit.shp."&amp;$B392&amp;"."&amp;Settings!$B$4&amp;"."&amp;$J$367</f>
        <v>egy.mit.shp.die.ind.2</v>
      </c>
      <c r="H392" s="45" t="str">
        <f>Settings!$B$3&amp;".mit.shp."&amp;$C$367&amp;"."&amp;$B392&amp;".e."&amp;$J$367</f>
        <v>egy.mit.shp.nfm.die.e.2</v>
      </c>
      <c r="K392" s="19">
        <f>K382+INDEX(Data_Prices!K:K,MATCH($G392,Data_Prices!$A:$A,0))*K$400</f>
        <v>0.55971121315568795</v>
      </c>
      <c r="L392" s="19">
        <f>L382+INDEX(Data_Prices!L:L,MATCH($G392,Data_Prices!$A:$A,0))*L$400</f>
        <v>0.49458873084106802</v>
      </c>
      <c r="M392" s="19">
        <f>M382+INDEX(Data_Prices!M:M,MATCH($G392,Data_Prices!$A:$A,0))*M$400</f>
        <v>0.50778654720250105</v>
      </c>
      <c r="N392" s="19">
        <f>N382+INDEX(Data_Prices!N:N,MATCH($G392,Data_Prices!$A:$A,0))*N$400</f>
        <v>0.47043642679561698</v>
      </c>
      <c r="O392" s="19">
        <f>O382+INDEX(Data_Prices!O:O,MATCH($G392,Data_Prices!$A:$A,0))*O$400</f>
        <v>0.47043642679561698</v>
      </c>
      <c r="P392" s="19">
        <f>P382+INDEX(Data_Prices!P:P,MATCH($G392,Data_Prices!$A:$A,0))*P$400</f>
        <v>0.47043642679561698</v>
      </c>
      <c r="Q392" s="19">
        <f>Q382+INDEX(Data_Prices!Q:Q,MATCH($G392,Data_Prices!$A:$A,0))*Q$400</f>
        <v>0.50344686565449193</v>
      </c>
      <c r="R392" s="19">
        <f>R382+INDEX(Data_Prices!R:R,MATCH($G392,Data_Prices!$A:$A,0))*R$400</f>
        <v>0.53645730451336693</v>
      </c>
      <c r="S392" s="19">
        <f>S382+INDEX(Data_Prices!S:S,MATCH($G392,Data_Prices!$A:$A,0))*S$400</f>
        <v>0.56946774337224193</v>
      </c>
      <c r="T392" s="19">
        <f>T382+INDEX(Data_Prices!T:T,MATCH($G392,Data_Prices!$A:$A,0))*T$400</f>
        <v>0.60247818223111693</v>
      </c>
      <c r="U392" s="19">
        <f>U382+INDEX(Data_Prices!U:U,MATCH($G392,Data_Prices!$A:$A,0))*U$400</f>
        <v>0.63548862108999193</v>
      </c>
      <c r="V392" s="19">
        <f>V382+INDEX(Data_Prices!V:V,MATCH($G392,Data_Prices!$A:$A,0))*V$400</f>
        <v>0.66849905994886694</v>
      </c>
      <c r="W392" s="19">
        <f>W382+INDEX(Data_Prices!W:W,MATCH($G392,Data_Prices!$A:$A,0))*W$400</f>
        <v>0.70150949880774194</v>
      </c>
      <c r="X392" s="19">
        <f>X382+INDEX(Data_Prices!X:X,MATCH($G392,Data_Prices!$A:$A,0))*X$400</f>
        <v>0.73451993766661694</v>
      </c>
      <c r="Y392" s="19">
        <f>Y382+INDEX(Data_Prices!Y:Y,MATCH($G392,Data_Prices!$A:$A,0))*Y$400</f>
        <v>0.76753037652549194</v>
      </c>
      <c r="Z392" s="19">
        <f>Z382+INDEX(Data_Prices!Z:Z,MATCH($G392,Data_Prices!$A:$A,0))*Z$400</f>
        <v>0.80054081538436694</v>
      </c>
      <c r="AA392" s="19">
        <f>AA382+INDEX(Data_Prices!AA:AA,MATCH($G392,Data_Prices!$A:$A,0))*AA$400</f>
        <v>0.83355125424324195</v>
      </c>
      <c r="AB392" s="19">
        <f>AB382+INDEX(Data_Prices!AB:AB,MATCH($G392,Data_Prices!$A:$A,0))*AB$400</f>
        <v>0.86656169310211695</v>
      </c>
      <c r="AC392" s="19">
        <f>AC382+INDEX(Data_Prices!AC:AC,MATCH($G392,Data_Prices!$A:$A,0))*AC$400</f>
        <v>0.89957213196099195</v>
      </c>
      <c r="AD392" s="19">
        <f>AD382+INDEX(Data_Prices!AD:AD,MATCH($G392,Data_Prices!$A:$A,0))*AD$400</f>
        <v>0.93258257081986695</v>
      </c>
      <c r="AE392" s="19">
        <f>AE382+INDEX(Data_Prices!AE:AE,MATCH($G392,Data_Prices!$A:$A,0))*AE$400</f>
        <v>0.96559300967874195</v>
      </c>
    </row>
    <row r="393" spans="2:31" x14ac:dyDescent="0.45">
      <c r="B393" s="14" t="s">
        <v>63</v>
      </c>
      <c r="C393" s="14" t="str">
        <f t="shared" si="92"/>
        <v>nfm</v>
      </c>
      <c r="D393" s="15" t="s">
        <v>64</v>
      </c>
      <c r="E393" s="16" t="s">
        <v>60</v>
      </c>
      <c r="F393" s="14" t="s">
        <v>78</v>
      </c>
      <c r="G393" s="17" t="str">
        <f>Settings!$B$3&amp;".mit.shp."&amp;$B393&amp;"."&amp;Settings!$B$4&amp;"."&amp;$J$367</f>
        <v>egy.mit.shp.lpg.ind.2</v>
      </c>
      <c r="H393" s="45" t="str">
        <f>Settings!$B$3&amp;".mit.shp."&amp;$C$367&amp;"."&amp;$B393&amp;".e."&amp;$J$367</f>
        <v>egy.mit.shp.nfm.lpg.e.2</v>
      </c>
      <c r="K393" s="19">
        <f>K383+INDEX(Data_Prices!K:K,MATCH($G393,Data_Prices!$A:$A,0))*K$400</f>
        <v>0.20036669112673799</v>
      </c>
      <c r="L393" s="19">
        <f>L383+INDEX(Data_Prices!L:L,MATCH($G393,Data_Prices!$A:$A,0))*L$400</f>
        <v>0.15734473625227399</v>
      </c>
      <c r="M393" s="19">
        <f>M383+INDEX(Data_Prices!M:M,MATCH($G393,Data_Prices!$A:$A,0))*M$400</f>
        <v>0.164484037759277</v>
      </c>
      <c r="N393" s="19">
        <f>N383+INDEX(Data_Prices!N:N,MATCH($G393,Data_Prices!$A:$A,0))*N$400</f>
        <v>0.15070907780704901</v>
      </c>
      <c r="O393" s="19">
        <f>O383+INDEX(Data_Prices!O:O,MATCH($G393,Data_Prices!$A:$A,0))*O$400</f>
        <v>0.15070907780704901</v>
      </c>
      <c r="P393" s="19">
        <f>P383+INDEX(Data_Prices!P:P,MATCH($G393,Data_Prices!$A:$A,0))*P$400</f>
        <v>0.15070907780704901</v>
      </c>
      <c r="Q393" s="19">
        <f>Q383+INDEX(Data_Prices!Q:Q,MATCH($G393,Data_Prices!$A:$A,0))*Q$400</f>
        <v>0.17281516073434472</v>
      </c>
      <c r="R393" s="19">
        <f>R383+INDEX(Data_Prices!R:R,MATCH($G393,Data_Prices!$A:$A,0))*R$400</f>
        <v>0.1949212436616404</v>
      </c>
      <c r="S393" s="19">
        <f>S383+INDEX(Data_Prices!S:S,MATCH($G393,Data_Prices!$A:$A,0))*S$400</f>
        <v>0.21702732658893611</v>
      </c>
      <c r="T393" s="19">
        <f>T383+INDEX(Data_Prices!T:T,MATCH($G393,Data_Prices!$A:$A,0))*T$400</f>
        <v>0.2391334095162318</v>
      </c>
      <c r="U393" s="19">
        <f>U383+INDEX(Data_Prices!U:U,MATCH($G393,Data_Prices!$A:$A,0))*U$400</f>
        <v>0.26123949244352801</v>
      </c>
      <c r="V393" s="19">
        <f>V383+INDEX(Data_Prices!V:V,MATCH($G393,Data_Prices!$A:$A,0))*V$400</f>
        <v>0.283345575370823</v>
      </c>
      <c r="W393" s="19">
        <f>W383+INDEX(Data_Prices!W:W,MATCH($G393,Data_Prices!$A:$A,0))*W$400</f>
        <v>0.30545165829811904</v>
      </c>
      <c r="X393" s="19">
        <f>X383+INDEX(Data_Prices!X:X,MATCH($G393,Data_Prices!$A:$A,0))*X$400</f>
        <v>0.32755774122541503</v>
      </c>
      <c r="Y393" s="19">
        <f>Y383+INDEX(Data_Prices!Y:Y,MATCH($G393,Data_Prices!$A:$A,0))*Y$400</f>
        <v>0.34966382415271002</v>
      </c>
      <c r="Z393" s="19">
        <f>Z383+INDEX(Data_Prices!Z:Z,MATCH($G393,Data_Prices!$A:$A,0))*Z$400</f>
        <v>0.37176990708000601</v>
      </c>
      <c r="AA393" s="19">
        <f>AA383+INDEX(Data_Prices!AA:AA,MATCH($G393,Data_Prices!$A:$A,0))*AA$400</f>
        <v>0.393875990007302</v>
      </c>
      <c r="AB393" s="19">
        <f>AB383+INDEX(Data_Prices!AB:AB,MATCH($G393,Data_Prices!$A:$A,0))*AB$400</f>
        <v>0.41598207293459699</v>
      </c>
      <c r="AC393" s="19">
        <f>AC383+INDEX(Data_Prices!AC:AC,MATCH($G393,Data_Prices!$A:$A,0))*AC$400</f>
        <v>0.43808815586189298</v>
      </c>
      <c r="AD393" s="19">
        <f>AD383+INDEX(Data_Prices!AD:AD,MATCH($G393,Data_Prices!$A:$A,0))*AD$400</f>
        <v>0.46019423878918903</v>
      </c>
      <c r="AE393" s="19">
        <f>AE383+INDEX(Data_Prices!AE:AE,MATCH($G393,Data_Prices!$A:$A,0))*AE$400</f>
        <v>0.48230032171648402</v>
      </c>
    </row>
    <row r="394" spans="2:31" x14ac:dyDescent="0.45">
      <c r="B394" s="14" t="s">
        <v>65</v>
      </c>
      <c r="C394" s="14" t="str">
        <f t="shared" si="92"/>
        <v>nfm</v>
      </c>
      <c r="D394" s="15" t="s">
        <v>66</v>
      </c>
      <c r="E394" s="16" t="s">
        <v>60</v>
      </c>
      <c r="F394" s="14" t="s">
        <v>78</v>
      </c>
      <c r="G394" s="17" t="str">
        <f>Settings!$B$3&amp;".mit.shp."&amp;$B394&amp;"."&amp;Settings!$B$4&amp;"."&amp;$J$367</f>
        <v>egy.mit.shp.ker.ind.2</v>
      </c>
      <c r="H394" s="45" t="str">
        <f>Settings!$B$3&amp;".mit.shp."&amp;$C$367&amp;"."&amp;$B394&amp;".e."&amp;$J$367</f>
        <v>egy.mit.shp.nfm.ker.e.2</v>
      </c>
      <c r="K394" s="19">
        <f>K384+INDEX(Data_Prices!K:K,MATCH($G394,Data_Prices!$A:$A,0))*K$400</f>
        <v>0.48429424097343499</v>
      </c>
      <c r="L394" s="19">
        <f>L384+INDEX(Data_Prices!L:L,MATCH($G394,Data_Prices!$A:$A,0))*L$400</f>
        <v>0.45642817050012802</v>
      </c>
      <c r="M394" s="19">
        <f>M384+INDEX(Data_Prices!M:M,MATCH($G394,Data_Prices!$A:$A,0))*M$400</f>
        <v>0.43168920195599497</v>
      </c>
      <c r="N394" s="19">
        <f>N384+INDEX(Data_Prices!N:N,MATCH($G394,Data_Prices!$A:$A,0))*N$400</f>
        <v>0.42507558395597</v>
      </c>
      <c r="O394" s="19">
        <f>O384+INDEX(Data_Prices!O:O,MATCH($G394,Data_Prices!$A:$A,0))*O$400</f>
        <v>0.42507558395597</v>
      </c>
      <c r="P394" s="19">
        <f>P384+INDEX(Data_Prices!P:P,MATCH($G394,Data_Prices!$A:$A,0))*P$400</f>
        <v>0.42507558395597</v>
      </c>
      <c r="Q394" s="19">
        <f>Q384+INDEX(Data_Prices!Q:Q,MATCH($G394,Data_Prices!$A:$A,0))*Q$400</f>
        <v>0.45706441406607851</v>
      </c>
      <c r="R394" s="19">
        <f>R384+INDEX(Data_Prices!R:R,MATCH($G394,Data_Prices!$A:$A,0))*R$400</f>
        <v>0.48905324417618701</v>
      </c>
      <c r="S394" s="19">
        <f>S384+INDEX(Data_Prices!S:S,MATCH($G394,Data_Prices!$A:$A,0))*S$400</f>
        <v>0.52104207428629556</v>
      </c>
      <c r="T394" s="19">
        <f>T384+INDEX(Data_Prices!T:T,MATCH($G394,Data_Prices!$A:$A,0))*T$400</f>
        <v>0.55303090439640401</v>
      </c>
      <c r="U394" s="19">
        <f>U384+INDEX(Data_Prices!U:U,MATCH($G394,Data_Prices!$A:$A,0))*U$400</f>
        <v>0.58501973450651301</v>
      </c>
      <c r="V394" s="19">
        <f>V384+INDEX(Data_Prices!V:V,MATCH($G394,Data_Prices!$A:$A,0))*V$400</f>
        <v>0.61700856461662101</v>
      </c>
      <c r="W394" s="19">
        <f>W384+INDEX(Data_Prices!W:W,MATCH($G394,Data_Prices!$A:$A,0))*W$400</f>
        <v>0.64899739472673001</v>
      </c>
      <c r="X394" s="19">
        <f>X384+INDEX(Data_Prices!X:X,MATCH($G394,Data_Prices!$A:$A,0))*X$400</f>
        <v>0.68098622483683802</v>
      </c>
      <c r="Y394" s="19">
        <f>Y384+INDEX(Data_Prices!Y:Y,MATCH($G394,Data_Prices!$A:$A,0))*Y$400</f>
        <v>0.71297505494694702</v>
      </c>
      <c r="Z394" s="19">
        <f>Z384+INDEX(Data_Prices!Z:Z,MATCH($G394,Data_Prices!$A:$A,0))*Z$400</f>
        <v>0.74496388505705502</v>
      </c>
      <c r="AA394" s="19">
        <f>AA384+INDEX(Data_Prices!AA:AA,MATCH($G394,Data_Prices!$A:$A,0))*AA$400</f>
        <v>0.77695271516716302</v>
      </c>
      <c r="AB394" s="19">
        <f>AB384+INDEX(Data_Prices!AB:AB,MATCH($G394,Data_Prices!$A:$A,0))*AB$400</f>
        <v>0.80894154527727202</v>
      </c>
      <c r="AC394" s="19">
        <f>AC384+INDEX(Data_Prices!AC:AC,MATCH($G394,Data_Prices!$A:$A,0))*AC$400</f>
        <v>0.84093037538738002</v>
      </c>
      <c r="AD394" s="19">
        <f>AD384+INDEX(Data_Prices!AD:AD,MATCH($G394,Data_Prices!$A:$A,0))*AD$400</f>
        <v>0.87291920549748903</v>
      </c>
      <c r="AE394" s="19">
        <f>AE384+INDEX(Data_Prices!AE:AE,MATCH($G394,Data_Prices!$A:$A,0))*AE$400</f>
        <v>0.90490803560759703</v>
      </c>
    </row>
    <row r="395" spans="2:31" x14ac:dyDescent="0.45">
      <c r="B395" s="14" t="s">
        <v>67</v>
      </c>
      <c r="C395" s="14" t="str">
        <f t="shared" si="92"/>
        <v>nfm</v>
      </c>
      <c r="D395" s="15" t="s">
        <v>68</v>
      </c>
      <c r="E395" s="16" t="s">
        <v>69</v>
      </c>
      <c r="F395" s="14" t="s">
        <v>78</v>
      </c>
      <c r="G395" s="17" t="str">
        <f>Settings!$B$3&amp;".mit.shp."&amp;$B395&amp;"."&amp;Settings!$B$4&amp;"."&amp;$J$367</f>
        <v>egy.mit.shp.oop.ind.2</v>
      </c>
      <c r="H395" s="45" t="str">
        <f>Settings!$B$3&amp;".mit.shp."&amp;$C$367&amp;"."&amp;$B395&amp;".e."&amp;$J$367</f>
        <v>egy.mit.shp.nfm.oop.e.2</v>
      </c>
      <c r="K395" s="19">
        <f>K385+INDEX(Data_Prices!K:K,MATCH($G395,Data_Prices!$A:$A,0))*K$400</f>
        <v>41.500338498868402</v>
      </c>
      <c r="L395" s="19">
        <f>L385+INDEX(Data_Prices!L:L,MATCH($G395,Data_Prices!$A:$A,0))*L$400</f>
        <v>34.4153703043132</v>
      </c>
      <c r="M395" s="19">
        <f>M385+INDEX(Data_Prices!M:M,MATCH($G395,Data_Prices!$A:$A,0))*M$400</f>
        <v>37.368960690431997</v>
      </c>
      <c r="N395" s="19">
        <f>N385+INDEX(Data_Prices!N:N,MATCH($G395,Data_Prices!$A:$A,0))*N$400</f>
        <v>28.982761101477301</v>
      </c>
      <c r="O395" s="19">
        <f>O385+INDEX(Data_Prices!O:O,MATCH($G395,Data_Prices!$A:$A,0))*O$400</f>
        <v>15</v>
      </c>
      <c r="P395" s="19">
        <f>P385+INDEX(Data_Prices!P:P,MATCH($G395,Data_Prices!$A:$A,0))*P$400</f>
        <v>24.2586300842555</v>
      </c>
      <c r="Q395" s="19">
        <f>Q385+INDEX(Data_Prices!Q:Q,MATCH($G395,Data_Prices!$A:$A,0))*Q$400</f>
        <v>18.963758196132499</v>
      </c>
      <c r="R395" s="19">
        <f>R385+INDEX(Data_Prices!R:R,MATCH($G395,Data_Prices!$A:$A,0))*R$400</f>
        <v>21.760345114010597</v>
      </c>
      <c r="S395" s="19">
        <f>S385+INDEX(Data_Prices!S:S,MATCH($G395,Data_Prices!$A:$A,0))*S$400</f>
        <v>26.079880691373621</v>
      </c>
      <c r="T395" s="19">
        <f>T385+INDEX(Data_Prices!T:T,MATCH($G395,Data_Prices!$A:$A,0))*T$400</f>
        <v>30.593682445209218</v>
      </c>
      <c r="U395" s="19">
        <f>U385+INDEX(Data_Prices!U:U,MATCH($G395,Data_Prices!$A:$A,0))*U$400</f>
        <v>34.990509739410058</v>
      </c>
      <c r="V395" s="19">
        <f>V385+INDEX(Data_Prices!V:V,MATCH($G395,Data_Prices!$A:$A,0))*V$400</f>
        <v>40.858059739410059</v>
      </c>
      <c r="W395" s="19">
        <f>W385+INDEX(Data_Prices!W:W,MATCH($G395,Data_Prices!$A:$A,0))*W$400</f>
        <v>46.725609739410061</v>
      </c>
      <c r="X395" s="19">
        <f>X385+INDEX(Data_Prices!X:X,MATCH($G395,Data_Prices!$A:$A,0))*X$400</f>
        <v>52.593159739410055</v>
      </c>
      <c r="Y395" s="19">
        <f>Y385+INDEX(Data_Prices!Y:Y,MATCH($G395,Data_Prices!$A:$A,0))*Y$400</f>
        <v>58.460709739410056</v>
      </c>
      <c r="Z395" s="19">
        <f>Z385+INDEX(Data_Prices!Z:Z,MATCH($G395,Data_Prices!$A:$A,0))*Z$400</f>
        <v>64.328259739410072</v>
      </c>
      <c r="AA395" s="19">
        <f>AA385+INDEX(Data_Prices!AA:AA,MATCH($G395,Data_Prices!$A:$A,0))*AA$400</f>
        <v>70.195809739410052</v>
      </c>
      <c r="AB395" s="19">
        <f>AB385+INDEX(Data_Prices!AB:AB,MATCH($G395,Data_Prices!$A:$A,0))*AB$400</f>
        <v>76.06335973941006</v>
      </c>
      <c r="AC395" s="19">
        <f>AC385+INDEX(Data_Prices!AC:AC,MATCH($G395,Data_Prices!$A:$A,0))*AC$400</f>
        <v>81.930909739410041</v>
      </c>
      <c r="AD395" s="19">
        <f>AD385+INDEX(Data_Prices!AD:AD,MATCH($G395,Data_Prices!$A:$A,0))*AD$400</f>
        <v>87.798459739410063</v>
      </c>
      <c r="AE395" s="19">
        <f>AE385+INDEX(Data_Prices!AE:AE,MATCH($G395,Data_Prices!$A:$A,0))*AE$400</f>
        <v>93.666009739410043</v>
      </c>
    </row>
    <row r="396" spans="2:31" x14ac:dyDescent="0.45">
      <c r="B396" s="14" t="s">
        <v>70</v>
      </c>
      <c r="C396" s="14" t="str">
        <f t="shared" si="92"/>
        <v>nfm</v>
      </c>
      <c r="D396" s="15" t="s">
        <v>71</v>
      </c>
      <c r="E396" s="16" t="s">
        <v>54</v>
      </c>
      <c r="F396" s="14" t="s">
        <v>78</v>
      </c>
      <c r="G396" s="17" t="str">
        <f>Settings!$B$3&amp;".mit.shp."&amp;$B396&amp;"."&amp;Settings!$B$4&amp;"."&amp;$J$367</f>
        <v>egy.mit.shp.bio.ind.2</v>
      </c>
      <c r="H396" s="45" t="str">
        <f>Settings!$B$3&amp;".mit.shp."&amp;$C$367&amp;"."&amp;$B396&amp;".e."&amp;$J$367</f>
        <v>egy.mit.shp.nfm.bio.e.2</v>
      </c>
      <c r="K396" s="19">
        <f>K386+INDEX(Data_Prices!K:K,MATCH($G396,Data_Prices!$A:$A,0))*K$400</f>
        <v>15.3345505293169</v>
      </c>
      <c r="L396" s="19">
        <f>L386+INDEX(Data_Prices!L:L,MATCH($G396,Data_Prices!$A:$A,0))*L$400</f>
        <v>14.199528390634899</v>
      </c>
      <c r="M396" s="19">
        <f>M386+INDEX(Data_Prices!M:M,MATCH($G396,Data_Prices!$A:$A,0))*M$400</f>
        <v>13.8404416133152</v>
      </c>
      <c r="N396" s="19">
        <f>N386+INDEX(Data_Prices!N:N,MATCH($G396,Data_Prices!$A:$A,0))*N$400</f>
        <v>13.5677269404465</v>
      </c>
      <c r="O396" s="19">
        <f>O386+INDEX(Data_Prices!O:O,MATCH($G396,Data_Prices!$A:$A,0))*O$400</f>
        <v>13.5677269404465</v>
      </c>
      <c r="P396" s="19">
        <f>P386+INDEX(Data_Prices!P:P,MATCH($G396,Data_Prices!$A:$A,0))*P$400</f>
        <v>13.5677269404465</v>
      </c>
      <c r="Q396" s="19">
        <f>Q386+INDEX(Data_Prices!Q:Q,MATCH($G396,Data_Prices!$A:$A,0))*Q$400</f>
        <v>13.5677269404465</v>
      </c>
      <c r="R396" s="19">
        <f>R386+INDEX(Data_Prices!R:R,MATCH($G396,Data_Prices!$A:$A,0))*R$400</f>
        <v>13.5677269404465</v>
      </c>
      <c r="S396" s="19">
        <f>S386+INDEX(Data_Prices!S:S,MATCH($G396,Data_Prices!$A:$A,0))*S$400</f>
        <v>13.5677269404465</v>
      </c>
      <c r="T396" s="19">
        <f>T386+INDEX(Data_Prices!T:T,MATCH($G396,Data_Prices!$A:$A,0))*T$400</f>
        <v>13.5677269404465</v>
      </c>
      <c r="U396" s="19">
        <f>U386+INDEX(Data_Prices!U:U,MATCH($G396,Data_Prices!$A:$A,0))*U$400</f>
        <v>13.5677269404465</v>
      </c>
      <c r="V396" s="19">
        <f>V386+INDEX(Data_Prices!V:V,MATCH($G396,Data_Prices!$A:$A,0))*V$400</f>
        <v>13.5677269404465</v>
      </c>
      <c r="W396" s="19">
        <f>W386+INDEX(Data_Prices!W:W,MATCH($G396,Data_Prices!$A:$A,0))*W$400</f>
        <v>13.5677269404465</v>
      </c>
      <c r="X396" s="19">
        <f>X386+INDEX(Data_Prices!X:X,MATCH($G396,Data_Prices!$A:$A,0))*X$400</f>
        <v>13.5677269404465</v>
      </c>
      <c r="Y396" s="19">
        <f>Y386+INDEX(Data_Prices!Y:Y,MATCH($G396,Data_Prices!$A:$A,0))*Y$400</f>
        <v>13.5677269404465</v>
      </c>
      <c r="Z396" s="19">
        <f>Z386+INDEX(Data_Prices!Z:Z,MATCH($G396,Data_Prices!$A:$A,0))*Z$400</f>
        <v>13.5677269404465</v>
      </c>
      <c r="AA396" s="19">
        <f>AA386+INDEX(Data_Prices!AA:AA,MATCH($G396,Data_Prices!$A:$A,0))*AA$400</f>
        <v>13.5677269404465</v>
      </c>
      <c r="AB396" s="19">
        <f>AB386+INDEX(Data_Prices!AB:AB,MATCH($G396,Data_Prices!$A:$A,0))*AB$400</f>
        <v>13.5677269404465</v>
      </c>
      <c r="AC396" s="19">
        <f>AC386+INDEX(Data_Prices!AC:AC,MATCH($G396,Data_Prices!$A:$A,0))*AC$400</f>
        <v>13.5677269404465</v>
      </c>
      <c r="AD396" s="19">
        <f>AD386+INDEX(Data_Prices!AD:AD,MATCH($G396,Data_Prices!$A:$A,0))*AD$400</f>
        <v>13.5677269404465</v>
      </c>
      <c r="AE396" s="19">
        <f>AE386+INDEX(Data_Prices!AE:AE,MATCH($G396,Data_Prices!$A:$A,0))*AE$400</f>
        <v>13.5677269404465</v>
      </c>
    </row>
    <row r="397" spans="2:31" x14ac:dyDescent="0.45">
      <c r="B397" s="14" t="s">
        <v>72</v>
      </c>
      <c r="C397" s="14" t="str">
        <f t="shared" si="92"/>
        <v>nfm</v>
      </c>
      <c r="D397" s="15" t="s">
        <v>73</v>
      </c>
      <c r="E397" s="16" t="s">
        <v>74</v>
      </c>
      <c r="F397" s="14" t="s">
        <v>78</v>
      </c>
      <c r="G397" s="17" t="str">
        <f>Settings!$B$3&amp;".mit.shp."&amp;$B397&amp;"."&amp;Settings!$B$4&amp;"."&amp;$J$367</f>
        <v>egy.mit.shp.ren.ind.2</v>
      </c>
      <c r="H397" s="45" t="str">
        <f>Settings!$B$3&amp;".mit.shp."&amp;$C$367&amp;"."&amp;$B397&amp;".e."&amp;$J$367</f>
        <v>egy.mit.shp.nfm.ren.e.2</v>
      </c>
      <c r="K397" s="19">
        <f>K387+INDEX(Data_Prices!K:K,MATCH($G397,Data_Prices!$A:$A,0))*K$400</f>
        <v>0</v>
      </c>
      <c r="L397" s="19">
        <f>L387+INDEX(Data_Prices!L:L,MATCH($G397,Data_Prices!$A:$A,0))*L$400</f>
        <v>0.14404498679319799</v>
      </c>
      <c r="M397" s="19">
        <f>M387+INDEX(Data_Prices!M:M,MATCH($G397,Data_Prices!$A:$A,0))*M$400</f>
        <v>0.141386241751359</v>
      </c>
      <c r="N397" s="19">
        <f>N387+INDEX(Data_Prices!N:N,MATCH($G397,Data_Prices!$A:$A,0))*N$400</f>
        <v>0.13539756544373099</v>
      </c>
      <c r="O397" s="19">
        <f>O387+INDEX(Data_Prices!O:O,MATCH($G397,Data_Prices!$A:$A,0))*O$400</f>
        <v>0.13152288542065099</v>
      </c>
      <c r="P397" s="19">
        <f>P387+INDEX(Data_Prices!P:P,MATCH($G397,Data_Prices!$A:$A,0))*P$400</f>
        <v>0.12882610848523099</v>
      </c>
      <c r="Q397" s="19">
        <f>Q387+INDEX(Data_Prices!Q:Q,MATCH($G397,Data_Prices!$A:$A,0))*Q$400</f>
        <v>0.12594200976473999</v>
      </c>
      <c r="R397" s="19">
        <f>R387+INDEX(Data_Prices!R:R,MATCH($G397,Data_Prices!$A:$A,0))*R$400</f>
        <v>0.123113265701861</v>
      </c>
      <c r="S397" s="19">
        <f>S387+INDEX(Data_Prices!S:S,MATCH($G397,Data_Prices!$A:$A,0))*S$400</f>
        <v>0.119391738089068</v>
      </c>
      <c r="T397" s="19">
        <f>T387+INDEX(Data_Prices!T:T,MATCH($G397,Data_Prices!$A:$A,0))*T$400</f>
        <v>0.11554419046792</v>
      </c>
      <c r="U397" s="19">
        <f>U387+INDEX(Data_Prices!U:U,MATCH($G397,Data_Prices!$A:$A,0))*U$400</f>
        <v>0.11492423065415899</v>
      </c>
      <c r="V397" s="19">
        <f>V387+INDEX(Data_Prices!V:V,MATCH($G397,Data_Prices!$A:$A,0))*V$400</f>
        <v>0.114346912116736</v>
      </c>
      <c r="W397" s="19">
        <f>W387+INDEX(Data_Prices!W:W,MATCH($G397,Data_Prices!$A:$A,0))*W$400</f>
        <v>0.113738711172664</v>
      </c>
      <c r="X397" s="19">
        <f>X387+INDEX(Data_Prices!X:X,MATCH($G397,Data_Prices!$A:$A,0))*X$400</f>
        <v>0.112999900487521</v>
      </c>
      <c r="Y397" s="19">
        <f>Y387+INDEX(Data_Prices!Y:Y,MATCH($G397,Data_Prices!$A:$A,0))*Y$400</f>
        <v>0.112177685835534</v>
      </c>
      <c r="Z397" s="19">
        <f>Z387+INDEX(Data_Prices!Z:Z,MATCH($G397,Data_Prices!$A:$A,0))*Z$400</f>
        <v>0.111417903250404</v>
      </c>
      <c r="AA397" s="19">
        <f>AA387+INDEX(Data_Prices!AA:AA,MATCH($G397,Data_Prices!$A:$A,0))*AA$400</f>
        <v>0.11052581998545399</v>
      </c>
      <c r="AB397" s="19">
        <f>AB387+INDEX(Data_Prices!AB:AB,MATCH($G397,Data_Prices!$A:$A,0))*AB$400</f>
        <v>0.109699565234896</v>
      </c>
      <c r="AC397" s="19">
        <f>AC387+INDEX(Data_Prices!AC:AC,MATCH($G397,Data_Prices!$A:$A,0))*AC$400</f>
        <v>0.10772678896394899</v>
      </c>
      <c r="AD397" s="19">
        <f>AD387+INDEX(Data_Prices!AD:AD,MATCH($G397,Data_Prices!$A:$A,0))*AD$400</f>
        <v>0.10582092445093499</v>
      </c>
      <c r="AE397" s="19">
        <f>AE387+INDEX(Data_Prices!AE:AE,MATCH($G397,Data_Prices!$A:$A,0))*AE$400</f>
        <v>0.103855595705721</v>
      </c>
    </row>
    <row r="398" spans="2:31" x14ac:dyDescent="0.45">
      <c r="B398" s="13" t="s">
        <v>79</v>
      </c>
    </row>
    <row r="399" spans="2:31" x14ac:dyDescent="0.45">
      <c r="B399" s="14" t="s">
        <v>80</v>
      </c>
      <c r="C399" s="14" t="str">
        <f>$C$367</f>
        <v>nfm</v>
      </c>
      <c r="D399" s="15" t="s">
        <v>81</v>
      </c>
      <c r="E399" s="16" t="s">
        <v>82</v>
      </c>
      <c r="F399" s="14" t="s">
        <v>83</v>
      </c>
      <c r="G399" s="17" t="str">
        <f>Settings!$B$3&amp;".mit.tcf."&amp;$C$367&amp;"."&amp;$J$367</f>
        <v>egy.mit.tcf.nfm.2</v>
      </c>
      <c r="K399" s="19">
        <f>INDEX(Data_Prices!K:K,MATCH($G399,Data_Prices!$A:$A,0))</f>
        <v>0</v>
      </c>
      <c r="L399" s="19">
        <f>INDEX(Data_Prices!L:L,MATCH($G399,Data_Prices!$A:$A,0))</f>
        <v>0</v>
      </c>
      <c r="M399" s="19">
        <f>INDEX(Data_Prices!M:M,MATCH($G399,Data_Prices!$A:$A,0))</f>
        <v>0</v>
      </c>
      <c r="N399" s="19">
        <f>INDEX(Data_Prices!N:N,MATCH($G399,Data_Prices!$A:$A,0))</f>
        <v>0</v>
      </c>
      <c r="O399" s="19">
        <f>INDEX(Data_Prices!O:O,MATCH($G399,Data_Prices!$A:$A,0))</f>
        <v>0</v>
      </c>
      <c r="P399" s="19">
        <f>INDEX(Data_Prices!P:P,MATCH($G399,Data_Prices!$A:$A,0))</f>
        <v>1</v>
      </c>
      <c r="Q399" s="19">
        <f>INDEX(Data_Prices!Q:Q,MATCH($G399,Data_Prices!$A:$A,0))</f>
        <v>1</v>
      </c>
      <c r="R399" s="19">
        <f>INDEX(Data_Prices!R:R,MATCH($G399,Data_Prices!$A:$A,0))</f>
        <v>1</v>
      </c>
      <c r="S399" s="19">
        <f>INDEX(Data_Prices!S:S,MATCH($G399,Data_Prices!$A:$A,0))</f>
        <v>1</v>
      </c>
      <c r="T399" s="19">
        <f>INDEX(Data_Prices!T:T,MATCH($G399,Data_Prices!$A:$A,0))</f>
        <v>1</v>
      </c>
      <c r="U399" s="19">
        <f>INDEX(Data_Prices!U:U,MATCH($G399,Data_Prices!$A:$A,0))</f>
        <v>1</v>
      </c>
      <c r="V399" s="19">
        <f>INDEX(Data_Prices!V:V,MATCH($G399,Data_Prices!$A:$A,0))</f>
        <v>1</v>
      </c>
      <c r="W399" s="19">
        <f>INDEX(Data_Prices!W:W,MATCH($G399,Data_Prices!$A:$A,0))</f>
        <v>1</v>
      </c>
      <c r="X399" s="19">
        <f>INDEX(Data_Prices!X:X,MATCH($G399,Data_Prices!$A:$A,0))</f>
        <v>1</v>
      </c>
      <c r="Y399" s="19">
        <f>INDEX(Data_Prices!Y:Y,MATCH($G399,Data_Prices!$A:$A,0))</f>
        <v>1</v>
      </c>
      <c r="Z399" s="19">
        <f>INDEX(Data_Prices!Z:Z,MATCH($G399,Data_Prices!$A:$A,0))</f>
        <v>1</v>
      </c>
      <c r="AA399" s="19">
        <f>INDEX(Data_Prices!AA:AA,MATCH($G399,Data_Prices!$A:$A,0))</f>
        <v>1</v>
      </c>
      <c r="AB399" s="19">
        <f>INDEX(Data_Prices!AB:AB,MATCH($G399,Data_Prices!$A:$A,0))</f>
        <v>1</v>
      </c>
      <c r="AC399" s="19">
        <f>INDEX(Data_Prices!AC:AC,MATCH($G399,Data_Prices!$A:$A,0))</f>
        <v>1</v>
      </c>
      <c r="AD399" s="19">
        <f>INDEX(Data_Prices!AD:AD,MATCH($G399,Data_Prices!$A:$A,0))</f>
        <v>1</v>
      </c>
      <c r="AE399" s="19">
        <f>INDEX(Data_Prices!AE:AE,MATCH($G399,Data_Prices!$A:$A,0))</f>
        <v>1</v>
      </c>
    </row>
    <row r="400" spans="2:31" x14ac:dyDescent="0.45">
      <c r="B400" s="14" t="s">
        <v>80</v>
      </c>
      <c r="C400" s="14" t="str">
        <f>$C$367</f>
        <v>nfm</v>
      </c>
      <c r="D400" s="15" t="s">
        <v>84</v>
      </c>
      <c r="E400" s="16" t="s">
        <v>82</v>
      </c>
      <c r="F400" s="14" t="s">
        <v>85</v>
      </c>
      <c r="G400" s="17" t="str">
        <f>Settings!$B$3&amp;".mit.ssc."&amp;$C$367&amp;"."&amp;$J$367</f>
        <v>egy.mit.ssc.nfm.2</v>
      </c>
      <c r="K400" s="19">
        <f>INDEX(Data_Prices!K:K,MATCH($G400,Data_Prices!$A:$A,0))</f>
        <v>0</v>
      </c>
      <c r="L400" s="19">
        <f>INDEX(Data_Prices!L:L,MATCH($G400,Data_Prices!$A:$A,0))</f>
        <v>0</v>
      </c>
      <c r="M400" s="19">
        <f>INDEX(Data_Prices!M:M,MATCH($G400,Data_Prices!$A:$A,0))</f>
        <v>0</v>
      </c>
      <c r="N400" s="19">
        <f>INDEX(Data_Prices!N:N,MATCH($G400,Data_Prices!$A:$A,0))</f>
        <v>0</v>
      </c>
      <c r="O400" s="19">
        <f>INDEX(Data_Prices!O:O,MATCH($G400,Data_Prices!$A:$A,0))</f>
        <v>0</v>
      </c>
      <c r="P400" s="19">
        <f>INDEX(Data_Prices!P:P,MATCH($G400,Data_Prices!$A:$A,0))</f>
        <v>0</v>
      </c>
      <c r="Q400" s="19">
        <f>INDEX(Data_Prices!Q:Q,MATCH($G400,Data_Prices!$A:$A,0))</f>
        <v>0</v>
      </c>
      <c r="R400" s="19">
        <f>INDEX(Data_Prices!R:R,MATCH($G400,Data_Prices!$A:$A,0))</f>
        <v>0</v>
      </c>
      <c r="S400" s="19">
        <f>INDEX(Data_Prices!S:S,MATCH($G400,Data_Prices!$A:$A,0))</f>
        <v>0</v>
      </c>
      <c r="T400" s="19">
        <f>INDEX(Data_Prices!T:T,MATCH($G400,Data_Prices!$A:$A,0))</f>
        <v>0</v>
      </c>
      <c r="U400" s="19">
        <f>INDEX(Data_Prices!U:U,MATCH($G400,Data_Prices!$A:$A,0))</f>
        <v>0</v>
      </c>
      <c r="V400" s="19">
        <f>INDEX(Data_Prices!V:V,MATCH($G400,Data_Prices!$A:$A,0))</f>
        <v>0</v>
      </c>
      <c r="W400" s="19">
        <f>INDEX(Data_Prices!W:W,MATCH($G400,Data_Prices!$A:$A,0))</f>
        <v>0</v>
      </c>
      <c r="X400" s="19">
        <f>INDEX(Data_Prices!X:X,MATCH($G400,Data_Prices!$A:$A,0))</f>
        <v>0</v>
      </c>
      <c r="Y400" s="19">
        <f>INDEX(Data_Prices!Y:Y,MATCH($G400,Data_Prices!$A:$A,0))</f>
        <v>0</v>
      </c>
      <c r="Z400" s="19">
        <f>INDEX(Data_Prices!Z:Z,MATCH($G400,Data_Prices!$A:$A,0))</f>
        <v>0</v>
      </c>
      <c r="AA400" s="19">
        <f>INDEX(Data_Prices!AA:AA,MATCH($G400,Data_Prices!$A:$A,0))</f>
        <v>0</v>
      </c>
      <c r="AB400" s="19">
        <f>INDEX(Data_Prices!AB:AB,MATCH($G400,Data_Prices!$A:$A,0))</f>
        <v>0</v>
      </c>
      <c r="AC400" s="19">
        <f>INDEX(Data_Prices!AC:AC,MATCH($G400,Data_Prices!$A:$A,0))</f>
        <v>0</v>
      </c>
      <c r="AD400" s="19">
        <f>INDEX(Data_Prices!AD:AD,MATCH($G400,Data_Prices!$A:$A,0))</f>
        <v>0</v>
      </c>
      <c r="AE400" s="19">
        <f>INDEX(Data_Prices!AE:AE,MATCH($G400,Data_Prices!$A:$A,0))</f>
        <v>0</v>
      </c>
    </row>
    <row r="401" spans="2:31" x14ac:dyDescent="0.45">
      <c r="B401" s="14" t="s">
        <v>80</v>
      </c>
      <c r="C401" s="14" t="str">
        <f>$C$367</f>
        <v>nfm</v>
      </c>
      <c r="D401" s="15" t="s">
        <v>86</v>
      </c>
      <c r="E401" s="16" t="s">
        <v>87</v>
      </c>
      <c r="F401" s="14" t="s">
        <v>88</v>
      </c>
      <c r="G401" s="17" t="str">
        <f>Settings!$B$3&amp;".mit.gdp.pos.pct."&amp;$J$367</f>
        <v>egy.mit.gdp.pos.pct.2</v>
      </c>
      <c r="K401" s="20">
        <f>INDEX(Data_Macro!K:K,MATCH($G401,Data_Macro!$A:$A,0))</f>
        <v>0</v>
      </c>
      <c r="L401" s="20">
        <f>INDEX(Data_Macro!L:L,MATCH($G401,Data_Macro!$A:$A,0))</f>
        <v>6.6513450000000002E-2</v>
      </c>
      <c r="M401" s="20">
        <f>INDEX(Data_Macro!M:M,MATCH($G401,Data_Macro!$A:$A,0))</f>
        <v>3.760281E-2</v>
      </c>
      <c r="N401" s="20">
        <f>INDEX(Data_Macro!N:N,MATCH($G401,Data_Macro!$A:$A,0))</f>
        <v>2.3988010000000001E-2</v>
      </c>
      <c r="O401" s="20">
        <f>INDEX(Data_Macro!O:O,MATCH($G401,Data_Macro!$A:$A,0))</f>
        <v>4.3923869999999997E-2</v>
      </c>
      <c r="P401" s="20">
        <f>INDEX(Data_Macro!P:P,MATCH($G401,Data_Macro!$A:$A,0))</f>
        <v>4.239706E-2</v>
      </c>
      <c r="Q401" s="20">
        <f>INDEX(Data_Macro!Q:Q,MATCH($G401,Data_Macro!$A:$A,0))</f>
        <v>4.8298383783007597E-2</v>
      </c>
      <c r="R401" s="20">
        <f>INDEX(Data_Macro!R:R,MATCH($G401,Data_Macro!$A:$A,0))</f>
        <v>5.55905477124225E-2</v>
      </c>
      <c r="S401" s="20">
        <f>INDEX(Data_Macro!S:S,MATCH($G401,Data_Macro!$A:$A,0))</f>
        <v>5.2137235389631401E-2</v>
      </c>
      <c r="T401" s="20">
        <f>INDEX(Data_Macro!T:T,MATCH($G401,Data_Macro!$A:$A,0))</f>
        <v>4.8124907491929901E-2</v>
      </c>
      <c r="U401" s="20">
        <f>INDEX(Data_Macro!U:U,MATCH($G401,Data_Macro!$A:$A,0))</f>
        <v>4.7208796526521303E-2</v>
      </c>
      <c r="V401" s="20">
        <f>INDEX(Data_Macro!V:V,MATCH($G401,Data_Macro!$A:$A,0))</f>
        <v>4.66890433006764E-2</v>
      </c>
      <c r="W401" s="20">
        <f>INDEX(Data_Macro!W:W,MATCH($G401,Data_Macro!$A:$A,0))</f>
        <v>4.6632750147029202E-2</v>
      </c>
      <c r="X401" s="20">
        <f>INDEX(Data_Macro!X:X,MATCH($G401,Data_Macro!$A:$A,0))</f>
        <v>4.6872723264421497E-2</v>
      </c>
      <c r="Y401" s="20">
        <f>INDEX(Data_Macro!Y:Y,MATCH($G401,Data_Macro!$A:$A,0))</f>
        <v>4.7469921753048698E-2</v>
      </c>
      <c r="Z401" s="20">
        <f>INDEX(Data_Macro!Z:Z,MATCH($G401,Data_Macro!$A:$A,0))</f>
        <v>4.8590713024029002E-2</v>
      </c>
      <c r="AA401" s="20">
        <f>INDEX(Data_Macro!AA:AA,MATCH($G401,Data_Macro!$A:$A,0))</f>
        <v>4.9941182078066401E-2</v>
      </c>
      <c r="AB401" s="20">
        <f>INDEX(Data_Macro!AB:AB,MATCH($G401,Data_Macro!$A:$A,0))</f>
        <v>5.13941835424786E-2</v>
      </c>
      <c r="AC401" s="20">
        <f>INDEX(Data_Macro!AC:AC,MATCH($G401,Data_Macro!$A:$A,0))</f>
        <v>5.2681763019776701E-2</v>
      </c>
      <c r="AD401" s="20">
        <f>INDEX(Data_Macro!AD:AD,MATCH($G401,Data_Macro!$A:$A,0))</f>
        <v>5.3800711336350303E-2</v>
      </c>
      <c r="AE401" s="20">
        <f>INDEX(Data_Macro!AE:AE,MATCH($G401,Data_Macro!$A:$A,0))</f>
        <v>5.4789398044337599E-2</v>
      </c>
    </row>
    <row r="402" spans="2:31" x14ac:dyDescent="0.45">
      <c r="B402" s="14" t="s">
        <v>80</v>
      </c>
      <c r="C402" s="14" t="str">
        <f>$C$367</f>
        <v>nfm</v>
      </c>
      <c r="D402" s="15" t="s">
        <v>89</v>
      </c>
      <c r="E402" s="16" t="s">
        <v>90</v>
      </c>
      <c r="F402" s="14" t="s">
        <v>91</v>
      </c>
      <c r="G402" s="17" t="str">
        <f>Settings!$B$3&amp;".mit.inc.ela.adj."&amp;$J$367</f>
        <v>egy.mit.inc.ela.adj.2</v>
      </c>
      <c r="K402" s="19">
        <f>INDEX(Data_Macro!K:K,MATCH($G402,Data_Macro!$A:$A,0))</f>
        <v>0</v>
      </c>
      <c r="L402" s="19">
        <f>INDEX(Data_Macro!L:L,MATCH($G402,Data_Macro!$A:$A,0))</f>
        <v>1.02715172471961</v>
      </c>
      <c r="M402" s="19">
        <f>INDEX(Data_Macro!M:M,MATCH($G402,Data_Macro!$A:$A,0))</f>
        <v>1.02715172471961</v>
      </c>
      <c r="N402" s="19">
        <f>INDEX(Data_Macro!N:N,MATCH($G402,Data_Macro!$A:$A,0))</f>
        <v>1.0205698358851201</v>
      </c>
      <c r="O402" s="19">
        <f>INDEX(Data_Macro!O:O,MATCH($G402,Data_Macro!$A:$A,0))</f>
        <v>1.01733442885234</v>
      </c>
      <c r="P402" s="19">
        <f>INDEX(Data_Macro!P:P,MATCH($G402,Data_Macro!$A:$A,0))</f>
        <v>1.00766833225382</v>
      </c>
      <c r="Q402" s="19">
        <f>INDEX(Data_Macro!Q:Q,MATCH($G402,Data_Macro!$A:$A,0))</f>
        <v>1.0007442871755301</v>
      </c>
      <c r="R402" s="19">
        <f>INDEX(Data_Macro!R:R,MATCH($G402,Data_Macro!$A:$A,0))</f>
        <v>0.99188455719464297</v>
      </c>
      <c r="S402" s="19">
        <f>INDEX(Data_Macro!S:S,MATCH($G402,Data_Macro!$A:$A,0))</f>
        <v>0.98058056507860303</v>
      </c>
      <c r="T402" s="19">
        <f>INDEX(Data_Macro!T:T,MATCH($G402,Data_Macro!$A:$A,0))</f>
        <v>0.970250789717781</v>
      </c>
      <c r="U402" s="19">
        <f>INDEX(Data_Macro!U:U,MATCH($G402,Data_Macro!$A:$A,0))</f>
        <v>0.964288208159648</v>
      </c>
      <c r="V402" s="19">
        <f>INDEX(Data_Macro!V:V,MATCH($G402,Data_Macro!$A:$A,0))</f>
        <v>0.96183439341951105</v>
      </c>
      <c r="W402" s="19">
        <f>INDEX(Data_Macro!W:W,MATCH($G402,Data_Macro!$A:$A,0))</f>
        <v>0.95941695116164405</v>
      </c>
      <c r="X402" s="19">
        <f>INDEX(Data_Macro!X:X,MATCH($G402,Data_Macro!$A:$A,0))</f>
        <v>0.95701429252188397</v>
      </c>
      <c r="Y402" s="19">
        <f>INDEX(Data_Macro!Y:Y,MATCH($G402,Data_Macro!$A:$A,0))</f>
        <v>0.95468193722552197</v>
      </c>
      <c r="Z402" s="19">
        <f>INDEX(Data_Macro!Z:Z,MATCH($G402,Data_Macro!$A:$A,0))</f>
        <v>0.95240071158774597</v>
      </c>
      <c r="AA402" s="19">
        <f>INDEX(Data_Macro!AA:AA,MATCH($G402,Data_Macro!$A:$A,0))</f>
        <v>0.95011647499405505</v>
      </c>
      <c r="AB402" s="19">
        <f>INDEX(Data_Macro!AB:AB,MATCH($G402,Data_Macro!$A:$A,0))</f>
        <v>0.947927358499145</v>
      </c>
      <c r="AC402" s="19">
        <f>INDEX(Data_Macro!AC:AC,MATCH($G402,Data_Macro!$A:$A,0))</f>
        <v>0.94587674776299702</v>
      </c>
      <c r="AD402" s="19">
        <f>INDEX(Data_Macro!AD:AD,MATCH($G402,Data_Macro!$A:$A,0))</f>
        <v>0.94405480582839296</v>
      </c>
      <c r="AE402" s="19">
        <f>INDEX(Data_Macro!AE:AE,MATCH($G402,Data_Macro!$A:$A,0))</f>
        <v>0.94246391225206505</v>
      </c>
    </row>
    <row r="403" spans="2:31" x14ac:dyDescent="0.45">
      <c r="B403" s="14" t="s">
        <v>80</v>
      </c>
      <c r="C403" s="14" t="str">
        <f>$C$367</f>
        <v>nfm</v>
      </c>
      <c r="D403" s="15" t="s">
        <v>92</v>
      </c>
      <c r="E403" s="16" t="s">
        <v>90</v>
      </c>
      <c r="F403" s="14" t="s">
        <v>93</v>
      </c>
      <c r="G403" s="17" t="str">
        <f>Settings!$B$3&amp;".mit.shock."&amp;$J$367</f>
        <v>egy.mit.shock.2</v>
      </c>
      <c r="K403" s="19">
        <f>INDEX(Data_Macro!K:K,MATCH($G403,Data_Macro!$A:$A,0))</f>
        <v>0</v>
      </c>
      <c r="L403" s="19">
        <f>INDEX(Data_Macro!L:L,MATCH($G403,Data_Macro!$A:$A,0))</f>
        <v>0</v>
      </c>
      <c r="M403" s="19">
        <f>INDEX(Data_Macro!M:M,MATCH($G403,Data_Macro!$A:$A,0))</f>
        <v>-0.20813308302044201</v>
      </c>
      <c r="N403" s="19">
        <f>INDEX(Data_Macro!N:N,MATCH($G403,Data_Macro!$A:$A,0))</f>
        <v>9.2371428571428604E-2</v>
      </c>
      <c r="O403" s="19">
        <f>INDEX(Data_Macro!O:O,MATCH($G403,Data_Macro!$A:$A,0))</f>
        <v>0</v>
      </c>
      <c r="P403" s="19">
        <f>INDEX(Data_Macro!P:P,MATCH($G403,Data_Macro!$A:$A,0))</f>
        <v>0</v>
      </c>
      <c r="Q403" s="19">
        <f>INDEX(Data_Macro!Q:Q,MATCH($G403,Data_Macro!$A:$A,0))</f>
        <v>0</v>
      </c>
      <c r="R403" s="19">
        <f>INDEX(Data_Macro!R:R,MATCH($G403,Data_Macro!$A:$A,0))</f>
        <v>0</v>
      </c>
      <c r="S403" s="19">
        <f>INDEX(Data_Macro!S:S,MATCH($G403,Data_Macro!$A:$A,0))</f>
        <v>0</v>
      </c>
      <c r="T403" s="19">
        <f>INDEX(Data_Macro!T:T,MATCH($G403,Data_Macro!$A:$A,0))</f>
        <v>0</v>
      </c>
      <c r="U403" s="19">
        <f>INDEX(Data_Macro!U:U,MATCH($G403,Data_Macro!$A:$A,0))</f>
        <v>0</v>
      </c>
      <c r="V403" s="19">
        <f>INDEX(Data_Macro!V:V,MATCH($G403,Data_Macro!$A:$A,0))</f>
        <v>0</v>
      </c>
      <c r="W403" s="19">
        <f>INDEX(Data_Macro!W:W,MATCH($G403,Data_Macro!$A:$A,0))</f>
        <v>0</v>
      </c>
      <c r="X403" s="19">
        <f>INDEX(Data_Macro!X:X,MATCH($G403,Data_Macro!$A:$A,0))</f>
        <v>0</v>
      </c>
      <c r="Y403" s="19">
        <f>INDEX(Data_Macro!Y:Y,MATCH($G403,Data_Macro!$A:$A,0))</f>
        <v>0</v>
      </c>
      <c r="Z403" s="19">
        <f>INDEX(Data_Macro!Z:Z,MATCH($G403,Data_Macro!$A:$A,0))</f>
        <v>0</v>
      </c>
      <c r="AA403" s="19">
        <f>INDEX(Data_Macro!AA:AA,MATCH($G403,Data_Macro!$A:$A,0))</f>
        <v>0</v>
      </c>
      <c r="AB403" s="19">
        <f>INDEX(Data_Macro!AB:AB,MATCH($G403,Data_Macro!$A:$A,0))</f>
        <v>0</v>
      </c>
      <c r="AC403" s="19">
        <f>INDEX(Data_Macro!AC:AC,MATCH($G403,Data_Macro!$A:$A,0))</f>
        <v>0</v>
      </c>
      <c r="AD403" s="19">
        <f>INDEX(Data_Macro!AD:AD,MATCH($G403,Data_Macro!$A:$A,0))</f>
        <v>0</v>
      </c>
      <c r="AE403" s="19">
        <f>INDEX(Data_Macro!AE:AE,MATCH($G403,Data_Macro!$A:$A,0))</f>
        <v>0</v>
      </c>
    </row>
    <row r="404" spans="2:31" x14ac:dyDescent="0.45">
      <c r="B404" s="13" t="s">
        <v>94</v>
      </c>
    </row>
    <row r="405" spans="2:31" x14ac:dyDescent="0.45">
      <c r="B405" s="7" t="s">
        <v>35</v>
      </c>
      <c r="C405" s="7" t="s">
        <v>36</v>
      </c>
      <c r="D405" s="21" t="s">
        <v>37</v>
      </c>
      <c r="E405" s="7" t="s">
        <v>95</v>
      </c>
      <c r="F405" s="7" t="s">
        <v>96</v>
      </c>
      <c r="G405" s="7" t="s">
        <v>97</v>
      </c>
      <c r="H405" s="7" t="s">
        <v>98</v>
      </c>
      <c r="I405" s="7" t="s">
        <v>99</v>
      </c>
      <c r="J405" s="7" t="s">
        <v>100</v>
      </c>
    </row>
    <row r="406" spans="2:31" x14ac:dyDescent="0.45">
      <c r="B406" s="14" t="s">
        <v>52</v>
      </c>
      <c r="C406" s="14" t="str">
        <f t="shared" ref="C406:C414" si="93">$C$367</f>
        <v>nfm</v>
      </c>
      <c r="D406" s="22" t="s">
        <v>101</v>
      </c>
      <c r="E406" s="23">
        <f>INDEX(Data_Elast!$D:$G,MATCH("el_inc_"&amp;INDEX(Data_Elast!$J:$J,MATCH($B406,Data_Elast!$I:$I,0)),Data_Elast!$A:$A,0),MATCH(Settings!$B$5,Data_Elast!$D$1:$G$1,0))</f>
        <v>0.5</v>
      </c>
      <c r="F406" s="23">
        <f>INDEX(Data_Elast!$D:$G,MATCH("el_dem_"&amp;INDEX(Data_Elast!$J:$J,MATCH($B406,Data_Elast!$I:$I,0)),Data_Elast!$A:$A,0),MATCH(Settings!$B$5,Data_Elast!$D$1:$G$1,0))</f>
        <v>-0.3</v>
      </c>
      <c r="G406" s="23">
        <f>INDEX(Data_Elast!$D:$G,MATCH("el_eff_"&amp;INDEX(Data_Elast!$J:$J,MATCH($B406,Data_Elast!$I:$I,0)),Data_Elast!$A:$A,0),MATCH(Settings!$B$5,Data_Elast!$D$1:$G$1,0))</f>
        <v>-0.4</v>
      </c>
      <c r="H406" s="23">
        <f>INDEX(Data_Elast!$D:$G,MATCH("eff_imp_"&amp;INDEX(Data_Elast!$K:$K,MATCH($B406,Data_Elast!$I:$I,0)),Data_Elast!$A:$A,0),MATCH(Settings!$B$5,Data_Elast!$D$1:$G$1,0))</f>
        <v>5.0000000000000001E-3</v>
      </c>
      <c r="I406" s="23">
        <f>Settings!$B$7</f>
        <v>0</v>
      </c>
      <c r="J406" s="16" t="str">
        <f>INDEX(Data_Elast!$J:$J,MATCH($B406,Data_Elast!$I:$I,0))</f>
        <v>coa</v>
      </c>
    </row>
    <row r="407" spans="2:31" x14ac:dyDescent="0.45">
      <c r="B407" s="14" t="s">
        <v>56</v>
      </c>
      <c r="C407" s="14" t="str">
        <f t="shared" si="93"/>
        <v>nfm</v>
      </c>
      <c r="D407" s="22" t="s">
        <v>102</v>
      </c>
      <c r="E407" s="23">
        <f>INDEX(Data_Elast!$D:$G,MATCH("el_inc_"&amp;INDEX(Data_Elast!$J:$J,MATCH($B407,Data_Elast!$I:$I,0)),Data_Elast!$A:$A,0),MATCH(Settings!$B$5,Data_Elast!$D$1:$G$1,0))</f>
        <v>1</v>
      </c>
      <c r="F407" s="23">
        <f>INDEX(Data_Elast!$D:$G,MATCH("el_dem_"&amp;INDEX(Data_Elast!$J:$J,MATCH($B407,Data_Elast!$I:$I,0)),Data_Elast!$A:$A,0),MATCH(Settings!$B$5,Data_Elast!$D$1:$G$1,0))</f>
        <v>-0.5</v>
      </c>
      <c r="G407" s="23">
        <f>INDEX(Data_Elast!$D:$G,MATCH("el_eff_"&amp;INDEX(Data_Elast!$J:$J,MATCH($B407,Data_Elast!$I:$I,0)),Data_Elast!$A:$A,0),MATCH(Settings!$B$5,Data_Elast!$D$1:$G$1,0))</f>
        <v>-0.5</v>
      </c>
      <c r="H407" s="23">
        <f>INDEX(Data_Elast!$D:$G,MATCH("eff_imp_"&amp;INDEX(Data_Elast!$K:$K,MATCH($B407,Data_Elast!$I:$I,0)),Data_Elast!$A:$A,0),MATCH(Settings!$B$5,Data_Elast!$D$1:$G$1,0))</f>
        <v>0.01</v>
      </c>
      <c r="I407" s="23">
        <f>Settings!$B$7</f>
        <v>0</v>
      </c>
      <c r="J407" s="16" t="str">
        <f>INDEX(Data_Elast!$J:$J,MATCH($B407,Data_Elast!$I:$I,0))</f>
        <v>nga</v>
      </c>
    </row>
    <row r="408" spans="2:31" x14ac:dyDescent="0.45">
      <c r="B408" s="14" t="s">
        <v>58</v>
      </c>
      <c r="C408" s="14" t="str">
        <f t="shared" si="93"/>
        <v>nfm</v>
      </c>
      <c r="D408" s="22" t="s">
        <v>103</v>
      </c>
      <c r="E408" s="23">
        <f>INDEX(Data_Elast!$D:$G,MATCH("el_inc_"&amp;INDEX(Data_Elast!$J:$J,MATCH($B408,Data_Elast!$I:$I,0)),Data_Elast!$A:$A,0),MATCH(Settings!$B$5,Data_Elast!$D$1:$G$1,0))</f>
        <v>0.5</v>
      </c>
      <c r="F408" s="23">
        <f>INDEX(Data_Elast!$D:$G,MATCH("el_dem_"&amp;INDEX(Data_Elast!$J:$J,MATCH($B408,Data_Elast!$I:$I,0)),Data_Elast!$A:$A,0),MATCH(Settings!$B$5,Data_Elast!$D$1:$G$1,0))</f>
        <v>-0.4</v>
      </c>
      <c r="G408" s="23">
        <f>INDEX(Data_Elast!$D:$G,MATCH("el_eff_"&amp;INDEX(Data_Elast!$J:$J,MATCH($B408,Data_Elast!$I:$I,0)),Data_Elast!$A:$A,0),MATCH(Settings!$B$5,Data_Elast!$D$1:$G$1,0))</f>
        <v>-0.7</v>
      </c>
      <c r="H408" s="23">
        <f>INDEX(Data_Elast!$D:$G,MATCH("eff_imp_"&amp;INDEX(Data_Elast!$K:$K,MATCH($B408,Data_Elast!$I:$I,0)),Data_Elast!$A:$A,0),MATCH(Settings!$B$5,Data_Elast!$D$1:$G$1,0))</f>
        <v>5.0000000000000001E-3</v>
      </c>
      <c r="I408" s="23">
        <f>Settings!$B$7</f>
        <v>0</v>
      </c>
      <c r="J408" s="16" t="str">
        <f>INDEX(Data_Elast!$J:$J,MATCH($B408,Data_Elast!$I:$I,0))</f>
        <v>gso</v>
      </c>
    </row>
    <row r="409" spans="2:31" x14ac:dyDescent="0.45">
      <c r="B409" s="14" t="s">
        <v>61</v>
      </c>
      <c r="C409" s="14" t="str">
        <f t="shared" si="93"/>
        <v>nfm</v>
      </c>
      <c r="D409" s="22" t="s">
        <v>104</v>
      </c>
      <c r="E409" s="23">
        <f>INDEX(Data_Elast!$D:$G,MATCH("el_inc_"&amp;INDEX(Data_Elast!$J:$J,MATCH($B409,Data_Elast!$I:$I,0)),Data_Elast!$A:$A,0),MATCH(Settings!$B$5,Data_Elast!$D$1:$G$1,0))</f>
        <v>0.5</v>
      </c>
      <c r="F409" s="23">
        <f>INDEX(Data_Elast!$D:$G,MATCH("el_dem_"&amp;INDEX(Data_Elast!$J:$J,MATCH($B409,Data_Elast!$I:$I,0)),Data_Elast!$A:$A,0),MATCH(Settings!$B$5,Data_Elast!$D$1:$G$1,0))</f>
        <v>-0.7</v>
      </c>
      <c r="G409" s="23">
        <f>INDEX(Data_Elast!$D:$G,MATCH("el_eff_"&amp;INDEX(Data_Elast!$J:$J,MATCH($B409,Data_Elast!$I:$I,0)),Data_Elast!$A:$A,0),MATCH(Settings!$B$5,Data_Elast!$D$1:$G$1,0))</f>
        <v>-1.2</v>
      </c>
      <c r="H409" s="23">
        <f>INDEX(Data_Elast!$D:$G,MATCH("eff_imp_"&amp;INDEX(Data_Elast!$K:$K,MATCH($B409,Data_Elast!$I:$I,0)),Data_Elast!$A:$A,0),MATCH(Settings!$B$5,Data_Elast!$D$1:$G$1,0))</f>
        <v>5.0000000000000001E-3</v>
      </c>
      <c r="I409" s="23">
        <f>Settings!$B$7</f>
        <v>0</v>
      </c>
      <c r="J409" s="16" t="str">
        <f>INDEX(Data_Elast!$J:$J,MATCH($B409,Data_Elast!$I:$I,0))</f>
        <v>die</v>
      </c>
    </row>
    <row r="410" spans="2:31" x14ac:dyDescent="0.45">
      <c r="B410" s="14" t="s">
        <v>63</v>
      </c>
      <c r="C410" s="14" t="str">
        <f t="shared" si="93"/>
        <v>nfm</v>
      </c>
      <c r="D410" s="22" t="s">
        <v>105</v>
      </c>
      <c r="E410" s="23">
        <f>INDEX(Data_Elast!$D:$G,MATCH("el_inc_"&amp;INDEX(Data_Elast!$J:$J,MATCH($B410,Data_Elast!$I:$I,0)),Data_Elast!$A:$A,0),MATCH(Settings!$B$5,Data_Elast!$D$1:$G$1,0))</f>
        <v>0.8</v>
      </c>
      <c r="F410" s="23">
        <f>INDEX(Data_Elast!$D:$G,MATCH("el_dem_"&amp;INDEX(Data_Elast!$J:$J,MATCH($B410,Data_Elast!$I:$I,0)),Data_Elast!$A:$A,0),MATCH(Settings!$B$5,Data_Elast!$D$1:$G$1,0))</f>
        <v>-0.4</v>
      </c>
      <c r="G410" s="23">
        <f>INDEX(Data_Elast!$D:$G,MATCH("el_eff_"&amp;INDEX(Data_Elast!$J:$J,MATCH($B410,Data_Elast!$I:$I,0)),Data_Elast!$A:$A,0),MATCH(Settings!$B$5,Data_Elast!$D$1:$G$1,0))</f>
        <v>-0.4</v>
      </c>
      <c r="H410" s="23">
        <f>INDEX(Data_Elast!$D:$G,MATCH("eff_imp_"&amp;INDEX(Data_Elast!$K:$K,MATCH($B410,Data_Elast!$I:$I,0)),Data_Elast!$A:$A,0),MATCH(Settings!$B$5,Data_Elast!$D$1:$G$1,0))</f>
        <v>5.0000000000000001E-3</v>
      </c>
      <c r="I410" s="23">
        <f>Settings!$B$7</f>
        <v>0</v>
      </c>
      <c r="J410" s="16" t="str">
        <f>INDEX(Data_Elast!$J:$J,MATCH($B410,Data_Elast!$I:$I,0))</f>
        <v>oil</v>
      </c>
    </row>
    <row r="411" spans="2:31" x14ac:dyDescent="0.45">
      <c r="B411" s="14" t="s">
        <v>65</v>
      </c>
      <c r="C411" s="14" t="str">
        <f t="shared" si="93"/>
        <v>nfm</v>
      </c>
      <c r="D411" s="22" t="s">
        <v>106</v>
      </c>
      <c r="E411" s="23">
        <f>INDEX(Data_Elast!$D:$G,MATCH("el_inc_"&amp;INDEX(Data_Elast!$J:$J,MATCH($B411,Data_Elast!$I:$I,0)),Data_Elast!$A:$A,0),MATCH(Settings!$B$5,Data_Elast!$D$1:$G$1,0))</f>
        <v>0.8</v>
      </c>
      <c r="F411" s="23">
        <f>INDEX(Data_Elast!$D:$G,MATCH("el_dem_"&amp;INDEX(Data_Elast!$J:$J,MATCH($B411,Data_Elast!$I:$I,0)),Data_Elast!$A:$A,0),MATCH(Settings!$B$5,Data_Elast!$D$1:$G$1,0))</f>
        <v>-0.4</v>
      </c>
      <c r="G411" s="23">
        <f>INDEX(Data_Elast!$D:$G,MATCH("el_eff_"&amp;INDEX(Data_Elast!$J:$J,MATCH($B411,Data_Elast!$I:$I,0)),Data_Elast!$A:$A,0),MATCH(Settings!$B$5,Data_Elast!$D$1:$G$1,0))</f>
        <v>-0.4</v>
      </c>
      <c r="H411" s="23">
        <f>INDEX(Data_Elast!$D:$G,MATCH("eff_imp_"&amp;INDEX(Data_Elast!$K:$K,MATCH($B411,Data_Elast!$I:$I,0)),Data_Elast!$A:$A,0),MATCH(Settings!$B$5,Data_Elast!$D$1:$G$1,0))</f>
        <v>5.0000000000000001E-3</v>
      </c>
      <c r="I411" s="23">
        <f>Settings!$B$7</f>
        <v>0</v>
      </c>
      <c r="J411" s="16" t="str">
        <f>INDEX(Data_Elast!$J:$J,MATCH($B411,Data_Elast!$I:$I,0))</f>
        <v>oil</v>
      </c>
    </row>
    <row r="412" spans="2:31" x14ac:dyDescent="0.45">
      <c r="B412" s="14" t="s">
        <v>67</v>
      </c>
      <c r="C412" s="14" t="str">
        <f t="shared" si="93"/>
        <v>nfm</v>
      </c>
      <c r="D412" s="22" t="s">
        <v>107</v>
      </c>
      <c r="E412" s="23">
        <f>INDEX(Data_Elast!$D:$G,MATCH("el_inc_"&amp;INDEX(Data_Elast!$J:$J,MATCH($B412,Data_Elast!$I:$I,0)),Data_Elast!$A:$A,0),MATCH(Settings!$B$5,Data_Elast!$D$1:$G$1,0))</f>
        <v>0.8</v>
      </c>
      <c r="F412" s="23">
        <f>INDEX(Data_Elast!$D:$G,MATCH("el_dem_"&amp;INDEX(Data_Elast!$J:$J,MATCH($B412,Data_Elast!$I:$I,0)),Data_Elast!$A:$A,0),MATCH(Settings!$B$5,Data_Elast!$D$1:$G$1,0))</f>
        <v>-0.4</v>
      </c>
      <c r="G412" s="23">
        <f>INDEX(Data_Elast!$D:$G,MATCH("el_eff_"&amp;INDEX(Data_Elast!$J:$J,MATCH($B412,Data_Elast!$I:$I,0)),Data_Elast!$A:$A,0),MATCH(Settings!$B$5,Data_Elast!$D$1:$G$1,0))</f>
        <v>-0.4</v>
      </c>
      <c r="H412" s="23">
        <f>INDEX(Data_Elast!$D:$G,MATCH("eff_imp_"&amp;INDEX(Data_Elast!$K:$K,MATCH($B412,Data_Elast!$I:$I,0)),Data_Elast!$A:$A,0),MATCH(Settings!$B$5,Data_Elast!$D$1:$G$1,0))</f>
        <v>5.0000000000000001E-3</v>
      </c>
      <c r="I412" s="23">
        <f>Settings!$B$7</f>
        <v>0</v>
      </c>
      <c r="J412" s="16" t="str">
        <f>INDEX(Data_Elast!$J:$J,MATCH($B412,Data_Elast!$I:$I,0))</f>
        <v>oil</v>
      </c>
    </row>
    <row r="413" spans="2:31" x14ac:dyDescent="0.45">
      <c r="B413" s="14" t="s">
        <v>70</v>
      </c>
      <c r="C413" s="14" t="str">
        <f t="shared" si="93"/>
        <v>nfm</v>
      </c>
      <c r="D413" s="22" t="s">
        <v>108</v>
      </c>
      <c r="E413" s="23">
        <f>INDEX(Data_Elast!$D:$G,MATCH("el_inc_"&amp;INDEX(Data_Elast!$J:$J,MATCH($B413,Data_Elast!$I:$I,0)),Data_Elast!$A:$A,0),MATCH(Settings!$B$5,Data_Elast!$D$1:$G$1,0))</f>
        <v>0.1</v>
      </c>
      <c r="F413" s="23">
        <f>INDEX(Data_Elast!$D:$G,MATCH("el_dem_"&amp;INDEX(Data_Elast!$J:$J,MATCH($B413,Data_Elast!$I:$I,0)),Data_Elast!$A:$A,0),MATCH(Settings!$B$5,Data_Elast!$D$1:$G$1,0))</f>
        <v>-0.3</v>
      </c>
      <c r="G413" s="23">
        <f>INDEX(Data_Elast!$D:$G,MATCH("el_eff_"&amp;INDEX(Data_Elast!$J:$J,MATCH($B413,Data_Elast!$I:$I,0)),Data_Elast!$A:$A,0),MATCH(Settings!$B$5,Data_Elast!$D$1:$G$1,0))</f>
        <v>-0.2</v>
      </c>
      <c r="H413" s="23">
        <f>INDEX(Data_Elast!$D:$G,MATCH("eff_imp_"&amp;INDEX(Data_Elast!$K:$K,MATCH($B413,Data_Elast!$I:$I,0)),Data_Elast!$A:$A,0),MATCH(Settings!$B$5,Data_Elast!$D$1:$G$1,0))</f>
        <v>5.0000000000000001E-3</v>
      </c>
      <c r="I413" s="23">
        <f>Settings!$B$7</f>
        <v>0</v>
      </c>
      <c r="J413" s="16" t="str">
        <f>INDEX(Data_Elast!$J:$J,MATCH($B413,Data_Elast!$I:$I,0))</f>
        <v>bio</v>
      </c>
    </row>
    <row r="414" spans="2:31" x14ac:dyDescent="0.45">
      <c r="B414" s="14" t="s">
        <v>72</v>
      </c>
      <c r="C414" s="14" t="str">
        <f t="shared" si="93"/>
        <v>nfm</v>
      </c>
      <c r="D414" s="22" t="s">
        <v>109</v>
      </c>
      <c r="E414" s="23">
        <f>INDEX(Data_Elast!$D:$G,MATCH("el_inc_"&amp;INDEX(Data_Elast!$J:$J,MATCH($B414,Data_Elast!$I:$I,0)),Data_Elast!$A:$A,0),MATCH(Settings!$B$5,Data_Elast!$D$1:$G$1,0))</f>
        <v>0.8</v>
      </c>
      <c r="F414" s="23">
        <f>INDEX(Data_Elast!$D:$G,MATCH("el_dem_"&amp;INDEX(Data_Elast!$J:$J,MATCH($B414,Data_Elast!$I:$I,0)),Data_Elast!$A:$A,0),MATCH(Settings!$B$5,Data_Elast!$D$1:$G$1,0))</f>
        <v>-0.5</v>
      </c>
      <c r="G414" s="23">
        <f>INDEX(Data_Elast!$D:$G,MATCH("el_eff_"&amp;INDEX(Data_Elast!$J:$J,MATCH($B414,Data_Elast!$I:$I,0)),Data_Elast!$A:$A,0),MATCH(Settings!$B$5,Data_Elast!$D$1:$G$1,0))</f>
        <v>-0.4</v>
      </c>
      <c r="H414" s="23">
        <f>INDEX(Data_Elast!$D:$G,MATCH("eff_imp_"&amp;INDEX(Data_Elast!$K:$K,MATCH($B414,Data_Elast!$I:$I,0)),Data_Elast!$A:$A,0),MATCH(Settings!$B$5,Data_Elast!$D$1:$G$1,0))</f>
        <v>5.0000000000000001E-3</v>
      </c>
      <c r="I414" s="23">
        <f>Settings!$B$7</f>
        <v>0</v>
      </c>
      <c r="J414" s="16" t="str">
        <f>INDEX(Data_Elast!$J:$J,MATCH($B414,Data_Elast!$I:$I,0))</f>
        <v>ren</v>
      </c>
    </row>
    <row r="415" spans="2:31" x14ac:dyDescent="0.45">
      <c r="B415" s="13" t="s">
        <v>110</v>
      </c>
    </row>
    <row r="416" spans="2:31" x14ac:dyDescent="0.45">
      <c r="B416" s="14" t="s">
        <v>52</v>
      </c>
      <c r="C416" s="14" t="str">
        <f t="shared" ref="C416:C425" si="94">$C$367</f>
        <v>nfm</v>
      </c>
      <c r="D416" s="15" t="s">
        <v>53</v>
      </c>
      <c r="E416" s="16" t="s">
        <v>111</v>
      </c>
      <c r="F416" s="14" t="s">
        <v>112</v>
      </c>
      <c r="G416" s="17" t="str">
        <f>Settings!$B$3&amp;".mit.enc."&amp;$B416</f>
        <v>egy.mit.enc.coa</v>
      </c>
      <c r="H416" s="45" t="str">
        <f>Settings!$B$3&amp;".mit.ener."&amp;$C$367&amp;"."&amp;$B416&amp;".e."&amp;$J$367</f>
        <v>egy.mit.ener.nfm.coa.e.2</v>
      </c>
      <c r="L416" s="47">
        <f>INDEX(Data_Energy!$D$3:$U$22,MATCH($B416,Data_Energy!$C$3:$C$22,0),MATCH($C416,Data_Energy!$D$2:$U$2,0))</f>
        <v>0</v>
      </c>
      <c r="M416" s="24">
        <f t="shared" ref="M416:AE416" si="95">L416*(1+M$401)^($E406*M$402)*(1+M$403)*IF(L379&lt;=0,1,M379/L379)^$F406*(IF(L389&lt;=0,1,M389/L389)^$G406/(1+$H406+$I406))^(1+$F406)</f>
        <v>0</v>
      </c>
      <c r="N416" s="24">
        <f t="shared" si="95"/>
        <v>0</v>
      </c>
      <c r="O416" s="24">
        <f t="shared" si="95"/>
        <v>0</v>
      </c>
      <c r="P416" s="24">
        <f t="shared" si="95"/>
        <v>0</v>
      </c>
      <c r="Q416" s="24">
        <f t="shared" si="95"/>
        <v>0</v>
      </c>
      <c r="R416" s="24">
        <f t="shared" si="95"/>
        <v>0</v>
      </c>
      <c r="S416" s="24">
        <f t="shared" si="95"/>
        <v>0</v>
      </c>
      <c r="T416" s="24">
        <f t="shared" si="95"/>
        <v>0</v>
      </c>
      <c r="U416" s="24">
        <f t="shared" si="95"/>
        <v>0</v>
      </c>
      <c r="V416" s="24">
        <f t="shared" si="95"/>
        <v>0</v>
      </c>
      <c r="W416" s="24">
        <f t="shared" si="95"/>
        <v>0</v>
      </c>
      <c r="X416" s="24">
        <f t="shared" si="95"/>
        <v>0</v>
      </c>
      <c r="Y416" s="24">
        <f t="shared" si="95"/>
        <v>0</v>
      </c>
      <c r="Z416" s="24">
        <f t="shared" si="95"/>
        <v>0</v>
      </c>
      <c r="AA416" s="24">
        <f t="shared" si="95"/>
        <v>0</v>
      </c>
      <c r="AB416" s="24">
        <f t="shared" si="95"/>
        <v>0</v>
      </c>
      <c r="AC416" s="24">
        <f t="shared" si="95"/>
        <v>0</v>
      </c>
      <c r="AD416" s="24">
        <f t="shared" si="95"/>
        <v>0</v>
      </c>
      <c r="AE416" s="24">
        <f t="shared" si="95"/>
        <v>0</v>
      </c>
    </row>
    <row r="417" spans="1:35" x14ac:dyDescent="0.45">
      <c r="B417" s="14" t="s">
        <v>56</v>
      </c>
      <c r="C417" s="14" t="str">
        <f t="shared" si="94"/>
        <v>nfm</v>
      </c>
      <c r="D417" s="15" t="s">
        <v>57</v>
      </c>
      <c r="E417" s="16" t="s">
        <v>111</v>
      </c>
      <c r="F417" s="14" t="s">
        <v>112</v>
      </c>
      <c r="G417" s="17" t="str">
        <f>Settings!$B$3&amp;".mit.enc."&amp;$B417</f>
        <v>egy.mit.enc.nga</v>
      </c>
      <c r="H417" s="45" t="str">
        <f>Settings!$B$3&amp;".mit.ener."&amp;$C$367&amp;"."&amp;$B417&amp;".e."&amp;$J$367</f>
        <v>egy.mit.ener.nfm.nga.e.2</v>
      </c>
      <c r="L417" s="47">
        <f>INDEX(Data_Energy!$D$3:$U$22,MATCH($B417,Data_Energy!$C$3:$C$22,0),MATCH($C417,Data_Energy!$D$2:$U$2,0))</f>
        <v>0</v>
      </c>
      <c r="M417" s="24">
        <f t="shared" ref="M417:AE417" si="96">L417*(1+M$401)^($E407*M$402)*(1+M$403)*IF(L380&lt;=0,1,M380/L380)^$F407*(IF(L390&lt;=0,1,M390/L390)^$G407/(1+$H407+$I407))^(1+$F407)</f>
        <v>0</v>
      </c>
      <c r="N417" s="24">
        <f t="shared" si="96"/>
        <v>0</v>
      </c>
      <c r="O417" s="24">
        <f t="shared" si="96"/>
        <v>0</v>
      </c>
      <c r="P417" s="24">
        <f t="shared" si="96"/>
        <v>0</v>
      </c>
      <c r="Q417" s="24">
        <f t="shared" si="96"/>
        <v>0</v>
      </c>
      <c r="R417" s="24">
        <f t="shared" si="96"/>
        <v>0</v>
      </c>
      <c r="S417" s="24">
        <f t="shared" si="96"/>
        <v>0</v>
      </c>
      <c r="T417" s="24">
        <f t="shared" si="96"/>
        <v>0</v>
      </c>
      <c r="U417" s="24">
        <f t="shared" si="96"/>
        <v>0</v>
      </c>
      <c r="V417" s="24">
        <f t="shared" si="96"/>
        <v>0</v>
      </c>
      <c r="W417" s="24">
        <f t="shared" si="96"/>
        <v>0</v>
      </c>
      <c r="X417" s="24">
        <f t="shared" si="96"/>
        <v>0</v>
      </c>
      <c r="Y417" s="24">
        <f t="shared" si="96"/>
        <v>0</v>
      </c>
      <c r="Z417" s="24">
        <f t="shared" si="96"/>
        <v>0</v>
      </c>
      <c r="AA417" s="24">
        <f t="shared" si="96"/>
        <v>0</v>
      </c>
      <c r="AB417" s="24">
        <f t="shared" si="96"/>
        <v>0</v>
      </c>
      <c r="AC417" s="24">
        <f t="shared" si="96"/>
        <v>0</v>
      </c>
      <c r="AD417" s="24">
        <f t="shared" si="96"/>
        <v>0</v>
      </c>
      <c r="AE417" s="24">
        <f t="shared" si="96"/>
        <v>0</v>
      </c>
    </row>
    <row r="418" spans="1:35" x14ac:dyDescent="0.45">
      <c r="B418" s="14" t="s">
        <v>58</v>
      </c>
      <c r="C418" s="14" t="str">
        <f t="shared" si="94"/>
        <v>nfm</v>
      </c>
      <c r="D418" s="15" t="s">
        <v>59</v>
      </c>
      <c r="E418" s="16" t="s">
        <v>111</v>
      </c>
      <c r="F418" s="14" t="s">
        <v>112</v>
      </c>
      <c r="G418" s="17" t="str">
        <f>Settings!$B$3&amp;".mit.enc."&amp;$B418</f>
        <v>egy.mit.enc.gso</v>
      </c>
      <c r="H418" s="45" t="str">
        <f>Settings!$B$3&amp;".mit.ener."&amp;$C$367&amp;"."&amp;$B418&amp;".e."&amp;$J$367</f>
        <v>egy.mit.ener.nfm.gso.e.2</v>
      </c>
      <c r="L418" s="47">
        <f>INDEX(Data_Energy!$D$3:$U$22,MATCH($B418,Data_Energy!$C$3:$C$22,0),MATCH($C418,Data_Energy!$D$2:$U$2,0))</f>
        <v>0</v>
      </c>
      <c r="M418" s="24">
        <f t="shared" ref="M418:AE418" si="97">L418*(1+M$401)^($E408*M$402)*(1+M$403)*IF(L381&lt;=0,1,M381/L381)^$F408*(IF(L391&lt;=0,1,M391/L391)^$G408/(1+$H408+$I408))^(1+$F408)</f>
        <v>0</v>
      </c>
      <c r="N418" s="24">
        <f t="shared" si="97"/>
        <v>0</v>
      </c>
      <c r="O418" s="24">
        <f t="shared" si="97"/>
        <v>0</v>
      </c>
      <c r="P418" s="24">
        <f t="shared" si="97"/>
        <v>0</v>
      </c>
      <c r="Q418" s="24">
        <f t="shared" si="97"/>
        <v>0</v>
      </c>
      <c r="R418" s="24">
        <f t="shared" si="97"/>
        <v>0</v>
      </c>
      <c r="S418" s="24">
        <f t="shared" si="97"/>
        <v>0</v>
      </c>
      <c r="T418" s="24">
        <f t="shared" si="97"/>
        <v>0</v>
      </c>
      <c r="U418" s="24">
        <f t="shared" si="97"/>
        <v>0</v>
      </c>
      <c r="V418" s="24">
        <f t="shared" si="97"/>
        <v>0</v>
      </c>
      <c r="W418" s="24">
        <f t="shared" si="97"/>
        <v>0</v>
      </c>
      <c r="X418" s="24">
        <f t="shared" si="97"/>
        <v>0</v>
      </c>
      <c r="Y418" s="24">
        <f t="shared" si="97"/>
        <v>0</v>
      </c>
      <c r="Z418" s="24">
        <f t="shared" si="97"/>
        <v>0</v>
      </c>
      <c r="AA418" s="24">
        <f t="shared" si="97"/>
        <v>0</v>
      </c>
      <c r="AB418" s="24">
        <f t="shared" si="97"/>
        <v>0</v>
      </c>
      <c r="AC418" s="24">
        <f t="shared" si="97"/>
        <v>0</v>
      </c>
      <c r="AD418" s="24">
        <f t="shared" si="97"/>
        <v>0</v>
      </c>
      <c r="AE418" s="24">
        <f t="shared" si="97"/>
        <v>0</v>
      </c>
    </row>
    <row r="419" spans="1:35" x14ac:dyDescent="0.45">
      <c r="B419" s="14" t="s">
        <v>61</v>
      </c>
      <c r="C419" s="14" t="str">
        <f t="shared" si="94"/>
        <v>nfm</v>
      </c>
      <c r="D419" s="15" t="s">
        <v>62</v>
      </c>
      <c r="E419" s="16" t="s">
        <v>111</v>
      </c>
      <c r="F419" s="14" t="s">
        <v>112</v>
      </c>
      <c r="G419" s="17" t="str">
        <f>Settings!$B$3&amp;".mit.enc."&amp;$B419</f>
        <v>egy.mit.enc.die</v>
      </c>
      <c r="H419" s="45" t="str">
        <f>Settings!$B$3&amp;".mit.ener."&amp;$C$367&amp;"."&amp;$B419&amp;".e."&amp;$J$367</f>
        <v>egy.mit.ener.nfm.die.e.2</v>
      </c>
      <c r="L419" s="47">
        <f>INDEX(Data_Energy!$D$3:$U$22,MATCH($B419,Data_Energy!$C$3:$C$22,0),MATCH($C419,Data_Energy!$D$2:$U$2,0))</f>
        <v>0</v>
      </c>
      <c r="M419" s="24">
        <f t="shared" ref="M419:AE419" si="98">L419*(1+M$401)^($E409*M$402)*(1+M$403)*IF(L382&lt;=0,1,M382/L382)^$F409*(IF(L392&lt;=0,1,M392/L392)^$G409/(1+$H409+$I409))^(1+$F409)</f>
        <v>0</v>
      </c>
      <c r="N419" s="24">
        <f t="shared" si="98"/>
        <v>0</v>
      </c>
      <c r="O419" s="24">
        <f t="shared" si="98"/>
        <v>0</v>
      </c>
      <c r="P419" s="24">
        <f t="shared" si="98"/>
        <v>0</v>
      </c>
      <c r="Q419" s="24">
        <f t="shared" si="98"/>
        <v>0</v>
      </c>
      <c r="R419" s="24">
        <f t="shared" si="98"/>
        <v>0</v>
      </c>
      <c r="S419" s="24">
        <f t="shared" si="98"/>
        <v>0</v>
      </c>
      <c r="T419" s="24">
        <f t="shared" si="98"/>
        <v>0</v>
      </c>
      <c r="U419" s="24">
        <f t="shared" si="98"/>
        <v>0</v>
      </c>
      <c r="V419" s="24">
        <f t="shared" si="98"/>
        <v>0</v>
      </c>
      <c r="W419" s="24">
        <f t="shared" si="98"/>
        <v>0</v>
      </c>
      <c r="X419" s="24">
        <f t="shared" si="98"/>
        <v>0</v>
      </c>
      <c r="Y419" s="24">
        <f t="shared" si="98"/>
        <v>0</v>
      </c>
      <c r="Z419" s="24">
        <f t="shared" si="98"/>
        <v>0</v>
      </c>
      <c r="AA419" s="24">
        <f t="shared" si="98"/>
        <v>0</v>
      </c>
      <c r="AB419" s="24">
        <f t="shared" si="98"/>
        <v>0</v>
      </c>
      <c r="AC419" s="24">
        <f t="shared" si="98"/>
        <v>0</v>
      </c>
      <c r="AD419" s="24">
        <f t="shared" si="98"/>
        <v>0</v>
      </c>
      <c r="AE419" s="24">
        <f t="shared" si="98"/>
        <v>0</v>
      </c>
    </row>
    <row r="420" spans="1:35" x14ac:dyDescent="0.45">
      <c r="B420" s="14" t="s">
        <v>63</v>
      </c>
      <c r="C420" s="14" t="str">
        <f t="shared" si="94"/>
        <v>nfm</v>
      </c>
      <c r="D420" s="15" t="s">
        <v>64</v>
      </c>
      <c r="E420" s="16" t="s">
        <v>111</v>
      </c>
      <c r="F420" s="14" t="s">
        <v>112</v>
      </c>
      <c r="G420" s="17" t="str">
        <f>Settings!$B$3&amp;".mit.enc."&amp;$B420</f>
        <v>egy.mit.enc.lpg</v>
      </c>
      <c r="H420" s="45" t="str">
        <f>Settings!$B$3&amp;".mit.ener."&amp;$C$367&amp;"."&amp;$B420&amp;".e."&amp;$J$367</f>
        <v>egy.mit.ener.nfm.lpg.e.2</v>
      </c>
      <c r="L420" s="47">
        <f>INDEX(Data_Energy!$D$3:$U$22,MATCH($B420,Data_Energy!$C$3:$C$22,0),MATCH($C420,Data_Energy!$D$2:$U$2,0))</f>
        <v>0</v>
      </c>
      <c r="M420" s="24">
        <f t="shared" ref="M420:AE420" si="99">L420*(1+M$401)^($E410*M$402)*(1+M$403)*IF(L383&lt;=0,1,M383/L383)^$F410*(IF(L393&lt;=0,1,M393/L393)^$G410/(1+$H410+$I410))^(1+$F410)</f>
        <v>0</v>
      </c>
      <c r="N420" s="24">
        <f t="shared" si="99"/>
        <v>0</v>
      </c>
      <c r="O420" s="24">
        <f t="shared" si="99"/>
        <v>0</v>
      </c>
      <c r="P420" s="24">
        <f t="shared" si="99"/>
        <v>0</v>
      </c>
      <c r="Q420" s="24">
        <f t="shared" si="99"/>
        <v>0</v>
      </c>
      <c r="R420" s="24">
        <f t="shared" si="99"/>
        <v>0</v>
      </c>
      <c r="S420" s="24">
        <f t="shared" si="99"/>
        <v>0</v>
      </c>
      <c r="T420" s="24">
        <f t="shared" si="99"/>
        <v>0</v>
      </c>
      <c r="U420" s="24">
        <f t="shared" si="99"/>
        <v>0</v>
      </c>
      <c r="V420" s="24">
        <f t="shared" si="99"/>
        <v>0</v>
      </c>
      <c r="W420" s="24">
        <f t="shared" si="99"/>
        <v>0</v>
      </c>
      <c r="X420" s="24">
        <f t="shared" si="99"/>
        <v>0</v>
      </c>
      <c r="Y420" s="24">
        <f t="shared" si="99"/>
        <v>0</v>
      </c>
      <c r="Z420" s="24">
        <f t="shared" si="99"/>
        <v>0</v>
      </c>
      <c r="AA420" s="24">
        <f t="shared" si="99"/>
        <v>0</v>
      </c>
      <c r="AB420" s="24">
        <f t="shared" si="99"/>
        <v>0</v>
      </c>
      <c r="AC420" s="24">
        <f t="shared" si="99"/>
        <v>0</v>
      </c>
      <c r="AD420" s="24">
        <f t="shared" si="99"/>
        <v>0</v>
      </c>
      <c r="AE420" s="24">
        <f t="shared" si="99"/>
        <v>0</v>
      </c>
    </row>
    <row r="421" spans="1:35" x14ac:dyDescent="0.45">
      <c r="B421" s="14" t="s">
        <v>65</v>
      </c>
      <c r="C421" s="14" t="str">
        <f t="shared" si="94"/>
        <v>nfm</v>
      </c>
      <c r="D421" s="15" t="s">
        <v>66</v>
      </c>
      <c r="E421" s="16" t="s">
        <v>111</v>
      </c>
      <c r="F421" s="14" t="s">
        <v>112</v>
      </c>
      <c r="G421" s="17" t="str">
        <f>Settings!$B$3&amp;".mit.enc."&amp;$B421</f>
        <v>egy.mit.enc.ker</v>
      </c>
      <c r="H421" s="45" t="str">
        <f>Settings!$B$3&amp;".mit.ener."&amp;$C$367&amp;"."&amp;$B421&amp;".e."&amp;$J$367</f>
        <v>egy.mit.ener.nfm.ker.e.2</v>
      </c>
      <c r="L421" s="47">
        <f>INDEX(Data_Energy!$D$3:$U$22,MATCH($B421,Data_Energy!$C$3:$C$22,0),MATCH($C421,Data_Energy!$D$2:$U$2,0))</f>
        <v>0</v>
      </c>
      <c r="M421" s="24">
        <f t="shared" ref="M421:AE421" si="100">L421*(1+M$401)^($E411*M$402)*(1+M$403)*IF(L384&lt;=0,1,M384/L384)^$F411*(IF(L394&lt;=0,1,M394/L394)^$G411/(1+$H411+$I411))^(1+$F411)</f>
        <v>0</v>
      </c>
      <c r="N421" s="24">
        <f t="shared" si="100"/>
        <v>0</v>
      </c>
      <c r="O421" s="24">
        <f t="shared" si="100"/>
        <v>0</v>
      </c>
      <c r="P421" s="24">
        <f t="shared" si="100"/>
        <v>0</v>
      </c>
      <c r="Q421" s="24">
        <f t="shared" si="100"/>
        <v>0</v>
      </c>
      <c r="R421" s="24">
        <f t="shared" si="100"/>
        <v>0</v>
      </c>
      <c r="S421" s="24">
        <f t="shared" si="100"/>
        <v>0</v>
      </c>
      <c r="T421" s="24">
        <f t="shared" si="100"/>
        <v>0</v>
      </c>
      <c r="U421" s="24">
        <f t="shared" si="100"/>
        <v>0</v>
      </c>
      <c r="V421" s="24">
        <f t="shared" si="100"/>
        <v>0</v>
      </c>
      <c r="W421" s="24">
        <f t="shared" si="100"/>
        <v>0</v>
      </c>
      <c r="X421" s="24">
        <f t="shared" si="100"/>
        <v>0</v>
      </c>
      <c r="Y421" s="24">
        <f t="shared" si="100"/>
        <v>0</v>
      </c>
      <c r="Z421" s="24">
        <f t="shared" si="100"/>
        <v>0</v>
      </c>
      <c r="AA421" s="24">
        <f t="shared" si="100"/>
        <v>0</v>
      </c>
      <c r="AB421" s="24">
        <f t="shared" si="100"/>
        <v>0</v>
      </c>
      <c r="AC421" s="24">
        <f t="shared" si="100"/>
        <v>0</v>
      </c>
      <c r="AD421" s="24">
        <f t="shared" si="100"/>
        <v>0</v>
      </c>
      <c r="AE421" s="24">
        <f t="shared" si="100"/>
        <v>0</v>
      </c>
    </row>
    <row r="422" spans="1:35" x14ac:dyDescent="0.45">
      <c r="B422" s="14" t="s">
        <v>67</v>
      </c>
      <c r="C422" s="14" t="str">
        <f t="shared" si="94"/>
        <v>nfm</v>
      </c>
      <c r="D422" s="15" t="s">
        <v>68</v>
      </c>
      <c r="E422" s="16" t="s">
        <v>111</v>
      </c>
      <c r="F422" s="14" t="s">
        <v>112</v>
      </c>
      <c r="G422" s="17" t="str">
        <f>Settings!$B$3&amp;".mit.enc."&amp;$B422</f>
        <v>egy.mit.enc.oop</v>
      </c>
      <c r="H422" s="45" t="str">
        <f>Settings!$B$3&amp;".mit.ener."&amp;$C$367&amp;"."&amp;$B422&amp;".e."&amp;$J$367</f>
        <v>egy.mit.ener.nfm.oop.e.2</v>
      </c>
      <c r="L422" s="47">
        <f>INDEX(Data_Energy!$D$3:$U$22,MATCH($B422,Data_Energy!$C$3:$C$22,0),MATCH($C422,Data_Energy!$D$2:$U$2,0))</f>
        <v>0</v>
      </c>
      <c r="M422" s="24">
        <f t="shared" ref="M422:AE422" si="101">L422*(1+M$401)^($E412*M$402)*(1+M$403)*IF(L385&lt;=0,1,M385/L385)^$F412*(IF(L395&lt;=0,1,M395/L395)^$G412/(1+$H412+$I412))^(1+$F412)</f>
        <v>0</v>
      </c>
      <c r="N422" s="24">
        <f t="shared" si="101"/>
        <v>0</v>
      </c>
      <c r="O422" s="24">
        <f t="shared" si="101"/>
        <v>0</v>
      </c>
      <c r="P422" s="24">
        <f t="shared" si="101"/>
        <v>0</v>
      </c>
      <c r="Q422" s="24">
        <f t="shared" si="101"/>
        <v>0</v>
      </c>
      <c r="R422" s="24">
        <f t="shared" si="101"/>
        <v>0</v>
      </c>
      <c r="S422" s="24">
        <f t="shared" si="101"/>
        <v>0</v>
      </c>
      <c r="T422" s="24">
        <f t="shared" si="101"/>
        <v>0</v>
      </c>
      <c r="U422" s="24">
        <f t="shared" si="101"/>
        <v>0</v>
      </c>
      <c r="V422" s="24">
        <f t="shared" si="101"/>
        <v>0</v>
      </c>
      <c r="W422" s="24">
        <f t="shared" si="101"/>
        <v>0</v>
      </c>
      <c r="X422" s="24">
        <f t="shared" si="101"/>
        <v>0</v>
      </c>
      <c r="Y422" s="24">
        <f t="shared" si="101"/>
        <v>0</v>
      </c>
      <c r="Z422" s="24">
        <f t="shared" si="101"/>
        <v>0</v>
      </c>
      <c r="AA422" s="24">
        <f t="shared" si="101"/>
        <v>0</v>
      </c>
      <c r="AB422" s="24">
        <f t="shared" si="101"/>
        <v>0</v>
      </c>
      <c r="AC422" s="24">
        <f t="shared" si="101"/>
        <v>0</v>
      </c>
      <c r="AD422" s="24">
        <f t="shared" si="101"/>
        <v>0</v>
      </c>
      <c r="AE422" s="24">
        <f t="shared" si="101"/>
        <v>0</v>
      </c>
    </row>
    <row r="423" spans="1:35" x14ac:dyDescent="0.45">
      <c r="B423" s="14" t="s">
        <v>70</v>
      </c>
      <c r="C423" s="14" t="str">
        <f t="shared" si="94"/>
        <v>nfm</v>
      </c>
      <c r="D423" s="15" t="s">
        <v>71</v>
      </c>
      <c r="E423" s="16" t="s">
        <v>111</v>
      </c>
      <c r="F423" s="14" t="s">
        <v>112</v>
      </c>
      <c r="G423" s="17" t="str">
        <f>Settings!$B$3&amp;".mit.enc."&amp;$B423</f>
        <v>egy.mit.enc.bio</v>
      </c>
      <c r="H423" s="45" t="str">
        <f>Settings!$B$3&amp;".mit.ener."&amp;$C$367&amp;"."&amp;$B423&amp;".e."&amp;$J$367</f>
        <v>egy.mit.ener.nfm.bio.e.2</v>
      </c>
      <c r="L423" s="47">
        <f>INDEX(Data_Energy!$D$3:$U$22,MATCH($B423,Data_Energy!$C$3:$C$22,0),MATCH($C423,Data_Energy!$D$2:$U$2,0))</f>
        <v>0</v>
      </c>
      <c r="M423" s="24">
        <f t="shared" ref="M423:AE423" si="102">L423*(1+M$401)^($E413*M$402)*(1+M$403)*IF(L386&lt;=0,1,M386/L386)^$F413*(IF(L396&lt;=0,1,M396/L396)^$G413/(1+$H413+$I413))^(1+$F413)</f>
        <v>0</v>
      </c>
      <c r="N423" s="24">
        <f t="shared" si="102"/>
        <v>0</v>
      </c>
      <c r="O423" s="24">
        <f t="shared" si="102"/>
        <v>0</v>
      </c>
      <c r="P423" s="24">
        <f t="shared" si="102"/>
        <v>0</v>
      </c>
      <c r="Q423" s="24">
        <f t="shared" si="102"/>
        <v>0</v>
      </c>
      <c r="R423" s="24">
        <f t="shared" si="102"/>
        <v>0</v>
      </c>
      <c r="S423" s="24">
        <f t="shared" si="102"/>
        <v>0</v>
      </c>
      <c r="T423" s="24">
        <f t="shared" si="102"/>
        <v>0</v>
      </c>
      <c r="U423" s="24">
        <f t="shared" si="102"/>
        <v>0</v>
      </c>
      <c r="V423" s="24">
        <f t="shared" si="102"/>
        <v>0</v>
      </c>
      <c r="W423" s="24">
        <f t="shared" si="102"/>
        <v>0</v>
      </c>
      <c r="X423" s="24">
        <f t="shared" si="102"/>
        <v>0</v>
      </c>
      <c r="Y423" s="24">
        <f t="shared" si="102"/>
        <v>0</v>
      </c>
      <c r="Z423" s="24">
        <f t="shared" si="102"/>
        <v>0</v>
      </c>
      <c r="AA423" s="24">
        <f t="shared" si="102"/>
        <v>0</v>
      </c>
      <c r="AB423" s="24">
        <f t="shared" si="102"/>
        <v>0</v>
      </c>
      <c r="AC423" s="24">
        <f t="shared" si="102"/>
        <v>0</v>
      </c>
      <c r="AD423" s="24">
        <f t="shared" si="102"/>
        <v>0</v>
      </c>
      <c r="AE423" s="24">
        <f t="shared" si="102"/>
        <v>0</v>
      </c>
    </row>
    <row r="424" spans="1:35" x14ac:dyDescent="0.45">
      <c r="B424" s="14" t="s">
        <v>72</v>
      </c>
      <c r="C424" s="14" t="str">
        <f t="shared" si="94"/>
        <v>nfm</v>
      </c>
      <c r="D424" s="15" t="s">
        <v>73</v>
      </c>
      <c r="E424" s="16" t="s">
        <v>111</v>
      </c>
      <c r="F424" s="14" t="s">
        <v>112</v>
      </c>
      <c r="G424" s="17" t="str">
        <f>Settings!$B$3&amp;".mit.enc."&amp;$B424</f>
        <v>egy.mit.enc.ren</v>
      </c>
      <c r="H424" s="45" t="str">
        <f>Settings!$B$3&amp;".mit.ener."&amp;$C$367&amp;"."&amp;$B424&amp;".e."&amp;$J$367</f>
        <v>egy.mit.ener.nfm.ren.e.2</v>
      </c>
      <c r="L424" s="47">
        <f>INDEX(Data_Energy!$D$3:$U$22,MATCH($B424,Data_Energy!$C$3:$C$22,0),MATCH($C424,Data_Energy!$D$2:$U$2,0))</f>
        <v>0</v>
      </c>
      <c r="M424" s="24">
        <f t="shared" ref="M424:AE424" si="103">L424*(1+M$401)^($E414*M$402)*(1+M$403)*IF(L387&lt;=0,1,M387/L387)^$F414*(IF(L397&lt;=0,1,M397/L397)^$G414/(1+$H414+$I414))^(1+$F414)</f>
        <v>0</v>
      </c>
      <c r="N424" s="24">
        <f t="shared" si="103"/>
        <v>0</v>
      </c>
      <c r="O424" s="24">
        <f t="shared" si="103"/>
        <v>0</v>
      </c>
      <c r="P424" s="24">
        <f t="shared" si="103"/>
        <v>0</v>
      </c>
      <c r="Q424" s="24">
        <f t="shared" si="103"/>
        <v>0</v>
      </c>
      <c r="R424" s="24">
        <f t="shared" si="103"/>
        <v>0</v>
      </c>
      <c r="S424" s="24">
        <f t="shared" si="103"/>
        <v>0</v>
      </c>
      <c r="T424" s="24">
        <f t="shared" si="103"/>
        <v>0</v>
      </c>
      <c r="U424" s="24">
        <f t="shared" si="103"/>
        <v>0</v>
      </c>
      <c r="V424" s="24">
        <f t="shared" si="103"/>
        <v>0</v>
      </c>
      <c r="W424" s="24">
        <f t="shared" si="103"/>
        <v>0</v>
      </c>
      <c r="X424" s="24">
        <f t="shared" si="103"/>
        <v>0</v>
      </c>
      <c r="Y424" s="24">
        <f t="shared" si="103"/>
        <v>0</v>
      </c>
      <c r="Z424" s="24">
        <f t="shared" si="103"/>
        <v>0</v>
      </c>
      <c r="AA424" s="24">
        <f t="shared" si="103"/>
        <v>0</v>
      </c>
      <c r="AB424" s="24">
        <f t="shared" si="103"/>
        <v>0</v>
      </c>
      <c r="AC424" s="24">
        <f t="shared" si="103"/>
        <v>0</v>
      </c>
      <c r="AD424" s="24">
        <f t="shared" si="103"/>
        <v>0</v>
      </c>
      <c r="AE424" s="24">
        <f t="shared" si="103"/>
        <v>0</v>
      </c>
    </row>
    <row r="425" spans="1:35" x14ac:dyDescent="0.45">
      <c r="B425" s="14" t="s">
        <v>113</v>
      </c>
      <c r="C425" s="14" t="str">
        <f t="shared" si="94"/>
        <v>nfm</v>
      </c>
      <c r="D425" s="25" t="s">
        <v>114</v>
      </c>
      <c r="E425" s="16" t="s">
        <v>111</v>
      </c>
      <c r="F425" s="14" t="s">
        <v>112</v>
      </c>
      <c r="H425" s="45" t="str">
        <f>Settings!$B$3&amp;".mit.ener."&amp;$C$367&amp;".tot.e."&amp;$J$367</f>
        <v>egy.mit.ener.nfm.tot.e.2</v>
      </c>
      <c r="L425" s="26">
        <f t="shared" ref="L425:AE425" si="104">SUM(L416:L424)</f>
        <v>0</v>
      </c>
      <c r="M425" s="26">
        <f t="shared" si="104"/>
        <v>0</v>
      </c>
      <c r="N425" s="26">
        <f t="shared" si="104"/>
        <v>0</v>
      </c>
      <c r="O425" s="26">
        <f t="shared" si="104"/>
        <v>0</v>
      </c>
      <c r="P425" s="26">
        <f t="shared" si="104"/>
        <v>0</v>
      </c>
      <c r="Q425" s="26">
        <f t="shared" si="104"/>
        <v>0</v>
      </c>
      <c r="R425" s="26">
        <f t="shared" si="104"/>
        <v>0</v>
      </c>
      <c r="S425" s="26">
        <f t="shared" si="104"/>
        <v>0</v>
      </c>
      <c r="T425" s="26">
        <f t="shared" si="104"/>
        <v>0</v>
      </c>
      <c r="U425" s="26">
        <f t="shared" si="104"/>
        <v>0</v>
      </c>
      <c r="V425" s="26">
        <f t="shared" si="104"/>
        <v>0</v>
      </c>
      <c r="W425" s="26">
        <f t="shared" si="104"/>
        <v>0</v>
      </c>
      <c r="X425" s="26">
        <f t="shared" si="104"/>
        <v>0</v>
      </c>
      <c r="Y425" s="26">
        <f t="shared" si="104"/>
        <v>0</v>
      </c>
      <c r="Z425" s="26">
        <f t="shared" si="104"/>
        <v>0</v>
      </c>
      <c r="AA425" s="26">
        <f t="shared" si="104"/>
        <v>0</v>
      </c>
      <c r="AB425" s="26">
        <f t="shared" si="104"/>
        <v>0</v>
      </c>
      <c r="AC425" s="26">
        <f t="shared" si="104"/>
        <v>0</v>
      </c>
      <c r="AD425" s="26">
        <f t="shared" si="104"/>
        <v>0</v>
      </c>
      <c r="AE425" s="26">
        <f t="shared" si="104"/>
        <v>0</v>
      </c>
    </row>
    <row r="427" spans="1:35" x14ac:dyDescent="0.45">
      <c r="A427" s="11"/>
      <c r="B427" s="6" t="s">
        <v>119</v>
      </c>
      <c r="C427" s="7" t="s">
        <v>120</v>
      </c>
      <c r="D427" s="6" t="s">
        <v>47</v>
      </c>
      <c r="E427" s="7" t="s">
        <v>38</v>
      </c>
      <c r="F427" s="7" t="s">
        <v>48</v>
      </c>
      <c r="G427" s="7" t="s">
        <v>49</v>
      </c>
      <c r="H427" s="12" t="s">
        <v>41</v>
      </c>
      <c r="I427" s="6" t="s">
        <v>50</v>
      </c>
      <c r="J427" s="48">
        <v>2</v>
      </c>
      <c r="K427" s="6">
        <v>2021</v>
      </c>
      <c r="L427" s="46">
        <v>2022</v>
      </c>
      <c r="M427" s="6">
        <v>2023</v>
      </c>
      <c r="N427" s="6">
        <v>2024</v>
      </c>
      <c r="O427" s="6">
        <v>2025</v>
      </c>
      <c r="P427" s="6">
        <v>2026</v>
      </c>
      <c r="Q427" s="6">
        <v>2027</v>
      </c>
      <c r="R427" s="6">
        <v>2028</v>
      </c>
      <c r="S427" s="6">
        <v>2029</v>
      </c>
      <c r="T427" s="6">
        <v>2030</v>
      </c>
      <c r="U427" s="6">
        <v>2031</v>
      </c>
      <c r="V427" s="6">
        <v>2032</v>
      </c>
      <c r="W427" s="6">
        <v>2033</v>
      </c>
      <c r="X427" s="6">
        <v>2034</v>
      </c>
      <c r="Y427" s="6">
        <v>2035</v>
      </c>
      <c r="Z427" s="6">
        <v>2036</v>
      </c>
      <c r="AA427" s="6">
        <v>2037</v>
      </c>
      <c r="AB427" s="6">
        <v>2038</v>
      </c>
      <c r="AC427" s="6">
        <v>2039</v>
      </c>
      <c r="AD427" s="6">
        <v>2040</v>
      </c>
      <c r="AE427" s="6">
        <v>2041</v>
      </c>
      <c r="AF427" s="6">
        <v>2042</v>
      </c>
      <c r="AG427" s="6">
        <v>2043</v>
      </c>
      <c r="AH427" s="6">
        <v>2044</v>
      </c>
      <c r="AI427" s="6">
        <v>2045</v>
      </c>
    </row>
    <row r="428" spans="1:35" x14ac:dyDescent="0.45">
      <c r="B428" s="13" t="s">
        <v>51</v>
      </c>
    </row>
    <row r="429" spans="1:35" x14ac:dyDescent="0.45">
      <c r="B429" s="14" t="s">
        <v>52</v>
      </c>
      <c r="C429" s="14" t="str">
        <f t="shared" ref="C429:C437" si="105">$C$427</f>
        <v>mch</v>
      </c>
      <c r="D429" s="15" t="s">
        <v>53</v>
      </c>
      <c r="E429" s="16" t="s">
        <v>54</v>
      </c>
      <c r="F429" s="14" t="s">
        <v>55</v>
      </c>
      <c r="G429" s="17" t="str">
        <f>Settings!$B$3&amp;".mit.pbc."&amp;Settings!$B$4&amp;"."&amp;$B429&amp;".a."&amp;$J$427</f>
        <v>egy.mit.pbc.ind.coa.a.2</v>
      </c>
      <c r="H429" s="45" t="str">
        <f>Settings!$B$3&amp;".mit.ptp."&amp;$C$427&amp;"."&amp;$B429&amp;".e."&amp;$J$427</f>
        <v>egy.mit.ptp.mch.coa.e.2</v>
      </c>
      <c r="K429" s="18">
        <f>INDEX(Data_Prices!K:K,MATCH($G429,Data_Prices!$A:$A,0))</f>
        <v>11.182901589243899</v>
      </c>
      <c r="L429" s="18">
        <f>INDEX(Data_Prices!L:L,MATCH($G429,Data_Prices!$A:$A,0))</f>
        <v>10.5233613454312</v>
      </c>
      <c r="M429" s="18">
        <f>INDEX(Data_Prices!M:M,MATCH($G429,Data_Prices!$A:$A,0))</f>
        <v>10.2995608274442</v>
      </c>
      <c r="N429" s="18">
        <f>INDEX(Data_Prices!N:N,MATCH($G429,Data_Prices!$A:$A,0))</f>
        <v>9.5775283595382597</v>
      </c>
      <c r="O429" s="18">
        <f>INDEX(Data_Prices!O:O,MATCH($G429,Data_Prices!$A:$A,0))</f>
        <v>8.4854782869580507</v>
      </c>
      <c r="P429" s="18">
        <f>INDEX(Data_Prices!P:P,MATCH($G429,Data_Prices!$A:$A,0))</f>
        <v>9.0871922352498604</v>
      </c>
      <c r="Q429" s="18">
        <f>INDEX(Data_Prices!Q:Q,MATCH($G429,Data_Prices!$A:$A,0))</f>
        <v>9.2229237289326793</v>
      </c>
      <c r="R429" s="18">
        <f>INDEX(Data_Prices!R:R,MATCH($G429,Data_Prices!$A:$A,0))</f>
        <v>9.1585649555096893</v>
      </c>
      <c r="S429" s="18">
        <f>INDEX(Data_Prices!S:S,MATCH($G429,Data_Prices!$A:$A,0))</f>
        <v>9.0895478773973792</v>
      </c>
      <c r="T429" s="18">
        <f>INDEX(Data_Prices!T:T,MATCH($G429,Data_Prices!$A:$A,0))</f>
        <v>9.0156816660228305</v>
      </c>
      <c r="U429" s="18">
        <f>INDEX(Data_Prices!U:U,MATCH($G429,Data_Prices!$A:$A,0))</f>
        <v>8.9443977655571096</v>
      </c>
      <c r="V429" s="18">
        <f>INDEX(Data_Prices!V:V,MATCH($G429,Data_Prices!$A:$A,0))</f>
        <v>8.9443977655571096</v>
      </c>
      <c r="W429" s="18">
        <f>INDEX(Data_Prices!W:W,MATCH($G429,Data_Prices!$A:$A,0))</f>
        <v>8.9443977655571096</v>
      </c>
      <c r="X429" s="18">
        <f>INDEX(Data_Prices!X:X,MATCH($G429,Data_Prices!$A:$A,0))</f>
        <v>8.9443977655571096</v>
      </c>
      <c r="Y429" s="18">
        <f>INDEX(Data_Prices!Y:Y,MATCH($G429,Data_Prices!$A:$A,0))</f>
        <v>8.9443977655571096</v>
      </c>
      <c r="Z429" s="18">
        <f>INDEX(Data_Prices!Z:Z,MATCH($G429,Data_Prices!$A:$A,0))</f>
        <v>8.9443977655571096</v>
      </c>
      <c r="AA429" s="18">
        <f>INDEX(Data_Prices!AA:AA,MATCH($G429,Data_Prices!$A:$A,0))</f>
        <v>8.9443977655571096</v>
      </c>
      <c r="AB429" s="18">
        <f>INDEX(Data_Prices!AB:AB,MATCH($G429,Data_Prices!$A:$A,0))</f>
        <v>8.9443977655571096</v>
      </c>
      <c r="AC429" s="18">
        <f>INDEX(Data_Prices!AC:AC,MATCH($G429,Data_Prices!$A:$A,0))</f>
        <v>8.9443977655571096</v>
      </c>
      <c r="AD429" s="18">
        <f>INDEX(Data_Prices!AD:AD,MATCH($G429,Data_Prices!$A:$A,0))</f>
        <v>8.9443977655571096</v>
      </c>
      <c r="AE429" s="18">
        <f>INDEX(Data_Prices!AE:AE,MATCH($G429,Data_Prices!$A:$A,0))</f>
        <v>8.9443977655571096</v>
      </c>
    </row>
    <row r="430" spans="1:35" x14ac:dyDescent="0.45">
      <c r="B430" s="14" t="s">
        <v>56</v>
      </c>
      <c r="C430" s="14" t="str">
        <f t="shared" si="105"/>
        <v>mch</v>
      </c>
      <c r="D430" s="15" t="s">
        <v>57</v>
      </c>
      <c r="E430" s="16" t="s">
        <v>54</v>
      </c>
      <c r="F430" s="14" t="s">
        <v>55</v>
      </c>
      <c r="G430" s="17" t="str">
        <f>Settings!$B$3&amp;".mit.pbc."&amp;Settings!$B$4&amp;"."&amp;$B430&amp;".a."&amp;$J$427</f>
        <v>egy.mit.pbc.ind.nga.a.2</v>
      </c>
      <c r="H430" s="45" t="str">
        <f>Settings!$B$3&amp;".mit.ptp."&amp;$C$427&amp;"."&amp;$B430&amp;".e."&amp;$J$427</f>
        <v>egy.mit.ptp.mch.nga.e.2</v>
      </c>
      <c r="K430" s="18">
        <f>INDEX(Data_Prices!K:K,MATCH($G430,Data_Prices!$A:$A,0))</f>
        <v>6.0634636156729096</v>
      </c>
      <c r="L430" s="18">
        <f>INDEX(Data_Prices!L:L,MATCH($G430,Data_Prices!$A:$A,0))</f>
        <v>5.4510150816191896</v>
      </c>
      <c r="M430" s="18">
        <f>INDEX(Data_Prices!M:M,MATCH($G430,Data_Prices!$A:$A,0))</f>
        <v>5.1193563062624801</v>
      </c>
      <c r="N430" s="18">
        <f>INDEX(Data_Prices!N:N,MATCH($G430,Data_Prices!$A:$A,0))</f>
        <v>5.08218458640407</v>
      </c>
      <c r="O430" s="18">
        <f>INDEX(Data_Prices!O:O,MATCH($G430,Data_Prices!$A:$A,0))</f>
        <v>5.08218458640407</v>
      </c>
      <c r="P430" s="18">
        <f>INDEX(Data_Prices!P:P,MATCH($G430,Data_Prices!$A:$A,0))</f>
        <v>5.08218458640407</v>
      </c>
      <c r="Q430" s="18">
        <f>INDEX(Data_Prices!Q:Q,MATCH($G430,Data_Prices!$A:$A,0))</f>
        <v>5.08218458640407</v>
      </c>
      <c r="R430" s="18">
        <f>INDEX(Data_Prices!R:R,MATCH($G430,Data_Prices!$A:$A,0))</f>
        <v>5.08218458640407</v>
      </c>
      <c r="S430" s="18">
        <f>INDEX(Data_Prices!S:S,MATCH($G430,Data_Prices!$A:$A,0))</f>
        <v>5.08218458640407</v>
      </c>
      <c r="T430" s="18">
        <f>INDEX(Data_Prices!T:T,MATCH($G430,Data_Prices!$A:$A,0))</f>
        <v>5.08218458640407</v>
      </c>
      <c r="U430" s="18">
        <f>INDEX(Data_Prices!U:U,MATCH($G430,Data_Prices!$A:$A,0))</f>
        <v>5.08218458640407</v>
      </c>
      <c r="V430" s="18">
        <f>INDEX(Data_Prices!V:V,MATCH($G430,Data_Prices!$A:$A,0))</f>
        <v>5.08218458640407</v>
      </c>
      <c r="W430" s="18">
        <f>INDEX(Data_Prices!W:W,MATCH($G430,Data_Prices!$A:$A,0))</f>
        <v>5.08218458640407</v>
      </c>
      <c r="X430" s="18">
        <f>INDEX(Data_Prices!X:X,MATCH($G430,Data_Prices!$A:$A,0))</f>
        <v>5.08218458640407</v>
      </c>
      <c r="Y430" s="18">
        <f>INDEX(Data_Prices!Y:Y,MATCH($G430,Data_Prices!$A:$A,0))</f>
        <v>5.08218458640407</v>
      </c>
      <c r="Z430" s="18">
        <f>INDEX(Data_Prices!Z:Z,MATCH($G430,Data_Prices!$A:$A,0))</f>
        <v>5.08218458640407</v>
      </c>
      <c r="AA430" s="18">
        <f>INDEX(Data_Prices!AA:AA,MATCH($G430,Data_Prices!$A:$A,0))</f>
        <v>5.08218458640407</v>
      </c>
      <c r="AB430" s="18">
        <f>INDEX(Data_Prices!AB:AB,MATCH($G430,Data_Prices!$A:$A,0))</f>
        <v>5.08218458640407</v>
      </c>
      <c r="AC430" s="18">
        <f>INDEX(Data_Prices!AC:AC,MATCH($G430,Data_Prices!$A:$A,0))</f>
        <v>5.08218458640407</v>
      </c>
      <c r="AD430" s="18">
        <f>INDEX(Data_Prices!AD:AD,MATCH($G430,Data_Prices!$A:$A,0))</f>
        <v>5.08218458640407</v>
      </c>
      <c r="AE430" s="18">
        <f>INDEX(Data_Prices!AE:AE,MATCH($G430,Data_Prices!$A:$A,0))</f>
        <v>5.08218458640407</v>
      </c>
    </row>
    <row r="431" spans="1:35" x14ac:dyDescent="0.45">
      <c r="B431" s="14" t="s">
        <v>58</v>
      </c>
      <c r="C431" s="14" t="str">
        <f t="shared" si="105"/>
        <v>mch</v>
      </c>
      <c r="D431" s="15" t="s">
        <v>59</v>
      </c>
      <c r="E431" s="16" t="s">
        <v>60</v>
      </c>
      <c r="F431" s="14" t="s">
        <v>55</v>
      </c>
      <c r="G431" s="17" t="str">
        <f>Settings!$B$3&amp;".mit.pbc."&amp;Settings!$B$4&amp;"."&amp;$B431&amp;".a."&amp;$J$427</f>
        <v>egy.mit.pbc.ind.gso.a.2</v>
      </c>
      <c r="H431" s="45" t="str">
        <f>Settings!$B$3&amp;".mit.ptp."&amp;$C$427&amp;"."&amp;$B431&amp;".e."&amp;$J$427</f>
        <v>egy.mit.ptp.mch.gso.e.2</v>
      </c>
      <c r="K431" s="18">
        <f>INDEX(Data_Prices!K:K,MATCH($G431,Data_Prices!$A:$A,0))</f>
        <v>0.67114653332181595</v>
      </c>
      <c r="L431" s="18">
        <f>INDEX(Data_Prices!L:L,MATCH($G431,Data_Prices!$A:$A,0))</f>
        <v>0.61197797679140598</v>
      </c>
      <c r="M431" s="18">
        <f>INDEX(Data_Prices!M:M,MATCH($G431,Data_Prices!$A:$A,0))</f>
        <v>0.61180974964187596</v>
      </c>
      <c r="N431" s="18">
        <f>INDEX(Data_Prices!N:N,MATCH($G431,Data_Prices!$A:$A,0))</f>
        <v>0.60358310017790595</v>
      </c>
      <c r="O431" s="18">
        <f>INDEX(Data_Prices!O:O,MATCH($G431,Data_Prices!$A:$A,0))</f>
        <v>0.60358310017790595</v>
      </c>
      <c r="P431" s="18">
        <f>INDEX(Data_Prices!P:P,MATCH($G431,Data_Prices!$A:$A,0))</f>
        <v>0.60358310017790595</v>
      </c>
      <c r="Q431" s="18">
        <f>INDEX(Data_Prices!Q:Q,MATCH($G431,Data_Prices!$A:$A,0))</f>
        <v>0.60358310017790595</v>
      </c>
      <c r="R431" s="18">
        <f>INDEX(Data_Prices!R:R,MATCH($G431,Data_Prices!$A:$A,0))</f>
        <v>0.60358310017790595</v>
      </c>
      <c r="S431" s="18">
        <f>INDEX(Data_Prices!S:S,MATCH($G431,Data_Prices!$A:$A,0))</f>
        <v>0.60358310017790595</v>
      </c>
      <c r="T431" s="18">
        <f>INDEX(Data_Prices!T:T,MATCH($G431,Data_Prices!$A:$A,0))</f>
        <v>0.60358310017790595</v>
      </c>
      <c r="U431" s="18">
        <f>INDEX(Data_Prices!U:U,MATCH($G431,Data_Prices!$A:$A,0))</f>
        <v>0.60358310017790595</v>
      </c>
      <c r="V431" s="18">
        <f>INDEX(Data_Prices!V:V,MATCH($G431,Data_Prices!$A:$A,0))</f>
        <v>0.60358310017790595</v>
      </c>
      <c r="W431" s="18">
        <f>INDEX(Data_Prices!W:W,MATCH($G431,Data_Prices!$A:$A,0))</f>
        <v>0.60358310017790595</v>
      </c>
      <c r="X431" s="18">
        <f>INDEX(Data_Prices!X:X,MATCH($G431,Data_Prices!$A:$A,0))</f>
        <v>0.60358310017790595</v>
      </c>
      <c r="Y431" s="18">
        <f>INDEX(Data_Prices!Y:Y,MATCH($G431,Data_Prices!$A:$A,0))</f>
        <v>0.60358310017790595</v>
      </c>
      <c r="Z431" s="18">
        <f>INDEX(Data_Prices!Z:Z,MATCH($G431,Data_Prices!$A:$A,0))</f>
        <v>0.60358310017790595</v>
      </c>
      <c r="AA431" s="18">
        <f>INDEX(Data_Prices!AA:AA,MATCH($G431,Data_Prices!$A:$A,0))</f>
        <v>0.60358310017790595</v>
      </c>
      <c r="AB431" s="18">
        <f>INDEX(Data_Prices!AB:AB,MATCH($G431,Data_Prices!$A:$A,0))</f>
        <v>0.60358310017790595</v>
      </c>
      <c r="AC431" s="18">
        <f>INDEX(Data_Prices!AC:AC,MATCH($G431,Data_Prices!$A:$A,0))</f>
        <v>0.60358310017790595</v>
      </c>
      <c r="AD431" s="18">
        <f>INDEX(Data_Prices!AD:AD,MATCH($G431,Data_Prices!$A:$A,0))</f>
        <v>0.60358310017790595</v>
      </c>
      <c r="AE431" s="18">
        <f>INDEX(Data_Prices!AE:AE,MATCH($G431,Data_Prices!$A:$A,0))</f>
        <v>0.60358310017790595</v>
      </c>
    </row>
    <row r="432" spans="1:35" x14ac:dyDescent="0.45">
      <c r="B432" s="14" t="s">
        <v>61</v>
      </c>
      <c r="C432" s="14" t="str">
        <f t="shared" si="105"/>
        <v>mch</v>
      </c>
      <c r="D432" s="15" t="s">
        <v>62</v>
      </c>
      <c r="E432" s="16" t="s">
        <v>60</v>
      </c>
      <c r="F432" s="14" t="s">
        <v>55</v>
      </c>
      <c r="G432" s="17" t="str">
        <f>Settings!$B$3&amp;".mit.pbc."&amp;Settings!$B$4&amp;"."&amp;$B432&amp;".a."&amp;$J$427</f>
        <v>egy.mit.pbc.ind.die.a.2</v>
      </c>
      <c r="H432" s="45" t="str">
        <f>Settings!$B$3&amp;".mit.ptp."&amp;$C$427&amp;"."&amp;$B432&amp;".e."&amp;$J$427</f>
        <v>egy.mit.ptp.mch.die.e.2</v>
      </c>
      <c r="K432" s="18">
        <f>INDEX(Data_Prices!K:K,MATCH($G432,Data_Prices!$A:$A,0))</f>
        <v>0.55971121315568795</v>
      </c>
      <c r="L432" s="18">
        <f>INDEX(Data_Prices!L:L,MATCH($G432,Data_Prices!$A:$A,0))</f>
        <v>0.49458873084106802</v>
      </c>
      <c r="M432" s="18">
        <f>INDEX(Data_Prices!M:M,MATCH($G432,Data_Prices!$A:$A,0))</f>
        <v>0.50778654720250105</v>
      </c>
      <c r="N432" s="18">
        <f>INDEX(Data_Prices!N:N,MATCH($G432,Data_Prices!$A:$A,0))</f>
        <v>0.47043642679561698</v>
      </c>
      <c r="O432" s="18">
        <f>INDEX(Data_Prices!O:O,MATCH($G432,Data_Prices!$A:$A,0))</f>
        <v>0.47043642679561698</v>
      </c>
      <c r="P432" s="18">
        <f>INDEX(Data_Prices!P:P,MATCH($G432,Data_Prices!$A:$A,0))</f>
        <v>0.47043642679561698</v>
      </c>
      <c r="Q432" s="18">
        <f>INDEX(Data_Prices!Q:Q,MATCH($G432,Data_Prices!$A:$A,0))</f>
        <v>0.47043642679561698</v>
      </c>
      <c r="R432" s="18">
        <f>INDEX(Data_Prices!R:R,MATCH($G432,Data_Prices!$A:$A,0))</f>
        <v>0.47043642679561698</v>
      </c>
      <c r="S432" s="18">
        <f>INDEX(Data_Prices!S:S,MATCH($G432,Data_Prices!$A:$A,0))</f>
        <v>0.47043642679561698</v>
      </c>
      <c r="T432" s="18">
        <f>INDEX(Data_Prices!T:T,MATCH($G432,Data_Prices!$A:$A,0))</f>
        <v>0.47043642679561698</v>
      </c>
      <c r="U432" s="18">
        <f>INDEX(Data_Prices!U:U,MATCH($G432,Data_Prices!$A:$A,0))</f>
        <v>0.47043642679561698</v>
      </c>
      <c r="V432" s="18">
        <f>INDEX(Data_Prices!V:V,MATCH($G432,Data_Prices!$A:$A,0))</f>
        <v>0.47043642679561698</v>
      </c>
      <c r="W432" s="18">
        <f>INDEX(Data_Prices!W:W,MATCH($G432,Data_Prices!$A:$A,0))</f>
        <v>0.47043642679561698</v>
      </c>
      <c r="X432" s="18">
        <f>INDEX(Data_Prices!X:X,MATCH($G432,Data_Prices!$A:$A,0))</f>
        <v>0.47043642679561698</v>
      </c>
      <c r="Y432" s="18">
        <f>INDEX(Data_Prices!Y:Y,MATCH($G432,Data_Prices!$A:$A,0))</f>
        <v>0.47043642679561698</v>
      </c>
      <c r="Z432" s="18">
        <f>INDEX(Data_Prices!Z:Z,MATCH($G432,Data_Prices!$A:$A,0))</f>
        <v>0.47043642679561698</v>
      </c>
      <c r="AA432" s="18">
        <f>INDEX(Data_Prices!AA:AA,MATCH($G432,Data_Prices!$A:$A,0))</f>
        <v>0.47043642679561698</v>
      </c>
      <c r="AB432" s="18">
        <f>INDEX(Data_Prices!AB:AB,MATCH($G432,Data_Prices!$A:$A,0))</f>
        <v>0.47043642679561698</v>
      </c>
      <c r="AC432" s="18">
        <f>INDEX(Data_Prices!AC:AC,MATCH($G432,Data_Prices!$A:$A,0))</f>
        <v>0.47043642679561698</v>
      </c>
      <c r="AD432" s="18">
        <f>INDEX(Data_Prices!AD:AD,MATCH($G432,Data_Prices!$A:$A,0))</f>
        <v>0.47043642679561698</v>
      </c>
      <c r="AE432" s="18">
        <f>INDEX(Data_Prices!AE:AE,MATCH($G432,Data_Prices!$A:$A,0))</f>
        <v>0.47043642679561698</v>
      </c>
    </row>
    <row r="433" spans="2:31" x14ac:dyDescent="0.45">
      <c r="B433" s="14" t="s">
        <v>63</v>
      </c>
      <c r="C433" s="14" t="str">
        <f t="shared" si="105"/>
        <v>mch</v>
      </c>
      <c r="D433" s="15" t="s">
        <v>64</v>
      </c>
      <c r="E433" s="16" t="s">
        <v>60</v>
      </c>
      <c r="F433" s="14" t="s">
        <v>55</v>
      </c>
      <c r="G433" s="17" t="str">
        <f>Settings!$B$3&amp;".mit.pbc."&amp;Settings!$B$4&amp;"."&amp;$B433&amp;".a."&amp;$J$427</f>
        <v>egy.mit.pbc.ind.lpg.a.2</v>
      </c>
      <c r="H433" s="45" t="str">
        <f>Settings!$B$3&amp;".mit.ptp."&amp;$C$427&amp;"."&amp;$B433&amp;".e."&amp;$J$427</f>
        <v>egy.mit.ptp.mch.lpg.e.2</v>
      </c>
      <c r="K433" s="18">
        <f>INDEX(Data_Prices!K:K,MATCH($G433,Data_Prices!$A:$A,0))</f>
        <v>0.20036669112673799</v>
      </c>
      <c r="L433" s="18">
        <f>INDEX(Data_Prices!L:L,MATCH($G433,Data_Prices!$A:$A,0))</f>
        <v>0.15734473625227399</v>
      </c>
      <c r="M433" s="18">
        <f>INDEX(Data_Prices!M:M,MATCH($G433,Data_Prices!$A:$A,0))</f>
        <v>0.164484037759277</v>
      </c>
      <c r="N433" s="18">
        <f>INDEX(Data_Prices!N:N,MATCH($G433,Data_Prices!$A:$A,0))</f>
        <v>0.15070907780704901</v>
      </c>
      <c r="O433" s="18">
        <f>INDEX(Data_Prices!O:O,MATCH($G433,Data_Prices!$A:$A,0))</f>
        <v>0.15070907780704901</v>
      </c>
      <c r="P433" s="18">
        <f>INDEX(Data_Prices!P:P,MATCH($G433,Data_Prices!$A:$A,0))</f>
        <v>0.15070907780704901</v>
      </c>
      <c r="Q433" s="18">
        <f>INDEX(Data_Prices!Q:Q,MATCH($G433,Data_Prices!$A:$A,0))</f>
        <v>0.15070907780704901</v>
      </c>
      <c r="R433" s="18">
        <f>INDEX(Data_Prices!R:R,MATCH($G433,Data_Prices!$A:$A,0))</f>
        <v>0.15070907780704901</v>
      </c>
      <c r="S433" s="18">
        <f>INDEX(Data_Prices!S:S,MATCH($G433,Data_Prices!$A:$A,0))</f>
        <v>0.15070907780704901</v>
      </c>
      <c r="T433" s="18">
        <f>INDEX(Data_Prices!T:T,MATCH($G433,Data_Prices!$A:$A,0))</f>
        <v>0.15070907780704901</v>
      </c>
      <c r="U433" s="18">
        <f>INDEX(Data_Prices!U:U,MATCH($G433,Data_Prices!$A:$A,0))</f>
        <v>0.15070907780704901</v>
      </c>
      <c r="V433" s="18">
        <f>INDEX(Data_Prices!V:V,MATCH($G433,Data_Prices!$A:$A,0))</f>
        <v>0.15070907780704901</v>
      </c>
      <c r="W433" s="18">
        <f>INDEX(Data_Prices!W:W,MATCH($G433,Data_Prices!$A:$A,0))</f>
        <v>0.15070907780704901</v>
      </c>
      <c r="X433" s="18">
        <f>INDEX(Data_Prices!X:X,MATCH($G433,Data_Prices!$A:$A,0))</f>
        <v>0.15070907780704901</v>
      </c>
      <c r="Y433" s="18">
        <f>INDEX(Data_Prices!Y:Y,MATCH($G433,Data_Prices!$A:$A,0))</f>
        <v>0.15070907780704901</v>
      </c>
      <c r="Z433" s="18">
        <f>INDEX(Data_Prices!Z:Z,MATCH($G433,Data_Prices!$A:$A,0))</f>
        <v>0.15070907780704901</v>
      </c>
      <c r="AA433" s="18">
        <f>INDEX(Data_Prices!AA:AA,MATCH($G433,Data_Prices!$A:$A,0))</f>
        <v>0.15070907780704901</v>
      </c>
      <c r="AB433" s="18">
        <f>INDEX(Data_Prices!AB:AB,MATCH($G433,Data_Prices!$A:$A,0))</f>
        <v>0.15070907780704901</v>
      </c>
      <c r="AC433" s="18">
        <f>INDEX(Data_Prices!AC:AC,MATCH($G433,Data_Prices!$A:$A,0))</f>
        <v>0.15070907780704901</v>
      </c>
      <c r="AD433" s="18">
        <f>INDEX(Data_Prices!AD:AD,MATCH($G433,Data_Prices!$A:$A,0))</f>
        <v>0.15070907780704901</v>
      </c>
      <c r="AE433" s="18">
        <f>INDEX(Data_Prices!AE:AE,MATCH($G433,Data_Prices!$A:$A,0))</f>
        <v>0.15070907780704901</v>
      </c>
    </row>
    <row r="434" spans="2:31" x14ac:dyDescent="0.45">
      <c r="B434" s="14" t="s">
        <v>65</v>
      </c>
      <c r="C434" s="14" t="str">
        <f t="shared" si="105"/>
        <v>mch</v>
      </c>
      <c r="D434" s="15" t="s">
        <v>66</v>
      </c>
      <c r="E434" s="16" t="s">
        <v>60</v>
      </c>
      <c r="F434" s="14" t="s">
        <v>55</v>
      </c>
      <c r="G434" s="17" t="str">
        <f>Settings!$B$3&amp;".mit.pbc."&amp;Settings!$B$4&amp;"."&amp;$B434&amp;".a."&amp;$J$427</f>
        <v>egy.mit.pbc.ind.ker.a.2</v>
      </c>
      <c r="H434" s="45" t="str">
        <f>Settings!$B$3&amp;".mit.ptp."&amp;$C$427&amp;"."&amp;$B434&amp;".e."&amp;$J$427</f>
        <v>egy.mit.ptp.mch.ker.e.2</v>
      </c>
      <c r="K434" s="18">
        <f>INDEX(Data_Prices!K:K,MATCH($G434,Data_Prices!$A:$A,0))</f>
        <v>0.48429424097343499</v>
      </c>
      <c r="L434" s="18">
        <f>INDEX(Data_Prices!L:L,MATCH($G434,Data_Prices!$A:$A,0))</f>
        <v>0.45642817050012802</v>
      </c>
      <c r="M434" s="18">
        <f>INDEX(Data_Prices!M:M,MATCH($G434,Data_Prices!$A:$A,0))</f>
        <v>0.43168920195599497</v>
      </c>
      <c r="N434" s="18">
        <f>INDEX(Data_Prices!N:N,MATCH($G434,Data_Prices!$A:$A,0))</f>
        <v>0.42507558395597</v>
      </c>
      <c r="O434" s="18">
        <f>INDEX(Data_Prices!O:O,MATCH($G434,Data_Prices!$A:$A,0))</f>
        <v>0.42507558395597</v>
      </c>
      <c r="P434" s="18">
        <f>INDEX(Data_Prices!P:P,MATCH($G434,Data_Prices!$A:$A,0))</f>
        <v>0.42507558395597</v>
      </c>
      <c r="Q434" s="18">
        <f>INDEX(Data_Prices!Q:Q,MATCH($G434,Data_Prices!$A:$A,0))</f>
        <v>0.42507558395597</v>
      </c>
      <c r="R434" s="18">
        <f>INDEX(Data_Prices!R:R,MATCH($G434,Data_Prices!$A:$A,0))</f>
        <v>0.42507558395597</v>
      </c>
      <c r="S434" s="18">
        <f>INDEX(Data_Prices!S:S,MATCH($G434,Data_Prices!$A:$A,0))</f>
        <v>0.42507558395597</v>
      </c>
      <c r="T434" s="18">
        <f>INDEX(Data_Prices!T:T,MATCH($G434,Data_Prices!$A:$A,0))</f>
        <v>0.42507558395597</v>
      </c>
      <c r="U434" s="18">
        <f>INDEX(Data_Prices!U:U,MATCH($G434,Data_Prices!$A:$A,0))</f>
        <v>0.42507558395597</v>
      </c>
      <c r="V434" s="18">
        <f>INDEX(Data_Prices!V:V,MATCH($G434,Data_Prices!$A:$A,0))</f>
        <v>0.42507558395597</v>
      </c>
      <c r="W434" s="18">
        <f>INDEX(Data_Prices!W:W,MATCH($G434,Data_Prices!$A:$A,0))</f>
        <v>0.42507558395597</v>
      </c>
      <c r="X434" s="18">
        <f>INDEX(Data_Prices!X:X,MATCH($G434,Data_Prices!$A:$A,0))</f>
        <v>0.42507558395597</v>
      </c>
      <c r="Y434" s="18">
        <f>INDEX(Data_Prices!Y:Y,MATCH($G434,Data_Prices!$A:$A,0))</f>
        <v>0.42507558395597</v>
      </c>
      <c r="Z434" s="18">
        <f>INDEX(Data_Prices!Z:Z,MATCH($G434,Data_Prices!$A:$A,0))</f>
        <v>0.42507558395597</v>
      </c>
      <c r="AA434" s="18">
        <f>INDEX(Data_Prices!AA:AA,MATCH($G434,Data_Prices!$A:$A,0))</f>
        <v>0.42507558395597</v>
      </c>
      <c r="AB434" s="18">
        <f>INDEX(Data_Prices!AB:AB,MATCH($G434,Data_Prices!$A:$A,0))</f>
        <v>0.42507558395597</v>
      </c>
      <c r="AC434" s="18">
        <f>INDEX(Data_Prices!AC:AC,MATCH($G434,Data_Prices!$A:$A,0))</f>
        <v>0.42507558395597</v>
      </c>
      <c r="AD434" s="18">
        <f>INDEX(Data_Prices!AD:AD,MATCH($G434,Data_Prices!$A:$A,0))</f>
        <v>0.42507558395597</v>
      </c>
      <c r="AE434" s="18">
        <f>INDEX(Data_Prices!AE:AE,MATCH($G434,Data_Prices!$A:$A,0))</f>
        <v>0.42507558395597</v>
      </c>
    </row>
    <row r="435" spans="2:31" x14ac:dyDescent="0.45">
      <c r="B435" s="14" t="s">
        <v>67</v>
      </c>
      <c r="C435" s="14" t="str">
        <f t="shared" si="105"/>
        <v>mch</v>
      </c>
      <c r="D435" s="15" t="s">
        <v>68</v>
      </c>
      <c r="E435" s="16" t="s">
        <v>69</v>
      </c>
      <c r="F435" s="14" t="s">
        <v>55</v>
      </c>
      <c r="G435" s="17" t="str">
        <f>Settings!$B$3&amp;".mit.pbc."&amp;Settings!$B$4&amp;"."&amp;$B435&amp;".a."&amp;$J$427</f>
        <v>egy.mit.pbc.ind.oop.a.2</v>
      </c>
      <c r="H435" s="45" t="str">
        <f>Settings!$B$3&amp;".mit.ptp."&amp;$C$427&amp;"."&amp;$B435&amp;".e."&amp;$J$427</f>
        <v>egy.mit.ptp.mch.oop.e.2</v>
      </c>
      <c r="K435" s="18">
        <f>INDEX(Data_Prices!K:K,MATCH($G435,Data_Prices!$A:$A,0))</f>
        <v>41.500338498868402</v>
      </c>
      <c r="L435" s="18">
        <f>INDEX(Data_Prices!L:L,MATCH($G435,Data_Prices!$A:$A,0))</f>
        <v>34.4153703043132</v>
      </c>
      <c r="M435" s="18">
        <f>INDEX(Data_Prices!M:M,MATCH($G435,Data_Prices!$A:$A,0))</f>
        <v>37.368960690431997</v>
      </c>
      <c r="N435" s="18">
        <f>INDEX(Data_Prices!N:N,MATCH($G435,Data_Prices!$A:$A,0))</f>
        <v>28.982761101477301</v>
      </c>
      <c r="O435" s="18">
        <f>INDEX(Data_Prices!O:O,MATCH($G435,Data_Prices!$A:$A,0))</f>
        <v>15</v>
      </c>
      <c r="P435" s="18">
        <f>INDEX(Data_Prices!P:P,MATCH($G435,Data_Prices!$A:$A,0))</f>
        <v>24.2586300842555</v>
      </c>
      <c r="Q435" s="18">
        <f>INDEX(Data_Prices!Q:Q,MATCH($G435,Data_Prices!$A:$A,0))</f>
        <v>13.096208196132499</v>
      </c>
      <c r="R435" s="18">
        <f>INDEX(Data_Prices!R:R,MATCH($G435,Data_Prices!$A:$A,0))</f>
        <v>10.0252451140106</v>
      </c>
      <c r="S435" s="18">
        <f>INDEX(Data_Prices!S:S,MATCH($G435,Data_Prices!$A:$A,0))</f>
        <v>8.4772306913736202</v>
      </c>
      <c r="T435" s="18">
        <f>INDEX(Data_Prices!T:T,MATCH($G435,Data_Prices!$A:$A,0))</f>
        <v>7.1234824452092198</v>
      </c>
      <c r="U435" s="18">
        <f>INDEX(Data_Prices!U:U,MATCH($G435,Data_Prices!$A:$A,0))</f>
        <v>5.6527597394100599</v>
      </c>
      <c r="V435" s="18">
        <f>INDEX(Data_Prices!V:V,MATCH($G435,Data_Prices!$A:$A,0))</f>
        <v>5.6527597394100599</v>
      </c>
      <c r="W435" s="18">
        <f>INDEX(Data_Prices!W:W,MATCH($G435,Data_Prices!$A:$A,0))</f>
        <v>5.6527597394100599</v>
      </c>
      <c r="X435" s="18">
        <f>INDEX(Data_Prices!X:X,MATCH($G435,Data_Prices!$A:$A,0))</f>
        <v>5.6527597394100599</v>
      </c>
      <c r="Y435" s="18">
        <f>INDEX(Data_Prices!Y:Y,MATCH($G435,Data_Prices!$A:$A,0))</f>
        <v>5.6527597394100599</v>
      </c>
      <c r="Z435" s="18">
        <f>INDEX(Data_Prices!Z:Z,MATCH($G435,Data_Prices!$A:$A,0))</f>
        <v>5.6527597394100697</v>
      </c>
      <c r="AA435" s="18">
        <f>INDEX(Data_Prices!AA:AA,MATCH($G435,Data_Prices!$A:$A,0))</f>
        <v>5.6527597394100599</v>
      </c>
      <c r="AB435" s="18">
        <f>INDEX(Data_Prices!AB:AB,MATCH($G435,Data_Prices!$A:$A,0))</f>
        <v>5.6527597394100599</v>
      </c>
      <c r="AC435" s="18">
        <f>INDEX(Data_Prices!AC:AC,MATCH($G435,Data_Prices!$A:$A,0))</f>
        <v>5.6527597394100404</v>
      </c>
      <c r="AD435" s="18">
        <f>INDEX(Data_Prices!AD:AD,MATCH($G435,Data_Prices!$A:$A,0))</f>
        <v>5.6527597394100599</v>
      </c>
      <c r="AE435" s="18">
        <f>INDEX(Data_Prices!AE:AE,MATCH($G435,Data_Prices!$A:$A,0))</f>
        <v>5.6527597394100404</v>
      </c>
    </row>
    <row r="436" spans="2:31" x14ac:dyDescent="0.45">
      <c r="B436" s="14" t="s">
        <v>70</v>
      </c>
      <c r="C436" s="14" t="str">
        <f t="shared" si="105"/>
        <v>mch</v>
      </c>
      <c r="D436" s="15" t="s">
        <v>71</v>
      </c>
      <c r="E436" s="16" t="s">
        <v>54</v>
      </c>
      <c r="F436" s="14" t="s">
        <v>55</v>
      </c>
      <c r="G436" s="17" t="str">
        <f>Settings!$B$3&amp;".mit.pbc."&amp;Settings!$B$4&amp;"."&amp;$B436&amp;".a."&amp;$J$427</f>
        <v>egy.mit.pbc.ind.bio.a.2</v>
      </c>
      <c r="H436" s="45" t="str">
        <f>Settings!$B$3&amp;".mit.ptp."&amp;$C$427&amp;"."&amp;$B436&amp;".e."&amp;$J$427</f>
        <v>egy.mit.ptp.mch.bio.e.2</v>
      </c>
      <c r="K436" s="18">
        <f>INDEX(Data_Prices!K:K,MATCH($G436,Data_Prices!$A:$A,0))</f>
        <v>15.3345505293169</v>
      </c>
      <c r="L436" s="18">
        <f>INDEX(Data_Prices!L:L,MATCH($G436,Data_Prices!$A:$A,0))</f>
        <v>14.199528390634899</v>
      </c>
      <c r="M436" s="18">
        <f>INDEX(Data_Prices!M:M,MATCH($G436,Data_Prices!$A:$A,0))</f>
        <v>13.8404416133152</v>
      </c>
      <c r="N436" s="18">
        <f>INDEX(Data_Prices!N:N,MATCH($G436,Data_Prices!$A:$A,0))</f>
        <v>13.5677269404465</v>
      </c>
      <c r="O436" s="18">
        <f>INDEX(Data_Prices!O:O,MATCH($G436,Data_Prices!$A:$A,0))</f>
        <v>13.5677269404465</v>
      </c>
      <c r="P436" s="18">
        <f>INDEX(Data_Prices!P:P,MATCH($G436,Data_Prices!$A:$A,0))</f>
        <v>13.5677269404465</v>
      </c>
      <c r="Q436" s="18">
        <f>INDEX(Data_Prices!Q:Q,MATCH($G436,Data_Prices!$A:$A,0))</f>
        <v>13.5677269404465</v>
      </c>
      <c r="R436" s="18">
        <f>INDEX(Data_Prices!R:R,MATCH($G436,Data_Prices!$A:$A,0))</f>
        <v>13.5677269404465</v>
      </c>
      <c r="S436" s="18">
        <f>INDEX(Data_Prices!S:S,MATCH($G436,Data_Prices!$A:$A,0))</f>
        <v>13.5677269404465</v>
      </c>
      <c r="T436" s="18">
        <f>INDEX(Data_Prices!T:T,MATCH($G436,Data_Prices!$A:$A,0))</f>
        <v>13.5677269404465</v>
      </c>
      <c r="U436" s="18">
        <f>INDEX(Data_Prices!U:U,MATCH($G436,Data_Prices!$A:$A,0))</f>
        <v>13.5677269404465</v>
      </c>
      <c r="V436" s="18">
        <f>INDEX(Data_Prices!V:V,MATCH($G436,Data_Prices!$A:$A,0))</f>
        <v>13.5677269404465</v>
      </c>
      <c r="W436" s="18">
        <f>INDEX(Data_Prices!W:W,MATCH($G436,Data_Prices!$A:$A,0))</f>
        <v>13.5677269404465</v>
      </c>
      <c r="X436" s="18">
        <f>INDEX(Data_Prices!X:X,MATCH($G436,Data_Prices!$A:$A,0))</f>
        <v>13.5677269404465</v>
      </c>
      <c r="Y436" s="18">
        <f>INDEX(Data_Prices!Y:Y,MATCH($G436,Data_Prices!$A:$A,0))</f>
        <v>13.5677269404465</v>
      </c>
      <c r="Z436" s="18">
        <f>INDEX(Data_Prices!Z:Z,MATCH($G436,Data_Prices!$A:$A,0))</f>
        <v>13.5677269404465</v>
      </c>
      <c r="AA436" s="18">
        <f>INDEX(Data_Prices!AA:AA,MATCH($G436,Data_Prices!$A:$A,0))</f>
        <v>13.5677269404465</v>
      </c>
      <c r="AB436" s="18">
        <f>INDEX(Data_Prices!AB:AB,MATCH($G436,Data_Prices!$A:$A,0))</f>
        <v>13.5677269404465</v>
      </c>
      <c r="AC436" s="18">
        <f>INDEX(Data_Prices!AC:AC,MATCH($G436,Data_Prices!$A:$A,0))</f>
        <v>13.5677269404465</v>
      </c>
      <c r="AD436" s="18">
        <f>INDEX(Data_Prices!AD:AD,MATCH($G436,Data_Prices!$A:$A,0))</f>
        <v>13.5677269404465</v>
      </c>
      <c r="AE436" s="18">
        <f>INDEX(Data_Prices!AE:AE,MATCH($G436,Data_Prices!$A:$A,0))</f>
        <v>13.5677269404465</v>
      </c>
    </row>
    <row r="437" spans="2:31" x14ac:dyDescent="0.45">
      <c r="B437" s="14" t="s">
        <v>72</v>
      </c>
      <c r="C437" s="14" t="str">
        <f t="shared" si="105"/>
        <v>mch</v>
      </c>
      <c r="D437" s="15" t="s">
        <v>73</v>
      </c>
      <c r="E437" s="16" t="s">
        <v>74</v>
      </c>
      <c r="F437" s="14" t="s">
        <v>55</v>
      </c>
      <c r="G437" s="17" t="str">
        <f>Settings!$B$3&amp;".mit.pbc."&amp;Settings!$B$4&amp;"."&amp;$B437&amp;".a."&amp;$J$427</f>
        <v>egy.mit.pbc.ind.ren.a.2</v>
      </c>
      <c r="H437" s="45" t="str">
        <f>Settings!$B$3&amp;".mit.ptp."&amp;$C$427&amp;"."&amp;$B437&amp;".e."&amp;$J$427</f>
        <v>egy.mit.ptp.mch.ren.e.2</v>
      </c>
      <c r="K437" s="18">
        <f>INDEX(Data_Prices!K:K,MATCH($G437,Data_Prices!$A:$A,0))</f>
        <v>0</v>
      </c>
      <c r="L437" s="18">
        <f>INDEX(Data_Prices!L:L,MATCH($G437,Data_Prices!$A:$A,0))</f>
        <v>0.14404498679319799</v>
      </c>
      <c r="M437" s="18">
        <f>INDEX(Data_Prices!M:M,MATCH($G437,Data_Prices!$A:$A,0))</f>
        <v>0.141386241751359</v>
      </c>
      <c r="N437" s="18">
        <f>INDEX(Data_Prices!N:N,MATCH($G437,Data_Prices!$A:$A,0))</f>
        <v>0.13539756544373099</v>
      </c>
      <c r="O437" s="18">
        <f>INDEX(Data_Prices!O:O,MATCH($G437,Data_Prices!$A:$A,0))</f>
        <v>0.13152288542065099</v>
      </c>
      <c r="P437" s="18">
        <f>INDEX(Data_Prices!P:P,MATCH($G437,Data_Prices!$A:$A,0))</f>
        <v>0.12882610848523099</v>
      </c>
      <c r="Q437" s="18">
        <f>INDEX(Data_Prices!Q:Q,MATCH($G437,Data_Prices!$A:$A,0))</f>
        <v>0.12594200976473999</v>
      </c>
      <c r="R437" s="18">
        <f>INDEX(Data_Prices!R:R,MATCH($G437,Data_Prices!$A:$A,0))</f>
        <v>0.123113265701861</v>
      </c>
      <c r="S437" s="18">
        <f>INDEX(Data_Prices!S:S,MATCH($G437,Data_Prices!$A:$A,0))</f>
        <v>0.119391738089068</v>
      </c>
      <c r="T437" s="18">
        <f>INDEX(Data_Prices!T:T,MATCH($G437,Data_Prices!$A:$A,0))</f>
        <v>0.11554419046792</v>
      </c>
      <c r="U437" s="18">
        <f>INDEX(Data_Prices!U:U,MATCH($G437,Data_Prices!$A:$A,0))</f>
        <v>0.11492423065415899</v>
      </c>
      <c r="V437" s="18">
        <f>INDEX(Data_Prices!V:V,MATCH($G437,Data_Prices!$A:$A,0))</f>
        <v>0.114346912116736</v>
      </c>
      <c r="W437" s="18">
        <f>INDEX(Data_Prices!W:W,MATCH($G437,Data_Prices!$A:$A,0))</f>
        <v>0.113738711172664</v>
      </c>
      <c r="X437" s="18">
        <f>INDEX(Data_Prices!X:X,MATCH($G437,Data_Prices!$A:$A,0))</f>
        <v>0.112999900487521</v>
      </c>
      <c r="Y437" s="18">
        <f>INDEX(Data_Prices!Y:Y,MATCH($G437,Data_Prices!$A:$A,0))</f>
        <v>0.112177685835534</v>
      </c>
      <c r="Z437" s="18">
        <f>INDEX(Data_Prices!Z:Z,MATCH($G437,Data_Prices!$A:$A,0))</f>
        <v>0.111417903250404</v>
      </c>
      <c r="AA437" s="18">
        <f>INDEX(Data_Prices!AA:AA,MATCH($G437,Data_Prices!$A:$A,0))</f>
        <v>0.11052581998545399</v>
      </c>
      <c r="AB437" s="18">
        <f>INDEX(Data_Prices!AB:AB,MATCH($G437,Data_Prices!$A:$A,0))</f>
        <v>0.109699565234896</v>
      </c>
      <c r="AC437" s="18">
        <f>INDEX(Data_Prices!AC:AC,MATCH($G437,Data_Prices!$A:$A,0))</f>
        <v>0.10772678896394899</v>
      </c>
      <c r="AD437" s="18">
        <f>INDEX(Data_Prices!AD:AD,MATCH($G437,Data_Prices!$A:$A,0))</f>
        <v>0.10582092445093499</v>
      </c>
      <c r="AE437" s="18">
        <f>INDEX(Data_Prices!AE:AE,MATCH($G437,Data_Prices!$A:$A,0))</f>
        <v>0.103855595705721</v>
      </c>
    </row>
    <row r="438" spans="2:31" x14ac:dyDescent="0.45">
      <c r="B438" s="13" t="s">
        <v>75</v>
      </c>
    </row>
    <row r="439" spans="2:31" x14ac:dyDescent="0.45">
      <c r="B439" s="14" t="s">
        <v>52</v>
      </c>
      <c r="C439" s="14" t="str">
        <f t="shared" ref="C439:C447" si="106">$C$427</f>
        <v>mch</v>
      </c>
      <c r="D439" s="15" t="s">
        <v>53</v>
      </c>
      <c r="E439" s="16" t="s">
        <v>54</v>
      </c>
      <c r="F439" s="14" t="s">
        <v>76</v>
      </c>
      <c r="G439" s="17" t="str">
        <f>Settings!$B$3&amp;".mit.nce."&amp;Settings!$B$4&amp;"."&amp;$B439&amp;".a."&amp;$J$427</f>
        <v>egy.mit.nce.ind.coa.a.2</v>
      </c>
      <c r="H439" s="45" t="str">
        <f>Settings!$B$3&amp;".mit.atp."&amp;$C$427&amp;"."&amp;$B439&amp;".e."&amp;$J$427</f>
        <v>egy.mit.atp.mch.coa.e.2</v>
      </c>
      <c r="K439" s="18">
        <f>K429+INDEX(Data_Prices!K:K,MATCH($G439,Data_Prices!$A:$A,0))*K$459</f>
        <v>11.182901589243899</v>
      </c>
      <c r="L439" s="18">
        <f>L429+INDEX(Data_Prices!L:L,MATCH($G439,Data_Prices!$A:$A,0))*L$459</f>
        <v>10.5233613454312</v>
      </c>
      <c r="M439" s="18">
        <f>M429+INDEX(Data_Prices!M:M,MATCH($G439,Data_Prices!$A:$A,0))*M$459</f>
        <v>10.2995608274442</v>
      </c>
      <c r="N439" s="18">
        <f>N429+INDEX(Data_Prices!N:N,MATCH($G439,Data_Prices!$A:$A,0))*N$459</f>
        <v>9.5775283595382597</v>
      </c>
      <c r="O439" s="18">
        <f>O429+INDEX(Data_Prices!O:O,MATCH($G439,Data_Prices!$A:$A,0))*O$459</f>
        <v>8.4854782869580507</v>
      </c>
      <c r="P439" s="18">
        <f>P429+INDEX(Data_Prices!P:P,MATCH($G439,Data_Prices!$A:$A,0))*P$459</f>
        <v>9.0871922352498604</v>
      </c>
      <c r="Q439" s="18">
        <f>Q429+INDEX(Data_Prices!Q:Q,MATCH($G439,Data_Prices!$A:$A,0))*Q$459</f>
        <v>10.472923728932679</v>
      </c>
      <c r="R439" s="18">
        <f>R429+INDEX(Data_Prices!R:R,MATCH($G439,Data_Prices!$A:$A,0))*R$459</f>
        <v>11.658564955509689</v>
      </c>
      <c r="S439" s="18">
        <f>S429+INDEX(Data_Prices!S:S,MATCH($G439,Data_Prices!$A:$A,0))*S$459</f>
        <v>12.839547877397379</v>
      </c>
      <c r="T439" s="18">
        <f>T429+INDEX(Data_Prices!T:T,MATCH($G439,Data_Prices!$A:$A,0))*T$459</f>
        <v>14.01568166602283</v>
      </c>
      <c r="U439" s="18">
        <f>U429+INDEX(Data_Prices!U:U,MATCH($G439,Data_Prices!$A:$A,0))*U$459</f>
        <v>15.19439776555711</v>
      </c>
      <c r="V439" s="18">
        <f>V429+INDEX(Data_Prices!V:V,MATCH($G439,Data_Prices!$A:$A,0))*V$459</f>
        <v>16.44439776555711</v>
      </c>
      <c r="W439" s="18">
        <f>W429+INDEX(Data_Prices!W:W,MATCH($G439,Data_Prices!$A:$A,0))*W$459</f>
        <v>17.69439776555711</v>
      </c>
      <c r="X439" s="18">
        <f>X429+INDEX(Data_Prices!X:X,MATCH($G439,Data_Prices!$A:$A,0))*X$459</f>
        <v>18.94439776555711</v>
      </c>
      <c r="Y439" s="18">
        <f>Y429+INDEX(Data_Prices!Y:Y,MATCH($G439,Data_Prices!$A:$A,0))*Y$459</f>
        <v>20.19439776555711</v>
      </c>
      <c r="Z439" s="18">
        <f>Z429+INDEX(Data_Prices!Z:Z,MATCH($G439,Data_Prices!$A:$A,0))*Z$459</f>
        <v>21.44439776555711</v>
      </c>
      <c r="AA439" s="18">
        <f>AA429+INDEX(Data_Prices!AA:AA,MATCH($G439,Data_Prices!$A:$A,0))*AA$459</f>
        <v>22.69439776555711</v>
      </c>
      <c r="AB439" s="18">
        <f>AB429+INDEX(Data_Prices!AB:AB,MATCH($G439,Data_Prices!$A:$A,0))*AB$459</f>
        <v>23.94439776555711</v>
      </c>
      <c r="AC439" s="18">
        <f>AC429+INDEX(Data_Prices!AC:AC,MATCH($G439,Data_Prices!$A:$A,0))*AC$459</f>
        <v>25.19439776555711</v>
      </c>
      <c r="AD439" s="18">
        <f>AD429+INDEX(Data_Prices!AD:AD,MATCH($G439,Data_Prices!$A:$A,0))*AD$459</f>
        <v>26.44439776555711</v>
      </c>
      <c r="AE439" s="18">
        <f>AE429+INDEX(Data_Prices!AE:AE,MATCH($G439,Data_Prices!$A:$A,0))*AE$459</f>
        <v>27.69439776555711</v>
      </c>
    </row>
    <row r="440" spans="2:31" x14ac:dyDescent="0.45">
      <c r="B440" s="14" t="s">
        <v>56</v>
      </c>
      <c r="C440" s="14" t="str">
        <f t="shared" si="106"/>
        <v>mch</v>
      </c>
      <c r="D440" s="15" t="s">
        <v>57</v>
      </c>
      <c r="E440" s="16" t="s">
        <v>54</v>
      </c>
      <c r="F440" s="14" t="s">
        <v>76</v>
      </c>
      <c r="G440" s="17" t="str">
        <f>Settings!$B$3&amp;".mit.nce."&amp;Settings!$B$4&amp;"."&amp;$B440&amp;".a."&amp;$J$427</f>
        <v>egy.mit.nce.ind.nga.a.2</v>
      </c>
      <c r="H440" s="45" t="str">
        <f>Settings!$B$3&amp;".mit.atp."&amp;$C$427&amp;"."&amp;$B440&amp;".e."&amp;$J$427</f>
        <v>egy.mit.atp.mch.nga.e.2</v>
      </c>
      <c r="K440" s="18">
        <f>K430+INDEX(Data_Prices!K:K,MATCH($G440,Data_Prices!$A:$A,0))*K$459</f>
        <v>6.0634636156729096</v>
      </c>
      <c r="L440" s="18">
        <f>L430+INDEX(Data_Prices!L:L,MATCH($G440,Data_Prices!$A:$A,0))*L$459</f>
        <v>5.4510150816191896</v>
      </c>
      <c r="M440" s="18">
        <f>M430+INDEX(Data_Prices!M:M,MATCH($G440,Data_Prices!$A:$A,0))*M$459</f>
        <v>5.1193563062624801</v>
      </c>
      <c r="N440" s="18">
        <f>N430+INDEX(Data_Prices!N:N,MATCH($G440,Data_Prices!$A:$A,0))*N$459</f>
        <v>5.08218458640407</v>
      </c>
      <c r="O440" s="18">
        <f>O430+INDEX(Data_Prices!O:O,MATCH($G440,Data_Prices!$A:$A,0))*O$459</f>
        <v>5.08218458640407</v>
      </c>
      <c r="P440" s="18">
        <f>P430+INDEX(Data_Prices!P:P,MATCH($G440,Data_Prices!$A:$A,0))*P$459</f>
        <v>5.08218458640407</v>
      </c>
      <c r="Q440" s="18">
        <f>Q430+INDEX(Data_Prices!Q:Q,MATCH($G440,Data_Prices!$A:$A,0))*Q$459</f>
        <v>5.7796845864040698</v>
      </c>
      <c r="R440" s="18">
        <f>R430+INDEX(Data_Prices!R:R,MATCH($G440,Data_Prices!$A:$A,0))*R$459</f>
        <v>6.4771845864040696</v>
      </c>
      <c r="S440" s="18">
        <f>S430+INDEX(Data_Prices!S:S,MATCH($G440,Data_Prices!$A:$A,0))*S$459</f>
        <v>7.1746845864040694</v>
      </c>
      <c r="T440" s="18">
        <f>T430+INDEX(Data_Prices!T:T,MATCH($G440,Data_Prices!$A:$A,0))*T$459</f>
        <v>7.87218458640407</v>
      </c>
      <c r="U440" s="18">
        <f>U430+INDEX(Data_Prices!U:U,MATCH($G440,Data_Prices!$A:$A,0))*U$459</f>
        <v>8.5696845864040689</v>
      </c>
      <c r="V440" s="18">
        <f>V430+INDEX(Data_Prices!V:V,MATCH($G440,Data_Prices!$A:$A,0))*V$459</f>
        <v>9.2671845864040705</v>
      </c>
      <c r="W440" s="18">
        <f>W430+INDEX(Data_Prices!W:W,MATCH($G440,Data_Prices!$A:$A,0))*W$459</f>
        <v>9.9646845864040703</v>
      </c>
      <c r="X440" s="18">
        <f>X430+INDEX(Data_Prices!X:X,MATCH($G440,Data_Prices!$A:$A,0))*X$459</f>
        <v>10.66218458640407</v>
      </c>
      <c r="Y440" s="18">
        <f>Y430+INDEX(Data_Prices!Y:Y,MATCH($G440,Data_Prices!$A:$A,0))*Y$459</f>
        <v>11.35968458640407</v>
      </c>
      <c r="Z440" s="18">
        <f>Z430+INDEX(Data_Prices!Z:Z,MATCH($G440,Data_Prices!$A:$A,0))*Z$459</f>
        <v>12.05718458640407</v>
      </c>
      <c r="AA440" s="18">
        <f>AA430+INDEX(Data_Prices!AA:AA,MATCH($G440,Data_Prices!$A:$A,0))*AA$459</f>
        <v>12.754684586404071</v>
      </c>
      <c r="AB440" s="18">
        <f>AB430+INDEX(Data_Prices!AB:AB,MATCH($G440,Data_Prices!$A:$A,0))*AB$459</f>
        <v>13.452184586404069</v>
      </c>
      <c r="AC440" s="18">
        <f>AC430+INDEX(Data_Prices!AC:AC,MATCH($G440,Data_Prices!$A:$A,0))*AC$459</f>
        <v>14.149684586404071</v>
      </c>
      <c r="AD440" s="18">
        <f>AD430+INDEX(Data_Prices!AD:AD,MATCH($G440,Data_Prices!$A:$A,0))*AD$459</f>
        <v>14.847184586404071</v>
      </c>
      <c r="AE440" s="18">
        <f>AE430+INDEX(Data_Prices!AE:AE,MATCH($G440,Data_Prices!$A:$A,0))*AE$459</f>
        <v>15.54468458640407</v>
      </c>
    </row>
    <row r="441" spans="2:31" x14ac:dyDescent="0.45">
      <c r="B441" s="14" t="s">
        <v>58</v>
      </c>
      <c r="C441" s="14" t="str">
        <f t="shared" si="106"/>
        <v>mch</v>
      </c>
      <c r="D441" s="15" t="s">
        <v>59</v>
      </c>
      <c r="E441" s="16" t="s">
        <v>60</v>
      </c>
      <c r="F441" s="14" t="s">
        <v>76</v>
      </c>
      <c r="G441" s="17" t="str">
        <f>Settings!$B$3&amp;".mit.nce."&amp;Settings!$B$4&amp;"."&amp;$B441&amp;".a."&amp;$J$427</f>
        <v>egy.mit.nce.ind.gso.a.2</v>
      </c>
      <c r="H441" s="45" t="str">
        <f>Settings!$B$3&amp;".mit.atp."&amp;$C$427&amp;"."&amp;$B441&amp;".e."&amp;$J$427</f>
        <v>egy.mit.atp.mch.gso.e.2</v>
      </c>
      <c r="K441" s="18">
        <f>K431+INDEX(Data_Prices!K:K,MATCH($G441,Data_Prices!$A:$A,0))*K$459</f>
        <v>0.67114653332181595</v>
      </c>
      <c r="L441" s="18">
        <f>L431+INDEX(Data_Prices!L:L,MATCH($G441,Data_Prices!$A:$A,0))*L$459</f>
        <v>0.61197797679140598</v>
      </c>
      <c r="M441" s="18">
        <f>M431+INDEX(Data_Prices!M:M,MATCH($G441,Data_Prices!$A:$A,0))*M$459</f>
        <v>0.61180974964187596</v>
      </c>
      <c r="N441" s="18">
        <f>N431+INDEX(Data_Prices!N:N,MATCH($G441,Data_Prices!$A:$A,0))*N$459</f>
        <v>0.60358310017790595</v>
      </c>
      <c r="O441" s="18">
        <f>O431+INDEX(Data_Prices!O:O,MATCH($G441,Data_Prices!$A:$A,0))*O$459</f>
        <v>0.60358310017790595</v>
      </c>
      <c r="P441" s="18">
        <f>P431+INDEX(Data_Prices!P:P,MATCH($G441,Data_Prices!$A:$A,0))*P$459</f>
        <v>0.60358310017790595</v>
      </c>
      <c r="Q441" s="18">
        <f>Q431+INDEX(Data_Prices!Q:Q,MATCH($G441,Data_Prices!$A:$A,0))*Q$459</f>
        <v>0.63251094334940594</v>
      </c>
      <c r="R441" s="18">
        <f>R431+INDEX(Data_Prices!R:R,MATCH($G441,Data_Prices!$A:$A,0))*R$459</f>
        <v>0.66143878652090593</v>
      </c>
      <c r="S441" s="18">
        <f>S431+INDEX(Data_Prices!S:S,MATCH($G441,Data_Prices!$A:$A,0))*S$459</f>
        <v>0.69036662969240592</v>
      </c>
      <c r="T441" s="18">
        <f>T431+INDEX(Data_Prices!T:T,MATCH($G441,Data_Prices!$A:$A,0))*T$459</f>
        <v>0.71929447286390591</v>
      </c>
      <c r="U441" s="18">
        <f>U431+INDEX(Data_Prices!U:U,MATCH($G441,Data_Prices!$A:$A,0))*U$459</f>
        <v>0.74822231603540601</v>
      </c>
      <c r="V441" s="18">
        <f>V431+INDEX(Data_Prices!V:V,MATCH($G441,Data_Prices!$A:$A,0))*V$459</f>
        <v>0.77715015920690589</v>
      </c>
      <c r="W441" s="18">
        <f>W431+INDEX(Data_Prices!W:W,MATCH($G441,Data_Prices!$A:$A,0))*W$459</f>
        <v>0.80607800237840599</v>
      </c>
      <c r="X441" s="18">
        <f>X431+INDEX(Data_Prices!X:X,MATCH($G441,Data_Prices!$A:$A,0))*X$459</f>
        <v>0.83500584554990598</v>
      </c>
      <c r="Y441" s="18">
        <f>Y431+INDEX(Data_Prices!Y:Y,MATCH($G441,Data_Prices!$A:$A,0))*Y$459</f>
        <v>0.86393368872140597</v>
      </c>
      <c r="Z441" s="18">
        <f>Z431+INDEX(Data_Prices!Z:Z,MATCH($G441,Data_Prices!$A:$A,0))*Z$459</f>
        <v>0.89286153189290596</v>
      </c>
      <c r="AA441" s="18">
        <f>AA431+INDEX(Data_Prices!AA:AA,MATCH($G441,Data_Prices!$A:$A,0))*AA$459</f>
        <v>0.92178937506440595</v>
      </c>
      <c r="AB441" s="18">
        <f>AB431+INDEX(Data_Prices!AB:AB,MATCH($G441,Data_Prices!$A:$A,0))*AB$459</f>
        <v>0.95071721823590594</v>
      </c>
      <c r="AC441" s="18">
        <f>AC431+INDEX(Data_Prices!AC:AC,MATCH($G441,Data_Prices!$A:$A,0))*AC$459</f>
        <v>0.97964506140740593</v>
      </c>
      <c r="AD441" s="18">
        <f>AD431+INDEX(Data_Prices!AD:AD,MATCH($G441,Data_Prices!$A:$A,0))*AD$459</f>
        <v>1.008572904578906</v>
      </c>
      <c r="AE441" s="18">
        <f>AE431+INDEX(Data_Prices!AE:AE,MATCH($G441,Data_Prices!$A:$A,0))*AE$459</f>
        <v>1.0375007477504059</v>
      </c>
    </row>
    <row r="442" spans="2:31" x14ac:dyDescent="0.45">
      <c r="B442" s="14" t="s">
        <v>61</v>
      </c>
      <c r="C442" s="14" t="str">
        <f t="shared" si="106"/>
        <v>mch</v>
      </c>
      <c r="D442" s="15" t="s">
        <v>62</v>
      </c>
      <c r="E442" s="16" t="s">
        <v>60</v>
      </c>
      <c r="F442" s="14" t="s">
        <v>76</v>
      </c>
      <c r="G442" s="17" t="str">
        <f>Settings!$B$3&amp;".mit.nce."&amp;Settings!$B$4&amp;"."&amp;$B442&amp;".a."&amp;$J$427</f>
        <v>egy.mit.nce.ind.die.a.2</v>
      </c>
      <c r="H442" s="45" t="str">
        <f>Settings!$B$3&amp;".mit.atp."&amp;$C$427&amp;"."&amp;$B442&amp;".e."&amp;$J$427</f>
        <v>egy.mit.atp.mch.die.e.2</v>
      </c>
      <c r="K442" s="18">
        <f>K432+INDEX(Data_Prices!K:K,MATCH($G442,Data_Prices!$A:$A,0))*K$459</f>
        <v>0.55971121315568795</v>
      </c>
      <c r="L442" s="18">
        <f>L432+INDEX(Data_Prices!L:L,MATCH($G442,Data_Prices!$A:$A,0))*L$459</f>
        <v>0.49458873084106802</v>
      </c>
      <c r="M442" s="18">
        <f>M432+INDEX(Data_Prices!M:M,MATCH($G442,Data_Prices!$A:$A,0))*M$459</f>
        <v>0.50778654720250105</v>
      </c>
      <c r="N442" s="18">
        <f>N432+INDEX(Data_Prices!N:N,MATCH($G442,Data_Prices!$A:$A,0))*N$459</f>
        <v>0.47043642679561698</v>
      </c>
      <c r="O442" s="18">
        <f>O432+INDEX(Data_Prices!O:O,MATCH($G442,Data_Prices!$A:$A,0))*O$459</f>
        <v>0.47043642679561698</v>
      </c>
      <c r="P442" s="18">
        <f>P432+INDEX(Data_Prices!P:P,MATCH($G442,Data_Prices!$A:$A,0))*P$459</f>
        <v>0.47043642679561698</v>
      </c>
      <c r="Q442" s="18">
        <f>Q432+INDEX(Data_Prices!Q:Q,MATCH($G442,Data_Prices!$A:$A,0))*Q$459</f>
        <v>0.50344686565449193</v>
      </c>
      <c r="R442" s="18">
        <f>R432+INDEX(Data_Prices!R:R,MATCH($G442,Data_Prices!$A:$A,0))*R$459</f>
        <v>0.53645730451336693</v>
      </c>
      <c r="S442" s="18">
        <f>S432+INDEX(Data_Prices!S:S,MATCH($G442,Data_Prices!$A:$A,0))*S$459</f>
        <v>0.56946774337224193</v>
      </c>
      <c r="T442" s="18">
        <f>T432+INDEX(Data_Prices!T:T,MATCH($G442,Data_Prices!$A:$A,0))*T$459</f>
        <v>0.60247818223111693</v>
      </c>
      <c r="U442" s="18">
        <f>U432+INDEX(Data_Prices!U:U,MATCH($G442,Data_Prices!$A:$A,0))*U$459</f>
        <v>0.63548862108999193</v>
      </c>
      <c r="V442" s="18">
        <f>V432+INDEX(Data_Prices!V:V,MATCH($G442,Data_Prices!$A:$A,0))*V$459</f>
        <v>0.66849905994886694</v>
      </c>
      <c r="W442" s="18">
        <f>W432+INDEX(Data_Prices!W:W,MATCH($G442,Data_Prices!$A:$A,0))*W$459</f>
        <v>0.70150949880774194</v>
      </c>
      <c r="X442" s="18">
        <f>X432+INDEX(Data_Prices!X:X,MATCH($G442,Data_Prices!$A:$A,0))*X$459</f>
        <v>0.73451993766661694</v>
      </c>
      <c r="Y442" s="18">
        <f>Y432+INDEX(Data_Prices!Y:Y,MATCH($G442,Data_Prices!$A:$A,0))*Y$459</f>
        <v>0.76753037652549194</v>
      </c>
      <c r="Z442" s="18">
        <f>Z432+INDEX(Data_Prices!Z:Z,MATCH($G442,Data_Prices!$A:$A,0))*Z$459</f>
        <v>0.80054081538436694</v>
      </c>
      <c r="AA442" s="18">
        <f>AA432+INDEX(Data_Prices!AA:AA,MATCH($G442,Data_Prices!$A:$A,0))*AA$459</f>
        <v>0.83355125424324195</v>
      </c>
      <c r="AB442" s="18">
        <f>AB432+INDEX(Data_Prices!AB:AB,MATCH($G442,Data_Prices!$A:$A,0))*AB$459</f>
        <v>0.86656169310211695</v>
      </c>
      <c r="AC442" s="18">
        <f>AC432+INDEX(Data_Prices!AC:AC,MATCH($G442,Data_Prices!$A:$A,0))*AC$459</f>
        <v>0.89957213196099195</v>
      </c>
      <c r="AD442" s="18">
        <f>AD432+INDEX(Data_Prices!AD:AD,MATCH($G442,Data_Prices!$A:$A,0))*AD$459</f>
        <v>0.93258257081986695</v>
      </c>
      <c r="AE442" s="18">
        <f>AE432+INDEX(Data_Prices!AE:AE,MATCH($G442,Data_Prices!$A:$A,0))*AE$459</f>
        <v>0.96559300967874195</v>
      </c>
    </row>
    <row r="443" spans="2:31" x14ac:dyDescent="0.45">
      <c r="B443" s="14" t="s">
        <v>63</v>
      </c>
      <c r="C443" s="14" t="str">
        <f t="shared" si="106"/>
        <v>mch</v>
      </c>
      <c r="D443" s="15" t="s">
        <v>64</v>
      </c>
      <c r="E443" s="16" t="s">
        <v>60</v>
      </c>
      <c r="F443" s="14" t="s">
        <v>76</v>
      </c>
      <c r="G443" s="17" t="str">
        <f>Settings!$B$3&amp;".mit.nce."&amp;Settings!$B$4&amp;"."&amp;$B443&amp;".a."&amp;$J$427</f>
        <v>egy.mit.nce.ind.lpg.a.2</v>
      </c>
      <c r="H443" s="45" t="str">
        <f>Settings!$B$3&amp;".mit.atp."&amp;$C$427&amp;"."&amp;$B443&amp;".e."&amp;$J$427</f>
        <v>egy.mit.atp.mch.lpg.e.2</v>
      </c>
      <c r="K443" s="18">
        <f>K433+INDEX(Data_Prices!K:K,MATCH($G443,Data_Prices!$A:$A,0))*K$459</f>
        <v>0.20036669112673799</v>
      </c>
      <c r="L443" s="18">
        <f>L433+INDEX(Data_Prices!L:L,MATCH($G443,Data_Prices!$A:$A,0))*L$459</f>
        <v>0.15734473625227399</v>
      </c>
      <c r="M443" s="18">
        <f>M433+INDEX(Data_Prices!M:M,MATCH($G443,Data_Prices!$A:$A,0))*M$459</f>
        <v>0.164484037759277</v>
      </c>
      <c r="N443" s="18">
        <f>N433+INDEX(Data_Prices!N:N,MATCH($G443,Data_Prices!$A:$A,0))*N$459</f>
        <v>0.15070907780704901</v>
      </c>
      <c r="O443" s="18">
        <f>O433+INDEX(Data_Prices!O:O,MATCH($G443,Data_Prices!$A:$A,0))*O$459</f>
        <v>0.15070907780704901</v>
      </c>
      <c r="P443" s="18">
        <f>P433+INDEX(Data_Prices!P:P,MATCH($G443,Data_Prices!$A:$A,0))*P$459</f>
        <v>0.15070907780704901</v>
      </c>
      <c r="Q443" s="18">
        <f>Q433+INDEX(Data_Prices!Q:Q,MATCH($G443,Data_Prices!$A:$A,0))*Q$459</f>
        <v>0.17281516073434472</v>
      </c>
      <c r="R443" s="18">
        <f>R433+INDEX(Data_Prices!R:R,MATCH($G443,Data_Prices!$A:$A,0))*R$459</f>
        <v>0.1949212436616404</v>
      </c>
      <c r="S443" s="18">
        <f>S433+INDEX(Data_Prices!S:S,MATCH($G443,Data_Prices!$A:$A,0))*S$459</f>
        <v>0.21702732658893611</v>
      </c>
      <c r="T443" s="18">
        <f>T433+INDEX(Data_Prices!T:T,MATCH($G443,Data_Prices!$A:$A,0))*T$459</f>
        <v>0.2391334095162318</v>
      </c>
      <c r="U443" s="18">
        <f>U433+INDEX(Data_Prices!U:U,MATCH($G443,Data_Prices!$A:$A,0))*U$459</f>
        <v>0.26123949244352801</v>
      </c>
      <c r="V443" s="18">
        <f>V433+INDEX(Data_Prices!V:V,MATCH($G443,Data_Prices!$A:$A,0))*V$459</f>
        <v>0.283345575370823</v>
      </c>
      <c r="W443" s="18">
        <f>W433+INDEX(Data_Prices!W:W,MATCH($G443,Data_Prices!$A:$A,0))*W$459</f>
        <v>0.30545165829811904</v>
      </c>
      <c r="X443" s="18">
        <f>X433+INDEX(Data_Prices!X:X,MATCH($G443,Data_Prices!$A:$A,0))*X$459</f>
        <v>0.32755774122541503</v>
      </c>
      <c r="Y443" s="18">
        <f>Y433+INDEX(Data_Prices!Y:Y,MATCH($G443,Data_Prices!$A:$A,0))*Y$459</f>
        <v>0.34966382415271002</v>
      </c>
      <c r="Z443" s="18">
        <f>Z433+INDEX(Data_Prices!Z:Z,MATCH($G443,Data_Prices!$A:$A,0))*Z$459</f>
        <v>0.37176990708000601</v>
      </c>
      <c r="AA443" s="18">
        <f>AA433+INDEX(Data_Prices!AA:AA,MATCH($G443,Data_Prices!$A:$A,0))*AA$459</f>
        <v>0.393875990007302</v>
      </c>
      <c r="AB443" s="18">
        <f>AB433+INDEX(Data_Prices!AB:AB,MATCH($G443,Data_Prices!$A:$A,0))*AB$459</f>
        <v>0.41598207293459699</v>
      </c>
      <c r="AC443" s="18">
        <f>AC433+INDEX(Data_Prices!AC:AC,MATCH($G443,Data_Prices!$A:$A,0))*AC$459</f>
        <v>0.43808815586189298</v>
      </c>
      <c r="AD443" s="18">
        <f>AD433+INDEX(Data_Prices!AD:AD,MATCH($G443,Data_Prices!$A:$A,0))*AD$459</f>
        <v>0.46019423878918903</v>
      </c>
      <c r="AE443" s="18">
        <f>AE433+INDEX(Data_Prices!AE:AE,MATCH($G443,Data_Prices!$A:$A,0))*AE$459</f>
        <v>0.48230032171648402</v>
      </c>
    </row>
    <row r="444" spans="2:31" x14ac:dyDescent="0.45">
      <c r="B444" s="14" t="s">
        <v>65</v>
      </c>
      <c r="C444" s="14" t="str">
        <f t="shared" si="106"/>
        <v>mch</v>
      </c>
      <c r="D444" s="15" t="s">
        <v>66</v>
      </c>
      <c r="E444" s="16" t="s">
        <v>60</v>
      </c>
      <c r="F444" s="14" t="s">
        <v>76</v>
      </c>
      <c r="G444" s="17" t="str">
        <f>Settings!$B$3&amp;".mit.nce."&amp;Settings!$B$4&amp;"."&amp;$B444&amp;".a."&amp;$J$427</f>
        <v>egy.mit.nce.ind.ker.a.2</v>
      </c>
      <c r="H444" s="45" t="str">
        <f>Settings!$B$3&amp;".mit.atp."&amp;$C$427&amp;"."&amp;$B444&amp;".e."&amp;$J$427</f>
        <v>egy.mit.atp.mch.ker.e.2</v>
      </c>
      <c r="K444" s="18">
        <f>K434+INDEX(Data_Prices!K:K,MATCH($G444,Data_Prices!$A:$A,0))*K$459</f>
        <v>0.48429424097343499</v>
      </c>
      <c r="L444" s="18">
        <f>L434+INDEX(Data_Prices!L:L,MATCH($G444,Data_Prices!$A:$A,0))*L$459</f>
        <v>0.45642817050012802</v>
      </c>
      <c r="M444" s="18">
        <f>M434+INDEX(Data_Prices!M:M,MATCH($G444,Data_Prices!$A:$A,0))*M$459</f>
        <v>0.43168920195599497</v>
      </c>
      <c r="N444" s="18">
        <f>N434+INDEX(Data_Prices!N:N,MATCH($G444,Data_Prices!$A:$A,0))*N$459</f>
        <v>0.42507558395597</v>
      </c>
      <c r="O444" s="18">
        <f>O434+INDEX(Data_Prices!O:O,MATCH($G444,Data_Prices!$A:$A,0))*O$459</f>
        <v>0.42507558395597</v>
      </c>
      <c r="P444" s="18">
        <f>P434+INDEX(Data_Prices!P:P,MATCH($G444,Data_Prices!$A:$A,0))*P$459</f>
        <v>0.42507558395597</v>
      </c>
      <c r="Q444" s="18">
        <f>Q434+INDEX(Data_Prices!Q:Q,MATCH($G444,Data_Prices!$A:$A,0))*Q$459</f>
        <v>0.45706441406607851</v>
      </c>
      <c r="R444" s="18">
        <f>R434+INDEX(Data_Prices!R:R,MATCH($G444,Data_Prices!$A:$A,0))*R$459</f>
        <v>0.48905324417618701</v>
      </c>
      <c r="S444" s="18">
        <f>S434+INDEX(Data_Prices!S:S,MATCH($G444,Data_Prices!$A:$A,0))*S$459</f>
        <v>0.52104207428629556</v>
      </c>
      <c r="T444" s="18">
        <f>T434+INDEX(Data_Prices!T:T,MATCH($G444,Data_Prices!$A:$A,0))*T$459</f>
        <v>0.55303090439640401</v>
      </c>
      <c r="U444" s="18">
        <f>U434+INDEX(Data_Prices!U:U,MATCH($G444,Data_Prices!$A:$A,0))*U$459</f>
        <v>0.58501973450651301</v>
      </c>
      <c r="V444" s="18">
        <f>V434+INDEX(Data_Prices!V:V,MATCH($G444,Data_Prices!$A:$A,0))*V$459</f>
        <v>0.61700856461662101</v>
      </c>
      <c r="W444" s="18">
        <f>W434+INDEX(Data_Prices!W:W,MATCH($G444,Data_Prices!$A:$A,0))*W$459</f>
        <v>0.64899739472673001</v>
      </c>
      <c r="X444" s="18">
        <f>X434+INDEX(Data_Prices!X:X,MATCH($G444,Data_Prices!$A:$A,0))*X$459</f>
        <v>0.68098622483683802</v>
      </c>
      <c r="Y444" s="18">
        <f>Y434+INDEX(Data_Prices!Y:Y,MATCH($G444,Data_Prices!$A:$A,0))*Y$459</f>
        <v>0.71297505494694702</v>
      </c>
      <c r="Z444" s="18">
        <f>Z434+INDEX(Data_Prices!Z:Z,MATCH($G444,Data_Prices!$A:$A,0))*Z$459</f>
        <v>0.74496388505705502</v>
      </c>
      <c r="AA444" s="18">
        <f>AA434+INDEX(Data_Prices!AA:AA,MATCH($G444,Data_Prices!$A:$A,0))*AA$459</f>
        <v>0.77695271516716302</v>
      </c>
      <c r="AB444" s="18">
        <f>AB434+INDEX(Data_Prices!AB:AB,MATCH($G444,Data_Prices!$A:$A,0))*AB$459</f>
        <v>0.80894154527727202</v>
      </c>
      <c r="AC444" s="18">
        <f>AC434+INDEX(Data_Prices!AC:AC,MATCH($G444,Data_Prices!$A:$A,0))*AC$459</f>
        <v>0.84093037538738002</v>
      </c>
      <c r="AD444" s="18">
        <f>AD434+INDEX(Data_Prices!AD:AD,MATCH($G444,Data_Prices!$A:$A,0))*AD$459</f>
        <v>0.87291920549748903</v>
      </c>
      <c r="AE444" s="18">
        <f>AE434+INDEX(Data_Prices!AE:AE,MATCH($G444,Data_Prices!$A:$A,0))*AE$459</f>
        <v>0.90490803560759703</v>
      </c>
    </row>
    <row r="445" spans="2:31" x14ac:dyDescent="0.45">
      <c r="B445" s="14" t="s">
        <v>67</v>
      </c>
      <c r="C445" s="14" t="str">
        <f t="shared" si="106"/>
        <v>mch</v>
      </c>
      <c r="D445" s="15" t="s">
        <v>68</v>
      </c>
      <c r="E445" s="16" t="s">
        <v>69</v>
      </c>
      <c r="F445" s="14" t="s">
        <v>76</v>
      </c>
      <c r="G445" s="17" t="str">
        <f>Settings!$B$3&amp;".mit.nce."&amp;Settings!$B$4&amp;"."&amp;$B445&amp;".a."&amp;$J$427</f>
        <v>egy.mit.nce.ind.oop.a.2</v>
      </c>
      <c r="H445" s="45" t="str">
        <f>Settings!$B$3&amp;".mit.atp."&amp;$C$427&amp;"."&amp;$B445&amp;".e."&amp;$J$427</f>
        <v>egy.mit.atp.mch.oop.e.2</v>
      </c>
      <c r="K445" s="18">
        <f>K435+INDEX(Data_Prices!K:K,MATCH($G445,Data_Prices!$A:$A,0))*K$459</f>
        <v>41.500338498868402</v>
      </c>
      <c r="L445" s="18">
        <f>L435+INDEX(Data_Prices!L:L,MATCH($G445,Data_Prices!$A:$A,0))*L$459</f>
        <v>34.4153703043132</v>
      </c>
      <c r="M445" s="18">
        <f>M435+INDEX(Data_Prices!M:M,MATCH($G445,Data_Prices!$A:$A,0))*M$459</f>
        <v>37.368960690431997</v>
      </c>
      <c r="N445" s="18">
        <f>N435+INDEX(Data_Prices!N:N,MATCH($G445,Data_Prices!$A:$A,0))*N$459</f>
        <v>28.982761101477301</v>
      </c>
      <c r="O445" s="18">
        <f>O435+INDEX(Data_Prices!O:O,MATCH($G445,Data_Prices!$A:$A,0))*O$459</f>
        <v>15</v>
      </c>
      <c r="P445" s="18">
        <f>P435+INDEX(Data_Prices!P:P,MATCH($G445,Data_Prices!$A:$A,0))*P$459</f>
        <v>24.2586300842555</v>
      </c>
      <c r="Q445" s="18">
        <f>Q435+INDEX(Data_Prices!Q:Q,MATCH($G445,Data_Prices!$A:$A,0))*Q$459</f>
        <v>18.963758196132499</v>
      </c>
      <c r="R445" s="18">
        <f>R435+INDEX(Data_Prices!R:R,MATCH($G445,Data_Prices!$A:$A,0))*R$459</f>
        <v>21.760345114010597</v>
      </c>
      <c r="S445" s="18">
        <f>S435+INDEX(Data_Prices!S:S,MATCH($G445,Data_Prices!$A:$A,0))*S$459</f>
        <v>26.079880691373621</v>
      </c>
      <c r="T445" s="18">
        <f>T435+INDEX(Data_Prices!T:T,MATCH($G445,Data_Prices!$A:$A,0))*T$459</f>
        <v>30.593682445209218</v>
      </c>
      <c r="U445" s="18">
        <f>U435+INDEX(Data_Prices!U:U,MATCH($G445,Data_Prices!$A:$A,0))*U$459</f>
        <v>34.990509739410058</v>
      </c>
      <c r="V445" s="18">
        <f>V435+INDEX(Data_Prices!V:V,MATCH($G445,Data_Prices!$A:$A,0))*V$459</f>
        <v>40.858059739410059</v>
      </c>
      <c r="W445" s="18">
        <f>W435+INDEX(Data_Prices!W:W,MATCH($G445,Data_Prices!$A:$A,0))*W$459</f>
        <v>46.725609739410061</v>
      </c>
      <c r="X445" s="18">
        <f>X435+INDEX(Data_Prices!X:X,MATCH($G445,Data_Prices!$A:$A,0))*X$459</f>
        <v>52.593159739410055</v>
      </c>
      <c r="Y445" s="18">
        <f>Y435+INDEX(Data_Prices!Y:Y,MATCH($G445,Data_Prices!$A:$A,0))*Y$459</f>
        <v>58.460709739410056</v>
      </c>
      <c r="Z445" s="18">
        <f>Z435+INDEX(Data_Prices!Z:Z,MATCH($G445,Data_Prices!$A:$A,0))*Z$459</f>
        <v>64.328259739410072</v>
      </c>
      <c r="AA445" s="18">
        <f>AA435+INDEX(Data_Prices!AA:AA,MATCH($G445,Data_Prices!$A:$A,0))*AA$459</f>
        <v>70.195809739410052</v>
      </c>
      <c r="AB445" s="18">
        <f>AB435+INDEX(Data_Prices!AB:AB,MATCH($G445,Data_Prices!$A:$A,0))*AB$459</f>
        <v>76.06335973941006</v>
      </c>
      <c r="AC445" s="18">
        <f>AC435+INDEX(Data_Prices!AC:AC,MATCH($G445,Data_Prices!$A:$A,0))*AC$459</f>
        <v>81.930909739410041</v>
      </c>
      <c r="AD445" s="18">
        <f>AD435+INDEX(Data_Prices!AD:AD,MATCH($G445,Data_Prices!$A:$A,0))*AD$459</f>
        <v>87.798459739410063</v>
      </c>
      <c r="AE445" s="18">
        <f>AE435+INDEX(Data_Prices!AE:AE,MATCH($G445,Data_Prices!$A:$A,0))*AE$459</f>
        <v>93.666009739410043</v>
      </c>
    </row>
    <row r="446" spans="2:31" x14ac:dyDescent="0.45">
      <c r="B446" s="14" t="s">
        <v>70</v>
      </c>
      <c r="C446" s="14" t="str">
        <f t="shared" si="106"/>
        <v>mch</v>
      </c>
      <c r="D446" s="15" t="s">
        <v>71</v>
      </c>
      <c r="E446" s="16" t="s">
        <v>54</v>
      </c>
      <c r="F446" s="14" t="s">
        <v>76</v>
      </c>
      <c r="G446" s="17" t="str">
        <f>Settings!$B$3&amp;".mit.nce."&amp;Settings!$B$4&amp;"."&amp;$B446&amp;".a."&amp;$J$427</f>
        <v>egy.mit.nce.ind.bio.a.2</v>
      </c>
      <c r="H446" s="45" t="str">
        <f>Settings!$B$3&amp;".mit.atp."&amp;$C$427&amp;"."&amp;$B446&amp;".e."&amp;$J$427</f>
        <v>egy.mit.atp.mch.bio.e.2</v>
      </c>
      <c r="K446" s="18">
        <f>K436+INDEX(Data_Prices!K:K,MATCH($G446,Data_Prices!$A:$A,0))*K$459</f>
        <v>15.3345505293169</v>
      </c>
      <c r="L446" s="18">
        <f>L436+INDEX(Data_Prices!L:L,MATCH($G446,Data_Prices!$A:$A,0))*L$459</f>
        <v>14.199528390634899</v>
      </c>
      <c r="M446" s="18">
        <f>M436+INDEX(Data_Prices!M:M,MATCH($G446,Data_Prices!$A:$A,0))*M$459</f>
        <v>13.8404416133152</v>
      </c>
      <c r="N446" s="18">
        <f>N436+INDEX(Data_Prices!N:N,MATCH($G446,Data_Prices!$A:$A,0))*N$459</f>
        <v>13.5677269404465</v>
      </c>
      <c r="O446" s="18">
        <f>O436+INDEX(Data_Prices!O:O,MATCH($G446,Data_Prices!$A:$A,0))*O$459</f>
        <v>13.5677269404465</v>
      </c>
      <c r="P446" s="18">
        <f>P436+INDEX(Data_Prices!P:P,MATCH($G446,Data_Prices!$A:$A,0))*P$459</f>
        <v>13.5677269404465</v>
      </c>
      <c r="Q446" s="18">
        <f>Q436+INDEX(Data_Prices!Q:Q,MATCH($G446,Data_Prices!$A:$A,0))*Q$459</f>
        <v>13.5677269404465</v>
      </c>
      <c r="R446" s="18">
        <f>R436+INDEX(Data_Prices!R:R,MATCH($G446,Data_Prices!$A:$A,0))*R$459</f>
        <v>13.5677269404465</v>
      </c>
      <c r="S446" s="18">
        <f>S436+INDEX(Data_Prices!S:S,MATCH($G446,Data_Prices!$A:$A,0))*S$459</f>
        <v>13.5677269404465</v>
      </c>
      <c r="T446" s="18">
        <f>T436+INDEX(Data_Prices!T:T,MATCH($G446,Data_Prices!$A:$A,0))*T$459</f>
        <v>13.5677269404465</v>
      </c>
      <c r="U446" s="18">
        <f>U436+INDEX(Data_Prices!U:U,MATCH($G446,Data_Prices!$A:$A,0))*U$459</f>
        <v>13.5677269404465</v>
      </c>
      <c r="V446" s="18">
        <f>V436+INDEX(Data_Prices!V:V,MATCH($G446,Data_Prices!$A:$A,0))*V$459</f>
        <v>13.5677269404465</v>
      </c>
      <c r="W446" s="18">
        <f>W436+INDEX(Data_Prices!W:W,MATCH($G446,Data_Prices!$A:$A,0))*W$459</f>
        <v>13.5677269404465</v>
      </c>
      <c r="X446" s="18">
        <f>X436+INDEX(Data_Prices!X:X,MATCH($G446,Data_Prices!$A:$A,0))*X$459</f>
        <v>13.5677269404465</v>
      </c>
      <c r="Y446" s="18">
        <f>Y436+INDEX(Data_Prices!Y:Y,MATCH($G446,Data_Prices!$A:$A,0))*Y$459</f>
        <v>13.5677269404465</v>
      </c>
      <c r="Z446" s="18">
        <f>Z436+INDEX(Data_Prices!Z:Z,MATCH($G446,Data_Prices!$A:$A,0))*Z$459</f>
        <v>13.5677269404465</v>
      </c>
      <c r="AA446" s="18">
        <f>AA436+INDEX(Data_Prices!AA:AA,MATCH($G446,Data_Prices!$A:$A,0))*AA$459</f>
        <v>13.5677269404465</v>
      </c>
      <c r="AB446" s="18">
        <f>AB436+INDEX(Data_Prices!AB:AB,MATCH($G446,Data_Prices!$A:$A,0))*AB$459</f>
        <v>13.5677269404465</v>
      </c>
      <c r="AC446" s="18">
        <f>AC436+INDEX(Data_Prices!AC:AC,MATCH($G446,Data_Prices!$A:$A,0))*AC$459</f>
        <v>13.5677269404465</v>
      </c>
      <c r="AD446" s="18">
        <f>AD436+INDEX(Data_Prices!AD:AD,MATCH($G446,Data_Prices!$A:$A,0))*AD$459</f>
        <v>13.5677269404465</v>
      </c>
      <c r="AE446" s="18">
        <f>AE436+INDEX(Data_Prices!AE:AE,MATCH($G446,Data_Prices!$A:$A,0))*AE$459</f>
        <v>13.5677269404465</v>
      </c>
    </row>
    <row r="447" spans="2:31" x14ac:dyDescent="0.45">
      <c r="B447" s="14" t="s">
        <v>72</v>
      </c>
      <c r="C447" s="14" t="str">
        <f t="shared" si="106"/>
        <v>mch</v>
      </c>
      <c r="D447" s="15" t="s">
        <v>73</v>
      </c>
      <c r="E447" s="16" t="s">
        <v>74</v>
      </c>
      <c r="F447" s="14" t="s">
        <v>76</v>
      </c>
      <c r="G447" s="17" t="str">
        <f>Settings!$B$3&amp;".mit.nce."&amp;Settings!$B$4&amp;"."&amp;$B447&amp;".a."&amp;$J$427</f>
        <v>egy.mit.nce.ind.ren.a.2</v>
      </c>
      <c r="H447" s="45" t="str">
        <f>Settings!$B$3&amp;".mit.atp."&amp;$C$427&amp;"."&amp;$B447&amp;".e."&amp;$J$427</f>
        <v>egy.mit.atp.mch.ren.e.2</v>
      </c>
      <c r="K447" s="18">
        <f>K437+INDEX(Data_Prices!K:K,MATCH($G447,Data_Prices!$A:$A,0))*K$459</f>
        <v>0</v>
      </c>
      <c r="L447" s="18">
        <f>L437+INDEX(Data_Prices!L:L,MATCH($G447,Data_Prices!$A:$A,0))*L$459</f>
        <v>0.14404498679319799</v>
      </c>
      <c r="M447" s="18">
        <f>M437+INDEX(Data_Prices!M:M,MATCH($G447,Data_Prices!$A:$A,0))*M$459</f>
        <v>0.141386241751359</v>
      </c>
      <c r="N447" s="18">
        <f>N437+INDEX(Data_Prices!N:N,MATCH($G447,Data_Prices!$A:$A,0))*N$459</f>
        <v>0.13539756544373099</v>
      </c>
      <c r="O447" s="18">
        <f>O437+INDEX(Data_Prices!O:O,MATCH($G447,Data_Prices!$A:$A,0))*O$459</f>
        <v>0.13152288542065099</v>
      </c>
      <c r="P447" s="18">
        <f>P437+INDEX(Data_Prices!P:P,MATCH($G447,Data_Prices!$A:$A,0))*P$459</f>
        <v>0.12882610848523099</v>
      </c>
      <c r="Q447" s="18">
        <f>Q437+INDEX(Data_Prices!Q:Q,MATCH($G447,Data_Prices!$A:$A,0))*Q$459</f>
        <v>0.12594200976473999</v>
      </c>
      <c r="R447" s="18">
        <f>R437+INDEX(Data_Prices!R:R,MATCH($G447,Data_Prices!$A:$A,0))*R$459</f>
        <v>0.123113265701861</v>
      </c>
      <c r="S447" s="18">
        <f>S437+INDEX(Data_Prices!S:S,MATCH($G447,Data_Prices!$A:$A,0))*S$459</f>
        <v>0.119391738089068</v>
      </c>
      <c r="T447" s="18">
        <f>T437+INDEX(Data_Prices!T:T,MATCH($G447,Data_Prices!$A:$A,0))*T$459</f>
        <v>0.11554419046792</v>
      </c>
      <c r="U447" s="18">
        <f>U437+INDEX(Data_Prices!U:U,MATCH($G447,Data_Prices!$A:$A,0))*U$459</f>
        <v>0.11492423065415899</v>
      </c>
      <c r="V447" s="18">
        <f>V437+INDEX(Data_Prices!V:V,MATCH($G447,Data_Prices!$A:$A,0))*V$459</f>
        <v>0.114346912116736</v>
      </c>
      <c r="W447" s="18">
        <f>W437+INDEX(Data_Prices!W:W,MATCH($G447,Data_Prices!$A:$A,0))*W$459</f>
        <v>0.113738711172664</v>
      </c>
      <c r="X447" s="18">
        <f>X437+INDEX(Data_Prices!X:X,MATCH($G447,Data_Prices!$A:$A,0))*X$459</f>
        <v>0.112999900487521</v>
      </c>
      <c r="Y447" s="18">
        <f>Y437+INDEX(Data_Prices!Y:Y,MATCH($G447,Data_Prices!$A:$A,0))*Y$459</f>
        <v>0.112177685835534</v>
      </c>
      <c r="Z447" s="18">
        <f>Z437+INDEX(Data_Prices!Z:Z,MATCH($G447,Data_Prices!$A:$A,0))*Z$459</f>
        <v>0.111417903250404</v>
      </c>
      <c r="AA447" s="18">
        <f>AA437+INDEX(Data_Prices!AA:AA,MATCH($G447,Data_Prices!$A:$A,0))*AA$459</f>
        <v>0.11052581998545399</v>
      </c>
      <c r="AB447" s="18">
        <f>AB437+INDEX(Data_Prices!AB:AB,MATCH($G447,Data_Prices!$A:$A,0))*AB$459</f>
        <v>0.109699565234896</v>
      </c>
      <c r="AC447" s="18">
        <f>AC437+INDEX(Data_Prices!AC:AC,MATCH($G447,Data_Prices!$A:$A,0))*AC$459</f>
        <v>0.10772678896394899</v>
      </c>
      <c r="AD447" s="18">
        <f>AD437+INDEX(Data_Prices!AD:AD,MATCH($G447,Data_Prices!$A:$A,0))*AD$459</f>
        <v>0.10582092445093499</v>
      </c>
      <c r="AE447" s="18">
        <f>AE437+INDEX(Data_Prices!AE:AE,MATCH($G447,Data_Prices!$A:$A,0))*AE$459</f>
        <v>0.103855595705721</v>
      </c>
    </row>
    <row r="448" spans="2:31" x14ac:dyDescent="0.45">
      <c r="B448" s="13" t="s">
        <v>77</v>
      </c>
    </row>
    <row r="449" spans="2:31" x14ac:dyDescent="0.45">
      <c r="B449" s="14" t="s">
        <v>52</v>
      </c>
      <c r="C449" s="14" t="str">
        <f t="shared" ref="C449:C457" si="107">$C$427</f>
        <v>mch</v>
      </c>
      <c r="D449" s="15" t="s">
        <v>53</v>
      </c>
      <c r="E449" s="16" t="s">
        <v>54</v>
      </c>
      <c r="F449" s="14" t="s">
        <v>78</v>
      </c>
      <c r="G449" s="17" t="str">
        <f>Settings!$B$3&amp;".mit.shp."&amp;$B449&amp;"."&amp;Settings!$B$4&amp;"."&amp;$J$427</f>
        <v>egy.mit.shp.coa.ind.2</v>
      </c>
      <c r="H449" s="45" t="str">
        <f>Settings!$B$3&amp;".mit.shp."&amp;$C$427&amp;"."&amp;$B449&amp;".e."&amp;$J$427</f>
        <v>egy.mit.shp.mch.coa.e.2</v>
      </c>
      <c r="K449" s="19">
        <f>K439+INDEX(Data_Prices!K:K,MATCH($G449,Data_Prices!$A:$A,0))*K$460</f>
        <v>11.182901589243899</v>
      </c>
      <c r="L449" s="19">
        <f>L439+INDEX(Data_Prices!L:L,MATCH($G449,Data_Prices!$A:$A,0))*L$460</f>
        <v>10.5233613454312</v>
      </c>
      <c r="M449" s="19">
        <f>M439+INDEX(Data_Prices!M:M,MATCH($G449,Data_Prices!$A:$A,0))*M$460</f>
        <v>10.2995608274442</v>
      </c>
      <c r="N449" s="19">
        <f>N439+INDEX(Data_Prices!N:N,MATCH($G449,Data_Prices!$A:$A,0))*N$460</f>
        <v>9.5775283595382597</v>
      </c>
      <c r="O449" s="19">
        <f>O439+INDEX(Data_Prices!O:O,MATCH($G449,Data_Prices!$A:$A,0))*O$460</f>
        <v>8.4854782869580507</v>
      </c>
      <c r="P449" s="19">
        <f>P439+INDEX(Data_Prices!P:P,MATCH($G449,Data_Prices!$A:$A,0))*P$460</f>
        <v>9.0871922352498604</v>
      </c>
      <c r="Q449" s="19">
        <f>Q439+INDEX(Data_Prices!Q:Q,MATCH($G449,Data_Prices!$A:$A,0))*Q$460</f>
        <v>10.472923728932679</v>
      </c>
      <c r="R449" s="19">
        <f>R439+INDEX(Data_Prices!R:R,MATCH($G449,Data_Prices!$A:$A,0))*R$460</f>
        <v>11.658564955509689</v>
      </c>
      <c r="S449" s="19">
        <f>S439+INDEX(Data_Prices!S:S,MATCH($G449,Data_Prices!$A:$A,0))*S$460</f>
        <v>12.839547877397379</v>
      </c>
      <c r="T449" s="19">
        <f>T439+INDEX(Data_Prices!T:T,MATCH($G449,Data_Prices!$A:$A,0))*T$460</f>
        <v>14.01568166602283</v>
      </c>
      <c r="U449" s="19">
        <f>U439+INDEX(Data_Prices!U:U,MATCH($G449,Data_Prices!$A:$A,0))*U$460</f>
        <v>15.19439776555711</v>
      </c>
      <c r="V449" s="19">
        <f>V439+INDEX(Data_Prices!V:V,MATCH($G449,Data_Prices!$A:$A,0))*V$460</f>
        <v>16.44439776555711</v>
      </c>
      <c r="W449" s="19">
        <f>W439+INDEX(Data_Prices!W:W,MATCH($G449,Data_Prices!$A:$A,0))*W$460</f>
        <v>17.69439776555711</v>
      </c>
      <c r="X449" s="19">
        <f>X439+INDEX(Data_Prices!X:X,MATCH($G449,Data_Prices!$A:$A,0))*X$460</f>
        <v>18.94439776555711</v>
      </c>
      <c r="Y449" s="19">
        <f>Y439+INDEX(Data_Prices!Y:Y,MATCH($G449,Data_Prices!$A:$A,0))*Y$460</f>
        <v>20.19439776555711</v>
      </c>
      <c r="Z449" s="19">
        <f>Z439+INDEX(Data_Prices!Z:Z,MATCH($G449,Data_Prices!$A:$A,0))*Z$460</f>
        <v>21.44439776555711</v>
      </c>
      <c r="AA449" s="19">
        <f>AA439+INDEX(Data_Prices!AA:AA,MATCH($G449,Data_Prices!$A:$A,0))*AA$460</f>
        <v>22.69439776555711</v>
      </c>
      <c r="AB449" s="19">
        <f>AB439+INDEX(Data_Prices!AB:AB,MATCH($G449,Data_Prices!$A:$A,0))*AB$460</f>
        <v>23.94439776555711</v>
      </c>
      <c r="AC449" s="19">
        <f>AC439+INDEX(Data_Prices!AC:AC,MATCH($G449,Data_Prices!$A:$A,0))*AC$460</f>
        <v>25.19439776555711</v>
      </c>
      <c r="AD449" s="19">
        <f>AD439+INDEX(Data_Prices!AD:AD,MATCH($G449,Data_Prices!$A:$A,0))*AD$460</f>
        <v>26.44439776555711</v>
      </c>
      <c r="AE449" s="19">
        <f>AE439+INDEX(Data_Prices!AE:AE,MATCH($G449,Data_Prices!$A:$A,0))*AE$460</f>
        <v>27.69439776555711</v>
      </c>
    </row>
    <row r="450" spans="2:31" x14ac:dyDescent="0.45">
      <c r="B450" s="14" t="s">
        <v>56</v>
      </c>
      <c r="C450" s="14" t="str">
        <f t="shared" si="107"/>
        <v>mch</v>
      </c>
      <c r="D450" s="15" t="s">
        <v>57</v>
      </c>
      <c r="E450" s="16" t="s">
        <v>54</v>
      </c>
      <c r="F450" s="14" t="s">
        <v>78</v>
      </c>
      <c r="G450" s="17" t="str">
        <f>Settings!$B$3&amp;".mit.shp."&amp;$B450&amp;"."&amp;Settings!$B$4&amp;"."&amp;$J$427</f>
        <v>egy.mit.shp.nga.ind.2</v>
      </c>
      <c r="H450" s="45" t="str">
        <f>Settings!$B$3&amp;".mit.shp."&amp;$C$427&amp;"."&amp;$B450&amp;".e."&amp;$J$427</f>
        <v>egy.mit.shp.mch.nga.e.2</v>
      </c>
      <c r="K450" s="19">
        <f>K440+INDEX(Data_Prices!K:K,MATCH($G450,Data_Prices!$A:$A,0))*K$460</f>
        <v>6.0634636156729096</v>
      </c>
      <c r="L450" s="19">
        <f>L440+INDEX(Data_Prices!L:L,MATCH($G450,Data_Prices!$A:$A,0))*L$460</f>
        <v>5.4510150816191896</v>
      </c>
      <c r="M450" s="19">
        <f>M440+INDEX(Data_Prices!M:M,MATCH($G450,Data_Prices!$A:$A,0))*M$460</f>
        <v>5.1193563062624801</v>
      </c>
      <c r="N450" s="19">
        <f>N440+INDEX(Data_Prices!N:N,MATCH($G450,Data_Prices!$A:$A,0))*N$460</f>
        <v>5.08218458640407</v>
      </c>
      <c r="O450" s="19">
        <f>O440+INDEX(Data_Prices!O:O,MATCH($G450,Data_Prices!$A:$A,0))*O$460</f>
        <v>5.08218458640407</v>
      </c>
      <c r="P450" s="19">
        <f>P440+INDEX(Data_Prices!P:P,MATCH($G450,Data_Prices!$A:$A,0))*P$460</f>
        <v>5.08218458640407</v>
      </c>
      <c r="Q450" s="19">
        <f>Q440+INDEX(Data_Prices!Q:Q,MATCH($G450,Data_Prices!$A:$A,0))*Q$460</f>
        <v>5.7796845864040698</v>
      </c>
      <c r="R450" s="19">
        <f>R440+INDEX(Data_Prices!R:R,MATCH($G450,Data_Prices!$A:$A,0))*R$460</f>
        <v>6.4771845864040696</v>
      </c>
      <c r="S450" s="19">
        <f>S440+INDEX(Data_Prices!S:S,MATCH($G450,Data_Prices!$A:$A,0))*S$460</f>
        <v>7.1746845864040694</v>
      </c>
      <c r="T450" s="19">
        <f>T440+INDEX(Data_Prices!T:T,MATCH($G450,Data_Prices!$A:$A,0))*T$460</f>
        <v>7.87218458640407</v>
      </c>
      <c r="U450" s="19">
        <f>U440+INDEX(Data_Prices!U:U,MATCH($G450,Data_Prices!$A:$A,0))*U$460</f>
        <v>8.5696845864040689</v>
      </c>
      <c r="V450" s="19">
        <f>V440+INDEX(Data_Prices!V:V,MATCH($G450,Data_Prices!$A:$A,0))*V$460</f>
        <v>9.2671845864040705</v>
      </c>
      <c r="W450" s="19">
        <f>W440+INDEX(Data_Prices!W:W,MATCH($G450,Data_Prices!$A:$A,0))*W$460</f>
        <v>9.9646845864040703</v>
      </c>
      <c r="X450" s="19">
        <f>X440+INDEX(Data_Prices!X:X,MATCH($G450,Data_Prices!$A:$A,0))*X$460</f>
        <v>10.66218458640407</v>
      </c>
      <c r="Y450" s="19">
        <f>Y440+INDEX(Data_Prices!Y:Y,MATCH($G450,Data_Prices!$A:$A,0))*Y$460</f>
        <v>11.35968458640407</v>
      </c>
      <c r="Z450" s="19">
        <f>Z440+INDEX(Data_Prices!Z:Z,MATCH($G450,Data_Prices!$A:$A,0))*Z$460</f>
        <v>12.05718458640407</v>
      </c>
      <c r="AA450" s="19">
        <f>AA440+INDEX(Data_Prices!AA:AA,MATCH($G450,Data_Prices!$A:$A,0))*AA$460</f>
        <v>12.754684586404071</v>
      </c>
      <c r="AB450" s="19">
        <f>AB440+INDEX(Data_Prices!AB:AB,MATCH($G450,Data_Prices!$A:$A,0))*AB$460</f>
        <v>13.452184586404069</v>
      </c>
      <c r="AC450" s="19">
        <f>AC440+INDEX(Data_Prices!AC:AC,MATCH($G450,Data_Prices!$A:$A,0))*AC$460</f>
        <v>14.149684586404071</v>
      </c>
      <c r="AD450" s="19">
        <f>AD440+INDEX(Data_Prices!AD:AD,MATCH($G450,Data_Prices!$A:$A,0))*AD$460</f>
        <v>14.847184586404071</v>
      </c>
      <c r="AE450" s="19">
        <f>AE440+INDEX(Data_Prices!AE:AE,MATCH($G450,Data_Prices!$A:$A,0))*AE$460</f>
        <v>15.54468458640407</v>
      </c>
    </row>
    <row r="451" spans="2:31" x14ac:dyDescent="0.45">
      <c r="B451" s="14" t="s">
        <v>58</v>
      </c>
      <c r="C451" s="14" t="str">
        <f t="shared" si="107"/>
        <v>mch</v>
      </c>
      <c r="D451" s="15" t="s">
        <v>59</v>
      </c>
      <c r="E451" s="16" t="s">
        <v>60</v>
      </c>
      <c r="F451" s="14" t="s">
        <v>78</v>
      </c>
      <c r="G451" s="17" t="str">
        <f>Settings!$B$3&amp;".mit.shp."&amp;$B451&amp;"."&amp;Settings!$B$4&amp;"."&amp;$J$427</f>
        <v>egy.mit.shp.gso.ind.2</v>
      </c>
      <c r="H451" s="45" t="str">
        <f>Settings!$B$3&amp;".mit.shp."&amp;$C$427&amp;"."&amp;$B451&amp;".e."&amp;$J$427</f>
        <v>egy.mit.shp.mch.gso.e.2</v>
      </c>
      <c r="K451" s="19">
        <f>K441+INDEX(Data_Prices!K:K,MATCH($G451,Data_Prices!$A:$A,0))*K$460</f>
        <v>0.67114653332181595</v>
      </c>
      <c r="L451" s="19">
        <f>L441+INDEX(Data_Prices!L:L,MATCH($G451,Data_Prices!$A:$A,0))*L$460</f>
        <v>0.61197797679140598</v>
      </c>
      <c r="M451" s="19">
        <f>M441+INDEX(Data_Prices!M:M,MATCH($G451,Data_Prices!$A:$A,0))*M$460</f>
        <v>0.61180974964187596</v>
      </c>
      <c r="N451" s="19">
        <f>N441+INDEX(Data_Prices!N:N,MATCH($G451,Data_Prices!$A:$A,0))*N$460</f>
        <v>0.60358310017790595</v>
      </c>
      <c r="O451" s="19">
        <f>O441+INDEX(Data_Prices!O:O,MATCH($G451,Data_Prices!$A:$A,0))*O$460</f>
        <v>0.60358310017790595</v>
      </c>
      <c r="P451" s="19">
        <f>P441+INDEX(Data_Prices!P:P,MATCH($G451,Data_Prices!$A:$A,0))*P$460</f>
        <v>0.60358310017790595</v>
      </c>
      <c r="Q451" s="19">
        <f>Q441+INDEX(Data_Prices!Q:Q,MATCH($G451,Data_Prices!$A:$A,0))*Q$460</f>
        <v>0.63251094334940594</v>
      </c>
      <c r="R451" s="19">
        <f>R441+INDEX(Data_Prices!R:R,MATCH($G451,Data_Prices!$A:$A,0))*R$460</f>
        <v>0.66143878652090593</v>
      </c>
      <c r="S451" s="19">
        <f>S441+INDEX(Data_Prices!S:S,MATCH($G451,Data_Prices!$A:$A,0))*S$460</f>
        <v>0.69036662969240592</v>
      </c>
      <c r="T451" s="19">
        <f>T441+INDEX(Data_Prices!T:T,MATCH($G451,Data_Prices!$A:$A,0))*T$460</f>
        <v>0.71929447286390591</v>
      </c>
      <c r="U451" s="19">
        <f>U441+INDEX(Data_Prices!U:U,MATCH($G451,Data_Prices!$A:$A,0))*U$460</f>
        <v>0.74822231603540601</v>
      </c>
      <c r="V451" s="19">
        <f>V441+INDEX(Data_Prices!V:V,MATCH($G451,Data_Prices!$A:$A,0))*V$460</f>
        <v>0.77715015920690589</v>
      </c>
      <c r="W451" s="19">
        <f>W441+INDEX(Data_Prices!W:W,MATCH($G451,Data_Prices!$A:$A,0))*W$460</f>
        <v>0.80607800237840599</v>
      </c>
      <c r="X451" s="19">
        <f>X441+INDEX(Data_Prices!X:X,MATCH($G451,Data_Prices!$A:$A,0))*X$460</f>
        <v>0.83500584554990598</v>
      </c>
      <c r="Y451" s="19">
        <f>Y441+INDEX(Data_Prices!Y:Y,MATCH($G451,Data_Prices!$A:$A,0))*Y$460</f>
        <v>0.86393368872140597</v>
      </c>
      <c r="Z451" s="19">
        <f>Z441+INDEX(Data_Prices!Z:Z,MATCH($G451,Data_Prices!$A:$A,0))*Z$460</f>
        <v>0.89286153189290596</v>
      </c>
      <c r="AA451" s="19">
        <f>AA441+INDEX(Data_Prices!AA:AA,MATCH($G451,Data_Prices!$A:$A,0))*AA$460</f>
        <v>0.92178937506440595</v>
      </c>
      <c r="AB451" s="19">
        <f>AB441+INDEX(Data_Prices!AB:AB,MATCH($G451,Data_Prices!$A:$A,0))*AB$460</f>
        <v>0.95071721823590594</v>
      </c>
      <c r="AC451" s="19">
        <f>AC441+INDEX(Data_Prices!AC:AC,MATCH($G451,Data_Prices!$A:$A,0))*AC$460</f>
        <v>0.97964506140740593</v>
      </c>
      <c r="AD451" s="19">
        <f>AD441+INDEX(Data_Prices!AD:AD,MATCH($G451,Data_Prices!$A:$A,0))*AD$460</f>
        <v>1.008572904578906</v>
      </c>
      <c r="AE451" s="19">
        <f>AE441+INDEX(Data_Prices!AE:AE,MATCH($G451,Data_Prices!$A:$A,0))*AE$460</f>
        <v>1.0375007477504059</v>
      </c>
    </row>
    <row r="452" spans="2:31" x14ac:dyDescent="0.45">
      <c r="B452" s="14" t="s">
        <v>61</v>
      </c>
      <c r="C452" s="14" t="str">
        <f t="shared" si="107"/>
        <v>mch</v>
      </c>
      <c r="D452" s="15" t="s">
        <v>62</v>
      </c>
      <c r="E452" s="16" t="s">
        <v>60</v>
      </c>
      <c r="F452" s="14" t="s">
        <v>78</v>
      </c>
      <c r="G452" s="17" t="str">
        <f>Settings!$B$3&amp;".mit.shp."&amp;$B452&amp;"."&amp;Settings!$B$4&amp;"."&amp;$J$427</f>
        <v>egy.mit.shp.die.ind.2</v>
      </c>
      <c r="H452" s="45" t="str">
        <f>Settings!$B$3&amp;".mit.shp."&amp;$C$427&amp;"."&amp;$B452&amp;".e."&amp;$J$427</f>
        <v>egy.mit.shp.mch.die.e.2</v>
      </c>
      <c r="K452" s="19">
        <f>K442+INDEX(Data_Prices!K:K,MATCH($G452,Data_Prices!$A:$A,0))*K$460</f>
        <v>0.55971121315568795</v>
      </c>
      <c r="L452" s="19">
        <f>L442+INDEX(Data_Prices!L:L,MATCH($G452,Data_Prices!$A:$A,0))*L$460</f>
        <v>0.49458873084106802</v>
      </c>
      <c r="M452" s="19">
        <f>M442+INDEX(Data_Prices!M:M,MATCH($G452,Data_Prices!$A:$A,0))*M$460</f>
        <v>0.50778654720250105</v>
      </c>
      <c r="N452" s="19">
        <f>N442+INDEX(Data_Prices!N:N,MATCH($G452,Data_Prices!$A:$A,0))*N$460</f>
        <v>0.47043642679561698</v>
      </c>
      <c r="O452" s="19">
        <f>O442+INDEX(Data_Prices!O:O,MATCH($G452,Data_Prices!$A:$A,0))*O$460</f>
        <v>0.47043642679561698</v>
      </c>
      <c r="P452" s="19">
        <f>P442+INDEX(Data_Prices!P:P,MATCH($G452,Data_Prices!$A:$A,0))*P$460</f>
        <v>0.47043642679561698</v>
      </c>
      <c r="Q452" s="19">
        <f>Q442+INDEX(Data_Prices!Q:Q,MATCH($G452,Data_Prices!$A:$A,0))*Q$460</f>
        <v>0.50344686565449193</v>
      </c>
      <c r="R452" s="19">
        <f>R442+INDEX(Data_Prices!R:R,MATCH($G452,Data_Prices!$A:$A,0))*R$460</f>
        <v>0.53645730451336693</v>
      </c>
      <c r="S452" s="19">
        <f>S442+INDEX(Data_Prices!S:S,MATCH($G452,Data_Prices!$A:$A,0))*S$460</f>
        <v>0.56946774337224193</v>
      </c>
      <c r="T452" s="19">
        <f>T442+INDEX(Data_Prices!T:T,MATCH($G452,Data_Prices!$A:$A,0))*T$460</f>
        <v>0.60247818223111693</v>
      </c>
      <c r="U452" s="19">
        <f>U442+INDEX(Data_Prices!U:U,MATCH($G452,Data_Prices!$A:$A,0))*U$460</f>
        <v>0.63548862108999193</v>
      </c>
      <c r="V452" s="19">
        <f>V442+INDEX(Data_Prices!V:V,MATCH($G452,Data_Prices!$A:$A,0))*V$460</f>
        <v>0.66849905994886694</v>
      </c>
      <c r="W452" s="19">
        <f>W442+INDEX(Data_Prices!W:W,MATCH($G452,Data_Prices!$A:$A,0))*W$460</f>
        <v>0.70150949880774194</v>
      </c>
      <c r="X452" s="19">
        <f>X442+INDEX(Data_Prices!X:X,MATCH($G452,Data_Prices!$A:$A,0))*X$460</f>
        <v>0.73451993766661694</v>
      </c>
      <c r="Y452" s="19">
        <f>Y442+INDEX(Data_Prices!Y:Y,MATCH($G452,Data_Prices!$A:$A,0))*Y$460</f>
        <v>0.76753037652549194</v>
      </c>
      <c r="Z452" s="19">
        <f>Z442+INDEX(Data_Prices!Z:Z,MATCH($G452,Data_Prices!$A:$A,0))*Z$460</f>
        <v>0.80054081538436694</v>
      </c>
      <c r="AA452" s="19">
        <f>AA442+INDEX(Data_Prices!AA:AA,MATCH($G452,Data_Prices!$A:$A,0))*AA$460</f>
        <v>0.83355125424324195</v>
      </c>
      <c r="AB452" s="19">
        <f>AB442+INDEX(Data_Prices!AB:AB,MATCH($G452,Data_Prices!$A:$A,0))*AB$460</f>
        <v>0.86656169310211695</v>
      </c>
      <c r="AC452" s="19">
        <f>AC442+INDEX(Data_Prices!AC:AC,MATCH($G452,Data_Prices!$A:$A,0))*AC$460</f>
        <v>0.89957213196099195</v>
      </c>
      <c r="AD452" s="19">
        <f>AD442+INDEX(Data_Prices!AD:AD,MATCH($G452,Data_Prices!$A:$A,0))*AD$460</f>
        <v>0.93258257081986695</v>
      </c>
      <c r="AE452" s="19">
        <f>AE442+INDEX(Data_Prices!AE:AE,MATCH($G452,Data_Prices!$A:$A,0))*AE$460</f>
        <v>0.96559300967874195</v>
      </c>
    </row>
    <row r="453" spans="2:31" x14ac:dyDescent="0.45">
      <c r="B453" s="14" t="s">
        <v>63</v>
      </c>
      <c r="C453" s="14" t="str">
        <f t="shared" si="107"/>
        <v>mch</v>
      </c>
      <c r="D453" s="15" t="s">
        <v>64</v>
      </c>
      <c r="E453" s="16" t="s">
        <v>60</v>
      </c>
      <c r="F453" s="14" t="s">
        <v>78</v>
      </c>
      <c r="G453" s="17" t="str">
        <f>Settings!$B$3&amp;".mit.shp."&amp;$B453&amp;"."&amp;Settings!$B$4&amp;"."&amp;$J$427</f>
        <v>egy.mit.shp.lpg.ind.2</v>
      </c>
      <c r="H453" s="45" t="str">
        <f>Settings!$B$3&amp;".mit.shp."&amp;$C$427&amp;"."&amp;$B453&amp;".e."&amp;$J$427</f>
        <v>egy.mit.shp.mch.lpg.e.2</v>
      </c>
      <c r="K453" s="19">
        <f>K443+INDEX(Data_Prices!K:K,MATCH($G453,Data_Prices!$A:$A,0))*K$460</f>
        <v>0.20036669112673799</v>
      </c>
      <c r="L453" s="19">
        <f>L443+INDEX(Data_Prices!L:L,MATCH($G453,Data_Prices!$A:$A,0))*L$460</f>
        <v>0.15734473625227399</v>
      </c>
      <c r="M453" s="19">
        <f>M443+INDEX(Data_Prices!M:M,MATCH($G453,Data_Prices!$A:$A,0))*M$460</f>
        <v>0.164484037759277</v>
      </c>
      <c r="N453" s="19">
        <f>N443+INDEX(Data_Prices!N:N,MATCH($G453,Data_Prices!$A:$A,0))*N$460</f>
        <v>0.15070907780704901</v>
      </c>
      <c r="O453" s="19">
        <f>O443+INDEX(Data_Prices!O:O,MATCH($G453,Data_Prices!$A:$A,0))*O$460</f>
        <v>0.15070907780704901</v>
      </c>
      <c r="P453" s="19">
        <f>P443+INDEX(Data_Prices!P:P,MATCH($G453,Data_Prices!$A:$A,0))*P$460</f>
        <v>0.15070907780704901</v>
      </c>
      <c r="Q453" s="19">
        <f>Q443+INDEX(Data_Prices!Q:Q,MATCH($G453,Data_Prices!$A:$A,0))*Q$460</f>
        <v>0.17281516073434472</v>
      </c>
      <c r="R453" s="19">
        <f>R443+INDEX(Data_Prices!R:R,MATCH($G453,Data_Prices!$A:$A,0))*R$460</f>
        <v>0.1949212436616404</v>
      </c>
      <c r="S453" s="19">
        <f>S443+INDEX(Data_Prices!S:S,MATCH($G453,Data_Prices!$A:$A,0))*S$460</f>
        <v>0.21702732658893611</v>
      </c>
      <c r="T453" s="19">
        <f>T443+INDEX(Data_Prices!T:T,MATCH($G453,Data_Prices!$A:$A,0))*T$460</f>
        <v>0.2391334095162318</v>
      </c>
      <c r="U453" s="19">
        <f>U443+INDEX(Data_Prices!U:U,MATCH($G453,Data_Prices!$A:$A,0))*U$460</f>
        <v>0.26123949244352801</v>
      </c>
      <c r="V453" s="19">
        <f>V443+INDEX(Data_Prices!V:V,MATCH($G453,Data_Prices!$A:$A,0))*V$460</f>
        <v>0.283345575370823</v>
      </c>
      <c r="W453" s="19">
        <f>W443+INDEX(Data_Prices!W:W,MATCH($G453,Data_Prices!$A:$A,0))*W$460</f>
        <v>0.30545165829811904</v>
      </c>
      <c r="X453" s="19">
        <f>X443+INDEX(Data_Prices!X:X,MATCH($G453,Data_Prices!$A:$A,0))*X$460</f>
        <v>0.32755774122541503</v>
      </c>
      <c r="Y453" s="19">
        <f>Y443+INDEX(Data_Prices!Y:Y,MATCH($G453,Data_Prices!$A:$A,0))*Y$460</f>
        <v>0.34966382415271002</v>
      </c>
      <c r="Z453" s="19">
        <f>Z443+INDEX(Data_Prices!Z:Z,MATCH($G453,Data_Prices!$A:$A,0))*Z$460</f>
        <v>0.37176990708000601</v>
      </c>
      <c r="AA453" s="19">
        <f>AA443+INDEX(Data_Prices!AA:AA,MATCH($G453,Data_Prices!$A:$A,0))*AA$460</f>
        <v>0.393875990007302</v>
      </c>
      <c r="AB453" s="19">
        <f>AB443+INDEX(Data_Prices!AB:AB,MATCH($G453,Data_Prices!$A:$A,0))*AB$460</f>
        <v>0.41598207293459699</v>
      </c>
      <c r="AC453" s="19">
        <f>AC443+INDEX(Data_Prices!AC:AC,MATCH($G453,Data_Prices!$A:$A,0))*AC$460</f>
        <v>0.43808815586189298</v>
      </c>
      <c r="AD453" s="19">
        <f>AD443+INDEX(Data_Prices!AD:AD,MATCH($G453,Data_Prices!$A:$A,0))*AD$460</f>
        <v>0.46019423878918903</v>
      </c>
      <c r="AE453" s="19">
        <f>AE443+INDEX(Data_Prices!AE:AE,MATCH($G453,Data_Prices!$A:$A,0))*AE$460</f>
        <v>0.48230032171648402</v>
      </c>
    </row>
    <row r="454" spans="2:31" x14ac:dyDescent="0.45">
      <c r="B454" s="14" t="s">
        <v>65</v>
      </c>
      <c r="C454" s="14" t="str">
        <f t="shared" si="107"/>
        <v>mch</v>
      </c>
      <c r="D454" s="15" t="s">
        <v>66</v>
      </c>
      <c r="E454" s="16" t="s">
        <v>60</v>
      </c>
      <c r="F454" s="14" t="s">
        <v>78</v>
      </c>
      <c r="G454" s="17" t="str">
        <f>Settings!$B$3&amp;".mit.shp."&amp;$B454&amp;"."&amp;Settings!$B$4&amp;"."&amp;$J$427</f>
        <v>egy.mit.shp.ker.ind.2</v>
      </c>
      <c r="H454" s="45" t="str">
        <f>Settings!$B$3&amp;".mit.shp."&amp;$C$427&amp;"."&amp;$B454&amp;".e."&amp;$J$427</f>
        <v>egy.mit.shp.mch.ker.e.2</v>
      </c>
      <c r="K454" s="19">
        <f>K444+INDEX(Data_Prices!K:K,MATCH($G454,Data_Prices!$A:$A,0))*K$460</f>
        <v>0.48429424097343499</v>
      </c>
      <c r="L454" s="19">
        <f>L444+INDEX(Data_Prices!L:L,MATCH($G454,Data_Prices!$A:$A,0))*L$460</f>
        <v>0.45642817050012802</v>
      </c>
      <c r="M454" s="19">
        <f>M444+INDEX(Data_Prices!M:M,MATCH($G454,Data_Prices!$A:$A,0))*M$460</f>
        <v>0.43168920195599497</v>
      </c>
      <c r="N454" s="19">
        <f>N444+INDEX(Data_Prices!N:N,MATCH($G454,Data_Prices!$A:$A,0))*N$460</f>
        <v>0.42507558395597</v>
      </c>
      <c r="O454" s="19">
        <f>O444+INDEX(Data_Prices!O:O,MATCH($G454,Data_Prices!$A:$A,0))*O$460</f>
        <v>0.42507558395597</v>
      </c>
      <c r="P454" s="19">
        <f>P444+INDEX(Data_Prices!P:P,MATCH($G454,Data_Prices!$A:$A,0))*P$460</f>
        <v>0.42507558395597</v>
      </c>
      <c r="Q454" s="19">
        <f>Q444+INDEX(Data_Prices!Q:Q,MATCH($G454,Data_Prices!$A:$A,0))*Q$460</f>
        <v>0.45706441406607851</v>
      </c>
      <c r="R454" s="19">
        <f>R444+INDEX(Data_Prices!R:R,MATCH($G454,Data_Prices!$A:$A,0))*R$460</f>
        <v>0.48905324417618701</v>
      </c>
      <c r="S454" s="19">
        <f>S444+INDEX(Data_Prices!S:S,MATCH($G454,Data_Prices!$A:$A,0))*S$460</f>
        <v>0.52104207428629556</v>
      </c>
      <c r="T454" s="19">
        <f>T444+INDEX(Data_Prices!T:T,MATCH($G454,Data_Prices!$A:$A,0))*T$460</f>
        <v>0.55303090439640401</v>
      </c>
      <c r="U454" s="19">
        <f>U444+INDEX(Data_Prices!U:U,MATCH($G454,Data_Prices!$A:$A,0))*U$460</f>
        <v>0.58501973450651301</v>
      </c>
      <c r="V454" s="19">
        <f>V444+INDEX(Data_Prices!V:V,MATCH($G454,Data_Prices!$A:$A,0))*V$460</f>
        <v>0.61700856461662101</v>
      </c>
      <c r="W454" s="19">
        <f>W444+INDEX(Data_Prices!W:W,MATCH($G454,Data_Prices!$A:$A,0))*W$460</f>
        <v>0.64899739472673001</v>
      </c>
      <c r="X454" s="19">
        <f>X444+INDEX(Data_Prices!X:X,MATCH($G454,Data_Prices!$A:$A,0))*X$460</f>
        <v>0.68098622483683802</v>
      </c>
      <c r="Y454" s="19">
        <f>Y444+INDEX(Data_Prices!Y:Y,MATCH($G454,Data_Prices!$A:$A,0))*Y$460</f>
        <v>0.71297505494694702</v>
      </c>
      <c r="Z454" s="19">
        <f>Z444+INDEX(Data_Prices!Z:Z,MATCH($G454,Data_Prices!$A:$A,0))*Z$460</f>
        <v>0.74496388505705502</v>
      </c>
      <c r="AA454" s="19">
        <f>AA444+INDEX(Data_Prices!AA:AA,MATCH($G454,Data_Prices!$A:$A,0))*AA$460</f>
        <v>0.77695271516716302</v>
      </c>
      <c r="AB454" s="19">
        <f>AB444+INDEX(Data_Prices!AB:AB,MATCH($G454,Data_Prices!$A:$A,0))*AB$460</f>
        <v>0.80894154527727202</v>
      </c>
      <c r="AC454" s="19">
        <f>AC444+INDEX(Data_Prices!AC:AC,MATCH($G454,Data_Prices!$A:$A,0))*AC$460</f>
        <v>0.84093037538738002</v>
      </c>
      <c r="AD454" s="19">
        <f>AD444+INDEX(Data_Prices!AD:AD,MATCH($G454,Data_Prices!$A:$A,0))*AD$460</f>
        <v>0.87291920549748903</v>
      </c>
      <c r="AE454" s="19">
        <f>AE444+INDEX(Data_Prices!AE:AE,MATCH($G454,Data_Prices!$A:$A,0))*AE$460</f>
        <v>0.90490803560759703</v>
      </c>
    </row>
    <row r="455" spans="2:31" x14ac:dyDescent="0.45">
      <c r="B455" s="14" t="s">
        <v>67</v>
      </c>
      <c r="C455" s="14" t="str">
        <f t="shared" si="107"/>
        <v>mch</v>
      </c>
      <c r="D455" s="15" t="s">
        <v>68</v>
      </c>
      <c r="E455" s="16" t="s">
        <v>69</v>
      </c>
      <c r="F455" s="14" t="s">
        <v>78</v>
      </c>
      <c r="G455" s="17" t="str">
        <f>Settings!$B$3&amp;".mit.shp."&amp;$B455&amp;"."&amp;Settings!$B$4&amp;"."&amp;$J$427</f>
        <v>egy.mit.shp.oop.ind.2</v>
      </c>
      <c r="H455" s="45" t="str">
        <f>Settings!$B$3&amp;".mit.shp."&amp;$C$427&amp;"."&amp;$B455&amp;".e."&amp;$J$427</f>
        <v>egy.mit.shp.mch.oop.e.2</v>
      </c>
      <c r="K455" s="19">
        <f>K445+INDEX(Data_Prices!K:K,MATCH($G455,Data_Prices!$A:$A,0))*K$460</f>
        <v>41.500338498868402</v>
      </c>
      <c r="L455" s="19">
        <f>L445+INDEX(Data_Prices!L:L,MATCH($G455,Data_Prices!$A:$A,0))*L$460</f>
        <v>34.4153703043132</v>
      </c>
      <c r="M455" s="19">
        <f>M445+INDEX(Data_Prices!M:M,MATCH($G455,Data_Prices!$A:$A,0))*M$460</f>
        <v>37.368960690431997</v>
      </c>
      <c r="N455" s="19">
        <f>N445+INDEX(Data_Prices!N:N,MATCH($G455,Data_Prices!$A:$A,0))*N$460</f>
        <v>28.982761101477301</v>
      </c>
      <c r="O455" s="19">
        <f>O445+INDEX(Data_Prices!O:O,MATCH($G455,Data_Prices!$A:$A,0))*O$460</f>
        <v>15</v>
      </c>
      <c r="P455" s="19">
        <f>P445+INDEX(Data_Prices!P:P,MATCH($G455,Data_Prices!$A:$A,0))*P$460</f>
        <v>24.2586300842555</v>
      </c>
      <c r="Q455" s="19">
        <f>Q445+INDEX(Data_Prices!Q:Q,MATCH($G455,Data_Prices!$A:$A,0))*Q$460</f>
        <v>18.963758196132499</v>
      </c>
      <c r="R455" s="19">
        <f>R445+INDEX(Data_Prices!R:R,MATCH($G455,Data_Prices!$A:$A,0))*R$460</f>
        <v>21.760345114010597</v>
      </c>
      <c r="S455" s="19">
        <f>S445+INDEX(Data_Prices!S:S,MATCH($G455,Data_Prices!$A:$A,0))*S$460</f>
        <v>26.079880691373621</v>
      </c>
      <c r="T455" s="19">
        <f>T445+INDEX(Data_Prices!T:T,MATCH($G455,Data_Prices!$A:$A,0))*T$460</f>
        <v>30.593682445209218</v>
      </c>
      <c r="U455" s="19">
        <f>U445+INDEX(Data_Prices!U:U,MATCH($G455,Data_Prices!$A:$A,0))*U$460</f>
        <v>34.990509739410058</v>
      </c>
      <c r="V455" s="19">
        <f>V445+INDEX(Data_Prices!V:V,MATCH($G455,Data_Prices!$A:$A,0))*V$460</f>
        <v>40.858059739410059</v>
      </c>
      <c r="W455" s="19">
        <f>W445+INDEX(Data_Prices!W:W,MATCH($G455,Data_Prices!$A:$A,0))*W$460</f>
        <v>46.725609739410061</v>
      </c>
      <c r="X455" s="19">
        <f>X445+INDEX(Data_Prices!X:X,MATCH($G455,Data_Prices!$A:$A,0))*X$460</f>
        <v>52.593159739410055</v>
      </c>
      <c r="Y455" s="19">
        <f>Y445+INDEX(Data_Prices!Y:Y,MATCH($G455,Data_Prices!$A:$A,0))*Y$460</f>
        <v>58.460709739410056</v>
      </c>
      <c r="Z455" s="19">
        <f>Z445+INDEX(Data_Prices!Z:Z,MATCH($G455,Data_Prices!$A:$A,0))*Z$460</f>
        <v>64.328259739410072</v>
      </c>
      <c r="AA455" s="19">
        <f>AA445+INDEX(Data_Prices!AA:AA,MATCH($G455,Data_Prices!$A:$A,0))*AA$460</f>
        <v>70.195809739410052</v>
      </c>
      <c r="AB455" s="19">
        <f>AB445+INDEX(Data_Prices!AB:AB,MATCH($G455,Data_Prices!$A:$A,0))*AB$460</f>
        <v>76.06335973941006</v>
      </c>
      <c r="AC455" s="19">
        <f>AC445+INDEX(Data_Prices!AC:AC,MATCH($G455,Data_Prices!$A:$A,0))*AC$460</f>
        <v>81.930909739410041</v>
      </c>
      <c r="AD455" s="19">
        <f>AD445+INDEX(Data_Prices!AD:AD,MATCH($G455,Data_Prices!$A:$A,0))*AD$460</f>
        <v>87.798459739410063</v>
      </c>
      <c r="AE455" s="19">
        <f>AE445+INDEX(Data_Prices!AE:AE,MATCH($G455,Data_Prices!$A:$A,0))*AE$460</f>
        <v>93.666009739410043</v>
      </c>
    </row>
    <row r="456" spans="2:31" x14ac:dyDescent="0.45">
      <c r="B456" s="14" t="s">
        <v>70</v>
      </c>
      <c r="C456" s="14" t="str">
        <f t="shared" si="107"/>
        <v>mch</v>
      </c>
      <c r="D456" s="15" t="s">
        <v>71</v>
      </c>
      <c r="E456" s="16" t="s">
        <v>54</v>
      </c>
      <c r="F456" s="14" t="s">
        <v>78</v>
      </c>
      <c r="G456" s="17" t="str">
        <f>Settings!$B$3&amp;".mit.shp."&amp;$B456&amp;"."&amp;Settings!$B$4&amp;"."&amp;$J$427</f>
        <v>egy.mit.shp.bio.ind.2</v>
      </c>
      <c r="H456" s="45" t="str">
        <f>Settings!$B$3&amp;".mit.shp."&amp;$C$427&amp;"."&amp;$B456&amp;".e."&amp;$J$427</f>
        <v>egy.mit.shp.mch.bio.e.2</v>
      </c>
      <c r="K456" s="19">
        <f>K446+INDEX(Data_Prices!K:K,MATCH($G456,Data_Prices!$A:$A,0))*K$460</f>
        <v>15.3345505293169</v>
      </c>
      <c r="L456" s="19">
        <f>L446+INDEX(Data_Prices!L:L,MATCH($G456,Data_Prices!$A:$A,0))*L$460</f>
        <v>14.199528390634899</v>
      </c>
      <c r="M456" s="19">
        <f>M446+INDEX(Data_Prices!M:M,MATCH($G456,Data_Prices!$A:$A,0))*M$460</f>
        <v>13.8404416133152</v>
      </c>
      <c r="N456" s="19">
        <f>N446+INDEX(Data_Prices!N:N,MATCH($G456,Data_Prices!$A:$A,0))*N$460</f>
        <v>13.5677269404465</v>
      </c>
      <c r="O456" s="19">
        <f>O446+INDEX(Data_Prices!O:O,MATCH($G456,Data_Prices!$A:$A,0))*O$460</f>
        <v>13.5677269404465</v>
      </c>
      <c r="P456" s="19">
        <f>P446+INDEX(Data_Prices!P:P,MATCH($G456,Data_Prices!$A:$A,0))*P$460</f>
        <v>13.5677269404465</v>
      </c>
      <c r="Q456" s="19">
        <f>Q446+INDEX(Data_Prices!Q:Q,MATCH($G456,Data_Prices!$A:$A,0))*Q$460</f>
        <v>13.5677269404465</v>
      </c>
      <c r="R456" s="19">
        <f>R446+INDEX(Data_Prices!R:R,MATCH($G456,Data_Prices!$A:$A,0))*R$460</f>
        <v>13.5677269404465</v>
      </c>
      <c r="S456" s="19">
        <f>S446+INDEX(Data_Prices!S:S,MATCH($G456,Data_Prices!$A:$A,0))*S$460</f>
        <v>13.5677269404465</v>
      </c>
      <c r="T456" s="19">
        <f>T446+INDEX(Data_Prices!T:T,MATCH($G456,Data_Prices!$A:$A,0))*T$460</f>
        <v>13.5677269404465</v>
      </c>
      <c r="U456" s="19">
        <f>U446+INDEX(Data_Prices!U:U,MATCH($G456,Data_Prices!$A:$A,0))*U$460</f>
        <v>13.5677269404465</v>
      </c>
      <c r="V456" s="19">
        <f>V446+INDEX(Data_Prices!V:V,MATCH($G456,Data_Prices!$A:$A,0))*V$460</f>
        <v>13.5677269404465</v>
      </c>
      <c r="W456" s="19">
        <f>W446+INDEX(Data_Prices!W:W,MATCH($G456,Data_Prices!$A:$A,0))*W$460</f>
        <v>13.5677269404465</v>
      </c>
      <c r="X456" s="19">
        <f>X446+INDEX(Data_Prices!X:X,MATCH($G456,Data_Prices!$A:$A,0))*X$460</f>
        <v>13.5677269404465</v>
      </c>
      <c r="Y456" s="19">
        <f>Y446+INDEX(Data_Prices!Y:Y,MATCH($G456,Data_Prices!$A:$A,0))*Y$460</f>
        <v>13.5677269404465</v>
      </c>
      <c r="Z456" s="19">
        <f>Z446+INDEX(Data_Prices!Z:Z,MATCH($G456,Data_Prices!$A:$A,0))*Z$460</f>
        <v>13.5677269404465</v>
      </c>
      <c r="AA456" s="19">
        <f>AA446+INDEX(Data_Prices!AA:AA,MATCH($G456,Data_Prices!$A:$A,0))*AA$460</f>
        <v>13.5677269404465</v>
      </c>
      <c r="AB456" s="19">
        <f>AB446+INDEX(Data_Prices!AB:AB,MATCH($G456,Data_Prices!$A:$A,0))*AB$460</f>
        <v>13.5677269404465</v>
      </c>
      <c r="AC456" s="19">
        <f>AC446+INDEX(Data_Prices!AC:AC,MATCH($G456,Data_Prices!$A:$A,0))*AC$460</f>
        <v>13.5677269404465</v>
      </c>
      <c r="AD456" s="19">
        <f>AD446+INDEX(Data_Prices!AD:AD,MATCH($G456,Data_Prices!$A:$A,0))*AD$460</f>
        <v>13.5677269404465</v>
      </c>
      <c r="AE456" s="19">
        <f>AE446+INDEX(Data_Prices!AE:AE,MATCH($G456,Data_Prices!$A:$A,0))*AE$460</f>
        <v>13.5677269404465</v>
      </c>
    </row>
    <row r="457" spans="2:31" x14ac:dyDescent="0.45">
      <c r="B457" s="14" t="s">
        <v>72</v>
      </c>
      <c r="C457" s="14" t="str">
        <f t="shared" si="107"/>
        <v>mch</v>
      </c>
      <c r="D457" s="15" t="s">
        <v>73</v>
      </c>
      <c r="E457" s="16" t="s">
        <v>74</v>
      </c>
      <c r="F457" s="14" t="s">
        <v>78</v>
      </c>
      <c r="G457" s="17" t="str">
        <f>Settings!$B$3&amp;".mit.shp."&amp;$B457&amp;"."&amp;Settings!$B$4&amp;"."&amp;$J$427</f>
        <v>egy.mit.shp.ren.ind.2</v>
      </c>
      <c r="H457" s="45" t="str">
        <f>Settings!$B$3&amp;".mit.shp."&amp;$C$427&amp;"."&amp;$B457&amp;".e."&amp;$J$427</f>
        <v>egy.mit.shp.mch.ren.e.2</v>
      </c>
      <c r="K457" s="19">
        <f>K447+INDEX(Data_Prices!K:K,MATCH($G457,Data_Prices!$A:$A,0))*K$460</f>
        <v>0</v>
      </c>
      <c r="L457" s="19">
        <f>L447+INDEX(Data_Prices!L:L,MATCH($G457,Data_Prices!$A:$A,0))*L$460</f>
        <v>0.14404498679319799</v>
      </c>
      <c r="M457" s="19">
        <f>M447+INDEX(Data_Prices!M:M,MATCH($G457,Data_Prices!$A:$A,0))*M$460</f>
        <v>0.141386241751359</v>
      </c>
      <c r="N457" s="19">
        <f>N447+INDEX(Data_Prices!N:N,MATCH($G457,Data_Prices!$A:$A,0))*N$460</f>
        <v>0.13539756544373099</v>
      </c>
      <c r="O457" s="19">
        <f>O447+INDEX(Data_Prices!O:O,MATCH($G457,Data_Prices!$A:$A,0))*O$460</f>
        <v>0.13152288542065099</v>
      </c>
      <c r="P457" s="19">
        <f>P447+INDEX(Data_Prices!P:P,MATCH($G457,Data_Prices!$A:$A,0))*P$460</f>
        <v>0.12882610848523099</v>
      </c>
      <c r="Q457" s="19">
        <f>Q447+INDEX(Data_Prices!Q:Q,MATCH($G457,Data_Prices!$A:$A,0))*Q$460</f>
        <v>0.12594200976473999</v>
      </c>
      <c r="R457" s="19">
        <f>R447+INDEX(Data_Prices!R:R,MATCH($G457,Data_Prices!$A:$A,0))*R$460</f>
        <v>0.123113265701861</v>
      </c>
      <c r="S457" s="19">
        <f>S447+INDEX(Data_Prices!S:S,MATCH($G457,Data_Prices!$A:$A,0))*S$460</f>
        <v>0.119391738089068</v>
      </c>
      <c r="T457" s="19">
        <f>T447+INDEX(Data_Prices!T:T,MATCH($G457,Data_Prices!$A:$A,0))*T$460</f>
        <v>0.11554419046792</v>
      </c>
      <c r="U457" s="19">
        <f>U447+INDEX(Data_Prices!U:U,MATCH($G457,Data_Prices!$A:$A,0))*U$460</f>
        <v>0.11492423065415899</v>
      </c>
      <c r="V457" s="19">
        <f>V447+INDEX(Data_Prices!V:V,MATCH($G457,Data_Prices!$A:$A,0))*V$460</f>
        <v>0.114346912116736</v>
      </c>
      <c r="W457" s="19">
        <f>W447+INDEX(Data_Prices!W:W,MATCH($G457,Data_Prices!$A:$A,0))*W$460</f>
        <v>0.113738711172664</v>
      </c>
      <c r="X457" s="19">
        <f>X447+INDEX(Data_Prices!X:X,MATCH($G457,Data_Prices!$A:$A,0))*X$460</f>
        <v>0.112999900487521</v>
      </c>
      <c r="Y457" s="19">
        <f>Y447+INDEX(Data_Prices!Y:Y,MATCH($G457,Data_Prices!$A:$A,0))*Y$460</f>
        <v>0.112177685835534</v>
      </c>
      <c r="Z457" s="19">
        <f>Z447+INDEX(Data_Prices!Z:Z,MATCH($G457,Data_Prices!$A:$A,0))*Z$460</f>
        <v>0.111417903250404</v>
      </c>
      <c r="AA457" s="19">
        <f>AA447+INDEX(Data_Prices!AA:AA,MATCH($G457,Data_Prices!$A:$A,0))*AA$460</f>
        <v>0.11052581998545399</v>
      </c>
      <c r="AB457" s="19">
        <f>AB447+INDEX(Data_Prices!AB:AB,MATCH($G457,Data_Prices!$A:$A,0))*AB$460</f>
        <v>0.109699565234896</v>
      </c>
      <c r="AC457" s="19">
        <f>AC447+INDEX(Data_Prices!AC:AC,MATCH($G457,Data_Prices!$A:$A,0))*AC$460</f>
        <v>0.10772678896394899</v>
      </c>
      <c r="AD457" s="19">
        <f>AD447+INDEX(Data_Prices!AD:AD,MATCH($G457,Data_Prices!$A:$A,0))*AD$460</f>
        <v>0.10582092445093499</v>
      </c>
      <c r="AE457" s="19">
        <f>AE447+INDEX(Data_Prices!AE:AE,MATCH($G457,Data_Prices!$A:$A,0))*AE$460</f>
        <v>0.103855595705721</v>
      </c>
    </row>
    <row r="458" spans="2:31" x14ac:dyDescent="0.45">
      <c r="B458" s="13" t="s">
        <v>79</v>
      </c>
    </row>
    <row r="459" spans="2:31" x14ac:dyDescent="0.45">
      <c r="B459" s="14" t="s">
        <v>80</v>
      </c>
      <c r="C459" s="14" t="str">
        <f>$C$427</f>
        <v>mch</v>
      </c>
      <c r="D459" s="15" t="s">
        <v>81</v>
      </c>
      <c r="E459" s="16" t="s">
        <v>82</v>
      </c>
      <c r="F459" s="14" t="s">
        <v>83</v>
      </c>
      <c r="G459" s="17" t="str">
        <f>Settings!$B$3&amp;".mit.tcf."&amp;$C$427&amp;"."&amp;$J$427</f>
        <v>egy.mit.tcf.mch.2</v>
      </c>
      <c r="K459" s="19">
        <f>INDEX(Data_Prices!K:K,MATCH($G459,Data_Prices!$A:$A,0))</f>
        <v>0</v>
      </c>
      <c r="L459" s="19">
        <f>INDEX(Data_Prices!L:L,MATCH($G459,Data_Prices!$A:$A,0))</f>
        <v>0</v>
      </c>
      <c r="M459" s="19">
        <f>INDEX(Data_Prices!M:M,MATCH($G459,Data_Prices!$A:$A,0))</f>
        <v>0</v>
      </c>
      <c r="N459" s="19">
        <f>INDEX(Data_Prices!N:N,MATCH($G459,Data_Prices!$A:$A,0))</f>
        <v>0</v>
      </c>
      <c r="O459" s="19">
        <f>INDEX(Data_Prices!O:O,MATCH($G459,Data_Prices!$A:$A,0))</f>
        <v>0</v>
      </c>
      <c r="P459" s="19">
        <f>INDEX(Data_Prices!P:P,MATCH($G459,Data_Prices!$A:$A,0))</f>
        <v>1</v>
      </c>
      <c r="Q459" s="19">
        <f>INDEX(Data_Prices!Q:Q,MATCH($G459,Data_Prices!$A:$A,0))</f>
        <v>1</v>
      </c>
      <c r="R459" s="19">
        <f>INDEX(Data_Prices!R:R,MATCH($G459,Data_Prices!$A:$A,0))</f>
        <v>1</v>
      </c>
      <c r="S459" s="19">
        <f>INDEX(Data_Prices!S:S,MATCH($G459,Data_Prices!$A:$A,0))</f>
        <v>1</v>
      </c>
      <c r="T459" s="19">
        <f>INDEX(Data_Prices!T:T,MATCH($G459,Data_Prices!$A:$A,0))</f>
        <v>1</v>
      </c>
      <c r="U459" s="19">
        <f>INDEX(Data_Prices!U:U,MATCH($G459,Data_Prices!$A:$A,0))</f>
        <v>1</v>
      </c>
      <c r="V459" s="19">
        <f>INDEX(Data_Prices!V:V,MATCH($G459,Data_Prices!$A:$A,0))</f>
        <v>1</v>
      </c>
      <c r="W459" s="19">
        <f>INDEX(Data_Prices!W:W,MATCH($G459,Data_Prices!$A:$A,0))</f>
        <v>1</v>
      </c>
      <c r="X459" s="19">
        <f>INDEX(Data_Prices!X:X,MATCH($G459,Data_Prices!$A:$A,0))</f>
        <v>1</v>
      </c>
      <c r="Y459" s="19">
        <f>INDEX(Data_Prices!Y:Y,MATCH($G459,Data_Prices!$A:$A,0))</f>
        <v>1</v>
      </c>
      <c r="Z459" s="19">
        <f>INDEX(Data_Prices!Z:Z,MATCH($G459,Data_Prices!$A:$A,0))</f>
        <v>1</v>
      </c>
      <c r="AA459" s="19">
        <f>INDEX(Data_Prices!AA:AA,MATCH($G459,Data_Prices!$A:$A,0))</f>
        <v>1</v>
      </c>
      <c r="AB459" s="19">
        <f>INDEX(Data_Prices!AB:AB,MATCH($G459,Data_Prices!$A:$A,0))</f>
        <v>1</v>
      </c>
      <c r="AC459" s="19">
        <f>INDEX(Data_Prices!AC:AC,MATCH($G459,Data_Prices!$A:$A,0))</f>
        <v>1</v>
      </c>
      <c r="AD459" s="19">
        <f>INDEX(Data_Prices!AD:AD,MATCH($G459,Data_Prices!$A:$A,0))</f>
        <v>1</v>
      </c>
      <c r="AE459" s="19">
        <f>INDEX(Data_Prices!AE:AE,MATCH($G459,Data_Prices!$A:$A,0))</f>
        <v>1</v>
      </c>
    </row>
    <row r="460" spans="2:31" x14ac:dyDescent="0.45">
      <c r="B460" s="14" t="s">
        <v>80</v>
      </c>
      <c r="C460" s="14" t="str">
        <f>$C$427</f>
        <v>mch</v>
      </c>
      <c r="D460" s="15" t="s">
        <v>84</v>
      </c>
      <c r="E460" s="16" t="s">
        <v>82</v>
      </c>
      <c r="F460" s="14" t="s">
        <v>85</v>
      </c>
      <c r="G460" s="17" t="str">
        <f>Settings!$B$3&amp;".mit.ssc."&amp;$C$427&amp;"."&amp;$J$427</f>
        <v>egy.mit.ssc.mch.2</v>
      </c>
      <c r="K460" s="19">
        <f>INDEX(Data_Prices!K:K,MATCH($G460,Data_Prices!$A:$A,0))</f>
        <v>0</v>
      </c>
      <c r="L460" s="19">
        <f>INDEX(Data_Prices!L:L,MATCH($G460,Data_Prices!$A:$A,0))</f>
        <v>0</v>
      </c>
      <c r="M460" s="19">
        <f>INDEX(Data_Prices!M:M,MATCH($G460,Data_Prices!$A:$A,0))</f>
        <v>0</v>
      </c>
      <c r="N460" s="19">
        <f>INDEX(Data_Prices!N:N,MATCH($G460,Data_Prices!$A:$A,0))</f>
        <v>0</v>
      </c>
      <c r="O460" s="19">
        <f>INDEX(Data_Prices!O:O,MATCH($G460,Data_Prices!$A:$A,0))</f>
        <v>0</v>
      </c>
      <c r="P460" s="19">
        <f>INDEX(Data_Prices!P:P,MATCH($G460,Data_Prices!$A:$A,0))</f>
        <v>0</v>
      </c>
      <c r="Q460" s="19">
        <f>INDEX(Data_Prices!Q:Q,MATCH($G460,Data_Prices!$A:$A,0))</f>
        <v>0</v>
      </c>
      <c r="R460" s="19">
        <f>INDEX(Data_Prices!R:R,MATCH($G460,Data_Prices!$A:$A,0))</f>
        <v>0</v>
      </c>
      <c r="S460" s="19">
        <f>INDEX(Data_Prices!S:S,MATCH($G460,Data_Prices!$A:$A,0))</f>
        <v>0</v>
      </c>
      <c r="T460" s="19">
        <f>INDEX(Data_Prices!T:T,MATCH($G460,Data_Prices!$A:$A,0))</f>
        <v>0</v>
      </c>
      <c r="U460" s="19">
        <f>INDEX(Data_Prices!U:U,MATCH($G460,Data_Prices!$A:$A,0))</f>
        <v>0</v>
      </c>
      <c r="V460" s="19">
        <f>INDEX(Data_Prices!V:V,MATCH($G460,Data_Prices!$A:$A,0))</f>
        <v>0</v>
      </c>
      <c r="W460" s="19">
        <f>INDEX(Data_Prices!W:W,MATCH($G460,Data_Prices!$A:$A,0))</f>
        <v>0</v>
      </c>
      <c r="X460" s="19">
        <f>INDEX(Data_Prices!X:X,MATCH($G460,Data_Prices!$A:$A,0))</f>
        <v>0</v>
      </c>
      <c r="Y460" s="19">
        <f>INDEX(Data_Prices!Y:Y,MATCH($G460,Data_Prices!$A:$A,0))</f>
        <v>0</v>
      </c>
      <c r="Z460" s="19">
        <f>INDEX(Data_Prices!Z:Z,MATCH($G460,Data_Prices!$A:$A,0))</f>
        <v>0</v>
      </c>
      <c r="AA460" s="19">
        <f>INDEX(Data_Prices!AA:AA,MATCH($G460,Data_Prices!$A:$A,0))</f>
        <v>0</v>
      </c>
      <c r="AB460" s="19">
        <f>INDEX(Data_Prices!AB:AB,MATCH($G460,Data_Prices!$A:$A,0))</f>
        <v>0</v>
      </c>
      <c r="AC460" s="19">
        <f>INDEX(Data_Prices!AC:AC,MATCH($G460,Data_Prices!$A:$A,0))</f>
        <v>0</v>
      </c>
      <c r="AD460" s="19">
        <f>INDEX(Data_Prices!AD:AD,MATCH($G460,Data_Prices!$A:$A,0))</f>
        <v>0</v>
      </c>
      <c r="AE460" s="19">
        <f>INDEX(Data_Prices!AE:AE,MATCH($G460,Data_Prices!$A:$A,0))</f>
        <v>0</v>
      </c>
    </row>
    <row r="461" spans="2:31" x14ac:dyDescent="0.45">
      <c r="B461" s="14" t="s">
        <v>80</v>
      </c>
      <c r="C461" s="14" t="str">
        <f>$C$427</f>
        <v>mch</v>
      </c>
      <c r="D461" s="15" t="s">
        <v>86</v>
      </c>
      <c r="E461" s="16" t="s">
        <v>87</v>
      </c>
      <c r="F461" s="14" t="s">
        <v>88</v>
      </c>
      <c r="G461" s="17" t="str">
        <f>Settings!$B$3&amp;".mit.gdp.pos.pct."&amp;$J$427</f>
        <v>egy.mit.gdp.pos.pct.2</v>
      </c>
      <c r="K461" s="20">
        <f>INDEX(Data_Macro!K:K,MATCH($G461,Data_Macro!$A:$A,0))</f>
        <v>0</v>
      </c>
      <c r="L461" s="20">
        <f>INDEX(Data_Macro!L:L,MATCH($G461,Data_Macro!$A:$A,0))</f>
        <v>6.6513450000000002E-2</v>
      </c>
      <c r="M461" s="20">
        <f>INDEX(Data_Macro!M:M,MATCH($G461,Data_Macro!$A:$A,0))</f>
        <v>3.760281E-2</v>
      </c>
      <c r="N461" s="20">
        <f>INDEX(Data_Macro!N:N,MATCH($G461,Data_Macro!$A:$A,0))</f>
        <v>2.3988010000000001E-2</v>
      </c>
      <c r="O461" s="20">
        <f>INDEX(Data_Macro!O:O,MATCH($G461,Data_Macro!$A:$A,0))</f>
        <v>4.3923869999999997E-2</v>
      </c>
      <c r="P461" s="20">
        <f>INDEX(Data_Macro!P:P,MATCH($G461,Data_Macro!$A:$A,0))</f>
        <v>4.239706E-2</v>
      </c>
      <c r="Q461" s="20">
        <f>INDEX(Data_Macro!Q:Q,MATCH($G461,Data_Macro!$A:$A,0))</f>
        <v>4.8298383783007597E-2</v>
      </c>
      <c r="R461" s="20">
        <f>INDEX(Data_Macro!R:R,MATCH($G461,Data_Macro!$A:$A,0))</f>
        <v>5.55905477124225E-2</v>
      </c>
      <c r="S461" s="20">
        <f>INDEX(Data_Macro!S:S,MATCH($G461,Data_Macro!$A:$A,0))</f>
        <v>5.2137235389631401E-2</v>
      </c>
      <c r="T461" s="20">
        <f>INDEX(Data_Macro!T:T,MATCH($G461,Data_Macro!$A:$A,0))</f>
        <v>4.8124907491929901E-2</v>
      </c>
      <c r="U461" s="20">
        <f>INDEX(Data_Macro!U:U,MATCH($G461,Data_Macro!$A:$A,0))</f>
        <v>4.7208796526521303E-2</v>
      </c>
      <c r="V461" s="20">
        <f>INDEX(Data_Macro!V:V,MATCH($G461,Data_Macro!$A:$A,0))</f>
        <v>4.66890433006764E-2</v>
      </c>
      <c r="W461" s="20">
        <f>INDEX(Data_Macro!W:W,MATCH($G461,Data_Macro!$A:$A,0))</f>
        <v>4.6632750147029202E-2</v>
      </c>
      <c r="X461" s="20">
        <f>INDEX(Data_Macro!X:X,MATCH($G461,Data_Macro!$A:$A,0))</f>
        <v>4.6872723264421497E-2</v>
      </c>
      <c r="Y461" s="20">
        <f>INDEX(Data_Macro!Y:Y,MATCH($G461,Data_Macro!$A:$A,0))</f>
        <v>4.7469921753048698E-2</v>
      </c>
      <c r="Z461" s="20">
        <f>INDEX(Data_Macro!Z:Z,MATCH($G461,Data_Macro!$A:$A,0))</f>
        <v>4.8590713024029002E-2</v>
      </c>
      <c r="AA461" s="20">
        <f>INDEX(Data_Macro!AA:AA,MATCH($G461,Data_Macro!$A:$A,0))</f>
        <v>4.9941182078066401E-2</v>
      </c>
      <c r="AB461" s="20">
        <f>INDEX(Data_Macro!AB:AB,MATCH($G461,Data_Macro!$A:$A,0))</f>
        <v>5.13941835424786E-2</v>
      </c>
      <c r="AC461" s="20">
        <f>INDEX(Data_Macro!AC:AC,MATCH($G461,Data_Macro!$A:$A,0))</f>
        <v>5.2681763019776701E-2</v>
      </c>
      <c r="AD461" s="20">
        <f>INDEX(Data_Macro!AD:AD,MATCH($G461,Data_Macro!$A:$A,0))</f>
        <v>5.3800711336350303E-2</v>
      </c>
      <c r="AE461" s="20">
        <f>INDEX(Data_Macro!AE:AE,MATCH($G461,Data_Macro!$A:$A,0))</f>
        <v>5.4789398044337599E-2</v>
      </c>
    </row>
    <row r="462" spans="2:31" x14ac:dyDescent="0.45">
      <c r="B462" s="14" t="s">
        <v>80</v>
      </c>
      <c r="C462" s="14" t="str">
        <f>$C$427</f>
        <v>mch</v>
      </c>
      <c r="D462" s="15" t="s">
        <v>89</v>
      </c>
      <c r="E462" s="16" t="s">
        <v>90</v>
      </c>
      <c r="F462" s="14" t="s">
        <v>91</v>
      </c>
      <c r="G462" s="17" t="str">
        <f>Settings!$B$3&amp;".mit.inc.ela.adj."&amp;$J$427</f>
        <v>egy.mit.inc.ela.adj.2</v>
      </c>
      <c r="K462" s="19">
        <f>INDEX(Data_Macro!K:K,MATCH($G462,Data_Macro!$A:$A,0))</f>
        <v>0</v>
      </c>
      <c r="L462" s="19">
        <f>INDEX(Data_Macro!L:L,MATCH($G462,Data_Macro!$A:$A,0))</f>
        <v>1.02715172471961</v>
      </c>
      <c r="M462" s="19">
        <f>INDEX(Data_Macro!M:M,MATCH($G462,Data_Macro!$A:$A,0))</f>
        <v>1.02715172471961</v>
      </c>
      <c r="N462" s="19">
        <f>INDEX(Data_Macro!N:N,MATCH($G462,Data_Macro!$A:$A,0))</f>
        <v>1.0205698358851201</v>
      </c>
      <c r="O462" s="19">
        <f>INDEX(Data_Macro!O:O,MATCH($G462,Data_Macro!$A:$A,0))</f>
        <v>1.01733442885234</v>
      </c>
      <c r="P462" s="19">
        <f>INDEX(Data_Macro!P:P,MATCH($G462,Data_Macro!$A:$A,0))</f>
        <v>1.00766833225382</v>
      </c>
      <c r="Q462" s="19">
        <f>INDEX(Data_Macro!Q:Q,MATCH($G462,Data_Macro!$A:$A,0))</f>
        <v>1.0007442871755301</v>
      </c>
      <c r="R462" s="19">
        <f>INDEX(Data_Macro!R:R,MATCH($G462,Data_Macro!$A:$A,0))</f>
        <v>0.99188455719464297</v>
      </c>
      <c r="S462" s="19">
        <f>INDEX(Data_Macro!S:S,MATCH($G462,Data_Macro!$A:$A,0))</f>
        <v>0.98058056507860303</v>
      </c>
      <c r="T462" s="19">
        <f>INDEX(Data_Macro!T:T,MATCH($G462,Data_Macro!$A:$A,0))</f>
        <v>0.970250789717781</v>
      </c>
      <c r="U462" s="19">
        <f>INDEX(Data_Macro!U:U,MATCH($G462,Data_Macro!$A:$A,0))</f>
        <v>0.964288208159648</v>
      </c>
      <c r="V462" s="19">
        <f>INDEX(Data_Macro!V:V,MATCH($G462,Data_Macro!$A:$A,0))</f>
        <v>0.96183439341951105</v>
      </c>
      <c r="W462" s="19">
        <f>INDEX(Data_Macro!W:W,MATCH($G462,Data_Macro!$A:$A,0))</f>
        <v>0.95941695116164405</v>
      </c>
      <c r="X462" s="19">
        <f>INDEX(Data_Macro!X:X,MATCH($G462,Data_Macro!$A:$A,0))</f>
        <v>0.95701429252188397</v>
      </c>
      <c r="Y462" s="19">
        <f>INDEX(Data_Macro!Y:Y,MATCH($G462,Data_Macro!$A:$A,0))</f>
        <v>0.95468193722552197</v>
      </c>
      <c r="Z462" s="19">
        <f>INDEX(Data_Macro!Z:Z,MATCH($G462,Data_Macro!$A:$A,0))</f>
        <v>0.95240071158774597</v>
      </c>
      <c r="AA462" s="19">
        <f>INDEX(Data_Macro!AA:AA,MATCH($G462,Data_Macro!$A:$A,0))</f>
        <v>0.95011647499405505</v>
      </c>
      <c r="AB462" s="19">
        <f>INDEX(Data_Macro!AB:AB,MATCH($G462,Data_Macro!$A:$A,0))</f>
        <v>0.947927358499145</v>
      </c>
      <c r="AC462" s="19">
        <f>INDEX(Data_Macro!AC:AC,MATCH($G462,Data_Macro!$A:$A,0))</f>
        <v>0.94587674776299702</v>
      </c>
      <c r="AD462" s="19">
        <f>INDEX(Data_Macro!AD:AD,MATCH($G462,Data_Macro!$A:$A,0))</f>
        <v>0.94405480582839296</v>
      </c>
      <c r="AE462" s="19">
        <f>INDEX(Data_Macro!AE:AE,MATCH($G462,Data_Macro!$A:$A,0))</f>
        <v>0.94246391225206505</v>
      </c>
    </row>
    <row r="463" spans="2:31" x14ac:dyDescent="0.45">
      <c r="B463" s="14" t="s">
        <v>80</v>
      </c>
      <c r="C463" s="14" t="str">
        <f>$C$427</f>
        <v>mch</v>
      </c>
      <c r="D463" s="15" t="s">
        <v>92</v>
      </c>
      <c r="E463" s="16" t="s">
        <v>90</v>
      </c>
      <c r="F463" s="14" t="s">
        <v>93</v>
      </c>
      <c r="G463" s="17" t="str">
        <f>Settings!$B$3&amp;".mit.shock."&amp;$J$427</f>
        <v>egy.mit.shock.2</v>
      </c>
      <c r="K463" s="19">
        <f>INDEX(Data_Macro!K:K,MATCH($G463,Data_Macro!$A:$A,0))</f>
        <v>0</v>
      </c>
      <c r="L463" s="19">
        <f>INDEX(Data_Macro!L:L,MATCH($G463,Data_Macro!$A:$A,0))</f>
        <v>0</v>
      </c>
      <c r="M463" s="19">
        <f>INDEX(Data_Macro!M:M,MATCH($G463,Data_Macro!$A:$A,0))</f>
        <v>-0.20813308302044201</v>
      </c>
      <c r="N463" s="19">
        <f>INDEX(Data_Macro!N:N,MATCH($G463,Data_Macro!$A:$A,0))</f>
        <v>9.2371428571428604E-2</v>
      </c>
      <c r="O463" s="19">
        <f>INDEX(Data_Macro!O:O,MATCH($G463,Data_Macro!$A:$A,0))</f>
        <v>0</v>
      </c>
      <c r="P463" s="19">
        <f>INDEX(Data_Macro!P:P,MATCH($G463,Data_Macro!$A:$A,0))</f>
        <v>0</v>
      </c>
      <c r="Q463" s="19">
        <f>INDEX(Data_Macro!Q:Q,MATCH($G463,Data_Macro!$A:$A,0))</f>
        <v>0</v>
      </c>
      <c r="R463" s="19">
        <f>INDEX(Data_Macro!R:R,MATCH($G463,Data_Macro!$A:$A,0))</f>
        <v>0</v>
      </c>
      <c r="S463" s="19">
        <f>INDEX(Data_Macro!S:S,MATCH($G463,Data_Macro!$A:$A,0))</f>
        <v>0</v>
      </c>
      <c r="T463" s="19">
        <f>INDEX(Data_Macro!T:T,MATCH($G463,Data_Macro!$A:$A,0))</f>
        <v>0</v>
      </c>
      <c r="U463" s="19">
        <f>INDEX(Data_Macro!U:U,MATCH($G463,Data_Macro!$A:$A,0))</f>
        <v>0</v>
      </c>
      <c r="V463" s="19">
        <f>INDEX(Data_Macro!V:V,MATCH($G463,Data_Macro!$A:$A,0))</f>
        <v>0</v>
      </c>
      <c r="W463" s="19">
        <f>INDEX(Data_Macro!W:W,MATCH($G463,Data_Macro!$A:$A,0))</f>
        <v>0</v>
      </c>
      <c r="X463" s="19">
        <f>INDEX(Data_Macro!X:X,MATCH($G463,Data_Macro!$A:$A,0))</f>
        <v>0</v>
      </c>
      <c r="Y463" s="19">
        <f>INDEX(Data_Macro!Y:Y,MATCH($G463,Data_Macro!$A:$A,0))</f>
        <v>0</v>
      </c>
      <c r="Z463" s="19">
        <f>INDEX(Data_Macro!Z:Z,MATCH($G463,Data_Macro!$A:$A,0))</f>
        <v>0</v>
      </c>
      <c r="AA463" s="19">
        <f>INDEX(Data_Macro!AA:AA,MATCH($G463,Data_Macro!$A:$A,0))</f>
        <v>0</v>
      </c>
      <c r="AB463" s="19">
        <f>INDEX(Data_Macro!AB:AB,MATCH($G463,Data_Macro!$A:$A,0))</f>
        <v>0</v>
      </c>
      <c r="AC463" s="19">
        <f>INDEX(Data_Macro!AC:AC,MATCH($G463,Data_Macro!$A:$A,0))</f>
        <v>0</v>
      </c>
      <c r="AD463" s="19">
        <f>INDEX(Data_Macro!AD:AD,MATCH($G463,Data_Macro!$A:$A,0))</f>
        <v>0</v>
      </c>
      <c r="AE463" s="19">
        <f>INDEX(Data_Macro!AE:AE,MATCH($G463,Data_Macro!$A:$A,0))</f>
        <v>0</v>
      </c>
    </row>
    <row r="464" spans="2:31" x14ac:dyDescent="0.45">
      <c r="B464" s="13" t="s">
        <v>94</v>
      </c>
    </row>
    <row r="465" spans="2:31" x14ac:dyDescent="0.45">
      <c r="B465" s="7" t="s">
        <v>35</v>
      </c>
      <c r="C465" s="7" t="s">
        <v>36</v>
      </c>
      <c r="D465" s="21" t="s">
        <v>37</v>
      </c>
      <c r="E465" s="7" t="s">
        <v>95</v>
      </c>
      <c r="F465" s="7" t="s">
        <v>96</v>
      </c>
      <c r="G465" s="7" t="s">
        <v>97</v>
      </c>
      <c r="H465" s="7" t="s">
        <v>98</v>
      </c>
      <c r="I465" s="7" t="s">
        <v>99</v>
      </c>
      <c r="J465" s="7" t="s">
        <v>100</v>
      </c>
    </row>
    <row r="466" spans="2:31" x14ac:dyDescent="0.45">
      <c r="B466" s="14" t="s">
        <v>52</v>
      </c>
      <c r="C466" s="14" t="str">
        <f t="shared" ref="C466:C474" si="108">$C$427</f>
        <v>mch</v>
      </c>
      <c r="D466" s="22" t="s">
        <v>101</v>
      </c>
      <c r="E466" s="23">
        <f>INDEX(Data_Elast!$D:$G,MATCH("el_inc_"&amp;INDEX(Data_Elast!$J:$J,MATCH($B466,Data_Elast!$I:$I,0)),Data_Elast!$A:$A,0),MATCH(Settings!$B$5,Data_Elast!$D$1:$G$1,0))</f>
        <v>0.5</v>
      </c>
      <c r="F466" s="23">
        <f>INDEX(Data_Elast!$D:$G,MATCH("el_dem_"&amp;INDEX(Data_Elast!$J:$J,MATCH($B466,Data_Elast!$I:$I,0)),Data_Elast!$A:$A,0),MATCH(Settings!$B$5,Data_Elast!$D$1:$G$1,0))</f>
        <v>-0.3</v>
      </c>
      <c r="G466" s="23">
        <f>INDEX(Data_Elast!$D:$G,MATCH("el_eff_"&amp;INDEX(Data_Elast!$J:$J,MATCH($B466,Data_Elast!$I:$I,0)),Data_Elast!$A:$A,0),MATCH(Settings!$B$5,Data_Elast!$D$1:$G$1,0))</f>
        <v>-0.4</v>
      </c>
      <c r="H466" s="23">
        <f>INDEX(Data_Elast!$D:$G,MATCH("eff_imp_"&amp;INDEX(Data_Elast!$K:$K,MATCH($B466,Data_Elast!$I:$I,0)),Data_Elast!$A:$A,0),MATCH(Settings!$B$5,Data_Elast!$D$1:$G$1,0))</f>
        <v>5.0000000000000001E-3</v>
      </c>
      <c r="I466" s="23">
        <f>Settings!$B$7</f>
        <v>0</v>
      </c>
      <c r="J466" s="16" t="str">
        <f>INDEX(Data_Elast!$J:$J,MATCH($B466,Data_Elast!$I:$I,0))</f>
        <v>coa</v>
      </c>
    </row>
    <row r="467" spans="2:31" x14ac:dyDescent="0.45">
      <c r="B467" s="14" t="s">
        <v>56</v>
      </c>
      <c r="C467" s="14" t="str">
        <f t="shared" si="108"/>
        <v>mch</v>
      </c>
      <c r="D467" s="22" t="s">
        <v>102</v>
      </c>
      <c r="E467" s="23">
        <f>INDEX(Data_Elast!$D:$G,MATCH("el_inc_"&amp;INDEX(Data_Elast!$J:$J,MATCH($B467,Data_Elast!$I:$I,0)),Data_Elast!$A:$A,0),MATCH(Settings!$B$5,Data_Elast!$D$1:$G$1,0))</f>
        <v>1</v>
      </c>
      <c r="F467" s="23">
        <f>INDEX(Data_Elast!$D:$G,MATCH("el_dem_"&amp;INDEX(Data_Elast!$J:$J,MATCH($B467,Data_Elast!$I:$I,0)),Data_Elast!$A:$A,0),MATCH(Settings!$B$5,Data_Elast!$D$1:$G$1,0))</f>
        <v>-0.5</v>
      </c>
      <c r="G467" s="23">
        <f>INDEX(Data_Elast!$D:$G,MATCH("el_eff_"&amp;INDEX(Data_Elast!$J:$J,MATCH($B467,Data_Elast!$I:$I,0)),Data_Elast!$A:$A,0),MATCH(Settings!$B$5,Data_Elast!$D$1:$G$1,0))</f>
        <v>-0.5</v>
      </c>
      <c r="H467" s="23">
        <f>INDEX(Data_Elast!$D:$G,MATCH("eff_imp_"&amp;INDEX(Data_Elast!$K:$K,MATCH($B467,Data_Elast!$I:$I,0)),Data_Elast!$A:$A,0),MATCH(Settings!$B$5,Data_Elast!$D$1:$G$1,0))</f>
        <v>0.01</v>
      </c>
      <c r="I467" s="23">
        <f>Settings!$B$7</f>
        <v>0</v>
      </c>
      <c r="J467" s="16" t="str">
        <f>INDEX(Data_Elast!$J:$J,MATCH($B467,Data_Elast!$I:$I,0))</f>
        <v>nga</v>
      </c>
    </row>
    <row r="468" spans="2:31" x14ac:dyDescent="0.45">
      <c r="B468" s="14" t="s">
        <v>58</v>
      </c>
      <c r="C468" s="14" t="str">
        <f t="shared" si="108"/>
        <v>mch</v>
      </c>
      <c r="D468" s="22" t="s">
        <v>103</v>
      </c>
      <c r="E468" s="23">
        <f>INDEX(Data_Elast!$D:$G,MATCH("el_inc_"&amp;INDEX(Data_Elast!$J:$J,MATCH($B468,Data_Elast!$I:$I,0)),Data_Elast!$A:$A,0),MATCH(Settings!$B$5,Data_Elast!$D$1:$G$1,0))</f>
        <v>0.5</v>
      </c>
      <c r="F468" s="23">
        <f>INDEX(Data_Elast!$D:$G,MATCH("el_dem_"&amp;INDEX(Data_Elast!$J:$J,MATCH($B468,Data_Elast!$I:$I,0)),Data_Elast!$A:$A,0),MATCH(Settings!$B$5,Data_Elast!$D$1:$G$1,0))</f>
        <v>-0.4</v>
      </c>
      <c r="G468" s="23">
        <f>INDEX(Data_Elast!$D:$G,MATCH("el_eff_"&amp;INDEX(Data_Elast!$J:$J,MATCH($B468,Data_Elast!$I:$I,0)),Data_Elast!$A:$A,0),MATCH(Settings!$B$5,Data_Elast!$D$1:$G$1,0))</f>
        <v>-0.7</v>
      </c>
      <c r="H468" s="23">
        <f>INDEX(Data_Elast!$D:$G,MATCH("eff_imp_"&amp;INDEX(Data_Elast!$K:$K,MATCH($B468,Data_Elast!$I:$I,0)),Data_Elast!$A:$A,0),MATCH(Settings!$B$5,Data_Elast!$D$1:$G$1,0))</f>
        <v>5.0000000000000001E-3</v>
      </c>
      <c r="I468" s="23">
        <f>Settings!$B$7</f>
        <v>0</v>
      </c>
      <c r="J468" s="16" t="str">
        <f>INDEX(Data_Elast!$J:$J,MATCH($B468,Data_Elast!$I:$I,0))</f>
        <v>gso</v>
      </c>
    </row>
    <row r="469" spans="2:31" x14ac:dyDescent="0.45">
      <c r="B469" s="14" t="s">
        <v>61</v>
      </c>
      <c r="C469" s="14" t="str">
        <f t="shared" si="108"/>
        <v>mch</v>
      </c>
      <c r="D469" s="22" t="s">
        <v>104</v>
      </c>
      <c r="E469" s="23">
        <f>INDEX(Data_Elast!$D:$G,MATCH("el_inc_"&amp;INDEX(Data_Elast!$J:$J,MATCH($B469,Data_Elast!$I:$I,0)),Data_Elast!$A:$A,0),MATCH(Settings!$B$5,Data_Elast!$D$1:$G$1,0))</f>
        <v>0.5</v>
      </c>
      <c r="F469" s="23">
        <f>INDEX(Data_Elast!$D:$G,MATCH("el_dem_"&amp;INDEX(Data_Elast!$J:$J,MATCH($B469,Data_Elast!$I:$I,0)),Data_Elast!$A:$A,0),MATCH(Settings!$B$5,Data_Elast!$D$1:$G$1,0))</f>
        <v>-0.7</v>
      </c>
      <c r="G469" s="23">
        <f>INDEX(Data_Elast!$D:$G,MATCH("el_eff_"&amp;INDEX(Data_Elast!$J:$J,MATCH($B469,Data_Elast!$I:$I,0)),Data_Elast!$A:$A,0),MATCH(Settings!$B$5,Data_Elast!$D$1:$G$1,0))</f>
        <v>-1.2</v>
      </c>
      <c r="H469" s="23">
        <f>INDEX(Data_Elast!$D:$G,MATCH("eff_imp_"&amp;INDEX(Data_Elast!$K:$K,MATCH($B469,Data_Elast!$I:$I,0)),Data_Elast!$A:$A,0),MATCH(Settings!$B$5,Data_Elast!$D$1:$G$1,0))</f>
        <v>5.0000000000000001E-3</v>
      </c>
      <c r="I469" s="23">
        <f>Settings!$B$7</f>
        <v>0</v>
      </c>
      <c r="J469" s="16" t="str">
        <f>INDEX(Data_Elast!$J:$J,MATCH($B469,Data_Elast!$I:$I,0))</f>
        <v>die</v>
      </c>
    </row>
    <row r="470" spans="2:31" x14ac:dyDescent="0.45">
      <c r="B470" s="14" t="s">
        <v>63</v>
      </c>
      <c r="C470" s="14" t="str">
        <f t="shared" si="108"/>
        <v>mch</v>
      </c>
      <c r="D470" s="22" t="s">
        <v>105</v>
      </c>
      <c r="E470" s="23">
        <f>INDEX(Data_Elast!$D:$G,MATCH("el_inc_"&amp;INDEX(Data_Elast!$J:$J,MATCH($B470,Data_Elast!$I:$I,0)),Data_Elast!$A:$A,0),MATCH(Settings!$B$5,Data_Elast!$D$1:$G$1,0))</f>
        <v>0.8</v>
      </c>
      <c r="F470" s="23">
        <f>INDEX(Data_Elast!$D:$G,MATCH("el_dem_"&amp;INDEX(Data_Elast!$J:$J,MATCH($B470,Data_Elast!$I:$I,0)),Data_Elast!$A:$A,0),MATCH(Settings!$B$5,Data_Elast!$D$1:$G$1,0))</f>
        <v>-0.4</v>
      </c>
      <c r="G470" s="23">
        <f>INDEX(Data_Elast!$D:$G,MATCH("el_eff_"&amp;INDEX(Data_Elast!$J:$J,MATCH($B470,Data_Elast!$I:$I,0)),Data_Elast!$A:$A,0),MATCH(Settings!$B$5,Data_Elast!$D$1:$G$1,0))</f>
        <v>-0.4</v>
      </c>
      <c r="H470" s="23">
        <f>INDEX(Data_Elast!$D:$G,MATCH("eff_imp_"&amp;INDEX(Data_Elast!$K:$K,MATCH($B470,Data_Elast!$I:$I,0)),Data_Elast!$A:$A,0),MATCH(Settings!$B$5,Data_Elast!$D$1:$G$1,0))</f>
        <v>5.0000000000000001E-3</v>
      </c>
      <c r="I470" s="23">
        <f>Settings!$B$7</f>
        <v>0</v>
      </c>
      <c r="J470" s="16" t="str">
        <f>INDEX(Data_Elast!$J:$J,MATCH($B470,Data_Elast!$I:$I,0))</f>
        <v>oil</v>
      </c>
    </row>
    <row r="471" spans="2:31" x14ac:dyDescent="0.45">
      <c r="B471" s="14" t="s">
        <v>65</v>
      </c>
      <c r="C471" s="14" t="str">
        <f t="shared" si="108"/>
        <v>mch</v>
      </c>
      <c r="D471" s="22" t="s">
        <v>106</v>
      </c>
      <c r="E471" s="23">
        <f>INDEX(Data_Elast!$D:$G,MATCH("el_inc_"&amp;INDEX(Data_Elast!$J:$J,MATCH($B471,Data_Elast!$I:$I,0)),Data_Elast!$A:$A,0),MATCH(Settings!$B$5,Data_Elast!$D$1:$G$1,0))</f>
        <v>0.8</v>
      </c>
      <c r="F471" s="23">
        <f>INDEX(Data_Elast!$D:$G,MATCH("el_dem_"&amp;INDEX(Data_Elast!$J:$J,MATCH($B471,Data_Elast!$I:$I,0)),Data_Elast!$A:$A,0),MATCH(Settings!$B$5,Data_Elast!$D$1:$G$1,0))</f>
        <v>-0.4</v>
      </c>
      <c r="G471" s="23">
        <f>INDEX(Data_Elast!$D:$G,MATCH("el_eff_"&amp;INDEX(Data_Elast!$J:$J,MATCH($B471,Data_Elast!$I:$I,0)),Data_Elast!$A:$A,0),MATCH(Settings!$B$5,Data_Elast!$D$1:$G$1,0))</f>
        <v>-0.4</v>
      </c>
      <c r="H471" s="23">
        <f>INDEX(Data_Elast!$D:$G,MATCH("eff_imp_"&amp;INDEX(Data_Elast!$K:$K,MATCH($B471,Data_Elast!$I:$I,0)),Data_Elast!$A:$A,0),MATCH(Settings!$B$5,Data_Elast!$D$1:$G$1,0))</f>
        <v>5.0000000000000001E-3</v>
      </c>
      <c r="I471" s="23">
        <f>Settings!$B$7</f>
        <v>0</v>
      </c>
      <c r="J471" s="16" t="str">
        <f>INDEX(Data_Elast!$J:$J,MATCH($B471,Data_Elast!$I:$I,0))</f>
        <v>oil</v>
      </c>
    </row>
    <row r="472" spans="2:31" x14ac:dyDescent="0.45">
      <c r="B472" s="14" t="s">
        <v>67</v>
      </c>
      <c r="C472" s="14" t="str">
        <f t="shared" si="108"/>
        <v>mch</v>
      </c>
      <c r="D472" s="22" t="s">
        <v>107</v>
      </c>
      <c r="E472" s="23">
        <f>INDEX(Data_Elast!$D:$G,MATCH("el_inc_"&amp;INDEX(Data_Elast!$J:$J,MATCH($B472,Data_Elast!$I:$I,0)),Data_Elast!$A:$A,0),MATCH(Settings!$B$5,Data_Elast!$D$1:$G$1,0))</f>
        <v>0.8</v>
      </c>
      <c r="F472" s="23">
        <f>INDEX(Data_Elast!$D:$G,MATCH("el_dem_"&amp;INDEX(Data_Elast!$J:$J,MATCH($B472,Data_Elast!$I:$I,0)),Data_Elast!$A:$A,0),MATCH(Settings!$B$5,Data_Elast!$D$1:$G$1,0))</f>
        <v>-0.4</v>
      </c>
      <c r="G472" s="23">
        <f>INDEX(Data_Elast!$D:$G,MATCH("el_eff_"&amp;INDEX(Data_Elast!$J:$J,MATCH($B472,Data_Elast!$I:$I,0)),Data_Elast!$A:$A,0),MATCH(Settings!$B$5,Data_Elast!$D$1:$G$1,0))</f>
        <v>-0.4</v>
      </c>
      <c r="H472" s="23">
        <f>INDEX(Data_Elast!$D:$G,MATCH("eff_imp_"&amp;INDEX(Data_Elast!$K:$K,MATCH($B472,Data_Elast!$I:$I,0)),Data_Elast!$A:$A,0),MATCH(Settings!$B$5,Data_Elast!$D$1:$G$1,0))</f>
        <v>5.0000000000000001E-3</v>
      </c>
      <c r="I472" s="23">
        <f>Settings!$B$7</f>
        <v>0</v>
      </c>
      <c r="J472" s="16" t="str">
        <f>INDEX(Data_Elast!$J:$J,MATCH($B472,Data_Elast!$I:$I,0))</f>
        <v>oil</v>
      </c>
    </row>
    <row r="473" spans="2:31" x14ac:dyDescent="0.45">
      <c r="B473" s="14" t="s">
        <v>70</v>
      </c>
      <c r="C473" s="14" t="str">
        <f t="shared" si="108"/>
        <v>mch</v>
      </c>
      <c r="D473" s="22" t="s">
        <v>108</v>
      </c>
      <c r="E473" s="23">
        <f>INDEX(Data_Elast!$D:$G,MATCH("el_inc_"&amp;INDEX(Data_Elast!$J:$J,MATCH($B473,Data_Elast!$I:$I,0)),Data_Elast!$A:$A,0),MATCH(Settings!$B$5,Data_Elast!$D$1:$G$1,0))</f>
        <v>0.1</v>
      </c>
      <c r="F473" s="23">
        <f>INDEX(Data_Elast!$D:$G,MATCH("el_dem_"&amp;INDEX(Data_Elast!$J:$J,MATCH($B473,Data_Elast!$I:$I,0)),Data_Elast!$A:$A,0),MATCH(Settings!$B$5,Data_Elast!$D$1:$G$1,0))</f>
        <v>-0.3</v>
      </c>
      <c r="G473" s="23">
        <f>INDEX(Data_Elast!$D:$G,MATCH("el_eff_"&amp;INDEX(Data_Elast!$J:$J,MATCH($B473,Data_Elast!$I:$I,0)),Data_Elast!$A:$A,0),MATCH(Settings!$B$5,Data_Elast!$D$1:$G$1,0))</f>
        <v>-0.2</v>
      </c>
      <c r="H473" s="23">
        <f>INDEX(Data_Elast!$D:$G,MATCH("eff_imp_"&amp;INDEX(Data_Elast!$K:$K,MATCH($B473,Data_Elast!$I:$I,0)),Data_Elast!$A:$A,0),MATCH(Settings!$B$5,Data_Elast!$D$1:$G$1,0))</f>
        <v>5.0000000000000001E-3</v>
      </c>
      <c r="I473" s="23">
        <f>Settings!$B$7</f>
        <v>0</v>
      </c>
      <c r="J473" s="16" t="str">
        <f>INDEX(Data_Elast!$J:$J,MATCH($B473,Data_Elast!$I:$I,0))</f>
        <v>bio</v>
      </c>
    </row>
    <row r="474" spans="2:31" x14ac:dyDescent="0.45">
      <c r="B474" s="14" t="s">
        <v>72</v>
      </c>
      <c r="C474" s="14" t="str">
        <f t="shared" si="108"/>
        <v>mch</v>
      </c>
      <c r="D474" s="22" t="s">
        <v>109</v>
      </c>
      <c r="E474" s="23">
        <f>INDEX(Data_Elast!$D:$G,MATCH("el_inc_"&amp;INDEX(Data_Elast!$J:$J,MATCH($B474,Data_Elast!$I:$I,0)),Data_Elast!$A:$A,0),MATCH(Settings!$B$5,Data_Elast!$D$1:$G$1,0))</f>
        <v>0.8</v>
      </c>
      <c r="F474" s="23">
        <f>INDEX(Data_Elast!$D:$G,MATCH("el_dem_"&amp;INDEX(Data_Elast!$J:$J,MATCH($B474,Data_Elast!$I:$I,0)),Data_Elast!$A:$A,0),MATCH(Settings!$B$5,Data_Elast!$D$1:$G$1,0))</f>
        <v>-0.5</v>
      </c>
      <c r="G474" s="23">
        <f>INDEX(Data_Elast!$D:$G,MATCH("el_eff_"&amp;INDEX(Data_Elast!$J:$J,MATCH($B474,Data_Elast!$I:$I,0)),Data_Elast!$A:$A,0),MATCH(Settings!$B$5,Data_Elast!$D$1:$G$1,0))</f>
        <v>-0.4</v>
      </c>
      <c r="H474" s="23">
        <f>INDEX(Data_Elast!$D:$G,MATCH("eff_imp_"&amp;INDEX(Data_Elast!$K:$K,MATCH($B474,Data_Elast!$I:$I,0)),Data_Elast!$A:$A,0),MATCH(Settings!$B$5,Data_Elast!$D$1:$G$1,0))</f>
        <v>5.0000000000000001E-3</v>
      </c>
      <c r="I474" s="23">
        <f>Settings!$B$7</f>
        <v>0</v>
      </c>
      <c r="J474" s="16" t="str">
        <f>INDEX(Data_Elast!$J:$J,MATCH($B474,Data_Elast!$I:$I,0))</f>
        <v>ren</v>
      </c>
    </row>
    <row r="475" spans="2:31" x14ac:dyDescent="0.45">
      <c r="B475" s="13" t="s">
        <v>110</v>
      </c>
    </row>
    <row r="476" spans="2:31" x14ac:dyDescent="0.45">
      <c r="B476" s="14" t="s">
        <v>52</v>
      </c>
      <c r="C476" s="14" t="str">
        <f t="shared" ref="C476:C485" si="109">$C$427</f>
        <v>mch</v>
      </c>
      <c r="D476" s="15" t="s">
        <v>53</v>
      </c>
      <c r="E476" s="16" t="s">
        <v>111</v>
      </c>
      <c r="F476" s="14" t="s">
        <v>112</v>
      </c>
      <c r="G476" s="17" t="str">
        <f>Settings!$B$3&amp;".mit.enc."&amp;$B476</f>
        <v>egy.mit.enc.coa</v>
      </c>
      <c r="H476" s="45" t="str">
        <f>Settings!$B$3&amp;".mit.ener."&amp;$C$427&amp;"."&amp;$B476&amp;".e."&amp;$J$427</f>
        <v>egy.mit.ener.mch.coa.e.2</v>
      </c>
      <c r="L476" s="47">
        <f>INDEX(Data_Energy!$D$3:$U$22,MATCH($B476,Data_Energy!$C$3:$C$22,0),MATCH($C476,Data_Energy!$D$2:$U$2,0))</f>
        <v>0</v>
      </c>
      <c r="M476" s="24">
        <f t="shared" ref="M476:AE476" si="110">L476*(1+M$461)^($E466*M$462)*(1+M$463)*IF(L439&lt;=0,1,M439/L439)^$F466*(IF(L449&lt;=0,1,M449/L449)^$G466/(1+$H466+$I466))^(1+$F466)</f>
        <v>0</v>
      </c>
      <c r="N476" s="24">
        <f t="shared" si="110"/>
        <v>0</v>
      </c>
      <c r="O476" s="24">
        <f t="shared" si="110"/>
        <v>0</v>
      </c>
      <c r="P476" s="24">
        <f t="shared" si="110"/>
        <v>0</v>
      </c>
      <c r="Q476" s="24">
        <f t="shared" si="110"/>
        <v>0</v>
      </c>
      <c r="R476" s="24">
        <f t="shared" si="110"/>
        <v>0</v>
      </c>
      <c r="S476" s="24">
        <f t="shared" si="110"/>
        <v>0</v>
      </c>
      <c r="T476" s="24">
        <f t="shared" si="110"/>
        <v>0</v>
      </c>
      <c r="U476" s="24">
        <f t="shared" si="110"/>
        <v>0</v>
      </c>
      <c r="V476" s="24">
        <f t="shared" si="110"/>
        <v>0</v>
      </c>
      <c r="W476" s="24">
        <f t="shared" si="110"/>
        <v>0</v>
      </c>
      <c r="X476" s="24">
        <f t="shared" si="110"/>
        <v>0</v>
      </c>
      <c r="Y476" s="24">
        <f t="shared" si="110"/>
        <v>0</v>
      </c>
      <c r="Z476" s="24">
        <f t="shared" si="110"/>
        <v>0</v>
      </c>
      <c r="AA476" s="24">
        <f t="shared" si="110"/>
        <v>0</v>
      </c>
      <c r="AB476" s="24">
        <f t="shared" si="110"/>
        <v>0</v>
      </c>
      <c r="AC476" s="24">
        <f t="shared" si="110"/>
        <v>0</v>
      </c>
      <c r="AD476" s="24">
        <f t="shared" si="110"/>
        <v>0</v>
      </c>
      <c r="AE476" s="24">
        <f t="shared" si="110"/>
        <v>0</v>
      </c>
    </row>
    <row r="477" spans="2:31" x14ac:dyDescent="0.45">
      <c r="B477" s="14" t="s">
        <v>56</v>
      </c>
      <c r="C477" s="14" t="str">
        <f t="shared" si="109"/>
        <v>mch</v>
      </c>
      <c r="D477" s="15" t="s">
        <v>57</v>
      </c>
      <c r="E477" s="16" t="s">
        <v>111</v>
      </c>
      <c r="F477" s="14" t="s">
        <v>112</v>
      </c>
      <c r="G477" s="17" t="str">
        <f>Settings!$B$3&amp;".mit.enc."&amp;$B477</f>
        <v>egy.mit.enc.nga</v>
      </c>
      <c r="H477" s="45" t="str">
        <f>Settings!$B$3&amp;".mit.ener."&amp;$C$427&amp;"."&amp;$B477&amp;".e."&amp;$J$427</f>
        <v>egy.mit.ener.mch.nga.e.2</v>
      </c>
      <c r="L477" s="47">
        <f>INDEX(Data_Energy!$D$3:$U$22,MATCH($B477,Data_Energy!$C$3:$C$22,0),MATCH($C477,Data_Energy!$D$2:$U$2,0))</f>
        <v>0</v>
      </c>
      <c r="M477" s="24">
        <f t="shared" ref="M477:AE477" si="111">L477*(1+M$461)^($E467*M$462)*(1+M$463)*IF(L440&lt;=0,1,M440/L440)^$F467*(IF(L450&lt;=0,1,M450/L450)^$G467/(1+$H467+$I467))^(1+$F467)</f>
        <v>0</v>
      </c>
      <c r="N477" s="24">
        <f t="shared" si="111"/>
        <v>0</v>
      </c>
      <c r="O477" s="24">
        <f t="shared" si="111"/>
        <v>0</v>
      </c>
      <c r="P477" s="24">
        <f t="shared" si="111"/>
        <v>0</v>
      </c>
      <c r="Q477" s="24">
        <f t="shared" si="111"/>
        <v>0</v>
      </c>
      <c r="R477" s="24">
        <f t="shared" si="111"/>
        <v>0</v>
      </c>
      <c r="S477" s="24">
        <f t="shared" si="111"/>
        <v>0</v>
      </c>
      <c r="T477" s="24">
        <f t="shared" si="111"/>
        <v>0</v>
      </c>
      <c r="U477" s="24">
        <f t="shared" si="111"/>
        <v>0</v>
      </c>
      <c r="V477" s="24">
        <f t="shared" si="111"/>
        <v>0</v>
      </c>
      <c r="W477" s="24">
        <f t="shared" si="111"/>
        <v>0</v>
      </c>
      <c r="X477" s="24">
        <f t="shared" si="111"/>
        <v>0</v>
      </c>
      <c r="Y477" s="24">
        <f t="shared" si="111"/>
        <v>0</v>
      </c>
      <c r="Z477" s="24">
        <f t="shared" si="111"/>
        <v>0</v>
      </c>
      <c r="AA477" s="24">
        <f t="shared" si="111"/>
        <v>0</v>
      </c>
      <c r="AB477" s="24">
        <f t="shared" si="111"/>
        <v>0</v>
      </c>
      <c r="AC477" s="24">
        <f t="shared" si="111"/>
        <v>0</v>
      </c>
      <c r="AD477" s="24">
        <f t="shared" si="111"/>
        <v>0</v>
      </c>
      <c r="AE477" s="24">
        <f t="shared" si="111"/>
        <v>0</v>
      </c>
    </row>
    <row r="478" spans="2:31" x14ac:dyDescent="0.45">
      <c r="B478" s="14" t="s">
        <v>58</v>
      </c>
      <c r="C478" s="14" t="str">
        <f t="shared" si="109"/>
        <v>mch</v>
      </c>
      <c r="D478" s="15" t="s">
        <v>59</v>
      </c>
      <c r="E478" s="16" t="s">
        <v>111</v>
      </c>
      <c r="F478" s="14" t="s">
        <v>112</v>
      </c>
      <c r="G478" s="17" t="str">
        <f>Settings!$B$3&amp;".mit.enc."&amp;$B478</f>
        <v>egy.mit.enc.gso</v>
      </c>
      <c r="H478" s="45" t="str">
        <f>Settings!$B$3&amp;".mit.ener."&amp;$C$427&amp;"."&amp;$B478&amp;".e."&amp;$J$427</f>
        <v>egy.mit.ener.mch.gso.e.2</v>
      </c>
      <c r="L478" s="47">
        <f>INDEX(Data_Energy!$D$3:$U$22,MATCH($B478,Data_Energy!$C$3:$C$22,0),MATCH($C478,Data_Energy!$D$2:$U$2,0))</f>
        <v>0</v>
      </c>
      <c r="M478" s="24">
        <f t="shared" ref="M478:AE478" si="112">L478*(1+M$461)^($E468*M$462)*(1+M$463)*IF(L441&lt;=0,1,M441/L441)^$F468*(IF(L451&lt;=0,1,M451/L451)^$G468/(1+$H468+$I468))^(1+$F468)</f>
        <v>0</v>
      </c>
      <c r="N478" s="24">
        <f t="shared" si="112"/>
        <v>0</v>
      </c>
      <c r="O478" s="24">
        <f t="shared" si="112"/>
        <v>0</v>
      </c>
      <c r="P478" s="24">
        <f t="shared" si="112"/>
        <v>0</v>
      </c>
      <c r="Q478" s="24">
        <f t="shared" si="112"/>
        <v>0</v>
      </c>
      <c r="R478" s="24">
        <f t="shared" si="112"/>
        <v>0</v>
      </c>
      <c r="S478" s="24">
        <f t="shared" si="112"/>
        <v>0</v>
      </c>
      <c r="T478" s="24">
        <f t="shared" si="112"/>
        <v>0</v>
      </c>
      <c r="U478" s="24">
        <f t="shared" si="112"/>
        <v>0</v>
      </c>
      <c r="V478" s="24">
        <f t="shared" si="112"/>
        <v>0</v>
      </c>
      <c r="W478" s="24">
        <f t="shared" si="112"/>
        <v>0</v>
      </c>
      <c r="X478" s="24">
        <f t="shared" si="112"/>
        <v>0</v>
      </c>
      <c r="Y478" s="24">
        <f t="shared" si="112"/>
        <v>0</v>
      </c>
      <c r="Z478" s="24">
        <f t="shared" si="112"/>
        <v>0</v>
      </c>
      <c r="AA478" s="24">
        <f t="shared" si="112"/>
        <v>0</v>
      </c>
      <c r="AB478" s="24">
        <f t="shared" si="112"/>
        <v>0</v>
      </c>
      <c r="AC478" s="24">
        <f t="shared" si="112"/>
        <v>0</v>
      </c>
      <c r="AD478" s="24">
        <f t="shared" si="112"/>
        <v>0</v>
      </c>
      <c r="AE478" s="24">
        <f t="shared" si="112"/>
        <v>0</v>
      </c>
    </row>
    <row r="479" spans="2:31" x14ac:dyDescent="0.45">
      <c r="B479" s="14" t="s">
        <v>61</v>
      </c>
      <c r="C479" s="14" t="str">
        <f t="shared" si="109"/>
        <v>mch</v>
      </c>
      <c r="D479" s="15" t="s">
        <v>62</v>
      </c>
      <c r="E479" s="16" t="s">
        <v>111</v>
      </c>
      <c r="F479" s="14" t="s">
        <v>112</v>
      </c>
      <c r="G479" s="17" t="str">
        <f>Settings!$B$3&amp;".mit.enc."&amp;$B479</f>
        <v>egy.mit.enc.die</v>
      </c>
      <c r="H479" s="45" t="str">
        <f>Settings!$B$3&amp;".mit.ener."&amp;$C$427&amp;"."&amp;$B479&amp;".e."&amp;$J$427</f>
        <v>egy.mit.ener.mch.die.e.2</v>
      </c>
      <c r="L479" s="47">
        <f>INDEX(Data_Energy!$D$3:$U$22,MATCH($B479,Data_Energy!$C$3:$C$22,0),MATCH($C479,Data_Energy!$D$2:$U$2,0))</f>
        <v>0</v>
      </c>
      <c r="M479" s="24">
        <f t="shared" ref="M479:AE479" si="113">L479*(1+M$461)^($E469*M$462)*(1+M$463)*IF(L442&lt;=0,1,M442/L442)^$F469*(IF(L452&lt;=0,1,M452/L452)^$G469/(1+$H469+$I469))^(1+$F469)</f>
        <v>0</v>
      </c>
      <c r="N479" s="24">
        <f t="shared" si="113"/>
        <v>0</v>
      </c>
      <c r="O479" s="24">
        <f t="shared" si="113"/>
        <v>0</v>
      </c>
      <c r="P479" s="24">
        <f t="shared" si="113"/>
        <v>0</v>
      </c>
      <c r="Q479" s="24">
        <f t="shared" si="113"/>
        <v>0</v>
      </c>
      <c r="R479" s="24">
        <f t="shared" si="113"/>
        <v>0</v>
      </c>
      <c r="S479" s="24">
        <f t="shared" si="113"/>
        <v>0</v>
      </c>
      <c r="T479" s="24">
        <f t="shared" si="113"/>
        <v>0</v>
      </c>
      <c r="U479" s="24">
        <f t="shared" si="113"/>
        <v>0</v>
      </c>
      <c r="V479" s="24">
        <f t="shared" si="113"/>
        <v>0</v>
      </c>
      <c r="W479" s="24">
        <f t="shared" si="113"/>
        <v>0</v>
      </c>
      <c r="X479" s="24">
        <f t="shared" si="113"/>
        <v>0</v>
      </c>
      <c r="Y479" s="24">
        <f t="shared" si="113"/>
        <v>0</v>
      </c>
      <c r="Z479" s="24">
        <f t="shared" si="113"/>
        <v>0</v>
      </c>
      <c r="AA479" s="24">
        <f t="shared" si="113"/>
        <v>0</v>
      </c>
      <c r="AB479" s="24">
        <f t="shared" si="113"/>
        <v>0</v>
      </c>
      <c r="AC479" s="24">
        <f t="shared" si="113"/>
        <v>0</v>
      </c>
      <c r="AD479" s="24">
        <f t="shared" si="113"/>
        <v>0</v>
      </c>
      <c r="AE479" s="24">
        <f t="shared" si="113"/>
        <v>0</v>
      </c>
    </row>
    <row r="480" spans="2:31" x14ac:dyDescent="0.45">
      <c r="B480" s="14" t="s">
        <v>63</v>
      </c>
      <c r="C480" s="14" t="str">
        <f t="shared" si="109"/>
        <v>mch</v>
      </c>
      <c r="D480" s="15" t="s">
        <v>64</v>
      </c>
      <c r="E480" s="16" t="s">
        <v>111</v>
      </c>
      <c r="F480" s="14" t="s">
        <v>112</v>
      </c>
      <c r="G480" s="17" t="str">
        <f>Settings!$B$3&amp;".mit.enc."&amp;$B480</f>
        <v>egy.mit.enc.lpg</v>
      </c>
      <c r="H480" s="45" t="str">
        <f>Settings!$B$3&amp;".mit.ener."&amp;$C$427&amp;"."&amp;$B480&amp;".e."&amp;$J$427</f>
        <v>egy.mit.ener.mch.lpg.e.2</v>
      </c>
      <c r="L480" s="47">
        <f>INDEX(Data_Energy!$D$3:$U$22,MATCH($B480,Data_Energy!$C$3:$C$22,0),MATCH($C480,Data_Energy!$D$2:$U$2,0))</f>
        <v>0</v>
      </c>
      <c r="M480" s="24">
        <f t="shared" ref="M480:AE480" si="114">L480*(1+M$461)^($E470*M$462)*(1+M$463)*IF(L443&lt;=0,1,M443/L443)^$F470*(IF(L453&lt;=0,1,M453/L453)^$G470/(1+$H470+$I470))^(1+$F470)</f>
        <v>0</v>
      </c>
      <c r="N480" s="24">
        <f t="shared" si="114"/>
        <v>0</v>
      </c>
      <c r="O480" s="24">
        <f t="shared" si="114"/>
        <v>0</v>
      </c>
      <c r="P480" s="24">
        <f t="shared" si="114"/>
        <v>0</v>
      </c>
      <c r="Q480" s="24">
        <f t="shared" si="114"/>
        <v>0</v>
      </c>
      <c r="R480" s="24">
        <f t="shared" si="114"/>
        <v>0</v>
      </c>
      <c r="S480" s="24">
        <f t="shared" si="114"/>
        <v>0</v>
      </c>
      <c r="T480" s="24">
        <f t="shared" si="114"/>
        <v>0</v>
      </c>
      <c r="U480" s="24">
        <f t="shared" si="114"/>
        <v>0</v>
      </c>
      <c r="V480" s="24">
        <f t="shared" si="114"/>
        <v>0</v>
      </c>
      <c r="W480" s="24">
        <f t="shared" si="114"/>
        <v>0</v>
      </c>
      <c r="X480" s="24">
        <f t="shared" si="114"/>
        <v>0</v>
      </c>
      <c r="Y480" s="24">
        <f t="shared" si="114"/>
        <v>0</v>
      </c>
      <c r="Z480" s="24">
        <f t="shared" si="114"/>
        <v>0</v>
      </c>
      <c r="AA480" s="24">
        <f t="shared" si="114"/>
        <v>0</v>
      </c>
      <c r="AB480" s="24">
        <f t="shared" si="114"/>
        <v>0</v>
      </c>
      <c r="AC480" s="24">
        <f t="shared" si="114"/>
        <v>0</v>
      </c>
      <c r="AD480" s="24">
        <f t="shared" si="114"/>
        <v>0</v>
      </c>
      <c r="AE480" s="24">
        <f t="shared" si="114"/>
        <v>0</v>
      </c>
    </row>
    <row r="481" spans="2:31" x14ac:dyDescent="0.45">
      <c r="B481" s="14" t="s">
        <v>65</v>
      </c>
      <c r="C481" s="14" t="str">
        <f t="shared" si="109"/>
        <v>mch</v>
      </c>
      <c r="D481" s="15" t="s">
        <v>66</v>
      </c>
      <c r="E481" s="16" t="s">
        <v>111</v>
      </c>
      <c r="F481" s="14" t="s">
        <v>112</v>
      </c>
      <c r="G481" s="17" t="str">
        <f>Settings!$B$3&amp;".mit.enc."&amp;$B481</f>
        <v>egy.mit.enc.ker</v>
      </c>
      <c r="H481" s="45" t="str">
        <f>Settings!$B$3&amp;".mit.ener."&amp;$C$427&amp;"."&amp;$B481&amp;".e."&amp;$J$427</f>
        <v>egy.mit.ener.mch.ker.e.2</v>
      </c>
      <c r="L481" s="47">
        <f>INDEX(Data_Energy!$D$3:$U$22,MATCH($B481,Data_Energy!$C$3:$C$22,0),MATCH($C481,Data_Energy!$D$2:$U$2,0))</f>
        <v>0</v>
      </c>
      <c r="M481" s="24">
        <f t="shared" ref="M481:AE481" si="115">L481*(1+M$461)^($E471*M$462)*(1+M$463)*IF(L444&lt;=0,1,M444/L444)^$F471*(IF(L454&lt;=0,1,M454/L454)^$G471/(1+$H471+$I471))^(1+$F471)</f>
        <v>0</v>
      </c>
      <c r="N481" s="24">
        <f t="shared" si="115"/>
        <v>0</v>
      </c>
      <c r="O481" s="24">
        <f t="shared" si="115"/>
        <v>0</v>
      </c>
      <c r="P481" s="24">
        <f t="shared" si="115"/>
        <v>0</v>
      </c>
      <c r="Q481" s="24">
        <f t="shared" si="115"/>
        <v>0</v>
      </c>
      <c r="R481" s="24">
        <f t="shared" si="115"/>
        <v>0</v>
      </c>
      <c r="S481" s="24">
        <f t="shared" si="115"/>
        <v>0</v>
      </c>
      <c r="T481" s="24">
        <f t="shared" si="115"/>
        <v>0</v>
      </c>
      <c r="U481" s="24">
        <f t="shared" si="115"/>
        <v>0</v>
      </c>
      <c r="V481" s="24">
        <f t="shared" si="115"/>
        <v>0</v>
      </c>
      <c r="W481" s="24">
        <f t="shared" si="115"/>
        <v>0</v>
      </c>
      <c r="X481" s="24">
        <f t="shared" si="115"/>
        <v>0</v>
      </c>
      <c r="Y481" s="24">
        <f t="shared" si="115"/>
        <v>0</v>
      </c>
      <c r="Z481" s="24">
        <f t="shared" si="115"/>
        <v>0</v>
      </c>
      <c r="AA481" s="24">
        <f t="shared" si="115"/>
        <v>0</v>
      </c>
      <c r="AB481" s="24">
        <f t="shared" si="115"/>
        <v>0</v>
      </c>
      <c r="AC481" s="24">
        <f t="shared" si="115"/>
        <v>0</v>
      </c>
      <c r="AD481" s="24">
        <f t="shared" si="115"/>
        <v>0</v>
      </c>
      <c r="AE481" s="24">
        <f t="shared" si="115"/>
        <v>0</v>
      </c>
    </row>
    <row r="482" spans="2:31" x14ac:dyDescent="0.45">
      <c r="B482" s="14" t="s">
        <v>67</v>
      </c>
      <c r="C482" s="14" t="str">
        <f t="shared" si="109"/>
        <v>mch</v>
      </c>
      <c r="D482" s="15" t="s">
        <v>68</v>
      </c>
      <c r="E482" s="16" t="s">
        <v>111</v>
      </c>
      <c r="F482" s="14" t="s">
        <v>112</v>
      </c>
      <c r="G482" s="17" t="str">
        <f>Settings!$B$3&amp;".mit.enc."&amp;$B482</f>
        <v>egy.mit.enc.oop</v>
      </c>
      <c r="H482" s="45" t="str">
        <f>Settings!$B$3&amp;".mit.ener."&amp;$C$427&amp;"."&amp;$B482&amp;".e."&amp;$J$427</f>
        <v>egy.mit.ener.mch.oop.e.2</v>
      </c>
      <c r="L482" s="47">
        <f>INDEX(Data_Energy!$D$3:$U$22,MATCH($B482,Data_Energy!$C$3:$C$22,0),MATCH($C482,Data_Energy!$D$2:$U$2,0))</f>
        <v>0</v>
      </c>
      <c r="M482" s="24">
        <f t="shared" ref="M482:AE482" si="116">L482*(1+M$461)^($E472*M$462)*(1+M$463)*IF(L445&lt;=0,1,M445/L445)^$F472*(IF(L455&lt;=0,1,M455/L455)^$G472/(1+$H472+$I472))^(1+$F472)</f>
        <v>0</v>
      </c>
      <c r="N482" s="24">
        <f t="shared" si="116"/>
        <v>0</v>
      </c>
      <c r="O482" s="24">
        <f t="shared" si="116"/>
        <v>0</v>
      </c>
      <c r="P482" s="24">
        <f t="shared" si="116"/>
        <v>0</v>
      </c>
      <c r="Q482" s="24">
        <f t="shared" si="116"/>
        <v>0</v>
      </c>
      <c r="R482" s="24">
        <f t="shared" si="116"/>
        <v>0</v>
      </c>
      <c r="S482" s="24">
        <f t="shared" si="116"/>
        <v>0</v>
      </c>
      <c r="T482" s="24">
        <f t="shared" si="116"/>
        <v>0</v>
      </c>
      <c r="U482" s="24">
        <f t="shared" si="116"/>
        <v>0</v>
      </c>
      <c r="V482" s="24">
        <f t="shared" si="116"/>
        <v>0</v>
      </c>
      <c r="W482" s="24">
        <f t="shared" si="116"/>
        <v>0</v>
      </c>
      <c r="X482" s="24">
        <f t="shared" si="116"/>
        <v>0</v>
      </c>
      <c r="Y482" s="24">
        <f t="shared" si="116"/>
        <v>0</v>
      </c>
      <c r="Z482" s="24">
        <f t="shared" si="116"/>
        <v>0</v>
      </c>
      <c r="AA482" s="24">
        <f t="shared" si="116"/>
        <v>0</v>
      </c>
      <c r="AB482" s="24">
        <f t="shared" si="116"/>
        <v>0</v>
      </c>
      <c r="AC482" s="24">
        <f t="shared" si="116"/>
        <v>0</v>
      </c>
      <c r="AD482" s="24">
        <f t="shared" si="116"/>
        <v>0</v>
      </c>
      <c r="AE482" s="24">
        <f t="shared" si="116"/>
        <v>0</v>
      </c>
    </row>
    <row r="483" spans="2:31" x14ac:dyDescent="0.45">
      <c r="B483" s="14" t="s">
        <v>70</v>
      </c>
      <c r="C483" s="14" t="str">
        <f t="shared" si="109"/>
        <v>mch</v>
      </c>
      <c r="D483" s="15" t="s">
        <v>71</v>
      </c>
      <c r="E483" s="16" t="s">
        <v>111</v>
      </c>
      <c r="F483" s="14" t="s">
        <v>112</v>
      </c>
      <c r="G483" s="17" t="str">
        <f>Settings!$B$3&amp;".mit.enc."&amp;$B483</f>
        <v>egy.mit.enc.bio</v>
      </c>
      <c r="H483" s="45" t="str">
        <f>Settings!$B$3&amp;".mit.ener."&amp;$C$427&amp;"."&amp;$B483&amp;".e."&amp;$J$427</f>
        <v>egy.mit.ener.mch.bio.e.2</v>
      </c>
      <c r="L483" s="47">
        <f>INDEX(Data_Energy!$D$3:$U$22,MATCH($B483,Data_Energy!$C$3:$C$22,0),MATCH($C483,Data_Energy!$D$2:$U$2,0))</f>
        <v>0</v>
      </c>
      <c r="M483" s="24">
        <f t="shared" ref="M483:AE483" si="117">L483*(1+M$461)^($E473*M$462)*(1+M$463)*IF(L446&lt;=0,1,M446/L446)^$F473*(IF(L456&lt;=0,1,M456/L456)^$G473/(1+$H473+$I473))^(1+$F473)</f>
        <v>0</v>
      </c>
      <c r="N483" s="24">
        <f t="shared" si="117"/>
        <v>0</v>
      </c>
      <c r="O483" s="24">
        <f t="shared" si="117"/>
        <v>0</v>
      </c>
      <c r="P483" s="24">
        <f t="shared" si="117"/>
        <v>0</v>
      </c>
      <c r="Q483" s="24">
        <f t="shared" si="117"/>
        <v>0</v>
      </c>
      <c r="R483" s="24">
        <f t="shared" si="117"/>
        <v>0</v>
      </c>
      <c r="S483" s="24">
        <f t="shared" si="117"/>
        <v>0</v>
      </c>
      <c r="T483" s="24">
        <f t="shared" si="117"/>
        <v>0</v>
      </c>
      <c r="U483" s="24">
        <f t="shared" si="117"/>
        <v>0</v>
      </c>
      <c r="V483" s="24">
        <f t="shared" si="117"/>
        <v>0</v>
      </c>
      <c r="W483" s="24">
        <f t="shared" si="117"/>
        <v>0</v>
      </c>
      <c r="X483" s="24">
        <f t="shared" si="117"/>
        <v>0</v>
      </c>
      <c r="Y483" s="24">
        <f t="shared" si="117"/>
        <v>0</v>
      </c>
      <c r="Z483" s="24">
        <f t="shared" si="117"/>
        <v>0</v>
      </c>
      <c r="AA483" s="24">
        <f t="shared" si="117"/>
        <v>0</v>
      </c>
      <c r="AB483" s="24">
        <f t="shared" si="117"/>
        <v>0</v>
      </c>
      <c r="AC483" s="24">
        <f t="shared" si="117"/>
        <v>0</v>
      </c>
      <c r="AD483" s="24">
        <f t="shared" si="117"/>
        <v>0</v>
      </c>
      <c r="AE483" s="24">
        <f t="shared" si="117"/>
        <v>0</v>
      </c>
    </row>
    <row r="484" spans="2:31" x14ac:dyDescent="0.45">
      <c r="B484" s="14" t="s">
        <v>72</v>
      </c>
      <c r="C484" s="14" t="str">
        <f t="shared" si="109"/>
        <v>mch</v>
      </c>
      <c r="D484" s="15" t="s">
        <v>73</v>
      </c>
      <c r="E484" s="16" t="s">
        <v>111</v>
      </c>
      <c r="F484" s="14" t="s">
        <v>112</v>
      </c>
      <c r="G484" s="17" t="str">
        <f>Settings!$B$3&amp;".mit.enc."&amp;$B484</f>
        <v>egy.mit.enc.ren</v>
      </c>
      <c r="H484" s="45" t="str">
        <f>Settings!$B$3&amp;".mit.ener."&amp;$C$427&amp;"."&amp;$B484&amp;".e."&amp;$J$427</f>
        <v>egy.mit.ener.mch.ren.e.2</v>
      </c>
      <c r="L484" s="47">
        <f>INDEX(Data_Energy!$D$3:$U$22,MATCH($B484,Data_Energy!$C$3:$C$22,0),MATCH($C484,Data_Energy!$D$2:$U$2,0))</f>
        <v>0</v>
      </c>
      <c r="M484" s="24">
        <f t="shared" ref="M484:AE484" si="118">L484*(1+M$461)^($E474*M$462)*(1+M$463)*IF(L447&lt;=0,1,M447/L447)^$F474*(IF(L457&lt;=0,1,M457/L457)^$G474/(1+$H474+$I474))^(1+$F474)</f>
        <v>0</v>
      </c>
      <c r="N484" s="24">
        <f t="shared" si="118"/>
        <v>0</v>
      </c>
      <c r="O484" s="24">
        <f t="shared" si="118"/>
        <v>0</v>
      </c>
      <c r="P484" s="24">
        <f t="shared" si="118"/>
        <v>0</v>
      </c>
      <c r="Q484" s="24">
        <f t="shared" si="118"/>
        <v>0</v>
      </c>
      <c r="R484" s="24">
        <f t="shared" si="118"/>
        <v>0</v>
      </c>
      <c r="S484" s="24">
        <f t="shared" si="118"/>
        <v>0</v>
      </c>
      <c r="T484" s="24">
        <f t="shared" si="118"/>
        <v>0</v>
      </c>
      <c r="U484" s="24">
        <f t="shared" si="118"/>
        <v>0</v>
      </c>
      <c r="V484" s="24">
        <f t="shared" si="118"/>
        <v>0</v>
      </c>
      <c r="W484" s="24">
        <f t="shared" si="118"/>
        <v>0</v>
      </c>
      <c r="X484" s="24">
        <f t="shared" si="118"/>
        <v>0</v>
      </c>
      <c r="Y484" s="24">
        <f t="shared" si="118"/>
        <v>0</v>
      </c>
      <c r="Z484" s="24">
        <f t="shared" si="118"/>
        <v>0</v>
      </c>
      <c r="AA484" s="24">
        <f t="shared" si="118"/>
        <v>0</v>
      </c>
      <c r="AB484" s="24">
        <f t="shared" si="118"/>
        <v>0</v>
      </c>
      <c r="AC484" s="24">
        <f t="shared" si="118"/>
        <v>0</v>
      </c>
      <c r="AD484" s="24">
        <f t="shared" si="118"/>
        <v>0</v>
      </c>
      <c r="AE484" s="24">
        <f t="shared" si="118"/>
        <v>0</v>
      </c>
    </row>
    <row r="485" spans="2:31" x14ac:dyDescent="0.45">
      <c r="B485" s="14" t="s">
        <v>113</v>
      </c>
      <c r="C485" s="14" t="str">
        <f t="shared" si="109"/>
        <v>mch</v>
      </c>
      <c r="D485" s="25" t="s">
        <v>114</v>
      </c>
      <c r="E485" s="16" t="s">
        <v>111</v>
      </c>
      <c r="F485" s="14" t="s">
        <v>112</v>
      </c>
      <c r="H485" s="45" t="str">
        <f>Settings!$B$3&amp;".mit.ener."&amp;$C$427&amp;".tot.e."&amp;$J$427</f>
        <v>egy.mit.ener.mch.tot.e.2</v>
      </c>
      <c r="L485" s="26">
        <f t="shared" ref="L485:AE485" si="119">SUM(L476:L484)</f>
        <v>0</v>
      </c>
      <c r="M485" s="26">
        <f t="shared" si="119"/>
        <v>0</v>
      </c>
      <c r="N485" s="26">
        <f t="shared" si="119"/>
        <v>0</v>
      </c>
      <c r="O485" s="26">
        <f t="shared" si="119"/>
        <v>0</v>
      </c>
      <c r="P485" s="26">
        <f t="shared" si="119"/>
        <v>0</v>
      </c>
      <c r="Q485" s="26">
        <f t="shared" si="119"/>
        <v>0</v>
      </c>
      <c r="R485" s="26">
        <f t="shared" si="119"/>
        <v>0</v>
      </c>
      <c r="S485" s="26">
        <f t="shared" si="119"/>
        <v>0</v>
      </c>
      <c r="T485" s="26">
        <f t="shared" si="119"/>
        <v>0</v>
      </c>
      <c r="U485" s="26">
        <f t="shared" si="119"/>
        <v>0</v>
      </c>
      <c r="V485" s="26">
        <f t="shared" si="119"/>
        <v>0</v>
      </c>
      <c r="W485" s="26">
        <f t="shared" si="119"/>
        <v>0</v>
      </c>
      <c r="X485" s="26">
        <f t="shared" si="119"/>
        <v>0</v>
      </c>
      <c r="Y485" s="26">
        <f t="shared" si="119"/>
        <v>0</v>
      </c>
      <c r="Z485" s="26">
        <f t="shared" si="119"/>
        <v>0</v>
      </c>
      <c r="AA485" s="26">
        <f t="shared" si="119"/>
        <v>0</v>
      </c>
      <c r="AB485" s="26">
        <f t="shared" si="119"/>
        <v>0</v>
      </c>
      <c r="AC485" s="26">
        <f t="shared" si="119"/>
        <v>0</v>
      </c>
      <c r="AD485" s="26">
        <f t="shared" si="119"/>
        <v>0</v>
      </c>
      <c r="AE485" s="26">
        <f t="shared" si="119"/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122</v>
      </c>
      <c r="C1" s="33"/>
      <c r="D1" s="33"/>
      <c r="E1" s="34" t="s">
        <v>123</v>
      </c>
      <c r="F1" s="34" t="s">
        <v>124</v>
      </c>
      <c r="G1" s="33"/>
      <c r="H1" s="33"/>
    </row>
    <row r="2" spans="1:8" x14ac:dyDescent="0.45">
      <c r="A2" s="36"/>
      <c r="B2" s="37" t="s">
        <v>125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126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127</v>
      </c>
    </row>
    <row r="6" spans="1:8" x14ac:dyDescent="0.45">
      <c r="D6" s="27">
        <v>6</v>
      </c>
    </row>
    <row r="7" spans="1:8" x14ac:dyDescent="0.45">
      <c r="B7" s="38" t="s">
        <v>128</v>
      </c>
      <c r="C7" s="38" t="s">
        <v>129</v>
      </c>
      <c r="D7" s="38" t="s">
        <v>130</v>
      </c>
      <c r="E7" s="38" t="s">
        <v>131</v>
      </c>
      <c r="F7" s="38" t="s">
        <v>132</v>
      </c>
      <c r="G7" s="38" t="s">
        <v>133</v>
      </c>
      <c r="H7" s="38" t="s">
        <v>134</v>
      </c>
    </row>
    <row r="8" spans="1:8" x14ac:dyDescent="0.45">
      <c r="B8" s="39" t="s">
        <v>135</v>
      </c>
      <c r="C8" s="40"/>
      <c r="D8" s="39"/>
      <c r="E8" s="39"/>
      <c r="F8" s="39" t="s">
        <v>136</v>
      </c>
      <c r="G8" s="39" t="s">
        <v>136</v>
      </c>
      <c r="H8" s="39" t="s">
        <v>137</v>
      </c>
    </row>
    <row r="9" spans="1:8" x14ac:dyDescent="0.45">
      <c r="B9" s="41" t="s">
        <v>138</v>
      </c>
    </row>
    <row r="10" spans="1:8" x14ac:dyDescent="0.45">
      <c r="B10" s="39" t="s">
        <v>139</v>
      </c>
      <c r="C10" s="39" t="s">
        <v>140</v>
      </c>
      <c r="D10" s="39"/>
      <c r="E10" s="39"/>
      <c r="F10" s="39" t="s">
        <v>141</v>
      </c>
      <c r="G10" s="39" t="s">
        <v>141</v>
      </c>
      <c r="H10" s="39" t="s">
        <v>142</v>
      </c>
    </row>
    <row r="11" spans="1:8" x14ac:dyDescent="0.45">
      <c r="B11" s="39" t="s">
        <v>143</v>
      </c>
      <c r="C11" s="39" t="s">
        <v>144</v>
      </c>
      <c r="D11" s="39"/>
      <c r="E11" s="39"/>
      <c r="F11" s="39" t="s">
        <v>141</v>
      </c>
      <c r="G11" s="39" t="s">
        <v>141</v>
      </c>
      <c r="H11" s="40"/>
    </row>
    <row r="12" spans="1:8" x14ac:dyDescent="0.45">
      <c r="B12" s="39" t="s">
        <v>145</v>
      </c>
      <c r="C12" s="39" t="s">
        <v>146</v>
      </c>
      <c r="D12" s="39"/>
      <c r="E12" s="39"/>
      <c r="F12" s="39" t="s">
        <v>141</v>
      </c>
      <c r="G12" s="39" t="s">
        <v>141</v>
      </c>
      <c r="H12" s="40"/>
    </row>
    <row r="13" spans="1:8" x14ac:dyDescent="0.45">
      <c r="B13" s="39" t="s">
        <v>147</v>
      </c>
      <c r="C13" s="39" t="s">
        <v>144</v>
      </c>
      <c r="D13" s="39"/>
      <c r="E13" s="39"/>
      <c r="F13" s="39" t="s">
        <v>148</v>
      </c>
      <c r="G13" s="39" t="s">
        <v>148</v>
      </c>
      <c r="H13" s="39" t="s">
        <v>149</v>
      </c>
    </row>
    <row r="14" spans="1:8" x14ac:dyDescent="0.45">
      <c r="B14" s="39" t="s">
        <v>150</v>
      </c>
      <c r="C14" s="39" t="s">
        <v>140</v>
      </c>
      <c r="D14" s="39"/>
      <c r="E14" s="39"/>
      <c r="F14" s="39" t="s">
        <v>141</v>
      </c>
      <c r="G14" s="39" t="s">
        <v>141</v>
      </c>
      <c r="H14" s="40"/>
    </row>
    <row r="15" spans="1:8" x14ac:dyDescent="0.45">
      <c r="B15" s="39" t="s">
        <v>151</v>
      </c>
      <c r="C15" s="39" t="s">
        <v>140</v>
      </c>
      <c r="D15" s="39"/>
      <c r="E15" s="39"/>
      <c r="F15" s="39" t="s">
        <v>141</v>
      </c>
      <c r="G15" s="39" t="s">
        <v>141</v>
      </c>
      <c r="H15" s="40"/>
    </row>
    <row r="16" spans="1:8" x14ac:dyDescent="0.45">
      <c r="B16" s="39" t="s">
        <v>152</v>
      </c>
      <c r="C16" s="39" t="s">
        <v>144</v>
      </c>
      <c r="D16" s="39"/>
      <c r="E16" s="39"/>
      <c r="F16" s="39" t="s">
        <v>153</v>
      </c>
      <c r="G16" s="39" t="s">
        <v>153</v>
      </c>
      <c r="H16" s="39" t="s">
        <v>154</v>
      </c>
    </row>
    <row r="17" spans="1:8" x14ac:dyDescent="0.45">
      <c r="B17" s="41" t="s">
        <v>155</v>
      </c>
    </row>
    <row r="18" spans="1:8" x14ac:dyDescent="0.45">
      <c r="A18" s="27" t="s">
        <v>156</v>
      </c>
      <c r="B18" s="42" t="s">
        <v>157</v>
      </c>
      <c r="C18" s="42" t="s">
        <v>158</v>
      </c>
      <c r="D18" s="42"/>
      <c r="E18" s="42"/>
      <c r="F18" s="42">
        <v>2026</v>
      </c>
      <c r="G18" s="42">
        <v>2027</v>
      </c>
      <c r="H18" s="42" t="s">
        <v>159</v>
      </c>
    </row>
    <row r="19" spans="1:8" x14ac:dyDescent="0.45">
      <c r="A19" s="27" t="s">
        <v>156</v>
      </c>
      <c r="B19" s="39" t="s">
        <v>160</v>
      </c>
      <c r="C19" s="39" t="s">
        <v>161</v>
      </c>
      <c r="D19" s="39"/>
      <c r="E19" s="39"/>
      <c r="F19" s="39">
        <v>0</v>
      </c>
      <c r="G19" s="39">
        <v>20</v>
      </c>
      <c r="H19" s="39" t="s">
        <v>162</v>
      </c>
    </row>
    <row r="20" spans="1:8" x14ac:dyDescent="0.45">
      <c r="A20" s="27"/>
      <c r="B20" s="42" t="s">
        <v>163</v>
      </c>
      <c r="C20" s="42" t="s">
        <v>161</v>
      </c>
      <c r="D20" s="42"/>
      <c r="E20" s="42"/>
      <c r="F20" s="42">
        <v>50</v>
      </c>
      <c r="G20" s="42">
        <v>50</v>
      </c>
      <c r="H20" s="42" t="s">
        <v>164</v>
      </c>
    </row>
    <row r="21" spans="1:8" x14ac:dyDescent="0.45">
      <c r="A21" s="27" t="s">
        <v>156</v>
      </c>
      <c r="B21" s="39" t="s">
        <v>165</v>
      </c>
      <c r="C21" s="39" t="s">
        <v>158</v>
      </c>
      <c r="D21" s="39"/>
      <c r="E21" s="39"/>
      <c r="F21" s="39">
        <v>2030</v>
      </c>
      <c r="G21" s="39">
        <v>2035</v>
      </c>
      <c r="H21" s="39" t="s">
        <v>166</v>
      </c>
    </row>
    <row r="22" spans="1:8" x14ac:dyDescent="0.45">
      <c r="A22" s="27"/>
      <c r="B22" s="41" t="s">
        <v>167</v>
      </c>
    </row>
    <row r="23" spans="1:8" x14ac:dyDescent="0.45">
      <c r="A23" s="27"/>
      <c r="B23" s="39" t="s">
        <v>168</v>
      </c>
      <c r="C23" s="39" t="s">
        <v>144</v>
      </c>
      <c r="D23" s="39"/>
      <c r="E23" s="39"/>
      <c r="F23" s="39" t="b">
        <f>TRUE()</f>
        <v>1</v>
      </c>
      <c r="G23" s="39" t="b">
        <f>TRUE()</f>
        <v>1</v>
      </c>
      <c r="H23" s="39" t="s">
        <v>169</v>
      </c>
    </row>
    <row r="24" spans="1:8" x14ac:dyDescent="0.45">
      <c r="A24" s="27"/>
      <c r="B24" s="39" t="s">
        <v>170</v>
      </c>
      <c r="C24" s="39" t="s">
        <v>144</v>
      </c>
      <c r="D24" s="39"/>
      <c r="E24" s="39"/>
      <c r="F24" s="39" t="b">
        <f>TRUE()</f>
        <v>1</v>
      </c>
      <c r="G24" s="39" t="b">
        <f>TRUE()</f>
        <v>1</v>
      </c>
      <c r="H24" s="39" t="s">
        <v>171</v>
      </c>
    </row>
    <row r="25" spans="1:8" x14ac:dyDescent="0.45">
      <c r="A25" s="27"/>
      <c r="B25" s="39" t="s">
        <v>172</v>
      </c>
      <c r="C25" s="39" t="s">
        <v>144</v>
      </c>
      <c r="D25" s="39"/>
      <c r="E25" s="39"/>
      <c r="F25" s="39" t="b">
        <f>TRUE()</f>
        <v>1</v>
      </c>
      <c r="G25" s="39" t="b">
        <f>TRUE()</f>
        <v>1</v>
      </c>
      <c r="H25" s="39" t="s">
        <v>173</v>
      </c>
    </row>
    <row r="26" spans="1:8" x14ac:dyDescent="0.45">
      <c r="A26" s="27"/>
      <c r="B26" s="39" t="s">
        <v>174</v>
      </c>
      <c r="C26" s="39" t="s">
        <v>144</v>
      </c>
      <c r="D26" s="39"/>
      <c r="E26" s="39"/>
      <c r="F26" s="39" t="b">
        <f>TRUE()</f>
        <v>1</v>
      </c>
      <c r="G26" s="39" t="b">
        <f>TRUE()</f>
        <v>1</v>
      </c>
      <c r="H26" s="39" t="s">
        <v>175</v>
      </c>
    </row>
    <row r="27" spans="1:8" x14ac:dyDescent="0.45">
      <c r="A27" s="27"/>
      <c r="B27" s="39" t="s">
        <v>176</v>
      </c>
      <c r="C27" s="39" t="s">
        <v>144</v>
      </c>
      <c r="D27" s="39"/>
      <c r="E27" s="39"/>
      <c r="F27" s="39" t="b">
        <f>TRUE()</f>
        <v>1</v>
      </c>
      <c r="G27" s="39" t="b">
        <f>TRUE()</f>
        <v>1</v>
      </c>
      <c r="H27" s="39" t="s">
        <v>177</v>
      </c>
    </row>
    <row r="28" spans="1:8" x14ac:dyDescent="0.45">
      <c r="A28" s="27"/>
      <c r="B28" s="39" t="s">
        <v>178</v>
      </c>
      <c r="C28" s="39" t="s">
        <v>144</v>
      </c>
      <c r="D28" s="39"/>
      <c r="E28" s="39"/>
      <c r="F28" s="39" t="b">
        <f>TRUE()</f>
        <v>1</v>
      </c>
      <c r="G28" s="39" t="b">
        <f>TRUE()</f>
        <v>1</v>
      </c>
      <c r="H28" s="39" t="s">
        <v>179</v>
      </c>
    </row>
    <row r="29" spans="1:8" x14ac:dyDescent="0.45">
      <c r="A29" s="27"/>
      <c r="B29" s="39" t="s">
        <v>180</v>
      </c>
      <c r="C29" s="39" t="s">
        <v>144</v>
      </c>
      <c r="D29" s="39"/>
      <c r="E29" s="39"/>
      <c r="F29" s="39" t="b">
        <f>TRUE()</f>
        <v>1</v>
      </c>
      <c r="G29" s="39" t="b">
        <f>TRUE()</f>
        <v>1</v>
      </c>
      <c r="H29" s="39" t="s">
        <v>181</v>
      </c>
    </row>
    <row r="30" spans="1:8" x14ac:dyDescent="0.45">
      <c r="A30" s="27"/>
      <c r="B30" s="41" t="s">
        <v>182</v>
      </c>
    </row>
    <row r="31" spans="1:8" x14ac:dyDescent="0.45">
      <c r="A31" s="27"/>
      <c r="B31" s="39" t="s">
        <v>183</v>
      </c>
      <c r="C31" s="39" t="s">
        <v>144</v>
      </c>
      <c r="D31" s="39"/>
      <c r="E31" s="39"/>
      <c r="F31" s="39" t="b">
        <f>TRUE()</f>
        <v>1</v>
      </c>
      <c r="G31" s="39" t="b">
        <f>TRUE()</f>
        <v>1</v>
      </c>
      <c r="H31" s="39" t="s">
        <v>184</v>
      </c>
    </row>
    <row r="32" spans="1:8" x14ac:dyDescent="0.45">
      <c r="A32" s="27"/>
      <c r="B32" s="39" t="s">
        <v>185</v>
      </c>
      <c r="C32" s="39" t="s">
        <v>144</v>
      </c>
      <c r="D32" s="39"/>
      <c r="E32" s="39"/>
      <c r="F32" s="39" t="b">
        <f>TRUE()</f>
        <v>1</v>
      </c>
      <c r="G32" s="39" t="b">
        <f>TRUE()</f>
        <v>1</v>
      </c>
      <c r="H32" s="39" t="s">
        <v>186</v>
      </c>
    </row>
    <row r="33" spans="1:8" x14ac:dyDescent="0.45">
      <c r="A33" s="27"/>
      <c r="B33" s="39" t="s">
        <v>187</v>
      </c>
      <c r="C33" s="39" t="s">
        <v>144</v>
      </c>
      <c r="D33" s="39"/>
      <c r="E33" s="39"/>
      <c r="F33" s="39" t="b">
        <f>TRUE()</f>
        <v>1</v>
      </c>
      <c r="G33" s="39" t="b">
        <f>TRUE()</f>
        <v>1</v>
      </c>
      <c r="H33" s="39" t="s">
        <v>188</v>
      </c>
    </row>
    <row r="34" spans="1:8" x14ac:dyDescent="0.45">
      <c r="A34" s="27"/>
      <c r="B34" s="39" t="s">
        <v>189</v>
      </c>
      <c r="C34" s="39" t="s">
        <v>144</v>
      </c>
      <c r="D34" s="39"/>
      <c r="E34" s="39"/>
      <c r="F34" s="39" t="b">
        <f>TRUE()</f>
        <v>1</v>
      </c>
      <c r="G34" s="39" t="b">
        <f>TRUE()</f>
        <v>1</v>
      </c>
      <c r="H34" s="39" t="s">
        <v>190</v>
      </c>
    </row>
    <row r="35" spans="1:8" x14ac:dyDescent="0.45">
      <c r="A35" s="27"/>
      <c r="B35" s="39" t="s">
        <v>191</v>
      </c>
      <c r="C35" s="39" t="s">
        <v>144</v>
      </c>
      <c r="D35" s="39"/>
      <c r="E35" s="39"/>
      <c r="F35" s="39" t="b">
        <f>TRUE()</f>
        <v>1</v>
      </c>
      <c r="G35" s="39" t="b">
        <f>TRUE()</f>
        <v>1</v>
      </c>
      <c r="H35" s="39" t="s">
        <v>192</v>
      </c>
    </row>
    <row r="36" spans="1:8" x14ac:dyDescent="0.45">
      <c r="A36" s="27"/>
      <c r="B36" s="39" t="s">
        <v>193</v>
      </c>
      <c r="C36" s="39" t="s">
        <v>144</v>
      </c>
      <c r="D36" s="39"/>
      <c r="E36" s="39"/>
      <c r="F36" s="39" t="b">
        <f>TRUE()</f>
        <v>1</v>
      </c>
      <c r="G36" s="39" t="b">
        <f>TRUE()</f>
        <v>1</v>
      </c>
      <c r="H36" s="39" t="s">
        <v>194</v>
      </c>
    </row>
    <row r="37" spans="1:8" x14ac:dyDescent="0.45">
      <c r="A37" s="27"/>
      <c r="B37" s="39" t="s">
        <v>195</v>
      </c>
      <c r="C37" s="39" t="s">
        <v>144</v>
      </c>
      <c r="D37" s="39"/>
      <c r="E37" s="39"/>
      <c r="F37" s="39" t="b">
        <f>TRUE()</f>
        <v>1</v>
      </c>
      <c r="G37" s="39" t="b">
        <f>TRUE()</f>
        <v>1</v>
      </c>
      <c r="H37" s="39" t="s">
        <v>196</v>
      </c>
    </row>
    <row r="38" spans="1:8" x14ac:dyDescent="0.45">
      <c r="A38" s="27"/>
      <c r="B38" s="39" t="s">
        <v>197</v>
      </c>
      <c r="C38" s="39" t="s">
        <v>144</v>
      </c>
      <c r="D38" s="39"/>
      <c r="E38" s="39"/>
      <c r="F38" s="39" t="b">
        <f>TRUE()</f>
        <v>1</v>
      </c>
      <c r="G38" s="39" t="b">
        <f>TRUE()</f>
        <v>1</v>
      </c>
      <c r="H38" s="39" t="s">
        <v>198</v>
      </c>
    </row>
    <row r="39" spans="1:8" x14ac:dyDescent="0.45">
      <c r="A39" s="27"/>
      <c r="B39" s="39" t="s">
        <v>199</v>
      </c>
      <c r="C39" s="39" t="s">
        <v>144</v>
      </c>
      <c r="D39" s="39"/>
      <c r="E39" s="39"/>
      <c r="F39" s="39" t="b">
        <f>TRUE()</f>
        <v>1</v>
      </c>
      <c r="G39" s="39" t="b">
        <f>TRUE()</f>
        <v>1</v>
      </c>
      <c r="H39" s="39" t="s">
        <v>200</v>
      </c>
    </row>
    <row r="40" spans="1:8" x14ac:dyDescent="0.45">
      <c r="A40" s="27"/>
      <c r="B40" s="39" t="s">
        <v>201</v>
      </c>
      <c r="C40" s="39" t="s">
        <v>144</v>
      </c>
      <c r="D40" s="39"/>
      <c r="E40" s="39"/>
      <c r="F40" s="39" t="b">
        <f>TRUE()</f>
        <v>1</v>
      </c>
      <c r="G40" s="39" t="b">
        <f>TRUE()</f>
        <v>1</v>
      </c>
      <c r="H40" s="39" t="s">
        <v>202</v>
      </c>
    </row>
    <row r="41" spans="1:8" x14ac:dyDescent="0.45">
      <c r="A41" s="27"/>
      <c r="B41" s="39" t="s">
        <v>203</v>
      </c>
      <c r="C41" s="39" t="s">
        <v>144</v>
      </c>
      <c r="D41" s="39"/>
      <c r="E41" s="39"/>
      <c r="F41" s="39" t="b">
        <f>TRUE()</f>
        <v>1</v>
      </c>
      <c r="G41" s="39" t="b">
        <f>TRUE()</f>
        <v>1</v>
      </c>
      <c r="H41" s="39" t="s">
        <v>204</v>
      </c>
    </row>
    <row r="42" spans="1:8" x14ac:dyDescent="0.45">
      <c r="A42" s="27"/>
      <c r="B42" s="39" t="s">
        <v>205</v>
      </c>
      <c r="C42" s="39" t="s">
        <v>144</v>
      </c>
      <c r="D42" s="39"/>
      <c r="E42" s="39"/>
      <c r="F42" s="39" t="b">
        <f>TRUE()</f>
        <v>1</v>
      </c>
      <c r="G42" s="39" t="b">
        <f>TRUE()</f>
        <v>1</v>
      </c>
      <c r="H42" s="39" t="s">
        <v>206</v>
      </c>
    </row>
    <row r="43" spans="1:8" x14ac:dyDescent="0.45">
      <c r="A43" s="27"/>
      <c r="B43" s="39" t="s">
        <v>207</v>
      </c>
      <c r="C43" s="39" t="s">
        <v>144</v>
      </c>
      <c r="D43" s="39"/>
      <c r="E43" s="39"/>
      <c r="F43" s="39" t="b">
        <f>TRUE()</f>
        <v>1</v>
      </c>
      <c r="G43" s="39" t="b">
        <f>TRUE()</f>
        <v>1</v>
      </c>
      <c r="H43" s="39" t="s">
        <v>208</v>
      </c>
    </row>
    <row r="44" spans="1:8" x14ac:dyDescent="0.45">
      <c r="A44" s="27"/>
      <c r="B44" s="39" t="s">
        <v>209</v>
      </c>
      <c r="C44" s="39" t="s">
        <v>144</v>
      </c>
      <c r="D44" s="39"/>
      <c r="E44" s="39"/>
      <c r="F44" s="39" t="b">
        <f>TRUE()</f>
        <v>1</v>
      </c>
      <c r="G44" s="39" t="b">
        <f>TRUE()</f>
        <v>1</v>
      </c>
      <c r="H44" s="39" t="s">
        <v>210</v>
      </c>
    </row>
    <row r="45" spans="1:8" x14ac:dyDescent="0.45">
      <c r="A45" s="27"/>
      <c r="B45" s="39" t="s">
        <v>211</v>
      </c>
      <c r="C45" s="39" t="s">
        <v>144</v>
      </c>
      <c r="D45" s="39"/>
      <c r="E45" s="39"/>
      <c r="F45" s="39" t="b">
        <f>TRUE()</f>
        <v>1</v>
      </c>
      <c r="G45" s="39" t="b">
        <f>TRUE()</f>
        <v>1</v>
      </c>
      <c r="H45" s="39" t="s">
        <v>212</v>
      </c>
    </row>
    <row r="46" spans="1:8" x14ac:dyDescent="0.45">
      <c r="A46" s="27"/>
      <c r="B46" s="39" t="s">
        <v>213</v>
      </c>
      <c r="C46" s="39" t="s">
        <v>144</v>
      </c>
      <c r="D46" s="39"/>
      <c r="E46" s="39"/>
      <c r="F46" s="39" t="b">
        <f>TRUE()</f>
        <v>1</v>
      </c>
      <c r="G46" s="39" t="b">
        <f>TRUE()</f>
        <v>1</v>
      </c>
      <c r="H46" s="39" t="s">
        <v>214</v>
      </c>
    </row>
    <row r="47" spans="1:8" x14ac:dyDescent="0.45">
      <c r="A47" s="27"/>
      <c r="B47" s="39" t="s">
        <v>215</v>
      </c>
      <c r="C47" s="39" t="s">
        <v>144</v>
      </c>
      <c r="D47" s="39"/>
      <c r="E47" s="39"/>
      <c r="F47" s="39" t="b">
        <f>TRUE()</f>
        <v>1</v>
      </c>
      <c r="G47" s="39" t="b">
        <f>TRUE()</f>
        <v>1</v>
      </c>
      <c r="H47" s="39" t="s">
        <v>216</v>
      </c>
    </row>
    <row r="48" spans="1:8" x14ac:dyDescent="0.45">
      <c r="A48" s="27"/>
      <c r="B48" s="41" t="s">
        <v>217</v>
      </c>
    </row>
    <row r="49" spans="1:8" x14ac:dyDescent="0.45">
      <c r="A49" s="27"/>
      <c r="B49" s="39" t="s">
        <v>218</v>
      </c>
      <c r="C49" s="39" t="s">
        <v>144</v>
      </c>
      <c r="D49" s="39"/>
      <c r="E49" s="39"/>
      <c r="F49" s="39" t="b">
        <f>FALSE()</f>
        <v>0</v>
      </c>
      <c r="G49" s="39" t="b">
        <f>FALSE()</f>
        <v>0</v>
      </c>
      <c r="H49" s="39" t="s">
        <v>219</v>
      </c>
    </row>
    <row r="50" spans="1:8" x14ac:dyDescent="0.45">
      <c r="A50" s="27"/>
      <c r="B50" s="39" t="s">
        <v>220</v>
      </c>
      <c r="C50" s="39" t="s">
        <v>158</v>
      </c>
      <c r="D50" s="39"/>
      <c r="E50" s="39"/>
      <c r="F50" s="39">
        <v>2027</v>
      </c>
      <c r="G50" s="39">
        <v>2027</v>
      </c>
      <c r="H50" s="39" t="s">
        <v>221</v>
      </c>
    </row>
    <row r="51" spans="1:8" x14ac:dyDescent="0.45">
      <c r="A51" s="27"/>
      <c r="B51" s="39" t="s">
        <v>222</v>
      </c>
      <c r="C51" s="39" t="s">
        <v>158</v>
      </c>
      <c r="D51" s="39"/>
      <c r="E51" s="39"/>
      <c r="F51" s="39">
        <v>5</v>
      </c>
      <c r="G51" s="39">
        <v>5</v>
      </c>
      <c r="H51" s="39" t="s">
        <v>223</v>
      </c>
    </row>
    <row r="52" spans="1:8" x14ac:dyDescent="0.45">
      <c r="A52" s="27"/>
      <c r="B52" s="41" t="s">
        <v>224</v>
      </c>
    </row>
    <row r="53" spans="1:8" x14ac:dyDescent="0.45">
      <c r="A53" s="27"/>
      <c r="B53" s="39" t="s">
        <v>225</v>
      </c>
      <c r="C53" s="40"/>
      <c r="D53" s="39"/>
      <c r="E53" s="39"/>
      <c r="F53" s="39">
        <v>2027</v>
      </c>
      <c r="G53" s="39">
        <v>2027</v>
      </c>
      <c r="H53" s="39" t="s">
        <v>226</v>
      </c>
    </row>
    <row r="54" spans="1:8" x14ac:dyDescent="0.45">
      <c r="A54" s="27"/>
      <c r="B54" s="39" t="s">
        <v>227</v>
      </c>
      <c r="C54" s="40"/>
      <c r="D54" s="39"/>
      <c r="E54" s="39"/>
      <c r="F54" s="39">
        <v>2035</v>
      </c>
      <c r="G54" s="39">
        <v>2035</v>
      </c>
      <c r="H54" s="39" t="s">
        <v>228</v>
      </c>
    </row>
    <row r="55" spans="1:8" x14ac:dyDescent="0.45">
      <c r="A55" s="27"/>
      <c r="B55" s="41" t="s">
        <v>229</v>
      </c>
    </row>
    <row r="56" spans="1:8" x14ac:dyDescent="0.45">
      <c r="A56" s="27"/>
      <c r="B56" s="39" t="s">
        <v>230</v>
      </c>
      <c r="C56" s="39" t="s">
        <v>231</v>
      </c>
      <c r="D56" s="39"/>
      <c r="E56" s="39"/>
      <c r="F56" s="39">
        <v>0</v>
      </c>
      <c r="G56" s="39">
        <v>0</v>
      </c>
      <c r="H56" s="39" t="s">
        <v>232</v>
      </c>
    </row>
    <row r="57" spans="1:8" x14ac:dyDescent="0.45">
      <c r="A57" s="27"/>
      <c r="B57" s="39" t="s">
        <v>233</v>
      </c>
      <c r="C57" s="39" t="s">
        <v>231</v>
      </c>
      <c r="D57" s="39"/>
      <c r="E57" s="39"/>
      <c r="F57" s="39">
        <v>0</v>
      </c>
      <c r="G57" s="39">
        <v>0</v>
      </c>
      <c r="H57" s="39" t="s">
        <v>234</v>
      </c>
    </row>
    <row r="58" spans="1:8" x14ac:dyDescent="0.45">
      <c r="A58" s="27"/>
      <c r="B58" s="39" t="s">
        <v>235</v>
      </c>
      <c r="C58" s="39" t="s">
        <v>231</v>
      </c>
      <c r="D58" s="39"/>
      <c r="E58" s="39"/>
      <c r="F58" s="39">
        <v>0</v>
      </c>
      <c r="G58" s="39">
        <v>0</v>
      </c>
      <c r="H58" s="39" t="s">
        <v>236</v>
      </c>
    </row>
    <row r="59" spans="1:8" x14ac:dyDescent="0.45">
      <c r="A59" s="27"/>
      <c r="B59" s="39" t="s">
        <v>237</v>
      </c>
      <c r="C59" s="39" t="s">
        <v>231</v>
      </c>
      <c r="D59" s="39"/>
      <c r="E59" s="40"/>
      <c r="F59" s="39">
        <v>0</v>
      </c>
      <c r="G59" s="39">
        <v>0</v>
      </c>
      <c r="H59" s="39" t="s">
        <v>238</v>
      </c>
    </row>
    <row r="60" spans="1:8" x14ac:dyDescent="0.45">
      <c r="A60" s="27"/>
      <c r="B60" s="41" t="s">
        <v>239</v>
      </c>
    </row>
    <row r="61" spans="1:8" x14ac:dyDescent="0.45">
      <c r="A61" s="27"/>
      <c r="B61" s="39" t="s">
        <v>230</v>
      </c>
      <c r="C61" s="39" t="s">
        <v>231</v>
      </c>
      <c r="D61" s="39"/>
      <c r="E61" s="39"/>
      <c r="F61" s="39">
        <v>0</v>
      </c>
      <c r="G61" s="39">
        <v>0</v>
      </c>
      <c r="H61" s="39" t="s">
        <v>240</v>
      </c>
    </row>
    <row r="62" spans="1:8" x14ac:dyDescent="0.45">
      <c r="A62" s="27"/>
      <c r="B62" s="39" t="s">
        <v>233</v>
      </c>
      <c r="C62" s="39" t="s">
        <v>231</v>
      </c>
      <c r="D62" s="39"/>
      <c r="E62" s="39"/>
      <c r="F62" s="39">
        <v>0</v>
      </c>
      <c r="G62" s="39">
        <v>0</v>
      </c>
      <c r="H62" s="39" t="s">
        <v>241</v>
      </c>
    </row>
    <row r="63" spans="1:8" x14ac:dyDescent="0.45">
      <c r="A63" s="27"/>
      <c r="B63" s="39" t="s">
        <v>235</v>
      </c>
      <c r="C63" s="39" t="s">
        <v>231</v>
      </c>
      <c r="D63" s="39"/>
      <c r="E63" s="39"/>
      <c r="F63" s="39">
        <v>0</v>
      </c>
      <c r="G63" s="39">
        <v>0</v>
      </c>
      <c r="H63" s="39" t="s">
        <v>242</v>
      </c>
    </row>
    <row r="64" spans="1:8" x14ac:dyDescent="0.45">
      <c r="A64" s="27"/>
      <c r="B64" s="39" t="s">
        <v>237</v>
      </c>
      <c r="C64" s="39" t="s">
        <v>231</v>
      </c>
      <c r="D64" s="39"/>
      <c r="E64" s="40"/>
      <c r="F64" s="39">
        <v>0</v>
      </c>
      <c r="G64" s="39">
        <v>0</v>
      </c>
      <c r="H64" s="39" t="s">
        <v>243</v>
      </c>
    </row>
    <row r="65" spans="2:8" x14ac:dyDescent="0.45">
      <c r="B65" s="41" t="s">
        <v>244</v>
      </c>
    </row>
    <row r="66" spans="2:8" x14ac:dyDescent="0.45">
      <c r="B66" s="39" t="s">
        <v>183</v>
      </c>
      <c r="C66" s="39" t="s">
        <v>144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185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187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189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191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193</v>
      </c>
      <c r="C71" s="39" t="s">
        <v>144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195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197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199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201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203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205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207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209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211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213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215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245</v>
      </c>
    </row>
    <row r="84" spans="1:8" x14ac:dyDescent="0.45">
      <c r="B84" s="39" t="s">
        <v>246</v>
      </c>
      <c r="C84" s="40"/>
      <c r="D84" s="39"/>
      <c r="E84" s="39"/>
      <c r="F84" s="39" t="s">
        <v>247</v>
      </c>
      <c r="G84" s="39" t="s">
        <v>247</v>
      </c>
      <c r="H84" s="39" t="s">
        <v>248</v>
      </c>
    </row>
    <row r="85" spans="1:8" x14ac:dyDescent="0.45">
      <c r="B85" s="39" t="s">
        <v>249</v>
      </c>
      <c r="C85" s="40"/>
      <c r="D85" s="39"/>
      <c r="E85" s="39"/>
      <c r="F85" s="39">
        <v>0</v>
      </c>
      <c r="G85" s="39">
        <v>0</v>
      </c>
      <c r="H85" s="39" t="s">
        <v>250</v>
      </c>
    </row>
    <row r="86" spans="1:8" x14ac:dyDescent="0.45">
      <c r="B86" s="39" t="s">
        <v>251</v>
      </c>
      <c r="C86" s="40"/>
      <c r="D86" s="39"/>
      <c r="E86" s="39"/>
      <c r="F86" s="39">
        <v>0</v>
      </c>
      <c r="G86" s="39">
        <v>0</v>
      </c>
      <c r="H86" s="39" t="s">
        <v>252</v>
      </c>
    </row>
    <row r="87" spans="1:8" x14ac:dyDescent="0.45">
      <c r="B87" s="39" t="s">
        <v>253</v>
      </c>
      <c r="C87" s="40"/>
      <c r="D87" s="39"/>
      <c r="E87" s="39"/>
      <c r="F87" s="39" t="s">
        <v>254</v>
      </c>
      <c r="G87" s="39" t="s">
        <v>255</v>
      </c>
      <c r="H87" s="39" t="s">
        <v>256</v>
      </c>
    </row>
    <row r="88" spans="1:8" x14ac:dyDescent="0.45">
      <c r="B88" s="39" t="s">
        <v>257</v>
      </c>
      <c r="C88" s="40"/>
      <c r="D88" s="39"/>
      <c r="E88" s="39"/>
      <c r="F88" s="39">
        <v>2027</v>
      </c>
      <c r="G88" s="39">
        <v>2026</v>
      </c>
      <c r="H88" s="39" t="s">
        <v>258</v>
      </c>
    </row>
    <row r="89" spans="1:8" x14ac:dyDescent="0.45">
      <c r="B89" s="39" t="s">
        <v>259</v>
      </c>
      <c r="C89" s="40"/>
      <c r="D89" s="39"/>
      <c r="E89" s="39"/>
      <c r="F89" s="39">
        <v>2035</v>
      </c>
      <c r="G89" s="39">
        <v>2035</v>
      </c>
      <c r="H89" s="39" t="s">
        <v>260</v>
      </c>
    </row>
    <row r="90" spans="1:8" x14ac:dyDescent="0.45">
      <c r="B90" s="39" t="s">
        <v>261</v>
      </c>
      <c r="C90" s="40"/>
      <c r="D90" s="39"/>
      <c r="E90" s="39"/>
      <c r="F90" s="39">
        <v>0</v>
      </c>
      <c r="G90" s="39">
        <v>0</v>
      </c>
      <c r="H90" s="39" t="s">
        <v>262</v>
      </c>
    </row>
    <row r="91" spans="1:8" x14ac:dyDescent="0.45">
      <c r="B91" s="39" t="s">
        <v>263</v>
      </c>
      <c r="C91" s="40"/>
      <c r="D91" s="39"/>
      <c r="E91" s="39"/>
      <c r="F91" s="39">
        <v>0</v>
      </c>
      <c r="G91" s="39">
        <v>1</v>
      </c>
      <c r="H91" s="39" t="s">
        <v>264</v>
      </c>
    </row>
    <row r="92" spans="1:8" x14ac:dyDescent="0.45">
      <c r="B92" s="39" t="s">
        <v>265</v>
      </c>
      <c r="C92" s="40"/>
      <c r="D92" s="39"/>
      <c r="E92" s="39"/>
      <c r="F92" s="39" t="s">
        <v>254</v>
      </c>
      <c r="G92" s="39" t="s">
        <v>254</v>
      </c>
      <c r="H92" s="39" t="s">
        <v>266</v>
      </c>
    </row>
    <row r="93" spans="1:8" x14ac:dyDescent="0.45">
      <c r="B93" s="39" t="s">
        <v>267</v>
      </c>
      <c r="C93" s="40"/>
      <c r="D93" s="39"/>
      <c r="E93" s="39"/>
      <c r="F93" s="39" t="s">
        <v>247</v>
      </c>
      <c r="G93" s="39" t="s">
        <v>247</v>
      </c>
      <c r="H93" s="39" t="s">
        <v>268</v>
      </c>
    </row>
    <row r="94" spans="1:8" x14ac:dyDescent="0.45">
      <c r="B94" s="41" t="s">
        <v>269</v>
      </c>
    </row>
    <row r="95" spans="1:8" x14ac:dyDescent="0.45">
      <c r="B95" s="39" t="s">
        <v>270</v>
      </c>
      <c r="C95" s="40"/>
      <c r="D95" s="39"/>
      <c r="E95" s="39"/>
      <c r="F95" s="39" t="s">
        <v>271</v>
      </c>
      <c r="G95" s="39" t="s">
        <v>271</v>
      </c>
      <c r="H95" s="39" t="s">
        <v>272</v>
      </c>
    </row>
    <row r="96" spans="1:8" x14ac:dyDescent="0.45">
      <c r="B96" s="39" t="s">
        <v>273</v>
      </c>
      <c r="C96" s="40"/>
      <c r="D96" s="39"/>
      <c r="E96" s="39"/>
      <c r="F96" s="39" t="s">
        <v>271</v>
      </c>
      <c r="G96" s="39" t="s">
        <v>271</v>
      </c>
      <c r="H96" s="39" t="s">
        <v>274</v>
      </c>
    </row>
    <row r="97" spans="2:8" x14ac:dyDescent="0.45">
      <c r="B97" s="39" t="s">
        <v>275</v>
      </c>
      <c r="C97" s="40"/>
      <c r="D97" s="39"/>
      <c r="E97" s="39"/>
      <c r="F97" s="39">
        <v>0.2</v>
      </c>
      <c r="G97" s="39">
        <v>0.2</v>
      </c>
      <c r="H97" s="39" t="s">
        <v>276</v>
      </c>
    </row>
    <row r="98" spans="2:8" x14ac:dyDescent="0.45">
      <c r="B98" s="41" t="s">
        <v>277</v>
      </c>
    </row>
    <row r="99" spans="2:8" x14ac:dyDescent="0.45">
      <c r="B99" s="39" t="s">
        <v>278</v>
      </c>
      <c r="C99" s="39" t="s">
        <v>144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279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280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281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282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283</v>
      </c>
      <c r="C104" s="39" t="s">
        <v>144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284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285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39" t="s">
        <v>286</v>
      </c>
      <c r="C107" s="40"/>
      <c r="D107" s="39"/>
      <c r="E107" s="39"/>
      <c r="F107" s="39" t="b">
        <f>TRUE()</f>
        <v>1</v>
      </c>
      <c r="G107" s="39" t="b">
        <f>TRUE()</f>
        <v>1</v>
      </c>
      <c r="H107" s="40"/>
    </row>
    <row r="108" spans="2:8" x14ac:dyDescent="0.45">
      <c r="B108" s="39" t="s">
        <v>287</v>
      </c>
      <c r="C108" s="40"/>
      <c r="D108" s="39"/>
      <c r="E108" s="39"/>
      <c r="F108" s="39" t="b">
        <f>TRUE()</f>
        <v>1</v>
      </c>
      <c r="G108" s="39" t="b">
        <f>TRUE()</f>
        <v>1</v>
      </c>
      <c r="H108" s="40"/>
    </row>
    <row r="109" spans="2:8" x14ac:dyDescent="0.45">
      <c r="B109" s="39" t="s">
        <v>288</v>
      </c>
      <c r="C109" s="40"/>
      <c r="D109" s="39"/>
      <c r="E109" s="39"/>
      <c r="F109" s="39" t="b">
        <f>TRUE()</f>
        <v>1</v>
      </c>
      <c r="G109" s="39" t="b">
        <f>TRUE()</f>
        <v>1</v>
      </c>
      <c r="H109" s="40"/>
    </row>
    <row r="110" spans="2:8" x14ac:dyDescent="0.45">
      <c r="B110" s="39" t="s">
        <v>289</v>
      </c>
      <c r="C110" s="40"/>
      <c r="D110" s="39"/>
      <c r="E110" s="39"/>
      <c r="F110" s="39" t="b">
        <f>FALSE()</f>
        <v>0</v>
      </c>
      <c r="G110" s="39" t="b">
        <f>TRUE()</f>
        <v>1</v>
      </c>
      <c r="H110" s="40"/>
    </row>
    <row r="111" spans="2:8" x14ac:dyDescent="0.45">
      <c r="B111" s="39" t="s">
        <v>290</v>
      </c>
      <c r="C111" s="40"/>
      <c r="D111" s="39"/>
      <c r="E111" s="39"/>
      <c r="F111" s="39" t="b">
        <f>TRUE()</f>
        <v>1</v>
      </c>
      <c r="G111" s="39" t="b">
        <f>TRUE()</f>
        <v>1</v>
      </c>
      <c r="H111" s="40"/>
    </row>
    <row r="112" spans="2:8" x14ac:dyDescent="0.45">
      <c r="B112" s="39" t="s">
        <v>291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292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293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294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295</v>
      </c>
    </row>
    <row r="117" spans="1:8" x14ac:dyDescent="0.45">
      <c r="B117" s="39" t="s">
        <v>286</v>
      </c>
      <c r="C117" s="40"/>
      <c r="D117" s="39"/>
      <c r="E117" s="39"/>
      <c r="F117" s="39" t="b">
        <f>FALSE()</f>
        <v>0</v>
      </c>
      <c r="G117" s="39" t="b">
        <f>TRUE()</f>
        <v>1</v>
      </c>
      <c r="H117" s="40"/>
    </row>
    <row r="118" spans="1:8" x14ac:dyDescent="0.45">
      <c r="B118" s="39" t="s">
        <v>287</v>
      </c>
      <c r="C118" s="40"/>
      <c r="D118" s="39"/>
      <c r="E118" s="39"/>
      <c r="F118" s="39" t="b">
        <f>FALSE()</f>
        <v>0</v>
      </c>
      <c r="G118" s="39" t="b">
        <f>TRUE()</f>
        <v>1</v>
      </c>
      <c r="H118" s="40"/>
    </row>
    <row r="119" spans="1:8" x14ac:dyDescent="0.45">
      <c r="B119" s="39" t="s">
        <v>288</v>
      </c>
      <c r="C119" s="40"/>
      <c r="D119" s="39"/>
      <c r="E119" s="39"/>
      <c r="F119" s="39" t="b">
        <f>FALSE()</f>
        <v>0</v>
      </c>
      <c r="G119" s="39" t="b">
        <f>TRUE()</f>
        <v>1</v>
      </c>
      <c r="H119" s="40"/>
    </row>
    <row r="120" spans="1:8" x14ac:dyDescent="0.45">
      <c r="B120" s="39" t="s">
        <v>289</v>
      </c>
      <c r="C120" s="40"/>
      <c r="D120" s="39"/>
      <c r="E120" s="39"/>
      <c r="F120" s="39" t="b">
        <f>FALSE()</f>
        <v>0</v>
      </c>
      <c r="G120" s="39" t="b">
        <f>FALSE()</f>
        <v>0</v>
      </c>
      <c r="H120" s="40"/>
    </row>
    <row r="121" spans="1:8" x14ac:dyDescent="0.45">
      <c r="B121" s="39" t="s">
        <v>290</v>
      </c>
      <c r="C121" s="40"/>
      <c r="D121" s="39"/>
      <c r="E121" s="39"/>
      <c r="F121" s="39" t="b">
        <f>FALSE()</f>
        <v>0</v>
      </c>
      <c r="G121" s="39" t="b">
        <f>TRUE()</f>
        <v>1</v>
      </c>
      <c r="H121" s="40"/>
    </row>
    <row r="122" spans="1:8" x14ac:dyDescent="0.45">
      <c r="A122" s="27"/>
      <c r="B122" s="41" t="s">
        <v>296</v>
      </c>
    </row>
    <row r="123" spans="1:8" x14ac:dyDescent="0.45">
      <c r="A123" s="27"/>
      <c r="B123" s="39" t="s">
        <v>297</v>
      </c>
      <c r="C123" s="39" t="s">
        <v>298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299</v>
      </c>
    </row>
    <row r="124" spans="1:8" x14ac:dyDescent="0.45">
      <c r="A124" s="27"/>
      <c r="B124" s="39" t="s">
        <v>300</v>
      </c>
      <c r="C124" s="39" t="s">
        <v>158</v>
      </c>
      <c r="D124" s="39"/>
      <c r="E124" s="39"/>
      <c r="F124" s="39">
        <v>2027</v>
      </c>
      <c r="G124" s="39">
        <v>2027</v>
      </c>
      <c r="H124" s="39" t="s">
        <v>301</v>
      </c>
    </row>
    <row r="125" spans="1:8" x14ac:dyDescent="0.45">
      <c r="A125" s="27"/>
      <c r="B125" s="39" t="s">
        <v>302</v>
      </c>
      <c r="C125" s="39" t="s">
        <v>158</v>
      </c>
      <c r="D125" s="39"/>
      <c r="E125" s="39"/>
      <c r="F125" s="39">
        <v>5</v>
      </c>
      <c r="G125" s="39">
        <v>5</v>
      </c>
      <c r="H125" s="39" t="s">
        <v>303</v>
      </c>
    </row>
    <row r="126" spans="1:8" x14ac:dyDescent="0.45">
      <c r="A126" s="27"/>
      <c r="B126" s="39" t="s">
        <v>304</v>
      </c>
      <c r="C126" s="39" t="s">
        <v>87</v>
      </c>
      <c r="D126" s="39"/>
      <c r="E126" s="39"/>
      <c r="F126" s="39">
        <v>1</v>
      </c>
      <c r="G126" s="39">
        <v>1</v>
      </c>
      <c r="H126" s="39" t="s">
        <v>305</v>
      </c>
    </row>
    <row r="127" spans="1:8" x14ac:dyDescent="0.45">
      <c r="A127" s="27"/>
      <c r="B127" s="39" t="s">
        <v>306</v>
      </c>
      <c r="C127" s="39" t="s">
        <v>307</v>
      </c>
      <c r="D127" s="39"/>
      <c r="E127" s="39"/>
      <c r="F127" s="39" t="s">
        <v>247</v>
      </c>
      <c r="G127" s="39" t="s">
        <v>247</v>
      </c>
      <c r="H127" s="39" t="s">
        <v>308</v>
      </c>
    </row>
    <row r="128" spans="1:8" x14ac:dyDescent="0.45">
      <c r="A128" s="27"/>
      <c r="B128" s="39" t="s">
        <v>309</v>
      </c>
      <c r="C128" s="39" t="s">
        <v>158</v>
      </c>
      <c r="D128" s="39"/>
      <c r="E128" s="39"/>
      <c r="F128" s="39">
        <v>5</v>
      </c>
      <c r="G128" s="39">
        <v>5</v>
      </c>
      <c r="H128" s="39" t="s">
        <v>310</v>
      </c>
    </row>
    <row r="129" spans="1:8" x14ac:dyDescent="0.45">
      <c r="A129" s="27"/>
      <c r="B129" s="39" t="s">
        <v>311</v>
      </c>
      <c r="C129" s="39" t="s">
        <v>87</v>
      </c>
      <c r="D129" s="39"/>
      <c r="E129" s="39"/>
      <c r="F129" s="39">
        <v>0</v>
      </c>
      <c r="G129" s="39">
        <v>0</v>
      </c>
      <c r="H129" s="39" t="s">
        <v>312</v>
      </c>
    </row>
    <row r="130" spans="1:8" x14ac:dyDescent="0.45">
      <c r="A130" s="27"/>
      <c r="B130" s="41" t="s">
        <v>313</v>
      </c>
    </row>
    <row r="131" spans="1:8" x14ac:dyDescent="0.45">
      <c r="A131" s="27"/>
      <c r="B131" s="39" t="s">
        <v>314</v>
      </c>
      <c r="C131" s="39" t="s">
        <v>298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315</v>
      </c>
    </row>
    <row r="132" spans="1:8" x14ac:dyDescent="0.45">
      <c r="A132" s="27"/>
      <c r="B132" s="39" t="s">
        <v>316</v>
      </c>
      <c r="C132" s="39" t="s">
        <v>158</v>
      </c>
      <c r="D132" s="39"/>
      <c r="E132" s="39"/>
      <c r="F132" s="39">
        <v>2027</v>
      </c>
      <c r="G132" s="39">
        <v>2027</v>
      </c>
      <c r="H132" s="39" t="s">
        <v>317</v>
      </c>
    </row>
    <row r="133" spans="1:8" x14ac:dyDescent="0.45">
      <c r="A133" s="27"/>
      <c r="B133" s="39" t="s">
        <v>318</v>
      </c>
      <c r="C133" s="39" t="s">
        <v>158</v>
      </c>
      <c r="D133" s="39"/>
      <c r="E133" s="39"/>
      <c r="F133" s="39">
        <v>5</v>
      </c>
      <c r="G133" s="39">
        <v>5</v>
      </c>
      <c r="H133" s="39" t="s">
        <v>319</v>
      </c>
    </row>
    <row r="134" spans="1:8" x14ac:dyDescent="0.45">
      <c r="A134" s="27"/>
      <c r="B134" s="39" t="s">
        <v>320</v>
      </c>
      <c r="C134" s="39" t="s">
        <v>87</v>
      </c>
      <c r="D134" s="39"/>
      <c r="E134" s="39"/>
      <c r="F134" s="39">
        <v>1</v>
      </c>
      <c r="G134" s="39">
        <v>1</v>
      </c>
      <c r="H134" s="39" t="s">
        <v>321</v>
      </c>
    </row>
    <row r="135" spans="1:8" x14ac:dyDescent="0.45">
      <c r="A135" s="27"/>
      <c r="B135" s="39" t="s">
        <v>322</v>
      </c>
      <c r="C135" s="39" t="s">
        <v>307</v>
      </c>
      <c r="D135" s="39"/>
      <c r="E135" s="39"/>
      <c r="F135" s="39" t="s">
        <v>247</v>
      </c>
      <c r="G135" s="39" t="s">
        <v>247</v>
      </c>
      <c r="H135" s="39" t="s">
        <v>323</v>
      </c>
    </row>
    <row r="136" spans="1:8" x14ac:dyDescent="0.45">
      <c r="A136" s="27"/>
      <c r="B136" s="39" t="s">
        <v>324</v>
      </c>
      <c r="C136" s="39" t="s">
        <v>158</v>
      </c>
      <c r="D136" s="39"/>
      <c r="E136" s="39"/>
      <c r="F136" s="39">
        <v>5</v>
      </c>
      <c r="G136" s="39">
        <v>5</v>
      </c>
      <c r="H136" s="39" t="s">
        <v>325</v>
      </c>
    </row>
    <row r="137" spans="1:8" x14ac:dyDescent="0.45">
      <c r="A137" s="27"/>
      <c r="B137" s="39" t="s">
        <v>326</v>
      </c>
      <c r="C137" s="39" t="s">
        <v>87</v>
      </c>
      <c r="D137" s="39"/>
      <c r="E137" s="39"/>
      <c r="F137" s="39">
        <v>0</v>
      </c>
      <c r="G137" s="39">
        <v>0</v>
      </c>
      <c r="H137" s="39" t="s">
        <v>327</v>
      </c>
    </row>
    <row r="138" spans="1:8" x14ac:dyDescent="0.45">
      <c r="A138" s="27"/>
      <c r="B138" s="39" t="s">
        <v>328</v>
      </c>
      <c r="C138" s="39" t="s">
        <v>329</v>
      </c>
      <c r="D138" s="39"/>
      <c r="E138" s="39"/>
      <c r="F138" s="39" t="s">
        <v>330</v>
      </c>
      <c r="G138" s="39" t="s">
        <v>330</v>
      </c>
      <c r="H138" s="39" t="s">
        <v>331</v>
      </c>
    </row>
    <row r="139" spans="1:8" x14ac:dyDescent="0.45">
      <c r="B139" s="41" t="s">
        <v>332</v>
      </c>
    </row>
    <row r="140" spans="1:8" x14ac:dyDescent="0.45">
      <c r="B140" s="39" t="s">
        <v>333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334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335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336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337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338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339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340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341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342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343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344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345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346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347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348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349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350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351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352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353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354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355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356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357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358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359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360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361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362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363</v>
      </c>
      <c r="C170" s="40"/>
      <c r="D170" s="39"/>
      <c r="E170" s="39"/>
      <c r="F170" s="39" t="s">
        <v>54</v>
      </c>
      <c r="G170" s="39" t="s">
        <v>54</v>
      </c>
      <c r="H170" s="40"/>
    </row>
    <row r="171" spans="2:8" x14ac:dyDescent="0.45">
      <c r="B171" s="39" t="s">
        <v>364</v>
      </c>
      <c r="C171" s="40"/>
      <c r="D171" s="39"/>
      <c r="E171" s="39"/>
      <c r="F171" s="39" t="s">
        <v>54</v>
      </c>
      <c r="G171" s="39" t="s">
        <v>54</v>
      </c>
      <c r="H171" s="40"/>
    </row>
    <row r="172" spans="2:8" x14ac:dyDescent="0.45">
      <c r="B172" s="39" t="s">
        <v>365</v>
      </c>
      <c r="C172" s="40"/>
      <c r="D172" s="39"/>
      <c r="E172" s="39"/>
      <c r="F172" s="39" t="s">
        <v>54</v>
      </c>
      <c r="G172" s="39" t="s">
        <v>54</v>
      </c>
      <c r="H172" s="40"/>
    </row>
    <row r="173" spans="2:8" x14ac:dyDescent="0.45">
      <c r="B173" s="39" t="s">
        <v>366</v>
      </c>
      <c r="C173" s="40"/>
      <c r="D173" s="39"/>
      <c r="E173" s="39"/>
      <c r="F173" s="39" t="s">
        <v>54</v>
      </c>
      <c r="G173" s="39" t="s">
        <v>54</v>
      </c>
      <c r="H173" s="40"/>
    </row>
    <row r="174" spans="2:8" x14ac:dyDescent="0.45">
      <c r="B174" s="39" t="s">
        <v>367</v>
      </c>
      <c r="C174" s="40"/>
      <c r="D174" s="39"/>
      <c r="E174" s="39"/>
      <c r="F174" s="39" t="s">
        <v>54</v>
      </c>
      <c r="G174" s="39" t="s">
        <v>54</v>
      </c>
      <c r="H174" s="40"/>
    </row>
    <row r="175" spans="2:8" x14ac:dyDescent="0.45">
      <c r="B175" s="39" t="s">
        <v>368</v>
      </c>
      <c r="C175" s="40"/>
      <c r="D175" s="39"/>
      <c r="E175" s="39"/>
      <c r="F175" s="39" t="s">
        <v>54</v>
      </c>
      <c r="G175" s="39" t="s">
        <v>54</v>
      </c>
      <c r="H175" s="40"/>
    </row>
    <row r="176" spans="2:8" x14ac:dyDescent="0.45">
      <c r="B176" s="39" t="s">
        <v>369</v>
      </c>
      <c r="C176" s="40"/>
      <c r="D176" s="39"/>
      <c r="E176" s="39"/>
      <c r="F176" s="39" t="s">
        <v>74</v>
      </c>
      <c r="G176" s="39" t="s">
        <v>74</v>
      </c>
      <c r="H176" s="40"/>
    </row>
    <row r="177" spans="1:8" x14ac:dyDescent="0.45">
      <c r="B177" s="39" t="s">
        <v>370</v>
      </c>
      <c r="C177" s="40"/>
      <c r="D177" s="39"/>
      <c r="E177" s="39"/>
      <c r="F177" s="39" t="s">
        <v>74</v>
      </c>
      <c r="G177" s="39" t="s">
        <v>74</v>
      </c>
      <c r="H177" s="40"/>
    </row>
    <row r="178" spans="1:8" x14ac:dyDescent="0.45">
      <c r="B178" s="39" t="s">
        <v>371</v>
      </c>
      <c r="C178" s="40"/>
      <c r="D178" s="39"/>
      <c r="E178" s="39"/>
      <c r="F178" s="39" t="s">
        <v>60</v>
      </c>
      <c r="G178" s="39" t="s">
        <v>60</v>
      </c>
      <c r="H178" s="40"/>
    </row>
    <row r="179" spans="1:8" x14ac:dyDescent="0.45">
      <c r="B179" s="39" t="s">
        <v>372</v>
      </c>
      <c r="C179" s="40"/>
      <c r="D179" s="39"/>
      <c r="E179" s="39"/>
      <c r="F179" s="39" t="s">
        <v>60</v>
      </c>
      <c r="G179" s="39" t="s">
        <v>60</v>
      </c>
      <c r="H179" s="40"/>
    </row>
    <row r="180" spans="1:8" x14ac:dyDescent="0.45">
      <c r="B180" s="39" t="s">
        <v>373</v>
      </c>
      <c r="C180" s="40"/>
      <c r="D180" s="39"/>
      <c r="E180" s="39"/>
      <c r="F180" s="39" t="s">
        <v>60</v>
      </c>
      <c r="G180" s="39" t="s">
        <v>60</v>
      </c>
      <c r="H180" s="40"/>
    </row>
    <row r="181" spans="1:8" x14ac:dyDescent="0.45">
      <c r="B181" s="39" t="s">
        <v>374</v>
      </c>
      <c r="C181" s="40"/>
      <c r="D181" s="39"/>
      <c r="E181" s="39"/>
      <c r="F181" s="39" t="s">
        <v>60</v>
      </c>
      <c r="G181" s="39" t="s">
        <v>60</v>
      </c>
      <c r="H181" s="40"/>
    </row>
    <row r="182" spans="1:8" x14ac:dyDescent="0.45">
      <c r="B182" s="39" t="s">
        <v>375</v>
      </c>
      <c r="C182" s="40"/>
      <c r="D182" s="39"/>
      <c r="E182" s="39"/>
      <c r="F182" s="39" t="s">
        <v>376</v>
      </c>
      <c r="G182" s="39" t="s">
        <v>60</v>
      </c>
      <c r="H182" s="40"/>
    </row>
    <row r="183" spans="1:8" x14ac:dyDescent="0.45">
      <c r="B183" s="39" t="s">
        <v>377</v>
      </c>
      <c r="C183" s="40"/>
      <c r="D183" s="39"/>
      <c r="E183" s="39"/>
      <c r="F183" s="39" t="s">
        <v>54</v>
      </c>
      <c r="G183" s="39" t="s">
        <v>60</v>
      </c>
      <c r="H183" s="40"/>
    </row>
    <row r="184" spans="1:8" x14ac:dyDescent="0.45">
      <c r="A184" s="27"/>
      <c r="B184" s="41" t="s">
        <v>378</v>
      </c>
    </row>
    <row r="185" spans="1:8" x14ac:dyDescent="0.45">
      <c r="A185" s="27"/>
      <c r="B185" s="39" t="s">
        <v>379</v>
      </c>
      <c r="C185" s="39" t="s">
        <v>144</v>
      </c>
      <c r="D185" s="39"/>
      <c r="E185" s="39"/>
      <c r="F185" s="39" t="s">
        <v>247</v>
      </c>
      <c r="G185" s="39" t="s">
        <v>247</v>
      </c>
      <c r="H185" s="39" t="s">
        <v>380</v>
      </c>
    </row>
    <row r="186" spans="1:8" x14ac:dyDescent="0.45">
      <c r="A186" s="27"/>
      <c r="B186" s="39" t="s">
        <v>381</v>
      </c>
      <c r="C186" s="39" t="s">
        <v>158</v>
      </c>
      <c r="D186" s="39"/>
      <c r="E186" s="39"/>
      <c r="F186" s="39">
        <v>2027</v>
      </c>
      <c r="G186" s="39">
        <v>2027</v>
      </c>
      <c r="H186" s="39" t="s">
        <v>382</v>
      </c>
    </row>
    <row r="187" spans="1:8" x14ac:dyDescent="0.45">
      <c r="A187" s="27"/>
      <c r="B187" s="39" t="s">
        <v>383</v>
      </c>
      <c r="C187" s="39" t="s">
        <v>384</v>
      </c>
      <c r="D187" s="39"/>
      <c r="E187" s="39"/>
      <c r="F187" s="39">
        <v>0</v>
      </c>
      <c r="G187" s="39">
        <v>0</v>
      </c>
      <c r="H187" s="39" t="s">
        <v>385</v>
      </c>
    </row>
    <row r="188" spans="1:8" x14ac:dyDescent="0.45">
      <c r="A188" s="27"/>
      <c r="B188" s="39" t="s">
        <v>386</v>
      </c>
      <c r="C188" s="39" t="s">
        <v>384</v>
      </c>
      <c r="D188" s="39"/>
      <c r="E188" s="39"/>
      <c r="F188" s="39">
        <v>0</v>
      </c>
      <c r="G188" s="39">
        <v>0</v>
      </c>
      <c r="H188" s="39" t="s">
        <v>387</v>
      </c>
    </row>
    <row r="189" spans="1:8" x14ac:dyDescent="0.45">
      <c r="A189" s="27"/>
      <c r="B189" s="39" t="s">
        <v>388</v>
      </c>
      <c r="C189" s="39" t="s">
        <v>158</v>
      </c>
      <c r="D189" s="39"/>
      <c r="E189" s="39"/>
      <c r="F189" s="39">
        <v>2030</v>
      </c>
      <c r="G189" s="39">
        <v>2030</v>
      </c>
      <c r="H189" s="39" t="s">
        <v>389</v>
      </c>
    </row>
    <row r="190" spans="1:8" x14ac:dyDescent="0.45">
      <c r="A190" s="27"/>
      <c r="B190" s="41" t="s">
        <v>390</v>
      </c>
    </row>
    <row r="191" spans="1:8" x14ac:dyDescent="0.45">
      <c r="A191" s="27"/>
      <c r="B191" s="39" t="s">
        <v>391</v>
      </c>
      <c r="C191" s="39" t="s">
        <v>144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392</v>
      </c>
    </row>
    <row r="192" spans="1:8" x14ac:dyDescent="0.45">
      <c r="A192" s="27"/>
      <c r="B192" s="39" t="s">
        <v>393</v>
      </c>
      <c r="C192" s="39" t="s">
        <v>158</v>
      </c>
      <c r="D192" s="39"/>
      <c r="E192" s="39"/>
      <c r="F192" s="39">
        <v>2027</v>
      </c>
      <c r="G192" s="39">
        <v>2027</v>
      </c>
      <c r="H192" s="39" t="s">
        <v>394</v>
      </c>
    </row>
    <row r="193" spans="1:8" x14ac:dyDescent="0.45">
      <c r="A193" s="27"/>
      <c r="B193" s="39" t="s">
        <v>395</v>
      </c>
      <c r="C193" s="39" t="s">
        <v>158</v>
      </c>
      <c r="D193" s="39"/>
      <c r="E193" s="39"/>
      <c r="F193" s="39">
        <v>5</v>
      </c>
      <c r="G193" s="39">
        <v>5</v>
      </c>
      <c r="H193" s="39" t="s">
        <v>396</v>
      </c>
    </row>
    <row r="194" spans="1:8" x14ac:dyDescent="0.45">
      <c r="A194" s="27"/>
      <c r="B194" s="39" t="s">
        <v>397</v>
      </c>
      <c r="C194" s="39" t="s">
        <v>144</v>
      </c>
      <c r="D194" s="39"/>
      <c r="E194" s="39"/>
      <c r="F194" s="39" t="s">
        <v>398</v>
      </c>
      <c r="G194" s="39" t="s">
        <v>398</v>
      </c>
      <c r="H194" s="39" t="s">
        <v>399</v>
      </c>
    </row>
    <row r="195" spans="1:8" x14ac:dyDescent="0.45">
      <c r="A195" s="27"/>
      <c r="B195" s="39" t="s">
        <v>400</v>
      </c>
      <c r="C195" s="39" t="s">
        <v>144</v>
      </c>
      <c r="D195" s="39"/>
      <c r="E195" s="39"/>
      <c r="F195" s="39" t="s">
        <v>247</v>
      </c>
      <c r="G195" s="39" t="s">
        <v>247</v>
      </c>
      <c r="H195" s="39" t="s">
        <v>401</v>
      </c>
    </row>
    <row r="196" spans="1:8" x14ac:dyDescent="0.45">
      <c r="A196" s="27"/>
      <c r="B196" s="41" t="s">
        <v>402</v>
      </c>
    </row>
    <row r="197" spans="1:8" x14ac:dyDescent="0.45">
      <c r="A197" s="27"/>
      <c r="B197" s="39" t="s">
        <v>403</v>
      </c>
      <c r="C197" s="39" t="s">
        <v>404</v>
      </c>
      <c r="D197" s="39"/>
      <c r="E197" s="39"/>
      <c r="F197" s="39">
        <v>30</v>
      </c>
      <c r="G197" s="39">
        <v>30</v>
      </c>
      <c r="H197" s="39" t="s">
        <v>405</v>
      </c>
    </row>
    <row r="198" spans="1:8" x14ac:dyDescent="0.45">
      <c r="A198" s="27"/>
      <c r="B198" s="39" t="s">
        <v>406</v>
      </c>
      <c r="C198" s="39" t="s">
        <v>404</v>
      </c>
      <c r="D198" s="39"/>
      <c r="E198" s="39"/>
      <c r="F198" s="39">
        <v>0</v>
      </c>
      <c r="G198" s="39">
        <v>0</v>
      </c>
      <c r="H198" s="39" t="s">
        <v>407</v>
      </c>
    </row>
    <row r="199" spans="1:8" x14ac:dyDescent="0.45">
      <c r="A199" s="27"/>
      <c r="B199" s="39" t="s">
        <v>408</v>
      </c>
      <c r="C199" s="39" t="s">
        <v>404</v>
      </c>
      <c r="D199" s="39"/>
      <c r="E199" s="39"/>
      <c r="F199" s="39">
        <v>50</v>
      </c>
      <c r="G199" s="39">
        <v>50</v>
      </c>
      <c r="H199" s="39" t="s">
        <v>409</v>
      </c>
    </row>
    <row r="200" spans="1:8" x14ac:dyDescent="0.45">
      <c r="A200" s="27"/>
      <c r="B200" s="39" t="s">
        <v>410</v>
      </c>
      <c r="C200" s="39" t="s">
        <v>404</v>
      </c>
      <c r="D200" s="39"/>
      <c r="E200" s="39"/>
      <c r="F200" s="39">
        <v>0</v>
      </c>
      <c r="G200" s="39">
        <v>0</v>
      </c>
      <c r="H200" s="39" t="s">
        <v>411</v>
      </c>
    </row>
    <row r="201" spans="1:8" x14ac:dyDescent="0.45">
      <c r="A201" s="27"/>
      <c r="B201" s="39" t="s">
        <v>412</v>
      </c>
      <c r="C201" s="39" t="s">
        <v>404</v>
      </c>
      <c r="D201" s="39"/>
      <c r="E201" s="39"/>
      <c r="F201" s="39">
        <v>20</v>
      </c>
      <c r="G201" s="39">
        <v>20</v>
      </c>
      <c r="H201" s="39" t="s">
        <v>413</v>
      </c>
    </row>
    <row r="202" spans="1:8" x14ac:dyDescent="0.45">
      <c r="A202" s="27"/>
      <c r="B202" s="41" t="s">
        <v>414</v>
      </c>
    </row>
    <row r="203" spans="1:8" x14ac:dyDescent="0.45">
      <c r="A203" s="27"/>
      <c r="B203" s="39" t="s">
        <v>415</v>
      </c>
      <c r="C203" s="39" t="s">
        <v>416</v>
      </c>
      <c r="D203" s="39"/>
      <c r="E203" s="39"/>
      <c r="F203" s="39">
        <v>40</v>
      </c>
      <c r="G203" s="39">
        <v>40</v>
      </c>
      <c r="H203" s="39" t="s">
        <v>417</v>
      </c>
    </row>
    <row r="204" spans="1:8" x14ac:dyDescent="0.45">
      <c r="A204" s="27"/>
      <c r="B204" s="39" t="s">
        <v>418</v>
      </c>
      <c r="C204" s="39" t="s">
        <v>419</v>
      </c>
      <c r="D204" s="39"/>
      <c r="E204" s="39"/>
      <c r="F204" s="39">
        <v>100</v>
      </c>
      <c r="G204" s="39">
        <v>100</v>
      </c>
      <c r="H204" s="39" t="s">
        <v>420</v>
      </c>
    </row>
    <row r="205" spans="1:8" x14ac:dyDescent="0.45">
      <c r="A205" s="27"/>
      <c r="B205" s="39" t="s">
        <v>421</v>
      </c>
      <c r="C205" s="39" t="s">
        <v>422</v>
      </c>
      <c r="D205" s="39"/>
      <c r="E205" s="39"/>
      <c r="F205" s="39">
        <v>0</v>
      </c>
      <c r="G205" s="39">
        <v>0</v>
      </c>
      <c r="H205" s="39" t="s">
        <v>423</v>
      </c>
    </row>
    <row r="206" spans="1:8" x14ac:dyDescent="0.45">
      <c r="A206" s="27"/>
      <c r="B206" s="41" t="s">
        <v>424</v>
      </c>
    </row>
    <row r="207" spans="1:8" x14ac:dyDescent="0.45">
      <c r="A207" s="27" t="s">
        <v>156</v>
      </c>
      <c r="B207" s="39" t="s">
        <v>425</v>
      </c>
      <c r="C207" s="39" t="s">
        <v>144</v>
      </c>
      <c r="D207" s="39"/>
      <c r="E207" s="39"/>
      <c r="F207" s="39" t="s">
        <v>426</v>
      </c>
      <c r="G207" s="39" t="s">
        <v>427</v>
      </c>
      <c r="H207" s="39" t="s">
        <v>428</v>
      </c>
    </row>
    <row r="208" spans="1:8" x14ac:dyDescent="0.45">
      <c r="A208" s="27"/>
      <c r="B208" s="39" t="s">
        <v>429</v>
      </c>
      <c r="C208" s="39" t="s">
        <v>144</v>
      </c>
      <c r="D208" s="39"/>
      <c r="E208" s="39"/>
      <c r="F208" s="39" t="s">
        <v>427</v>
      </c>
      <c r="G208" s="39" t="s">
        <v>427</v>
      </c>
      <c r="H208" s="39" t="s">
        <v>430</v>
      </c>
    </row>
    <row r="209" spans="1:8" x14ac:dyDescent="0.45">
      <c r="A209" s="27"/>
      <c r="B209" s="39" t="s">
        <v>431</v>
      </c>
      <c r="C209" s="39" t="s">
        <v>432</v>
      </c>
      <c r="D209" s="39"/>
      <c r="E209" s="39"/>
      <c r="F209" s="39">
        <v>0</v>
      </c>
      <c r="G209" s="39">
        <v>0</v>
      </c>
      <c r="H209" s="39" t="s">
        <v>433</v>
      </c>
    </row>
    <row r="210" spans="1:8" x14ac:dyDescent="0.45">
      <c r="A210" s="27"/>
      <c r="B210" s="39" t="s">
        <v>434</v>
      </c>
      <c r="C210" s="39" t="s">
        <v>144</v>
      </c>
      <c r="D210" s="39"/>
      <c r="E210" s="39"/>
      <c r="F210" s="39" t="s">
        <v>426</v>
      </c>
      <c r="G210" s="39" t="s">
        <v>426</v>
      </c>
      <c r="H210" s="39" t="s">
        <v>435</v>
      </c>
    </row>
    <row r="211" spans="1:8" x14ac:dyDescent="0.45">
      <c r="A211" s="27"/>
      <c r="B211" s="39" t="s">
        <v>436</v>
      </c>
      <c r="C211" s="39" t="s">
        <v>87</v>
      </c>
      <c r="D211" s="39"/>
      <c r="E211" s="39"/>
      <c r="F211" s="39">
        <v>0.9</v>
      </c>
      <c r="G211" s="39">
        <v>0.9</v>
      </c>
      <c r="H211" s="39" t="s">
        <v>437</v>
      </c>
    </row>
    <row r="212" spans="1:8" x14ac:dyDescent="0.45">
      <c r="A212" s="27"/>
      <c r="B212" s="39" t="s">
        <v>438</v>
      </c>
      <c r="C212" s="39" t="s">
        <v>158</v>
      </c>
      <c r="D212" s="39"/>
      <c r="E212" s="39"/>
      <c r="F212" s="39">
        <v>5</v>
      </c>
      <c r="G212" s="39">
        <v>5</v>
      </c>
      <c r="H212" s="39" t="s">
        <v>439</v>
      </c>
    </row>
    <row r="213" spans="1:8" x14ac:dyDescent="0.45">
      <c r="A213" s="27"/>
      <c r="B213" s="39" t="s">
        <v>440</v>
      </c>
      <c r="C213" s="39" t="s">
        <v>144</v>
      </c>
      <c r="D213" s="39"/>
      <c r="E213" s="39"/>
      <c r="F213" s="39" t="s">
        <v>427</v>
      </c>
      <c r="G213" s="39" t="s">
        <v>427</v>
      </c>
      <c r="H213" s="39" t="s">
        <v>441</v>
      </c>
    </row>
    <row r="214" spans="1:8" x14ac:dyDescent="0.45">
      <c r="A214" s="27"/>
      <c r="B214" s="39" t="s">
        <v>442</v>
      </c>
      <c r="C214" s="39" t="s">
        <v>432</v>
      </c>
      <c r="D214" s="39"/>
      <c r="E214" s="39"/>
      <c r="F214" s="39">
        <v>0</v>
      </c>
      <c r="G214" s="39">
        <v>0</v>
      </c>
      <c r="H214" s="39" t="s">
        <v>443</v>
      </c>
    </row>
    <row r="215" spans="1:8" x14ac:dyDescent="0.45">
      <c r="A215" s="27"/>
      <c r="B215" s="39" t="s">
        <v>444</v>
      </c>
      <c r="C215" s="39" t="s">
        <v>144</v>
      </c>
      <c r="D215" s="39"/>
      <c r="E215" s="39"/>
      <c r="F215" s="39" t="s">
        <v>426</v>
      </c>
      <c r="G215" s="39" t="s">
        <v>426</v>
      </c>
      <c r="H215" s="39" t="s">
        <v>445</v>
      </c>
    </row>
    <row r="216" spans="1:8" x14ac:dyDescent="0.45">
      <c r="B216" s="39" t="s">
        <v>446</v>
      </c>
      <c r="C216" s="39" t="s">
        <v>144</v>
      </c>
      <c r="D216" s="39"/>
      <c r="E216" s="39"/>
      <c r="F216" s="39" t="s">
        <v>427</v>
      </c>
      <c r="G216" s="39" t="s">
        <v>427</v>
      </c>
      <c r="H216" s="39" t="s">
        <v>447</v>
      </c>
    </row>
    <row r="217" spans="1:8" x14ac:dyDescent="0.45">
      <c r="A217" s="27"/>
      <c r="B217" s="39" t="s">
        <v>448</v>
      </c>
      <c r="C217" s="39" t="s">
        <v>144</v>
      </c>
      <c r="D217" s="39"/>
      <c r="E217" s="39"/>
      <c r="F217" s="39" t="s">
        <v>426</v>
      </c>
      <c r="G217" s="39" t="s">
        <v>426</v>
      </c>
      <c r="H217" s="39" t="s">
        <v>449</v>
      </c>
    </row>
    <row r="218" spans="1:8" x14ac:dyDescent="0.45">
      <c r="A218" s="27"/>
      <c r="B218" s="39" t="s">
        <v>450</v>
      </c>
      <c r="C218" s="39" t="s">
        <v>144</v>
      </c>
      <c r="D218" s="39"/>
      <c r="E218" s="39"/>
      <c r="F218" s="39" t="s">
        <v>427</v>
      </c>
      <c r="G218" s="39" t="s">
        <v>427</v>
      </c>
      <c r="H218" s="39" t="s">
        <v>451</v>
      </c>
    </row>
    <row r="219" spans="1:8" x14ac:dyDescent="0.45">
      <c r="A219" s="27"/>
      <c r="B219" s="41" t="s">
        <v>452</v>
      </c>
    </row>
    <row r="220" spans="1:8" x14ac:dyDescent="0.45">
      <c r="A220" s="27" t="s">
        <v>156</v>
      </c>
      <c r="B220" s="39" t="s">
        <v>453</v>
      </c>
      <c r="C220" s="39" t="s">
        <v>144</v>
      </c>
      <c r="D220" s="39"/>
      <c r="E220" s="39"/>
      <c r="F220" s="39" t="s">
        <v>454</v>
      </c>
      <c r="G220" s="39" t="s">
        <v>455</v>
      </c>
      <c r="H220" s="39" t="s">
        <v>456</v>
      </c>
    </row>
    <row r="221" spans="1:8" x14ac:dyDescent="0.45">
      <c r="A221" s="27"/>
      <c r="B221" s="39" t="s">
        <v>457</v>
      </c>
      <c r="C221" s="39" t="s">
        <v>144</v>
      </c>
      <c r="D221" s="39"/>
      <c r="E221" s="39"/>
      <c r="F221" s="39" t="s">
        <v>458</v>
      </c>
      <c r="G221" s="39" t="s">
        <v>458</v>
      </c>
      <c r="H221" s="39" t="s">
        <v>459</v>
      </c>
    </row>
    <row r="222" spans="1:8" x14ac:dyDescent="0.45">
      <c r="A222" s="27"/>
      <c r="B222" s="39" t="s">
        <v>460</v>
      </c>
      <c r="C222" s="39" t="s">
        <v>144</v>
      </c>
      <c r="D222" s="39"/>
      <c r="E222" s="39"/>
      <c r="F222" s="39" t="s">
        <v>461</v>
      </c>
      <c r="G222" s="39" t="s">
        <v>461</v>
      </c>
      <c r="H222" s="39" t="s">
        <v>462</v>
      </c>
    </row>
    <row r="223" spans="1:8" x14ac:dyDescent="0.45">
      <c r="A223" s="27"/>
      <c r="B223" s="39" t="s">
        <v>463</v>
      </c>
      <c r="C223" s="39" t="s">
        <v>144</v>
      </c>
      <c r="D223" s="39"/>
      <c r="E223" s="39"/>
      <c r="F223" s="39" t="s">
        <v>464</v>
      </c>
      <c r="G223" s="39" t="s">
        <v>464</v>
      </c>
      <c r="H223" s="39" t="s">
        <v>465</v>
      </c>
    </row>
    <row r="224" spans="1:8" x14ac:dyDescent="0.45">
      <c r="A224" s="27"/>
      <c r="B224" s="39" t="s">
        <v>466</v>
      </c>
      <c r="C224" s="39" t="s">
        <v>144</v>
      </c>
      <c r="D224" s="39"/>
      <c r="E224" s="39"/>
      <c r="F224" s="39" t="s">
        <v>464</v>
      </c>
      <c r="G224" s="39" t="s">
        <v>464</v>
      </c>
      <c r="H224" s="39" t="s">
        <v>467</v>
      </c>
    </row>
    <row r="225" spans="1:8" x14ac:dyDescent="0.45">
      <c r="A225" s="27"/>
      <c r="B225" s="39" t="s">
        <v>468</v>
      </c>
      <c r="C225" s="39" t="s">
        <v>144</v>
      </c>
      <c r="D225" s="39"/>
      <c r="E225" s="39"/>
      <c r="F225" s="39" t="s">
        <v>469</v>
      </c>
      <c r="G225" s="39" t="s">
        <v>469</v>
      </c>
      <c r="H225" s="39" t="s">
        <v>470</v>
      </c>
    </row>
    <row r="226" spans="1:8" x14ac:dyDescent="0.45">
      <c r="A226" s="27"/>
      <c r="B226" s="39" t="s">
        <v>471</v>
      </c>
      <c r="C226" s="39" t="s">
        <v>144</v>
      </c>
      <c r="D226" s="39"/>
      <c r="E226" s="39"/>
      <c r="F226" s="39" t="s">
        <v>472</v>
      </c>
      <c r="G226" s="39" t="s">
        <v>472</v>
      </c>
      <c r="H226" s="39" t="s">
        <v>473</v>
      </c>
    </row>
    <row r="227" spans="1:8" x14ac:dyDescent="0.45">
      <c r="A227" s="27"/>
      <c r="B227" s="39" t="s">
        <v>474</v>
      </c>
      <c r="C227" s="39" t="s">
        <v>144</v>
      </c>
      <c r="D227" s="39"/>
      <c r="E227" s="39"/>
      <c r="F227" s="39" t="s">
        <v>475</v>
      </c>
      <c r="G227" s="39" t="s">
        <v>475</v>
      </c>
      <c r="H227" s="39" t="s">
        <v>476</v>
      </c>
    </row>
    <row r="228" spans="1:8" x14ac:dyDescent="0.45">
      <c r="A228" s="27"/>
      <c r="B228" s="39" t="s">
        <v>477</v>
      </c>
      <c r="C228" s="39" t="s">
        <v>144</v>
      </c>
      <c r="D228" s="39"/>
      <c r="E228" s="39"/>
      <c r="F228" s="39" t="s">
        <v>478</v>
      </c>
      <c r="G228" s="39" t="s">
        <v>478</v>
      </c>
      <c r="H228" s="39" t="s">
        <v>479</v>
      </c>
    </row>
    <row r="229" spans="1:8" x14ac:dyDescent="0.45">
      <c r="A229" s="27"/>
      <c r="B229" s="39" t="s">
        <v>480</v>
      </c>
      <c r="C229" s="39" t="s">
        <v>144</v>
      </c>
      <c r="D229" s="39"/>
      <c r="E229" s="39"/>
      <c r="F229" s="39" t="s">
        <v>481</v>
      </c>
      <c r="G229" s="39" t="s">
        <v>481</v>
      </c>
      <c r="H229" s="39" t="s">
        <v>482</v>
      </c>
    </row>
    <row r="230" spans="1:8" x14ac:dyDescent="0.45">
      <c r="A230" s="27"/>
      <c r="B230" s="39" t="s">
        <v>483</v>
      </c>
      <c r="C230" s="39" t="s">
        <v>144</v>
      </c>
      <c r="D230" s="39"/>
      <c r="E230" s="39"/>
      <c r="F230" s="39" t="s">
        <v>484</v>
      </c>
      <c r="G230" s="39" t="s">
        <v>484</v>
      </c>
      <c r="H230" s="39" t="s">
        <v>485</v>
      </c>
    </row>
    <row r="231" spans="1:8" x14ac:dyDescent="0.45">
      <c r="A231" s="27"/>
      <c r="B231" s="41" t="s">
        <v>486</v>
      </c>
    </row>
    <row r="232" spans="1:8" x14ac:dyDescent="0.45">
      <c r="A232" s="27"/>
      <c r="B232" s="39" t="s">
        <v>487</v>
      </c>
      <c r="C232" s="39" t="s">
        <v>158</v>
      </c>
      <c r="D232" s="39"/>
      <c r="E232" s="39"/>
      <c r="F232" s="39">
        <v>2022</v>
      </c>
      <c r="G232" s="39">
        <v>2022</v>
      </c>
      <c r="H232" s="39" t="s">
        <v>488</v>
      </c>
    </row>
    <row r="233" spans="1:8" x14ac:dyDescent="0.45">
      <c r="A233" s="27"/>
      <c r="B233" s="39" t="s">
        <v>489</v>
      </c>
      <c r="C233" s="39" t="s">
        <v>158</v>
      </c>
      <c r="D233" s="39"/>
      <c r="E233" s="39"/>
      <c r="F233" s="39">
        <v>2026</v>
      </c>
      <c r="G233" s="39">
        <v>2026</v>
      </c>
      <c r="H233" s="39" t="s">
        <v>490</v>
      </c>
    </row>
    <row r="234" spans="1:8" x14ac:dyDescent="0.45">
      <c r="A234" s="27"/>
      <c r="B234" s="39" t="s">
        <v>491</v>
      </c>
      <c r="C234" s="39" t="s">
        <v>158</v>
      </c>
      <c r="D234" s="39"/>
      <c r="E234" s="39"/>
      <c r="F234" s="39" t="s">
        <v>492</v>
      </c>
      <c r="G234" s="39" t="s">
        <v>492</v>
      </c>
      <c r="H234" s="39" t="s">
        <v>493</v>
      </c>
    </row>
    <row r="235" spans="1:8" x14ac:dyDescent="0.45">
      <c r="A235" s="27"/>
      <c r="B235" s="39" t="s">
        <v>494</v>
      </c>
      <c r="C235" s="39" t="s">
        <v>158</v>
      </c>
      <c r="D235" s="39"/>
      <c r="E235" s="39"/>
      <c r="F235" s="39">
        <v>2026</v>
      </c>
      <c r="G235" s="39">
        <v>2026</v>
      </c>
      <c r="H235" s="39" t="s">
        <v>495</v>
      </c>
    </row>
    <row r="236" spans="1:8" x14ac:dyDescent="0.45">
      <c r="A236" s="27" t="s">
        <v>156</v>
      </c>
      <c r="B236" s="39" t="s">
        <v>496</v>
      </c>
      <c r="C236" s="39" t="s">
        <v>158</v>
      </c>
      <c r="D236" s="39"/>
      <c r="E236" s="39"/>
      <c r="F236" s="39">
        <v>2025</v>
      </c>
      <c r="G236" s="39">
        <v>2024</v>
      </c>
      <c r="H236" s="39" t="s">
        <v>497</v>
      </c>
    </row>
    <row r="237" spans="1:8" x14ac:dyDescent="0.45">
      <c r="A237" s="27"/>
      <c r="B237" s="39" t="s">
        <v>498</v>
      </c>
      <c r="C237" s="39" t="s">
        <v>144</v>
      </c>
      <c r="D237" s="39"/>
      <c r="E237" s="39"/>
      <c r="F237" s="39" t="s">
        <v>427</v>
      </c>
      <c r="G237" s="39" t="s">
        <v>427</v>
      </c>
      <c r="H237" s="39" t="s">
        <v>499</v>
      </c>
    </row>
    <row r="238" spans="1:8" x14ac:dyDescent="0.45">
      <c r="A238" s="27"/>
      <c r="B238" s="39" t="s">
        <v>500</v>
      </c>
      <c r="C238" s="39" t="s">
        <v>144</v>
      </c>
      <c r="D238" s="39"/>
      <c r="E238" s="39"/>
      <c r="F238" s="39" t="s">
        <v>427</v>
      </c>
      <c r="G238" s="39" t="s">
        <v>427</v>
      </c>
      <c r="H238" s="39" t="s">
        <v>501</v>
      </c>
    </row>
    <row r="239" spans="1:8" x14ac:dyDescent="0.45">
      <c r="A239" s="27"/>
      <c r="B239" s="39" t="s">
        <v>502</v>
      </c>
      <c r="C239" s="39" t="s">
        <v>144</v>
      </c>
      <c r="D239" s="39"/>
      <c r="E239" s="39"/>
      <c r="F239" s="39" t="s">
        <v>427</v>
      </c>
      <c r="G239" s="39" t="s">
        <v>427</v>
      </c>
      <c r="H239" s="39" t="s">
        <v>503</v>
      </c>
    </row>
    <row r="240" spans="1:8" x14ac:dyDescent="0.45">
      <c r="A240" s="27"/>
      <c r="B240" s="39" t="s">
        <v>504</v>
      </c>
      <c r="C240" s="39" t="s">
        <v>87</v>
      </c>
      <c r="D240" s="39"/>
      <c r="E240" s="39"/>
      <c r="F240" s="39">
        <v>2.5000000000000001E-2</v>
      </c>
      <c r="G240" s="39">
        <v>2.5000000000000001E-2</v>
      </c>
      <c r="H240" s="39" t="s">
        <v>505</v>
      </c>
    </row>
    <row r="241" spans="1:8" x14ac:dyDescent="0.45">
      <c r="A241" s="27"/>
      <c r="B241" s="41" t="s">
        <v>506</v>
      </c>
    </row>
    <row r="242" spans="1:8" x14ac:dyDescent="0.45">
      <c r="A242" s="27"/>
      <c r="B242" s="39" t="s">
        <v>507</v>
      </c>
      <c r="C242" s="40"/>
      <c r="D242" s="39"/>
      <c r="E242" s="39"/>
      <c r="F242" s="39">
        <v>0</v>
      </c>
      <c r="G242" s="39">
        <v>0</v>
      </c>
      <c r="H242" s="39" t="s">
        <v>508</v>
      </c>
    </row>
    <row r="243" spans="1:8" x14ac:dyDescent="0.45">
      <c r="A243" s="27"/>
      <c r="B243" s="39" t="s">
        <v>509</v>
      </c>
      <c r="C243" s="40"/>
      <c r="D243" s="39"/>
      <c r="E243" s="39"/>
      <c r="F243" s="39">
        <v>0</v>
      </c>
      <c r="G243" s="39">
        <v>0</v>
      </c>
      <c r="H243" s="39" t="s">
        <v>510</v>
      </c>
    </row>
    <row r="244" spans="1:8" x14ac:dyDescent="0.45">
      <c r="A244" s="27"/>
      <c r="B244" s="39" t="s">
        <v>235</v>
      </c>
      <c r="C244" s="40"/>
      <c r="D244" s="39"/>
      <c r="E244" s="39"/>
      <c r="F244" s="39">
        <v>0</v>
      </c>
      <c r="G244" s="39">
        <v>0</v>
      </c>
      <c r="H244" s="39" t="s">
        <v>511</v>
      </c>
    </row>
    <row r="245" spans="1:8" x14ac:dyDescent="0.45">
      <c r="A245" s="27"/>
      <c r="B245" s="42" t="s">
        <v>512</v>
      </c>
      <c r="C245" s="43"/>
      <c r="D245" s="42"/>
      <c r="E245" s="42"/>
      <c r="F245" s="42">
        <v>0</v>
      </c>
      <c r="G245" s="42">
        <v>0</v>
      </c>
      <c r="H245" s="42" t="s">
        <v>513</v>
      </c>
    </row>
    <row r="246" spans="1:8" x14ac:dyDescent="0.45">
      <c r="A246" s="27"/>
      <c r="B246" s="41" t="s">
        <v>514</v>
      </c>
    </row>
    <row r="247" spans="1:8" x14ac:dyDescent="0.45">
      <c r="A247" s="27"/>
      <c r="B247" s="39" t="s">
        <v>515</v>
      </c>
      <c r="C247" s="40"/>
      <c r="D247" s="39"/>
      <c r="E247" s="39"/>
      <c r="F247" s="39">
        <v>0.7</v>
      </c>
      <c r="G247" s="39">
        <v>0.7</v>
      </c>
      <c r="H247" s="39" t="s">
        <v>516</v>
      </c>
    </row>
    <row r="248" spans="1:8" x14ac:dyDescent="0.45">
      <c r="A248" s="27"/>
      <c r="B248" s="39" t="s">
        <v>517</v>
      </c>
      <c r="C248" s="40"/>
      <c r="D248" s="39"/>
      <c r="E248" s="39"/>
      <c r="F248" s="39">
        <v>0.7</v>
      </c>
      <c r="G248" s="39">
        <v>0.7</v>
      </c>
      <c r="H248" s="39" t="s">
        <v>518</v>
      </c>
    </row>
    <row r="249" spans="1:8" x14ac:dyDescent="0.45">
      <c r="A249" s="27"/>
      <c r="B249" s="39" t="s">
        <v>519</v>
      </c>
      <c r="C249" s="40"/>
      <c r="D249" s="39"/>
      <c r="E249" s="39"/>
      <c r="F249" s="39">
        <v>0.7</v>
      </c>
      <c r="G249" s="39">
        <v>0.7</v>
      </c>
      <c r="H249" s="39" t="s">
        <v>520</v>
      </c>
    </row>
    <row r="250" spans="1:8" x14ac:dyDescent="0.45">
      <c r="A250" s="27"/>
      <c r="B250" s="39" t="s">
        <v>521</v>
      </c>
      <c r="C250" s="40"/>
      <c r="D250" s="39"/>
      <c r="E250" s="39"/>
      <c r="F250" s="39">
        <v>0.7</v>
      </c>
      <c r="G250" s="39">
        <v>0.7</v>
      </c>
      <c r="H250" s="39" t="s">
        <v>522</v>
      </c>
    </row>
    <row r="251" spans="1:8" x14ac:dyDescent="0.45">
      <c r="A251" s="27"/>
      <c r="B251" s="39" t="s">
        <v>523</v>
      </c>
      <c r="C251" s="40"/>
      <c r="D251" s="39"/>
      <c r="E251" s="39"/>
      <c r="F251" s="39">
        <v>1</v>
      </c>
      <c r="G251" s="39">
        <v>1</v>
      </c>
      <c r="H251" s="39" t="s">
        <v>524</v>
      </c>
    </row>
    <row r="252" spans="1:8" x14ac:dyDescent="0.45">
      <c r="A252" s="27"/>
      <c r="B252" s="41" t="s">
        <v>525</v>
      </c>
    </row>
    <row r="253" spans="1:8" x14ac:dyDescent="0.45">
      <c r="A253" s="27"/>
      <c r="B253" s="39" t="s">
        <v>64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526</v>
      </c>
    </row>
    <row r="254" spans="1:8" x14ac:dyDescent="0.45">
      <c r="A254" s="27"/>
      <c r="B254" s="39" t="s">
        <v>66</v>
      </c>
      <c r="C254" s="40"/>
      <c r="D254" s="39"/>
      <c r="E254" s="39"/>
      <c r="F254" s="39">
        <v>0.45</v>
      </c>
      <c r="G254" s="39">
        <v>0.45</v>
      </c>
      <c r="H254" s="39" t="s">
        <v>527</v>
      </c>
    </row>
    <row r="255" spans="1:8" x14ac:dyDescent="0.45">
      <c r="A255" s="27"/>
      <c r="B255" s="39" t="s">
        <v>71</v>
      </c>
      <c r="C255" s="40"/>
      <c r="D255" s="39"/>
      <c r="E255" s="39"/>
      <c r="F255" s="39">
        <v>0.2</v>
      </c>
      <c r="G255" s="39">
        <v>0.2</v>
      </c>
      <c r="H255" s="39" t="s">
        <v>528</v>
      </c>
    </row>
    <row r="256" spans="1:8" x14ac:dyDescent="0.45">
      <c r="A256" s="27"/>
      <c r="B256" s="39" t="s">
        <v>529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530</v>
      </c>
    </row>
    <row r="257" spans="1:8" x14ac:dyDescent="0.45">
      <c r="A257" s="27"/>
      <c r="B257" s="41" t="s">
        <v>531</v>
      </c>
    </row>
    <row r="258" spans="1:8" x14ac:dyDescent="0.45">
      <c r="A258" s="27"/>
      <c r="B258" s="39" t="s">
        <v>532</v>
      </c>
      <c r="C258" s="39" t="s">
        <v>144</v>
      </c>
      <c r="D258" s="39"/>
      <c r="E258" s="39"/>
      <c r="F258" s="39" t="s">
        <v>533</v>
      </c>
      <c r="G258" s="39" t="s">
        <v>533</v>
      </c>
      <c r="H258" s="39" t="s">
        <v>534</v>
      </c>
    </row>
    <row r="259" spans="1:8" x14ac:dyDescent="0.45">
      <c r="A259" s="27"/>
      <c r="B259" s="39" t="s">
        <v>535</v>
      </c>
      <c r="C259" s="39" t="s">
        <v>144</v>
      </c>
      <c r="D259" s="39"/>
      <c r="E259" s="39"/>
      <c r="F259" s="39" t="s">
        <v>533</v>
      </c>
      <c r="G259" s="39" t="s">
        <v>533</v>
      </c>
      <c r="H259" s="39" t="s">
        <v>536</v>
      </c>
    </row>
    <row r="260" spans="1:8" x14ac:dyDescent="0.45">
      <c r="A260" s="27"/>
      <c r="B260" s="39" t="s">
        <v>537</v>
      </c>
      <c r="C260" s="39" t="s">
        <v>144</v>
      </c>
      <c r="D260" s="39"/>
      <c r="E260" s="39"/>
      <c r="F260" s="39" t="s">
        <v>533</v>
      </c>
      <c r="G260" s="39" t="s">
        <v>533</v>
      </c>
      <c r="H260" s="39" t="s">
        <v>538</v>
      </c>
    </row>
    <row r="261" spans="1:8" x14ac:dyDescent="0.45">
      <c r="A261" s="27"/>
      <c r="B261" s="39" t="s">
        <v>539</v>
      </c>
      <c r="C261" s="39" t="s">
        <v>144</v>
      </c>
      <c r="D261" s="39"/>
      <c r="E261" s="39"/>
      <c r="F261" s="39" t="s">
        <v>533</v>
      </c>
      <c r="G261" s="39" t="s">
        <v>533</v>
      </c>
      <c r="H261" s="39" t="s">
        <v>540</v>
      </c>
    </row>
    <row r="262" spans="1:8" x14ac:dyDescent="0.45">
      <c r="A262" s="27"/>
      <c r="B262" s="39" t="s">
        <v>541</v>
      </c>
      <c r="C262" s="39" t="s">
        <v>144</v>
      </c>
      <c r="D262" s="39"/>
      <c r="E262" s="39"/>
      <c r="F262" s="39" t="s">
        <v>427</v>
      </c>
      <c r="G262" s="39" t="s">
        <v>427</v>
      </c>
      <c r="H262" s="39" t="s">
        <v>542</v>
      </c>
    </row>
    <row r="263" spans="1:8" x14ac:dyDescent="0.45">
      <c r="A263" s="27"/>
      <c r="B263" s="39" t="s">
        <v>543</v>
      </c>
      <c r="C263" s="39" t="s">
        <v>144</v>
      </c>
      <c r="D263" s="39"/>
      <c r="E263" s="39"/>
      <c r="F263" s="39" t="s">
        <v>533</v>
      </c>
      <c r="G263" s="39" t="s">
        <v>533</v>
      </c>
      <c r="H263" s="39" t="s">
        <v>544</v>
      </c>
    </row>
    <row r="264" spans="1:8" x14ac:dyDescent="0.45">
      <c r="A264" s="27"/>
      <c r="B264" s="41" t="s">
        <v>545</v>
      </c>
    </row>
    <row r="265" spans="1:8" x14ac:dyDescent="0.45">
      <c r="A265" s="27"/>
      <c r="B265" s="39" t="s">
        <v>546</v>
      </c>
      <c r="C265" s="39" t="s">
        <v>144</v>
      </c>
      <c r="D265" s="39"/>
      <c r="E265" s="39"/>
      <c r="F265" s="39" t="s">
        <v>547</v>
      </c>
      <c r="G265" s="39" t="s">
        <v>547</v>
      </c>
      <c r="H265" s="39" t="s">
        <v>548</v>
      </c>
    </row>
    <row r="266" spans="1:8" x14ac:dyDescent="0.45">
      <c r="A266" s="27"/>
      <c r="B266" s="39" t="s">
        <v>549</v>
      </c>
      <c r="C266" s="39" t="s">
        <v>144</v>
      </c>
      <c r="D266" s="39"/>
      <c r="E266" s="39"/>
      <c r="F266" s="39" t="s">
        <v>550</v>
      </c>
      <c r="G266" s="39" t="s">
        <v>550</v>
      </c>
      <c r="H266" s="39" t="s">
        <v>551</v>
      </c>
    </row>
    <row r="267" spans="1:8" x14ac:dyDescent="0.45">
      <c r="A267" s="27"/>
      <c r="B267" s="39" t="s">
        <v>552</v>
      </c>
      <c r="C267" s="39" t="s">
        <v>144</v>
      </c>
      <c r="D267" s="39"/>
      <c r="E267" s="39"/>
      <c r="F267" s="39" t="s">
        <v>427</v>
      </c>
      <c r="G267" s="39" t="s">
        <v>427</v>
      </c>
      <c r="H267" s="39" t="s">
        <v>553</v>
      </c>
    </row>
    <row r="268" spans="1:8" x14ac:dyDescent="0.45">
      <c r="A268" s="27"/>
      <c r="B268" s="39" t="s">
        <v>554</v>
      </c>
      <c r="C268" s="39" t="s">
        <v>144</v>
      </c>
      <c r="D268" s="39"/>
      <c r="E268" s="39"/>
      <c r="F268" s="39" t="s">
        <v>426</v>
      </c>
      <c r="G268" s="39" t="s">
        <v>426</v>
      </c>
      <c r="H268" s="39" t="s">
        <v>555</v>
      </c>
    </row>
    <row r="269" spans="1:8" x14ac:dyDescent="0.45">
      <c r="A269" s="27"/>
      <c r="B269" s="39" t="s">
        <v>556</v>
      </c>
      <c r="C269" s="39" t="s">
        <v>144</v>
      </c>
      <c r="D269" s="39"/>
      <c r="E269" s="39"/>
      <c r="F269" s="39" t="s">
        <v>557</v>
      </c>
      <c r="G269" s="39" t="s">
        <v>557</v>
      </c>
      <c r="H269" s="39" t="s">
        <v>558</v>
      </c>
    </row>
    <row r="270" spans="1:8" x14ac:dyDescent="0.45">
      <c r="A270" s="27"/>
      <c r="B270" s="39" t="s">
        <v>559</v>
      </c>
      <c r="C270" s="40"/>
      <c r="D270" s="39"/>
      <c r="E270" s="39"/>
      <c r="F270" s="39" t="s">
        <v>547</v>
      </c>
      <c r="G270" s="39" t="s">
        <v>547</v>
      </c>
      <c r="H270" s="39" t="s">
        <v>560</v>
      </c>
    </row>
    <row r="271" spans="1:8" x14ac:dyDescent="0.45">
      <c r="A271" s="27"/>
      <c r="B271" s="39" t="s">
        <v>561</v>
      </c>
      <c r="C271" s="40"/>
      <c r="D271" s="39"/>
      <c r="E271" s="39"/>
      <c r="F271" s="39">
        <v>0</v>
      </c>
      <c r="G271" s="39">
        <v>0</v>
      </c>
      <c r="H271" s="39" t="s">
        <v>562</v>
      </c>
    </row>
    <row r="272" spans="1:8" x14ac:dyDescent="0.45">
      <c r="A272" s="27"/>
      <c r="B272" s="41" t="s">
        <v>563</v>
      </c>
    </row>
    <row r="273" spans="1:8" x14ac:dyDescent="0.45">
      <c r="A273" s="27"/>
      <c r="B273" s="39" t="s">
        <v>564</v>
      </c>
      <c r="C273" s="39" t="s">
        <v>87</v>
      </c>
      <c r="D273" s="39"/>
      <c r="E273" s="39"/>
      <c r="F273" s="39" t="s">
        <v>565</v>
      </c>
      <c r="G273" s="39" t="s">
        <v>565</v>
      </c>
      <c r="H273" s="39" t="s">
        <v>566</v>
      </c>
    </row>
    <row r="274" spans="1:8" x14ac:dyDescent="0.45">
      <c r="A274" s="27"/>
      <c r="B274" s="39" t="s">
        <v>567</v>
      </c>
      <c r="C274" s="39" t="s">
        <v>87</v>
      </c>
      <c r="D274" s="39"/>
      <c r="E274" s="39"/>
      <c r="F274" s="39" t="s">
        <v>568</v>
      </c>
      <c r="G274" s="39" t="s">
        <v>568</v>
      </c>
      <c r="H274" s="39" t="s">
        <v>569</v>
      </c>
    </row>
    <row r="275" spans="1:8" x14ac:dyDescent="0.45">
      <c r="A275" s="27"/>
      <c r="B275" s="39" t="s">
        <v>570</v>
      </c>
      <c r="C275" s="39" t="s">
        <v>144</v>
      </c>
      <c r="D275" s="39"/>
      <c r="E275" s="39"/>
      <c r="F275" s="39" t="s">
        <v>557</v>
      </c>
      <c r="G275" s="39" t="s">
        <v>557</v>
      </c>
      <c r="H275" s="39" t="s">
        <v>571</v>
      </c>
    </row>
    <row r="276" spans="1:8" x14ac:dyDescent="0.45">
      <c r="A276" s="27"/>
      <c r="B276" s="41" t="s">
        <v>572</v>
      </c>
    </row>
    <row r="277" spans="1:8" x14ac:dyDescent="0.45">
      <c r="A277" s="27"/>
      <c r="B277" s="39" t="s">
        <v>573</v>
      </c>
      <c r="C277" s="39" t="s">
        <v>574</v>
      </c>
      <c r="D277" s="39"/>
      <c r="E277" s="39"/>
      <c r="F277" s="39">
        <v>0.04</v>
      </c>
      <c r="G277" s="39">
        <v>0.04</v>
      </c>
      <c r="H277" s="39" t="s">
        <v>575</v>
      </c>
    </row>
    <row r="278" spans="1:8" x14ac:dyDescent="0.45">
      <c r="A278" s="27"/>
      <c r="B278" s="39" t="s">
        <v>576</v>
      </c>
      <c r="C278" s="40"/>
      <c r="D278" s="39"/>
      <c r="E278" s="39"/>
      <c r="F278" s="39">
        <v>75</v>
      </c>
      <c r="G278" s="39">
        <v>75</v>
      </c>
      <c r="H278" s="39" t="s">
        <v>577</v>
      </c>
    </row>
    <row r="279" spans="1:8" x14ac:dyDescent="0.45">
      <c r="A279" s="27"/>
      <c r="B279" s="41" t="s">
        <v>578</v>
      </c>
    </row>
    <row r="280" spans="1:8" x14ac:dyDescent="0.45">
      <c r="A280" s="27"/>
      <c r="B280" s="39" t="s">
        <v>579</v>
      </c>
      <c r="C280" s="39" t="s">
        <v>144</v>
      </c>
      <c r="D280" s="39"/>
      <c r="E280" s="39"/>
      <c r="F280" s="39" t="s">
        <v>247</v>
      </c>
      <c r="G280" s="39" t="s">
        <v>247</v>
      </c>
      <c r="H280" s="39" t="s">
        <v>580</v>
      </c>
    </row>
    <row r="281" spans="1:8" x14ac:dyDescent="0.45">
      <c r="A281" s="27"/>
      <c r="B281" s="39" t="s">
        <v>581</v>
      </c>
      <c r="C281" s="39" t="s">
        <v>144</v>
      </c>
      <c r="D281" s="39"/>
      <c r="E281" s="39"/>
      <c r="F281" s="39" t="s">
        <v>247</v>
      </c>
      <c r="G281" s="39" t="s">
        <v>247</v>
      </c>
      <c r="H281" s="39" t="s">
        <v>582</v>
      </c>
    </row>
    <row r="282" spans="1:8" x14ac:dyDescent="0.45">
      <c r="A282" s="27" t="s">
        <v>156</v>
      </c>
      <c r="B282" s="39" t="s">
        <v>583</v>
      </c>
      <c r="C282" s="39" t="s">
        <v>158</v>
      </c>
      <c r="D282" s="39"/>
      <c r="E282" s="39"/>
      <c r="F282" s="39">
        <v>2025</v>
      </c>
      <c r="G282" s="39">
        <v>2030</v>
      </c>
      <c r="H282" s="39" t="s">
        <v>584</v>
      </c>
    </row>
    <row r="283" spans="1:8" x14ac:dyDescent="0.45">
      <c r="A283" s="27"/>
      <c r="B283" s="41" t="s">
        <v>585</v>
      </c>
    </row>
    <row r="284" spans="1:8" x14ac:dyDescent="0.45">
      <c r="A284" s="27"/>
      <c r="B284" s="39" t="s">
        <v>586</v>
      </c>
      <c r="C284" s="39" t="s">
        <v>144</v>
      </c>
      <c r="D284" s="39"/>
      <c r="E284" s="39"/>
      <c r="F284" s="39" t="s">
        <v>426</v>
      </c>
      <c r="G284" s="39" t="s">
        <v>426</v>
      </c>
      <c r="H284" s="39" t="s">
        <v>587</v>
      </c>
    </row>
    <row r="285" spans="1:8" x14ac:dyDescent="0.45">
      <c r="A285" s="27"/>
      <c r="B285" s="41" t="s">
        <v>588</v>
      </c>
    </row>
    <row r="286" spans="1:8" x14ac:dyDescent="0.45">
      <c r="A286" s="27"/>
      <c r="B286" s="39" t="s">
        <v>589</v>
      </c>
      <c r="C286" s="39" t="s">
        <v>144</v>
      </c>
      <c r="D286" s="39"/>
      <c r="E286" s="39"/>
      <c r="F286" s="39" t="s">
        <v>427</v>
      </c>
      <c r="G286" s="39" t="s">
        <v>427</v>
      </c>
      <c r="H286" s="39" t="s">
        <v>590</v>
      </c>
    </row>
    <row r="287" spans="1:8" x14ac:dyDescent="0.45">
      <c r="A287" s="27"/>
      <c r="B287" s="39" t="s">
        <v>591</v>
      </c>
      <c r="C287" s="39" t="s">
        <v>144</v>
      </c>
      <c r="D287" s="39"/>
      <c r="E287" s="39"/>
      <c r="F287" s="39" t="s">
        <v>427</v>
      </c>
      <c r="G287" s="39" t="s">
        <v>427</v>
      </c>
      <c r="H287" s="39" t="s">
        <v>592</v>
      </c>
    </row>
    <row r="288" spans="1:8" x14ac:dyDescent="0.45">
      <c r="A288" s="27"/>
      <c r="B288" s="39" t="s">
        <v>593</v>
      </c>
      <c r="C288" s="39" t="s">
        <v>144</v>
      </c>
      <c r="D288" s="39"/>
      <c r="E288" s="39"/>
      <c r="F288" s="39" t="s">
        <v>427</v>
      </c>
      <c r="G288" s="39" t="s">
        <v>427</v>
      </c>
      <c r="H288" s="39" t="s">
        <v>594</v>
      </c>
    </row>
    <row r="289" spans="1:8" x14ac:dyDescent="0.45">
      <c r="A289" s="27"/>
      <c r="B289" s="39" t="s">
        <v>595</v>
      </c>
      <c r="C289" s="39" t="s">
        <v>144</v>
      </c>
      <c r="D289" s="39"/>
      <c r="E289" s="39"/>
      <c r="F289" s="39" t="s">
        <v>427</v>
      </c>
      <c r="G289" s="39" t="s">
        <v>427</v>
      </c>
      <c r="H289" s="39" t="s">
        <v>596</v>
      </c>
    </row>
    <row r="290" spans="1:8" x14ac:dyDescent="0.45">
      <c r="A290" s="27"/>
      <c r="B290" s="39" t="s">
        <v>597</v>
      </c>
      <c r="C290" s="39" t="s">
        <v>144</v>
      </c>
      <c r="D290" s="39"/>
      <c r="E290" s="39"/>
      <c r="F290" s="39" t="s">
        <v>427</v>
      </c>
      <c r="G290" s="39" t="s">
        <v>427</v>
      </c>
      <c r="H290" s="39" t="s">
        <v>598</v>
      </c>
    </row>
    <row r="291" spans="1:8" x14ac:dyDescent="0.45">
      <c r="A291" s="27"/>
      <c r="B291" s="39" t="s">
        <v>599</v>
      </c>
      <c r="C291" s="39" t="s">
        <v>144</v>
      </c>
      <c r="D291" s="39"/>
      <c r="E291" s="39"/>
      <c r="F291" s="39" t="s">
        <v>427</v>
      </c>
      <c r="G291" s="39" t="s">
        <v>427</v>
      </c>
      <c r="H291" s="39" t="s">
        <v>600</v>
      </c>
    </row>
    <row r="292" spans="1:8" x14ac:dyDescent="0.45">
      <c r="A292" s="27"/>
      <c r="B292" s="39" t="s">
        <v>601</v>
      </c>
      <c r="C292" s="39" t="s">
        <v>144</v>
      </c>
      <c r="D292" s="39"/>
      <c r="E292" s="39"/>
      <c r="F292" s="39" t="s">
        <v>427</v>
      </c>
      <c r="G292" s="39" t="s">
        <v>427</v>
      </c>
      <c r="H292" s="39" t="s">
        <v>602</v>
      </c>
    </row>
    <row r="293" spans="1:8" x14ac:dyDescent="0.45">
      <c r="A293" s="27"/>
      <c r="B293" s="39" t="s">
        <v>603</v>
      </c>
      <c r="C293" s="39" t="s">
        <v>144</v>
      </c>
      <c r="D293" s="39"/>
      <c r="E293" s="39"/>
      <c r="F293" s="39" t="s">
        <v>427</v>
      </c>
      <c r="G293" s="39" t="s">
        <v>427</v>
      </c>
      <c r="H293" s="39" t="s">
        <v>604</v>
      </c>
    </row>
    <row r="294" spans="1:8" x14ac:dyDescent="0.45">
      <c r="A294" s="27"/>
      <c r="B294" s="39" t="s">
        <v>605</v>
      </c>
      <c r="C294" s="39" t="s">
        <v>144</v>
      </c>
      <c r="D294" s="39"/>
      <c r="E294" s="39"/>
      <c r="F294" s="39" t="s">
        <v>427</v>
      </c>
      <c r="G294" s="39" t="s">
        <v>427</v>
      </c>
      <c r="H294" s="39" t="s">
        <v>606</v>
      </c>
    </row>
    <row r="295" spans="1:8" x14ac:dyDescent="0.45">
      <c r="A295" s="27"/>
      <c r="B295" s="39" t="s">
        <v>607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608</v>
      </c>
      <c r="C296" s="39" t="s">
        <v>144</v>
      </c>
      <c r="D296" s="39"/>
      <c r="E296" s="39"/>
      <c r="F296" s="39" t="s">
        <v>609</v>
      </c>
      <c r="G296" s="39" t="s">
        <v>609</v>
      </c>
      <c r="H296" s="39" t="s">
        <v>610</v>
      </c>
    </row>
    <row r="297" spans="1:8" x14ac:dyDescent="0.45">
      <c r="A297" s="27"/>
      <c r="B297" s="39" t="s">
        <v>611</v>
      </c>
      <c r="C297" s="39" t="s">
        <v>144</v>
      </c>
      <c r="D297" s="39"/>
      <c r="E297" s="39"/>
      <c r="F297" s="39" t="s">
        <v>612</v>
      </c>
      <c r="G297" s="39" t="s">
        <v>612</v>
      </c>
      <c r="H297" s="39" t="s">
        <v>613</v>
      </c>
    </row>
    <row r="298" spans="1:8" x14ac:dyDescent="0.45">
      <c r="A298" s="27"/>
      <c r="B298" s="39" t="s">
        <v>614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615</v>
      </c>
    </row>
    <row r="299" spans="1:8" x14ac:dyDescent="0.45">
      <c r="A299" s="27"/>
      <c r="B299" s="39" t="s">
        <v>616</v>
      </c>
      <c r="C299" s="40"/>
      <c r="D299" s="39"/>
      <c r="E299" s="39"/>
      <c r="F299" s="39">
        <v>0.45</v>
      </c>
      <c r="G299" s="39">
        <v>0.45</v>
      </c>
      <c r="H299" s="39" t="s">
        <v>617</v>
      </c>
    </row>
    <row r="300" spans="1:8" x14ac:dyDescent="0.45">
      <c r="A300" s="27"/>
      <c r="B300" s="39" t="s">
        <v>618</v>
      </c>
      <c r="C300" s="40"/>
      <c r="D300" s="39"/>
      <c r="E300" s="39"/>
      <c r="F300" s="39">
        <v>0.2</v>
      </c>
      <c r="G300" s="39">
        <v>0.2</v>
      </c>
      <c r="H300" s="39" t="s">
        <v>619</v>
      </c>
    </row>
    <row r="301" spans="1:8" x14ac:dyDescent="0.45">
      <c r="A301" s="27"/>
      <c r="B301" s="39" t="s">
        <v>620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621</v>
      </c>
    </row>
    <row r="302" spans="1:8" x14ac:dyDescent="0.45">
      <c r="A302" s="27"/>
      <c r="B302" s="39" t="s">
        <v>622</v>
      </c>
      <c r="C302" s="39" t="s">
        <v>144</v>
      </c>
      <c r="D302" s="39"/>
      <c r="E302" s="39"/>
      <c r="F302" s="39" t="s">
        <v>426</v>
      </c>
      <c r="G302" s="39" t="s">
        <v>426</v>
      </c>
      <c r="H302" s="39" t="s">
        <v>623</v>
      </c>
    </row>
    <row r="303" spans="1:8" x14ac:dyDescent="0.45">
      <c r="A303" s="27"/>
      <c r="B303" s="41" t="s">
        <v>624</v>
      </c>
    </row>
    <row r="304" spans="1:8" x14ac:dyDescent="0.45">
      <c r="A304" s="27"/>
      <c r="B304" s="39" t="s">
        <v>625</v>
      </c>
      <c r="C304" s="39" t="s">
        <v>158</v>
      </c>
      <c r="D304" s="39"/>
      <c r="E304" s="39"/>
      <c r="F304" s="39">
        <v>2030</v>
      </c>
      <c r="G304" s="39">
        <v>2030</v>
      </c>
      <c r="H304" s="39" t="s">
        <v>626</v>
      </c>
    </row>
    <row r="305" spans="1:8" x14ac:dyDescent="0.45">
      <c r="A305" s="27"/>
      <c r="B305" s="39" t="s">
        <v>627</v>
      </c>
      <c r="C305" s="39" t="s">
        <v>144</v>
      </c>
      <c r="D305" s="39"/>
      <c r="E305" s="39"/>
      <c r="F305" s="39" t="s">
        <v>628</v>
      </c>
      <c r="G305" s="39" t="s">
        <v>628</v>
      </c>
      <c r="H305" s="39" t="s">
        <v>629</v>
      </c>
    </row>
    <row r="306" spans="1:8" x14ac:dyDescent="0.45">
      <c r="A306" s="27"/>
      <c r="B306" s="39" t="s">
        <v>630</v>
      </c>
      <c r="C306" s="39" t="s">
        <v>631</v>
      </c>
      <c r="D306" s="39"/>
      <c r="E306" s="39"/>
      <c r="F306" s="39" t="s">
        <v>247</v>
      </c>
      <c r="G306" s="39" t="s">
        <v>247</v>
      </c>
      <c r="H306" s="39" t="s">
        <v>632</v>
      </c>
    </row>
    <row r="307" spans="1:8" x14ac:dyDescent="0.45">
      <c r="A307" s="27"/>
      <c r="B307" s="39" t="s">
        <v>633</v>
      </c>
      <c r="C307" s="39" t="s">
        <v>144</v>
      </c>
      <c r="D307" s="39"/>
      <c r="E307" s="39"/>
      <c r="F307" s="39" t="s">
        <v>634</v>
      </c>
      <c r="G307" s="39" t="s">
        <v>634</v>
      </c>
      <c r="H307" s="39" t="s">
        <v>635</v>
      </c>
    </row>
    <row r="308" spans="1:8" x14ac:dyDescent="0.45">
      <c r="A308" s="27"/>
      <c r="B308" s="39" t="s">
        <v>636</v>
      </c>
      <c r="C308" s="39" t="s">
        <v>144</v>
      </c>
      <c r="D308" s="39"/>
      <c r="E308" s="39"/>
      <c r="F308" s="39" t="s">
        <v>637</v>
      </c>
      <c r="G308" s="39" t="s">
        <v>637</v>
      </c>
      <c r="H308" s="39" t="s">
        <v>638</v>
      </c>
    </row>
    <row r="309" spans="1:8" x14ac:dyDescent="0.45">
      <c r="A309" s="27"/>
      <c r="B309" s="39" t="s">
        <v>639</v>
      </c>
      <c r="C309" s="39" t="s">
        <v>144</v>
      </c>
      <c r="D309" s="39"/>
      <c r="E309" s="39"/>
      <c r="F309" s="39" t="s">
        <v>640</v>
      </c>
      <c r="G309" s="39" t="s">
        <v>640</v>
      </c>
      <c r="H309" s="39" t="s">
        <v>641</v>
      </c>
    </row>
    <row r="310" spans="1:8" x14ac:dyDescent="0.45">
      <c r="A310" s="27"/>
      <c r="B310" s="39" t="s">
        <v>642</v>
      </c>
      <c r="C310" s="39" t="s">
        <v>631</v>
      </c>
      <c r="D310" s="39"/>
      <c r="E310" s="39"/>
      <c r="F310" s="39">
        <v>4</v>
      </c>
      <c r="G310" s="39">
        <v>4</v>
      </c>
      <c r="H310" s="39" t="s">
        <v>643</v>
      </c>
    </row>
    <row r="311" spans="1:8" x14ac:dyDescent="0.45">
      <c r="A311" s="27"/>
      <c r="B311" s="39" t="s">
        <v>644</v>
      </c>
      <c r="C311" s="39" t="s">
        <v>144</v>
      </c>
      <c r="D311" s="39"/>
      <c r="E311" s="39"/>
      <c r="F311" s="39" t="s">
        <v>645</v>
      </c>
      <c r="G311" s="39" t="s">
        <v>645</v>
      </c>
      <c r="H311" s="39" t="s">
        <v>646</v>
      </c>
    </row>
    <row r="312" spans="1:8" x14ac:dyDescent="0.45">
      <c r="A312" s="27"/>
      <c r="B312" s="39" t="s">
        <v>647</v>
      </c>
      <c r="C312" s="39" t="s">
        <v>144</v>
      </c>
      <c r="D312" s="39"/>
      <c r="E312" s="39"/>
      <c r="F312" s="39" t="s">
        <v>247</v>
      </c>
      <c r="G312" s="39" t="s">
        <v>247</v>
      </c>
      <c r="H312" s="39" t="s">
        <v>648</v>
      </c>
    </row>
    <row r="313" spans="1:8" x14ac:dyDescent="0.45">
      <c r="A313" s="27"/>
      <c r="B313" s="39" t="s">
        <v>649</v>
      </c>
      <c r="C313" s="39" t="s">
        <v>144</v>
      </c>
      <c r="D313" s="39"/>
      <c r="E313" s="39"/>
      <c r="F313" s="39">
        <v>4</v>
      </c>
      <c r="G313" s="39">
        <v>4</v>
      </c>
      <c r="H313" s="39" t="s">
        <v>650</v>
      </c>
    </row>
    <row r="314" spans="1:8" x14ac:dyDescent="0.45">
      <c r="A314" s="27"/>
      <c r="B314" s="39" t="s">
        <v>651</v>
      </c>
      <c r="C314" s="39" t="s">
        <v>144</v>
      </c>
      <c r="D314" s="39"/>
      <c r="E314" s="39"/>
      <c r="F314" s="39" t="s">
        <v>247</v>
      </c>
      <c r="G314" s="39" t="s">
        <v>247</v>
      </c>
      <c r="H314" s="39" t="s">
        <v>652</v>
      </c>
    </row>
    <row r="315" spans="1:8" x14ac:dyDescent="0.45">
      <c r="A315" s="27"/>
      <c r="B315" s="39" t="s">
        <v>653</v>
      </c>
      <c r="C315" s="39" t="s">
        <v>144</v>
      </c>
      <c r="D315" s="39"/>
      <c r="E315" s="39"/>
      <c r="F315" s="39" t="s">
        <v>654</v>
      </c>
      <c r="G315" s="39" t="s">
        <v>654</v>
      </c>
      <c r="H315" s="39" t="s">
        <v>655</v>
      </c>
    </row>
    <row r="316" spans="1:8" x14ac:dyDescent="0.45">
      <c r="A316" s="27"/>
      <c r="B316" s="39" t="s">
        <v>656</v>
      </c>
      <c r="C316" s="39" t="s">
        <v>144</v>
      </c>
      <c r="D316" s="39"/>
      <c r="E316" s="39"/>
      <c r="F316" s="39" t="s">
        <v>654</v>
      </c>
      <c r="G316" s="39" t="s">
        <v>654</v>
      </c>
      <c r="H316" s="39" t="s">
        <v>657</v>
      </c>
    </row>
    <row r="317" spans="1:8" x14ac:dyDescent="0.45">
      <c r="A317" s="27"/>
      <c r="B317" s="39" t="s">
        <v>658</v>
      </c>
      <c r="C317" s="39" t="s">
        <v>144</v>
      </c>
      <c r="D317" s="39"/>
      <c r="E317" s="39"/>
      <c r="F317" s="39" t="s">
        <v>247</v>
      </c>
      <c r="G317" s="39" t="s">
        <v>247</v>
      </c>
      <c r="H317" s="39" t="s">
        <v>659</v>
      </c>
    </row>
    <row r="318" spans="1:8" x14ac:dyDescent="0.45">
      <c r="A318" s="27"/>
      <c r="B318" s="39" t="s">
        <v>660</v>
      </c>
      <c r="C318" s="39" t="s">
        <v>144</v>
      </c>
      <c r="D318" s="39"/>
      <c r="E318" s="39"/>
      <c r="F318" s="39" t="s">
        <v>247</v>
      </c>
      <c r="G318" s="39" t="s">
        <v>247</v>
      </c>
      <c r="H318" s="39" t="s">
        <v>661</v>
      </c>
    </row>
    <row r="319" spans="1:8" x14ac:dyDescent="0.45">
      <c r="A319" s="27"/>
      <c r="B319" s="39" t="s">
        <v>662</v>
      </c>
      <c r="C319" s="39" t="s">
        <v>144</v>
      </c>
      <c r="D319" s="39"/>
      <c r="E319" s="39"/>
      <c r="F319" s="39" t="s">
        <v>663</v>
      </c>
      <c r="G319" s="39" t="s">
        <v>663</v>
      </c>
      <c r="H319" s="39" t="s">
        <v>664</v>
      </c>
    </row>
    <row r="320" spans="1:8" x14ac:dyDescent="0.45">
      <c r="A320" s="27"/>
      <c r="B320" s="39" t="s">
        <v>665</v>
      </c>
      <c r="C320" s="39" t="s">
        <v>144</v>
      </c>
      <c r="D320" s="39"/>
      <c r="E320" s="39"/>
      <c r="F320" s="39" t="s">
        <v>247</v>
      </c>
      <c r="G320" s="39" t="s">
        <v>247</v>
      </c>
      <c r="H320" s="39" t="s">
        <v>666</v>
      </c>
    </row>
    <row r="321" spans="1:8" x14ac:dyDescent="0.45">
      <c r="A321" s="27"/>
      <c r="B321" s="41" t="s">
        <v>667</v>
      </c>
    </row>
    <row r="322" spans="1:8" x14ac:dyDescent="0.45">
      <c r="A322" s="27" t="s">
        <v>156</v>
      </c>
      <c r="B322" s="39" t="s">
        <v>668</v>
      </c>
      <c r="C322" s="39" t="s">
        <v>144</v>
      </c>
      <c r="D322" s="39"/>
      <c r="E322" s="39"/>
      <c r="F322" s="39" t="s">
        <v>669</v>
      </c>
      <c r="G322" s="39" t="s">
        <v>670</v>
      </c>
      <c r="H322" s="39" t="s">
        <v>671</v>
      </c>
    </row>
    <row r="323" spans="1:8" x14ac:dyDescent="0.45">
      <c r="A323" s="27"/>
      <c r="B323" s="39" t="s">
        <v>672</v>
      </c>
      <c r="C323" s="39" t="s">
        <v>144</v>
      </c>
      <c r="D323" s="39"/>
      <c r="E323" s="39"/>
      <c r="F323" s="39" t="s">
        <v>673</v>
      </c>
      <c r="G323" s="39" t="s">
        <v>673</v>
      </c>
      <c r="H323" s="39" t="s">
        <v>674</v>
      </c>
    </row>
    <row r="324" spans="1:8" x14ac:dyDescent="0.45">
      <c r="A324" s="27"/>
      <c r="B324" s="39" t="s">
        <v>675</v>
      </c>
      <c r="C324" s="39" t="s">
        <v>144</v>
      </c>
      <c r="D324" s="39"/>
      <c r="E324" s="39"/>
      <c r="F324" s="39" t="s">
        <v>676</v>
      </c>
      <c r="G324" s="39" t="s">
        <v>676</v>
      </c>
      <c r="H324" s="39" t="s">
        <v>677</v>
      </c>
    </row>
    <row r="325" spans="1:8" x14ac:dyDescent="0.45">
      <c r="A325" s="27"/>
      <c r="B325" s="39" t="s">
        <v>678</v>
      </c>
      <c r="C325" s="39" t="s">
        <v>144</v>
      </c>
      <c r="D325" s="39"/>
      <c r="E325" s="39"/>
      <c r="F325" s="39" t="s">
        <v>247</v>
      </c>
      <c r="G325" s="39" t="s">
        <v>247</v>
      </c>
      <c r="H325" s="39" t="s">
        <v>679</v>
      </c>
    </row>
    <row r="326" spans="1:8" x14ac:dyDescent="0.45">
      <c r="A326" s="27"/>
      <c r="B326" s="39" t="s">
        <v>680</v>
      </c>
      <c r="C326" s="39" t="s">
        <v>144</v>
      </c>
      <c r="D326" s="39"/>
      <c r="E326" s="39"/>
      <c r="F326" s="39" t="s">
        <v>247</v>
      </c>
      <c r="G326" s="39" t="s">
        <v>247</v>
      </c>
      <c r="H326" s="39" t="s">
        <v>681</v>
      </c>
    </row>
    <row r="327" spans="1:8" x14ac:dyDescent="0.45">
      <c r="A327" s="27" t="s">
        <v>156</v>
      </c>
      <c r="B327" s="39" t="s">
        <v>682</v>
      </c>
      <c r="C327" s="39" t="s">
        <v>144</v>
      </c>
      <c r="D327" s="39"/>
      <c r="E327" s="39"/>
      <c r="F327" s="39" t="s">
        <v>683</v>
      </c>
      <c r="G327" s="39" t="s">
        <v>684</v>
      </c>
      <c r="H327" s="39" t="s">
        <v>685</v>
      </c>
    </row>
    <row r="328" spans="1:8" x14ac:dyDescent="0.45">
      <c r="A328" s="27"/>
      <c r="B328" s="39" t="s">
        <v>686</v>
      </c>
      <c r="C328" s="39" t="s">
        <v>144</v>
      </c>
      <c r="D328" s="39"/>
      <c r="E328" s="39"/>
      <c r="F328" s="39">
        <v>500000</v>
      </c>
      <c r="G328" s="39">
        <v>500000</v>
      </c>
      <c r="H328" s="39" t="s">
        <v>687</v>
      </c>
    </row>
    <row r="329" spans="1:8" x14ac:dyDescent="0.45">
      <c r="A329" s="27" t="s">
        <v>688</v>
      </c>
      <c r="B329" s="39" t="s">
        <v>689</v>
      </c>
      <c r="C329" s="39" t="s">
        <v>144</v>
      </c>
      <c r="D329" s="39"/>
      <c r="E329" s="39"/>
      <c r="F329" s="39" t="s">
        <v>688</v>
      </c>
      <c r="G329" s="39" t="s">
        <v>690</v>
      </c>
      <c r="H329" s="39" t="s">
        <v>691</v>
      </c>
    </row>
    <row r="330" spans="1:8" x14ac:dyDescent="0.45">
      <c r="A330" s="27" t="s">
        <v>688</v>
      </c>
      <c r="B330" s="39" t="s">
        <v>692</v>
      </c>
      <c r="C330" s="39" t="s">
        <v>144</v>
      </c>
      <c r="D330" s="39"/>
      <c r="E330" s="39"/>
      <c r="F330" s="39" t="s">
        <v>688</v>
      </c>
      <c r="G330" s="39">
        <v>1</v>
      </c>
      <c r="H330" s="39" t="s">
        <v>693</v>
      </c>
    </row>
    <row r="331" spans="1:8" x14ac:dyDescent="0.45">
      <c r="A331" s="27"/>
      <c r="B331" s="39" t="s">
        <v>694</v>
      </c>
      <c r="C331" s="39" t="s">
        <v>144</v>
      </c>
      <c r="D331" s="39"/>
      <c r="E331" s="39"/>
      <c r="F331" s="39" t="s">
        <v>695</v>
      </c>
      <c r="G331" s="39" t="s">
        <v>695</v>
      </c>
      <c r="H331" s="39" t="s">
        <v>696</v>
      </c>
    </row>
    <row r="332" spans="1:8" x14ac:dyDescent="0.45">
      <c r="A332" s="27"/>
      <c r="B332" s="39" t="s">
        <v>697</v>
      </c>
      <c r="C332" s="39" t="s">
        <v>144</v>
      </c>
      <c r="D332" s="39"/>
      <c r="E332" s="39"/>
      <c r="F332" s="39">
        <v>0.03</v>
      </c>
      <c r="G332" s="39">
        <v>0.03</v>
      </c>
      <c r="H332" s="39" t="s">
        <v>698</v>
      </c>
    </row>
    <row r="333" spans="1:8" x14ac:dyDescent="0.45">
      <c r="A333" s="27"/>
      <c r="B333" s="41" t="s">
        <v>699</v>
      </c>
    </row>
    <row r="334" spans="1:8" x14ac:dyDescent="0.45">
      <c r="A334" s="27"/>
      <c r="B334" s="39" t="s">
        <v>700</v>
      </c>
      <c r="C334" s="39" t="s">
        <v>701</v>
      </c>
      <c r="D334" s="39"/>
      <c r="E334" s="39"/>
      <c r="F334" s="39">
        <v>20</v>
      </c>
      <c r="G334" s="39">
        <v>20</v>
      </c>
      <c r="H334" s="39" t="s">
        <v>702</v>
      </c>
    </row>
    <row r="335" spans="1:8" x14ac:dyDescent="0.45">
      <c r="A335" s="27"/>
      <c r="B335" s="39" t="s">
        <v>703</v>
      </c>
      <c r="C335" s="39" t="s">
        <v>87</v>
      </c>
      <c r="D335" s="39"/>
      <c r="E335" s="39"/>
      <c r="F335" s="39">
        <v>0.65</v>
      </c>
      <c r="G335" s="39">
        <v>0.65</v>
      </c>
      <c r="H335" s="39" t="s">
        <v>704</v>
      </c>
    </row>
    <row r="336" spans="1:8" x14ac:dyDescent="0.45">
      <c r="A336" s="27"/>
      <c r="B336" s="39" t="s">
        <v>705</v>
      </c>
      <c r="C336" s="39" t="s">
        <v>87</v>
      </c>
      <c r="D336" s="39"/>
      <c r="E336" s="39"/>
      <c r="F336" s="39">
        <v>0.99</v>
      </c>
      <c r="G336" s="39">
        <v>0.99</v>
      </c>
      <c r="H336" s="39" t="s">
        <v>706</v>
      </c>
    </row>
    <row r="337" spans="1:8" x14ac:dyDescent="0.45">
      <c r="A337" s="27"/>
      <c r="B337" s="39" t="s">
        <v>707</v>
      </c>
      <c r="C337" s="39" t="s">
        <v>87</v>
      </c>
      <c r="D337" s="39"/>
      <c r="E337" s="39"/>
      <c r="F337" s="39">
        <v>0.5</v>
      </c>
      <c r="G337" s="39">
        <v>0.5</v>
      </c>
      <c r="H337" s="39" t="s">
        <v>708</v>
      </c>
    </row>
    <row r="338" spans="1:8" x14ac:dyDescent="0.45">
      <c r="A338" s="27"/>
      <c r="B338" s="39" t="s">
        <v>709</v>
      </c>
      <c r="C338" s="39" t="s">
        <v>144</v>
      </c>
      <c r="D338" s="39"/>
      <c r="E338" s="39"/>
      <c r="F338" s="39" t="s">
        <v>654</v>
      </c>
      <c r="G338" s="39" t="s">
        <v>654</v>
      </c>
      <c r="H338" s="39" t="s">
        <v>710</v>
      </c>
    </row>
    <row r="339" spans="1:8" x14ac:dyDescent="0.45">
      <c r="B339" s="41" t="s">
        <v>711</v>
      </c>
    </row>
    <row r="340" spans="1:8" x14ac:dyDescent="0.45">
      <c r="B340" s="39" t="s">
        <v>712</v>
      </c>
      <c r="C340" s="39" t="s">
        <v>713</v>
      </c>
      <c r="D340" s="39"/>
      <c r="E340" s="39"/>
      <c r="F340" s="39" t="s">
        <v>714</v>
      </c>
      <c r="G340" s="39" t="s">
        <v>475</v>
      </c>
      <c r="H340" s="39" t="s">
        <v>715</v>
      </c>
    </row>
    <row r="341" spans="1:8" x14ac:dyDescent="0.45">
      <c r="A341" s="27"/>
      <c r="B341" s="41" t="s">
        <v>716</v>
      </c>
    </row>
    <row r="342" spans="1:8" x14ac:dyDescent="0.45">
      <c r="A342" s="27"/>
      <c r="B342" s="39" t="s">
        <v>717</v>
      </c>
      <c r="C342" s="39" t="s">
        <v>144</v>
      </c>
      <c r="D342" s="39"/>
      <c r="E342" s="39"/>
      <c r="F342" s="39" t="s">
        <v>426</v>
      </c>
      <c r="G342" s="39" t="s">
        <v>426</v>
      </c>
      <c r="H342" s="39" t="s">
        <v>718</v>
      </c>
    </row>
    <row r="343" spans="1:8" x14ac:dyDescent="0.45">
      <c r="A343" s="27"/>
      <c r="B343" s="39" t="s">
        <v>719</v>
      </c>
      <c r="C343" s="40"/>
      <c r="D343" s="39"/>
      <c r="E343" s="39"/>
      <c r="F343" s="39">
        <v>1</v>
      </c>
      <c r="G343" s="39">
        <v>1</v>
      </c>
      <c r="H343" s="39" t="s">
        <v>720</v>
      </c>
    </row>
    <row r="344" spans="1:8" x14ac:dyDescent="0.45">
      <c r="A344" s="27"/>
      <c r="B344" s="39" t="s">
        <v>721</v>
      </c>
      <c r="C344" s="39" t="s">
        <v>158</v>
      </c>
      <c r="D344" s="39"/>
      <c r="E344" s="39"/>
      <c r="F344" s="39">
        <v>2030</v>
      </c>
      <c r="G344" s="39">
        <v>2030</v>
      </c>
      <c r="H344" s="39" t="s">
        <v>722</v>
      </c>
    </row>
    <row r="345" spans="1:8" x14ac:dyDescent="0.45">
      <c r="A345" s="27"/>
      <c r="B345" s="39" t="s">
        <v>723</v>
      </c>
      <c r="C345" s="39" t="s">
        <v>144</v>
      </c>
      <c r="D345" s="39"/>
      <c r="E345" s="39"/>
      <c r="F345" s="39" t="s">
        <v>724</v>
      </c>
      <c r="G345" s="39" t="s">
        <v>724</v>
      </c>
      <c r="H345" s="39" t="s">
        <v>725</v>
      </c>
    </row>
    <row r="346" spans="1:8" x14ac:dyDescent="0.45">
      <c r="A346" s="27"/>
      <c r="B346" s="39" t="s">
        <v>726</v>
      </c>
      <c r="C346" s="39" t="s">
        <v>727</v>
      </c>
      <c r="D346" s="39"/>
      <c r="E346" s="39"/>
      <c r="F346" s="39">
        <v>2</v>
      </c>
      <c r="G346" s="39">
        <v>2</v>
      </c>
      <c r="H346" s="39" t="s">
        <v>728</v>
      </c>
    </row>
    <row r="347" spans="1:8" x14ac:dyDescent="0.45">
      <c r="A347" s="27"/>
      <c r="B347" s="39" t="s">
        <v>729</v>
      </c>
      <c r="C347" s="39" t="s">
        <v>727</v>
      </c>
      <c r="D347" s="39"/>
      <c r="E347" s="39"/>
      <c r="F347" s="39">
        <v>2</v>
      </c>
      <c r="G347" s="39">
        <v>2</v>
      </c>
      <c r="H347" s="39" t="s">
        <v>730</v>
      </c>
    </row>
    <row r="348" spans="1:8" x14ac:dyDescent="0.45">
      <c r="A348" s="27"/>
      <c r="B348" s="39" t="s">
        <v>731</v>
      </c>
      <c r="C348" s="40"/>
      <c r="D348" s="39"/>
      <c r="E348" s="39"/>
      <c r="F348" s="39">
        <v>0.01</v>
      </c>
      <c r="G348" s="39">
        <v>0.01</v>
      </c>
      <c r="H348" s="39" t="s">
        <v>732</v>
      </c>
    </row>
    <row r="349" spans="1:8" x14ac:dyDescent="0.45">
      <c r="A349" s="27"/>
      <c r="B349" s="39" t="s">
        <v>733</v>
      </c>
      <c r="C349" s="39" t="s">
        <v>144</v>
      </c>
      <c r="D349" s="39"/>
      <c r="E349" s="39"/>
      <c r="F349" s="39" t="s">
        <v>734</v>
      </c>
      <c r="G349" s="39" t="s">
        <v>734</v>
      </c>
      <c r="H349" s="39" t="s">
        <v>735</v>
      </c>
    </row>
    <row r="350" spans="1:8" x14ac:dyDescent="0.45">
      <c r="A350" s="27"/>
      <c r="B350" s="39" t="s">
        <v>736</v>
      </c>
      <c r="C350" s="40"/>
      <c r="D350" s="39"/>
      <c r="E350" s="39"/>
      <c r="F350" s="39" t="s">
        <v>654</v>
      </c>
      <c r="G350" s="39" t="s">
        <v>654</v>
      </c>
      <c r="H350" s="39" t="s">
        <v>737</v>
      </c>
    </row>
    <row r="351" spans="1:8" x14ac:dyDescent="0.45">
      <c r="A351" s="27"/>
      <c r="B351" s="39" t="s">
        <v>738</v>
      </c>
      <c r="C351" s="40"/>
      <c r="D351" s="39"/>
      <c r="E351" s="39"/>
      <c r="F351" s="39">
        <v>0.01</v>
      </c>
      <c r="G351" s="39">
        <v>0.01</v>
      </c>
      <c r="H351" s="39" t="s">
        <v>739</v>
      </c>
    </row>
    <row r="352" spans="1:8" x14ac:dyDescent="0.45">
      <c r="A352" s="27"/>
      <c r="B352" s="41" t="s">
        <v>740</v>
      </c>
    </row>
    <row r="353" spans="1:8" x14ac:dyDescent="0.45">
      <c r="A353" s="27"/>
      <c r="B353" s="39" t="s">
        <v>741</v>
      </c>
      <c r="C353" s="39" t="s">
        <v>144</v>
      </c>
      <c r="D353" s="39"/>
      <c r="E353" s="39"/>
      <c r="F353" s="39" t="s">
        <v>247</v>
      </c>
      <c r="G353" s="39" t="s">
        <v>247</v>
      </c>
      <c r="H353" s="39" t="s">
        <v>742</v>
      </c>
    </row>
    <row r="354" spans="1:8" x14ac:dyDescent="0.45">
      <c r="A354" s="27"/>
      <c r="B354" s="39" t="s">
        <v>743</v>
      </c>
      <c r="C354" s="39" t="s">
        <v>744</v>
      </c>
      <c r="D354" s="39"/>
      <c r="E354" s="39"/>
      <c r="F354" s="39">
        <v>0</v>
      </c>
      <c r="G354" s="39">
        <v>0</v>
      </c>
      <c r="H354" s="39" t="s">
        <v>745</v>
      </c>
    </row>
    <row r="355" spans="1:8" x14ac:dyDescent="0.45">
      <c r="A355" s="27"/>
      <c r="B355" s="39" t="s">
        <v>746</v>
      </c>
      <c r="C355" s="39" t="s">
        <v>744</v>
      </c>
      <c r="D355" s="39"/>
      <c r="E355" s="39"/>
      <c r="F355" s="39">
        <v>0</v>
      </c>
      <c r="G355" s="39">
        <v>0</v>
      </c>
      <c r="H355" s="39" t="s">
        <v>747</v>
      </c>
    </row>
    <row r="356" spans="1:8" x14ac:dyDescent="0.45">
      <c r="A356" s="27"/>
      <c r="B356" s="39" t="s">
        <v>748</v>
      </c>
      <c r="C356" s="39" t="s">
        <v>749</v>
      </c>
      <c r="D356" s="39"/>
      <c r="E356" s="39"/>
      <c r="F356" s="39">
        <v>10</v>
      </c>
      <c r="G356" s="39">
        <v>10</v>
      </c>
      <c r="H356" s="39" t="s">
        <v>750</v>
      </c>
    </row>
    <row r="357" spans="1:8" x14ac:dyDescent="0.45">
      <c r="A357" s="27"/>
      <c r="B357" s="39" t="s">
        <v>751</v>
      </c>
      <c r="C357" s="39" t="s">
        <v>144</v>
      </c>
      <c r="D357" s="39"/>
      <c r="E357" s="39"/>
      <c r="F357" s="39" t="s">
        <v>247</v>
      </c>
      <c r="G357" s="39" t="s">
        <v>247</v>
      </c>
      <c r="H357" s="39" t="s">
        <v>752</v>
      </c>
    </row>
    <row r="358" spans="1:8" x14ac:dyDescent="0.45">
      <c r="A358" s="27"/>
      <c r="B358" s="41" t="s">
        <v>753</v>
      </c>
    </row>
    <row r="359" spans="1:8" x14ac:dyDescent="0.45">
      <c r="A359" s="27"/>
      <c r="B359" s="39" t="s">
        <v>754</v>
      </c>
      <c r="C359" s="40"/>
      <c r="D359" s="39"/>
      <c r="E359" s="39"/>
      <c r="F359" s="39">
        <v>0.05</v>
      </c>
      <c r="G359" s="39">
        <v>0.05</v>
      </c>
      <c r="H359" s="39" t="s">
        <v>755</v>
      </c>
    </row>
    <row r="360" spans="1:8" x14ac:dyDescent="0.45">
      <c r="A360" s="27"/>
      <c r="B360" s="39" t="s">
        <v>756</v>
      </c>
      <c r="C360" s="40"/>
      <c r="D360" s="39"/>
      <c r="E360" s="39"/>
      <c r="F360" s="39">
        <v>0.02</v>
      </c>
      <c r="G360" s="39">
        <v>0.02</v>
      </c>
      <c r="H360" s="39" t="s">
        <v>757</v>
      </c>
    </row>
    <row r="361" spans="1:8" x14ac:dyDescent="0.45">
      <c r="A361" s="27"/>
      <c r="B361" s="39" t="s">
        <v>758</v>
      </c>
      <c r="C361" s="40"/>
      <c r="D361" s="39"/>
      <c r="E361" s="39"/>
      <c r="F361" s="39">
        <v>0.05</v>
      </c>
      <c r="G361" s="39">
        <v>0.05</v>
      </c>
      <c r="H361" s="39" t="s">
        <v>759</v>
      </c>
    </row>
    <row r="362" spans="1:8" x14ac:dyDescent="0.45">
      <c r="A362" s="27"/>
      <c r="B362" s="39" t="s">
        <v>760</v>
      </c>
      <c r="C362" s="39" t="s">
        <v>144</v>
      </c>
      <c r="D362" s="39"/>
      <c r="E362" s="39"/>
      <c r="F362" s="39" t="s">
        <v>761</v>
      </c>
      <c r="G362" s="39" t="s">
        <v>761</v>
      </c>
      <c r="H362" s="39" t="s">
        <v>762</v>
      </c>
    </row>
    <row r="363" spans="1:8" x14ac:dyDescent="0.45">
      <c r="A363" s="27"/>
      <c r="B363" s="41" t="s">
        <v>763</v>
      </c>
    </row>
    <row r="364" spans="1:8" x14ac:dyDescent="0.45">
      <c r="A364" s="27"/>
      <c r="B364" s="39" t="s">
        <v>764</v>
      </c>
      <c r="C364" s="40"/>
      <c r="D364" s="39"/>
      <c r="E364" s="39"/>
      <c r="F364" s="39" t="s">
        <v>426</v>
      </c>
      <c r="G364" s="39" t="s">
        <v>426</v>
      </c>
      <c r="H364" s="39" t="s">
        <v>765</v>
      </c>
    </row>
    <row r="365" spans="1:8" x14ac:dyDescent="0.45">
      <c r="A365" s="27" t="s">
        <v>156</v>
      </c>
      <c r="B365" s="39" t="s">
        <v>766</v>
      </c>
      <c r="C365" s="40"/>
      <c r="D365" s="39"/>
      <c r="E365" s="39"/>
      <c r="F365" s="39" t="s">
        <v>767</v>
      </c>
      <c r="G365" s="39" t="s">
        <v>768</v>
      </c>
      <c r="H365" s="39" t="s">
        <v>769</v>
      </c>
    </row>
    <row r="366" spans="1:8" x14ac:dyDescent="0.45">
      <c r="A366" s="27"/>
      <c r="B366" s="39" t="s">
        <v>770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771</v>
      </c>
    </row>
    <row r="367" spans="1:8" x14ac:dyDescent="0.45">
      <c r="A367" s="27"/>
      <c r="B367" s="39" t="s">
        <v>772</v>
      </c>
      <c r="C367" s="40"/>
      <c r="D367" s="39"/>
      <c r="E367" s="39"/>
      <c r="F367" s="39" t="s">
        <v>271</v>
      </c>
      <c r="G367" s="39" t="s">
        <v>271</v>
      </c>
      <c r="H367" s="39" t="s">
        <v>773</v>
      </c>
    </row>
    <row r="368" spans="1:8" x14ac:dyDescent="0.45">
      <c r="A368" s="27"/>
      <c r="B368" s="39" t="s">
        <v>774</v>
      </c>
      <c r="C368" s="40"/>
      <c r="D368" s="39"/>
      <c r="E368" s="39"/>
      <c r="F368" s="39" t="s">
        <v>426</v>
      </c>
      <c r="G368" s="39" t="s">
        <v>426</v>
      </c>
      <c r="H368" s="39" t="s">
        <v>775</v>
      </c>
    </row>
    <row r="369" spans="1:8" x14ac:dyDescent="0.45">
      <c r="A369" s="27"/>
      <c r="B369" s="39" t="s">
        <v>776</v>
      </c>
      <c r="C369" s="40"/>
      <c r="D369" s="39"/>
      <c r="E369" s="39"/>
      <c r="F369" s="39" t="s">
        <v>427</v>
      </c>
      <c r="G369" s="39" t="s">
        <v>427</v>
      </c>
      <c r="H369" s="39" t="s">
        <v>777</v>
      </c>
    </row>
    <row r="370" spans="1:8" x14ac:dyDescent="0.45">
      <c r="A370" s="27"/>
      <c r="B370" s="39" t="s">
        <v>778</v>
      </c>
      <c r="C370" s="40"/>
      <c r="D370" s="39"/>
      <c r="E370" s="39"/>
      <c r="F370" s="39">
        <v>0</v>
      </c>
      <c r="G370" s="39">
        <v>0</v>
      </c>
      <c r="H370" s="39" t="s">
        <v>779</v>
      </c>
    </row>
    <row r="371" spans="1:8" x14ac:dyDescent="0.45">
      <c r="A371" s="27"/>
      <c r="B371" s="39" t="s">
        <v>780</v>
      </c>
      <c r="C371" s="40"/>
      <c r="D371" s="39"/>
      <c r="E371" s="39"/>
      <c r="F371" s="39">
        <v>0</v>
      </c>
      <c r="G371" s="39">
        <v>0</v>
      </c>
      <c r="H371" s="39" t="s">
        <v>781</v>
      </c>
    </row>
    <row r="372" spans="1:8" x14ac:dyDescent="0.45">
      <c r="A372" s="27"/>
      <c r="B372" s="39" t="s">
        <v>782</v>
      </c>
      <c r="C372" s="40"/>
      <c r="D372" s="39"/>
      <c r="E372" s="39"/>
      <c r="F372" s="39">
        <v>0.9</v>
      </c>
      <c r="G372" s="39">
        <v>0.9</v>
      </c>
      <c r="H372" s="39" t="s">
        <v>783</v>
      </c>
    </row>
    <row r="373" spans="1:8" x14ac:dyDescent="0.45">
      <c r="A373" s="27"/>
      <c r="B373" s="39" t="s">
        <v>784</v>
      </c>
      <c r="C373" s="40"/>
      <c r="D373" s="39"/>
      <c r="E373" s="39"/>
      <c r="F373" s="39">
        <v>0.9</v>
      </c>
      <c r="G373" s="39">
        <v>0.9</v>
      </c>
      <c r="H373" s="39" t="s">
        <v>785</v>
      </c>
    </row>
    <row r="374" spans="1:8" x14ac:dyDescent="0.45">
      <c r="A374" s="27"/>
      <c r="B374" s="39" t="s">
        <v>786</v>
      </c>
      <c r="C374" s="40"/>
      <c r="D374" s="39"/>
      <c r="E374" s="39"/>
      <c r="F374" s="39">
        <v>1</v>
      </c>
      <c r="G374" s="39">
        <v>1</v>
      </c>
      <c r="H374" s="39" t="s">
        <v>787</v>
      </c>
    </row>
    <row r="375" spans="1:8" x14ac:dyDescent="0.45">
      <c r="A375" s="27"/>
      <c r="B375" s="39" t="s">
        <v>788</v>
      </c>
      <c r="C375" s="40"/>
      <c r="D375" s="39"/>
      <c r="E375" s="39"/>
      <c r="F375" s="39">
        <v>0.1</v>
      </c>
      <c r="G375" s="39">
        <v>0.1</v>
      </c>
      <c r="H375" s="39" t="s">
        <v>789</v>
      </c>
    </row>
    <row r="376" spans="1:8" x14ac:dyDescent="0.45">
      <c r="A376" s="27"/>
      <c r="B376" s="39" t="s">
        <v>790</v>
      </c>
      <c r="C376" s="40"/>
      <c r="D376" s="39"/>
      <c r="E376" s="39"/>
      <c r="F376" s="39">
        <v>0.01</v>
      </c>
      <c r="G376" s="39">
        <v>0.01</v>
      </c>
      <c r="H376" s="39" t="s">
        <v>791</v>
      </c>
    </row>
    <row r="377" spans="1:8" x14ac:dyDescent="0.45">
      <c r="A377" s="27"/>
      <c r="B377" s="39" t="s">
        <v>792</v>
      </c>
      <c r="C377" s="40"/>
      <c r="D377" s="39"/>
      <c r="E377" s="39"/>
      <c r="F377" s="39">
        <v>1</v>
      </c>
      <c r="G377" s="39">
        <v>1</v>
      </c>
      <c r="H377" s="39" t="s">
        <v>793</v>
      </c>
    </row>
    <row r="378" spans="1:8" x14ac:dyDescent="0.45">
      <c r="A378" s="27"/>
      <c r="B378" s="39" t="s">
        <v>794</v>
      </c>
      <c r="C378" s="40"/>
      <c r="D378" s="39"/>
      <c r="E378" s="39"/>
      <c r="F378" s="39">
        <v>0.8</v>
      </c>
      <c r="G378" s="39">
        <v>0.8</v>
      </c>
      <c r="H378" s="39" t="s">
        <v>795</v>
      </c>
    </row>
    <row r="379" spans="1:8" x14ac:dyDescent="0.45">
      <c r="A379" s="27"/>
      <c r="B379" s="39" t="s">
        <v>796</v>
      </c>
      <c r="C379" s="40"/>
      <c r="D379" s="39"/>
      <c r="E379" s="39"/>
      <c r="F379" s="39" t="s">
        <v>654</v>
      </c>
      <c r="G379" s="39" t="s">
        <v>654</v>
      </c>
      <c r="H379" s="39" t="s">
        <v>797</v>
      </c>
    </row>
    <row r="380" spans="1:8" x14ac:dyDescent="0.45">
      <c r="A380" s="27"/>
      <c r="B380" s="39" t="s">
        <v>798</v>
      </c>
      <c r="C380" s="40"/>
      <c r="D380" s="39"/>
      <c r="E380" s="39"/>
      <c r="F380" s="39">
        <v>0.1</v>
      </c>
      <c r="G380" s="39">
        <v>0.1</v>
      </c>
      <c r="H380" s="39" t="s">
        <v>799</v>
      </c>
    </row>
    <row r="381" spans="1:8" x14ac:dyDescent="0.45">
      <c r="A381" s="27"/>
      <c r="B381" s="41" t="s">
        <v>800</v>
      </c>
    </row>
    <row r="382" spans="1:8" x14ac:dyDescent="0.45">
      <c r="A382" s="27"/>
      <c r="B382" s="39" t="s">
        <v>801</v>
      </c>
      <c r="C382" s="40"/>
      <c r="D382" s="39"/>
      <c r="E382" s="39"/>
      <c r="F382" s="39">
        <v>0</v>
      </c>
      <c r="G382" s="39">
        <v>0</v>
      </c>
      <c r="H382" s="39" t="s">
        <v>802</v>
      </c>
    </row>
    <row r="383" spans="1:8" x14ac:dyDescent="0.45">
      <c r="A383" s="27"/>
      <c r="B383" s="39" t="s">
        <v>803</v>
      </c>
      <c r="C383" s="40"/>
      <c r="D383" s="39"/>
      <c r="E383" s="39"/>
      <c r="F383" s="39" t="s">
        <v>427</v>
      </c>
      <c r="G383" s="39" t="s">
        <v>427</v>
      </c>
      <c r="H383" s="39" t="s">
        <v>804</v>
      </c>
    </row>
    <row r="384" spans="1:8" x14ac:dyDescent="0.45">
      <c r="A384" s="27"/>
      <c r="B384" s="39" t="s">
        <v>805</v>
      </c>
      <c r="C384" s="40"/>
      <c r="D384" s="39"/>
      <c r="E384" s="39"/>
      <c r="F384" s="39" t="s">
        <v>427</v>
      </c>
      <c r="G384" s="39" t="s">
        <v>427</v>
      </c>
      <c r="H384" s="39" t="s">
        <v>806</v>
      </c>
    </row>
    <row r="385" spans="1:8" x14ac:dyDescent="0.45">
      <c r="A385" s="27"/>
      <c r="B385" s="39" t="s">
        <v>807</v>
      </c>
      <c r="C385" s="40"/>
      <c r="D385" s="39"/>
      <c r="E385" s="39"/>
      <c r="F385" s="39">
        <v>2027</v>
      </c>
      <c r="G385" s="39">
        <v>2027</v>
      </c>
      <c r="H385" s="39" t="s">
        <v>808</v>
      </c>
    </row>
    <row r="386" spans="1:8" x14ac:dyDescent="0.45">
      <c r="A386" s="27"/>
      <c r="B386" s="39" t="s">
        <v>809</v>
      </c>
      <c r="C386" s="40"/>
      <c r="D386" s="39"/>
      <c r="E386" s="39"/>
      <c r="F386" s="39">
        <v>5</v>
      </c>
      <c r="G386" s="39">
        <v>5</v>
      </c>
      <c r="H386" s="39" t="s">
        <v>810</v>
      </c>
    </row>
    <row r="387" spans="1:8" x14ac:dyDescent="0.45">
      <c r="A387" s="27"/>
      <c r="B387" s="41" t="s">
        <v>811</v>
      </c>
    </row>
    <row r="388" spans="1:8" x14ac:dyDescent="0.45">
      <c r="A388" s="27"/>
      <c r="B388" s="39" t="s">
        <v>812</v>
      </c>
      <c r="C388" s="39" t="s">
        <v>87</v>
      </c>
      <c r="D388" s="39"/>
      <c r="E388" s="39"/>
      <c r="F388" s="39">
        <v>1</v>
      </c>
      <c r="G388" s="39">
        <v>1</v>
      </c>
      <c r="H388" s="39" t="s">
        <v>813</v>
      </c>
    </row>
    <row r="389" spans="1:8" x14ac:dyDescent="0.45">
      <c r="A389" s="27"/>
      <c r="B389" s="39" t="s">
        <v>814</v>
      </c>
      <c r="C389" s="40"/>
      <c r="D389" s="39"/>
      <c r="E389" s="39"/>
      <c r="F389" s="39">
        <v>9</v>
      </c>
      <c r="G389" s="39">
        <v>9</v>
      </c>
      <c r="H389" s="39" t="s">
        <v>815</v>
      </c>
    </row>
    <row r="390" spans="1:8" x14ac:dyDescent="0.45">
      <c r="A390" s="27"/>
      <c r="B390" s="39" t="s">
        <v>816</v>
      </c>
      <c r="C390" s="40"/>
      <c r="D390" s="39"/>
      <c r="E390" s="39"/>
      <c r="F390" s="39">
        <v>2</v>
      </c>
      <c r="G390" s="39">
        <v>2</v>
      </c>
      <c r="H390" s="39" t="s">
        <v>817</v>
      </c>
    </row>
    <row r="391" spans="1:8" x14ac:dyDescent="0.45">
      <c r="A391" s="27"/>
      <c r="B391" s="41" t="s">
        <v>818</v>
      </c>
    </row>
    <row r="392" spans="1:8" x14ac:dyDescent="0.45">
      <c r="A392" s="27"/>
      <c r="B392" s="39" t="s">
        <v>819</v>
      </c>
      <c r="C392" s="40"/>
      <c r="D392" s="39"/>
      <c r="E392" s="39"/>
      <c r="F392" s="39">
        <v>0.33</v>
      </c>
      <c r="G392" s="39">
        <v>0.33</v>
      </c>
      <c r="H392" s="39" t="s">
        <v>820</v>
      </c>
    </row>
    <row r="393" spans="1:8" x14ac:dyDescent="0.45">
      <c r="A393" s="27"/>
      <c r="B393" s="39" t="s">
        <v>821</v>
      </c>
      <c r="C393" s="39" t="s">
        <v>87</v>
      </c>
      <c r="D393" s="39"/>
      <c r="E393" s="39"/>
      <c r="F393" s="39">
        <v>0.75</v>
      </c>
      <c r="G393" s="39">
        <v>0.75</v>
      </c>
      <c r="H393" s="39" t="s">
        <v>822</v>
      </c>
    </row>
    <row r="394" spans="1:8" x14ac:dyDescent="0.45">
      <c r="A394" s="27"/>
      <c r="B394" s="39" t="s">
        <v>823</v>
      </c>
      <c r="C394" s="39" t="s">
        <v>87</v>
      </c>
      <c r="D394" s="39"/>
      <c r="E394" s="39"/>
      <c r="F394" s="39">
        <v>1</v>
      </c>
      <c r="G394" s="39">
        <v>1</v>
      </c>
      <c r="H394" s="39" t="s">
        <v>824</v>
      </c>
    </row>
    <row r="395" spans="1:8" x14ac:dyDescent="0.45">
      <c r="A395" s="27"/>
      <c r="B395" s="39" t="s">
        <v>825</v>
      </c>
      <c r="C395" s="40"/>
      <c r="D395" s="39"/>
      <c r="E395" s="39"/>
      <c r="F395" s="39">
        <v>1000</v>
      </c>
      <c r="G395" s="39">
        <v>1000</v>
      </c>
      <c r="H395" s="39" t="s">
        <v>826</v>
      </c>
    </row>
    <row r="396" spans="1:8" x14ac:dyDescent="0.45">
      <c r="A396" s="27"/>
      <c r="B396" s="41" t="s">
        <v>827</v>
      </c>
    </row>
    <row r="397" spans="1:8" x14ac:dyDescent="0.45">
      <c r="A397" s="27"/>
      <c r="B397" s="39" t="s">
        <v>828</v>
      </c>
      <c r="C397" s="39" t="s">
        <v>829</v>
      </c>
      <c r="D397" s="39"/>
      <c r="E397" s="39"/>
      <c r="F397" s="39" t="s">
        <v>830</v>
      </c>
      <c r="G397" s="39" t="s">
        <v>830</v>
      </c>
      <c r="H397" s="39" t="s">
        <v>831</v>
      </c>
    </row>
    <row r="398" spans="1:8" x14ac:dyDescent="0.45">
      <c r="A398" s="27"/>
      <c r="B398" s="39" t="s">
        <v>832</v>
      </c>
      <c r="C398" s="39" t="s">
        <v>829</v>
      </c>
      <c r="D398" s="39"/>
      <c r="E398" s="39"/>
      <c r="F398" s="39" t="s">
        <v>830</v>
      </c>
      <c r="G398" s="39" t="s">
        <v>830</v>
      </c>
      <c r="H398" s="39" t="s">
        <v>833</v>
      </c>
    </row>
    <row r="399" spans="1:8" x14ac:dyDescent="0.45">
      <c r="A399" s="27"/>
      <c r="B399" s="39" t="s">
        <v>834</v>
      </c>
      <c r="C399" s="39" t="s">
        <v>829</v>
      </c>
      <c r="D399" s="39"/>
      <c r="E399" s="39"/>
      <c r="F399" s="39" t="s">
        <v>830</v>
      </c>
      <c r="G399" s="39" t="s">
        <v>830</v>
      </c>
      <c r="H399" s="39" t="s">
        <v>835</v>
      </c>
    </row>
    <row r="400" spans="1:8" x14ac:dyDescent="0.45">
      <c r="A400" s="27"/>
      <c r="B400" s="39" t="s">
        <v>836</v>
      </c>
      <c r="C400" s="39" t="s">
        <v>829</v>
      </c>
      <c r="D400" s="39"/>
      <c r="E400" s="39"/>
      <c r="F400" s="39" t="s">
        <v>830</v>
      </c>
      <c r="G400" s="39" t="s">
        <v>830</v>
      </c>
      <c r="H400" s="39" t="s">
        <v>837</v>
      </c>
    </row>
    <row r="401" spans="1:8" x14ac:dyDescent="0.45">
      <c r="A401" s="27"/>
      <c r="B401" s="39" t="s">
        <v>838</v>
      </c>
      <c r="C401" s="39" t="s">
        <v>829</v>
      </c>
      <c r="D401" s="39"/>
      <c r="E401" s="39"/>
      <c r="F401" s="39" t="s">
        <v>654</v>
      </c>
      <c r="G401" s="39" t="s">
        <v>654</v>
      </c>
      <c r="H401" s="39" t="s">
        <v>839</v>
      </c>
    </row>
    <row r="402" spans="1:8" x14ac:dyDescent="0.45">
      <c r="A402" s="27"/>
      <c r="B402" s="39" t="s">
        <v>840</v>
      </c>
      <c r="C402" s="39" t="s">
        <v>829</v>
      </c>
      <c r="D402" s="39"/>
      <c r="E402" s="39"/>
      <c r="F402" s="39" t="s">
        <v>654</v>
      </c>
      <c r="G402" s="39" t="s">
        <v>654</v>
      </c>
      <c r="H402" s="39" t="s">
        <v>841</v>
      </c>
    </row>
    <row r="403" spans="1:8" x14ac:dyDescent="0.45">
      <c r="A403" s="27"/>
      <c r="B403" s="39" t="s">
        <v>842</v>
      </c>
      <c r="C403" s="39" t="s">
        <v>829</v>
      </c>
      <c r="D403" s="39"/>
      <c r="E403" s="39"/>
      <c r="F403" s="39" t="s">
        <v>830</v>
      </c>
      <c r="G403" s="39" t="s">
        <v>830</v>
      </c>
      <c r="H403" s="39" t="s">
        <v>843</v>
      </c>
    </row>
    <row r="404" spans="1:8" x14ac:dyDescent="0.45">
      <c r="A404" s="27"/>
      <c r="B404" s="39" t="s">
        <v>844</v>
      </c>
      <c r="C404" s="39" t="s">
        <v>829</v>
      </c>
      <c r="D404" s="39"/>
      <c r="E404" s="39"/>
      <c r="F404" s="39" t="s">
        <v>830</v>
      </c>
      <c r="G404" s="39" t="s">
        <v>830</v>
      </c>
      <c r="H404" s="39" t="s">
        <v>845</v>
      </c>
    </row>
    <row r="405" spans="1:8" x14ac:dyDescent="0.45">
      <c r="A405" s="27"/>
      <c r="B405" s="39" t="s">
        <v>846</v>
      </c>
      <c r="C405" s="39" t="s">
        <v>829</v>
      </c>
      <c r="D405" s="39"/>
      <c r="E405" s="39"/>
      <c r="F405" s="39" t="s">
        <v>830</v>
      </c>
      <c r="G405" s="39" t="s">
        <v>830</v>
      </c>
      <c r="H405" s="39" t="s">
        <v>847</v>
      </c>
    </row>
    <row r="406" spans="1:8" x14ac:dyDescent="0.45">
      <c r="A406" s="27"/>
      <c r="B406" s="41" t="s">
        <v>848</v>
      </c>
    </row>
    <row r="407" spans="1:8" x14ac:dyDescent="0.45">
      <c r="A407" s="27"/>
      <c r="B407" s="39" t="s">
        <v>53</v>
      </c>
      <c r="C407" s="39" t="s">
        <v>849</v>
      </c>
      <c r="D407" s="39"/>
      <c r="E407" s="39"/>
      <c r="F407" s="39">
        <v>2022</v>
      </c>
      <c r="G407" s="39">
        <v>2022</v>
      </c>
      <c r="H407" s="39" t="s">
        <v>850</v>
      </c>
    </row>
    <row r="408" spans="1:8" x14ac:dyDescent="0.45">
      <c r="A408" s="27"/>
      <c r="B408" s="39" t="s">
        <v>57</v>
      </c>
      <c r="C408" s="39" t="s">
        <v>849</v>
      </c>
      <c r="D408" s="39"/>
      <c r="E408" s="39"/>
      <c r="F408" s="39">
        <v>2022</v>
      </c>
      <c r="G408" s="39">
        <v>2022</v>
      </c>
      <c r="H408" s="39" t="s">
        <v>851</v>
      </c>
    </row>
    <row r="409" spans="1:8" x14ac:dyDescent="0.45">
      <c r="A409" s="27"/>
      <c r="B409" s="39" t="s">
        <v>852</v>
      </c>
      <c r="C409" s="39" t="s">
        <v>849</v>
      </c>
      <c r="D409" s="39"/>
      <c r="E409" s="39"/>
      <c r="F409" s="39">
        <v>2022</v>
      </c>
      <c r="G409" s="39">
        <v>2022</v>
      </c>
      <c r="H409" s="39" t="s">
        <v>853</v>
      </c>
    </row>
    <row r="410" spans="1:8" x14ac:dyDescent="0.45">
      <c r="A410" s="27"/>
      <c r="B410" s="39" t="s">
        <v>854</v>
      </c>
      <c r="C410" s="39" t="s">
        <v>849</v>
      </c>
      <c r="D410" s="39"/>
      <c r="E410" s="39"/>
      <c r="F410" s="39">
        <v>2030</v>
      </c>
      <c r="G410" s="39">
        <v>2030</v>
      </c>
      <c r="H410" s="39" t="s">
        <v>855</v>
      </c>
    </row>
    <row r="411" spans="1:8" x14ac:dyDescent="0.45">
      <c r="A411" s="27"/>
      <c r="B411" s="39" t="s">
        <v>856</v>
      </c>
      <c r="C411" s="39" t="s">
        <v>849</v>
      </c>
      <c r="D411" s="39"/>
      <c r="E411" s="39"/>
      <c r="F411" s="39">
        <v>2022</v>
      </c>
      <c r="G411" s="39">
        <v>2022</v>
      </c>
      <c r="H411" s="39" t="s">
        <v>857</v>
      </c>
    </row>
    <row r="412" spans="1:8" x14ac:dyDescent="0.45">
      <c r="A412" s="27"/>
      <c r="B412" s="39" t="s">
        <v>858</v>
      </c>
      <c r="C412" s="39" t="s">
        <v>849</v>
      </c>
      <c r="D412" s="39"/>
      <c r="E412" s="39"/>
      <c r="F412" s="39">
        <v>2022</v>
      </c>
      <c r="G412" s="39">
        <v>2022</v>
      </c>
      <c r="H412" s="39" t="s">
        <v>859</v>
      </c>
    </row>
    <row r="413" spans="1:8" x14ac:dyDescent="0.45">
      <c r="A413" s="27"/>
      <c r="B413" s="39" t="s">
        <v>860</v>
      </c>
      <c r="C413" s="39" t="s">
        <v>849</v>
      </c>
      <c r="D413" s="39"/>
      <c r="E413" s="39"/>
      <c r="F413" s="39">
        <v>2030</v>
      </c>
      <c r="G413" s="39">
        <v>2030</v>
      </c>
      <c r="H413" s="39" t="s">
        <v>861</v>
      </c>
    </row>
    <row r="414" spans="1:8" x14ac:dyDescent="0.45">
      <c r="A414" s="27"/>
      <c r="B414" s="39" t="s">
        <v>862</v>
      </c>
      <c r="C414" s="39" t="s">
        <v>849</v>
      </c>
      <c r="D414" s="39"/>
      <c r="E414" s="39"/>
      <c r="F414" s="39">
        <v>2030</v>
      </c>
      <c r="G414" s="39">
        <v>2030</v>
      </c>
      <c r="H414" s="39" t="s">
        <v>863</v>
      </c>
    </row>
    <row r="415" spans="1:8" x14ac:dyDescent="0.45">
      <c r="A415" s="27"/>
      <c r="B415" s="39" t="s">
        <v>71</v>
      </c>
      <c r="C415" s="39" t="s">
        <v>849</v>
      </c>
      <c r="D415" s="39"/>
      <c r="E415" s="39"/>
      <c r="F415" s="39">
        <v>2022</v>
      </c>
      <c r="G415" s="39">
        <v>2022</v>
      </c>
      <c r="H415" s="39" t="s">
        <v>864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865</v>
      </c>
      <c r="D1" s="3" t="s">
        <v>866</v>
      </c>
      <c r="E1" s="3" t="s">
        <v>867</v>
      </c>
      <c r="F1" s="3" t="s">
        <v>868</v>
      </c>
      <c r="G1" s="3" t="s">
        <v>869</v>
      </c>
      <c r="H1" s="3" t="s">
        <v>870</v>
      </c>
      <c r="I1" s="3" t="s">
        <v>235</v>
      </c>
      <c r="J1" s="3" t="s">
        <v>871</v>
      </c>
      <c r="K1" s="3" t="s">
        <v>872</v>
      </c>
      <c r="L1" s="3" t="s">
        <v>119</v>
      </c>
      <c r="M1" s="3" t="s">
        <v>45</v>
      </c>
      <c r="N1" s="3" t="s">
        <v>873</v>
      </c>
      <c r="O1" s="3" t="s">
        <v>874</v>
      </c>
      <c r="P1" s="3" t="s">
        <v>115</v>
      </c>
      <c r="Q1" s="3" t="s">
        <v>875</v>
      </c>
      <c r="R1" s="3" t="s">
        <v>876</v>
      </c>
      <c r="S1" s="3" t="s">
        <v>877</v>
      </c>
      <c r="T1" s="3" t="s">
        <v>878</v>
      </c>
      <c r="U1" s="3" t="s">
        <v>879</v>
      </c>
    </row>
    <row r="2" spans="1:21" x14ac:dyDescent="0.45">
      <c r="A2" t="s">
        <v>880</v>
      </c>
      <c r="B2" t="s">
        <v>35</v>
      </c>
      <c r="C2" t="s">
        <v>881</v>
      </c>
      <c r="D2" s="49" t="s">
        <v>882</v>
      </c>
      <c r="E2" s="49" t="s">
        <v>883</v>
      </c>
      <c r="F2" s="49" t="s">
        <v>884</v>
      </c>
      <c r="G2" s="49" t="s">
        <v>885</v>
      </c>
      <c r="H2" s="49" t="s">
        <v>886</v>
      </c>
      <c r="I2" s="49" t="s">
        <v>887</v>
      </c>
      <c r="J2" s="49" t="s">
        <v>888</v>
      </c>
      <c r="K2" s="49" t="s">
        <v>889</v>
      </c>
      <c r="L2" s="49" t="s">
        <v>120</v>
      </c>
      <c r="M2" s="49" t="s">
        <v>46</v>
      </c>
      <c r="N2" s="49" t="s">
        <v>118</v>
      </c>
      <c r="O2" s="49" t="s">
        <v>890</v>
      </c>
      <c r="P2" s="49" t="s">
        <v>116</v>
      </c>
      <c r="Q2" s="49" t="s">
        <v>891</v>
      </c>
      <c r="R2" s="49" t="s">
        <v>892</v>
      </c>
      <c r="S2" s="49" t="s">
        <v>893</v>
      </c>
      <c r="T2" s="49" t="s">
        <v>894</v>
      </c>
      <c r="U2" s="49"/>
    </row>
    <row r="3" spans="1:21" x14ac:dyDescent="0.45">
      <c r="A3" s="28" t="s">
        <v>895</v>
      </c>
      <c r="B3" s="5" t="s">
        <v>896</v>
      </c>
      <c r="C3" s="2" t="s">
        <v>897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898</v>
      </c>
      <c r="B4" s="5" t="s">
        <v>53</v>
      </c>
      <c r="C4" s="2" t="s">
        <v>52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899</v>
      </c>
      <c r="B5" s="5" t="s">
        <v>57</v>
      </c>
      <c r="C5" s="2" t="s">
        <v>56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900</v>
      </c>
      <c r="B6" s="5" t="s">
        <v>68</v>
      </c>
      <c r="C6" s="2" t="s">
        <v>67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901</v>
      </c>
      <c r="B7" s="5" t="s">
        <v>59</v>
      </c>
      <c r="C7" s="2" t="s">
        <v>58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902</v>
      </c>
      <c r="B8" s="5" t="s">
        <v>62</v>
      </c>
      <c r="C8" s="2" t="s">
        <v>61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903</v>
      </c>
      <c r="B9" s="5" t="s">
        <v>66</v>
      </c>
      <c r="C9" s="2" t="s">
        <v>65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904</v>
      </c>
      <c r="B10" s="5" t="s">
        <v>64</v>
      </c>
      <c r="C10" s="2" t="s">
        <v>63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905</v>
      </c>
      <c r="B11" s="5" t="s">
        <v>906</v>
      </c>
      <c r="C11" s="2" t="s">
        <v>907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908</v>
      </c>
      <c r="B12" s="5" t="s">
        <v>856</v>
      </c>
      <c r="C12" s="2" t="s">
        <v>909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910</v>
      </c>
      <c r="B13" s="5" t="s">
        <v>858</v>
      </c>
      <c r="C13" s="2" t="s">
        <v>911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912</v>
      </c>
      <c r="B14" s="5" t="s">
        <v>860</v>
      </c>
      <c r="C14" s="2" t="s">
        <v>913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914</v>
      </c>
      <c r="B15" s="5" t="s">
        <v>862</v>
      </c>
      <c r="C15" s="2" t="s">
        <v>915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916</v>
      </c>
      <c r="B16" s="5" t="s">
        <v>854</v>
      </c>
      <c r="C16" s="2" t="s">
        <v>917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918</v>
      </c>
      <c r="B17" s="5" t="s">
        <v>71</v>
      </c>
      <c r="C17" s="2" t="s">
        <v>70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919</v>
      </c>
      <c r="B18" s="5" t="s">
        <v>920</v>
      </c>
      <c r="C18" s="2" t="s">
        <v>921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922</v>
      </c>
      <c r="B19" s="5" t="s">
        <v>923</v>
      </c>
      <c r="C19" s="2" t="s">
        <v>924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925</v>
      </c>
      <c r="B20" s="5" t="s">
        <v>926</v>
      </c>
      <c r="C20" s="2" t="s">
        <v>927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928</v>
      </c>
      <c r="B21" s="5" t="s">
        <v>929</v>
      </c>
      <c r="C21" s="2" t="s">
        <v>930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931</v>
      </c>
      <c r="C22" s="2" t="s">
        <v>72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2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932</v>
      </c>
      <c r="B1" s="50" t="s">
        <v>35</v>
      </c>
      <c r="C1" s="50" t="s">
        <v>933</v>
      </c>
      <c r="D1" s="50" t="s">
        <v>934</v>
      </c>
      <c r="E1" s="50" t="s">
        <v>50</v>
      </c>
      <c r="F1" s="50" t="s">
        <v>38</v>
      </c>
      <c r="G1" s="50" t="s">
        <v>37</v>
      </c>
      <c r="H1" s="50" t="s">
        <v>935</v>
      </c>
      <c r="I1" s="50" t="s">
        <v>936</v>
      </c>
      <c r="J1" s="50" t="s">
        <v>43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937</v>
      </c>
      <c r="B2" s="5" t="s">
        <v>52</v>
      </c>
      <c r="C2" s="5" t="s">
        <v>4</v>
      </c>
      <c r="D2" s="5" t="s">
        <v>938</v>
      </c>
      <c r="E2" s="5">
        <v>1</v>
      </c>
      <c r="F2" s="5" t="s">
        <v>54</v>
      </c>
      <c r="G2" s="5" t="s">
        <v>939</v>
      </c>
      <c r="H2" s="5">
        <v>2513</v>
      </c>
      <c r="I2" s="28" t="s">
        <v>937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940</v>
      </c>
      <c r="B3" s="5" t="s">
        <v>52</v>
      </c>
      <c r="C3" s="5" t="s">
        <v>4</v>
      </c>
      <c r="D3" s="5" t="s">
        <v>941</v>
      </c>
      <c r="E3" s="5">
        <v>1</v>
      </c>
      <c r="F3" s="5" t="s">
        <v>54</v>
      </c>
      <c r="G3" s="5" t="s">
        <v>942</v>
      </c>
      <c r="H3" s="5">
        <v>2514</v>
      </c>
      <c r="I3" s="28" t="s">
        <v>940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943</v>
      </c>
      <c r="B4" s="5" t="s">
        <v>56</v>
      </c>
      <c r="C4" s="5" t="s">
        <v>4</v>
      </c>
      <c r="D4" s="5" t="s">
        <v>938</v>
      </c>
      <c r="E4" s="5">
        <v>1</v>
      </c>
      <c r="F4" s="5" t="s">
        <v>54</v>
      </c>
      <c r="G4" s="5" t="s">
        <v>939</v>
      </c>
      <c r="H4" s="5">
        <v>2582</v>
      </c>
      <c r="I4" s="28" t="s">
        <v>943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944</v>
      </c>
      <c r="B5" s="5" t="s">
        <v>56</v>
      </c>
      <c r="C5" s="5" t="s">
        <v>4</v>
      </c>
      <c r="D5" s="5" t="s">
        <v>941</v>
      </c>
      <c r="E5" s="5">
        <v>1</v>
      </c>
      <c r="F5" s="5" t="s">
        <v>54</v>
      </c>
      <c r="G5" s="5" t="s">
        <v>942</v>
      </c>
      <c r="H5" s="5">
        <v>2583</v>
      </c>
      <c r="I5" s="28" t="s">
        <v>944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945</v>
      </c>
      <c r="B6" s="5" t="s">
        <v>58</v>
      </c>
      <c r="C6" s="5" t="s">
        <v>4</v>
      </c>
      <c r="D6" s="5" t="s">
        <v>938</v>
      </c>
      <c r="E6" s="5">
        <v>1</v>
      </c>
      <c r="F6" s="5" t="s">
        <v>60</v>
      </c>
      <c r="G6" s="5" t="s">
        <v>939</v>
      </c>
      <c r="H6" s="5">
        <v>2605</v>
      </c>
      <c r="I6" s="28" t="s">
        <v>946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947</v>
      </c>
      <c r="B7" s="5" t="s">
        <v>58</v>
      </c>
      <c r="C7" s="5" t="s">
        <v>4</v>
      </c>
      <c r="D7" s="5" t="s">
        <v>941</v>
      </c>
      <c r="E7" s="5">
        <v>1</v>
      </c>
      <c r="F7" s="5" t="s">
        <v>60</v>
      </c>
      <c r="G7" s="5" t="s">
        <v>942</v>
      </c>
      <c r="H7" s="5">
        <v>2606</v>
      </c>
      <c r="I7" s="28" t="s">
        <v>948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949</v>
      </c>
      <c r="B8" s="5" t="s">
        <v>61</v>
      </c>
      <c r="C8" s="5" t="s">
        <v>4</v>
      </c>
      <c r="D8" s="5" t="s">
        <v>938</v>
      </c>
      <c r="E8" s="5">
        <v>1</v>
      </c>
      <c r="F8" s="5" t="s">
        <v>60</v>
      </c>
      <c r="G8" s="5" t="s">
        <v>939</v>
      </c>
      <c r="H8" s="5">
        <v>2628</v>
      </c>
      <c r="I8" s="28" t="s">
        <v>950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951</v>
      </c>
      <c r="B9" s="5" t="s">
        <v>61</v>
      </c>
      <c r="C9" s="5" t="s">
        <v>4</v>
      </c>
      <c r="D9" s="5" t="s">
        <v>941</v>
      </c>
      <c r="E9" s="5">
        <v>1</v>
      </c>
      <c r="F9" s="5" t="s">
        <v>60</v>
      </c>
      <c r="G9" s="5" t="s">
        <v>942</v>
      </c>
      <c r="H9" s="5">
        <v>2629</v>
      </c>
      <c r="I9" s="28" t="s">
        <v>952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953</v>
      </c>
      <c r="B10" s="5" t="s">
        <v>63</v>
      </c>
      <c r="C10" s="5" t="s">
        <v>4</v>
      </c>
      <c r="D10" s="5" t="s">
        <v>938</v>
      </c>
      <c r="E10" s="5">
        <v>1</v>
      </c>
      <c r="F10" s="5" t="s">
        <v>60</v>
      </c>
      <c r="G10" s="5" t="s">
        <v>939</v>
      </c>
      <c r="H10" s="5">
        <v>2651</v>
      </c>
      <c r="I10" s="28" t="s">
        <v>954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955</v>
      </c>
      <c r="B11" s="5" t="s">
        <v>63</v>
      </c>
      <c r="C11" s="5" t="s">
        <v>4</v>
      </c>
      <c r="D11" s="5" t="s">
        <v>941</v>
      </c>
      <c r="E11" s="5">
        <v>1</v>
      </c>
      <c r="F11" s="5" t="s">
        <v>60</v>
      </c>
      <c r="G11" s="5" t="s">
        <v>942</v>
      </c>
      <c r="H11" s="5">
        <v>2652</v>
      </c>
      <c r="I11" s="28" t="s">
        <v>956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957</v>
      </c>
      <c r="B12" s="5" t="s">
        <v>65</v>
      </c>
      <c r="C12" s="5" t="s">
        <v>4</v>
      </c>
      <c r="D12" s="5" t="s">
        <v>938</v>
      </c>
      <c r="E12" s="5">
        <v>1</v>
      </c>
      <c r="F12" s="5" t="s">
        <v>60</v>
      </c>
      <c r="G12" s="5" t="s">
        <v>939</v>
      </c>
      <c r="H12" s="5">
        <v>2674</v>
      </c>
      <c r="I12" s="28" t="s">
        <v>958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959</v>
      </c>
      <c r="B13" s="5" t="s">
        <v>65</v>
      </c>
      <c r="C13" s="5" t="s">
        <v>4</v>
      </c>
      <c r="D13" s="5" t="s">
        <v>941</v>
      </c>
      <c r="E13" s="5">
        <v>1</v>
      </c>
      <c r="F13" s="5" t="s">
        <v>60</v>
      </c>
      <c r="G13" s="5" t="s">
        <v>942</v>
      </c>
      <c r="H13" s="5">
        <v>2675</v>
      </c>
      <c r="I13" s="28" t="s">
        <v>960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961</v>
      </c>
      <c r="B14" s="5" t="s">
        <v>67</v>
      </c>
      <c r="C14" s="5" t="s">
        <v>4</v>
      </c>
      <c r="D14" s="5" t="s">
        <v>938</v>
      </c>
      <c r="E14" s="5">
        <v>1</v>
      </c>
      <c r="F14" s="5" t="s">
        <v>69</v>
      </c>
      <c r="G14" s="5" t="s">
        <v>939</v>
      </c>
      <c r="H14" s="5">
        <v>2697</v>
      </c>
      <c r="I14" s="28" t="s">
        <v>962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963</v>
      </c>
      <c r="B15" s="5" t="s">
        <v>67</v>
      </c>
      <c r="C15" s="5" t="s">
        <v>4</v>
      </c>
      <c r="D15" s="5" t="s">
        <v>941</v>
      </c>
      <c r="E15" s="5">
        <v>1</v>
      </c>
      <c r="F15" s="5" t="s">
        <v>69</v>
      </c>
      <c r="G15" s="5" t="s">
        <v>942</v>
      </c>
      <c r="H15" s="5">
        <v>2698</v>
      </c>
      <c r="I15" s="28" t="s">
        <v>964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965</v>
      </c>
      <c r="B16" s="5" t="s">
        <v>70</v>
      </c>
      <c r="C16" s="5" t="s">
        <v>4</v>
      </c>
      <c r="D16" s="5" t="s">
        <v>938</v>
      </c>
      <c r="E16" s="5">
        <v>1</v>
      </c>
      <c r="F16" s="5" t="s">
        <v>54</v>
      </c>
      <c r="G16" s="5" t="s">
        <v>939</v>
      </c>
      <c r="H16" s="5">
        <v>2720</v>
      </c>
      <c r="I16" s="28" t="s">
        <v>966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967</v>
      </c>
      <c r="B17" s="5" t="s">
        <v>70</v>
      </c>
      <c r="C17" s="5" t="s">
        <v>4</v>
      </c>
      <c r="D17" s="5" t="s">
        <v>941</v>
      </c>
      <c r="E17" s="5">
        <v>1</v>
      </c>
      <c r="F17" s="5" t="s">
        <v>54</v>
      </c>
      <c r="G17" s="5" t="s">
        <v>942</v>
      </c>
      <c r="H17" s="5">
        <v>2721</v>
      </c>
      <c r="I17" s="28" t="s">
        <v>968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969</v>
      </c>
      <c r="B18" s="5" t="s">
        <v>72</v>
      </c>
      <c r="C18" s="5" t="s">
        <v>4</v>
      </c>
      <c r="D18" s="5" t="s">
        <v>938</v>
      </c>
      <c r="E18" s="5">
        <v>1</v>
      </c>
      <c r="F18" s="5" t="s">
        <v>74</v>
      </c>
      <c r="G18" s="5" t="s">
        <v>939</v>
      </c>
      <c r="H18" s="5">
        <v>2809</v>
      </c>
      <c r="I18" s="28" t="s">
        <v>970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971</v>
      </c>
      <c r="B19" s="5" t="s">
        <v>72</v>
      </c>
      <c r="C19" s="5" t="s">
        <v>4</v>
      </c>
      <c r="D19" s="5" t="s">
        <v>941</v>
      </c>
      <c r="E19" s="5">
        <v>1</v>
      </c>
      <c r="F19" s="5" t="s">
        <v>74</v>
      </c>
      <c r="G19" s="5" t="s">
        <v>942</v>
      </c>
      <c r="H19" s="5">
        <v>2810</v>
      </c>
      <c r="I19" s="28" t="s">
        <v>972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973</v>
      </c>
      <c r="B20" s="5" t="s">
        <v>52</v>
      </c>
      <c r="C20" s="5" t="s">
        <v>4</v>
      </c>
      <c r="D20" s="5" t="s">
        <v>78</v>
      </c>
      <c r="E20" s="5">
        <v>1</v>
      </c>
      <c r="F20" s="5" t="s">
        <v>54</v>
      </c>
      <c r="G20" s="5" t="s">
        <v>974</v>
      </c>
      <c r="H20" s="5">
        <v>2379</v>
      </c>
      <c r="I20" s="28" t="s">
        <v>973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975</v>
      </c>
      <c r="B21" s="5" t="s">
        <v>56</v>
      </c>
      <c r="C21" s="5" t="s">
        <v>4</v>
      </c>
      <c r="D21" s="5" t="s">
        <v>78</v>
      </c>
      <c r="E21" s="5">
        <v>1</v>
      </c>
      <c r="F21" s="5" t="s">
        <v>54</v>
      </c>
      <c r="G21" s="5" t="s">
        <v>974</v>
      </c>
      <c r="H21" s="5">
        <v>2382</v>
      </c>
      <c r="I21" s="28" t="s">
        <v>975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976</v>
      </c>
      <c r="B22" s="5" t="s">
        <v>58</v>
      </c>
      <c r="C22" s="5" t="s">
        <v>4</v>
      </c>
      <c r="D22" s="5" t="s">
        <v>78</v>
      </c>
      <c r="E22" s="5">
        <v>1</v>
      </c>
      <c r="F22" s="5" t="s">
        <v>60</v>
      </c>
      <c r="G22" s="5" t="s">
        <v>974</v>
      </c>
      <c r="H22" s="5">
        <v>2383</v>
      </c>
      <c r="I22" s="28" t="s">
        <v>977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978</v>
      </c>
      <c r="B23" s="5" t="s">
        <v>61</v>
      </c>
      <c r="C23" s="5" t="s">
        <v>4</v>
      </c>
      <c r="D23" s="5" t="s">
        <v>78</v>
      </c>
      <c r="E23" s="5">
        <v>1</v>
      </c>
      <c r="F23" s="5" t="s">
        <v>60</v>
      </c>
      <c r="G23" s="5" t="s">
        <v>974</v>
      </c>
      <c r="H23" s="5">
        <v>2384</v>
      </c>
      <c r="I23" s="28" t="s">
        <v>979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980</v>
      </c>
      <c r="B24" s="5" t="s">
        <v>63</v>
      </c>
      <c r="C24" s="5" t="s">
        <v>4</v>
      </c>
      <c r="D24" s="5" t="s">
        <v>78</v>
      </c>
      <c r="E24" s="5">
        <v>1</v>
      </c>
      <c r="F24" s="5" t="s">
        <v>60</v>
      </c>
      <c r="G24" s="5" t="s">
        <v>974</v>
      </c>
      <c r="H24" s="5">
        <v>2385</v>
      </c>
      <c r="I24" s="28" t="s">
        <v>981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982</v>
      </c>
      <c r="B25" s="5" t="s">
        <v>65</v>
      </c>
      <c r="C25" s="5" t="s">
        <v>4</v>
      </c>
      <c r="D25" s="5" t="s">
        <v>78</v>
      </c>
      <c r="E25" s="5">
        <v>1</v>
      </c>
      <c r="F25" s="5" t="s">
        <v>60</v>
      </c>
      <c r="G25" s="5" t="s">
        <v>974</v>
      </c>
      <c r="H25" s="5">
        <v>2386</v>
      </c>
      <c r="I25" s="28" t="s">
        <v>983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984</v>
      </c>
      <c r="B26" s="5" t="s">
        <v>67</v>
      </c>
      <c r="C26" s="5" t="s">
        <v>4</v>
      </c>
      <c r="D26" s="5" t="s">
        <v>78</v>
      </c>
      <c r="E26" s="5">
        <v>1</v>
      </c>
      <c r="F26" s="5" t="s">
        <v>69</v>
      </c>
      <c r="G26" s="5" t="s">
        <v>974</v>
      </c>
      <c r="H26" s="5">
        <v>2387</v>
      </c>
      <c r="I26" s="28" t="s">
        <v>985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986</v>
      </c>
      <c r="B27" s="5" t="s">
        <v>70</v>
      </c>
      <c r="C27" s="5" t="s">
        <v>4</v>
      </c>
      <c r="D27" s="5" t="s">
        <v>78</v>
      </c>
      <c r="E27" s="5">
        <v>1</v>
      </c>
      <c r="F27" s="5" t="s">
        <v>54</v>
      </c>
      <c r="G27" s="5" t="s">
        <v>974</v>
      </c>
      <c r="H27" s="5">
        <v>2388</v>
      </c>
      <c r="I27" s="28" t="s">
        <v>987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988</v>
      </c>
      <c r="B28" s="5" t="s">
        <v>72</v>
      </c>
      <c r="C28" s="5" t="s">
        <v>4</v>
      </c>
      <c r="D28" s="5" t="s">
        <v>78</v>
      </c>
      <c r="E28" s="5">
        <v>1</v>
      </c>
      <c r="F28" s="5" t="s">
        <v>74</v>
      </c>
      <c r="G28" s="5" t="s">
        <v>989</v>
      </c>
      <c r="H28" s="5" t="s">
        <v>80</v>
      </c>
      <c r="I28" s="28" t="s">
        <v>80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990</v>
      </c>
      <c r="B29" s="5" t="s">
        <v>80</v>
      </c>
      <c r="C29" s="5" t="s">
        <v>882</v>
      </c>
      <c r="D29" s="5" t="s">
        <v>83</v>
      </c>
      <c r="E29" s="5">
        <v>1</v>
      </c>
      <c r="F29" s="5" t="s">
        <v>82</v>
      </c>
      <c r="G29" s="5" t="s">
        <v>991</v>
      </c>
      <c r="H29" s="5">
        <v>2270</v>
      </c>
      <c r="I29" s="28" t="s">
        <v>990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992</v>
      </c>
      <c r="B30" s="5" t="s">
        <v>80</v>
      </c>
      <c r="C30" s="5" t="s">
        <v>883</v>
      </c>
      <c r="D30" s="5" t="s">
        <v>83</v>
      </c>
      <c r="E30" s="5">
        <v>1</v>
      </c>
      <c r="F30" s="5" t="s">
        <v>82</v>
      </c>
      <c r="G30" s="5" t="s">
        <v>991</v>
      </c>
      <c r="H30" s="5">
        <v>2271</v>
      </c>
      <c r="I30" s="28" t="s">
        <v>992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993</v>
      </c>
      <c r="B31" s="5" t="s">
        <v>80</v>
      </c>
      <c r="C31" s="5" t="s">
        <v>884</v>
      </c>
      <c r="D31" s="5" t="s">
        <v>83</v>
      </c>
      <c r="E31" s="5">
        <v>1</v>
      </c>
      <c r="F31" s="5" t="s">
        <v>82</v>
      </c>
      <c r="G31" s="5" t="s">
        <v>991</v>
      </c>
      <c r="H31" s="5">
        <v>2272</v>
      </c>
      <c r="I31" s="28" t="s">
        <v>993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994</v>
      </c>
      <c r="B32" s="5" t="s">
        <v>80</v>
      </c>
      <c r="C32" s="5" t="s">
        <v>886</v>
      </c>
      <c r="D32" s="5" t="s">
        <v>83</v>
      </c>
      <c r="E32" s="5">
        <v>1</v>
      </c>
      <c r="F32" s="5" t="s">
        <v>82</v>
      </c>
      <c r="G32" s="5" t="s">
        <v>991</v>
      </c>
      <c r="H32" s="5">
        <v>2273</v>
      </c>
      <c r="I32" s="28" t="s">
        <v>994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995</v>
      </c>
      <c r="B33" s="5" t="s">
        <v>80</v>
      </c>
      <c r="C33" s="5" t="s">
        <v>885</v>
      </c>
      <c r="D33" s="5" t="s">
        <v>83</v>
      </c>
      <c r="E33" s="5">
        <v>1</v>
      </c>
      <c r="F33" s="5" t="s">
        <v>82</v>
      </c>
      <c r="G33" s="5" t="s">
        <v>991</v>
      </c>
      <c r="H33" s="5">
        <v>2274</v>
      </c>
      <c r="I33" s="28" t="s">
        <v>995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996</v>
      </c>
      <c r="B34" s="5" t="s">
        <v>80</v>
      </c>
      <c r="C34" s="5" t="s">
        <v>887</v>
      </c>
      <c r="D34" s="5" t="s">
        <v>83</v>
      </c>
      <c r="E34" s="5">
        <v>1</v>
      </c>
      <c r="F34" s="5" t="s">
        <v>82</v>
      </c>
      <c r="G34" s="5" t="s">
        <v>991</v>
      </c>
      <c r="H34" s="5">
        <v>2275</v>
      </c>
      <c r="I34" s="28" t="s">
        <v>996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997</v>
      </c>
      <c r="B35" s="5" t="s">
        <v>80</v>
      </c>
      <c r="C35" s="5" t="s">
        <v>888</v>
      </c>
      <c r="D35" s="5" t="s">
        <v>83</v>
      </c>
      <c r="E35" s="5">
        <v>1</v>
      </c>
      <c r="F35" s="5" t="s">
        <v>82</v>
      </c>
      <c r="G35" s="5" t="s">
        <v>991</v>
      </c>
      <c r="H35" s="5">
        <v>2276</v>
      </c>
      <c r="I35" s="28" t="s">
        <v>997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998</v>
      </c>
      <c r="B36" s="5" t="s">
        <v>80</v>
      </c>
      <c r="C36" s="5" t="s">
        <v>889</v>
      </c>
      <c r="D36" s="5" t="s">
        <v>83</v>
      </c>
      <c r="E36" s="5">
        <v>1</v>
      </c>
      <c r="F36" s="5" t="s">
        <v>82</v>
      </c>
      <c r="G36" s="5" t="s">
        <v>991</v>
      </c>
      <c r="H36" s="5">
        <v>2277</v>
      </c>
      <c r="I36" s="28" t="s">
        <v>998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999</v>
      </c>
      <c r="B37" s="5" t="s">
        <v>80</v>
      </c>
      <c r="C37" s="5" t="s">
        <v>120</v>
      </c>
      <c r="D37" s="5" t="s">
        <v>83</v>
      </c>
      <c r="E37" s="5">
        <v>1</v>
      </c>
      <c r="F37" s="5" t="s">
        <v>82</v>
      </c>
      <c r="G37" s="5" t="s">
        <v>991</v>
      </c>
      <c r="H37" s="5">
        <v>2278</v>
      </c>
      <c r="I37" s="28" t="s">
        <v>999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1000</v>
      </c>
      <c r="B38" s="5" t="s">
        <v>80</v>
      </c>
      <c r="C38" s="5" t="s">
        <v>46</v>
      </c>
      <c r="D38" s="5" t="s">
        <v>83</v>
      </c>
      <c r="E38" s="5">
        <v>1</v>
      </c>
      <c r="F38" s="5" t="s">
        <v>82</v>
      </c>
      <c r="G38" s="5" t="s">
        <v>991</v>
      </c>
      <c r="H38" s="5">
        <v>2279</v>
      </c>
      <c r="I38" s="28" t="s">
        <v>1000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1001</v>
      </c>
      <c r="B39" s="5" t="s">
        <v>80</v>
      </c>
      <c r="C39" s="5" t="s">
        <v>118</v>
      </c>
      <c r="D39" s="5" t="s">
        <v>83</v>
      </c>
      <c r="E39" s="5">
        <v>1</v>
      </c>
      <c r="F39" s="5" t="s">
        <v>82</v>
      </c>
      <c r="G39" s="5" t="s">
        <v>991</v>
      </c>
      <c r="H39" s="5">
        <v>2280</v>
      </c>
      <c r="I39" s="28" t="s">
        <v>1001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1002</v>
      </c>
      <c r="B40" s="5" t="s">
        <v>80</v>
      </c>
      <c r="C40" s="5" t="s">
        <v>890</v>
      </c>
      <c r="D40" s="5" t="s">
        <v>83</v>
      </c>
      <c r="E40" s="5">
        <v>1</v>
      </c>
      <c r="F40" s="5" t="s">
        <v>82</v>
      </c>
      <c r="G40" s="5" t="s">
        <v>991</v>
      </c>
      <c r="H40" s="5">
        <v>2281</v>
      </c>
      <c r="I40" s="28" t="s">
        <v>1002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1003</v>
      </c>
      <c r="B41" s="5" t="s">
        <v>80</v>
      </c>
      <c r="C41" s="5" t="s">
        <v>116</v>
      </c>
      <c r="D41" s="5" t="s">
        <v>83</v>
      </c>
      <c r="E41" s="5">
        <v>1</v>
      </c>
      <c r="F41" s="5" t="s">
        <v>82</v>
      </c>
      <c r="G41" s="5" t="s">
        <v>991</v>
      </c>
      <c r="H41" s="5">
        <v>2282</v>
      </c>
      <c r="I41" s="28" t="s">
        <v>1003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1004</v>
      </c>
      <c r="B42" s="5" t="s">
        <v>80</v>
      </c>
      <c r="C42" s="5" t="s">
        <v>891</v>
      </c>
      <c r="D42" s="5" t="s">
        <v>83</v>
      </c>
      <c r="E42" s="5">
        <v>1</v>
      </c>
      <c r="F42" s="5" t="s">
        <v>82</v>
      </c>
      <c r="G42" s="5" t="s">
        <v>991</v>
      </c>
      <c r="H42" s="5">
        <v>2283</v>
      </c>
      <c r="I42" s="28" t="s">
        <v>1004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1005</v>
      </c>
      <c r="B43" s="5" t="s">
        <v>80</v>
      </c>
      <c r="C43" s="5" t="s">
        <v>892</v>
      </c>
      <c r="D43" s="5" t="s">
        <v>83</v>
      </c>
      <c r="E43" s="5">
        <v>1</v>
      </c>
      <c r="F43" s="5" t="s">
        <v>82</v>
      </c>
      <c r="G43" s="5" t="s">
        <v>991</v>
      </c>
      <c r="H43" s="5">
        <v>2284</v>
      </c>
      <c r="I43" s="28" t="s">
        <v>1005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1006</v>
      </c>
      <c r="B44" s="5" t="s">
        <v>80</v>
      </c>
      <c r="C44" s="5" t="s">
        <v>893</v>
      </c>
      <c r="D44" s="5" t="s">
        <v>83</v>
      </c>
      <c r="E44" s="5">
        <v>1</v>
      </c>
      <c r="F44" s="5" t="s">
        <v>82</v>
      </c>
      <c r="G44" s="5" t="s">
        <v>991</v>
      </c>
      <c r="H44" s="5">
        <v>2285</v>
      </c>
      <c r="I44" s="28" t="s">
        <v>1006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1007</v>
      </c>
      <c r="B45" s="5" t="s">
        <v>80</v>
      </c>
      <c r="C45" s="5" t="s">
        <v>894</v>
      </c>
      <c r="D45" s="5" t="s">
        <v>83</v>
      </c>
      <c r="E45" s="5">
        <v>1</v>
      </c>
      <c r="F45" s="5" t="s">
        <v>82</v>
      </c>
      <c r="G45" s="5" t="s">
        <v>991</v>
      </c>
      <c r="H45" s="5">
        <v>2286</v>
      </c>
      <c r="I45" s="28" t="s">
        <v>1007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1008</v>
      </c>
      <c r="B46" s="5" t="s">
        <v>80</v>
      </c>
      <c r="C46" s="5" t="s">
        <v>882</v>
      </c>
      <c r="D46" s="5" t="s">
        <v>85</v>
      </c>
      <c r="E46" s="5">
        <v>1</v>
      </c>
      <c r="F46" s="5" t="s">
        <v>82</v>
      </c>
      <c r="G46" s="5" t="s">
        <v>84</v>
      </c>
      <c r="H46" s="5">
        <v>2403</v>
      </c>
      <c r="I46" s="28" t="s">
        <v>1008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1009</v>
      </c>
      <c r="B47" s="5" t="s">
        <v>80</v>
      </c>
      <c r="C47" s="5" t="s">
        <v>883</v>
      </c>
      <c r="D47" s="5" t="s">
        <v>85</v>
      </c>
      <c r="E47" s="5">
        <v>1</v>
      </c>
      <c r="F47" s="5" t="s">
        <v>82</v>
      </c>
      <c r="G47" s="5" t="s">
        <v>84</v>
      </c>
      <c r="H47" s="5">
        <v>2404</v>
      </c>
      <c r="I47" s="28" t="s">
        <v>1009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1010</v>
      </c>
      <c r="B48" s="5" t="s">
        <v>80</v>
      </c>
      <c r="C48" s="5" t="s">
        <v>884</v>
      </c>
      <c r="D48" s="5" t="s">
        <v>85</v>
      </c>
      <c r="E48" s="5">
        <v>1</v>
      </c>
      <c r="F48" s="5" t="s">
        <v>82</v>
      </c>
      <c r="G48" s="5" t="s">
        <v>84</v>
      </c>
      <c r="H48" s="5">
        <v>2405</v>
      </c>
      <c r="I48" s="28" t="s">
        <v>1010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1011</v>
      </c>
      <c r="B49" s="5" t="s">
        <v>80</v>
      </c>
      <c r="C49" s="5" t="s">
        <v>886</v>
      </c>
      <c r="D49" s="5" t="s">
        <v>85</v>
      </c>
      <c r="E49" s="5">
        <v>1</v>
      </c>
      <c r="F49" s="5" t="s">
        <v>82</v>
      </c>
      <c r="G49" s="5" t="s">
        <v>84</v>
      </c>
      <c r="H49" s="5">
        <v>2406</v>
      </c>
      <c r="I49" s="28" t="s">
        <v>1012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1012</v>
      </c>
      <c r="B50" s="5" t="s">
        <v>80</v>
      </c>
      <c r="C50" s="5" t="s">
        <v>885</v>
      </c>
      <c r="D50" s="5" t="s">
        <v>85</v>
      </c>
      <c r="E50" s="5">
        <v>1</v>
      </c>
      <c r="F50" s="5" t="s">
        <v>82</v>
      </c>
      <c r="G50" s="5" t="s">
        <v>84</v>
      </c>
      <c r="H50" s="5">
        <v>2407</v>
      </c>
      <c r="I50" s="28" t="s">
        <v>1011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1013</v>
      </c>
      <c r="B51" s="5" t="s">
        <v>80</v>
      </c>
      <c r="C51" s="5" t="s">
        <v>887</v>
      </c>
      <c r="D51" s="5" t="s">
        <v>85</v>
      </c>
      <c r="E51" s="5">
        <v>1</v>
      </c>
      <c r="F51" s="5" t="s">
        <v>82</v>
      </c>
      <c r="G51" s="5" t="s">
        <v>84</v>
      </c>
      <c r="H51" s="5">
        <v>2408</v>
      </c>
      <c r="I51" s="28" t="s">
        <v>1013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1014</v>
      </c>
      <c r="B52" s="5" t="s">
        <v>80</v>
      </c>
      <c r="C52" s="5" t="s">
        <v>888</v>
      </c>
      <c r="D52" s="5" t="s">
        <v>85</v>
      </c>
      <c r="E52" s="5">
        <v>1</v>
      </c>
      <c r="F52" s="5" t="s">
        <v>82</v>
      </c>
      <c r="G52" s="5" t="s">
        <v>84</v>
      </c>
      <c r="H52" s="5">
        <v>2409</v>
      </c>
      <c r="I52" s="28" t="s">
        <v>1014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1015</v>
      </c>
      <c r="B53" s="5" t="s">
        <v>80</v>
      </c>
      <c r="C53" s="5" t="s">
        <v>889</v>
      </c>
      <c r="D53" s="5" t="s">
        <v>85</v>
      </c>
      <c r="E53" s="5">
        <v>1</v>
      </c>
      <c r="F53" s="5" t="s">
        <v>82</v>
      </c>
      <c r="G53" s="5" t="s">
        <v>84</v>
      </c>
      <c r="H53" s="5">
        <v>2410</v>
      </c>
      <c r="I53" s="28" t="s">
        <v>1015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1016</v>
      </c>
      <c r="B54" s="5" t="s">
        <v>80</v>
      </c>
      <c r="C54" s="5" t="s">
        <v>120</v>
      </c>
      <c r="D54" s="5" t="s">
        <v>85</v>
      </c>
      <c r="E54" s="5">
        <v>1</v>
      </c>
      <c r="F54" s="5" t="s">
        <v>82</v>
      </c>
      <c r="G54" s="5" t="s">
        <v>84</v>
      </c>
      <c r="H54" s="5">
        <v>2411</v>
      </c>
      <c r="I54" s="28" t="s">
        <v>1016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1017</v>
      </c>
      <c r="B55" s="5" t="s">
        <v>80</v>
      </c>
      <c r="C55" s="5" t="s">
        <v>46</v>
      </c>
      <c r="D55" s="5" t="s">
        <v>85</v>
      </c>
      <c r="E55" s="5">
        <v>1</v>
      </c>
      <c r="F55" s="5" t="s">
        <v>82</v>
      </c>
      <c r="G55" s="5" t="s">
        <v>84</v>
      </c>
      <c r="H55" s="5">
        <v>2412</v>
      </c>
      <c r="I55" s="28" t="s">
        <v>1017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1018</v>
      </c>
      <c r="B56" s="5" t="s">
        <v>80</v>
      </c>
      <c r="C56" s="5" t="s">
        <v>118</v>
      </c>
      <c r="D56" s="5" t="s">
        <v>85</v>
      </c>
      <c r="E56" s="5">
        <v>1</v>
      </c>
      <c r="F56" s="5" t="s">
        <v>82</v>
      </c>
      <c r="G56" s="5" t="s">
        <v>84</v>
      </c>
      <c r="H56" s="5">
        <v>2413</v>
      </c>
      <c r="I56" s="28" t="s">
        <v>1018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1019</v>
      </c>
      <c r="B57" s="5" t="s">
        <v>80</v>
      </c>
      <c r="C57" s="5" t="s">
        <v>890</v>
      </c>
      <c r="D57" s="5" t="s">
        <v>85</v>
      </c>
      <c r="E57" s="5">
        <v>1</v>
      </c>
      <c r="F57" s="5" t="s">
        <v>82</v>
      </c>
      <c r="G57" s="5" t="s">
        <v>84</v>
      </c>
      <c r="H57" s="5">
        <v>2414</v>
      </c>
      <c r="I57" s="28" t="s">
        <v>1019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1020</v>
      </c>
      <c r="B58" s="5" t="s">
        <v>80</v>
      </c>
      <c r="C58" s="5" t="s">
        <v>116</v>
      </c>
      <c r="D58" s="5" t="s">
        <v>85</v>
      </c>
      <c r="E58" s="5">
        <v>1</v>
      </c>
      <c r="F58" s="5" t="s">
        <v>82</v>
      </c>
      <c r="G58" s="5" t="s">
        <v>84</v>
      </c>
      <c r="H58" s="5">
        <v>2415</v>
      </c>
      <c r="I58" s="28" t="s">
        <v>1020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1021</v>
      </c>
      <c r="B59" s="5" t="s">
        <v>80</v>
      </c>
      <c r="C59" s="5" t="s">
        <v>891</v>
      </c>
      <c r="D59" s="5" t="s">
        <v>85</v>
      </c>
      <c r="E59" s="5">
        <v>1</v>
      </c>
      <c r="F59" s="5" t="s">
        <v>82</v>
      </c>
      <c r="G59" s="5" t="s">
        <v>84</v>
      </c>
      <c r="H59" s="5">
        <v>2416</v>
      </c>
      <c r="I59" s="28" t="s">
        <v>1021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1022</v>
      </c>
      <c r="B60" s="5" t="s">
        <v>80</v>
      </c>
      <c r="C60" s="5" t="s">
        <v>892</v>
      </c>
      <c r="D60" s="5" t="s">
        <v>85</v>
      </c>
      <c r="E60" s="5">
        <v>1</v>
      </c>
      <c r="F60" s="5" t="s">
        <v>82</v>
      </c>
      <c r="G60" s="5" t="s">
        <v>84</v>
      </c>
      <c r="H60" s="5">
        <v>2417</v>
      </c>
      <c r="I60" s="28" t="s">
        <v>1022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1023</v>
      </c>
      <c r="B61" s="5" t="s">
        <v>80</v>
      </c>
      <c r="C61" s="5" t="s">
        <v>893</v>
      </c>
      <c r="D61" s="5" t="s">
        <v>85</v>
      </c>
      <c r="E61" s="5">
        <v>1</v>
      </c>
      <c r="F61" s="5" t="s">
        <v>82</v>
      </c>
      <c r="G61" s="5" t="s">
        <v>84</v>
      </c>
      <c r="H61" s="5">
        <v>2418</v>
      </c>
      <c r="I61" s="28" t="s">
        <v>1023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1024</v>
      </c>
      <c r="B62" s="5" t="s">
        <v>80</v>
      </c>
      <c r="C62" s="5" t="s">
        <v>894</v>
      </c>
      <c r="D62" s="5" t="s">
        <v>85</v>
      </c>
      <c r="E62" s="5">
        <v>1</v>
      </c>
      <c r="F62" s="5" t="s">
        <v>82</v>
      </c>
      <c r="G62" s="5" t="s">
        <v>84</v>
      </c>
      <c r="H62" s="5">
        <v>2419</v>
      </c>
      <c r="I62" s="28" t="s">
        <v>1024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1025</v>
      </c>
      <c r="B63" s="5" t="s">
        <v>52</v>
      </c>
      <c r="C63" s="5" t="s">
        <v>4</v>
      </c>
      <c r="D63" s="5" t="s">
        <v>938</v>
      </c>
      <c r="E63" s="5">
        <v>2</v>
      </c>
      <c r="F63" s="5" t="s">
        <v>54</v>
      </c>
      <c r="G63" s="5" t="s">
        <v>939</v>
      </c>
      <c r="H63" s="5">
        <v>8844</v>
      </c>
      <c r="I63" s="28" t="s">
        <v>1025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1026</v>
      </c>
      <c r="B64" s="5" t="s">
        <v>52</v>
      </c>
      <c r="C64" s="5" t="s">
        <v>4</v>
      </c>
      <c r="D64" s="5" t="s">
        <v>941</v>
      </c>
      <c r="E64" s="5">
        <v>2</v>
      </c>
      <c r="F64" s="5" t="s">
        <v>54</v>
      </c>
      <c r="G64" s="5" t="s">
        <v>942</v>
      </c>
      <c r="H64" s="5">
        <v>8845</v>
      </c>
      <c r="I64" s="28" t="s">
        <v>1026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1.25</v>
      </c>
      <c r="R64" s="18">
        <v>2.5</v>
      </c>
      <c r="S64" s="18">
        <v>3.75</v>
      </c>
      <c r="T64" s="18">
        <v>5</v>
      </c>
      <c r="U64" s="18">
        <v>6.25</v>
      </c>
      <c r="V64" s="18">
        <v>7.5</v>
      </c>
      <c r="W64" s="18">
        <v>8.75</v>
      </c>
      <c r="X64" s="18">
        <v>10</v>
      </c>
      <c r="Y64" s="18">
        <v>11.25</v>
      </c>
      <c r="Z64" s="18">
        <v>12.5</v>
      </c>
      <c r="AA64" s="18">
        <v>13.75</v>
      </c>
      <c r="AB64" s="18">
        <v>15</v>
      </c>
      <c r="AC64" s="18">
        <v>16.25</v>
      </c>
      <c r="AD64" s="18">
        <v>17.5</v>
      </c>
      <c r="AE64" s="18">
        <v>18.75</v>
      </c>
    </row>
    <row r="65" spans="1:31" x14ac:dyDescent="0.45">
      <c r="A65" s="28" t="s">
        <v>1027</v>
      </c>
      <c r="B65" s="5" t="s">
        <v>56</v>
      </c>
      <c r="C65" s="5" t="s">
        <v>4</v>
      </c>
      <c r="D65" s="5" t="s">
        <v>938</v>
      </c>
      <c r="E65" s="5">
        <v>2</v>
      </c>
      <c r="F65" s="5" t="s">
        <v>54</v>
      </c>
      <c r="G65" s="5" t="s">
        <v>939</v>
      </c>
      <c r="H65" s="5">
        <v>8913</v>
      </c>
      <c r="I65" s="28" t="s">
        <v>1027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1028</v>
      </c>
      <c r="B66" s="5" t="s">
        <v>56</v>
      </c>
      <c r="C66" s="5" t="s">
        <v>4</v>
      </c>
      <c r="D66" s="5" t="s">
        <v>941</v>
      </c>
      <c r="E66" s="5">
        <v>2</v>
      </c>
      <c r="F66" s="5" t="s">
        <v>54</v>
      </c>
      <c r="G66" s="5" t="s">
        <v>942</v>
      </c>
      <c r="H66" s="5">
        <v>8914</v>
      </c>
      <c r="I66" s="28" t="s">
        <v>1028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0.69750000000000001</v>
      </c>
      <c r="R66" s="18">
        <v>1.395</v>
      </c>
      <c r="S66" s="18">
        <v>2.0924999999999998</v>
      </c>
      <c r="T66" s="18">
        <v>2.79</v>
      </c>
      <c r="U66" s="18">
        <v>3.4874999999999998</v>
      </c>
      <c r="V66" s="18">
        <v>4.1849999999999996</v>
      </c>
      <c r="W66" s="18">
        <v>4.8825000000000003</v>
      </c>
      <c r="X66" s="18">
        <v>5.58</v>
      </c>
      <c r="Y66" s="18">
        <v>6.2774999999999999</v>
      </c>
      <c r="Z66" s="18">
        <v>6.9749999999999996</v>
      </c>
      <c r="AA66" s="18">
        <v>7.6725000000000003</v>
      </c>
      <c r="AB66" s="18">
        <v>8.3699999999999992</v>
      </c>
      <c r="AC66" s="18">
        <v>9.0675000000000008</v>
      </c>
      <c r="AD66" s="18">
        <v>9.7650000000000006</v>
      </c>
      <c r="AE66" s="18">
        <v>10.4625</v>
      </c>
    </row>
    <row r="67" spans="1:31" x14ac:dyDescent="0.45">
      <c r="A67" s="28" t="s">
        <v>1029</v>
      </c>
      <c r="B67" s="5" t="s">
        <v>58</v>
      </c>
      <c r="C67" s="5" t="s">
        <v>4</v>
      </c>
      <c r="D67" s="5" t="s">
        <v>938</v>
      </c>
      <c r="E67" s="5">
        <v>2</v>
      </c>
      <c r="F67" s="5" t="s">
        <v>60</v>
      </c>
      <c r="G67" s="5" t="s">
        <v>939</v>
      </c>
      <c r="H67" s="5">
        <v>8936</v>
      </c>
      <c r="I67" s="28" t="s">
        <v>1030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1031</v>
      </c>
      <c r="B68" s="5" t="s">
        <v>58</v>
      </c>
      <c r="C68" s="5" t="s">
        <v>4</v>
      </c>
      <c r="D68" s="5" t="s">
        <v>941</v>
      </c>
      <c r="E68" s="5">
        <v>2</v>
      </c>
      <c r="F68" s="5" t="s">
        <v>60</v>
      </c>
      <c r="G68" s="5" t="s">
        <v>942</v>
      </c>
      <c r="H68" s="5">
        <v>8937</v>
      </c>
      <c r="I68" s="28" t="s">
        <v>1032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2.89278431715E-2</v>
      </c>
      <c r="R68" s="18">
        <v>5.7855686343E-2</v>
      </c>
      <c r="S68" s="18">
        <v>8.6783529514499996E-2</v>
      </c>
      <c r="T68" s="18">
        <v>0.115711372686</v>
      </c>
      <c r="U68" s="18">
        <v>0.1446392158575</v>
      </c>
      <c r="V68" s="18">
        <v>0.17356705902899999</v>
      </c>
      <c r="W68" s="18">
        <v>0.20249490220050001</v>
      </c>
      <c r="X68" s="18">
        <v>0.231422745372</v>
      </c>
      <c r="Y68" s="18">
        <v>0.26035058854350002</v>
      </c>
      <c r="Z68" s="18">
        <v>0.28927843171500001</v>
      </c>
      <c r="AA68" s="18">
        <v>0.3182062748865</v>
      </c>
      <c r="AB68" s="18">
        <v>0.34713411805799999</v>
      </c>
      <c r="AC68" s="18">
        <v>0.37606196122949997</v>
      </c>
      <c r="AD68" s="18">
        <v>0.40498980440100002</v>
      </c>
      <c r="AE68" s="18">
        <v>0.43391764757250001</v>
      </c>
    </row>
    <row r="69" spans="1:31" x14ac:dyDescent="0.45">
      <c r="A69" s="28" t="s">
        <v>1033</v>
      </c>
      <c r="B69" s="5" t="s">
        <v>61</v>
      </c>
      <c r="C69" s="5" t="s">
        <v>4</v>
      </c>
      <c r="D69" s="5" t="s">
        <v>938</v>
      </c>
      <c r="E69" s="5">
        <v>2</v>
      </c>
      <c r="F69" s="5" t="s">
        <v>60</v>
      </c>
      <c r="G69" s="5" t="s">
        <v>939</v>
      </c>
      <c r="H69" s="5">
        <v>8959</v>
      </c>
      <c r="I69" s="28" t="s">
        <v>1034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1035</v>
      </c>
      <c r="B70" s="5" t="s">
        <v>61</v>
      </c>
      <c r="C70" s="5" t="s">
        <v>4</v>
      </c>
      <c r="D70" s="5" t="s">
        <v>941</v>
      </c>
      <c r="E70" s="5">
        <v>2</v>
      </c>
      <c r="F70" s="5" t="s">
        <v>60</v>
      </c>
      <c r="G70" s="5" t="s">
        <v>942</v>
      </c>
      <c r="H70" s="5">
        <v>8960</v>
      </c>
      <c r="I70" s="28" t="s">
        <v>1036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3.3010438858875002E-2</v>
      </c>
      <c r="R70" s="18">
        <v>6.6020877717750004E-2</v>
      </c>
      <c r="S70" s="18">
        <v>9.9031316576625006E-2</v>
      </c>
      <c r="T70" s="18">
        <v>0.13204175543550001</v>
      </c>
      <c r="U70" s="18">
        <v>0.16505219429437501</v>
      </c>
      <c r="V70" s="18">
        <v>0.19806263315325001</v>
      </c>
      <c r="W70" s="18">
        <v>0.23107307201212501</v>
      </c>
      <c r="X70" s="18">
        <v>0.26408351087100002</v>
      </c>
      <c r="Y70" s="18">
        <v>0.29709394972987502</v>
      </c>
      <c r="Z70" s="18">
        <v>0.33010438858875002</v>
      </c>
      <c r="AA70" s="18">
        <v>0.36311482744762502</v>
      </c>
      <c r="AB70" s="18">
        <v>0.39612526630650002</v>
      </c>
      <c r="AC70" s="18">
        <v>0.42913570516537503</v>
      </c>
      <c r="AD70" s="18">
        <v>0.46214614402425003</v>
      </c>
      <c r="AE70" s="18">
        <v>0.49515658288312497</v>
      </c>
    </row>
    <row r="71" spans="1:31" x14ac:dyDescent="0.45">
      <c r="A71" s="28" t="s">
        <v>1037</v>
      </c>
      <c r="B71" s="5" t="s">
        <v>63</v>
      </c>
      <c r="C71" s="5" t="s">
        <v>4</v>
      </c>
      <c r="D71" s="5" t="s">
        <v>938</v>
      </c>
      <c r="E71" s="5">
        <v>2</v>
      </c>
      <c r="F71" s="5" t="s">
        <v>60</v>
      </c>
      <c r="G71" s="5" t="s">
        <v>939</v>
      </c>
      <c r="H71" s="5">
        <v>8982</v>
      </c>
      <c r="I71" s="28" t="s">
        <v>1038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1039</v>
      </c>
      <c r="B72" s="5" t="s">
        <v>63</v>
      </c>
      <c r="C72" s="5" t="s">
        <v>4</v>
      </c>
      <c r="D72" s="5" t="s">
        <v>941</v>
      </c>
      <c r="E72" s="5">
        <v>2</v>
      </c>
      <c r="F72" s="5" t="s">
        <v>60</v>
      </c>
      <c r="G72" s="5" t="s">
        <v>942</v>
      </c>
      <c r="H72" s="5">
        <v>8983</v>
      </c>
      <c r="I72" s="28" t="s">
        <v>1040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2.2106082927295701E-2</v>
      </c>
      <c r="R72" s="18">
        <v>4.4212165854591402E-2</v>
      </c>
      <c r="S72" s="18">
        <v>6.6318248781887107E-2</v>
      </c>
      <c r="T72" s="18">
        <v>8.8424331709182805E-2</v>
      </c>
      <c r="U72" s="18">
        <v>0.110530414636479</v>
      </c>
      <c r="V72" s="18">
        <v>0.13263649756377399</v>
      </c>
      <c r="W72" s="18">
        <v>0.15474258049107001</v>
      </c>
      <c r="X72" s="18">
        <v>0.176848663418366</v>
      </c>
      <c r="Y72" s="18">
        <v>0.19895474634566099</v>
      </c>
      <c r="Z72" s="18">
        <v>0.221060829272957</v>
      </c>
      <c r="AA72" s="18">
        <v>0.24316691220025299</v>
      </c>
      <c r="AB72" s="18">
        <v>0.26527299512754798</v>
      </c>
      <c r="AC72" s="18">
        <v>0.28737907805484397</v>
      </c>
      <c r="AD72" s="18">
        <v>0.30948516098214002</v>
      </c>
      <c r="AE72" s="18">
        <v>0.33159124390943501</v>
      </c>
    </row>
    <row r="73" spans="1:31" x14ac:dyDescent="0.45">
      <c r="A73" s="28" t="s">
        <v>1041</v>
      </c>
      <c r="B73" s="5" t="s">
        <v>65</v>
      </c>
      <c r="C73" s="5" t="s">
        <v>4</v>
      </c>
      <c r="D73" s="5" t="s">
        <v>938</v>
      </c>
      <c r="E73" s="5">
        <v>2</v>
      </c>
      <c r="F73" s="5" t="s">
        <v>60</v>
      </c>
      <c r="G73" s="5" t="s">
        <v>939</v>
      </c>
      <c r="H73" s="5">
        <v>9005</v>
      </c>
      <c r="I73" s="28" t="s">
        <v>1042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1043</v>
      </c>
      <c r="B74" s="5" t="s">
        <v>65</v>
      </c>
      <c r="C74" s="5" t="s">
        <v>4</v>
      </c>
      <c r="D74" s="5" t="s">
        <v>941</v>
      </c>
      <c r="E74" s="5">
        <v>2</v>
      </c>
      <c r="F74" s="5" t="s">
        <v>60</v>
      </c>
      <c r="G74" s="5" t="s">
        <v>942</v>
      </c>
      <c r="H74" s="5">
        <v>9006</v>
      </c>
      <c r="I74" s="28" t="s">
        <v>1044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3.1988830110108502E-2</v>
      </c>
      <c r="R74" s="18">
        <v>6.3977660220217003E-2</v>
      </c>
      <c r="S74" s="18">
        <v>9.5966490330325505E-2</v>
      </c>
      <c r="T74" s="18">
        <v>0.12795532044043401</v>
      </c>
      <c r="U74" s="18">
        <v>0.15994415055054301</v>
      </c>
      <c r="V74" s="18">
        <v>0.19193298066065101</v>
      </c>
      <c r="W74" s="18">
        <v>0.22392181077076001</v>
      </c>
      <c r="X74" s="18">
        <v>0.25591064088086801</v>
      </c>
      <c r="Y74" s="18">
        <v>0.28789947099097701</v>
      </c>
      <c r="Z74" s="18">
        <v>0.31988830110108502</v>
      </c>
      <c r="AA74" s="18">
        <v>0.35187713121119302</v>
      </c>
      <c r="AB74" s="18">
        <v>0.38386596132130202</v>
      </c>
      <c r="AC74" s="18">
        <v>0.41585479143141002</v>
      </c>
      <c r="AD74" s="18">
        <v>0.44784362154151902</v>
      </c>
      <c r="AE74" s="18">
        <v>0.47983245165162702</v>
      </c>
    </row>
    <row r="75" spans="1:31" x14ac:dyDescent="0.45">
      <c r="A75" s="28" t="s">
        <v>1045</v>
      </c>
      <c r="B75" s="5" t="s">
        <v>67</v>
      </c>
      <c r="C75" s="5" t="s">
        <v>4</v>
      </c>
      <c r="D75" s="5" t="s">
        <v>938</v>
      </c>
      <c r="E75" s="5">
        <v>2</v>
      </c>
      <c r="F75" s="5" t="s">
        <v>69</v>
      </c>
      <c r="G75" s="5" t="s">
        <v>939</v>
      </c>
      <c r="H75" s="5">
        <v>9028</v>
      </c>
      <c r="I75" s="28" t="s">
        <v>1046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1047</v>
      </c>
      <c r="B76" s="5" t="s">
        <v>67</v>
      </c>
      <c r="C76" s="5" t="s">
        <v>4</v>
      </c>
      <c r="D76" s="5" t="s">
        <v>941</v>
      </c>
      <c r="E76" s="5">
        <v>2</v>
      </c>
      <c r="F76" s="5" t="s">
        <v>69</v>
      </c>
      <c r="G76" s="5" t="s">
        <v>942</v>
      </c>
      <c r="H76" s="5">
        <v>9029</v>
      </c>
      <c r="I76" s="28" t="s">
        <v>1048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5.8675499999999996</v>
      </c>
      <c r="R76" s="18">
        <v>11.735099999999999</v>
      </c>
      <c r="S76" s="18">
        <v>17.602650000000001</v>
      </c>
      <c r="T76" s="18">
        <v>23.470199999999998</v>
      </c>
      <c r="U76" s="18">
        <v>29.33775</v>
      </c>
      <c r="V76" s="18">
        <v>35.205300000000001</v>
      </c>
      <c r="W76" s="18">
        <v>41.072850000000003</v>
      </c>
      <c r="X76" s="18">
        <v>46.940399999999997</v>
      </c>
      <c r="Y76" s="18">
        <v>52.807949999999998</v>
      </c>
      <c r="Z76" s="18">
        <v>58.6755</v>
      </c>
      <c r="AA76" s="18">
        <v>64.543049999999994</v>
      </c>
      <c r="AB76" s="18">
        <v>70.410600000000002</v>
      </c>
      <c r="AC76" s="18">
        <v>76.278149999999997</v>
      </c>
      <c r="AD76" s="18">
        <v>82.145700000000005</v>
      </c>
      <c r="AE76" s="18">
        <v>88.013249999999999</v>
      </c>
    </row>
    <row r="77" spans="1:31" x14ac:dyDescent="0.45">
      <c r="A77" s="28" t="s">
        <v>1049</v>
      </c>
      <c r="B77" s="5" t="s">
        <v>70</v>
      </c>
      <c r="C77" s="5" t="s">
        <v>4</v>
      </c>
      <c r="D77" s="5" t="s">
        <v>938</v>
      </c>
      <c r="E77" s="5">
        <v>2</v>
      </c>
      <c r="F77" s="5" t="s">
        <v>54</v>
      </c>
      <c r="G77" s="5" t="s">
        <v>939</v>
      </c>
      <c r="H77" s="5">
        <v>9051</v>
      </c>
      <c r="I77" s="28" t="s">
        <v>1050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1051</v>
      </c>
      <c r="B78" s="5" t="s">
        <v>70</v>
      </c>
      <c r="C78" s="5" t="s">
        <v>4</v>
      </c>
      <c r="D78" s="5" t="s">
        <v>941</v>
      </c>
      <c r="E78" s="5">
        <v>2</v>
      </c>
      <c r="F78" s="5" t="s">
        <v>54</v>
      </c>
      <c r="G78" s="5" t="s">
        <v>942</v>
      </c>
      <c r="H78" s="5">
        <v>9052</v>
      </c>
      <c r="I78" s="28" t="s">
        <v>1052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</row>
    <row r="79" spans="1:31" x14ac:dyDescent="0.45">
      <c r="A79" s="28" t="s">
        <v>1053</v>
      </c>
      <c r="B79" s="5" t="s">
        <v>72</v>
      </c>
      <c r="C79" s="5" t="s">
        <v>4</v>
      </c>
      <c r="D79" s="5" t="s">
        <v>938</v>
      </c>
      <c r="E79" s="5">
        <v>2</v>
      </c>
      <c r="F79" s="5" t="s">
        <v>74</v>
      </c>
      <c r="G79" s="5" t="s">
        <v>939</v>
      </c>
      <c r="H79" s="5">
        <v>9140</v>
      </c>
      <c r="I79" s="28" t="s">
        <v>1054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1055</v>
      </c>
      <c r="B80" s="5" t="s">
        <v>72</v>
      </c>
      <c r="C80" s="5" t="s">
        <v>4</v>
      </c>
      <c r="D80" s="5" t="s">
        <v>941</v>
      </c>
      <c r="E80" s="5">
        <v>2</v>
      </c>
      <c r="F80" s="5" t="s">
        <v>74</v>
      </c>
      <c r="G80" s="5" t="s">
        <v>942</v>
      </c>
      <c r="H80" s="5">
        <v>9141</v>
      </c>
      <c r="I80" s="28" t="s">
        <v>1056</v>
      </c>
      <c r="K80" s="18"/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</row>
    <row r="81" spans="1:31" x14ac:dyDescent="0.45">
      <c r="A81" s="28" t="s">
        <v>1057</v>
      </c>
      <c r="B81" s="5" t="s">
        <v>52</v>
      </c>
      <c r="C81" s="5" t="s">
        <v>4</v>
      </c>
      <c r="D81" s="5" t="s">
        <v>78</v>
      </c>
      <c r="E81" s="5">
        <v>2</v>
      </c>
      <c r="F81" s="5" t="s">
        <v>54</v>
      </c>
      <c r="G81" s="5" t="s">
        <v>974</v>
      </c>
      <c r="H81" s="5">
        <v>8710</v>
      </c>
      <c r="I81" s="28" t="s">
        <v>1057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1058</v>
      </c>
      <c r="B82" s="5" t="s">
        <v>56</v>
      </c>
      <c r="C82" s="5" t="s">
        <v>4</v>
      </c>
      <c r="D82" s="5" t="s">
        <v>78</v>
      </c>
      <c r="E82" s="5">
        <v>2</v>
      </c>
      <c r="F82" s="5" t="s">
        <v>54</v>
      </c>
      <c r="G82" s="5" t="s">
        <v>974</v>
      </c>
      <c r="H82" s="5">
        <v>8713</v>
      </c>
      <c r="I82" s="28" t="s">
        <v>1058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1059</v>
      </c>
      <c r="B83" s="5" t="s">
        <v>58</v>
      </c>
      <c r="C83" s="5" t="s">
        <v>4</v>
      </c>
      <c r="D83" s="5" t="s">
        <v>78</v>
      </c>
      <c r="E83" s="5">
        <v>2</v>
      </c>
      <c r="F83" s="5" t="s">
        <v>60</v>
      </c>
      <c r="G83" s="5" t="s">
        <v>974</v>
      </c>
      <c r="H83" s="5">
        <v>8714</v>
      </c>
      <c r="I83" s="28" t="s">
        <v>1060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1061</v>
      </c>
      <c r="B84" s="5" t="s">
        <v>61</v>
      </c>
      <c r="C84" s="5" t="s">
        <v>4</v>
      </c>
      <c r="D84" s="5" t="s">
        <v>78</v>
      </c>
      <c r="E84" s="5">
        <v>2</v>
      </c>
      <c r="F84" s="5" t="s">
        <v>60</v>
      </c>
      <c r="G84" s="5" t="s">
        <v>974</v>
      </c>
      <c r="H84" s="5">
        <v>8715</v>
      </c>
      <c r="I84" s="28" t="s">
        <v>1062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1063</v>
      </c>
      <c r="B85" s="5" t="s">
        <v>63</v>
      </c>
      <c r="C85" s="5" t="s">
        <v>4</v>
      </c>
      <c r="D85" s="5" t="s">
        <v>78</v>
      </c>
      <c r="E85" s="5">
        <v>2</v>
      </c>
      <c r="F85" s="5" t="s">
        <v>60</v>
      </c>
      <c r="G85" s="5" t="s">
        <v>974</v>
      </c>
      <c r="H85" s="5">
        <v>8716</v>
      </c>
      <c r="I85" s="28" t="s">
        <v>1064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1065</v>
      </c>
      <c r="B86" s="5" t="s">
        <v>65</v>
      </c>
      <c r="C86" s="5" t="s">
        <v>4</v>
      </c>
      <c r="D86" s="5" t="s">
        <v>78</v>
      </c>
      <c r="E86" s="5">
        <v>2</v>
      </c>
      <c r="F86" s="5" t="s">
        <v>60</v>
      </c>
      <c r="G86" s="5" t="s">
        <v>974</v>
      </c>
      <c r="H86" s="5">
        <v>8717</v>
      </c>
      <c r="I86" s="28" t="s">
        <v>1066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1067</v>
      </c>
      <c r="B87" s="5" t="s">
        <v>67</v>
      </c>
      <c r="C87" s="5" t="s">
        <v>4</v>
      </c>
      <c r="D87" s="5" t="s">
        <v>78</v>
      </c>
      <c r="E87" s="5">
        <v>2</v>
      </c>
      <c r="F87" s="5" t="s">
        <v>69</v>
      </c>
      <c r="G87" s="5" t="s">
        <v>974</v>
      </c>
      <c r="H87" s="5">
        <v>8718</v>
      </c>
      <c r="I87" s="28" t="s">
        <v>1068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1069</v>
      </c>
      <c r="B88" s="5" t="s">
        <v>70</v>
      </c>
      <c r="C88" s="5" t="s">
        <v>4</v>
      </c>
      <c r="D88" s="5" t="s">
        <v>78</v>
      </c>
      <c r="E88" s="5">
        <v>2</v>
      </c>
      <c r="F88" s="5" t="s">
        <v>54</v>
      </c>
      <c r="G88" s="5" t="s">
        <v>974</v>
      </c>
      <c r="H88" s="5">
        <v>8719</v>
      </c>
      <c r="I88" s="28" t="s">
        <v>1070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1071</v>
      </c>
      <c r="B89" s="5" t="s">
        <v>72</v>
      </c>
      <c r="C89" s="5" t="s">
        <v>4</v>
      </c>
      <c r="D89" s="5" t="s">
        <v>78</v>
      </c>
      <c r="E89" s="5">
        <v>2</v>
      </c>
      <c r="F89" s="5" t="s">
        <v>74</v>
      </c>
      <c r="G89" s="5" t="s">
        <v>989</v>
      </c>
      <c r="H89" s="5" t="s">
        <v>80</v>
      </c>
      <c r="I89" s="28" t="s">
        <v>80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1072</v>
      </c>
      <c r="B90" s="5" t="s">
        <v>80</v>
      </c>
      <c r="C90" s="5" t="s">
        <v>882</v>
      </c>
      <c r="D90" s="5" t="s">
        <v>83</v>
      </c>
      <c r="E90" s="5">
        <v>2</v>
      </c>
      <c r="F90" s="5" t="s">
        <v>82</v>
      </c>
      <c r="G90" s="5" t="s">
        <v>991</v>
      </c>
      <c r="H90" s="5">
        <v>8601</v>
      </c>
      <c r="I90" s="28" t="s">
        <v>1072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1073</v>
      </c>
      <c r="B91" s="5" t="s">
        <v>80</v>
      </c>
      <c r="C91" s="5" t="s">
        <v>883</v>
      </c>
      <c r="D91" s="5" t="s">
        <v>83</v>
      </c>
      <c r="E91" s="5">
        <v>2</v>
      </c>
      <c r="F91" s="5" t="s">
        <v>82</v>
      </c>
      <c r="G91" s="5" t="s">
        <v>991</v>
      </c>
      <c r="H91" s="5">
        <v>8602</v>
      </c>
      <c r="I91" s="28" t="s">
        <v>1073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1074</v>
      </c>
      <c r="B92" s="5" t="s">
        <v>80</v>
      </c>
      <c r="C92" s="5" t="s">
        <v>884</v>
      </c>
      <c r="D92" s="5" t="s">
        <v>83</v>
      </c>
      <c r="E92" s="5">
        <v>2</v>
      </c>
      <c r="F92" s="5" t="s">
        <v>82</v>
      </c>
      <c r="G92" s="5" t="s">
        <v>991</v>
      </c>
      <c r="H92" s="5">
        <v>8603</v>
      </c>
      <c r="I92" s="28" t="s">
        <v>1074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1075</v>
      </c>
      <c r="B93" s="5" t="s">
        <v>80</v>
      </c>
      <c r="C93" s="5" t="s">
        <v>886</v>
      </c>
      <c r="D93" s="5" t="s">
        <v>83</v>
      </c>
      <c r="E93" s="5">
        <v>2</v>
      </c>
      <c r="F93" s="5" t="s">
        <v>82</v>
      </c>
      <c r="G93" s="5" t="s">
        <v>991</v>
      </c>
      <c r="H93" s="5">
        <v>8604</v>
      </c>
      <c r="I93" s="28" t="s">
        <v>1075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1076</v>
      </c>
      <c r="B94" s="5" t="s">
        <v>80</v>
      </c>
      <c r="C94" s="5" t="s">
        <v>885</v>
      </c>
      <c r="D94" s="5" t="s">
        <v>83</v>
      </c>
      <c r="E94" s="5">
        <v>2</v>
      </c>
      <c r="F94" s="5" t="s">
        <v>82</v>
      </c>
      <c r="G94" s="5" t="s">
        <v>991</v>
      </c>
      <c r="H94" s="5">
        <v>8605</v>
      </c>
      <c r="I94" s="28" t="s">
        <v>1076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1077</v>
      </c>
      <c r="B95" s="5" t="s">
        <v>80</v>
      </c>
      <c r="C95" s="5" t="s">
        <v>887</v>
      </c>
      <c r="D95" s="5" t="s">
        <v>83</v>
      </c>
      <c r="E95" s="5">
        <v>2</v>
      </c>
      <c r="F95" s="5" t="s">
        <v>82</v>
      </c>
      <c r="G95" s="5" t="s">
        <v>991</v>
      </c>
      <c r="H95" s="5">
        <v>8606</v>
      </c>
      <c r="I95" s="28" t="s">
        <v>1077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1078</v>
      </c>
      <c r="B96" s="5" t="s">
        <v>80</v>
      </c>
      <c r="C96" s="5" t="s">
        <v>888</v>
      </c>
      <c r="D96" s="5" t="s">
        <v>83</v>
      </c>
      <c r="E96" s="5">
        <v>2</v>
      </c>
      <c r="F96" s="5" t="s">
        <v>82</v>
      </c>
      <c r="G96" s="5" t="s">
        <v>991</v>
      </c>
      <c r="H96" s="5">
        <v>8607</v>
      </c>
      <c r="I96" s="28" t="s">
        <v>1078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1079</v>
      </c>
      <c r="B97" s="5" t="s">
        <v>80</v>
      </c>
      <c r="C97" s="5" t="s">
        <v>889</v>
      </c>
      <c r="D97" s="5" t="s">
        <v>83</v>
      </c>
      <c r="E97" s="5">
        <v>2</v>
      </c>
      <c r="F97" s="5" t="s">
        <v>82</v>
      </c>
      <c r="G97" s="5" t="s">
        <v>991</v>
      </c>
      <c r="H97" s="5">
        <v>8608</v>
      </c>
      <c r="I97" s="28" t="s">
        <v>1079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1080</v>
      </c>
      <c r="B98" s="5" t="s">
        <v>80</v>
      </c>
      <c r="C98" s="5" t="s">
        <v>120</v>
      </c>
      <c r="D98" s="5" t="s">
        <v>83</v>
      </c>
      <c r="E98" s="5">
        <v>2</v>
      </c>
      <c r="F98" s="5" t="s">
        <v>82</v>
      </c>
      <c r="G98" s="5" t="s">
        <v>991</v>
      </c>
      <c r="H98" s="5">
        <v>8609</v>
      </c>
      <c r="I98" s="28" t="s">
        <v>1080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1081</v>
      </c>
      <c r="B99" s="5" t="s">
        <v>80</v>
      </c>
      <c r="C99" s="5" t="s">
        <v>46</v>
      </c>
      <c r="D99" s="5" t="s">
        <v>83</v>
      </c>
      <c r="E99" s="5">
        <v>2</v>
      </c>
      <c r="F99" s="5" t="s">
        <v>82</v>
      </c>
      <c r="G99" s="5" t="s">
        <v>991</v>
      </c>
      <c r="H99" s="5">
        <v>8610</v>
      </c>
      <c r="I99" s="28" t="s">
        <v>1081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1082</v>
      </c>
      <c r="B100" s="5" t="s">
        <v>80</v>
      </c>
      <c r="C100" s="5" t="s">
        <v>118</v>
      </c>
      <c r="D100" s="5" t="s">
        <v>83</v>
      </c>
      <c r="E100" s="5">
        <v>2</v>
      </c>
      <c r="F100" s="5" t="s">
        <v>82</v>
      </c>
      <c r="G100" s="5" t="s">
        <v>991</v>
      </c>
      <c r="H100" s="5">
        <v>8611</v>
      </c>
      <c r="I100" s="28" t="s">
        <v>1082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1083</v>
      </c>
      <c r="B101" s="5" t="s">
        <v>80</v>
      </c>
      <c r="C101" s="5" t="s">
        <v>890</v>
      </c>
      <c r="D101" s="5" t="s">
        <v>83</v>
      </c>
      <c r="E101" s="5">
        <v>2</v>
      </c>
      <c r="F101" s="5" t="s">
        <v>82</v>
      </c>
      <c r="G101" s="5" t="s">
        <v>991</v>
      </c>
      <c r="H101" s="5">
        <v>8612</v>
      </c>
      <c r="I101" s="28" t="s">
        <v>1083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1084</v>
      </c>
      <c r="B102" s="5" t="s">
        <v>80</v>
      </c>
      <c r="C102" s="5" t="s">
        <v>116</v>
      </c>
      <c r="D102" s="5" t="s">
        <v>83</v>
      </c>
      <c r="E102" s="5">
        <v>2</v>
      </c>
      <c r="F102" s="5" t="s">
        <v>82</v>
      </c>
      <c r="G102" s="5" t="s">
        <v>991</v>
      </c>
      <c r="H102" s="5">
        <v>8613</v>
      </c>
      <c r="I102" s="28" t="s">
        <v>1084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1085</v>
      </c>
      <c r="B103" s="5" t="s">
        <v>80</v>
      </c>
      <c r="C103" s="5" t="s">
        <v>891</v>
      </c>
      <c r="D103" s="5" t="s">
        <v>83</v>
      </c>
      <c r="E103" s="5">
        <v>2</v>
      </c>
      <c r="F103" s="5" t="s">
        <v>82</v>
      </c>
      <c r="G103" s="5" t="s">
        <v>991</v>
      </c>
      <c r="H103" s="5">
        <v>8614</v>
      </c>
      <c r="I103" s="28" t="s">
        <v>1085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1086</v>
      </c>
      <c r="B104" s="5" t="s">
        <v>80</v>
      </c>
      <c r="C104" s="5" t="s">
        <v>892</v>
      </c>
      <c r="D104" s="5" t="s">
        <v>83</v>
      </c>
      <c r="E104" s="5">
        <v>2</v>
      </c>
      <c r="F104" s="5" t="s">
        <v>82</v>
      </c>
      <c r="G104" s="5" t="s">
        <v>991</v>
      </c>
      <c r="H104" s="5">
        <v>8615</v>
      </c>
      <c r="I104" s="28" t="s">
        <v>1086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1087</v>
      </c>
      <c r="B105" s="5" t="s">
        <v>80</v>
      </c>
      <c r="C105" s="5" t="s">
        <v>893</v>
      </c>
      <c r="D105" s="5" t="s">
        <v>83</v>
      </c>
      <c r="E105" s="5">
        <v>2</v>
      </c>
      <c r="F105" s="5" t="s">
        <v>82</v>
      </c>
      <c r="G105" s="5" t="s">
        <v>991</v>
      </c>
      <c r="H105" s="5">
        <v>8616</v>
      </c>
      <c r="I105" s="28" t="s">
        <v>1087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1088</v>
      </c>
      <c r="B106" s="5" t="s">
        <v>80</v>
      </c>
      <c r="C106" s="5" t="s">
        <v>894</v>
      </c>
      <c r="D106" s="5" t="s">
        <v>83</v>
      </c>
      <c r="E106" s="5">
        <v>2</v>
      </c>
      <c r="F106" s="5" t="s">
        <v>82</v>
      </c>
      <c r="G106" s="5" t="s">
        <v>991</v>
      </c>
      <c r="H106" s="5">
        <v>8617</v>
      </c>
      <c r="I106" s="28" t="s">
        <v>1088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1089</v>
      </c>
      <c r="B107" s="5" t="s">
        <v>80</v>
      </c>
      <c r="C107" s="5" t="s">
        <v>882</v>
      </c>
      <c r="D107" s="5" t="s">
        <v>85</v>
      </c>
      <c r="E107" s="5">
        <v>2</v>
      </c>
      <c r="F107" s="5" t="s">
        <v>82</v>
      </c>
      <c r="G107" s="5" t="s">
        <v>84</v>
      </c>
      <c r="H107" s="5">
        <v>8734</v>
      </c>
      <c r="I107" s="28" t="s">
        <v>1089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1090</v>
      </c>
      <c r="B108" s="5" t="s">
        <v>80</v>
      </c>
      <c r="C108" s="5" t="s">
        <v>883</v>
      </c>
      <c r="D108" s="5" t="s">
        <v>85</v>
      </c>
      <c r="E108" s="5">
        <v>2</v>
      </c>
      <c r="F108" s="5" t="s">
        <v>82</v>
      </c>
      <c r="G108" s="5" t="s">
        <v>84</v>
      </c>
      <c r="H108" s="5">
        <v>8735</v>
      </c>
      <c r="I108" s="28" t="s">
        <v>1090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1091</v>
      </c>
      <c r="B109" s="5" t="s">
        <v>80</v>
      </c>
      <c r="C109" s="5" t="s">
        <v>884</v>
      </c>
      <c r="D109" s="5" t="s">
        <v>85</v>
      </c>
      <c r="E109" s="5">
        <v>2</v>
      </c>
      <c r="F109" s="5" t="s">
        <v>82</v>
      </c>
      <c r="G109" s="5" t="s">
        <v>84</v>
      </c>
      <c r="H109" s="5">
        <v>8736</v>
      </c>
      <c r="I109" s="28" t="s">
        <v>1091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1092</v>
      </c>
      <c r="B110" s="5" t="s">
        <v>80</v>
      </c>
      <c r="C110" s="5" t="s">
        <v>886</v>
      </c>
      <c r="D110" s="5" t="s">
        <v>85</v>
      </c>
      <c r="E110" s="5">
        <v>2</v>
      </c>
      <c r="F110" s="5" t="s">
        <v>82</v>
      </c>
      <c r="G110" s="5" t="s">
        <v>84</v>
      </c>
      <c r="H110" s="5">
        <v>8737</v>
      </c>
      <c r="I110" s="28" t="s">
        <v>1093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1093</v>
      </c>
      <c r="B111" s="5" t="s">
        <v>80</v>
      </c>
      <c r="C111" s="5" t="s">
        <v>885</v>
      </c>
      <c r="D111" s="5" t="s">
        <v>85</v>
      </c>
      <c r="E111" s="5">
        <v>2</v>
      </c>
      <c r="F111" s="5" t="s">
        <v>82</v>
      </c>
      <c r="G111" s="5" t="s">
        <v>84</v>
      </c>
      <c r="H111" s="5">
        <v>8738</v>
      </c>
      <c r="I111" s="28" t="s">
        <v>1092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1094</v>
      </c>
      <c r="B112" s="5" t="s">
        <v>80</v>
      </c>
      <c r="C112" s="5" t="s">
        <v>887</v>
      </c>
      <c r="D112" s="5" t="s">
        <v>85</v>
      </c>
      <c r="E112" s="5">
        <v>2</v>
      </c>
      <c r="F112" s="5" t="s">
        <v>82</v>
      </c>
      <c r="G112" s="5" t="s">
        <v>84</v>
      </c>
      <c r="H112" s="5">
        <v>8739</v>
      </c>
      <c r="I112" s="28" t="s">
        <v>1094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1095</v>
      </c>
      <c r="B113" s="5" t="s">
        <v>80</v>
      </c>
      <c r="C113" s="5" t="s">
        <v>888</v>
      </c>
      <c r="D113" s="5" t="s">
        <v>85</v>
      </c>
      <c r="E113" s="5">
        <v>2</v>
      </c>
      <c r="F113" s="5" t="s">
        <v>82</v>
      </c>
      <c r="G113" s="5" t="s">
        <v>84</v>
      </c>
      <c r="H113" s="5">
        <v>8740</v>
      </c>
      <c r="I113" s="28" t="s">
        <v>1095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1096</v>
      </c>
      <c r="B114" s="5" t="s">
        <v>80</v>
      </c>
      <c r="C114" s="5" t="s">
        <v>889</v>
      </c>
      <c r="D114" s="5" t="s">
        <v>85</v>
      </c>
      <c r="E114" s="5">
        <v>2</v>
      </c>
      <c r="F114" s="5" t="s">
        <v>82</v>
      </c>
      <c r="G114" s="5" t="s">
        <v>84</v>
      </c>
      <c r="H114" s="5">
        <v>8741</v>
      </c>
      <c r="I114" s="28" t="s">
        <v>1096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1097</v>
      </c>
      <c r="B115" s="5" t="s">
        <v>80</v>
      </c>
      <c r="C115" s="5" t="s">
        <v>120</v>
      </c>
      <c r="D115" s="5" t="s">
        <v>85</v>
      </c>
      <c r="E115" s="5">
        <v>2</v>
      </c>
      <c r="F115" s="5" t="s">
        <v>82</v>
      </c>
      <c r="G115" s="5" t="s">
        <v>84</v>
      </c>
      <c r="H115" s="5">
        <v>8742</v>
      </c>
      <c r="I115" s="28" t="s">
        <v>1097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1098</v>
      </c>
      <c r="B116" s="5" t="s">
        <v>80</v>
      </c>
      <c r="C116" s="5" t="s">
        <v>46</v>
      </c>
      <c r="D116" s="5" t="s">
        <v>85</v>
      </c>
      <c r="E116" s="5">
        <v>2</v>
      </c>
      <c r="F116" s="5" t="s">
        <v>82</v>
      </c>
      <c r="G116" s="5" t="s">
        <v>84</v>
      </c>
      <c r="H116" s="5">
        <v>8743</v>
      </c>
      <c r="I116" s="28" t="s">
        <v>1098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1099</v>
      </c>
      <c r="B117" s="5" t="s">
        <v>80</v>
      </c>
      <c r="C117" s="5" t="s">
        <v>118</v>
      </c>
      <c r="D117" s="5" t="s">
        <v>85</v>
      </c>
      <c r="E117" s="5">
        <v>2</v>
      </c>
      <c r="F117" s="5" t="s">
        <v>82</v>
      </c>
      <c r="G117" s="5" t="s">
        <v>84</v>
      </c>
      <c r="H117" s="5">
        <v>8744</v>
      </c>
      <c r="I117" s="28" t="s">
        <v>1099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1100</v>
      </c>
      <c r="B118" s="5" t="s">
        <v>80</v>
      </c>
      <c r="C118" s="5" t="s">
        <v>890</v>
      </c>
      <c r="D118" s="5" t="s">
        <v>85</v>
      </c>
      <c r="E118" s="5">
        <v>2</v>
      </c>
      <c r="F118" s="5" t="s">
        <v>82</v>
      </c>
      <c r="G118" s="5" t="s">
        <v>84</v>
      </c>
      <c r="H118" s="5">
        <v>8745</v>
      </c>
      <c r="I118" s="28" t="s">
        <v>1100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1101</v>
      </c>
      <c r="B119" s="5" t="s">
        <v>80</v>
      </c>
      <c r="C119" s="5" t="s">
        <v>116</v>
      </c>
      <c r="D119" s="5" t="s">
        <v>85</v>
      </c>
      <c r="E119" s="5">
        <v>2</v>
      </c>
      <c r="F119" s="5" t="s">
        <v>82</v>
      </c>
      <c r="G119" s="5" t="s">
        <v>84</v>
      </c>
      <c r="H119" s="5">
        <v>8746</v>
      </c>
      <c r="I119" s="28" t="s">
        <v>1101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1102</v>
      </c>
      <c r="B120" s="5" t="s">
        <v>80</v>
      </c>
      <c r="C120" s="5" t="s">
        <v>891</v>
      </c>
      <c r="D120" s="5" t="s">
        <v>85</v>
      </c>
      <c r="E120" s="5">
        <v>2</v>
      </c>
      <c r="F120" s="5" t="s">
        <v>82</v>
      </c>
      <c r="G120" s="5" t="s">
        <v>84</v>
      </c>
      <c r="H120" s="5">
        <v>8747</v>
      </c>
      <c r="I120" s="28" t="s">
        <v>1102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1103</v>
      </c>
      <c r="B121" s="5" t="s">
        <v>80</v>
      </c>
      <c r="C121" s="5" t="s">
        <v>892</v>
      </c>
      <c r="D121" s="5" t="s">
        <v>85</v>
      </c>
      <c r="E121" s="5">
        <v>2</v>
      </c>
      <c r="F121" s="5" t="s">
        <v>82</v>
      </c>
      <c r="G121" s="5" t="s">
        <v>84</v>
      </c>
      <c r="H121" s="5">
        <v>8748</v>
      </c>
      <c r="I121" s="28" t="s">
        <v>1103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1104</v>
      </c>
      <c r="B122" s="5" t="s">
        <v>80</v>
      </c>
      <c r="C122" s="5" t="s">
        <v>893</v>
      </c>
      <c r="D122" s="5" t="s">
        <v>85</v>
      </c>
      <c r="E122" s="5">
        <v>2</v>
      </c>
      <c r="F122" s="5" t="s">
        <v>82</v>
      </c>
      <c r="G122" s="5" t="s">
        <v>84</v>
      </c>
      <c r="H122" s="5">
        <v>8749</v>
      </c>
      <c r="I122" s="28" t="s">
        <v>1104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1105</v>
      </c>
      <c r="B123" s="5" t="s">
        <v>80</v>
      </c>
      <c r="C123" s="5" t="s">
        <v>894</v>
      </c>
      <c r="D123" s="5" t="s">
        <v>85</v>
      </c>
      <c r="E123" s="5">
        <v>2</v>
      </c>
      <c r="F123" s="5" t="s">
        <v>82</v>
      </c>
      <c r="G123" s="5" t="s">
        <v>84</v>
      </c>
      <c r="H123" s="5">
        <v>8750</v>
      </c>
      <c r="I123" s="28" t="s">
        <v>1105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932</v>
      </c>
      <c r="B1" s="50" t="s">
        <v>934</v>
      </c>
      <c r="C1" s="50" t="s">
        <v>50</v>
      </c>
      <c r="D1" s="50" t="s">
        <v>37</v>
      </c>
      <c r="E1" s="50" t="s">
        <v>935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1106</v>
      </c>
      <c r="B2" s="5" t="s">
        <v>88</v>
      </c>
      <c r="C2" s="5">
        <v>1</v>
      </c>
      <c r="D2" s="5" t="s">
        <v>86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1107</v>
      </c>
      <c r="B3" s="5" t="s">
        <v>91</v>
      </c>
      <c r="C3" s="5">
        <v>1</v>
      </c>
      <c r="D3" s="5" t="s">
        <v>1108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1109</v>
      </c>
      <c r="B4" s="5" t="s">
        <v>93</v>
      </c>
      <c r="C4" s="5">
        <v>1</v>
      </c>
      <c r="D4" s="5" t="s">
        <v>1110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1111</v>
      </c>
      <c r="B5" s="5" t="s">
        <v>88</v>
      </c>
      <c r="C5" s="5">
        <v>2</v>
      </c>
      <c r="D5" s="5" t="s">
        <v>86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1112</v>
      </c>
      <c r="B6" s="5" t="s">
        <v>91</v>
      </c>
      <c r="C6" s="5">
        <v>2</v>
      </c>
      <c r="D6" s="5" t="s">
        <v>1108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1113</v>
      </c>
      <c r="B7" s="5" t="s">
        <v>93</v>
      </c>
      <c r="C7" s="5">
        <v>2</v>
      </c>
      <c r="D7" s="5" t="s">
        <v>1110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932</v>
      </c>
      <c r="B1" s="50" t="s">
        <v>1114</v>
      </c>
      <c r="C1" s="50" t="s">
        <v>1115</v>
      </c>
      <c r="D1" s="50" t="s">
        <v>233</v>
      </c>
      <c r="E1" s="50" t="s">
        <v>235</v>
      </c>
      <c r="F1" s="50" t="s">
        <v>7</v>
      </c>
      <c r="G1" s="50" t="s">
        <v>1116</v>
      </c>
      <c r="H1" s="50"/>
      <c r="I1" s="50" t="s">
        <v>35</v>
      </c>
      <c r="J1" s="50" t="s">
        <v>1117</v>
      </c>
      <c r="K1" s="50" t="s">
        <v>1118</v>
      </c>
    </row>
    <row r="2" spans="1:11" x14ac:dyDescent="0.45">
      <c r="A2" s="28" t="s">
        <v>1119</v>
      </c>
      <c r="B2" s="5" t="s">
        <v>645</v>
      </c>
      <c r="C2" s="5" t="s">
        <v>52</v>
      </c>
      <c r="D2" s="23">
        <v>0</v>
      </c>
      <c r="E2" s="23">
        <v>0.3</v>
      </c>
      <c r="F2" s="23">
        <v>0.5</v>
      </c>
      <c r="G2" s="23">
        <v>0.7</v>
      </c>
      <c r="I2" s="2" t="s">
        <v>52</v>
      </c>
      <c r="J2" t="s">
        <v>52</v>
      </c>
      <c r="K2" t="s">
        <v>52</v>
      </c>
    </row>
    <row r="3" spans="1:11" x14ac:dyDescent="0.45">
      <c r="A3" s="28" t="s">
        <v>1120</v>
      </c>
      <c r="B3" s="5" t="s">
        <v>645</v>
      </c>
      <c r="C3" s="5" t="s">
        <v>56</v>
      </c>
      <c r="D3" s="23">
        <v>0.5</v>
      </c>
      <c r="E3" s="23">
        <v>0.3</v>
      </c>
      <c r="F3" s="23">
        <v>1</v>
      </c>
      <c r="G3" s="23">
        <v>1</v>
      </c>
      <c r="I3" s="2" t="s">
        <v>56</v>
      </c>
      <c r="J3" t="s">
        <v>56</v>
      </c>
      <c r="K3" t="s">
        <v>56</v>
      </c>
    </row>
    <row r="4" spans="1:11" x14ac:dyDescent="0.45">
      <c r="A4" s="28" t="s">
        <v>1121</v>
      </c>
      <c r="B4" s="5" t="s">
        <v>645</v>
      </c>
      <c r="C4" s="5" t="s">
        <v>58</v>
      </c>
      <c r="D4" s="23">
        <v>0.7</v>
      </c>
      <c r="E4" s="23">
        <v>0.5</v>
      </c>
      <c r="F4" s="23">
        <v>0.5</v>
      </c>
      <c r="G4" s="23">
        <v>0.5</v>
      </c>
      <c r="I4" s="2" t="s">
        <v>58</v>
      </c>
      <c r="J4" t="s">
        <v>58</v>
      </c>
      <c r="K4" t="s">
        <v>1122</v>
      </c>
    </row>
    <row r="5" spans="1:11" x14ac:dyDescent="0.45">
      <c r="A5" s="28" t="s">
        <v>1123</v>
      </c>
      <c r="B5" s="5" t="s">
        <v>645</v>
      </c>
      <c r="C5" s="5" t="s">
        <v>61</v>
      </c>
      <c r="D5" s="23">
        <v>0.6</v>
      </c>
      <c r="E5" s="23">
        <v>0.5</v>
      </c>
      <c r="F5" s="23">
        <v>0.5</v>
      </c>
      <c r="G5" s="23">
        <v>0.5</v>
      </c>
      <c r="I5" s="2" t="s">
        <v>61</v>
      </c>
      <c r="J5" t="s">
        <v>61</v>
      </c>
      <c r="K5" t="s">
        <v>1122</v>
      </c>
    </row>
    <row r="6" spans="1:11" x14ac:dyDescent="0.45">
      <c r="A6" s="28" t="s">
        <v>1124</v>
      </c>
      <c r="B6" s="5" t="s">
        <v>645</v>
      </c>
      <c r="C6" s="5" t="s">
        <v>1122</v>
      </c>
      <c r="D6" s="23">
        <v>0.8</v>
      </c>
      <c r="E6" s="23">
        <v>0.5</v>
      </c>
      <c r="F6" s="23">
        <v>0.8</v>
      </c>
      <c r="G6" s="23">
        <v>1.2</v>
      </c>
      <c r="I6" s="2" t="s">
        <v>63</v>
      </c>
      <c r="J6" t="s">
        <v>1122</v>
      </c>
      <c r="K6" t="s">
        <v>1122</v>
      </c>
    </row>
    <row r="7" spans="1:11" x14ac:dyDescent="0.45">
      <c r="A7" s="28" t="s">
        <v>1125</v>
      </c>
      <c r="B7" s="5" t="s">
        <v>645</v>
      </c>
      <c r="C7" s="5" t="s">
        <v>70</v>
      </c>
      <c r="D7" s="23">
        <v>0</v>
      </c>
      <c r="E7" s="23">
        <v>0.1</v>
      </c>
      <c r="F7" s="23">
        <v>0.1</v>
      </c>
      <c r="G7" s="23">
        <v>0.1</v>
      </c>
      <c r="I7" s="2" t="s">
        <v>65</v>
      </c>
      <c r="J7" t="s">
        <v>1122</v>
      </c>
      <c r="K7" t="s">
        <v>1122</v>
      </c>
    </row>
    <row r="8" spans="1:11" x14ac:dyDescent="0.45">
      <c r="A8" s="28" t="s">
        <v>1126</v>
      </c>
      <c r="B8" s="5" t="s">
        <v>645</v>
      </c>
      <c r="C8" s="5" t="s">
        <v>72</v>
      </c>
      <c r="D8" s="23">
        <v>1</v>
      </c>
      <c r="E8" s="23">
        <v>0.8</v>
      </c>
      <c r="F8" s="23">
        <v>0.8</v>
      </c>
      <c r="G8" s="23">
        <v>1</v>
      </c>
      <c r="I8" s="2" t="s">
        <v>67</v>
      </c>
      <c r="J8" t="s">
        <v>1122</v>
      </c>
      <c r="K8" t="s">
        <v>1122</v>
      </c>
    </row>
    <row r="9" spans="1:11" x14ac:dyDescent="0.45">
      <c r="A9" s="28" t="s">
        <v>1127</v>
      </c>
      <c r="B9" s="5" t="s">
        <v>645</v>
      </c>
      <c r="C9" s="5" t="s">
        <v>1128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70</v>
      </c>
      <c r="J9" t="s">
        <v>70</v>
      </c>
      <c r="K9" t="s">
        <v>70</v>
      </c>
    </row>
    <row r="10" spans="1:11" x14ac:dyDescent="0.45">
      <c r="A10" s="28" t="s">
        <v>1129</v>
      </c>
      <c r="B10" s="5" t="s">
        <v>1130</v>
      </c>
      <c r="C10" s="5" t="s">
        <v>52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72</v>
      </c>
      <c r="J10" t="s">
        <v>72</v>
      </c>
      <c r="K10" t="s">
        <v>72</v>
      </c>
    </row>
    <row r="11" spans="1:11" x14ac:dyDescent="0.45">
      <c r="A11" s="28" t="s">
        <v>1131</v>
      </c>
      <c r="B11" s="5" t="s">
        <v>1130</v>
      </c>
      <c r="C11" s="5" t="s">
        <v>56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1132</v>
      </c>
      <c r="B12" s="5" t="s">
        <v>1130</v>
      </c>
      <c r="C12" s="5" t="s">
        <v>58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1133</v>
      </c>
      <c r="B13" s="5" t="s">
        <v>1130</v>
      </c>
      <c r="C13" s="5" t="s">
        <v>61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1134</v>
      </c>
      <c r="B14" s="5" t="s">
        <v>1130</v>
      </c>
      <c r="C14" s="5" t="s">
        <v>1122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1135</v>
      </c>
      <c r="B15" s="5" t="s">
        <v>1130</v>
      </c>
      <c r="C15" s="5" t="s">
        <v>70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1136</v>
      </c>
      <c r="B16" s="5" t="s">
        <v>1130</v>
      </c>
      <c r="C16" s="5" t="s">
        <v>72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1137</v>
      </c>
      <c r="B17" s="5" t="s">
        <v>1130</v>
      </c>
      <c r="C17" s="5" t="s">
        <v>1128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1138</v>
      </c>
      <c r="B18" s="5" t="s">
        <v>1139</v>
      </c>
      <c r="C18" s="5" t="s">
        <v>52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1140</v>
      </c>
      <c r="B19" s="5" t="s">
        <v>1139</v>
      </c>
      <c r="C19" s="5" t="s">
        <v>56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1141</v>
      </c>
      <c r="B20" s="5" t="s">
        <v>1139</v>
      </c>
      <c r="C20" s="5" t="s">
        <v>58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1142</v>
      </c>
      <c r="B21" s="5" t="s">
        <v>1139</v>
      </c>
      <c r="C21" s="5" t="s">
        <v>61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1143</v>
      </c>
      <c r="B22" s="5" t="s">
        <v>1139</v>
      </c>
      <c r="C22" s="5" t="s">
        <v>1122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1144</v>
      </c>
      <c r="B23" s="5" t="s">
        <v>1139</v>
      </c>
      <c r="C23" s="5" t="s">
        <v>70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1145</v>
      </c>
      <c r="B24" s="5" t="s">
        <v>1139</v>
      </c>
      <c r="C24" s="5" t="s">
        <v>72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1146</v>
      </c>
      <c r="B25" s="5" t="s">
        <v>1139</v>
      </c>
      <c r="C25" s="5" t="s">
        <v>1128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1147</v>
      </c>
      <c r="B26" s="5" t="s">
        <v>1148</v>
      </c>
      <c r="C26" s="5" t="s">
        <v>52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1149</v>
      </c>
      <c r="B27" s="5" t="s">
        <v>1148</v>
      </c>
      <c r="C27" s="5" t="s">
        <v>56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1150</v>
      </c>
      <c r="B28" s="5" t="s">
        <v>1148</v>
      </c>
      <c r="C28" s="5" t="s">
        <v>1122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1151</v>
      </c>
      <c r="B29" s="5" t="s">
        <v>1148</v>
      </c>
      <c r="C29" s="5" t="s">
        <v>70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1152</v>
      </c>
      <c r="B30" s="5" t="s">
        <v>1148</v>
      </c>
      <c r="C30" s="5" t="s">
        <v>72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1153</v>
      </c>
      <c r="B31" s="5" t="s">
        <v>1148</v>
      </c>
      <c r="C31" s="5" t="s">
        <v>1128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580"/>
  <sheetViews>
    <sheetView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1155</v>
      </c>
    </row>
    <row r="2" spans="1:35" x14ac:dyDescent="0.45">
      <c r="A2" s="2" t="s">
        <v>1156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1157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1158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41</v>
      </c>
      <c r="B5" s="50" t="s">
        <v>35</v>
      </c>
      <c r="C5" s="50" t="s">
        <v>36</v>
      </c>
      <c r="D5" s="50" t="s">
        <v>50</v>
      </c>
      <c r="E5" s="50" t="s">
        <v>1159</v>
      </c>
      <c r="F5" s="50" t="s">
        <v>1160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1161</v>
      </c>
      <c r="B6" s="5" t="s">
        <v>52</v>
      </c>
      <c r="C6" s="5" t="s">
        <v>46</v>
      </c>
      <c r="D6" s="5">
        <v>1</v>
      </c>
      <c r="E6" s="5" t="s">
        <v>1162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1161</v>
      </c>
      <c r="B7" s="5" t="s">
        <v>52</v>
      </c>
      <c r="C7" s="5" t="s">
        <v>46</v>
      </c>
      <c r="D7" s="5">
        <v>1</v>
      </c>
      <c r="E7" s="5" t="s">
        <v>1163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1161</v>
      </c>
      <c r="B8" s="5" t="s">
        <v>52</v>
      </c>
      <c r="C8" s="5" t="s">
        <v>46</v>
      </c>
      <c r="D8" s="5">
        <v>1</v>
      </c>
      <c r="E8" s="2" t="s">
        <v>1164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1165</v>
      </c>
      <c r="B10" s="5" t="s">
        <v>56</v>
      </c>
      <c r="C10" s="5" t="s">
        <v>46</v>
      </c>
      <c r="D10" s="5">
        <v>1</v>
      </c>
      <c r="E10" s="5" t="s">
        <v>1162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1165</v>
      </c>
      <c r="B11" s="5" t="s">
        <v>56</v>
      </c>
      <c r="C11" s="5" t="s">
        <v>46</v>
      </c>
      <c r="D11" s="5">
        <v>1</v>
      </c>
      <c r="E11" s="5" t="s">
        <v>1163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1165</v>
      </c>
      <c r="B12" s="5" t="s">
        <v>56</v>
      </c>
      <c r="C12" s="5" t="s">
        <v>46</v>
      </c>
      <c r="D12" s="5">
        <v>1</v>
      </c>
      <c r="E12" s="2" t="s">
        <v>1164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1166</v>
      </c>
      <c r="B14" s="5" t="s">
        <v>58</v>
      </c>
      <c r="C14" s="5" t="s">
        <v>46</v>
      </c>
      <c r="D14" s="5">
        <v>1</v>
      </c>
      <c r="E14" s="5" t="s">
        <v>1162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1166</v>
      </c>
      <c r="B15" s="5" t="s">
        <v>58</v>
      </c>
      <c r="C15" s="5" t="s">
        <v>46</v>
      </c>
      <c r="D15" s="5">
        <v>1</v>
      </c>
      <c r="E15" s="5" t="s">
        <v>1163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1166</v>
      </c>
      <c r="B16" s="5" t="s">
        <v>58</v>
      </c>
      <c r="C16" s="5" t="s">
        <v>46</v>
      </c>
      <c r="D16" s="5">
        <v>1</v>
      </c>
      <c r="E16" s="2" t="s">
        <v>1164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1167</v>
      </c>
      <c r="B18" s="5" t="s">
        <v>61</v>
      </c>
      <c r="C18" s="5" t="s">
        <v>46</v>
      </c>
      <c r="D18" s="5">
        <v>1</v>
      </c>
      <c r="E18" s="5" t="s">
        <v>1162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1167</v>
      </c>
      <c r="B19" s="5" t="s">
        <v>61</v>
      </c>
      <c r="C19" s="5" t="s">
        <v>46</v>
      </c>
      <c r="D19" s="5">
        <v>1</v>
      </c>
      <c r="E19" s="5" t="s">
        <v>1163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1167</v>
      </c>
      <c r="B20" s="5" t="s">
        <v>61</v>
      </c>
      <c r="C20" s="5" t="s">
        <v>46</v>
      </c>
      <c r="D20" s="5">
        <v>1</v>
      </c>
      <c r="E20" s="2" t="s">
        <v>1164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1168</v>
      </c>
      <c r="B22" s="5" t="s">
        <v>63</v>
      </c>
      <c r="C22" s="5" t="s">
        <v>46</v>
      </c>
      <c r="D22" s="5">
        <v>1</v>
      </c>
      <c r="E22" s="5" t="s">
        <v>1162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1168</v>
      </c>
      <c r="B23" s="5" t="s">
        <v>63</v>
      </c>
      <c r="C23" s="5" t="s">
        <v>46</v>
      </c>
      <c r="D23" s="5">
        <v>1</v>
      </c>
      <c r="E23" s="5" t="s">
        <v>1163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1168</v>
      </c>
      <c r="B24" s="5" t="s">
        <v>63</v>
      </c>
      <c r="C24" s="5" t="s">
        <v>46</v>
      </c>
      <c r="D24" s="5">
        <v>1</v>
      </c>
      <c r="E24" s="2" t="s">
        <v>1164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1169</v>
      </c>
      <c r="B26" s="5" t="s">
        <v>65</v>
      </c>
      <c r="C26" s="5" t="s">
        <v>46</v>
      </c>
      <c r="D26" s="5">
        <v>1</v>
      </c>
      <c r="E26" s="5" t="s">
        <v>1162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1169</v>
      </c>
      <c r="B27" s="5" t="s">
        <v>65</v>
      </c>
      <c r="C27" s="5" t="s">
        <v>46</v>
      </c>
      <c r="D27" s="5">
        <v>1</v>
      </c>
      <c r="E27" s="5" t="s">
        <v>1163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1169</v>
      </c>
      <c r="B28" s="5" t="s">
        <v>65</v>
      </c>
      <c r="C28" s="5" t="s">
        <v>46</v>
      </c>
      <c r="D28" s="5">
        <v>1</v>
      </c>
      <c r="E28" s="2" t="s">
        <v>1164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1170</v>
      </c>
      <c r="B30" s="5" t="s">
        <v>67</v>
      </c>
      <c r="C30" s="5" t="s">
        <v>46</v>
      </c>
      <c r="D30" s="5">
        <v>1</v>
      </c>
      <c r="E30" s="5" t="s">
        <v>1162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1170</v>
      </c>
      <c r="B31" s="5" t="s">
        <v>67</v>
      </c>
      <c r="C31" s="5" t="s">
        <v>46</v>
      </c>
      <c r="D31" s="5">
        <v>1</v>
      </c>
      <c r="E31" s="5" t="s">
        <v>1163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1170</v>
      </c>
      <c r="B32" s="5" t="s">
        <v>67</v>
      </c>
      <c r="C32" s="5" t="s">
        <v>46</v>
      </c>
      <c r="D32" s="5">
        <v>1</v>
      </c>
      <c r="E32" s="2" t="s">
        <v>1164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1171</v>
      </c>
      <c r="B34" s="5" t="s">
        <v>70</v>
      </c>
      <c r="C34" s="5" t="s">
        <v>46</v>
      </c>
      <c r="D34" s="5">
        <v>1</v>
      </c>
      <c r="E34" s="5" t="s">
        <v>1162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1171</v>
      </c>
      <c r="B35" s="5" t="s">
        <v>70</v>
      </c>
      <c r="C35" s="5" t="s">
        <v>46</v>
      </c>
      <c r="D35" s="5">
        <v>1</v>
      </c>
      <c r="E35" s="5" t="s">
        <v>1163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1171</v>
      </c>
      <c r="B36" s="5" t="s">
        <v>70</v>
      </c>
      <c r="C36" s="5" t="s">
        <v>46</v>
      </c>
      <c r="D36" s="5">
        <v>1</v>
      </c>
      <c r="E36" s="2" t="s">
        <v>1164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1172</v>
      </c>
      <c r="B38" s="5" t="s">
        <v>72</v>
      </c>
      <c r="C38" s="5" t="s">
        <v>46</v>
      </c>
      <c r="D38" s="5">
        <v>1</v>
      </c>
      <c r="E38" s="5" t="s">
        <v>1162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1172</v>
      </c>
      <c r="B39" s="5" t="s">
        <v>72</v>
      </c>
      <c r="C39" s="5" t="s">
        <v>46</v>
      </c>
      <c r="D39" s="5">
        <v>1</v>
      </c>
      <c r="E39" s="5" t="s">
        <v>1163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1172</v>
      </c>
      <c r="B40" s="5" t="s">
        <v>72</v>
      </c>
      <c r="C40" s="5" t="s">
        <v>46</v>
      </c>
      <c r="D40" s="5">
        <v>1</v>
      </c>
      <c r="E40" s="2" t="s">
        <v>1164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1173</v>
      </c>
      <c r="B42" s="5" t="s">
        <v>52</v>
      </c>
      <c r="C42" s="5" t="s">
        <v>116</v>
      </c>
      <c r="D42" s="5">
        <v>1</v>
      </c>
      <c r="E42" s="5" t="s">
        <v>1162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1173</v>
      </c>
      <c r="B43" s="5" t="s">
        <v>52</v>
      </c>
      <c r="C43" s="5" t="s">
        <v>116</v>
      </c>
      <c r="D43" s="5">
        <v>1</v>
      </c>
      <c r="E43" s="5" t="s">
        <v>1163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1173</v>
      </c>
      <c r="B44" s="5" t="s">
        <v>52</v>
      </c>
      <c r="C44" s="5" t="s">
        <v>116</v>
      </c>
      <c r="D44" s="5">
        <v>1</v>
      </c>
      <c r="E44" s="2" t="s">
        <v>1164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1174</v>
      </c>
      <c r="B46" s="5" t="s">
        <v>56</v>
      </c>
      <c r="C46" s="5" t="s">
        <v>116</v>
      </c>
      <c r="D46" s="5">
        <v>1</v>
      </c>
      <c r="E46" s="5" t="s">
        <v>1162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1174</v>
      </c>
      <c r="B47" s="5" t="s">
        <v>56</v>
      </c>
      <c r="C47" s="5" t="s">
        <v>116</v>
      </c>
      <c r="D47" s="5">
        <v>1</v>
      </c>
      <c r="E47" s="5" t="s">
        <v>1163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1174</v>
      </c>
      <c r="B48" s="5" t="s">
        <v>56</v>
      </c>
      <c r="C48" s="5" t="s">
        <v>116</v>
      </c>
      <c r="D48" s="5">
        <v>1</v>
      </c>
      <c r="E48" s="2" t="s">
        <v>1164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1175</v>
      </c>
      <c r="B50" s="5" t="s">
        <v>58</v>
      </c>
      <c r="C50" s="5" t="s">
        <v>116</v>
      </c>
      <c r="D50" s="5">
        <v>1</v>
      </c>
      <c r="E50" s="5" t="s">
        <v>1162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1175</v>
      </c>
      <c r="B51" s="5" t="s">
        <v>58</v>
      </c>
      <c r="C51" s="5" t="s">
        <v>116</v>
      </c>
      <c r="D51" s="5">
        <v>1</v>
      </c>
      <c r="E51" s="5" t="s">
        <v>1163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1175</v>
      </c>
      <c r="B52" s="5" t="s">
        <v>58</v>
      </c>
      <c r="C52" s="5" t="s">
        <v>116</v>
      </c>
      <c r="D52" s="5">
        <v>1</v>
      </c>
      <c r="E52" s="2" t="s">
        <v>1164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1176</v>
      </c>
      <c r="B54" s="5" t="s">
        <v>61</v>
      </c>
      <c r="C54" s="5" t="s">
        <v>116</v>
      </c>
      <c r="D54" s="5">
        <v>1</v>
      </c>
      <c r="E54" s="5" t="s">
        <v>1162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1176</v>
      </c>
      <c r="B55" s="5" t="s">
        <v>61</v>
      </c>
      <c r="C55" s="5" t="s">
        <v>116</v>
      </c>
      <c r="D55" s="5">
        <v>1</v>
      </c>
      <c r="E55" s="5" t="s">
        <v>1163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1176</v>
      </c>
      <c r="B56" s="5" t="s">
        <v>61</v>
      </c>
      <c r="C56" s="5" t="s">
        <v>116</v>
      </c>
      <c r="D56" s="5">
        <v>1</v>
      </c>
      <c r="E56" s="2" t="s">
        <v>1164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1177</v>
      </c>
      <c r="B58" s="5" t="s">
        <v>63</v>
      </c>
      <c r="C58" s="5" t="s">
        <v>116</v>
      </c>
      <c r="D58" s="5">
        <v>1</v>
      </c>
      <c r="E58" s="5" t="s">
        <v>1162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1177</v>
      </c>
      <c r="B59" s="5" t="s">
        <v>63</v>
      </c>
      <c r="C59" s="5" t="s">
        <v>116</v>
      </c>
      <c r="D59" s="5">
        <v>1</v>
      </c>
      <c r="E59" s="5" t="s">
        <v>1163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1177</v>
      </c>
      <c r="B60" s="5" t="s">
        <v>63</v>
      </c>
      <c r="C60" s="5" t="s">
        <v>116</v>
      </c>
      <c r="D60" s="5">
        <v>1</v>
      </c>
      <c r="E60" s="2" t="s">
        <v>1164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1178</v>
      </c>
      <c r="B62" s="5" t="s">
        <v>65</v>
      </c>
      <c r="C62" s="5" t="s">
        <v>116</v>
      </c>
      <c r="D62" s="5">
        <v>1</v>
      </c>
      <c r="E62" s="5" t="s">
        <v>1162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1178</v>
      </c>
      <c r="B63" s="5" t="s">
        <v>65</v>
      </c>
      <c r="C63" s="5" t="s">
        <v>116</v>
      </c>
      <c r="D63" s="5">
        <v>1</v>
      </c>
      <c r="E63" s="5" t="s">
        <v>1163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1178</v>
      </c>
      <c r="B64" s="5" t="s">
        <v>65</v>
      </c>
      <c r="C64" s="5" t="s">
        <v>116</v>
      </c>
      <c r="D64" s="5">
        <v>1</v>
      </c>
      <c r="E64" s="2" t="s">
        <v>1164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1179</v>
      </c>
      <c r="B66" s="5" t="s">
        <v>67</v>
      </c>
      <c r="C66" s="5" t="s">
        <v>116</v>
      </c>
      <c r="D66" s="5">
        <v>1</v>
      </c>
      <c r="E66" s="5" t="s">
        <v>1162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1179</v>
      </c>
      <c r="B67" s="5" t="s">
        <v>67</v>
      </c>
      <c r="C67" s="5" t="s">
        <v>116</v>
      </c>
      <c r="D67" s="5">
        <v>1</v>
      </c>
      <c r="E67" s="5" t="s">
        <v>1163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1179</v>
      </c>
      <c r="B68" s="5" t="s">
        <v>67</v>
      </c>
      <c r="C68" s="5" t="s">
        <v>116</v>
      </c>
      <c r="D68" s="5">
        <v>1</v>
      </c>
      <c r="E68" s="2" t="s">
        <v>1164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1180</v>
      </c>
      <c r="B70" s="5" t="s">
        <v>70</v>
      </c>
      <c r="C70" s="5" t="s">
        <v>116</v>
      </c>
      <c r="D70" s="5">
        <v>1</v>
      </c>
      <c r="E70" s="5" t="s">
        <v>1162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1180</v>
      </c>
      <c r="B71" s="5" t="s">
        <v>70</v>
      </c>
      <c r="C71" s="5" t="s">
        <v>116</v>
      </c>
      <c r="D71" s="5">
        <v>1</v>
      </c>
      <c r="E71" s="5" t="s">
        <v>1163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1180</v>
      </c>
      <c r="B72" s="5" t="s">
        <v>70</v>
      </c>
      <c r="C72" s="5" t="s">
        <v>116</v>
      </c>
      <c r="D72" s="5">
        <v>1</v>
      </c>
      <c r="E72" s="2" t="s">
        <v>1164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1181</v>
      </c>
      <c r="B74" s="5" t="s">
        <v>72</v>
      </c>
      <c r="C74" s="5" t="s">
        <v>116</v>
      </c>
      <c r="D74" s="5">
        <v>1</v>
      </c>
      <c r="E74" s="5" t="s">
        <v>1162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1181</v>
      </c>
      <c r="B75" s="5" t="s">
        <v>72</v>
      </c>
      <c r="C75" s="5" t="s">
        <v>116</v>
      </c>
      <c r="D75" s="5">
        <v>1</v>
      </c>
      <c r="E75" s="5" t="s">
        <v>1163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1181</v>
      </c>
      <c r="B76" s="5" t="s">
        <v>72</v>
      </c>
      <c r="C76" s="5" t="s">
        <v>116</v>
      </c>
      <c r="D76" s="5">
        <v>1</v>
      </c>
      <c r="E76" s="2" t="s">
        <v>1164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1182</v>
      </c>
      <c r="B78" s="5" t="s">
        <v>52</v>
      </c>
      <c r="C78" s="5" t="s">
        <v>118</v>
      </c>
      <c r="D78" s="5">
        <v>1</v>
      </c>
      <c r="E78" s="5" t="s">
        <v>1162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1182</v>
      </c>
      <c r="B79" s="5" t="s">
        <v>52</v>
      </c>
      <c r="C79" s="5" t="s">
        <v>118</v>
      </c>
      <c r="D79" s="5">
        <v>1</v>
      </c>
      <c r="E79" s="5" t="s">
        <v>1163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1182</v>
      </c>
      <c r="B80" s="5" t="s">
        <v>52</v>
      </c>
      <c r="C80" s="5" t="s">
        <v>118</v>
      </c>
      <c r="D80" s="5">
        <v>1</v>
      </c>
      <c r="E80" s="2" t="s">
        <v>1164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1183</v>
      </c>
      <c r="B82" s="5" t="s">
        <v>56</v>
      </c>
      <c r="C82" s="5" t="s">
        <v>118</v>
      </c>
      <c r="D82" s="5">
        <v>1</v>
      </c>
      <c r="E82" s="5" t="s">
        <v>1162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1183</v>
      </c>
      <c r="B83" s="5" t="s">
        <v>56</v>
      </c>
      <c r="C83" s="5" t="s">
        <v>118</v>
      </c>
      <c r="D83" s="5">
        <v>1</v>
      </c>
      <c r="E83" s="5" t="s">
        <v>1163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1183</v>
      </c>
      <c r="B84" s="5" t="s">
        <v>56</v>
      </c>
      <c r="C84" s="5" t="s">
        <v>118</v>
      </c>
      <c r="D84" s="5">
        <v>1</v>
      </c>
      <c r="E84" s="2" t="s">
        <v>1164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1184</v>
      </c>
      <c r="B86" s="5" t="s">
        <v>58</v>
      </c>
      <c r="C86" s="5" t="s">
        <v>118</v>
      </c>
      <c r="D86" s="5">
        <v>1</v>
      </c>
      <c r="E86" s="5" t="s">
        <v>1162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1184</v>
      </c>
      <c r="B87" s="5" t="s">
        <v>58</v>
      </c>
      <c r="C87" s="5" t="s">
        <v>118</v>
      </c>
      <c r="D87" s="5">
        <v>1</v>
      </c>
      <c r="E87" s="5" t="s">
        <v>1163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1184</v>
      </c>
      <c r="B88" s="5" t="s">
        <v>58</v>
      </c>
      <c r="C88" s="5" t="s">
        <v>118</v>
      </c>
      <c r="D88" s="5">
        <v>1</v>
      </c>
      <c r="E88" s="2" t="s">
        <v>1164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1185</v>
      </c>
      <c r="B90" s="5" t="s">
        <v>61</v>
      </c>
      <c r="C90" s="5" t="s">
        <v>118</v>
      </c>
      <c r="D90" s="5">
        <v>1</v>
      </c>
      <c r="E90" s="5" t="s">
        <v>1162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1185</v>
      </c>
      <c r="B91" s="5" t="s">
        <v>61</v>
      </c>
      <c r="C91" s="5" t="s">
        <v>118</v>
      </c>
      <c r="D91" s="5">
        <v>1</v>
      </c>
      <c r="E91" s="5" t="s">
        <v>1163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1185</v>
      </c>
      <c r="B92" s="5" t="s">
        <v>61</v>
      </c>
      <c r="C92" s="5" t="s">
        <v>118</v>
      </c>
      <c r="D92" s="5">
        <v>1</v>
      </c>
      <c r="E92" s="2" t="s">
        <v>1164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1186</v>
      </c>
      <c r="B94" s="5" t="s">
        <v>63</v>
      </c>
      <c r="C94" s="5" t="s">
        <v>118</v>
      </c>
      <c r="D94" s="5">
        <v>1</v>
      </c>
      <c r="E94" s="5" t="s">
        <v>1162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1186</v>
      </c>
      <c r="B95" s="5" t="s">
        <v>63</v>
      </c>
      <c r="C95" s="5" t="s">
        <v>118</v>
      </c>
      <c r="D95" s="5">
        <v>1</v>
      </c>
      <c r="E95" s="5" t="s">
        <v>1163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1186</v>
      </c>
      <c r="B96" s="5" t="s">
        <v>63</v>
      </c>
      <c r="C96" s="5" t="s">
        <v>118</v>
      </c>
      <c r="D96" s="5">
        <v>1</v>
      </c>
      <c r="E96" s="2" t="s">
        <v>1164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1187</v>
      </c>
      <c r="B98" s="5" t="s">
        <v>65</v>
      </c>
      <c r="C98" s="5" t="s">
        <v>118</v>
      </c>
      <c r="D98" s="5">
        <v>1</v>
      </c>
      <c r="E98" s="5" t="s">
        <v>1162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1187</v>
      </c>
      <c r="B99" s="5" t="s">
        <v>65</v>
      </c>
      <c r="C99" s="5" t="s">
        <v>118</v>
      </c>
      <c r="D99" s="5">
        <v>1</v>
      </c>
      <c r="E99" s="5" t="s">
        <v>1163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1187</v>
      </c>
      <c r="B100" s="5" t="s">
        <v>65</v>
      </c>
      <c r="C100" s="5" t="s">
        <v>118</v>
      </c>
      <c r="D100" s="5">
        <v>1</v>
      </c>
      <c r="E100" s="2" t="s">
        <v>1164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1188</v>
      </c>
      <c r="B102" s="5" t="s">
        <v>67</v>
      </c>
      <c r="C102" s="5" t="s">
        <v>118</v>
      </c>
      <c r="D102" s="5">
        <v>1</v>
      </c>
      <c r="E102" s="5" t="s">
        <v>1162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1188</v>
      </c>
      <c r="B103" s="5" t="s">
        <v>67</v>
      </c>
      <c r="C103" s="5" t="s">
        <v>118</v>
      </c>
      <c r="D103" s="5">
        <v>1</v>
      </c>
      <c r="E103" s="5" t="s">
        <v>1163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1188</v>
      </c>
      <c r="B104" s="5" t="s">
        <v>67</v>
      </c>
      <c r="C104" s="5" t="s">
        <v>118</v>
      </c>
      <c r="D104" s="5">
        <v>1</v>
      </c>
      <c r="E104" s="2" t="s">
        <v>1164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1189</v>
      </c>
      <c r="B106" s="5" t="s">
        <v>70</v>
      </c>
      <c r="C106" s="5" t="s">
        <v>118</v>
      </c>
      <c r="D106" s="5">
        <v>1</v>
      </c>
      <c r="E106" s="5" t="s">
        <v>1162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1189</v>
      </c>
      <c r="B107" s="5" t="s">
        <v>70</v>
      </c>
      <c r="C107" s="5" t="s">
        <v>118</v>
      </c>
      <c r="D107" s="5">
        <v>1</v>
      </c>
      <c r="E107" s="5" t="s">
        <v>1163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1189</v>
      </c>
      <c r="B108" s="5" t="s">
        <v>70</v>
      </c>
      <c r="C108" s="5" t="s">
        <v>118</v>
      </c>
      <c r="D108" s="5">
        <v>1</v>
      </c>
      <c r="E108" s="2" t="s">
        <v>1164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1190</v>
      </c>
      <c r="B110" s="5" t="s">
        <v>72</v>
      </c>
      <c r="C110" s="5" t="s">
        <v>118</v>
      </c>
      <c r="D110" s="5">
        <v>1</v>
      </c>
      <c r="E110" s="5" t="s">
        <v>1162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1190</v>
      </c>
      <c r="B111" s="5" t="s">
        <v>72</v>
      </c>
      <c r="C111" s="5" t="s">
        <v>118</v>
      </c>
      <c r="D111" s="5">
        <v>1</v>
      </c>
      <c r="E111" s="5" t="s">
        <v>1163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1190</v>
      </c>
      <c r="B112" s="5" t="s">
        <v>72</v>
      </c>
      <c r="C112" s="5" t="s">
        <v>118</v>
      </c>
      <c r="D112" s="5">
        <v>1</v>
      </c>
      <c r="E112" s="2" t="s">
        <v>1164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1191</v>
      </c>
      <c r="B114" s="5" t="s">
        <v>52</v>
      </c>
      <c r="C114" s="5" t="s">
        <v>120</v>
      </c>
      <c r="D114" s="5">
        <v>1</v>
      </c>
      <c r="E114" s="5" t="s">
        <v>1162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1191</v>
      </c>
      <c r="B115" s="5" t="s">
        <v>52</v>
      </c>
      <c r="C115" s="5" t="s">
        <v>120</v>
      </c>
      <c r="D115" s="5">
        <v>1</v>
      </c>
      <c r="E115" s="5" t="s">
        <v>1163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1191</v>
      </c>
      <c r="B116" s="5" t="s">
        <v>52</v>
      </c>
      <c r="C116" s="5" t="s">
        <v>120</v>
      </c>
      <c r="D116" s="5">
        <v>1</v>
      </c>
      <c r="E116" s="2" t="s">
        <v>1164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1192</v>
      </c>
      <c r="B118" s="5" t="s">
        <v>56</v>
      </c>
      <c r="C118" s="5" t="s">
        <v>120</v>
      </c>
      <c r="D118" s="5">
        <v>1</v>
      </c>
      <c r="E118" s="5" t="s">
        <v>1162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1192</v>
      </c>
      <c r="B119" s="5" t="s">
        <v>56</v>
      </c>
      <c r="C119" s="5" t="s">
        <v>120</v>
      </c>
      <c r="D119" s="5">
        <v>1</v>
      </c>
      <c r="E119" s="5" t="s">
        <v>1163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1192</v>
      </c>
      <c r="B120" s="5" t="s">
        <v>56</v>
      </c>
      <c r="C120" s="5" t="s">
        <v>120</v>
      </c>
      <c r="D120" s="5">
        <v>1</v>
      </c>
      <c r="E120" s="2" t="s">
        <v>1164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1193</v>
      </c>
      <c r="B122" s="5" t="s">
        <v>58</v>
      </c>
      <c r="C122" s="5" t="s">
        <v>120</v>
      </c>
      <c r="D122" s="5">
        <v>1</v>
      </c>
      <c r="E122" s="5" t="s">
        <v>1162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1193</v>
      </c>
      <c r="B123" s="5" t="s">
        <v>58</v>
      </c>
      <c r="C123" s="5" t="s">
        <v>120</v>
      </c>
      <c r="D123" s="5">
        <v>1</v>
      </c>
      <c r="E123" s="5" t="s">
        <v>1163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1193</v>
      </c>
      <c r="B124" s="5" t="s">
        <v>58</v>
      </c>
      <c r="C124" s="5" t="s">
        <v>120</v>
      </c>
      <c r="D124" s="5">
        <v>1</v>
      </c>
      <c r="E124" s="2" t="s">
        <v>1164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1194</v>
      </c>
      <c r="B126" s="5" t="s">
        <v>61</v>
      </c>
      <c r="C126" s="5" t="s">
        <v>120</v>
      </c>
      <c r="D126" s="5">
        <v>1</v>
      </c>
      <c r="E126" s="5" t="s">
        <v>1162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1194</v>
      </c>
      <c r="B127" s="5" t="s">
        <v>61</v>
      </c>
      <c r="C127" s="5" t="s">
        <v>120</v>
      </c>
      <c r="D127" s="5">
        <v>1</v>
      </c>
      <c r="E127" s="5" t="s">
        <v>1163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1194</v>
      </c>
      <c r="B128" s="5" t="s">
        <v>61</v>
      </c>
      <c r="C128" s="5" t="s">
        <v>120</v>
      </c>
      <c r="D128" s="5">
        <v>1</v>
      </c>
      <c r="E128" s="2" t="s">
        <v>1164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1195</v>
      </c>
      <c r="B130" s="5" t="s">
        <v>63</v>
      </c>
      <c r="C130" s="5" t="s">
        <v>120</v>
      </c>
      <c r="D130" s="5">
        <v>1</v>
      </c>
      <c r="E130" s="5" t="s">
        <v>1162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1195</v>
      </c>
      <c r="B131" s="5" t="s">
        <v>63</v>
      </c>
      <c r="C131" s="5" t="s">
        <v>120</v>
      </c>
      <c r="D131" s="5">
        <v>1</v>
      </c>
      <c r="E131" s="5" t="s">
        <v>1163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1195</v>
      </c>
      <c r="B132" s="5" t="s">
        <v>63</v>
      </c>
      <c r="C132" s="5" t="s">
        <v>120</v>
      </c>
      <c r="D132" s="5">
        <v>1</v>
      </c>
      <c r="E132" s="2" t="s">
        <v>1164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1196</v>
      </c>
      <c r="B134" s="5" t="s">
        <v>65</v>
      </c>
      <c r="C134" s="5" t="s">
        <v>120</v>
      </c>
      <c r="D134" s="5">
        <v>1</v>
      </c>
      <c r="E134" s="5" t="s">
        <v>1162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1196</v>
      </c>
      <c r="B135" s="5" t="s">
        <v>65</v>
      </c>
      <c r="C135" s="5" t="s">
        <v>120</v>
      </c>
      <c r="D135" s="5">
        <v>1</v>
      </c>
      <c r="E135" s="5" t="s">
        <v>1163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1196</v>
      </c>
      <c r="B136" s="5" t="s">
        <v>65</v>
      </c>
      <c r="C136" s="5" t="s">
        <v>120</v>
      </c>
      <c r="D136" s="5">
        <v>1</v>
      </c>
      <c r="E136" s="2" t="s">
        <v>1164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1197</v>
      </c>
      <c r="B138" s="5" t="s">
        <v>67</v>
      </c>
      <c r="C138" s="5" t="s">
        <v>120</v>
      </c>
      <c r="D138" s="5">
        <v>1</v>
      </c>
      <c r="E138" s="5" t="s">
        <v>1162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1197</v>
      </c>
      <c r="B139" s="5" t="s">
        <v>67</v>
      </c>
      <c r="C139" s="5" t="s">
        <v>120</v>
      </c>
      <c r="D139" s="5">
        <v>1</v>
      </c>
      <c r="E139" s="5" t="s">
        <v>1163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1197</v>
      </c>
      <c r="B140" s="5" t="s">
        <v>67</v>
      </c>
      <c r="C140" s="5" t="s">
        <v>120</v>
      </c>
      <c r="D140" s="5">
        <v>1</v>
      </c>
      <c r="E140" s="2" t="s">
        <v>1164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1198</v>
      </c>
      <c r="B142" s="5" t="s">
        <v>70</v>
      </c>
      <c r="C142" s="5" t="s">
        <v>120</v>
      </c>
      <c r="D142" s="5">
        <v>1</v>
      </c>
      <c r="E142" s="5" t="s">
        <v>1162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1198</v>
      </c>
      <c r="B143" s="5" t="s">
        <v>70</v>
      </c>
      <c r="C143" s="5" t="s">
        <v>120</v>
      </c>
      <c r="D143" s="5">
        <v>1</v>
      </c>
      <c r="E143" s="5" t="s">
        <v>1163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1198</v>
      </c>
      <c r="B144" s="5" t="s">
        <v>70</v>
      </c>
      <c r="C144" s="5" t="s">
        <v>120</v>
      </c>
      <c r="D144" s="5">
        <v>1</v>
      </c>
      <c r="E144" s="2" t="s">
        <v>1164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1199</v>
      </c>
      <c r="B146" s="5" t="s">
        <v>72</v>
      </c>
      <c r="C146" s="5" t="s">
        <v>120</v>
      </c>
      <c r="D146" s="5">
        <v>1</v>
      </c>
      <c r="E146" s="5" t="s">
        <v>1162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1199</v>
      </c>
      <c r="B147" s="5" t="s">
        <v>72</v>
      </c>
      <c r="C147" s="5" t="s">
        <v>120</v>
      </c>
      <c r="D147" s="5">
        <v>1</v>
      </c>
      <c r="E147" s="5" t="s">
        <v>1163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1199</v>
      </c>
      <c r="B148" s="5" t="s">
        <v>72</v>
      </c>
      <c r="C148" s="5" t="s">
        <v>120</v>
      </c>
      <c r="D148" s="5">
        <v>1</v>
      </c>
      <c r="E148" s="2" t="s">
        <v>1164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1200</v>
      </c>
      <c r="B150" s="5" t="s">
        <v>52</v>
      </c>
      <c r="C150" s="5" t="s">
        <v>46</v>
      </c>
      <c r="D150" s="5">
        <v>2</v>
      </c>
      <c r="E150" s="5" t="s">
        <v>1162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1200</v>
      </c>
      <c r="B151" s="5" t="s">
        <v>52</v>
      </c>
      <c r="C151" s="5" t="s">
        <v>46</v>
      </c>
      <c r="D151" s="5">
        <v>2</v>
      </c>
      <c r="E151" s="5" t="s">
        <v>1163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1200</v>
      </c>
      <c r="B152" s="5" t="s">
        <v>52</v>
      </c>
      <c r="C152" s="5" t="s">
        <v>46</v>
      </c>
      <c r="D152" s="5">
        <v>2</v>
      </c>
      <c r="E152" s="2" t="s">
        <v>1164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1201</v>
      </c>
      <c r="B154" s="5" t="s">
        <v>56</v>
      </c>
      <c r="C154" s="5" t="s">
        <v>46</v>
      </c>
      <c r="D154" s="5">
        <v>2</v>
      </c>
      <c r="E154" s="5" t="s">
        <v>1162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1201</v>
      </c>
      <c r="B155" s="5" t="s">
        <v>56</v>
      </c>
      <c r="C155" s="5" t="s">
        <v>46</v>
      </c>
      <c r="D155" s="5">
        <v>2</v>
      </c>
      <c r="E155" s="5" t="s">
        <v>1163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1485.5462441642114</v>
      </c>
      <c r="U155" s="24">
        <f>INDEX(Mitigation_Industry!U:U,MATCH($A155,Mitigation_Industry!$H:$H,0))</f>
        <v>1450.0773513762756</v>
      </c>
      <c r="V155" s="24">
        <f>INDEX(Mitigation_Industry!V:V,MATCH($A155,Mitigation_Industry!$H:$H,0))</f>
        <v>1421.6889075958395</v>
      </c>
      <c r="W155" s="24">
        <f>INDEX(Mitigation_Industry!W:W,MATCH($A155,Mitigation_Industry!$H:$H,0))</f>
        <v>1399.5811578972728</v>
      </c>
      <c r="X155" s="24">
        <f>INDEX(Mitigation_Industry!X:X,MATCH($A155,Mitigation_Industry!$H:$H,0))</f>
        <v>1383.0540457815332</v>
      </c>
      <c r="Y155" s="24">
        <f>INDEX(Mitigation_Industry!Y:Y,MATCH($A155,Mitigation_Industry!$H:$H,0))</f>
        <v>1371.7254363432976</v>
      </c>
      <c r="Z155" s="24">
        <f>INDEX(Mitigation_Industry!Z:Z,MATCH($A155,Mitigation_Industry!$H:$H,0))</f>
        <v>1365.5951108489828</v>
      </c>
      <c r="AA155" s="24">
        <f>INDEX(Mitigation_Industry!AA:AA,MATCH($A155,Mitigation_Industry!$H:$H,0))</f>
        <v>1364.4341895239875</v>
      </c>
      <c r="AB155" s="24">
        <f>INDEX(Mitigation_Industry!AB:AB,MATCH($A155,Mitigation_Industry!$H:$H,0))</f>
        <v>1367.9863527047883</v>
      </c>
      <c r="AC155" s="24">
        <f>INDEX(Mitigation_Industry!AC:AC,MATCH($A155,Mitigation_Industry!$H:$H,0))</f>
        <v>1375.7703000424297</v>
      </c>
      <c r="AD155" s="24">
        <f>INDEX(Mitigation_Industry!AD:AD,MATCH($A155,Mitigation_Industry!$H:$H,0))</f>
        <v>1387.3865840128028</v>
      </c>
      <c r="AE155" s="24">
        <f>INDEX(Mitigation_Industry!AE:AE,MATCH($A155,Mitigation_Industry!$H:$H,0))</f>
        <v>1402.5434936424012</v>
      </c>
    </row>
    <row r="156" spans="1:31" x14ac:dyDescent="0.45">
      <c r="A156" s="28" t="s">
        <v>1201</v>
      </c>
      <c r="B156" s="5" t="s">
        <v>56</v>
      </c>
      <c r="C156" s="5" t="s">
        <v>46</v>
      </c>
      <c r="D156" s="5">
        <v>2</v>
      </c>
      <c r="E156" s="2" t="s">
        <v>1164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1.3642420526593924E-12</v>
      </c>
      <c r="U156" s="32">
        <f t="shared" si="37"/>
        <v>5.6843418860808015E-12</v>
      </c>
      <c r="V156" s="32">
        <f t="shared" si="37"/>
        <v>-4.5474735088646412E-13</v>
      </c>
      <c r="W156" s="32">
        <f t="shared" si="37"/>
        <v>2.7284841053187847E-12</v>
      </c>
      <c r="X156" s="32">
        <f t="shared" si="37"/>
        <v>3.1832314562052488E-12</v>
      </c>
      <c r="Y156" s="32">
        <f t="shared" si="37"/>
        <v>-2.5011104298755527E-12</v>
      </c>
      <c r="Z156" s="32">
        <f t="shared" si="37"/>
        <v>2.7284841053187847E-12</v>
      </c>
      <c r="AA156" s="32">
        <f t="shared" si="37"/>
        <v>-2.5011104298755527E-12</v>
      </c>
      <c r="AB156" s="32">
        <f t="shared" si="37"/>
        <v>-1.8189894035458565E-12</v>
      </c>
      <c r="AC156" s="32">
        <f t="shared" si="37"/>
        <v>-4.5474735088646412E-13</v>
      </c>
      <c r="AD156" s="32">
        <f t="shared" si="37"/>
        <v>2.7284841053187847E-12</v>
      </c>
      <c r="AE156" s="32">
        <f t="shared" si="37"/>
        <v>1.1368683772161603E-12</v>
      </c>
    </row>
    <row r="158" spans="1:31" x14ac:dyDescent="0.45">
      <c r="A158" s="28" t="s">
        <v>1202</v>
      </c>
      <c r="B158" s="5" t="s">
        <v>58</v>
      </c>
      <c r="C158" s="5" t="s">
        <v>46</v>
      </c>
      <c r="D158" s="5">
        <v>2</v>
      </c>
      <c r="E158" s="5" t="s">
        <v>1162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1202</v>
      </c>
      <c r="B159" s="5" t="s">
        <v>58</v>
      </c>
      <c r="C159" s="5" t="s">
        <v>46</v>
      </c>
      <c r="D159" s="5">
        <v>2</v>
      </c>
      <c r="E159" s="5" t="s">
        <v>1163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1202</v>
      </c>
      <c r="B160" s="5" t="s">
        <v>58</v>
      </c>
      <c r="C160" s="5" t="s">
        <v>46</v>
      </c>
      <c r="D160" s="5">
        <v>2</v>
      </c>
      <c r="E160" s="2" t="s">
        <v>1164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1203</v>
      </c>
      <c r="B162" s="5" t="s">
        <v>61</v>
      </c>
      <c r="C162" s="5" t="s">
        <v>46</v>
      </c>
      <c r="D162" s="5">
        <v>2</v>
      </c>
      <c r="E162" s="5" t="s">
        <v>1162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1203</v>
      </c>
      <c r="B163" s="5" t="s">
        <v>61</v>
      </c>
      <c r="C163" s="5" t="s">
        <v>46</v>
      </c>
      <c r="D163" s="5">
        <v>2</v>
      </c>
      <c r="E163" s="5" t="s">
        <v>1163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1203</v>
      </c>
      <c r="B164" s="5" t="s">
        <v>61</v>
      </c>
      <c r="C164" s="5" t="s">
        <v>46</v>
      </c>
      <c r="D164" s="5">
        <v>2</v>
      </c>
      <c r="E164" s="2" t="s">
        <v>1164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1204</v>
      </c>
      <c r="B166" s="5" t="s">
        <v>63</v>
      </c>
      <c r="C166" s="5" t="s">
        <v>46</v>
      </c>
      <c r="D166" s="5">
        <v>2</v>
      </c>
      <c r="E166" s="5" t="s">
        <v>1162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1204</v>
      </c>
      <c r="B167" s="5" t="s">
        <v>63</v>
      </c>
      <c r="C167" s="5" t="s">
        <v>46</v>
      </c>
      <c r="D167" s="5">
        <v>2</v>
      </c>
      <c r="E167" s="5" t="s">
        <v>1163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1204</v>
      </c>
      <c r="B168" s="5" t="s">
        <v>63</v>
      </c>
      <c r="C168" s="5" t="s">
        <v>46</v>
      </c>
      <c r="D168" s="5">
        <v>2</v>
      </c>
      <c r="E168" s="2" t="s">
        <v>1164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1205</v>
      </c>
      <c r="B170" s="5" t="s">
        <v>65</v>
      </c>
      <c r="C170" s="5" t="s">
        <v>46</v>
      </c>
      <c r="D170" s="5">
        <v>2</v>
      </c>
      <c r="E170" s="5" t="s">
        <v>1162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1205</v>
      </c>
      <c r="B171" s="5" t="s">
        <v>65</v>
      </c>
      <c r="C171" s="5" t="s">
        <v>46</v>
      </c>
      <c r="D171" s="5">
        <v>2</v>
      </c>
      <c r="E171" s="5" t="s">
        <v>1163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1205</v>
      </c>
      <c r="B172" s="5" t="s">
        <v>65</v>
      </c>
      <c r="C172" s="5" t="s">
        <v>46</v>
      </c>
      <c r="D172" s="5">
        <v>2</v>
      </c>
      <c r="E172" s="2" t="s">
        <v>1164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1206</v>
      </c>
      <c r="B174" s="5" t="s">
        <v>67</v>
      </c>
      <c r="C174" s="5" t="s">
        <v>46</v>
      </c>
      <c r="D174" s="5">
        <v>2</v>
      </c>
      <c r="E174" s="5" t="s">
        <v>1162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1206</v>
      </c>
      <c r="B175" s="5" t="s">
        <v>67</v>
      </c>
      <c r="C175" s="5" t="s">
        <v>46</v>
      </c>
      <c r="D175" s="5">
        <v>2</v>
      </c>
      <c r="E175" s="5" t="s">
        <v>1163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1206</v>
      </c>
      <c r="B176" s="5" t="s">
        <v>67</v>
      </c>
      <c r="C176" s="5" t="s">
        <v>46</v>
      </c>
      <c r="D176" s="5">
        <v>2</v>
      </c>
      <c r="E176" s="2" t="s">
        <v>1164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1207</v>
      </c>
      <c r="B178" s="5" t="s">
        <v>70</v>
      </c>
      <c r="C178" s="5" t="s">
        <v>46</v>
      </c>
      <c r="D178" s="5">
        <v>2</v>
      </c>
      <c r="E178" s="5" t="s">
        <v>1162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1207</v>
      </c>
      <c r="B179" s="5" t="s">
        <v>70</v>
      </c>
      <c r="C179" s="5" t="s">
        <v>46</v>
      </c>
      <c r="D179" s="5">
        <v>2</v>
      </c>
      <c r="E179" s="5" t="s">
        <v>1163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1207</v>
      </c>
      <c r="B180" s="5" t="s">
        <v>70</v>
      </c>
      <c r="C180" s="5" t="s">
        <v>46</v>
      </c>
      <c r="D180" s="5">
        <v>2</v>
      </c>
      <c r="E180" s="2" t="s">
        <v>1164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1208</v>
      </c>
      <c r="B182" s="5" t="s">
        <v>72</v>
      </c>
      <c r="C182" s="5" t="s">
        <v>46</v>
      </c>
      <c r="D182" s="5">
        <v>2</v>
      </c>
      <c r="E182" s="5" t="s">
        <v>1162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1208</v>
      </c>
      <c r="B183" s="5" t="s">
        <v>72</v>
      </c>
      <c r="C183" s="5" t="s">
        <v>46</v>
      </c>
      <c r="D183" s="5">
        <v>2</v>
      </c>
      <c r="E183" s="5" t="s">
        <v>1163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1208</v>
      </c>
      <c r="B184" s="5" t="s">
        <v>72</v>
      </c>
      <c r="C184" s="5" t="s">
        <v>46</v>
      </c>
      <c r="D184" s="5">
        <v>2</v>
      </c>
      <c r="E184" s="2" t="s">
        <v>1164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1209</v>
      </c>
      <c r="B186" s="5" t="s">
        <v>52</v>
      </c>
      <c r="C186" s="5" t="s">
        <v>116</v>
      </c>
      <c r="D186" s="5">
        <v>2</v>
      </c>
      <c r="E186" s="5" t="s">
        <v>1162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1209</v>
      </c>
      <c r="B187" s="5" t="s">
        <v>52</v>
      </c>
      <c r="C187" s="5" t="s">
        <v>116</v>
      </c>
      <c r="D187" s="5">
        <v>2</v>
      </c>
      <c r="E187" s="5" t="s">
        <v>1163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1209</v>
      </c>
      <c r="B188" s="5" t="s">
        <v>52</v>
      </c>
      <c r="C188" s="5" t="s">
        <v>116</v>
      </c>
      <c r="D188" s="5">
        <v>2</v>
      </c>
      <c r="E188" s="2" t="s">
        <v>1164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1210</v>
      </c>
      <c r="B190" s="5" t="s">
        <v>56</v>
      </c>
      <c r="C190" s="5" t="s">
        <v>116</v>
      </c>
      <c r="D190" s="5">
        <v>2</v>
      </c>
      <c r="E190" s="5" t="s">
        <v>1162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1210</v>
      </c>
      <c r="B191" s="5" t="s">
        <v>56</v>
      </c>
      <c r="C191" s="5" t="s">
        <v>116</v>
      </c>
      <c r="D191" s="5">
        <v>2</v>
      </c>
      <c r="E191" s="5" t="s">
        <v>1163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1555.2682553771394</v>
      </c>
      <c r="U191" s="24">
        <f>INDEX(Mitigation_Industry!U:U,MATCH($A191,Mitigation_Industry!$H:$H,0))</f>
        <v>1518.1346802877367</v>
      </c>
      <c r="V191" s="24">
        <f>INDEX(Mitigation_Industry!V:V,MATCH($A191,Mitigation_Industry!$H:$H,0))</f>
        <v>1488.4138650625523</v>
      </c>
      <c r="W191" s="24">
        <f>INDEX(Mitigation_Industry!W:W,MATCH($A191,Mitigation_Industry!$H:$H,0))</f>
        <v>1465.2685194100186</v>
      </c>
      <c r="X191" s="24">
        <f>INDEX(Mitigation_Industry!X:X,MATCH($A191,Mitigation_Industry!$H:$H,0))</f>
        <v>1447.9657306697532</v>
      </c>
      <c r="Y191" s="24">
        <f>INDEX(Mitigation_Industry!Y:Y,MATCH($A191,Mitigation_Industry!$H:$H,0))</f>
        <v>1436.1054289752967</v>
      </c>
      <c r="Z191" s="24">
        <f>INDEX(Mitigation_Industry!Z:Z,MATCH($A191,Mitigation_Industry!$H:$H,0))</f>
        <v>1429.6873853271161</v>
      </c>
      <c r="AA191" s="24">
        <f>INDEX(Mitigation_Industry!AA:AA,MATCH($A191,Mitigation_Industry!$H:$H,0))</f>
        <v>1428.4719778022084</v>
      </c>
      <c r="AB191" s="24">
        <f>INDEX(Mitigation_Industry!AB:AB,MATCH($A191,Mitigation_Industry!$H:$H,0))</f>
        <v>1432.1908567362852</v>
      </c>
      <c r="AC191" s="24">
        <f>INDEX(Mitigation_Industry!AC:AC,MATCH($A191,Mitigation_Industry!$H:$H,0))</f>
        <v>1440.3401326294581</v>
      </c>
      <c r="AD191" s="24">
        <f>INDEX(Mitigation_Industry!AD:AD,MATCH($A191,Mitigation_Industry!$H:$H,0))</f>
        <v>1452.5016104532147</v>
      </c>
      <c r="AE191" s="24">
        <f>INDEX(Mitigation_Industry!AE:AE,MATCH($A191,Mitigation_Industry!$H:$H,0))</f>
        <v>1468.3698881922207</v>
      </c>
    </row>
    <row r="192" spans="1:31" x14ac:dyDescent="0.45">
      <c r="A192" s="28" t="s">
        <v>1210</v>
      </c>
      <c r="B192" s="5" t="s">
        <v>56</v>
      </c>
      <c r="C192" s="5" t="s">
        <v>116</v>
      </c>
      <c r="D192" s="5">
        <v>2</v>
      </c>
      <c r="E192" s="2" t="s">
        <v>1164</v>
      </c>
      <c r="F192" s="31">
        <f>MAX(MAX(L192:AE192),-MIN(L192:AE192))</f>
        <v>5.4569682106375694E-12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-4.5474735088646412E-13</v>
      </c>
      <c r="U192" s="32">
        <f t="shared" si="46"/>
        <v>-3.1832314562052488E-12</v>
      </c>
      <c r="V192" s="32">
        <f t="shared" si="46"/>
        <v>2.2737367544323206E-12</v>
      </c>
      <c r="W192" s="32">
        <f t="shared" si="46"/>
        <v>-1.3642420526593924E-12</v>
      </c>
      <c r="X192" s="32">
        <f t="shared" si="46"/>
        <v>3.1832314562052488E-12</v>
      </c>
      <c r="Y192" s="32">
        <f t="shared" si="46"/>
        <v>-3.1832314562052488E-12</v>
      </c>
      <c r="Z192" s="32">
        <f t="shared" si="46"/>
        <v>-3.865352482534945E-12</v>
      </c>
      <c r="AA192" s="32">
        <f t="shared" si="46"/>
        <v>-1.5916157281026244E-12</v>
      </c>
      <c r="AB192" s="32">
        <f t="shared" si="46"/>
        <v>-4.7748471843078732E-12</v>
      </c>
      <c r="AC192" s="32">
        <f t="shared" si="46"/>
        <v>-1.8189894035458565E-12</v>
      </c>
      <c r="AD192" s="32">
        <f t="shared" si="46"/>
        <v>-5.4569682106375694E-12</v>
      </c>
      <c r="AE192" s="32">
        <f t="shared" si="46"/>
        <v>6.8212102632969618E-13</v>
      </c>
    </row>
    <row r="194" spans="1:31" x14ac:dyDescent="0.45">
      <c r="A194" s="28" t="s">
        <v>1211</v>
      </c>
      <c r="B194" s="5" t="s">
        <v>58</v>
      </c>
      <c r="C194" s="5" t="s">
        <v>116</v>
      </c>
      <c r="D194" s="5">
        <v>2</v>
      </c>
      <c r="E194" s="5" t="s">
        <v>1162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1211</v>
      </c>
      <c r="B195" s="5" t="s">
        <v>58</v>
      </c>
      <c r="C195" s="5" t="s">
        <v>116</v>
      </c>
      <c r="D195" s="5">
        <v>2</v>
      </c>
      <c r="E195" s="5" t="s">
        <v>1163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1211</v>
      </c>
      <c r="B196" s="5" t="s">
        <v>58</v>
      </c>
      <c r="C196" s="5" t="s">
        <v>116</v>
      </c>
      <c r="D196" s="5">
        <v>2</v>
      </c>
      <c r="E196" s="2" t="s">
        <v>1164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1212</v>
      </c>
      <c r="B198" s="5" t="s">
        <v>61</v>
      </c>
      <c r="C198" s="5" t="s">
        <v>116</v>
      </c>
      <c r="D198" s="5">
        <v>2</v>
      </c>
      <c r="E198" s="5" t="s">
        <v>1162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1212</v>
      </c>
      <c r="B199" s="5" t="s">
        <v>61</v>
      </c>
      <c r="C199" s="5" t="s">
        <v>116</v>
      </c>
      <c r="D199" s="5">
        <v>2</v>
      </c>
      <c r="E199" s="5" t="s">
        <v>1163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1212</v>
      </c>
      <c r="B200" s="5" t="s">
        <v>61</v>
      </c>
      <c r="C200" s="5" t="s">
        <v>116</v>
      </c>
      <c r="D200" s="5">
        <v>2</v>
      </c>
      <c r="E200" s="2" t="s">
        <v>1164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1213</v>
      </c>
      <c r="B202" s="5" t="s">
        <v>63</v>
      </c>
      <c r="C202" s="5" t="s">
        <v>116</v>
      </c>
      <c r="D202" s="5">
        <v>2</v>
      </c>
      <c r="E202" s="5" t="s">
        <v>1162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1213</v>
      </c>
      <c r="B203" s="5" t="s">
        <v>63</v>
      </c>
      <c r="C203" s="5" t="s">
        <v>116</v>
      </c>
      <c r="D203" s="5">
        <v>2</v>
      </c>
      <c r="E203" s="5" t="s">
        <v>1163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1213</v>
      </c>
      <c r="B204" s="5" t="s">
        <v>63</v>
      </c>
      <c r="C204" s="5" t="s">
        <v>116</v>
      </c>
      <c r="D204" s="5">
        <v>2</v>
      </c>
      <c r="E204" s="2" t="s">
        <v>1164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1214</v>
      </c>
      <c r="B206" s="5" t="s">
        <v>65</v>
      </c>
      <c r="C206" s="5" t="s">
        <v>116</v>
      </c>
      <c r="D206" s="5">
        <v>2</v>
      </c>
      <c r="E206" s="5" t="s">
        <v>1162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1214</v>
      </c>
      <c r="B207" s="5" t="s">
        <v>65</v>
      </c>
      <c r="C207" s="5" t="s">
        <v>116</v>
      </c>
      <c r="D207" s="5">
        <v>2</v>
      </c>
      <c r="E207" s="5" t="s">
        <v>1163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1214</v>
      </c>
      <c r="B208" s="5" t="s">
        <v>65</v>
      </c>
      <c r="C208" s="5" t="s">
        <v>116</v>
      </c>
      <c r="D208" s="5">
        <v>2</v>
      </c>
      <c r="E208" s="2" t="s">
        <v>1164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1215</v>
      </c>
      <c r="B210" s="5" t="s">
        <v>67</v>
      </c>
      <c r="C210" s="5" t="s">
        <v>116</v>
      </c>
      <c r="D210" s="5">
        <v>2</v>
      </c>
      <c r="E210" s="5" t="s">
        <v>1162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1215</v>
      </c>
      <c r="B211" s="5" t="s">
        <v>67</v>
      </c>
      <c r="C211" s="5" t="s">
        <v>116</v>
      </c>
      <c r="D211" s="5">
        <v>2</v>
      </c>
      <c r="E211" s="5" t="s">
        <v>1163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1215</v>
      </c>
      <c r="B212" s="5" t="s">
        <v>67</v>
      </c>
      <c r="C212" s="5" t="s">
        <v>116</v>
      </c>
      <c r="D212" s="5">
        <v>2</v>
      </c>
      <c r="E212" s="2" t="s">
        <v>1164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1216</v>
      </c>
      <c r="B214" s="5" t="s">
        <v>70</v>
      </c>
      <c r="C214" s="5" t="s">
        <v>116</v>
      </c>
      <c r="D214" s="5">
        <v>2</v>
      </c>
      <c r="E214" s="5" t="s">
        <v>1162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1216</v>
      </c>
      <c r="B215" s="5" t="s">
        <v>70</v>
      </c>
      <c r="C215" s="5" t="s">
        <v>116</v>
      </c>
      <c r="D215" s="5">
        <v>2</v>
      </c>
      <c r="E215" s="5" t="s">
        <v>1163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1216</v>
      </c>
      <c r="B216" s="5" t="s">
        <v>70</v>
      </c>
      <c r="C216" s="5" t="s">
        <v>116</v>
      </c>
      <c r="D216" s="5">
        <v>2</v>
      </c>
      <c r="E216" s="2" t="s">
        <v>1164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1217</v>
      </c>
      <c r="B218" s="5" t="s">
        <v>72</v>
      </c>
      <c r="C218" s="5" t="s">
        <v>116</v>
      </c>
      <c r="D218" s="5">
        <v>2</v>
      </c>
      <c r="E218" s="5" t="s">
        <v>1162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1217</v>
      </c>
      <c r="B219" s="5" t="s">
        <v>72</v>
      </c>
      <c r="C219" s="5" t="s">
        <v>116</v>
      </c>
      <c r="D219" s="5">
        <v>2</v>
      </c>
      <c r="E219" s="5" t="s">
        <v>1163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1217</v>
      </c>
      <c r="B220" s="5" t="s">
        <v>72</v>
      </c>
      <c r="C220" s="5" t="s">
        <v>116</v>
      </c>
      <c r="D220" s="5">
        <v>2</v>
      </c>
      <c r="E220" s="2" t="s">
        <v>1164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1218</v>
      </c>
      <c r="B222" s="5" t="s">
        <v>52</v>
      </c>
      <c r="C222" s="5" t="s">
        <v>118</v>
      </c>
      <c r="D222" s="5">
        <v>2</v>
      </c>
      <c r="E222" s="5" t="s">
        <v>1162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1218</v>
      </c>
      <c r="B223" s="5" t="s">
        <v>52</v>
      </c>
      <c r="C223" s="5" t="s">
        <v>118</v>
      </c>
      <c r="D223" s="5">
        <v>2</v>
      </c>
      <c r="E223" s="5" t="s">
        <v>1163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1218</v>
      </c>
      <c r="B224" s="5" t="s">
        <v>52</v>
      </c>
      <c r="C224" s="5" t="s">
        <v>118</v>
      </c>
      <c r="D224" s="5">
        <v>2</v>
      </c>
      <c r="E224" s="2" t="s">
        <v>1164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1219</v>
      </c>
      <c r="B226" s="5" t="s">
        <v>56</v>
      </c>
      <c r="C226" s="5" t="s">
        <v>118</v>
      </c>
      <c r="D226" s="5">
        <v>2</v>
      </c>
      <c r="E226" s="5" t="s">
        <v>1162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1219</v>
      </c>
      <c r="B227" s="5" t="s">
        <v>56</v>
      </c>
      <c r="C227" s="5" t="s">
        <v>118</v>
      </c>
      <c r="D227" s="5">
        <v>2</v>
      </c>
      <c r="E227" s="5" t="s">
        <v>1163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1219</v>
      </c>
      <c r="B228" s="5" t="s">
        <v>56</v>
      </c>
      <c r="C228" s="5" t="s">
        <v>118</v>
      </c>
      <c r="D228" s="5">
        <v>2</v>
      </c>
      <c r="E228" s="2" t="s">
        <v>1164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1220</v>
      </c>
      <c r="B230" s="5" t="s">
        <v>58</v>
      </c>
      <c r="C230" s="5" t="s">
        <v>118</v>
      </c>
      <c r="D230" s="5">
        <v>2</v>
      </c>
      <c r="E230" s="5" t="s">
        <v>1162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1220</v>
      </c>
      <c r="B231" s="5" t="s">
        <v>58</v>
      </c>
      <c r="C231" s="5" t="s">
        <v>118</v>
      </c>
      <c r="D231" s="5">
        <v>2</v>
      </c>
      <c r="E231" s="5" t="s">
        <v>1163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1220</v>
      </c>
      <c r="B232" s="5" t="s">
        <v>58</v>
      </c>
      <c r="C232" s="5" t="s">
        <v>118</v>
      </c>
      <c r="D232" s="5">
        <v>2</v>
      </c>
      <c r="E232" s="2" t="s">
        <v>1164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1221</v>
      </c>
      <c r="B234" s="5" t="s">
        <v>61</v>
      </c>
      <c r="C234" s="5" t="s">
        <v>118</v>
      </c>
      <c r="D234" s="5">
        <v>2</v>
      </c>
      <c r="E234" s="5" t="s">
        <v>1162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1221</v>
      </c>
      <c r="B235" s="5" t="s">
        <v>61</v>
      </c>
      <c r="C235" s="5" t="s">
        <v>118</v>
      </c>
      <c r="D235" s="5">
        <v>2</v>
      </c>
      <c r="E235" s="5" t="s">
        <v>1163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1221</v>
      </c>
      <c r="B236" s="5" t="s">
        <v>61</v>
      </c>
      <c r="C236" s="5" t="s">
        <v>118</v>
      </c>
      <c r="D236" s="5">
        <v>2</v>
      </c>
      <c r="E236" s="2" t="s">
        <v>1164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1222</v>
      </c>
      <c r="B238" s="5" t="s">
        <v>63</v>
      </c>
      <c r="C238" s="5" t="s">
        <v>118</v>
      </c>
      <c r="D238" s="5">
        <v>2</v>
      </c>
      <c r="E238" s="5" t="s">
        <v>1162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1222</v>
      </c>
      <c r="B239" s="5" t="s">
        <v>63</v>
      </c>
      <c r="C239" s="5" t="s">
        <v>118</v>
      </c>
      <c r="D239" s="5">
        <v>2</v>
      </c>
      <c r="E239" s="5" t="s">
        <v>1163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1222</v>
      </c>
      <c r="B240" s="5" t="s">
        <v>63</v>
      </c>
      <c r="C240" s="5" t="s">
        <v>118</v>
      </c>
      <c r="D240" s="5">
        <v>2</v>
      </c>
      <c r="E240" s="2" t="s">
        <v>1164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1223</v>
      </c>
      <c r="B242" s="5" t="s">
        <v>65</v>
      </c>
      <c r="C242" s="5" t="s">
        <v>118</v>
      </c>
      <c r="D242" s="5">
        <v>2</v>
      </c>
      <c r="E242" s="5" t="s">
        <v>1162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1223</v>
      </c>
      <c r="B243" s="5" t="s">
        <v>65</v>
      </c>
      <c r="C243" s="5" t="s">
        <v>118</v>
      </c>
      <c r="D243" s="5">
        <v>2</v>
      </c>
      <c r="E243" s="5" t="s">
        <v>1163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1223</v>
      </c>
      <c r="B244" s="5" t="s">
        <v>65</v>
      </c>
      <c r="C244" s="5" t="s">
        <v>118</v>
      </c>
      <c r="D244" s="5">
        <v>2</v>
      </c>
      <c r="E244" s="2" t="s">
        <v>1164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1224</v>
      </c>
      <c r="B246" s="5" t="s">
        <v>67</v>
      </c>
      <c r="C246" s="5" t="s">
        <v>118</v>
      </c>
      <c r="D246" s="5">
        <v>2</v>
      </c>
      <c r="E246" s="5" t="s">
        <v>1162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1224</v>
      </c>
      <c r="B247" s="5" t="s">
        <v>67</v>
      </c>
      <c r="C247" s="5" t="s">
        <v>118</v>
      </c>
      <c r="D247" s="5">
        <v>2</v>
      </c>
      <c r="E247" s="5" t="s">
        <v>1163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1224</v>
      </c>
      <c r="B248" s="5" t="s">
        <v>67</v>
      </c>
      <c r="C248" s="5" t="s">
        <v>118</v>
      </c>
      <c r="D248" s="5">
        <v>2</v>
      </c>
      <c r="E248" s="2" t="s">
        <v>1164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1225</v>
      </c>
      <c r="B250" s="5" t="s">
        <v>70</v>
      </c>
      <c r="C250" s="5" t="s">
        <v>118</v>
      </c>
      <c r="D250" s="5">
        <v>2</v>
      </c>
      <c r="E250" s="5" t="s">
        <v>1162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1225</v>
      </c>
      <c r="B251" s="5" t="s">
        <v>70</v>
      </c>
      <c r="C251" s="5" t="s">
        <v>118</v>
      </c>
      <c r="D251" s="5">
        <v>2</v>
      </c>
      <c r="E251" s="5" t="s">
        <v>1163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1225</v>
      </c>
      <c r="B252" s="5" t="s">
        <v>70</v>
      </c>
      <c r="C252" s="5" t="s">
        <v>118</v>
      </c>
      <c r="D252" s="5">
        <v>2</v>
      </c>
      <c r="E252" s="2" t="s">
        <v>1164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1226</v>
      </c>
      <c r="B254" s="5" t="s">
        <v>72</v>
      </c>
      <c r="C254" s="5" t="s">
        <v>118</v>
      </c>
      <c r="D254" s="5">
        <v>2</v>
      </c>
      <c r="E254" s="5" t="s">
        <v>1162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1226</v>
      </c>
      <c r="B255" s="5" t="s">
        <v>72</v>
      </c>
      <c r="C255" s="5" t="s">
        <v>118</v>
      </c>
      <c r="D255" s="5">
        <v>2</v>
      </c>
      <c r="E255" s="5" t="s">
        <v>1163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1226</v>
      </c>
      <c r="B256" s="5" t="s">
        <v>72</v>
      </c>
      <c r="C256" s="5" t="s">
        <v>118</v>
      </c>
      <c r="D256" s="5">
        <v>2</v>
      </c>
      <c r="E256" s="2" t="s">
        <v>1164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1227</v>
      </c>
      <c r="B258" s="5" t="s">
        <v>52</v>
      </c>
      <c r="C258" s="5" t="s">
        <v>120</v>
      </c>
      <c r="D258" s="5">
        <v>2</v>
      </c>
      <c r="E258" s="5" t="s">
        <v>1162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1227</v>
      </c>
      <c r="B259" s="5" t="s">
        <v>52</v>
      </c>
      <c r="C259" s="5" t="s">
        <v>120</v>
      </c>
      <c r="D259" s="5">
        <v>2</v>
      </c>
      <c r="E259" s="5" t="s">
        <v>1163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1227</v>
      </c>
      <c r="B260" s="5" t="s">
        <v>52</v>
      </c>
      <c r="C260" s="5" t="s">
        <v>120</v>
      </c>
      <c r="D260" s="5">
        <v>2</v>
      </c>
      <c r="E260" s="2" t="s">
        <v>1164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1228</v>
      </c>
      <c r="B262" s="5" t="s">
        <v>56</v>
      </c>
      <c r="C262" s="5" t="s">
        <v>120</v>
      </c>
      <c r="D262" s="5">
        <v>2</v>
      </c>
      <c r="E262" s="5" t="s">
        <v>1162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1228</v>
      </c>
      <c r="B263" s="5" t="s">
        <v>56</v>
      </c>
      <c r="C263" s="5" t="s">
        <v>120</v>
      </c>
      <c r="D263" s="5">
        <v>2</v>
      </c>
      <c r="E263" s="5" t="s">
        <v>1163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1228</v>
      </c>
      <c r="B264" s="5" t="s">
        <v>56</v>
      </c>
      <c r="C264" s="5" t="s">
        <v>120</v>
      </c>
      <c r="D264" s="5">
        <v>2</v>
      </c>
      <c r="E264" s="2" t="s">
        <v>1164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1229</v>
      </c>
      <c r="B266" s="5" t="s">
        <v>58</v>
      </c>
      <c r="C266" s="5" t="s">
        <v>120</v>
      </c>
      <c r="D266" s="5">
        <v>2</v>
      </c>
      <c r="E266" s="5" t="s">
        <v>1162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1229</v>
      </c>
      <c r="B267" s="5" t="s">
        <v>58</v>
      </c>
      <c r="C267" s="5" t="s">
        <v>120</v>
      </c>
      <c r="D267" s="5">
        <v>2</v>
      </c>
      <c r="E267" s="5" t="s">
        <v>1163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1229</v>
      </c>
      <c r="B268" s="5" t="s">
        <v>58</v>
      </c>
      <c r="C268" s="5" t="s">
        <v>120</v>
      </c>
      <c r="D268" s="5">
        <v>2</v>
      </c>
      <c r="E268" s="2" t="s">
        <v>1164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1230</v>
      </c>
      <c r="B270" s="5" t="s">
        <v>61</v>
      </c>
      <c r="C270" s="5" t="s">
        <v>120</v>
      </c>
      <c r="D270" s="5">
        <v>2</v>
      </c>
      <c r="E270" s="5" t="s">
        <v>1162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1230</v>
      </c>
      <c r="B271" s="5" t="s">
        <v>61</v>
      </c>
      <c r="C271" s="5" t="s">
        <v>120</v>
      </c>
      <c r="D271" s="5">
        <v>2</v>
      </c>
      <c r="E271" s="5" t="s">
        <v>1163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1230</v>
      </c>
      <c r="B272" s="5" t="s">
        <v>61</v>
      </c>
      <c r="C272" s="5" t="s">
        <v>120</v>
      </c>
      <c r="D272" s="5">
        <v>2</v>
      </c>
      <c r="E272" s="2" t="s">
        <v>1164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1231</v>
      </c>
      <c r="B274" s="5" t="s">
        <v>63</v>
      </c>
      <c r="C274" s="5" t="s">
        <v>120</v>
      </c>
      <c r="D274" s="5">
        <v>2</v>
      </c>
      <c r="E274" s="5" t="s">
        <v>1162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1231</v>
      </c>
      <c r="B275" s="5" t="s">
        <v>63</v>
      </c>
      <c r="C275" s="5" t="s">
        <v>120</v>
      </c>
      <c r="D275" s="5">
        <v>2</v>
      </c>
      <c r="E275" s="5" t="s">
        <v>1163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1231</v>
      </c>
      <c r="B276" s="5" t="s">
        <v>63</v>
      </c>
      <c r="C276" s="5" t="s">
        <v>120</v>
      </c>
      <c r="D276" s="5">
        <v>2</v>
      </c>
      <c r="E276" s="2" t="s">
        <v>1164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1232</v>
      </c>
      <c r="B278" s="5" t="s">
        <v>65</v>
      </c>
      <c r="C278" s="5" t="s">
        <v>120</v>
      </c>
      <c r="D278" s="5">
        <v>2</v>
      </c>
      <c r="E278" s="5" t="s">
        <v>1162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1232</v>
      </c>
      <c r="B279" s="5" t="s">
        <v>65</v>
      </c>
      <c r="C279" s="5" t="s">
        <v>120</v>
      </c>
      <c r="D279" s="5">
        <v>2</v>
      </c>
      <c r="E279" s="5" t="s">
        <v>1163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1232</v>
      </c>
      <c r="B280" s="5" t="s">
        <v>65</v>
      </c>
      <c r="C280" s="5" t="s">
        <v>120</v>
      </c>
      <c r="D280" s="5">
        <v>2</v>
      </c>
      <c r="E280" s="2" t="s">
        <v>1164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1233</v>
      </c>
      <c r="B282" s="5" t="s">
        <v>67</v>
      </c>
      <c r="C282" s="5" t="s">
        <v>120</v>
      </c>
      <c r="D282" s="5">
        <v>2</v>
      </c>
      <c r="E282" s="5" t="s">
        <v>1162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1233</v>
      </c>
      <c r="B283" s="5" t="s">
        <v>67</v>
      </c>
      <c r="C283" s="5" t="s">
        <v>120</v>
      </c>
      <c r="D283" s="5">
        <v>2</v>
      </c>
      <c r="E283" s="5" t="s">
        <v>1163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1233</v>
      </c>
      <c r="B284" s="5" t="s">
        <v>67</v>
      </c>
      <c r="C284" s="5" t="s">
        <v>120</v>
      </c>
      <c r="D284" s="5">
        <v>2</v>
      </c>
      <c r="E284" s="2" t="s">
        <v>1164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1234</v>
      </c>
      <c r="B286" s="5" t="s">
        <v>70</v>
      </c>
      <c r="C286" s="5" t="s">
        <v>120</v>
      </c>
      <c r="D286" s="5">
        <v>2</v>
      </c>
      <c r="E286" s="5" t="s">
        <v>1162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1234</v>
      </c>
      <c r="B287" s="5" t="s">
        <v>70</v>
      </c>
      <c r="C287" s="5" t="s">
        <v>120</v>
      </c>
      <c r="D287" s="5">
        <v>2</v>
      </c>
      <c r="E287" s="5" t="s">
        <v>1163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1234</v>
      </c>
      <c r="B288" s="5" t="s">
        <v>70</v>
      </c>
      <c r="C288" s="5" t="s">
        <v>120</v>
      </c>
      <c r="D288" s="5">
        <v>2</v>
      </c>
      <c r="E288" s="2" t="s">
        <v>1164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1235</v>
      </c>
      <c r="B290" s="5" t="s">
        <v>72</v>
      </c>
      <c r="C290" s="5" t="s">
        <v>120</v>
      </c>
      <c r="D290" s="5">
        <v>2</v>
      </c>
      <c r="E290" s="5" t="s">
        <v>1162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1235</v>
      </c>
      <c r="B291" s="5" t="s">
        <v>72</v>
      </c>
      <c r="C291" s="5" t="s">
        <v>120</v>
      </c>
      <c r="D291" s="5">
        <v>2</v>
      </c>
      <c r="E291" s="5" t="s">
        <v>1163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1235</v>
      </c>
      <c r="B292" s="5" t="s">
        <v>72</v>
      </c>
      <c r="C292" s="5" t="s">
        <v>120</v>
      </c>
      <c r="D292" s="5">
        <v>2</v>
      </c>
      <c r="E292" s="2" t="s">
        <v>1164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1236</v>
      </c>
      <c r="B294" s="5" t="s">
        <v>52</v>
      </c>
      <c r="C294" s="5" t="s">
        <v>46</v>
      </c>
      <c r="D294" s="5">
        <v>1</v>
      </c>
      <c r="E294" s="5" t="s">
        <v>1162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1236</v>
      </c>
      <c r="B295" s="5" t="s">
        <v>52</v>
      </c>
      <c r="C295" s="5" t="s">
        <v>46</v>
      </c>
      <c r="D295" s="5">
        <v>1</v>
      </c>
      <c r="E295" s="5" t="s">
        <v>1163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1236</v>
      </c>
      <c r="B296" s="5" t="s">
        <v>52</v>
      </c>
      <c r="C296" s="5" t="s">
        <v>46</v>
      </c>
      <c r="D296" s="5">
        <v>1</v>
      </c>
      <c r="E296" s="2" t="s">
        <v>1164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1237</v>
      </c>
      <c r="B298" s="5" t="s">
        <v>56</v>
      </c>
      <c r="C298" s="5" t="s">
        <v>46</v>
      </c>
      <c r="D298" s="5">
        <v>1</v>
      </c>
      <c r="E298" s="5" t="s">
        <v>1162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1237</v>
      </c>
      <c r="B299" s="5" t="s">
        <v>56</v>
      </c>
      <c r="C299" s="5" t="s">
        <v>46</v>
      </c>
      <c r="D299" s="5">
        <v>1</v>
      </c>
      <c r="E299" s="5" t="s">
        <v>1163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1237</v>
      </c>
      <c r="B300" s="5" t="s">
        <v>56</v>
      </c>
      <c r="C300" s="5" t="s">
        <v>46</v>
      </c>
      <c r="D300" s="5">
        <v>1</v>
      </c>
      <c r="E300" s="2" t="s">
        <v>1164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1238</v>
      </c>
      <c r="B302" s="5" t="s">
        <v>58</v>
      </c>
      <c r="C302" s="5" t="s">
        <v>46</v>
      </c>
      <c r="D302" s="5">
        <v>1</v>
      </c>
      <c r="E302" s="5" t="s">
        <v>1162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1238</v>
      </c>
      <c r="B303" s="5" t="s">
        <v>58</v>
      </c>
      <c r="C303" s="5" t="s">
        <v>46</v>
      </c>
      <c r="D303" s="5">
        <v>1</v>
      </c>
      <c r="E303" s="5" t="s">
        <v>1163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1238</v>
      </c>
      <c r="B304" s="5" t="s">
        <v>58</v>
      </c>
      <c r="C304" s="5" t="s">
        <v>46</v>
      </c>
      <c r="D304" s="5">
        <v>1</v>
      </c>
      <c r="E304" s="2" t="s">
        <v>1164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1239</v>
      </c>
      <c r="B306" s="5" t="s">
        <v>61</v>
      </c>
      <c r="C306" s="5" t="s">
        <v>46</v>
      </c>
      <c r="D306" s="5">
        <v>1</v>
      </c>
      <c r="E306" s="5" t="s">
        <v>1162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1239</v>
      </c>
      <c r="B307" s="5" t="s">
        <v>61</v>
      </c>
      <c r="C307" s="5" t="s">
        <v>46</v>
      </c>
      <c r="D307" s="5">
        <v>1</v>
      </c>
      <c r="E307" s="5" t="s">
        <v>1163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1239</v>
      </c>
      <c r="B308" s="5" t="s">
        <v>61</v>
      </c>
      <c r="C308" s="5" t="s">
        <v>46</v>
      </c>
      <c r="D308" s="5">
        <v>1</v>
      </c>
      <c r="E308" s="2" t="s">
        <v>1164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1240</v>
      </c>
      <c r="B310" s="5" t="s">
        <v>63</v>
      </c>
      <c r="C310" s="5" t="s">
        <v>46</v>
      </c>
      <c r="D310" s="5">
        <v>1</v>
      </c>
      <c r="E310" s="5" t="s">
        <v>1162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1240</v>
      </c>
      <c r="B311" s="5" t="s">
        <v>63</v>
      </c>
      <c r="C311" s="5" t="s">
        <v>46</v>
      </c>
      <c r="D311" s="5">
        <v>1</v>
      </c>
      <c r="E311" s="5" t="s">
        <v>1163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1240</v>
      </c>
      <c r="B312" s="5" t="s">
        <v>63</v>
      </c>
      <c r="C312" s="5" t="s">
        <v>46</v>
      </c>
      <c r="D312" s="5">
        <v>1</v>
      </c>
      <c r="E312" s="2" t="s">
        <v>1164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1241</v>
      </c>
      <c r="B314" s="5" t="s">
        <v>65</v>
      </c>
      <c r="C314" s="5" t="s">
        <v>46</v>
      </c>
      <c r="D314" s="5">
        <v>1</v>
      </c>
      <c r="E314" s="5" t="s">
        <v>1162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1241</v>
      </c>
      <c r="B315" s="5" t="s">
        <v>65</v>
      </c>
      <c r="C315" s="5" t="s">
        <v>46</v>
      </c>
      <c r="D315" s="5">
        <v>1</v>
      </c>
      <c r="E315" s="5" t="s">
        <v>1163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1241</v>
      </c>
      <c r="B316" s="5" t="s">
        <v>65</v>
      </c>
      <c r="C316" s="5" t="s">
        <v>46</v>
      </c>
      <c r="D316" s="5">
        <v>1</v>
      </c>
      <c r="E316" s="2" t="s">
        <v>1164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1242</v>
      </c>
      <c r="B318" s="5" t="s">
        <v>67</v>
      </c>
      <c r="C318" s="5" t="s">
        <v>46</v>
      </c>
      <c r="D318" s="5">
        <v>1</v>
      </c>
      <c r="E318" s="5" t="s">
        <v>1162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1242</v>
      </c>
      <c r="B319" s="5" t="s">
        <v>67</v>
      </c>
      <c r="C319" s="5" t="s">
        <v>46</v>
      </c>
      <c r="D319" s="5">
        <v>1</v>
      </c>
      <c r="E319" s="5" t="s">
        <v>1163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1242</v>
      </c>
      <c r="B320" s="5" t="s">
        <v>67</v>
      </c>
      <c r="C320" s="5" t="s">
        <v>46</v>
      </c>
      <c r="D320" s="5">
        <v>1</v>
      </c>
      <c r="E320" s="2" t="s">
        <v>1164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1243</v>
      </c>
      <c r="B322" s="5" t="s">
        <v>70</v>
      </c>
      <c r="C322" s="5" t="s">
        <v>46</v>
      </c>
      <c r="D322" s="5">
        <v>1</v>
      </c>
      <c r="E322" s="5" t="s">
        <v>1162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1243</v>
      </c>
      <c r="B323" s="5" t="s">
        <v>70</v>
      </c>
      <c r="C323" s="5" t="s">
        <v>46</v>
      </c>
      <c r="D323" s="5">
        <v>1</v>
      </c>
      <c r="E323" s="5" t="s">
        <v>1163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1243</v>
      </c>
      <c r="B324" s="5" t="s">
        <v>70</v>
      </c>
      <c r="C324" s="5" t="s">
        <v>46</v>
      </c>
      <c r="D324" s="5">
        <v>1</v>
      </c>
      <c r="E324" s="2" t="s">
        <v>1164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1244</v>
      </c>
      <c r="B326" s="5" t="s">
        <v>72</v>
      </c>
      <c r="C326" s="5" t="s">
        <v>46</v>
      </c>
      <c r="D326" s="5">
        <v>1</v>
      </c>
      <c r="E326" s="5" t="s">
        <v>1162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1244</v>
      </c>
      <c r="B327" s="5" t="s">
        <v>72</v>
      </c>
      <c r="C327" s="5" t="s">
        <v>46</v>
      </c>
      <c r="D327" s="5">
        <v>1</v>
      </c>
      <c r="E327" s="5" t="s">
        <v>1163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1244</v>
      </c>
      <c r="B328" s="5" t="s">
        <v>72</v>
      </c>
      <c r="C328" s="5" t="s">
        <v>46</v>
      </c>
      <c r="D328" s="5">
        <v>1</v>
      </c>
      <c r="E328" s="2" t="s">
        <v>1164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1245</v>
      </c>
      <c r="B330" s="5" t="s">
        <v>52</v>
      </c>
      <c r="C330" s="5" t="s">
        <v>116</v>
      </c>
      <c r="D330" s="5">
        <v>1</v>
      </c>
      <c r="E330" s="5" t="s">
        <v>1162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1245</v>
      </c>
      <c r="B331" s="5" t="s">
        <v>52</v>
      </c>
      <c r="C331" s="5" t="s">
        <v>116</v>
      </c>
      <c r="D331" s="5">
        <v>1</v>
      </c>
      <c r="E331" s="5" t="s">
        <v>1163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1245</v>
      </c>
      <c r="B332" s="5" t="s">
        <v>52</v>
      </c>
      <c r="C332" s="5" t="s">
        <v>116</v>
      </c>
      <c r="D332" s="5">
        <v>1</v>
      </c>
      <c r="E332" s="2" t="s">
        <v>1164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1246</v>
      </c>
      <c r="B334" s="5" t="s">
        <v>56</v>
      </c>
      <c r="C334" s="5" t="s">
        <v>116</v>
      </c>
      <c r="D334" s="5">
        <v>1</v>
      </c>
      <c r="E334" s="5" t="s">
        <v>1162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1246</v>
      </c>
      <c r="B335" s="5" t="s">
        <v>56</v>
      </c>
      <c r="C335" s="5" t="s">
        <v>116</v>
      </c>
      <c r="D335" s="5">
        <v>1</v>
      </c>
      <c r="E335" s="5" t="s">
        <v>1163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1246</v>
      </c>
      <c r="B336" s="5" t="s">
        <v>56</v>
      </c>
      <c r="C336" s="5" t="s">
        <v>116</v>
      </c>
      <c r="D336" s="5">
        <v>1</v>
      </c>
      <c r="E336" s="2" t="s">
        <v>1164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1247</v>
      </c>
      <c r="B338" s="5" t="s">
        <v>58</v>
      </c>
      <c r="C338" s="5" t="s">
        <v>116</v>
      </c>
      <c r="D338" s="5">
        <v>1</v>
      </c>
      <c r="E338" s="5" t="s">
        <v>1162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1247</v>
      </c>
      <c r="B339" s="5" t="s">
        <v>58</v>
      </c>
      <c r="C339" s="5" t="s">
        <v>116</v>
      </c>
      <c r="D339" s="5">
        <v>1</v>
      </c>
      <c r="E339" s="5" t="s">
        <v>1163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1247</v>
      </c>
      <c r="B340" s="5" t="s">
        <v>58</v>
      </c>
      <c r="C340" s="5" t="s">
        <v>116</v>
      </c>
      <c r="D340" s="5">
        <v>1</v>
      </c>
      <c r="E340" s="2" t="s">
        <v>1164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1248</v>
      </c>
      <c r="B342" s="5" t="s">
        <v>61</v>
      </c>
      <c r="C342" s="5" t="s">
        <v>116</v>
      </c>
      <c r="D342" s="5">
        <v>1</v>
      </c>
      <c r="E342" s="5" t="s">
        <v>1162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1248</v>
      </c>
      <c r="B343" s="5" t="s">
        <v>61</v>
      </c>
      <c r="C343" s="5" t="s">
        <v>116</v>
      </c>
      <c r="D343" s="5">
        <v>1</v>
      </c>
      <c r="E343" s="5" t="s">
        <v>1163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1248</v>
      </c>
      <c r="B344" s="5" t="s">
        <v>61</v>
      </c>
      <c r="C344" s="5" t="s">
        <v>116</v>
      </c>
      <c r="D344" s="5">
        <v>1</v>
      </c>
      <c r="E344" s="2" t="s">
        <v>1164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1249</v>
      </c>
      <c r="B346" s="5" t="s">
        <v>63</v>
      </c>
      <c r="C346" s="5" t="s">
        <v>116</v>
      </c>
      <c r="D346" s="5">
        <v>1</v>
      </c>
      <c r="E346" s="5" t="s">
        <v>1162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1249</v>
      </c>
      <c r="B347" s="5" t="s">
        <v>63</v>
      </c>
      <c r="C347" s="5" t="s">
        <v>116</v>
      </c>
      <c r="D347" s="5">
        <v>1</v>
      </c>
      <c r="E347" s="5" t="s">
        <v>1163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1249</v>
      </c>
      <c r="B348" s="5" t="s">
        <v>63</v>
      </c>
      <c r="C348" s="5" t="s">
        <v>116</v>
      </c>
      <c r="D348" s="5">
        <v>1</v>
      </c>
      <c r="E348" s="2" t="s">
        <v>1164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1250</v>
      </c>
      <c r="B350" s="5" t="s">
        <v>65</v>
      </c>
      <c r="C350" s="5" t="s">
        <v>116</v>
      </c>
      <c r="D350" s="5">
        <v>1</v>
      </c>
      <c r="E350" s="5" t="s">
        <v>1162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1250</v>
      </c>
      <c r="B351" s="5" t="s">
        <v>65</v>
      </c>
      <c r="C351" s="5" t="s">
        <v>116</v>
      </c>
      <c r="D351" s="5">
        <v>1</v>
      </c>
      <c r="E351" s="5" t="s">
        <v>1163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1250</v>
      </c>
      <c r="B352" s="5" t="s">
        <v>65</v>
      </c>
      <c r="C352" s="5" t="s">
        <v>116</v>
      </c>
      <c r="D352" s="5">
        <v>1</v>
      </c>
      <c r="E352" s="2" t="s">
        <v>1164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1251</v>
      </c>
      <c r="B354" s="5" t="s">
        <v>67</v>
      </c>
      <c r="C354" s="5" t="s">
        <v>116</v>
      </c>
      <c r="D354" s="5">
        <v>1</v>
      </c>
      <c r="E354" s="5" t="s">
        <v>1162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1251</v>
      </c>
      <c r="B355" s="5" t="s">
        <v>67</v>
      </c>
      <c r="C355" s="5" t="s">
        <v>116</v>
      </c>
      <c r="D355" s="5">
        <v>1</v>
      </c>
      <c r="E355" s="5" t="s">
        <v>1163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1251</v>
      </c>
      <c r="B356" s="5" t="s">
        <v>67</v>
      </c>
      <c r="C356" s="5" t="s">
        <v>116</v>
      </c>
      <c r="D356" s="5">
        <v>1</v>
      </c>
      <c r="E356" s="2" t="s">
        <v>1164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1252</v>
      </c>
      <c r="B358" s="5" t="s">
        <v>70</v>
      </c>
      <c r="C358" s="5" t="s">
        <v>116</v>
      </c>
      <c r="D358" s="5">
        <v>1</v>
      </c>
      <c r="E358" s="5" t="s">
        <v>1162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1252</v>
      </c>
      <c r="B359" s="5" t="s">
        <v>70</v>
      </c>
      <c r="C359" s="5" t="s">
        <v>116</v>
      </c>
      <c r="D359" s="5">
        <v>1</v>
      </c>
      <c r="E359" s="5" t="s">
        <v>1163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1252</v>
      </c>
      <c r="B360" s="5" t="s">
        <v>70</v>
      </c>
      <c r="C360" s="5" t="s">
        <v>116</v>
      </c>
      <c r="D360" s="5">
        <v>1</v>
      </c>
      <c r="E360" s="2" t="s">
        <v>1164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1253</v>
      </c>
      <c r="B362" s="5" t="s">
        <v>72</v>
      </c>
      <c r="C362" s="5" t="s">
        <v>116</v>
      </c>
      <c r="D362" s="5">
        <v>1</v>
      </c>
      <c r="E362" s="5" t="s">
        <v>1162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1253</v>
      </c>
      <c r="B363" s="5" t="s">
        <v>72</v>
      </c>
      <c r="C363" s="5" t="s">
        <v>116</v>
      </c>
      <c r="D363" s="5">
        <v>1</v>
      </c>
      <c r="E363" s="5" t="s">
        <v>1163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1253</v>
      </c>
      <c r="B364" s="5" t="s">
        <v>72</v>
      </c>
      <c r="C364" s="5" t="s">
        <v>116</v>
      </c>
      <c r="D364" s="5">
        <v>1</v>
      </c>
      <c r="E364" s="2" t="s">
        <v>1164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1254</v>
      </c>
      <c r="B366" s="5" t="s">
        <v>52</v>
      </c>
      <c r="C366" s="5" t="s">
        <v>118</v>
      </c>
      <c r="D366" s="5">
        <v>1</v>
      </c>
      <c r="E366" s="5" t="s">
        <v>1162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1254</v>
      </c>
      <c r="B367" s="5" t="s">
        <v>52</v>
      </c>
      <c r="C367" s="5" t="s">
        <v>118</v>
      </c>
      <c r="D367" s="5">
        <v>1</v>
      </c>
      <c r="E367" s="5" t="s">
        <v>1163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1254</v>
      </c>
      <c r="B368" s="5" t="s">
        <v>52</v>
      </c>
      <c r="C368" s="5" t="s">
        <v>118</v>
      </c>
      <c r="D368" s="5">
        <v>1</v>
      </c>
      <c r="E368" s="2" t="s">
        <v>1164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1255</v>
      </c>
      <c r="B370" s="5" t="s">
        <v>56</v>
      </c>
      <c r="C370" s="5" t="s">
        <v>118</v>
      </c>
      <c r="D370" s="5">
        <v>1</v>
      </c>
      <c r="E370" s="5" t="s">
        <v>1162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1255</v>
      </c>
      <c r="B371" s="5" t="s">
        <v>56</v>
      </c>
      <c r="C371" s="5" t="s">
        <v>118</v>
      </c>
      <c r="D371" s="5">
        <v>1</v>
      </c>
      <c r="E371" s="5" t="s">
        <v>1163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1255</v>
      </c>
      <c r="B372" s="5" t="s">
        <v>56</v>
      </c>
      <c r="C372" s="5" t="s">
        <v>118</v>
      </c>
      <c r="D372" s="5">
        <v>1</v>
      </c>
      <c r="E372" s="2" t="s">
        <v>1164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1256</v>
      </c>
      <c r="B374" s="5" t="s">
        <v>58</v>
      </c>
      <c r="C374" s="5" t="s">
        <v>118</v>
      </c>
      <c r="D374" s="5">
        <v>1</v>
      </c>
      <c r="E374" s="5" t="s">
        <v>1162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1256</v>
      </c>
      <c r="B375" s="5" t="s">
        <v>58</v>
      </c>
      <c r="C375" s="5" t="s">
        <v>118</v>
      </c>
      <c r="D375" s="5">
        <v>1</v>
      </c>
      <c r="E375" s="5" t="s">
        <v>1163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1256</v>
      </c>
      <c r="B376" s="5" t="s">
        <v>58</v>
      </c>
      <c r="C376" s="5" t="s">
        <v>118</v>
      </c>
      <c r="D376" s="5">
        <v>1</v>
      </c>
      <c r="E376" s="2" t="s">
        <v>1164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1257</v>
      </c>
      <c r="B378" s="5" t="s">
        <v>61</v>
      </c>
      <c r="C378" s="5" t="s">
        <v>118</v>
      </c>
      <c r="D378" s="5">
        <v>1</v>
      </c>
      <c r="E378" s="5" t="s">
        <v>1162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1257</v>
      </c>
      <c r="B379" s="5" t="s">
        <v>61</v>
      </c>
      <c r="C379" s="5" t="s">
        <v>118</v>
      </c>
      <c r="D379" s="5">
        <v>1</v>
      </c>
      <c r="E379" s="5" t="s">
        <v>1163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1257</v>
      </c>
      <c r="B380" s="5" t="s">
        <v>61</v>
      </c>
      <c r="C380" s="5" t="s">
        <v>118</v>
      </c>
      <c r="D380" s="5">
        <v>1</v>
      </c>
      <c r="E380" s="2" t="s">
        <v>1164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1258</v>
      </c>
      <c r="B382" s="5" t="s">
        <v>63</v>
      </c>
      <c r="C382" s="5" t="s">
        <v>118</v>
      </c>
      <c r="D382" s="5">
        <v>1</v>
      </c>
      <c r="E382" s="5" t="s">
        <v>1162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1258</v>
      </c>
      <c r="B383" s="5" t="s">
        <v>63</v>
      </c>
      <c r="C383" s="5" t="s">
        <v>118</v>
      </c>
      <c r="D383" s="5">
        <v>1</v>
      </c>
      <c r="E383" s="5" t="s">
        <v>1163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1258</v>
      </c>
      <c r="B384" s="5" t="s">
        <v>63</v>
      </c>
      <c r="C384" s="5" t="s">
        <v>118</v>
      </c>
      <c r="D384" s="5">
        <v>1</v>
      </c>
      <c r="E384" s="2" t="s">
        <v>1164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1259</v>
      </c>
      <c r="B386" s="5" t="s">
        <v>65</v>
      </c>
      <c r="C386" s="5" t="s">
        <v>118</v>
      </c>
      <c r="D386" s="5">
        <v>1</v>
      </c>
      <c r="E386" s="5" t="s">
        <v>1162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1259</v>
      </c>
      <c r="B387" s="5" t="s">
        <v>65</v>
      </c>
      <c r="C387" s="5" t="s">
        <v>118</v>
      </c>
      <c r="D387" s="5">
        <v>1</v>
      </c>
      <c r="E387" s="5" t="s">
        <v>1163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1259</v>
      </c>
      <c r="B388" s="5" t="s">
        <v>65</v>
      </c>
      <c r="C388" s="5" t="s">
        <v>118</v>
      </c>
      <c r="D388" s="5">
        <v>1</v>
      </c>
      <c r="E388" s="2" t="s">
        <v>1164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1260</v>
      </c>
      <c r="B390" s="5" t="s">
        <v>67</v>
      </c>
      <c r="C390" s="5" t="s">
        <v>118</v>
      </c>
      <c r="D390" s="5">
        <v>1</v>
      </c>
      <c r="E390" s="5" t="s">
        <v>1162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1260</v>
      </c>
      <c r="B391" s="5" t="s">
        <v>67</v>
      </c>
      <c r="C391" s="5" t="s">
        <v>118</v>
      </c>
      <c r="D391" s="5">
        <v>1</v>
      </c>
      <c r="E391" s="5" t="s">
        <v>1163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1260</v>
      </c>
      <c r="B392" s="5" t="s">
        <v>67</v>
      </c>
      <c r="C392" s="5" t="s">
        <v>118</v>
      </c>
      <c r="D392" s="5">
        <v>1</v>
      </c>
      <c r="E392" s="2" t="s">
        <v>1164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1261</v>
      </c>
      <c r="B394" s="5" t="s">
        <v>70</v>
      </c>
      <c r="C394" s="5" t="s">
        <v>118</v>
      </c>
      <c r="D394" s="5">
        <v>1</v>
      </c>
      <c r="E394" s="5" t="s">
        <v>1162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1261</v>
      </c>
      <c r="B395" s="5" t="s">
        <v>70</v>
      </c>
      <c r="C395" s="5" t="s">
        <v>118</v>
      </c>
      <c r="D395" s="5">
        <v>1</v>
      </c>
      <c r="E395" s="5" t="s">
        <v>1163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1261</v>
      </c>
      <c r="B396" s="5" t="s">
        <v>70</v>
      </c>
      <c r="C396" s="5" t="s">
        <v>118</v>
      </c>
      <c r="D396" s="5">
        <v>1</v>
      </c>
      <c r="E396" s="2" t="s">
        <v>1164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1262</v>
      </c>
      <c r="B398" s="5" t="s">
        <v>72</v>
      </c>
      <c r="C398" s="5" t="s">
        <v>118</v>
      </c>
      <c r="D398" s="5">
        <v>1</v>
      </c>
      <c r="E398" s="5" t="s">
        <v>1162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1262</v>
      </c>
      <c r="B399" s="5" t="s">
        <v>72</v>
      </c>
      <c r="C399" s="5" t="s">
        <v>118</v>
      </c>
      <c r="D399" s="5">
        <v>1</v>
      </c>
      <c r="E399" s="5" t="s">
        <v>1163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1262</v>
      </c>
      <c r="B400" s="5" t="s">
        <v>72</v>
      </c>
      <c r="C400" s="5" t="s">
        <v>118</v>
      </c>
      <c r="D400" s="5">
        <v>1</v>
      </c>
      <c r="E400" s="2" t="s">
        <v>1164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1263</v>
      </c>
      <c r="B402" s="5" t="s">
        <v>52</v>
      </c>
      <c r="C402" s="5" t="s">
        <v>120</v>
      </c>
      <c r="D402" s="5">
        <v>1</v>
      </c>
      <c r="E402" s="5" t="s">
        <v>1162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1263</v>
      </c>
      <c r="B403" s="5" t="s">
        <v>52</v>
      </c>
      <c r="C403" s="5" t="s">
        <v>120</v>
      </c>
      <c r="D403" s="5">
        <v>1</v>
      </c>
      <c r="E403" s="5" t="s">
        <v>1163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1263</v>
      </c>
      <c r="B404" s="5" t="s">
        <v>52</v>
      </c>
      <c r="C404" s="5" t="s">
        <v>120</v>
      </c>
      <c r="D404" s="5">
        <v>1</v>
      </c>
      <c r="E404" s="2" t="s">
        <v>1164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1264</v>
      </c>
      <c r="B406" s="5" t="s">
        <v>56</v>
      </c>
      <c r="C406" s="5" t="s">
        <v>120</v>
      </c>
      <c r="D406" s="5">
        <v>1</v>
      </c>
      <c r="E406" s="5" t="s">
        <v>1162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1264</v>
      </c>
      <c r="B407" s="5" t="s">
        <v>56</v>
      </c>
      <c r="C407" s="5" t="s">
        <v>120</v>
      </c>
      <c r="D407" s="5">
        <v>1</v>
      </c>
      <c r="E407" s="5" t="s">
        <v>1163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1264</v>
      </c>
      <c r="B408" s="5" t="s">
        <v>56</v>
      </c>
      <c r="C408" s="5" t="s">
        <v>120</v>
      </c>
      <c r="D408" s="5">
        <v>1</v>
      </c>
      <c r="E408" s="2" t="s">
        <v>1164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1265</v>
      </c>
      <c r="B410" s="5" t="s">
        <v>58</v>
      </c>
      <c r="C410" s="5" t="s">
        <v>120</v>
      </c>
      <c r="D410" s="5">
        <v>1</v>
      </c>
      <c r="E410" s="5" t="s">
        <v>1162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1265</v>
      </c>
      <c r="B411" s="5" t="s">
        <v>58</v>
      </c>
      <c r="C411" s="5" t="s">
        <v>120</v>
      </c>
      <c r="D411" s="5">
        <v>1</v>
      </c>
      <c r="E411" s="5" t="s">
        <v>1163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1265</v>
      </c>
      <c r="B412" s="5" t="s">
        <v>58</v>
      </c>
      <c r="C412" s="5" t="s">
        <v>120</v>
      </c>
      <c r="D412" s="5">
        <v>1</v>
      </c>
      <c r="E412" s="2" t="s">
        <v>1164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1266</v>
      </c>
      <c r="B414" s="5" t="s">
        <v>61</v>
      </c>
      <c r="C414" s="5" t="s">
        <v>120</v>
      </c>
      <c r="D414" s="5">
        <v>1</v>
      </c>
      <c r="E414" s="5" t="s">
        <v>1162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1266</v>
      </c>
      <c r="B415" s="5" t="s">
        <v>61</v>
      </c>
      <c r="C415" s="5" t="s">
        <v>120</v>
      </c>
      <c r="D415" s="5">
        <v>1</v>
      </c>
      <c r="E415" s="5" t="s">
        <v>1163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1266</v>
      </c>
      <c r="B416" s="5" t="s">
        <v>61</v>
      </c>
      <c r="C416" s="5" t="s">
        <v>120</v>
      </c>
      <c r="D416" s="5">
        <v>1</v>
      </c>
      <c r="E416" s="2" t="s">
        <v>1164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1267</v>
      </c>
      <c r="B418" s="5" t="s">
        <v>63</v>
      </c>
      <c r="C418" s="5" t="s">
        <v>120</v>
      </c>
      <c r="D418" s="5">
        <v>1</v>
      </c>
      <c r="E418" s="5" t="s">
        <v>1162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1267</v>
      </c>
      <c r="B419" s="5" t="s">
        <v>63</v>
      </c>
      <c r="C419" s="5" t="s">
        <v>120</v>
      </c>
      <c r="D419" s="5">
        <v>1</v>
      </c>
      <c r="E419" s="5" t="s">
        <v>1163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1267</v>
      </c>
      <c r="B420" s="5" t="s">
        <v>63</v>
      </c>
      <c r="C420" s="5" t="s">
        <v>120</v>
      </c>
      <c r="D420" s="5">
        <v>1</v>
      </c>
      <c r="E420" s="2" t="s">
        <v>1164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1268</v>
      </c>
      <c r="B422" s="5" t="s">
        <v>65</v>
      </c>
      <c r="C422" s="5" t="s">
        <v>120</v>
      </c>
      <c r="D422" s="5">
        <v>1</v>
      </c>
      <c r="E422" s="5" t="s">
        <v>1162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1268</v>
      </c>
      <c r="B423" s="5" t="s">
        <v>65</v>
      </c>
      <c r="C423" s="5" t="s">
        <v>120</v>
      </c>
      <c r="D423" s="5">
        <v>1</v>
      </c>
      <c r="E423" s="5" t="s">
        <v>1163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1268</v>
      </c>
      <c r="B424" s="5" t="s">
        <v>65</v>
      </c>
      <c r="C424" s="5" t="s">
        <v>120</v>
      </c>
      <c r="D424" s="5">
        <v>1</v>
      </c>
      <c r="E424" s="2" t="s">
        <v>1164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1269</v>
      </c>
      <c r="B426" s="5" t="s">
        <v>67</v>
      </c>
      <c r="C426" s="5" t="s">
        <v>120</v>
      </c>
      <c r="D426" s="5">
        <v>1</v>
      </c>
      <c r="E426" s="5" t="s">
        <v>1162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1269</v>
      </c>
      <c r="B427" s="5" t="s">
        <v>67</v>
      </c>
      <c r="C427" s="5" t="s">
        <v>120</v>
      </c>
      <c r="D427" s="5">
        <v>1</v>
      </c>
      <c r="E427" s="5" t="s">
        <v>1163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1269</v>
      </c>
      <c r="B428" s="5" t="s">
        <v>67</v>
      </c>
      <c r="C428" s="5" t="s">
        <v>120</v>
      </c>
      <c r="D428" s="5">
        <v>1</v>
      </c>
      <c r="E428" s="2" t="s">
        <v>1164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1270</v>
      </c>
      <c r="B430" s="5" t="s">
        <v>70</v>
      </c>
      <c r="C430" s="5" t="s">
        <v>120</v>
      </c>
      <c r="D430" s="5">
        <v>1</v>
      </c>
      <c r="E430" s="5" t="s">
        <v>1162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1270</v>
      </c>
      <c r="B431" s="5" t="s">
        <v>70</v>
      </c>
      <c r="C431" s="5" t="s">
        <v>120</v>
      </c>
      <c r="D431" s="5">
        <v>1</v>
      </c>
      <c r="E431" s="5" t="s">
        <v>1163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1270</v>
      </c>
      <c r="B432" s="5" t="s">
        <v>70</v>
      </c>
      <c r="C432" s="5" t="s">
        <v>120</v>
      </c>
      <c r="D432" s="5">
        <v>1</v>
      </c>
      <c r="E432" s="2" t="s">
        <v>1164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1271</v>
      </c>
      <c r="B434" s="5" t="s">
        <v>72</v>
      </c>
      <c r="C434" s="5" t="s">
        <v>120</v>
      </c>
      <c r="D434" s="5">
        <v>1</v>
      </c>
      <c r="E434" s="5" t="s">
        <v>1162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1271</v>
      </c>
      <c r="B435" s="5" t="s">
        <v>72</v>
      </c>
      <c r="C435" s="5" t="s">
        <v>120</v>
      </c>
      <c r="D435" s="5">
        <v>1</v>
      </c>
      <c r="E435" s="5" t="s">
        <v>1163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1271</v>
      </c>
      <c r="B436" s="5" t="s">
        <v>72</v>
      </c>
      <c r="C436" s="5" t="s">
        <v>120</v>
      </c>
      <c r="D436" s="5">
        <v>1</v>
      </c>
      <c r="E436" s="2" t="s">
        <v>1164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1272</v>
      </c>
      <c r="B438" s="5" t="s">
        <v>52</v>
      </c>
      <c r="C438" s="5" t="s">
        <v>46</v>
      </c>
      <c r="D438" s="5">
        <v>2</v>
      </c>
      <c r="E438" s="5" t="s">
        <v>1162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1272</v>
      </c>
      <c r="B439" s="5" t="s">
        <v>52</v>
      </c>
      <c r="C439" s="5" t="s">
        <v>46</v>
      </c>
      <c r="D439" s="5">
        <v>2</v>
      </c>
      <c r="E439" s="5" t="s">
        <v>1163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1272</v>
      </c>
      <c r="B440" s="5" t="s">
        <v>52</v>
      </c>
      <c r="C440" s="5" t="s">
        <v>46</v>
      </c>
      <c r="D440" s="5">
        <v>2</v>
      </c>
      <c r="E440" s="2" t="s">
        <v>1164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1273</v>
      </c>
      <c r="B442" s="5" t="s">
        <v>56</v>
      </c>
      <c r="C442" s="5" t="s">
        <v>46</v>
      </c>
      <c r="D442" s="5">
        <v>2</v>
      </c>
      <c r="E442" s="5" t="s">
        <v>1162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1273</v>
      </c>
      <c r="B443" s="5" t="s">
        <v>56</v>
      </c>
      <c r="C443" s="5" t="s">
        <v>46</v>
      </c>
      <c r="D443" s="5">
        <v>2</v>
      </c>
      <c r="E443" s="5" t="s">
        <v>1163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7.1746845864040694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8.5696845864040689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13.452184586404069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1273</v>
      </c>
      <c r="B444" s="5" t="s">
        <v>56</v>
      </c>
      <c r="C444" s="5" t="s">
        <v>46</v>
      </c>
      <c r="D444" s="5">
        <v>2</v>
      </c>
      <c r="E444" s="2" t="s">
        <v>1164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-8.8817841970012523E-16</v>
      </c>
      <c r="T444" s="32">
        <f t="shared" si="109"/>
        <v>0</v>
      </c>
      <c r="U444" s="32">
        <f t="shared" si="109"/>
        <v>-1.7763568394002505E-15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-3.0198066269804258E-14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1274</v>
      </c>
      <c r="B446" s="5" t="s">
        <v>58</v>
      </c>
      <c r="C446" s="5" t="s">
        <v>46</v>
      </c>
      <c r="D446" s="5">
        <v>2</v>
      </c>
      <c r="E446" s="5" t="s">
        <v>1162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1274</v>
      </c>
      <c r="B447" s="5" t="s">
        <v>58</v>
      </c>
      <c r="C447" s="5" t="s">
        <v>46</v>
      </c>
      <c r="D447" s="5">
        <v>2</v>
      </c>
      <c r="E447" s="5" t="s">
        <v>1163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0.77715015920690589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0.95071721823590594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1.0375007477504059</v>
      </c>
    </row>
    <row r="448" spans="1:31" x14ac:dyDescent="0.45">
      <c r="A448" s="28" t="s">
        <v>1274</v>
      </c>
      <c r="B448" s="5" t="s">
        <v>58</v>
      </c>
      <c r="C448" s="5" t="s">
        <v>46</v>
      </c>
      <c r="D448" s="5">
        <v>2</v>
      </c>
      <c r="E448" s="2" t="s">
        <v>1164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-1.1102230246251565E-16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-1.1102230246251565E-16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-3.9968028886505635E-15</v>
      </c>
    </row>
    <row r="450" spans="1:31" x14ac:dyDescent="0.45">
      <c r="A450" s="28" t="s">
        <v>1275</v>
      </c>
      <c r="B450" s="5" t="s">
        <v>61</v>
      </c>
      <c r="C450" s="5" t="s">
        <v>46</v>
      </c>
      <c r="D450" s="5">
        <v>2</v>
      </c>
      <c r="E450" s="5" t="s">
        <v>1162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1275</v>
      </c>
      <c r="B451" s="5" t="s">
        <v>61</v>
      </c>
      <c r="C451" s="5" t="s">
        <v>46</v>
      </c>
      <c r="D451" s="5">
        <v>2</v>
      </c>
      <c r="E451" s="5" t="s">
        <v>1163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1275</v>
      </c>
      <c r="B452" s="5" t="s">
        <v>61</v>
      </c>
      <c r="C452" s="5" t="s">
        <v>46</v>
      </c>
      <c r="D452" s="5">
        <v>2</v>
      </c>
      <c r="E452" s="2" t="s">
        <v>1164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1276</v>
      </c>
      <c r="B454" s="5" t="s">
        <v>63</v>
      </c>
      <c r="C454" s="5" t="s">
        <v>46</v>
      </c>
      <c r="D454" s="5">
        <v>2</v>
      </c>
      <c r="E454" s="5" t="s">
        <v>1162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1276</v>
      </c>
      <c r="B455" s="5" t="s">
        <v>63</v>
      </c>
      <c r="C455" s="5" t="s">
        <v>46</v>
      </c>
      <c r="D455" s="5">
        <v>2</v>
      </c>
      <c r="E455" s="5" t="s">
        <v>1163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0.17281516073434472</v>
      </c>
      <c r="R455" s="18">
        <f>INDEX(Mitigation_Industry!R:R,MATCH($A455,Mitigation_Industry!$H:$H,0))</f>
        <v>0.1949212436616404</v>
      </c>
      <c r="S455" s="18">
        <f>INDEX(Mitigation_Industry!S:S,MATCH($A455,Mitigation_Industry!$H:$H,0))</f>
        <v>0.21702732658893611</v>
      </c>
      <c r="T455" s="18">
        <f>INDEX(Mitigation_Industry!T:T,MATCH($A455,Mitigation_Industry!$H:$H,0))</f>
        <v>0.2391334095162318</v>
      </c>
      <c r="U455" s="18">
        <f>INDEX(Mitigation_Industry!U:U,MATCH($A455,Mitigation_Industry!$H:$H,0))</f>
        <v>0.26123949244352801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0.30545165829811904</v>
      </c>
      <c r="X455" s="18">
        <f>INDEX(Mitigation_Industry!X:X,MATCH($A455,Mitigation_Industry!$H:$H,0))</f>
        <v>0.32755774122541503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0.37176990708000601</v>
      </c>
      <c r="AA455" s="18">
        <f>INDEX(Mitigation_Industry!AA:AA,MATCH($A455,Mitigation_Industry!$H:$H,0))</f>
        <v>0.393875990007302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0.43808815586189298</v>
      </c>
      <c r="AD455" s="18">
        <f>INDEX(Mitigation_Industry!AD:AD,MATCH($A455,Mitigation_Industry!$H:$H,0))</f>
        <v>0.46019423878918903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1276</v>
      </c>
      <c r="B456" s="5" t="s">
        <v>63</v>
      </c>
      <c r="C456" s="5" t="s">
        <v>46</v>
      </c>
      <c r="D456" s="5">
        <v>2</v>
      </c>
      <c r="E456" s="2" t="s">
        <v>1164</v>
      </c>
      <c r="F456" s="31">
        <f>MAX(MAX(L456:AE456),-MIN(L456:AE456))</f>
        <v>9.9920072216264089E-16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-2.7755575615628914E-16</v>
      </c>
      <c r="R456" s="32">
        <f t="shared" si="112"/>
        <v>4.163336342344337E-16</v>
      </c>
      <c r="S456" s="32">
        <f t="shared" si="112"/>
        <v>1.1102230246251565E-16</v>
      </c>
      <c r="T456" s="32">
        <f t="shared" si="112"/>
        <v>-1.9428902930940239E-16</v>
      </c>
      <c r="U456" s="32">
        <f t="shared" si="112"/>
        <v>9.9920072216264089E-16</v>
      </c>
      <c r="V456" s="32">
        <f t="shared" si="112"/>
        <v>0</v>
      </c>
      <c r="W456" s="32">
        <f t="shared" si="112"/>
        <v>5.5511151231257827E-17</v>
      </c>
      <c r="X456" s="32">
        <f t="shared" si="112"/>
        <v>5.5511151231257827E-17</v>
      </c>
      <c r="Y456" s="32">
        <f t="shared" si="112"/>
        <v>0</v>
      </c>
      <c r="Z456" s="32">
        <f t="shared" si="112"/>
        <v>0</v>
      </c>
      <c r="AA456" s="32">
        <f t="shared" si="112"/>
        <v>0</v>
      </c>
      <c r="AB456" s="32">
        <f t="shared" si="112"/>
        <v>0</v>
      </c>
      <c r="AC456" s="32">
        <f t="shared" si="112"/>
        <v>0</v>
      </c>
      <c r="AD456" s="32">
        <f t="shared" si="112"/>
        <v>0</v>
      </c>
      <c r="AE456" s="32">
        <f t="shared" si="112"/>
        <v>0</v>
      </c>
    </row>
    <row r="458" spans="1:31" x14ac:dyDescent="0.45">
      <c r="A458" s="28" t="s">
        <v>1277</v>
      </c>
      <c r="B458" s="5" t="s">
        <v>65</v>
      </c>
      <c r="C458" s="5" t="s">
        <v>46</v>
      </c>
      <c r="D458" s="5">
        <v>2</v>
      </c>
      <c r="E458" s="5" t="s">
        <v>1162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1277</v>
      </c>
      <c r="B459" s="5" t="s">
        <v>65</v>
      </c>
      <c r="C459" s="5" t="s">
        <v>46</v>
      </c>
      <c r="D459" s="5">
        <v>2</v>
      </c>
      <c r="E459" s="5" t="s">
        <v>1163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0.45706441406607851</v>
      </c>
      <c r="R459" s="18">
        <f>INDEX(Mitigation_Industry!R:R,MATCH($A459,Mitigation_Industry!$H:$H,0))</f>
        <v>0.48905324417618701</v>
      </c>
      <c r="S459" s="18">
        <f>INDEX(Mitigation_Industry!S:S,MATCH($A459,Mitigation_Industry!$H:$H,0))</f>
        <v>0.52104207428629556</v>
      </c>
      <c r="T459" s="18">
        <f>INDEX(Mitigation_Industry!T:T,MATCH($A459,Mitigation_Industry!$H:$H,0))</f>
        <v>0.55303090439640401</v>
      </c>
      <c r="U459" s="18">
        <f>INDEX(Mitigation_Industry!U:U,MATCH($A459,Mitigation_Industry!$H:$H,0))</f>
        <v>0.58501973450651301</v>
      </c>
      <c r="V459" s="18">
        <f>INDEX(Mitigation_Industry!V:V,MATCH($A459,Mitigation_Industry!$H:$H,0))</f>
        <v>0.61700856461662101</v>
      </c>
      <c r="W459" s="18">
        <f>INDEX(Mitigation_Industry!W:W,MATCH($A459,Mitigation_Industry!$H:$H,0))</f>
        <v>0.64899739472673001</v>
      </c>
      <c r="X459" s="18">
        <f>INDEX(Mitigation_Industry!X:X,MATCH($A459,Mitigation_Industry!$H:$H,0))</f>
        <v>0.68098622483683802</v>
      </c>
      <c r="Y459" s="18">
        <f>INDEX(Mitigation_Industry!Y:Y,MATCH($A459,Mitigation_Industry!$H:$H,0))</f>
        <v>0.71297505494694702</v>
      </c>
      <c r="Z459" s="18">
        <f>INDEX(Mitigation_Industry!Z:Z,MATCH($A459,Mitigation_Industry!$H:$H,0))</f>
        <v>0.74496388505705502</v>
      </c>
      <c r="AA459" s="18">
        <f>INDEX(Mitigation_Industry!AA:AA,MATCH($A459,Mitigation_Industry!$H:$H,0))</f>
        <v>0.77695271516716302</v>
      </c>
      <c r="AB459" s="18">
        <f>INDEX(Mitigation_Industry!AB:AB,MATCH($A459,Mitigation_Industry!$H:$H,0))</f>
        <v>0.80894154527727202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0.87291920549748903</v>
      </c>
      <c r="AE459" s="18">
        <f>INDEX(Mitigation_Industry!AE:AE,MATCH($A459,Mitigation_Industry!$H:$H,0))</f>
        <v>0.90490803560759703</v>
      </c>
    </row>
    <row r="460" spans="1:31" x14ac:dyDescent="0.45">
      <c r="A460" s="28" t="s">
        <v>1277</v>
      </c>
      <c r="B460" s="5" t="s">
        <v>65</v>
      </c>
      <c r="C460" s="5" t="s">
        <v>46</v>
      </c>
      <c r="D460" s="5">
        <v>2</v>
      </c>
      <c r="E460" s="2" t="s">
        <v>1164</v>
      </c>
      <c r="F460" s="31">
        <f>MAX(MAX(L460:AE460),-MIN(L460:AE460))</f>
        <v>9.9920072216264089E-16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-4.9960036108132044E-16</v>
      </c>
      <c r="R460" s="32">
        <f t="shared" si="113"/>
        <v>0</v>
      </c>
      <c r="S460" s="32">
        <f t="shared" si="113"/>
        <v>-4.4408920985006262E-16</v>
      </c>
      <c r="T460" s="32">
        <f t="shared" si="113"/>
        <v>0</v>
      </c>
      <c r="U460" s="32">
        <f t="shared" si="113"/>
        <v>0</v>
      </c>
      <c r="V460" s="32">
        <f t="shared" si="113"/>
        <v>0</v>
      </c>
      <c r="W460" s="32">
        <f t="shared" si="113"/>
        <v>9.9920072216264089E-16</v>
      </c>
      <c r="X460" s="32">
        <f t="shared" si="113"/>
        <v>0</v>
      </c>
      <c r="Y460" s="32">
        <f t="shared" si="113"/>
        <v>0</v>
      </c>
      <c r="Z460" s="32">
        <f t="shared" si="113"/>
        <v>0</v>
      </c>
      <c r="AA460" s="32">
        <f t="shared" si="113"/>
        <v>0</v>
      </c>
      <c r="AB460" s="32">
        <f t="shared" si="113"/>
        <v>0</v>
      </c>
      <c r="AC460" s="32">
        <f t="shared" si="113"/>
        <v>0</v>
      </c>
      <c r="AD460" s="32">
        <f t="shared" si="113"/>
        <v>0</v>
      </c>
      <c r="AE460" s="32">
        <f t="shared" si="113"/>
        <v>0</v>
      </c>
    </row>
    <row r="462" spans="1:31" x14ac:dyDescent="0.45">
      <c r="A462" s="28" t="s">
        <v>1278</v>
      </c>
      <c r="B462" s="5" t="s">
        <v>67</v>
      </c>
      <c r="C462" s="5" t="s">
        <v>46</v>
      </c>
      <c r="D462" s="5">
        <v>2</v>
      </c>
      <c r="E462" s="5" t="s">
        <v>1162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1278</v>
      </c>
      <c r="B463" s="5" t="s">
        <v>67</v>
      </c>
      <c r="C463" s="5" t="s">
        <v>46</v>
      </c>
      <c r="D463" s="5">
        <v>2</v>
      </c>
      <c r="E463" s="5" t="s">
        <v>1163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46.725609739410061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87.798459739410063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1278</v>
      </c>
      <c r="B464" s="5" t="s">
        <v>67</v>
      </c>
      <c r="C464" s="5" t="s">
        <v>46</v>
      </c>
      <c r="D464" s="5">
        <v>2</v>
      </c>
      <c r="E464" s="2" t="s">
        <v>1164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-4.2632564145606011E-14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-4.2632564145606011E-14</v>
      </c>
      <c r="AE464" s="32">
        <f t="shared" si="114"/>
        <v>-5.6843418860808015E-14</v>
      </c>
    </row>
    <row r="466" spans="1:31" x14ac:dyDescent="0.45">
      <c r="A466" s="28" t="s">
        <v>1279</v>
      </c>
      <c r="B466" s="5" t="s">
        <v>70</v>
      </c>
      <c r="C466" s="5" t="s">
        <v>46</v>
      </c>
      <c r="D466" s="5">
        <v>2</v>
      </c>
      <c r="E466" s="5" t="s">
        <v>1162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1279</v>
      </c>
      <c r="B467" s="5" t="s">
        <v>70</v>
      </c>
      <c r="C467" s="5" t="s">
        <v>46</v>
      </c>
      <c r="D467" s="5">
        <v>2</v>
      </c>
      <c r="E467" s="5" t="s">
        <v>1163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1279</v>
      </c>
      <c r="B468" s="5" t="s">
        <v>70</v>
      </c>
      <c r="C468" s="5" t="s">
        <v>46</v>
      </c>
      <c r="D468" s="5">
        <v>2</v>
      </c>
      <c r="E468" s="2" t="s">
        <v>1164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1280</v>
      </c>
      <c r="B470" s="5" t="s">
        <v>72</v>
      </c>
      <c r="C470" s="5" t="s">
        <v>46</v>
      </c>
      <c r="D470" s="5">
        <v>2</v>
      </c>
      <c r="E470" s="5" t="s">
        <v>1162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1280</v>
      </c>
      <c r="B471" s="5" t="s">
        <v>72</v>
      </c>
      <c r="C471" s="5" t="s">
        <v>46</v>
      </c>
      <c r="D471" s="5">
        <v>2</v>
      </c>
      <c r="E471" s="5" t="s">
        <v>1163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1280</v>
      </c>
      <c r="B472" s="5" t="s">
        <v>72</v>
      </c>
      <c r="C472" s="5" t="s">
        <v>46</v>
      </c>
      <c r="D472" s="5">
        <v>2</v>
      </c>
      <c r="E472" s="2" t="s">
        <v>1164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1281</v>
      </c>
      <c r="B474" s="5" t="s">
        <v>52</v>
      </c>
      <c r="C474" s="5" t="s">
        <v>116</v>
      </c>
      <c r="D474" s="5">
        <v>2</v>
      </c>
      <c r="E474" s="5" t="s">
        <v>1162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1281</v>
      </c>
      <c r="B475" s="5" t="s">
        <v>52</v>
      </c>
      <c r="C475" s="5" t="s">
        <v>116</v>
      </c>
      <c r="D475" s="5">
        <v>2</v>
      </c>
      <c r="E475" s="5" t="s">
        <v>1163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1281</v>
      </c>
      <c r="B476" s="5" t="s">
        <v>52</v>
      </c>
      <c r="C476" s="5" t="s">
        <v>116</v>
      </c>
      <c r="D476" s="5">
        <v>2</v>
      </c>
      <c r="E476" s="2" t="s">
        <v>1164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1282</v>
      </c>
      <c r="B478" s="5" t="s">
        <v>56</v>
      </c>
      <c r="C478" s="5" t="s">
        <v>116</v>
      </c>
      <c r="D478" s="5">
        <v>2</v>
      </c>
      <c r="E478" s="5" t="s">
        <v>1162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1282</v>
      </c>
      <c r="B479" s="5" t="s">
        <v>56</v>
      </c>
      <c r="C479" s="5" t="s">
        <v>116</v>
      </c>
      <c r="D479" s="5">
        <v>2</v>
      </c>
      <c r="E479" s="5" t="s">
        <v>1163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7.1746845864040694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8.5696845864040689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13.452184586404069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1282</v>
      </c>
      <c r="B480" s="5" t="s">
        <v>56</v>
      </c>
      <c r="C480" s="5" t="s">
        <v>116</v>
      </c>
      <c r="D480" s="5">
        <v>2</v>
      </c>
      <c r="E480" s="2" t="s">
        <v>1164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-8.8817841970012523E-16</v>
      </c>
      <c r="T480" s="32">
        <f t="shared" si="118"/>
        <v>0</v>
      </c>
      <c r="U480" s="32">
        <f t="shared" si="118"/>
        <v>-1.7763568394002505E-15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-3.0198066269804258E-14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1283</v>
      </c>
      <c r="B482" s="5" t="s">
        <v>58</v>
      </c>
      <c r="C482" s="5" t="s">
        <v>116</v>
      </c>
      <c r="D482" s="5">
        <v>2</v>
      </c>
      <c r="E482" s="5" t="s">
        <v>1162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1283</v>
      </c>
      <c r="B483" s="5" t="s">
        <v>58</v>
      </c>
      <c r="C483" s="5" t="s">
        <v>116</v>
      </c>
      <c r="D483" s="5">
        <v>2</v>
      </c>
      <c r="E483" s="5" t="s">
        <v>1163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0.77715015920690589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0.95071721823590594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1.0375007477504059</v>
      </c>
    </row>
    <row r="484" spans="1:31" x14ac:dyDescent="0.45">
      <c r="A484" s="28" t="s">
        <v>1283</v>
      </c>
      <c r="B484" s="5" t="s">
        <v>58</v>
      </c>
      <c r="C484" s="5" t="s">
        <v>116</v>
      </c>
      <c r="D484" s="5">
        <v>2</v>
      </c>
      <c r="E484" s="2" t="s">
        <v>1164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-1.1102230246251565E-16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-1.1102230246251565E-16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-3.9968028886505635E-15</v>
      </c>
    </row>
    <row r="486" spans="1:31" x14ac:dyDescent="0.45">
      <c r="A486" s="28" t="s">
        <v>1284</v>
      </c>
      <c r="B486" s="5" t="s">
        <v>61</v>
      </c>
      <c r="C486" s="5" t="s">
        <v>116</v>
      </c>
      <c r="D486" s="5">
        <v>2</v>
      </c>
      <c r="E486" s="5" t="s">
        <v>1162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1284</v>
      </c>
      <c r="B487" s="5" t="s">
        <v>61</v>
      </c>
      <c r="C487" s="5" t="s">
        <v>116</v>
      </c>
      <c r="D487" s="5">
        <v>2</v>
      </c>
      <c r="E487" s="5" t="s">
        <v>1163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1284</v>
      </c>
      <c r="B488" s="5" t="s">
        <v>61</v>
      </c>
      <c r="C488" s="5" t="s">
        <v>116</v>
      </c>
      <c r="D488" s="5">
        <v>2</v>
      </c>
      <c r="E488" s="2" t="s">
        <v>1164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1285</v>
      </c>
      <c r="B490" s="5" t="s">
        <v>63</v>
      </c>
      <c r="C490" s="5" t="s">
        <v>116</v>
      </c>
      <c r="D490" s="5">
        <v>2</v>
      </c>
      <c r="E490" s="5" t="s">
        <v>1162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1285</v>
      </c>
      <c r="B491" s="5" t="s">
        <v>63</v>
      </c>
      <c r="C491" s="5" t="s">
        <v>116</v>
      </c>
      <c r="D491" s="5">
        <v>2</v>
      </c>
      <c r="E491" s="5" t="s">
        <v>1163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0.17281516073434472</v>
      </c>
      <c r="R491" s="18">
        <f>INDEX(Mitigation_Industry!R:R,MATCH($A491,Mitigation_Industry!$H:$H,0))</f>
        <v>0.1949212436616404</v>
      </c>
      <c r="S491" s="18">
        <f>INDEX(Mitigation_Industry!S:S,MATCH($A491,Mitigation_Industry!$H:$H,0))</f>
        <v>0.21702732658893611</v>
      </c>
      <c r="T491" s="18">
        <f>INDEX(Mitigation_Industry!T:T,MATCH($A491,Mitigation_Industry!$H:$H,0))</f>
        <v>0.2391334095162318</v>
      </c>
      <c r="U491" s="18">
        <f>INDEX(Mitigation_Industry!U:U,MATCH($A491,Mitigation_Industry!$H:$H,0))</f>
        <v>0.26123949244352801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0.30545165829811904</v>
      </c>
      <c r="X491" s="18">
        <f>INDEX(Mitigation_Industry!X:X,MATCH($A491,Mitigation_Industry!$H:$H,0))</f>
        <v>0.32755774122541503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0.37176990708000601</v>
      </c>
      <c r="AA491" s="18">
        <f>INDEX(Mitigation_Industry!AA:AA,MATCH($A491,Mitigation_Industry!$H:$H,0))</f>
        <v>0.393875990007302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0.43808815586189298</v>
      </c>
      <c r="AD491" s="18">
        <f>INDEX(Mitigation_Industry!AD:AD,MATCH($A491,Mitigation_Industry!$H:$H,0))</f>
        <v>0.46019423878918903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1285</v>
      </c>
      <c r="B492" s="5" t="s">
        <v>63</v>
      </c>
      <c r="C492" s="5" t="s">
        <v>116</v>
      </c>
      <c r="D492" s="5">
        <v>2</v>
      </c>
      <c r="E492" s="2" t="s">
        <v>1164</v>
      </c>
      <c r="F492" s="31">
        <f>MAX(MAX(L492:AE492),-MIN(L492:AE492))</f>
        <v>9.9920072216264089E-16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-2.7755575615628914E-16</v>
      </c>
      <c r="R492" s="32">
        <f t="shared" si="121"/>
        <v>4.163336342344337E-16</v>
      </c>
      <c r="S492" s="32">
        <f t="shared" si="121"/>
        <v>1.1102230246251565E-16</v>
      </c>
      <c r="T492" s="32">
        <f t="shared" si="121"/>
        <v>-1.9428902930940239E-16</v>
      </c>
      <c r="U492" s="32">
        <f t="shared" si="121"/>
        <v>9.9920072216264089E-16</v>
      </c>
      <c r="V492" s="32">
        <f t="shared" si="121"/>
        <v>0</v>
      </c>
      <c r="W492" s="32">
        <f t="shared" si="121"/>
        <v>5.5511151231257827E-17</v>
      </c>
      <c r="X492" s="32">
        <f t="shared" si="121"/>
        <v>5.5511151231257827E-17</v>
      </c>
      <c r="Y492" s="32">
        <f t="shared" si="121"/>
        <v>0</v>
      </c>
      <c r="Z492" s="32">
        <f t="shared" si="121"/>
        <v>0</v>
      </c>
      <c r="AA492" s="32">
        <f t="shared" si="121"/>
        <v>0</v>
      </c>
      <c r="AB492" s="32">
        <f t="shared" si="121"/>
        <v>0</v>
      </c>
      <c r="AC492" s="32">
        <f t="shared" si="121"/>
        <v>0</v>
      </c>
      <c r="AD492" s="32">
        <f t="shared" si="121"/>
        <v>0</v>
      </c>
      <c r="AE492" s="32">
        <f t="shared" si="121"/>
        <v>0</v>
      </c>
    </row>
    <row r="494" spans="1:31" x14ac:dyDescent="0.45">
      <c r="A494" s="28" t="s">
        <v>1286</v>
      </c>
      <c r="B494" s="5" t="s">
        <v>65</v>
      </c>
      <c r="C494" s="5" t="s">
        <v>116</v>
      </c>
      <c r="D494" s="5">
        <v>2</v>
      </c>
      <c r="E494" s="5" t="s">
        <v>1162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1286</v>
      </c>
      <c r="B495" s="5" t="s">
        <v>65</v>
      </c>
      <c r="C495" s="5" t="s">
        <v>116</v>
      </c>
      <c r="D495" s="5">
        <v>2</v>
      </c>
      <c r="E495" s="5" t="s">
        <v>1163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0.45706441406607851</v>
      </c>
      <c r="R495" s="18">
        <f>INDEX(Mitigation_Industry!R:R,MATCH($A495,Mitigation_Industry!$H:$H,0))</f>
        <v>0.48905324417618701</v>
      </c>
      <c r="S495" s="18">
        <f>INDEX(Mitigation_Industry!S:S,MATCH($A495,Mitigation_Industry!$H:$H,0))</f>
        <v>0.52104207428629556</v>
      </c>
      <c r="T495" s="18">
        <f>INDEX(Mitigation_Industry!T:T,MATCH($A495,Mitigation_Industry!$H:$H,0))</f>
        <v>0.55303090439640401</v>
      </c>
      <c r="U495" s="18">
        <f>INDEX(Mitigation_Industry!U:U,MATCH($A495,Mitigation_Industry!$H:$H,0))</f>
        <v>0.58501973450651301</v>
      </c>
      <c r="V495" s="18">
        <f>INDEX(Mitigation_Industry!V:V,MATCH($A495,Mitigation_Industry!$H:$H,0))</f>
        <v>0.61700856461662101</v>
      </c>
      <c r="W495" s="18">
        <f>INDEX(Mitigation_Industry!W:W,MATCH($A495,Mitigation_Industry!$H:$H,0))</f>
        <v>0.64899739472673001</v>
      </c>
      <c r="X495" s="18">
        <f>INDEX(Mitigation_Industry!X:X,MATCH($A495,Mitigation_Industry!$H:$H,0))</f>
        <v>0.68098622483683802</v>
      </c>
      <c r="Y495" s="18">
        <f>INDEX(Mitigation_Industry!Y:Y,MATCH($A495,Mitigation_Industry!$H:$H,0))</f>
        <v>0.71297505494694702</v>
      </c>
      <c r="Z495" s="18">
        <f>INDEX(Mitigation_Industry!Z:Z,MATCH($A495,Mitigation_Industry!$H:$H,0))</f>
        <v>0.74496388505705502</v>
      </c>
      <c r="AA495" s="18">
        <f>INDEX(Mitigation_Industry!AA:AA,MATCH($A495,Mitigation_Industry!$H:$H,0))</f>
        <v>0.77695271516716302</v>
      </c>
      <c r="AB495" s="18">
        <f>INDEX(Mitigation_Industry!AB:AB,MATCH($A495,Mitigation_Industry!$H:$H,0))</f>
        <v>0.80894154527727202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0.87291920549748903</v>
      </c>
      <c r="AE495" s="18">
        <f>INDEX(Mitigation_Industry!AE:AE,MATCH($A495,Mitigation_Industry!$H:$H,0))</f>
        <v>0.90490803560759703</v>
      </c>
    </row>
    <row r="496" spans="1:31" x14ac:dyDescent="0.45">
      <c r="A496" s="28" t="s">
        <v>1286</v>
      </c>
      <c r="B496" s="5" t="s">
        <v>65</v>
      </c>
      <c r="C496" s="5" t="s">
        <v>116</v>
      </c>
      <c r="D496" s="5">
        <v>2</v>
      </c>
      <c r="E496" s="2" t="s">
        <v>1164</v>
      </c>
      <c r="F496" s="31">
        <f>MAX(MAX(L496:AE496),-MIN(L496:AE496))</f>
        <v>9.9920072216264089E-16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-4.9960036108132044E-16</v>
      </c>
      <c r="R496" s="32">
        <f t="shared" si="122"/>
        <v>0</v>
      </c>
      <c r="S496" s="32">
        <f t="shared" si="122"/>
        <v>-4.4408920985006262E-16</v>
      </c>
      <c r="T496" s="32">
        <f t="shared" si="122"/>
        <v>0</v>
      </c>
      <c r="U496" s="32">
        <f t="shared" si="122"/>
        <v>0</v>
      </c>
      <c r="V496" s="32">
        <f t="shared" si="122"/>
        <v>0</v>
      </c>
      <c r="W496" s="32">
        <f t="shared" si="122"/>
        <v>9.9920072216264089E-16</v>
      </c>
      <c r="X496" s="32">
        <f t="shared" si="122"/>
        <v>0</v>
      </c>
      <c r="Y496" s="32">
        <f t="shared" si="122"/>
        <v>0</v>
      </c>
      <c r="Z496" s="32">
        <f t="shared" si="122"/>
        <v>0</v>
      </c>
      <c r="AA496" s="32">
        <f t="shared" si="122"/>
        <v>0</v>
      </c>
      <c r="AB496" s="32">
        <f t="shared" si="122"/>
        <v>0</v>
      </c>
      <c r="AC496" s="32">
        <f t="shared" si="122"/>
        <v>0</v>
      </c>
      <c r="AD496" s="32">
        <f t="shared" si="122"/>
        <v>0</v>
      </c>
      <c r="AE496" s="32">
        <f t="shared" si="122"/>
        <v>0</v>
      </c>
    </row>
    <row r="498" spans="1:31" x14ac:dyDescent="0.45">
      <c r="A498" s="28" t="s">
        <v>1287</v>
      </c>
      <c r="B498" s="5" t="s">
        <v>67</v>
      </c>
      <c r="C498" s="5" t="s">
        <v>116</v>
      </c>
      <c r="D498" s="5">
        <v>2</v>
      </c>
      <c r="E498" s="5" t="s">
        <v>1162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1287</v>
      </c>
      <c r="B499" s="5" t="s">
        <v>67</v>
      </c>
      <c r="C499" s="5" t="s">
        <v>116</v>
      </c>
      <c r="D499" s="5">
        <v>2</v>
      </c>
      <c r="E499" s="5" t="s">
        <v>1163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46.725609739410061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87.798459739410063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1287</v>
      </c>
      <c r="B500" s="5" t="s">
        <v>67</v>
      </c>
      <c r="C500" s="5" t="s">
        <v>116</v>
      </c>
      <c r="D500" s="5">
        <v>2</v>
      </c>
      <c r="E500" s="2" t="s">
        <v>1164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-4.2632564145606011E-14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-4.2632564145606011E-14</v>
      </c>
      <c r="AE500" s="32">
        <f t="shared" si="123"/>
        <v>-5.6843418860808015E-14</v>
      </c>
    </row>
    <row r="502" spans="1:31" x14ac:dyDescent="0.45">
      <c r="A502" s="28" t="s">
        <v>1288</v>
      </c>
      <c r="B502" s="5" t="s">
        <v>70</v>
      </c>
      <c r="C502" s="5" t="s">
        <v>116</v>
      </c>
      <c r="D502" s="5">
        <v>2</v>
      </c>
      <c r="E502" s="5" t="s">
        <v>1162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1288</v>
      </c>
      <c r="B503" s="5" t="s">
        <v>70</v>
      </c>
      <c r="C503" s="5" t="s">
        <v>116</v>
      </c>
      <c r="D503" s="5">
        <v>2</v>
      </c>
      <c r="E503" s="5" t="s">
        <v>1163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1288</v>
      </c>
      <c r="B504" s="5" t="s">
        <v>70</v>
      </c>
      <c r="C504" s="5" t="s">
        <v>116</v>
      </c>
      <c r="D504" s="5">
        <v>2</v>
      </c>
      <c r="E504" s="2" t="s">
        <v>1164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1289</v>
      </c>
      <c r="B506" s="5" t="s">
        <v>72</v>
      </c>
      <c r="C506" s="5" t="s">
        <v>116</v>
      </c>
      <c r="D506" s="5">
        <v>2</v>
      </c>
      <c r="E506" s="5" t="s">
        <v>1162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1289</v>
      </c>
      <c r="B507" s="5" t="s">
        <v>72</v>
      </c>
      <c r="C507" s="5" t="s">
        <v>116</v>
      </c>
      <c r="D507" s="5">
        <v>2</v>
      </c>
      <c r="E507" s="5" t="s">
        <v>1163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1289</v>
      </c>
      <c r="B508" s="5" t="s">
        <v>72</v>
      </c>
      <c r="C508" s="5" t="s">
        <v>116</v>
      </c>
      <c r="D508" s="5">
        <v>2</v>
      </c>
      <c r="E508" s="2" t="s">
        <v>1164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1290</v>
      </c>
      <c r="B510" s="5" t="s">
        <v>52</v>
      </c>
      <c r="C510" s="5" t="s">
        <v>118</v>
      </c>
      <c r="D510" s="5">
        <v>2</v>
      </c>
      <c r="E510" s="5" t="s">
        <v>1162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1290</v>
      </c>
      <c r="B511" s="5" t="s">
        <v>52</v>
      </c>
      <c r="C511" s="5" t="s">
        <v>118</v>
      </c>
      <c r="D511" s="5">
        <v>2</v>
      </c>
      <c r="E511" s="5" t="s">
        <v>1163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1290</v>
      </c>
      <c r="B512" s="5" t="s">
        <v>52</v>
      </c>
      <c r="C512" s="5" t="s">
        <v>118</v>
      </c>
      <c r="D512" s="5">
        <v>2</v>
      </c>
      <c r="E512" s="2" t="s">
        <v>1164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1291</v>
      </c>
      <c r="B514" s="5" t="s">
        <v>56</v>
      </c>
      <c r="C514" s="5" t="s">
        <v>118</v>
      </c>
      <c r="D514" s="5">
        <v>2</v>
      </c>
      <c r="E514" s="5" t="s">
        <v>1162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1291</v>
      </c>
      <c r="B515" s="5" t="s">
        <v>56</v>
      </c>
      <c r="C515" s="5" t="s">
        <v>118</v>
      </c>
      <c r="D515" s="5">
        <v>2</v>
      </c>
      <c r="E515" s="5" t="s">
        <v>1163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7.1746845864040694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8.5696845864040689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13.452184586404069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1291</v>
      </c>
      <c r="B516" s="5" t="s">
        <v>56</v>
      </c>
      <c r="C516" s="5" t="s">
        <v>118</v>
      </c>
      <c r="D516" s="5">
        <v>2</v>
      </c>
      <c r="E516" s="2" t="s">
        <v>1164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-8.8817841970012523E-16</v>
      </c>
      <c r="T516" s="32">
        <f t="shared" si="127"/>
        <v>0</v>
      </c>
      <c r="U516" s="32">
        <f t="shared" si="127"/>
        <v>-1.7763568394002505E-15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-3.0198066269804258E-14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1292</v>
      </c>
      <c r="B518" s="5" t="s">
        <v>58</v>
      </c>
      <c r="C518" s="5" t="s">
        <v>118</v>
      </c>
      <c r="D518" s="5">
        <v>2</v>
      </c>
      <c r="E518" s="5" t="s">
        <v>1162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1292</v>
      </c>
      <c r="B519" s="5" t="s">
        <v>58</v>
      </c>
      <c r="C519" s="5" t="s">
        <v>118</v>
      </c>
      <c r="D519" s="5">
        <v>2</v>
      </c>
      <c r="E519" s="5" t="s">
        <v>1163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0.77715015920690589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0.95071721823590594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1.0375007477504059</v>
      </c>
    </row>
    <row r="520" spans="1:31" x14ac:dyDescent="0.45">
      <c r="A520" s="28" t="s">
        <v>1292</v>
      </c>
      <c r="B520" s="5" t="s">
        <v>58</v>
      </c>
      <c r="C520" s="5" t="s">
        <v>118</v>
      </c>
      <c r="D520" s="5">
        <v>2</v>
      </c>
      <c r="E520" s="2" t="s">
        <v>1164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-1.1102230246251565E-16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-1.1102230246251565E-16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-3.9968028886505635E-15</v>
      </c>
    </row>
    <row r="522" spans="1:31" x14ac:dyDescent="0.45">
      <c r="A522" s="28" t="s">
        <v>1293</v>
      </c>
      <c r="B522" s="5" t="s">
        <v>61</v>
      </c>
      <c r="C522" s="5" t="s">
        <v>118</v>
      </c>
      <c r="D522" s="5">
        <v>2</v>
      </c>
      <c r="E522" s="5" t="s">
        <v>1162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1293</v>
      </c>
      <c r="B523" s="5" t="s">
        <v>61</v>
      </c>
      <c r="C523" s="5" t="s">
        <v>118</v>
      </c>
      <c r="D523" s="5">
        <v>2</v>
      </c>
      <c r="E523" s="5" t="s">
        <v>1163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1293</v>
      </c>
      <c r="B524" s="5" t="s">
        <v>61</v>
      </c>
      <c r="C524" s="5" t="s">
        <v>118</v>
      </c>
      <c r="D524" s="5">
        <v>2</v>
      </c>
      <c r="E524" s="2" t="s">
        <v>1164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1294</v>
      </c>
      <c r="B526" s="5" t="s">
        <v>63</v>
      </c>
      <c r="C526" s="5" t="s">
        <v>118</v>
      </c>
      <c r="D526" s="5">
        <v>2</v>
      </c>
      <c r="E526" s="5" t="s">
        <v>1162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1294</v>
      </c>
      <c r="B527" s="5" t="s">
        <v>63</v>
      </c>
      <c r="C527" s="5" t="s">
        <v>118</v>
      </c>
      <c r="D527" s="5">
        <v>2</v>
      </c>
      <c r="E527" s="5" t="s">
        <v>1163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0.17281516073434472</v>
      </c>
      <c r="R527" s="18">
        <f>INDEX(Mitigation_Industry!R:R,MATCH($A527,Mitigation_Industry!$H:$H,0))</f>
        <v>0.1949212436616404</v>
      </c>
      <c r="S527" s="18">
        <f>INDEX(Mitigation_Industry!S:S,MATCH($A527,Mitigation_Industry!$H:$H,0))</f>
        <v>0.21702732658893611</v>
      </c>
      <c r="T527" s="18">
        <f>INDEX(Mitigation_Industry!T:T,MATCH($A527,Mitigation_Industry!$H:$H,0))</f>
        <v>0.2391334095162318</v>
      </c>
      <c r="U527" s="18">
        <f>INDEX(Mitigation_Industry!U:U,MATCH($A527,Mitigation_Industry!$H:$H,0))</f>
        <v>0.26123949244352801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0.30545165829811904</v>
      </c>
      <c r="X527" s="18">
        <f>INDEX(Mitigation_Industry!X:X,MATCH($A527,Mitigation_Industry!$H:$H,0))</f>
        <v>0.32755774122541503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0.37176990708000601</v>
      </c>
      <c r="AA527" s="18">
        <f>INDEX(Mitigation_Industry!AA:AA,MATCH($A527,Mitigation_Industry!$H:$H,0))</f>
        <v>0.393875990007302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0.43808815586189298</v>
      </c>
      <c r="AD527" s="18">
        <f>INDEX(Mitigation_Industry!AD:AD,MATCH($A527,Mitigation_Industry!$H:$H,0))</f>
        <v>0.46019423878918903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1294</v>
      </c>
      <c r="B528" s="5" t="s">
        <v>63</v>
      </c>
      <c r="C528" s="5" t="s">
        <v>118</v>
      </c>
      <c r="D528" s="5">
        <v>2</v>
      </c>
      <c r="E528" s="2" t="s">
        <v>1164</v>
      </c>
      <c r="F528" s="31">
        <f>MAX(MAX(L528:AE528),-MIN(L528:AE528))</f>
        <v>9.9920072216264089E-16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-2.7755575615628914E-16</v>
      </c>
      <c r="R528" s="32">
        <f t="shared" si="130"/>
        <v>4.163336342344337E-16</v>
      </c>
      <c r="S528" s="32">
        <f t="shared" si="130"/>
        <v>1.1102230246251565E-16</v>
      </c>
      <c r="T528" s="32">
        <f t="shared" si="130"/>
        <v>-1.9428902930940239E-16</v>
      </c>
      <c r="U528" s="32">
        <f t="shared" si="130"/>
        <v>9.9920072216264089E-16</v>
      </c>
      <c r="V528" s="32">
        <f t="shared" si="130"/>
        <v>0</v>
      </c>
      <c r="W528" s="32">
        <f t="shared" si="130"/>
        <v>5.5511151231257827E-17</v>
      </c>
      <c r="X528" s="32">
        <f t="shared" si="130"/>
        <v>5.5511151231257827E-17</v>
      </c>
      <c r="Y528" s="32">
        <f t="shared" si="130"/>
        <v>0</v>
      </c>
      <c r="Z528" s="32">
        <f t="shared" si="130"/>
        <v>0</v>
      </c>
      <c r="AA528" s="32">
        <f t="shared" si="130"/>
        <v>0</v>
      </c>
      <c r="AB528" s="32">
        <f t="shared" si="130"/>
        <v>0</v>
      </c>
      <c r="AC528" s="32">
        <f t="shared" si="130"/>
        <v>0</v>
      </c>
      <c r="AD528" s="32">
        <f t="shared" si="130"/>
        <v>0</v>
      </c>
      <c r="AE528" s="32">
        <f t="shared" si="130"/>
        <v>0</v>
      </c>
    </row>
    <row r="530" spans="1:31" x14ac:dyDescent="0.45">
      <c r="A530" s="28" t="s">
        <v>1295</v>
      </c>
      <c r="B530" s="5" t="s">
        <v>65</v>
      </c>
      <c r="C530" s="5" t="s">
        <v>118</v>
      </c>
      <c r="D530" s="5">
        <v>2</v>
      </c>
      <c r="E530" s="5" t="s">
        <v>1162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1295</v>
      </c>
      <c r="B531" s="5" t="s">
        <v>65</v>
      </c>
      <c r="C531" s="5" t="s">
        <v>118</v>
      </c>
      <c r="D531" s="5">
        <v>2</v>
      </c>
      <c r="E531" s="5" t="s">
        <v>1163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0.45706441406607851</v>
      </c>
      <c r="R531" s="18">
        <f>INDEX(Mitigation_Industry!R:R,MATCH($A531,Mitigation_Industry!$H:$H,0))</f>
        <v>0.48905324417618701</v>
      </c>
      <c r="S531" s="18">
        <f>INDEX(Mitigation_Industry!S:S,MATCH($A531,Mitigation_Industry!$H:$H,0))</f>
        <v>0.52104207428629556</v>
      </c>
      <c r="T531" s="18">
        <f>INDEX(Mitigation_Industry!T:T,MATCH($A531,Mitigation_Industry!$H:$H,0))</f>
        <v>0.55303090439640401</v>
      </c>
      <c r="U531" s="18">
        <f>INDEX(Mitigation_Industry!U:U,MATCH($A531,Mitigation_Industry!$H:$H,0))</f>
        <v>0.58501973450651301</v>
      </c>
      <c r="V531" s="18">
        <f>INDEX(Mitigation_Industry!V:V,MATCH($A531,Mitigation_Industry!$H:$H,0))</f>
        <v>0.61700856461662101</v>
      </c>
      <c r="W531" s="18">
        <f>INDEX(Mitigation_Industry!W:W,MATCH($A531,Mitigation_Industry!$H:$H,0))</f>
        <v>0.64899739472673001</v>
      </c>
      <c r="X531" s="18">
        <f>INDEX(Mitigation_Industry!X:X,MATCH($A531,Mitigation_Industry!$H:$H,0))</f>
        <v>0.68098622483683802</v>
      </c>
      <c r="Y531" s="18">
        <f>INDEX(Mitigation_Industry!Y:Y,MATCH($A531,Mitigation_Industry!$H:$H,0))</f>
        <v>0.71297505494694702</v>
      </c>
      <c r="Z531" s="18">
        <f>INDEX(Mitigation_Industry!Z:Z,MATCH($A531,Mitigation_Industry!$H:$H,0))</f>
        <v>0.74496388505705502</v>
      </c>
      <c r="AA531" s="18">
        <f>INDEX(Mitigation_Industry!AA:AA,MATCH($A531,Mitigation_Industry!$H:$H,0))</f>
        <v>0.77695271516716302</v>
      </c>
      <c r="AB531" s="18">
        <f>INDEX(Mitigation_Industry!AB:AB,MATCH($A531,Mitigation_Industry!$H:$H,0))</f>
        <v>0.80894154527727202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0.87291920549748903</v>
      </c>
      <c r="AE531" s="18">
        <f>INDEX(Mitigation_Industry!AE:AE,MATCH($A531,Mitigation_Industry!$H:$H,0))</f>
        <v>0.90490803560759703</v>
      </c>
    </row>
    <row r="532" spans="1:31" x14ac:dyDescent="0.45">
      <c r="A532" s="28" t="s">
        <v>1295</v>
      </c>
      <c r="B532" s="5" t="s">
        <v>65</v>
      </c>
      <c r="C532" s="5" t="s">
        <v>118</v>
      </c>
      <c r="D532" s="5">
        <v>2</v>
      </c>
      <c r="E532" s="2" t="s">
        <v>1164</v>
      </c>
      <c r="F532" s="31">
        <f>MAX(MAX(L532:AE532),-MIN(L532:AE532))</f>
        <v>9.9920072216264089E-16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-4.9960036108132044E-16</v>
      </c>
      <c r="R532" s="32">
        <f t="shared" si="131"/>
        <v>0</v>
      </c>
      <c r="S532" s="32">
        <f t="shared" si="131"/>
        <v>-4.4408920985006262E-16</v>
      </c>
      <c r="T532" s="32">
        <f t="shared" si="131"/>
        <v>0</v>
      </c>
      <c r="U532" s="32">
        <f t="shared" si="131"/>
        <v>0</v>
      </c>
      <c r="V532" s="32">
        <f t="shared" si="131"/>
        <v>0</v>
      </c>
      <c r="W532" s="32">
        <f t="shared" si="131"/>
        <v>9.9920072216264089E-16</v>
      </c>
      <c r="X532" s="32">
        <f t="shared" si="131"/>
        <v>0</v>
      </c>
      <c r="Y532" s="32">
        <f t="shared" si="131"/>
        <v>0</v>
      </c>
      <c r="Z532" s="32">
        <f t="shared" si="131"/>
        <v>0</v>
      </c>
      <c r="AA532" s="32">
        <f t="shared" si="131"/>
        <v>0</v>
      </c>
      <c r="AB532" s="32">
        <f t="shared" si="131"/>
        <v>0</v>
      </c>
      <c r="AC532" s="32">
        <f t="shared" si="131"/>
        <v>0</v>
      </c>
      <c r="AD532" s="32">
        <f t="shared" si="131"/>
        <v>0</v>
      </c>
      <c r="AE532" s="32">
        <f t="shared" si="131"/>
        <v>0</v>
      </c>
    </row>
    <row r="534" spans="1:31" x14ac:dyDescent="0.45">
      <c r="A534" s="28" t="s">
        <v>1296</v>
      </c>
      <c r="B534" s="5" t="s">
        <v>67</v>
      </c>
      <c r="C534" s="5" t="s">
        <v>118</v>
      </c>
      <c r="D534" s="5">
        <v>2</v>
      </c>
      <c r="E534" s="5" t="s">
        <v>1162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1296</v>
      </c>
      <c r="B535" s="5" t="s">
        <v>67</v>
      </c>
      <c r="C535" s="5" t="s">
        <v>118</v>
      </c>
      <c r="D535" s="5">
        <v>2</v>
      </c>
      <c r="E535" s="5" t="s">
        <v>1163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46.725609739410061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87.798459739410063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1296</v>
      </c>
      <c r="B536" s="5" t="s">
        <v>67</v>
      </c>
      <c r="C536" s="5" t="s">
        <v>118</v>
      </c>
      <c r="D536" s="5">
        <v>2</v>
      </c>
      <c r="E536" s="2" t="s">
        <v>1164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-4.2632564145606011E-14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-4.2632564145606011E-14</v>
      </c>
      <c r="AE536" s="32">
        <f t="shared" si="132"/>
        <v>-5.6843418860808015E-14</v>
      </c>
    </row>
    <row r="538" spans="1:31" x14ac:dyDescent="0.45">
      <c r="A538" s="28" t="s">
        <v>1297</v>
      </c>
      <c r="B538" s="5" t="s">
        <v>70</v>
      </c>
      <c r="C538" s="5" t="s">
        <v>118</v>
      </c>
      <c r="D538" s="5">
        <v>2</v>
      </c>
      <c r="E538" s="5" t="s">
        <v>1162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1297</v>
      </c>
      <c r="B539" s="5" t="s">
        <v>70</v>
      </c>
      <c r="C539" s="5" t="s">
        <v>118</v>
      </c>
      <c r="D539" s="5">
        <v>2</v>
      </c>
      <c r="E539" s="5" t="s">
        <v>1163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1297</v>
      </c>
      <c r="B540" s="5" t="s">
        <v>70</v>
      </c>
      <c r="C540" s="5" t="s">
        <v>118</v>
      </c>
      <c r="D540" s="5">
        <v>2</v>
      </c>
      <c r="E540" s="2" t="s">
        <v>1164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1298</v>
      </c>
      <c r="B542" s="5" t="s">
        <v>72</v>
      </c>
      <c r="C542" s="5" t="s">
        <v>118</v>
      </c>
      <c r="D542" s="5">
        <v>2</v>
      </c>
      <c r="E542" s="5" t="s">
        <v>1162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1298</v>
      </c>
      <c r="B543" s="5" t="s">
        <v>72</v>
      </c>
      <c r="C543" s="5" t="s">
        <v>118</v>
      </c>
      <c r="D543" s="5">
        <v>2</v>
      </c>
      <c r="E543" s="5" t="s">
        <v>1163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1298</v>
      </c>
      <c r="B544" s="5" t="s">
        <v>72</v>
      </c>
      <c r="C544" s="5" t="s">
        <v>118</v>
      </c>
      <c r="D544" s="5">
        <v>2</v>
      </c>
      <c r="E544" s="2" t="s">
        <v>1164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1299</v>
      </c>
      <c r="B546" s="5" t="s">
        <v>52</v>
      </c>
      <c r="C546" s="5" t="s">
        <v>120</v>
      </c>
      <c r="D546" s="5">
        <v>2</v>
      </c>
      <c r="E546" s="5" t="s">
        <v>1162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1299</v>
      </c>
      <c r="B547" s="5" t="s">
        <v>52</v>
      </c>
      <c r="C547" s="5" t="s">
        <v>120</v>
      </c>
      <c r="D547" s="5">
        <v>2</v>
      </c>
      <c r="E547" s="5" t="s">
        <v>1163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1299</v>
      </c>
      <c r="B548" s="5" t="s">
        <v>52</v>
      </c>
      <c r="C548" s="5" t="s">
        <v>120</v>
      </c>
      <c r="D548" s="5">
        <v>2</v>
      </c>
      <c r="E548" s="2" t="s">
        <v>1164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1300</v>
      </c>
      <c r="B550" s="5" t="s">
        <v>56</v>
      </c>
      <c r="C550" s="5" t="s">
        <v>120</v>
      </c>
      <c r="D550" s="5">
        <v>2</v>
      </c>
      <c r="E550" s="5" t="s">
        <v>1162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1300</v>
      </c>
      <c r="B551" s="5" t="s">
        <v>56</v>
      </c>
      <c r="C551" s="5" t="s">
        <v>120</v>
      </c>
      <c r="D551" s="5">
        <v>2</v>
      </c>
      <c r="E551" s="5" t="s">
        <v>1163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7.1746845864040694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8.5696845864040689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13.452184586404069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1300</v>
      </c>
      <c r="B552" s="5" t="s">
        <v>56</v>
      </c>
      <c r="C552" s="5" t="s">
        <v>120</v>
      </c>
      <c r="D552" s="5">
        <v>2</v>
      </c>
      <c r="E552" s="2" t="s">
        <v>1164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-8.8817841970012523E-16</v>
      </c>
      <c r="T552" s="32">
        <f t="shared" si="136"/>
        <v>0</v>
      </c>
      <c r="U552" s="32">
        <f t="shared" si="136"/>
        <v>-1.7763568394002505E-15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-3.0198066269804258E-14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1301</v>
      </c>
      <c r="B554" s="5" t="s">
        <v>58</v>
      </c>
      <c r="C554" s="5" t="s">
        <v>120</v>
      </c>
      <c r="D554" s="5">
        <v>2</v>
      </c>
      <c r="E554" s="5" t="s">
        <v>1162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1301</v>
      </c>
      <c r="B555" s="5" t="s">
        <v>58</v>
      </c>
      <c r="C555" s="5" t="s">
        <v>120</v>
      </c>
      <c r="D555" s="5">
        <v>2</v>
      </c>
      <c r="E555" s="5" t="s">
        <v>1163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0.77715015920690589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0.95071721823590594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1.0375007477504059</v>
      </c>
    </row>
    <row r="556" spans="1:31" x14ac:dyDescent="0.45">
      <c r="A556" s="28" t="s">
        <v>1301</v>
      </c>
      <c r="B556" s="5" t="s">
        <v>58</v>
      </c>
      <c r="C556" s="5" t="s">
        <v>120</v>
      </c>
      <c r="D556" s="5">
        <v>2</v>
      </c>
      <c r="E556" s="2" t="s">
        <v>1164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-1.1102230246251565E-16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-1.1102230246251565E-16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-3.9968028886505635E-15</v>
      </c>
    </row>
    <row r="558" spans="1:31" x14ac:dyDescent="0.45">
      <c r="A558" s="28" t="s">
        <v>1302</v>
      </c>
      <c r="B558" s="5" t="s">
        <v>61</v>
      </c>
      <c r="C558" s="5" t="s">
        <v>120</v>
      </c>
      <c r="D558" s="5">
        <v>2</v>
      </c>
      <c r="E558" s="5" t="s">
        <v>1162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1302</v>
      </c>
      <c r="B559" s="5" t="s">
        <v>61</v>
      </c>
      <c r="C559" s="5" t="s">
        <v>120</v>
      </c>
      <c r="D559" s="5">
        <v>2</v>
      </c>
      <c r="E559" s="5" t="s">
        <v>1163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1302</v>
      </c>
      <c r="B560" s="5" t="s">
        <v>61</v>
      </c>
      <c r="C560" s="5" t="s">
        <v>120</v>
      </c>
      <c r="D560" s="5">
        <v>2</v>
      </c>
      <c r="E560" s="2" t="s">
        <v>1164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1303</v>
      </c>
      <c r="B562" s="5" t="s">
        <v>63</v>
      </c>
      <c r="C562" s="5" t="s">
        <v>120</v>
      </c>
      <c r="D562" s="5">
        <v>2</v>
      </c>
      <c r="E562" s="5" t="s">
        <v>1162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1303</v>
      </c>
      <c r="B563" s="5" t="s">
        <v>63</v>
      </c>
      <c r="C563" s="5" t="s">
        <v>120</v>
      </c>
      <c r="D563" s="5">
        <v>2</v>
      </c>
      <c r="E563" s="5" t="s">
        <v>1163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0.17281516073434472</v>
      </c>
      <c r="R563" s="18">
        <f>INDEX(Mitigation_Industry!R:R,MATCH($A563,Mitigation_Industry!$H:$H,0))</f>
        <v>0.1949212436616404</v>
      </c>
      <c r="S563" s="18">
        <f>INDEX(Mitigation_Industry!S:S,MATCH($A563,Mitigation_Industry!$H:$H,0))</f>
        <v>0.21702732658893611</v>
      </c>
      <c r="T563" s="18">
        <f>INDEX(Mitigation_Industry!T:T,MATCH($A563,Mitigation_Industry!$H:$H,0))</f>
        <v>0.2391334095162318</v>
      </c>
      <c r="U563" s="18">
        <f>INDEX(Mitigation_Industry!U:U,MATCH($A563,Mitigation_Industry!$H:$H,0))</f>
        <v>0.26123949244352801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0.30545165829811904</v>
      </c>
      <c r="X563" s="18">
        <f>INDEX(Mitigation_Industry!X:X,MATCH($A563,Mitigation_Industry!$H:$H,0))</f>
        <v>0.32755774122541503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0.37176990708000601</v>
      </c>
      <c r="AA563" s="18">
        <f>INDEX(Mitigation_Industry!AA:AA,MATCH($A563,Mitigation_Industry!$H:$H,0))</f>
        <v>0.393875990007302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0.43808815586189298</v>
      </c>
      <c r="AD563" s="18">
        <f>INDEX(Mitigation_Industry!AD:AD,MATCH($A563,Mitigation_Industry!$H:$H,0))</f>
        <v>0.46019423878918903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1303</v>
      </c>
      <c r="B564" s="5" t="s">
        <v>63</v>
      </c>
      <c r="C564" s="5" t="s">
        <v>120</v>
      </c>
      <c r="D564" s="5">
        <v>2</v>
      </c>
      <c r="E564" s="2" t="s">
        <v>1164</v>
      </c>
      <c r="F564" s="31">
        <f>MAX(MAX(L564:AE564),-MIN(L564:AE564))</f>
        <v>9.9920072216264089E-16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-2.7755575615628914E-16</v>
      </c>
      <c r="R564" s="32">
        <f t="shared" si="139"/>
        <v>4.163336342344337E-16</v>
      </c>
      <c r="S564" s="32">
        <f t="shared" si="139"/>
        <v>1.1102230246251565E-16</v>
      </c>
      <c r="T564" s="32">
        <f t="shared" si="139"/>
        <v>-1.9428902930940239E-16</v>
      </c>
      <c r="U564" s="32">
        <f t="shared" si="139"/>
        <v>9.9920072216264089E-16</v>
      </c>
      <c r="V564" s="32">
        <f t="shared" si="139"/>
        <v>0</v>
      </c>
      <c r="W564" s="32">
        <f t="shared" si="139"/>
        <v>5.5511151231257827E-17</v>
      </c>
      <c r="X564" s="32">
        <f t="shared" si="139"/>
        <v>5.5511151231257827E-17</v>
      </c>
      <c r="Y564" s="32">
        <f t="shared" si="139"/>
        <v>0</v>
      </c>
      <c r="Z564" s="32">
        <f t="shared" si="139"/>
        <v>0</v>
      </c>
      <c r="AA564" s="32">
        <f t="shared" si="139"/>
        <v>0</v>
      </c>
      <c r="AB564" s="32">
        <f t="shared" si="139"/>
        <v>0</v>
      </c>
      <c r="AC564" s="32">
        <f t="shared" si="139"/>
        <v>0</v>
      </c>
      <c r="AD564" s="32">
        <f t="shared" si="139"/>
        <v>0</v>
      </c>
      <c r="AE564" s="32">
        <f t="shared" si="139"/>
        <v>0</v>
      </c>
    </row>
    <row r="566" spans="1:31" x14ac:dyDescent="0.45">
      <c r="A566" s="28" t="s">
        <v>1304</v>
      </c>
      <c r="B566" s="5" t="s">
        <v>65</v>
      </c>
      <c r="C566" s="5" t="s">
        <v>120</v>
      </c>
      <c r="D566" s="5">
        <v>2</v>
      </c>
      <c r="E566" s="5" t="s">
        <v>1162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1304</v>
      </c>
      <c r="B567" s="5" t="s">
        <v>65</v>
      </c>
      <c r="C567" s="5" t="s">
        <v>120</v>
      </c>
      <c r="D567" s="5">
        <v>2</v>
      </c>
      <c r="E567" s="5" t="s">
        <v>1163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0.45706441406607851</v>
      </c>
      <c r="R567" s="18">
        <f>INDEX(Mitigation_Industry!R:R,MATCH($A567,Mitigation_Industry!$H:$H,0))</f>
        <v>0.48905324417618701</v>
      </c>
      <c r="S567" s="18">
        <f>INDEX(Mitigation_Industry!S:S,MATCH($A567,Mitigation_Industry!$H:$H,0))</f>
        <v>0.52104207428629556</v>
      </c>
      <c r="T567" s="18">
        <f>INDEX(Mitigation_Industry!T:T,MATCH($A567,Mitigation_Industry!$H:$H,0))</f>
        <v>0.55303090439640401</v>
      </c>
      <c r="U567" s="18">
        <f>INDEX(Mitigation_Industry!U:U,MATCH($A567,Mitigation_Industry!$H:$H,0))</f>
        <v>0.58501973450651301</v>
      </c>
      <c r="V567" s="18">
        <f>INDEX(Mitigation_Industry!V:V,MATCH($A567,Mitigation_Industry!$H:$H,0))</f>
        <v>0.61700856461662101</v>
      </c>
      <c r="W567" s="18">
        <f>INDEX(Mitigation_Industry!W:W,MATCH($A567,Mitigation_Industry!$H:$H,0))</f>
        <v>0.64899739472673001</v>
      </c>
      <c r="X567" s="18">
        <f>INDEX(Mitigation_Industry!X:X,MATCH($A567,Mitigation_Industry!$H:$H,0))</f>
        <v>0.68098622483683802</v>
      </c>
      <c r="Y567" s="18">
        <f>INDEX(Mitigation_Industry!Y:Y,MATCH($A567,Mitigation_Industry!$H:$H,0))</f>
        <v>0.71297505494694702</v>
      </c>
      <c r="Z567" s="18">
        <f>INDEX(Mitigation_Industry!Z:Z,MATCH($A567,Mitigation_Industry!$H:$H,0))</f>
        <v>0.74496388505705502</v>
      </c>
      <c r="AA567" s="18">
        <f>INDEX(Mitigation_Industry!AA:AA,MATCH($A567,Mitigation_Industry!$H:$H,0))</f>
        <v>0.77695271516716302</v>
      </c>
      <c r="AB567" s="18">
        <f>INDEX(Mitigation_Industry!AB:AB,MATCH($A567,Mitigation_Industry!$H:$H,0))</f>
        <v>0.80894154527727202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0.87291920549748903</v>
      </c>
      <c r="AE567" s="18">
        <f>INDEX(Mitigation_Industry!AE:AE,MATCH($A567,Mitigation_Industry!$H:$H,0))</f>
        <v>0.90490803560759703</v>
      </c>
    </row>
    <row r="568" spans="1:31" x14ac:dyDescent="0.45">
      <c r="A568" s="28" t="s">
        <v>1304</v>
      </c>
      <c r="B568" s="5" t="s">
        <v>65</v>
      </c>
      <c r="C568" s="5" t="s">
        <v>120</v>
      </c>
      <c r="D568" s="5">
        <v>2</v>
      </c>
      <c r="E568" s="2" t="s">
        <v>1164</v>
      </c>
      <c r="F568" s="31">
        <f>MAX(MAX(L568:AE568),-MIN(L568:AE568))</f>
        <v>9.9920072216264089E-16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-4.9960036108132044E-16</v>
      </c>
      <c r="R568" s="32">
        <f t="shared" si="140"/>
        <v>0</v>
      </c>
      <c r="S568" s="32">
        <f t="shared" si="140"/>
        <v>-4.4408920985006262E-16</v>
      </c>
      <c r="T568" s="32">
        <f t="shared" si="140"/>
        <v>0</v>
      </c>
      <c r="U568" s="32">
        <f t="shared" si="140"/>
        <v>0</v>
      </c>
      <c r="V568" s="32">
        <f t="shared" si="140"/>
        <v>0</v>
      </c>
      <c r="W568" s="32">
        <f t="shared" si="140"/>
        <v>9.9920072216264089E-16</v>
      </c>
      <c r="X568" s="32">
        <f t="shared" si="140"/>
        <v>0</v>
      </c>
      <c r="Y568" s="32">
        <f t="shared" si="140"/>
        <v>0</v>
      </c>
      <c r="Z568" s="32">
        <f t="shared" si="140"/>
        <v>0</v>
      </c>
      <c r="AA568" s="32">
        <f t="shared" si="140"/>
        <v>0</v>
      </c>
      <c r="AB568" s="32">
        <f t="shared" si="140"/>
        <v>0</v>
      </c>
      <c r="AC568" s="32">
        <f t="shared" si="140"/>
        <v>0</v>
      </c>
      <c r="AD568" s="32">
        <f t="shared" si="140"/>
        <v>0</v>
      </c>
      <c r="AE568" s="32">
        <f t="shared" si="140"/>
        <v>0</v>
      </c>
    </row>
    <row r="570" spans="1:31" x14ac:dyDescent="0.45">
      <c r="A570" s="28" t="s">
        <v>1305</v>
      </c>
      <c r="B570" s="5" t="s">
        <v>67</v>
      </c>
      <c r="C570" s="5" t="s">
        <v>120</v>
      </c>
      <c r="D570" s="5">
        <v>2</v>
      </c>
      <c r="E570" s="5" t="s">
        <v>1162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1305</v>
      </c>
      <c r="B571" s="5" t="s">
        <v>67</v>
      </c>
      <c r="C571" s="5" t="s">
        <v>120</v>
      </c>
      <c r="D571" s="5">
        <v>2</v>
      </c>
      <c r="E571" s="5" t="s">
        <v>1163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46.725609739410061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87.798459739410063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1305</v>
      </c>
      <c r="B572" s="5" t="s">
        <v>67</v>
      </c>
      <c r="C572" s="5" t="s">
        <v>120</v>
      </c>
      <c r="D572" s="5">
        <v>2</v>
      </c>
      <c r="E572" s="2" t="s">
        <v>1164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-4.2632564145606011E-14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-4.2632564145606011E-14</v>
      </c>
      <c r="AE572" s="32">
        <f t="shared" si="141"/>
        <v>-5.6843418860808015E-14</v>
      </c>
    </row>
    <row r="574" spans="1:31" x14ac:dyDescent="0.45">
      <c r="A574" s="28" t="s">
        <v>1306</v>
      </c>
      <c r="B574" s="5" t="s">
        <v>70</v>
      </c>
      <c r="C574" s="5" t="s">
        <v>120</v>
      </c>
      <c r="D574" s="5">
        <v>2</v>
      </c>
      <c r="E574" s="5" t="s">
        <v>1162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1306</v>
      </c>
      <c r="B575" s="5" t="s">
        <v>70</v>
      </c>
      <c r="C575" s="5" t="s">
        <v>120</v>
      </c>
      <c r="D575" s="5">
        <v>2</v>
      </c>
      <c r="E575" s="5" t="s">
        <v>1163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1306</v>
      </c>
      <c r="B576" s="5" t="s">
        <v>70</v>
      </c>
      <c r="C576" s="5" t="s">
        <v>120</v>
      </c>
      <c r="D576" s="5">
        <v>2</v>
      </c>
      <c r="E576" s="2" t="s">
        <v>1164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1" x14ac:dyDescent="0.45">
      <c r="A578" s="28" t="s">
        <v>1307</v>
      </c>
      <c r="B578" s="5" t="s">
        <v>72</v>
      </c>
      <c r="C578" s="5" t="s">
        <v>120</v>
      </c>
      <c r="D578" s="5">
        <v>2</v>
      </c>
      <c r="E578" s="5" t="s">
        <v>1162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1" x14ac:dyDescent="0.45">
      <c r="A579" s="28" t="s">
        <v>1307</v>
      </c>
      <c r="B579" s="5" t="s">
        <v>72</v>
      </c>
      <c r="C579" s="5" t="s">
        <v>120</v>
      </c>
      <c r="D579" s="5">
        <v>2</v>
      </c>
      <c r="E579" s="5" t="s">
        <v>1163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1" x14ac:dyDescent="0.45">
      <c r="A580" s="28" t="s">
        <v>1307</v>
      </c>
      <c r="B580" s="5" t="s">
        <v>72</v>
      </c>
      <c r="C580" s="5" t="s">
        <v>120</v>
      </c>
      <c r="D580" s="5">
        <v>2</v>
      </c>
      <c r="E580" s="2" t="s">
        <v>1164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2026-10-02T18:51:18Z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