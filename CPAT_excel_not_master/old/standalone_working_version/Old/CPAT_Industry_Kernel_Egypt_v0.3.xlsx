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F6977960-EFA3-4AF7-AD94-F06BA387B77D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Mitigation_Industry" sheetId="2" r:id="rId3"/>
    <sheet name="MTInputs" sheetId="3" r:id="rId4"/>
    <sheet name="Data_Energy" sheetId="4" r:id="rId5"/>
    <sheet name="Data_Prices" sheetId="5" r:id="rId6"/>
    <sheet name="Data_Macro" sheetId="6" r:id="rId7"/>
    <sheet name="Data_Elast" sheetId="7" r:id="rId8"/>
    <sheet name="Check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77" i="8" l="1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AE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K1329" i="8"/>
  <c r="K1328" i="8"/>
  <c r="K1325" i="8"/>
  <c r="K1324" i="8"/>
  <c r="K1321" i="8"/>
  <c r="K1320" i="8"/>
  <c r="K1317" i="8"/>
  <c r="K1316" i="8"/>
  <c r="K1313" i="8"/>
  <c r="K1312" i="8"/>
  <c r="K1309" i="8"/>
  <c r="AB1309" i="8"/>
  <c r="AC1309" i="8"/>
  <c r="AD1309" i="8"/>
  <c r="AE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C1308" i="8"/>
  <c r="AD1308" i="8"/>
  <c r="AE1308" i="8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Z1044" i="8"/>
  <c r="Z1045" i="8" s="1"/>
  <c r="K1041" i="8"/>
  <c r="K1040" i="8"/>
  <c r="K1037" i="8"/>
  <c r="K1036" i="8"/>
  <c r="K1033" i="8"/>
  <c r="K1032" i="8"/>
  <c r="AC1032" i="8"/>
  <c r="AC1033" i="8" s="1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L937" i="8"/>
  <c r="M937" i="8"/>
  <c r="O937" i="8"/>
  <c r="P937" i="8"/>
  <c r="K936" i="8"/>
  <c r="L936" i="8"/>
  <c r="M936" i="8"/>
  <c r="N936" i="8"/>
  <c r="N937" i="8" s="1"/>
  <c r="O936" i="8"/>
  <c r="P936" i="8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N913" i="8"/>
  <c r="O913" i="8"/>
  <c r="K912" i="8"/>
  <c r="L912" i="8"/>
  <c r="L913" i="8" s="1"/>
  <c r="M912" i="8"/>
  <c r="M913" i="8" s="1"/>
  <c r="N912" i="8"/>
  <c r="O912" i="8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AA653" i="8"/>
  <c r="K652" i="8"/>
  <c r="K649" i="8"/>
  <c r="K648" i="8"/>
  <c r="K645" i="8"/>
  <c r="K644" i="8"/>
  <c r="K641" i="8"/>
  <c r="K640" i="8"/>
  <c r="O640" i="8"/>
  <c r="O641" i="8" s="1"/>
  <c r="Q640" i="8"/>
  <c r="Q641" i="8" s="1"/>
  <c r="T640" i="8"/>
  <c r="T641" i="8" s="1"/>
  <c r="K637" i="8"/>
  <c r="K636" i="8"/>
  <c r="K633" i="8"/>
  <c r="K632" i="8"/>
  <c r="L632" i="8"/>
  <c r="L633" i="8" s="1"/>
  <c r="M632" i="8"/>
  <c r="M633" i="8" s="1"/>
  <c r="K629" i="8"/>
  <c r="S629" i="8"/>
  <c r="K628" i="8"/>
  <c r="K625" i="8"/>
  <c r="K624" i="8"/>
  <c r="K621" i="8"/>
  <c r="K620" i="8"/>
  <c r="K617" i="8"/>
  <c r="K616" i="8"/>
  <c r="N616" i="8"/>
  <c r="N617" i="8" s="1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AD645" i="2"/>
  <c r="AD697" i="2" s="1"/>
  <c r="AE645" i="2"/>
  <c r="AE697" i="2" s="1"/>
  <c r="AE750" i="2" s="1"/>
  <c r="G646" i="2"/>
  <c r="L646" i="2" s="1"/>
  <c r="P646" i="2"/>
  <c r="Q646" i="2"/>
  <c r="Q984" i="8" s="1"/>
  <c r="Q985" i="8" s="1"/>
  <c r="AE646" i="2"/>
  <c r="G647" i="2"/>
  <c r="Y647" i="2" s="1"/>
  <c r="F652" i="2"/>
  <c r="G704" i="2" s="1"/>
  <c r="F653" i="2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L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G731" i="2" s="1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G732" i="2" s="1"/>
  <c r="E712" i="2" s="1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L669" i="2" s="1"/>
  <c r="J669" i="2"/>
  <c r="G735" i="2" s="1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F736" i="2" s="1"/>
  <c r="E705" i="2" s="1"/>
  <c r="I670" i="2"/>
  <c r="J670" i="2"/>
  <c r="G736" i="2" s="1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E697" i="2"/>
  <c r="Y697" i="2"/>
  <c r="Y708" i="2" s="1"/>
  <c r="Y761" i="2" s="1"/>
  <c r="Y790" i="2" s="1"/>
  <c r="G698" i="2"/>
  <c r="G699" i="2"/>
  <c r="G700" i="2"/>
  <c r="G702" i="2"/>
  <c r="G703" i="2"/>
  <c r="E708" i="2"/>
  <c r="R708" i="2"/>
  <c r="R761" i="2" s="1"/>
  <c r="R790" i="2" s="1"/>
  <c r="T708" i="2"/>
  <c r="U708" i="2"/>
  <c r="AC728" i="2"/>
  <c r="F729" i="2"/>
  <c r="E698" i="2" s="1"/>
  <c r="G729" i="2"/>
  <c r="F730" i="2"/>
  <c r="G730" i="2"/>
  <c r="F731" i="2"/>
  <c r="E700" i="2" s="1"/>
  <c r="F733" i="2"/>
  <c r="E702" i="2" s="1"/>
  <c r="G73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S739" i="2"/>
  <c r="T739" i="2"/>
  <c r="T645" i="2" s="1"/>
  <c r="T697" i="2" s="1"/>
  <c r="U739" i="2"/>
  <c r="U645" i="2" s="1"/>
  <c r="U697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T750" i="2"/>
  <c r="U750" i="2"/>
  <c r="W750" i="2"/>
  <c r="Y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70" i="2"/>
  <c r="H773" i="2"/>
  <c r="H774" i="2"/>
  <c r="H775" i="2"/>
  <c r="H776" i="2"/>
  <c r="H777" i="2"/>
  <c r="H778" i="2"/>
  <c r="H784" i="2"/>
  <c r="H785" i="2"/>
  <c r="H786" i="2"/>
  <c r="H787" i="2"/>
  <c r="H788" i="2"/>
  <c r="H789" i="2"/>
  <c r="H799" i="2"/>
  <c r="J245" i="2"/>
  <c r="S246" i="2"/>
  <c r="S298" i="2" s="1"/>
  <c r="S351" i="2" s="1"/>
  <c r="G247" i="2"/>
  <c r="L247" i="2" s="1"/>
  <c r="L588" i="8" s="1"/>
  <c r="L589" i="8" s="1"/>
  <c r="X247" i="2"/>
  <c r="X588" i="8" s="1"/>
  <c r="X589" i="8" s="1"/>
  <c r="Y247" i="2"/>
  <c r="Z247" i="2"/>
  <c r="AA247" i="2"/>
  <c r="AA588" i="8" s="1"/>
  <c r="AA589" i="8" s="1"/>
  <c r="AB247" i="2"/>
  <c r="AB588" i="8" s="1"/>
  <c r="AB589" i="8" s="1"/>
  <c r="AD247" i="2"/>
  <c r="AD588" i="8" s="1"/>
  <c r="AD589" i="8" s="1"/>
  <c r="G248" i="2"/>
  <c r="L248" i="2" s="1"/>
  <c r="L592" i="8" s="1"/>
  <c r="L593" i="8" s="1"/>
  <c r="Q248" i="2"/>
  <c r="Q592" i="8" s="1"/>
  <c r="Q593" i="8" s="1"/>
  <c r="T248" i="2"/>
  <c r="T592" i="8" s="1"/>
  <c r="T593" i="8" s="1"/>
  <c r="Z248" i="2"/>
  <c r="Z592" i="8" s="1"/>
  <c r="Z593" i="8" s="1"/>
  <c r="F253" i="2"/>
  <c r="G305" i="2" s="1"/>
  <c r="E254" i="2"/>
  <c r="F299" i="2" s="1"/>
  <c r="F254" i="2"/>
  <c r="G299" i="2" s="1"/>
  <c r="F255" i="2"/>
  <c r="G306" i="2" s="1"/>
  <c r="F256" i="2"/>
  <c r="F257" i="2"/>
  <c r="G302" i="2" s="1"/>
  <c r="H264" i="2"/>
  <c r="I264" i="2"/>
  <c r="F330" i="2" s="1"/>
  <c r="E299" i="2" s="1"/>
  <c r="J264" i="2"/>
  <c r="G330" i="2" s="1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G331" i="2" s="1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G332" i="2" s="1"/>
  <c r="E312" i="2" s="1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N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G335" i="2" s="1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G336" i="2" s="1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O341" i="2" s="1"/>
  <c r="N277" i="2"/>
  <c r="M277" i="2" s="1"/>
  <c r="O277" i="2"/>
  <c r="P277" i="2" s="1"/>
  <c r="N278" i="2"/>
  <c r="O278" i="2" s="1"/>
  <c r="N279" i="2"/>
  <c r="M280" i="2"/>
  <c r="M612" i="8" s="1"/>
  <c r="M613" i="8" s="1"/>
  <c r="N280" i="2"/>
  <c r="N612" i="8" s="1"/>
  <c r="N613" i="8" s="1"/>
  <c r="M281" i="2"/>
  <c r="N281" i="2"/>
  <c r="O281" i="2" s="1"/>
  <c r="P281" i="2"/>
  <c r="Q281" i="2" s="1"/>
  <c r="N282" i="2"/>
  <c r="M282" i="2" s="1"/>
  <c r="M347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M289" i="2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P291" i="2"/>
  <c r="P640" i="8" s="1"/>
  <c r="P641" i="8" s="1"/>
  <c r="Q291" i="2"/>
  <c r="R291" i="2"/>
  <c r="R640" i="8" s="1"/>
  <c r="R641" i="8" s="1"/>
  <c r="S291" i="2"/>
  <c r="S640" i="8" s="1"/>
  <c r="S641" i="8" s="1"/>
  <c r="T291" i="2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E298" i="2"/>
  <c r="W298" i="2"/>
  <c r="W309" i="2" s="1"/>
  <c r="X298" i="2"/>
  <c r="X309" i="2" s="1"/>
  <c r="G303" i="2"/>
  <c r="G304" i="2"/>
  <c r="E306" i="2"/>
  <c r="E309" i="2"/>
  <c r="Z319" i="2"/>
  <c r="L329" i="2"/>
  <c r="G333" i="2"/>
  <c r="N344" i="2" s="1"/>
  <c r="G334" i="2"/>
  <c r="F335" i="2"/>
  <c r="F337" i="2"/>
  <c r="N337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X340" i="2"/>
  <c r="X246" i="2" s="1"/>
  <c r="Y340" i="2"/>
  <c r="Y329" i="2" s="1"/>
  <c r="Z340" i="2"/>
  <c r="Z246" i="2" s="1"/>
  <c r="Z298" i="2" s="1"/>
  <c r="Z309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V351" i="2"/>
  <c r="X351" i="2"/>
  <c r="Z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Z362" i="2"/>
  <c r="Z391" i="2" s="1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371" i="2"/>
  <c r="H374" i="2"/>
  <c r="H375" i="2"/>
  <c r="H376" i="2"/>
  <c r="H377" i="2"/>
  <c r="H378" i="2"/>
  <c r="H379" i="2"/>
  <c r="H385" i="2"/>
  <c r="H386" i="2"/>
  <c r="H387" i="2"/>
  <c r="H388" i="2"/>
  <c r="H389" i="2"/>
  <c r="H39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N35" i="9"/>
  <c r="N269" i="2" s="1"/>
  <c r="Q269" i="2" s="1"/>
  <c r="L35" i="9"/>
  <c r="Y34" i="9"/>
  <c r="N34" i="9"/>
  <c r="L34" i="9"/>
  <c r="Y33" i="9"/>
  <c r="Q33" i="9"/>
  <c r="N33" i="9"/>
  <c r="N666" i="2" s="1"/>
  <c r="Q666" i="2" s="1"/>
  <c r="L33" i="9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E21" i="9"/>
  <c r="I22" i="9" s="1"/>
  <c r="F118" i="3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AA618" i="2"/>
  <c r="G618" i="2"/>
  <c r="Z618" i="2" s="1"/>
  <c r="C618" i="2"/>
  <c r="Q617" i="2"/>
  <c r="M617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N593" i="2"/>
  <c r="M593" i="2"/>
  <c r="H593" i="2"/>
  <c r="G593" i="2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AD587" i="2"/>
  <c r="AB587" i="2"/>
  <c r="X587" i="2"/>
  <c r="V587" i="2"/>
  <c r="T587" i="2"/>
  <c r="Q587" i="2"/>
  <c r="P587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L573" i="2"/>
  <c r="H573" i="2"/>
  <c r="G573" i="2"/>
  <c r="C573" i="2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Q560" i="2"/>
  <c r="G560" i="2"/>
  <c r="P560" i="2" s="1"/>
  <c r="C560" i="2"/>
  <c r="G559" i="2"/>
  <c r="C559" i="2"/>
  <c r="L558" i="2"/>
  <c r="G558" i="2"/>
  <c r="N558" i="2" s="1"/>
  <c r="C558" i="2"/>
  <c r="AC557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O533" i="2"/>
  <c r="H533" i="2"/>
  <c r="G533" i="2"/>
  <c r="N533" i="2" s="1"/>
  <c r="C533" i="2"/>
  <c r="H532" i="2"/>
  <c r="G532" i="2"/>
  <c r="T532" i="2" s="1"/>
  <c r="C532" i="2"/>
  <c r="H531" i="2"/>
  <c r="G531" i="2"/>
  <c r="C531" i="2"/>
  <c r="AA530" i="2"/>
  <c r="Z530" i="2"/>
  <c r="M530" i="2"/>
  <c r="H530" i="2"/>
  <c r="G530" i="2"/>
  <c r="C530" i="2"/>
  <c r="H529" i="2"/>
  <c r="G529" i="2"/>
  <c r="N529" i="2" s="1"/>
  <c r="C529" i="2"/>
  <c r="H528" i="2"/>
  <c r="G528" i="2"/>
  <c r="C528" i="2"/>
  <c r="AE527" i="2"/>
  <c r="AA527" i="2"/>
  <c r="V527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L516" i="2"/>
  <c r="H516" i="2"/>
  <c r="G516" i="2"/>
  <c r="C516" i="2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Y497" i="2"/>
  <c r="V497" i="2"/>
  <c r="T497" i="2"/>
  <c r="R497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X470" i="2"/>
  <c r="H470" i="2"/>
  <c r="G470" i="2"/>
  <c r="Q470" i="2" s="1"/>
  <c r="C470" i="2"/>
  <c r="H469" i="2"/>
  <c r="G469" i="2"/>
  <c r="C469" i="2"/>
  <c r="AD468" i="2"/>
  <c r="AA468" i="2"/>
  <c r="Z468" i="2"/>
  <c r="V468" i="2"/>
  <c r="U468" i="2"/>
  <c r="R468" i="2"/>
  <c r="L468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L454" i="2"/>
  <c r="H454" i="2"/>
  <c r="G454" i="2"/>
  <c r="C454" i="2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AE439" i="2"/>
  <c r="AD439" i="2"/>
  <c r="AC439" i="2"/>
  <c r="R439" i="2"/>
  <c r="M439" i="2"/>
  <c r="G439" i="2"/>
  <c r="K439" i="2" s="1"/>
  <c r="C439" i="2"/>
  <c r="AE438" i="2"/>
  <c r="AC438" i="2"/>
  <c r="T438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AD414" i="2"/>
  <c r="AB414" i="2"/>
  <c r="Z414" i="2"/>
  <c r="Y414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AD407" i="2"/>
  <c r="AA407" i="2"/>
  <c r="X407" i="2"/>
  <c r="W407" i="2"/>
  <c r="V407" i="2"/>
  <c r="Q407" i="2"/>
  <c r="N407" i="2"/>
  <c r="L407" i="2"/>
  <c r="H407" i="2"/>
  <c r="G407" i="2"/>
  <c r="AE407" i="2" s="1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L238" i="2"/>
  <c r="H238" i="2"/>
  <c r="G238" i="2"/>
  <c r="C238" i="2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AB219" i="2"/>
  <c r="W219" i="2"/>
  <c r="S219" i="2"/>
  <c r="P219" i="2"/>
  <c r="O219" i="2"/>
  <c r="M219" i="2"/>
  <c r="G219" i="2"/>
  <c r="Q219" i="2" s="1"/>
  <c r="C219" i="2"/>
  <c r="AD218" i="2"/>
  <c r="V218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R195" i="2"/>
  <c r="H195" i="2"/>
  <c r="G195" i="2"/>
  <c r="O195" i="2" s="1"/>
  <c r="C195" i="2"/>
  <c r="M194" i="2"/>
  <c r="L194" i="2"/>
  <c r="K194" i="2"/>
  <c r="H194" i="2"/>
  <c r="G194" i="2"/>
  <c r="C194" i="2"/>
  <c r="H193" i="2"/>
  <c r="G193" i="2"/>
  <c r="U193" i="2" s="1"/>
  <c r="C193" i="2"/>
  <c r="Y192" i="2"/>
  <c r="H192" i="2"/>
  <c r="G192" i="2"/>
  <c r="S192" i="2" s="1"/>
  <c r="C192" i="2"/>
  <c r="H191" i="2"/>
  <c r="G191" i="2"/>
  <c r="C191" i="2"/>
  <c r="O190" i="2"/>
  <c r="H190" i="2"/>
  <c r="G190" i="2"/>
  <c r="AC190" i="2" s="1"/>
  <c r="C190" i="2"/>
  <c r="H189" i="2"/>
  <c r="G189" i="2"/>
  <c r="AA189" i="2" s="1"/>
  <c r="C189" i="2"/>
  <c r="Z188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L181" i="2"/>
  <c r="H181" i="2"/>
  <c r="G181" i="2"/>
  <c r="C181" i="2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AB161" i="2"/>
  <c r="Q161" i="2"/>
  <c r="G161" i="2"/>
  <c r="Y161" i="2" s="1"/>
  <c r="C161" i="2"/>
  <c r="Y160" i="2"/>
  <c r="G160" i="2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AD135" i="2"/>
  <c r="H135" i="2"/>
  <c r="G135" i="2"/>
  <c r="X135" i="2" s="1"/>
  <c r="C135" i="2"/>
  <c r="Z134" i="2"/>
  <c r="H134" i="2"/>
  <c r="G134" i="2"/>
  <c r="AA134" i="2" s="1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Y130" i="2"/>
  <c r="H130" i="2"/>
  <c r="G130" i="2"/>
  <c r="Z130" i="2" s="1"/>
  <c r="C130" i="2"/>
  <c r="AD129" i="2"/>
  <c r="AB129" i="2"/>
  <c r="AA129" i="2"/>
  <c r="V129" i="2"/>
  <c r="R129" i="2"/>
  <c r="H129" i="2"/>
  <c r="G129" i="2"/>
  <c r="Y129" i="2" s="1"/>
  <c r="C129" i="2"/>
  <c r="AD128" i="2"/>
  <c r="AB128" i="2"/>
  <c r="X128" i="2"/>
  <c r="R128" i="2"/>
  <c r="Q128" i="2"/>
  <c r="L128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Q98" i="2"/>
  <c r="G98" i="2"/>
  <c r="AB98" i="2" s="1"/>
  <c r="C98" i="2"/>
  <c r="Y97" i="2"/>
  <c r="X97" i="2"/>
  <c r="W97" i="2"/>
  <c r="U97" i="2"/>
  <c r="T97" i="2"/>
  <c r="R97" i="2"/>
  <c r="N97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AA74" i="2"/>
  <c r="Y74" i="2"/>
  <c r="H74" i="2"/>
  <c r="G74" i="2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Y69" i="2"/>
  <c r="U69" i="2"/>
  <c r="U79" i="2" s="1"/>
  <c r="T69" i="2"/>
  <c r="Q69" i="2"/>
  <c r="M69" i="2"/>
  <c r="K69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L60" i="2"/>
  <c r="H60" i="2"/>
  <c r="G60" i="2"/>
  <c r="C60" i="2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S41" i="2"/>
  <c r="G41" i="2"/>
  <c r="N41" i="2" s="1"/>
  <c r="C41" i="2"/>
  <c r="G40" i="2"/>
  <c r="AC40" i="2" s="1"/>
  <c r="C40" i="2"/>
  <c r="G39" i="2"/>
  <c r="AC39" i="2" s="1"/>
  <c r="C39" i="2"/>
  <c r="X38" i="2"/>
  <c r="V38" i="2"/>
  <c r="S38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AA15" i="2"/>
  <c r="X15" i="2"/>
  <c r="T15" i="2"/>
  <c r="S15" i="2"/>
  <c r="H15" i="2"/>
  <c r="G15" i="2"/>
  <c r="Y15" i="2" s="1"/>
  <c r="C15" i="2"/>
  <c r="H14" i="2"/>
  <c r="G14" i="2"/>
  <c r="AB14" i="2" s="1"/>
  <c r="C14" i="2"/>
  <c r="AD13" i="2"/>
  <c r="AB13" i="2"/>
  <c r="H13" i="2"/>
  <c r="G13" i="2"/>
  <c r="AA13" i="2" s="1"/>
  <c r="C13" i="2"/>
  <c r="H12" i="2"/>
  <c r="G12" i="2"/>
  <c r="V12" i="2" s="1"/>
  <c r="C12" i="2"/>
  <c r="AA11" i="2"/>
  <c r="Y11" i="2"/>
  <c r="X11" i="2"/>
  <c r="Q11" i="2"/>
  <c r="K11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AE8" i="2"/>
  <c r="L8" i="2"/>
  <c r="H8" i="2"/>
  <c r="G8" i="2"/>
  <c r="Y8" i="2" s="1"/>
  <c r="C8" i="2"/>
  <c r="H7" i="2"/>
  <c r="G7" i="2"/>
  <c r="Y7" i="2" s="1"/>
  <c r="C7" i="2"/>
  <c r="B9" i="1"/>
  <c r="B8" i="1"/>
  <c r="B7" i="1"/>
  <c r="I50" i="2" s="1"/>
  <c r="E715" i="2" l="1"/>
  <c r="N746" i="2"/>
  <c r="F700" i="2"/>
  <c r="F698" i="2"/>
  <c r="F699" i="2"/>
  <c r="E315" i="2"/>
  <c r="H335" i="2"/>
  <c r="N346" i="2"/>
  <c r="O346" i="2"/>
  <c r="N670" i="2"/>
  <c r="N271" i="2"/>
  <c r="Q271" i="2" s="1"/>
  <c r="Q37" i="9"/>
  <c r="R37" i="9"/>
  <c r="AB37" i="9" s="1"/>
  <c r="AB670" i="2" s="1"/>
  <c r="U299" i="2"/>
  <c r="U660" i="8" s="1"/>
  <c r="U661" i="8" s="1"/>
  <c r="N664" i="2"/>
  <c r="R31" i="9"/>
  <c r="Q31" i="9"/>
  <c r="L277" i="2"/>
  <c r="M342" i="2"/>
  <c r="M796" i="8" s="1"/>
  <c r="M797" i="8" s="1"/>
  <c r="F704" i="2"/>
  <c r="F702" i="2"/>
  <c r="F703" i="2"/>
  <c r="AB36" i="9"/>
  <c r="AA36" i="9"/>
  <c r="AA270" i="2" s="1"/>
  <c r="L299" i="2"/>
  <c r="L660" i="8" s="1"/>
  <c r="L661" i="8" s="1"/>
  <c r="O342" i="2"/>
  <c r="R269" i="2"/>
  <c r="E256" i="2"/>
  <c r="AE246" i="2"/>
  <c r="AE298" i="2" s="1"/>
  <c r="X647" i="2"/>
  <c r="X988" i="8" s="1"/>
  <c r="X989" i="8" s="1"/>
  <c r="T38" i="2"/>
  <c r="S69" i="2"/>
  <c r="O97" i="2"/>
  <c r="N128" i="2"/>
  <c r="X129" i="2"/>
  <c r="V438" i="2"/>
  <c r="S497" i="2"/>
  <c r="W527" i="2"/>
  <c r="AB533" i="2"/>
  <c r="AB543" i="2" s="1"/>
  <c r="N342" i="2"/>
  <c r="M278" i="2"/>
  <c r="L278" i="2" s="1"/>
  <c r="S248" i="2"/>
  <c r="S592" i="8" s="1"/>
  <c r="S593" i="8" s="1"/>
  <c r="Y246" i="2"/>
  <c r="Y298" i="2" s="1"/>
  <c r="M678" i="2"/>
  <c r="E656" i="2"/>
  <c r="F701" i="2" s="1"/>
  <c r="M647" i="2"/>
  <c r="M988" i="8" s="1"/>
  <c r="M989" i="8" s="1"/>
  <c r="F1309" i="8"/>
  <c r="K187" i="2"/>
  <c r="N352" i="2"/>
  <c r="M283" i="2"/>
  <c r="M337" i="2" s="1"/>
  <c r="E255" i="2"/>
  <c r="F306" i="2" s="1"/>
  <c r="R248" i="2"/>
  <c r="R592" i="8" s="1"/>
  <c r="R593" i="8" s="1"/>
  <c r="T246" i="2"/>
  <c r="T298" i="2" s="1"/>
  <c r="L665" i="2"/>
  <c r="L647" i="2"/>
  <c r="L988" i="8" s="1"/>
  <c r="L989" i="8" s="1"/>
  <c r="E313" i="2"/>
  <c r="Z38" i="2"/>
  <c r="Q412" i="2"/>
  <c r="Q35" i="9"/>
  <c r="AA309" i="2"/>
  <c r="R246" i="2"/>
  <c r="R298" i="2" s="1"/>
  <c r="AB728" i="2"/>
  <c r="N668" i="2"/>
  <c r="F913" i="8"/>
  <c r="AD38" i="2"/>
  <c r="AE69" i="2"/>
  <c r="V97" i="2"/>
  <c r="V85" i="2" s="1"/>
  <c r="Z128" i="2"/>
  <c r="V187" i="2"/>
  <c r="N189" i="2"/>
  <c r="R412" i="2"/>
  <c r="P467" i="2"/>
  <c r="R586" i="2"/>
  <c r="M620" i="2"/>
  <c r="R35" i="9"/>
  <c r="N330" i="2"/>
  <c r="N756" i="8" s="1"/>
  <c r="N757" i="8" s="1"/>
  <c r="U309" i="2"/>
  <c r="L269" i="2"/>
  <c r="Q246" i="2"/>
  <c r="Q298" i="2" s="1"/>
  <c r="AA728" i="2"/>
  <c r="M676" i="2"/>
  <c r="L676" i="2" s="1"/>
  <c r="L996" i="8" s="1"/>
  <c r="L997" i="8" s="1"/>
  <c r="F735" i="2"/>
  <c r="AD646" i="2"/>
  <c r="AD984" i="8" s="1"/>
  <c r="AD985" i="8" s="1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300" i="2" s="1"/>
  <c r="AC664" i="8" s="1"/>
  <c r="AC665" i="8" s="1"/>
  <c r="Y728" i="2"/>
  <c r="Y646" i="2"/>
  <c r="Y984" i="8" s="1"/>
  <c r="Y985" i="8" s="1"/>
  <c r="P645" i="2"/>
  <c r="P697" i="2" s="1"/>
  <c r="R467" i="2"/>
  <c r="Y620" i="2"/>
  <c r="AB329" i="2"/>
  <c r="F301" i="2"/>
  <c r="Y265" i="2"/>
  <c r="AA248" i="2"/>
  <c r="AA592" i="8" s="1"/>
  <c r="AA593" i="8" s="1"/>
  <c r="W728" i="2"/>
  <c r="O675" i="2"/>
  <c r="O992" i="8" s="1"/>
  <c r="O993" i="8" s="1"/>
  <c r="X646" i="2"/>
  <c r="X984" i="8" s="1"/>
  <c r="X985" i="8" s="1"/>
  <c r="N645" i="2"/>
  <c r="N697" i="2" s="1"/>
  <c r="N750" i="2" s="1"/>
  <c r="Q39" i="2"/>
  <c r="L557" i="2"/>
  <c r="AA329" i="2"/>
  <c r="G300" i="2"/>
  <c r="W646" i="2"/>
  <c r="W984" i="8" s="1"/>
  <c r="W985" i="8" s="1"/>
  <c r="M645" i="2"/>
  <c r="M697" i="2" s="1"/>
  <c r="N624" i="8"/>
  <c r="N625" i="8" s="1"/>
  <c r="M187" i="2"/>
  <c r="AB187" i="2"/>
  <c r="K438" i="2"/>
  <c r="T467" i="2"/>
  <c r="M8" i="2"/>
  <c r="R11" i="2"/>
  <c r="M38" i="2"/>
  <c r="AC187" i="2"/>
  <c r="AC197" i="2" s="1"/>
  <c r="AB189" i="2"/>
  <c r="O407" i="2"/>
  <c r="N438" i="2"/>
  <c r="AB467" i="2"/>
  <c r="U499" i="2"/>
  <c r="M527" i="2"/>
  <c r="P557" i="2"/>
  <c r="L560" i="2"/>
  <c r="U588" i="2"/>
  <c r="R33" i="9"/>
  <c r="Z329" i="2"/>
  <c r="F300" i="2"/>
  <c r="O280" i="2"/>
  <c r="Y248" i="2"/>
  <c r="Y592" i="8" s="1"/>
  <c r="Y593" i="8" s="1"/>
  <c r="R718" i="2"/>
  <c r="R666" i="2"/>
  <c r="V646" i="2"/>
  <c r="V984" i="8" s="1"/>
  <c r="V985" i="8" s="1"/>
  <c r="T189" i="2"/>
  <c r="U189" i="2"/>
  <c r="AA8" i="2"/>
  <c r="S11" i="2"/>
  <c r="N38" i="2"/>
  <c r="Y85" i="2"/>
  <c r="AE187" i="2"/>
  <c r="O438" i="2"/>
  <c r="X499" i="2"/>
  <c r="N527" i="2"/>
  <c r="Q557" i="2"/>
  <c r="M560" i="2"/>
  <c r="V588" i="2"/>
  <c r="X248" i="2"/>
  <c r="M681" i="2"/>
  <c r="AB647" i="2"/>
  <c r="AB988" i="8" s="1"/>
  <c r="AB989" i="8" s="1"/>
  <c r="U646" i="2"/>
  <c r="U984" i="8" s="1"/>
  <c r="U985" i="8" s="1"/>
  <c r="K38" i="2"/>
  <c r="P38" i="2"/>
  <c r="I111" i="2"/>
  <c r="Z161" i="2"/>
  <c r="X218" i="2"/>
  <c r="X220" i="2"/>
  <c r="U407" i="2"/>
  <c r="U417" i="2" s="1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N1200" i="8" s="1"/>
  <c r="N1201" i="8" s="1"/>
  <c r="AA647" i="2"/>
  <c r="AA988" i="8" s="1"/>
  <c r="AA989" i="8" s="1"/>
  <c r="T646" i="2"/>
  <c r="T984" i="8" s="1"/>
  <c r="T985" i="8" s="1"/>
  <c r="Q38" i="2"/>
  <c r="L69" i="2"/>
  <c r="L97" i="2"/>
  <c r="Y98" i="2"/>
  <c r="I109" i="2"/>
  <c r="S129" i="2"/>
  <c r="Y218" i="2"/>
  <c r="Q438" i="2"/>
  <c r="Z499" i="2"/>
  <c r="R527" i="2"/>
  <c r="M533" i="2"/>
  <c r="T557" i="2"/>
  <c r="O560" i="2"/>
  <c r="N587" i="2"/>
  <c r="AA588" i="2"/>
  <c r="V618" i="2"/>
  <c r="N329" i="2"/>
  <c r="L280" i="2"/>
  <c r="L612" i="8" s="1"/>
  <c r="L613" i="8" s="1"/>
  <c r="G256" i="2"/>
  <c r="V248" i="2"/>
  <c r="V592" i="8" s="1"/>
  <c r="V593" i="8" s="1"/>
  <c r="U247" i="2"/>
  <c r="U588" i="8" s="1"/>
  <c r="U589" i="8" s="1"/>
  <c r="W761" i="2"/>
  <c r="W790" i="2" s="1"/>
  <c r="Z647" i="2"/>
  <c r="Z988" i="8" s="1"/>
  <c r="Z989" i="8" s="1"/>
  <c r="S646" i="2"/>
  <c r="S984" i="8" s="1"/>
  <c r="S985" i="8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708" i="2"/>
  <c r="R646" i="2"/>
  <c r="R984" i="8" s="1"/>
  <c r="R985" i="8" s="1"/>
  <c r="G653" i="2"/>
  <c r="G254" i="2"/>
  <c r="AE409" i="2"/>
  <c r="AD409" i="2"/>
  <c r="O409" i="2"/>
  <c r="Z409" i="2"/>
  <c r="Y409" i="2"/>
  <c r="Y419" i="2" s="1"/>
  <c r="W409" i="2"/>
  <c r="M409" i="2"/>
  <c r="S409" i="2"/>
  <c r="Q409" i="2"/>
  <c r="K409" i="2"/>
  <c r="P409" i="2"/>
  <c r="Q616" i="8"/>
  <c r="Q617" i="8" s="1"/>
  <c r="Q346" i="2"/>
  <c r="Q335" i="2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O479" i="2" s="1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S152" i="2" s="1"/>
  <c r="P132" i="2"/>
  <c r="L132" i="2"/>
  <c r="Q132" i="2"/>
  <c r="O132" i="2"/>
  <c r="K132" i="2"/>
  <c r="AE132" i="2"/>
  <c r="AC132" i="2"/>
  <c r="X410" i="2"/>
  <c r="X420" i="2" s="1"/>
  <c r="V410" i="2"/>
  <c r="T410" i="2"/>
  <c r="AE410" i="2"/>
  <c r="AE420" i="2" s="1"/>
  <c r="L410" i="2"/>
  <c r="AB351" i="2"/>
  <c r="AB309" i="2"/>
  <c r="AA72" i="2"/>
  <c r="M72" i="2"/>
  <c r="AC72" i="2"/>
  <c r="Z72" i="2"/>
  <c r="W72" i="2"/>
  <c r="W82" i="2" s="1"/>
  <c r="U72" i="2"/>
  <c r="S72" i="2"/>
  <c r="R72" i="2"/>
  <c r="R82" i="2" s="1"/>
  <c r="T72" i="2"/>
  <c r="K72" i="2"/>
  <c r="L72" i="2"/>
  <c r="L82" i="2" s="1"/>
  <c r="L351" i="8" s="1"/>
  <c r="L352" i="8" s="1"/>
  <c r="H22" i="9"/>
  <c r="F117" i="3" s="1"/>
  <c r="L22" i="9"/>
  <c r="F121" i="3" s="1"/>
  <c r="J22" i="9"/>
  <c r="F119" i="3" s="1"/>
  <c r="N667" i="2"/>
  <c r="N268" i="2"/>
  <c r="R34" i="9"/>
  <c r="Q34" i="9"/>
  <c r="AA669" i="2"/>
  <c r="S68" i="2"/>
  <c r="AD68" i="2"/>
  <c r="AD78" i="2" s="1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O792" i="8"/>
  <c r="O793" i="8" s="1"/>
  <c r="M335" i="2"/>
  <c r="M616" i="8"/>
  <c r="M617" i="8" s="1"/>
  <c r="L281" i="2"/>
  <c r="M346" i="2"/>
  <c r="Q267" i="2"/>
  <c r="R267" i="2"/>
  <c r="L265" i="2"/>
  <c r="F331" i="2"/>
  <c r="E300" i="2" s="1"/>
  <c r="U300" i="2" s="1"/>
  <c r="U664" i="8" s="1"/>
  <c r="U665" i="8" s="1"/>
  <c r="AB8" i="2"/>
  <c r="AB135" i="2"/>
  <c r="X194" i="2"/>
  <c r="Q194" i="2"/>
  <c r="O194" i="2"/>
  <c r="AE593" i="2"/>
  <c r="AD593" i="2"/>
  <c r="AC593" i="2"/>
  <c r="AB669" i="2"/>
  <c r="AB270" i="2"/>
  <c r="M816" i="8"/>
  <c r="M817" i="8" s="1"/>
  <c r="N804" i="8"/>
  <c r="N805" i="8" s="1"/>
  <c r="AC8" i="2"/>
  <c r="U15" i="2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51" i="2"/>
  <c r="Q309" i="2"/>
  <c r="O8" i="2"/>
  <c r="O18" i="2" s="1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K604" i="2" s="1"/>
  <c r="AE594" i="2"/>
  <c r="W594" i="2"/>
  <c r="I52" i="2"/>
  <c r="Y95" i="2"/>
  <c r="P100" i="2"/>
  <c r="S127" i="2"/>
  <c r="AC129" i="2"/>
  <c r="R133" i="2"/>
  <c r="M135" i="2"/>
  <c r="S158" i="2"/>
  <c r="T194" i="2"/>
  <c r="T204" i="2" s="1"/>
  <c r="T431" i="8" s="1"/>
  <c r="T432" i="8" s="1"/>
  <c r="O220" i="2"/>
  <c r="W466" i="2"/>
  <c r="N471" i="2"/>
  <c r="K531" i="2"/>
  <c r="Y663" i="2"/>
  <c r="Y264" i="2"/>
  <c r="F657" i="8"/>
  <c r="F629" i="8"/>
  <c r="N347" i="2"/>
  <c r="N620" i="8"/>
  <c r="N621" i="8" s="1"/>
  <c r="O282" i="2"/>
  <c r="L600" i="8"/>
  <c r="L601" i="8" s="1"/>
  <c r="L342" i="2"/>
  <c r="I256" i="2"/>
  <c r="X592" i="8"/>
  <c r="X593" i="8" s="1"/>
  <c r="Y588" i="8"/>
  <c r="Y589" i="8" s="1"/>
  <c r="N1212" i="8"/>
  <c r="N121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U362" i="2"/>
  <c r="U391" i="2" s="1"/>
  <c r="U319" i="2"/>
  <c r="Z588" i="8"/>
  <c r="Z589" i="8" s="1"/>
  <c r="Z299" i="2"/>
  <c r="Z660" i="8" s="1"/>
  <c r="Z661" i="8" s="1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S476" i="2" s="1"/>
  <c r="S486" i="2" s="1"/>
  <c r="AB496" i="2"/>
  <c r="AB477" i="2" s="1"/>
  <c r="AB487" i="2" s="1"/>
  <c r="T496" i="2"/>
  <c r="P531" i="2"/>
  <c r="L282" i="2"/>
  <c r="M620" i="8"/>
  <c r="M621" i="8" s="1"/>
  <c r="L270" i="2"/>
  <c r="F336" i="2"/>
  <c r="E305" i="2" s="1"/>
  <c r="AC708" i="2"/>
  <c r="AC750" i="2"/>
  <c r="M750" i="2"/>
  <c r="M708" i="2"/>
  <c r="I48" i="2"/>
  <c r="O75" i="2"/>
  <c r="O85" i="2" s="1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81" i="2" s="1"/>
  <c r="R496" i="2"/>
  <c r="R483" i="2" s="1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M784" i="8"/>
  <c r="M785" i="8" s="1"/>
  <c r="M376" i="2"/>
  <c r="M908" i="8" s="1"/>
  <c r="M909" i="8" s="1"/>
  <c r="M359" i="2"/>
  <c r="M856" i="8" s="1"/>
  <c r="M857" i="8" s="1"/>
  <c r="P283" i="2"/>
  <c r="O337" i="2"/>
  <c r="O624" i="8"/>
  <c r="O625" i="8" s="1"/>
  <c r="N812" i="8"/>
  <c r="N813" i="8" s="1"/>
  <c r="AA319" i="2"/>
  <c r="AA362" i="2"/>
  <c r="AA391" i="2" s="1"/>
  <c r="O100" i="2"/>
  <c r="Q133" i="2"/>
  <c r="K135" i="2"/>
  <c r="AC193" i="2"/>
  <c r="O193" i="2"/>
  <c r="M193" i="2"/>
  <c r="Z498" i="2"/>
  <c r="O246" i="2"/>
  <c r="O298" i="2" s="1"/>
  <c r="O329" i="2"/>
  <c r="E316" i="2"/>
  <c r="U158" i="2"/>
  <c r="P193" i="2"/>
  <c r="P203" i="2" s="1"/>
  <c r="P427" i="8" s="1"/>
  <c r="P428" i="8" s="1"/>
  <c r="K406" i="2"/>
  <c r="O471" i="2"/>
  <c r="S594" i="2"/>
  <c r="AA299" i="2"/>
  <c r="AA660" i="8" s="1"/>
  <c r="AA661" i="8" s="1"/>
  <c r="S8" i="2"/>
  <c r="AE12" i="2"/>
  <c r="N15" i="2"/>
  <c r="T8" i="2"/>
  <c r="O15" i="2"/>
  <c r="I46" i="2"/>
  <c r="V75" i="2"/>
  <c r="AD97" i="2"/>
  <c r="M129" i="2"/>
  <c r="X133" i="2"/>
  <c r="X143" i="2" s="1"/>
  <c r="X391" i="8" s="1"/>
  <c r="X392" i="8" s="1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O796" i="8"/>
  <c r="O797" i="8" s="1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M25" i="2" s="1"/>
  <c r="S133" i="2"/>
  <c r="S143" i="2" s="1"/>
  <c r="S15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E314" i="2"/>
  <c r="N345" i="2"/>
  <c r="L345" i="2"/>
  <c r="M345" i="2"/>
  <c r="Y300" i="2"/>
  <c r="Y664" i="8" s="1"/>
  <c r="Y665" i="8" s="1"/>
  <c r="O604" i="8"/>
  <c r="O605" i="8" s="1"/>
  <c r="O343" i="2"/>
  <c r="P278" i="2"/>
  <c r="O332" i="2"/>
  <c r="Y266" i="2"/>
  <c r="AE309" i="2"/>
  <c r="AE351" i="2"/>
  <c r="Z645" i="2"/>
  <c r="Z697" i="2" s="1"/>
  <c r="Z728" i="2"/>
  <c r="E709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Z306" i="2"/>
  <c r="Z688" i="8" s="1"/>
  <c r="Z689" i="8" s="1"/>
  <c r="P616" i="8"/>
  <c r="P617" i="8" s="1"/>
  <c r="P346" i="2"/>
  <c r="P335" i="2"/>
  <c r="O812" i="8"/>
  <c r="O813" i="8" s="1"/>
  <c r="W41" i="2"/>
  <c r="X8" i="2"/>
  <c r="R15" i="2"/>
  <c r="L79" i="2"/>
  <c r="L339" i="8" s="1"/>
  <c r="L340" i="8" s="1"/>
  <c r="T83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O330" i="2"/>
  <c r="E716" i="2"/>
  <c r="H736" i="2"/>
  <c r="N747" i="2"/>
  <c r="O747" i="2"/>
  <c r="Y988" i="8"/>
  <c r="Y989" i="8" s="1"/>
  <c r="Y700" i="2"/>
  <c r="Y1064" i="8" s="1"/>
  <c r="Y1065" i="8" s="1"/>
  <c r="Y705" i="2"/>
  <c r="Y1084" i="8" s="1"/>
  <c r="Y1085" i="8" s="1"/>
  <c r="Y702" i="2"/>
  <c r="Y1072" i="8" s="1"/>
  <c r="Y1073" i="8" s="1"/>
  <c r="Y698" i="2"/>
  <c r="Y1056" i="8" s="1"/>
  <c r="Y1057" i="8" s="1"/>
  <c r="O1012" i="8"/>
  <c r="O1013" i="8" s="1"/>
  <c r="O745" i="2"/>
  <c r="P680" i="2"/>
  <c r="AD351" i="2"/>
  <c r="AD309" i="2"/>
  <c r="P246" i="2"/>
  <c r="P298" i="2" s="1"/>
  <c r="P329" i="2"/>
  <c r="O616" i="8"/>
  <c r="O617" i="8" s="1"/>
  <c r="O335" i="2"/>
  <c r="F333" i="2"/>
  <c r="L267" i="2"/>
  <c r="P1020" i="8"/>
  <c r="P1021" i="8" s="1"/>
  <c r="P736" i="2"/>
  <c r="P747" i="2"/>
  <c r="Q682" i="2"/>
  <c r="P984" i="8"/>
  <c r="P985" i="8" s="1"/>
  <c r="N796" i="8"/>
  <c r="N797" i="8" s="1"/>
  <c r="N351" i="2"/>
  <c r="N309" i="2"/>
  <c r="AD329" i="2"/>
  <c r="X362" i="2"/>
  <c r="X391" i="2" s="1"/>
  <c r="X319" i="2"/>
  <c r="L730" i="2"/>
  <c r="L741" i="2"/>
  <c r="E704" i="2"/>
  <c r="H735" i="2"/>
  <c r="M735" i="2"/>
  <c r="N735" i="2"/>
  <c r="M351" i="2"/>
  <c r="M309" i="2"/>
  <c r="E304" i="2"/>
  <c r="N335" i="2"/>
  <c r="S309" i="2"/>
  <c r="W362" i="2"/>
  <c r="W391" i="2" s="1"/>
  <c r="W319" i="2"/>
  <c r="H330" i="2"/>
  <c r="E310" i="2"/>
  <c r="X645" i="2"/>
  <c r="X697" i="2" s="1"/>
  <c r="X728" i="2"/>
  <c r="E710" i="2"/>
  <c r="N741" i="2"/>
  <c r="H730" i="2"/>
  <c r="Q586" i="2"/>
  <c r="AA586" i="2"/>
  <c r="X586" i="2"/>
  <c r="U586" i="2"/>
  <c r="L309" i="2"/>
  <c r="L351" i="2"/>
  <c r="L306" i="2"/>
  <c r="L688" i="8" s="1"/>
  <c r="L689" i="8" s="1"/>
  <c r="N306" i="2"/>
  <c r="N688" i="8" s="1"/>
  <c r="N689" i="8" s="1"/>
  <c r="P600" i="8"/>
  <c r="P601" i="8" s="1"/>
  <c r="P342" i="2"/>
  <c r="Q277" i="2"/>
  <c r="Z617" i="2"/>
  <c r="AB617" i="2"/>
  <c r="Y617" i="2"/>
  <c r="V617" i="2"/>
  <c r="S617" i="2"/>
  <c r="R617" i="2"/>
  <c r="N828" i="8"/>
  <c r="N829" i="8" s="1"/>
  <c r="V708" i="2"/>
  <c r="V750" i="2"/>
  <c r="U761" i="2"/>
  <c r="U790" i="2" s="1"/>
  <c r="U718" i="2"/>
  <c r="N784" i="8"/>
  <c r="N785" i="8" s="1"/>
  <c r="N359" i="2"/>
  <c r="N856" i="8" s="1"/>
  <c r="N857" i="8" s="1"/>
  <c r="L271" i="2"/>
  <c r="G337" i="2"/>
  <c r="O348" i="2" s="1"/>
  <c r="Y718" i="2"/>
  <c r="T761" i="2"/>
  <c r="T790" i="2" s="1"/>
  <c r="T718" i="2"/>
  <c r="M992" i="8"/>
  <c r="M993" i="8" s="1"/>
  <c r="M729" i="2"/>
  <c r="M740" i="2"/>
  <c r="L668" i="2"/>
  <c r="F734" i="2"/>
  <c r="E703" i="2" s="1"/>
  <c r="G733" i="2"/>
  <c r="O744" i="2" s="1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E311" i="2"/>
  <c r="M624" i="8"/>
  <c r="M625" i="8" s="1"/>
  <c r="N596" i="8"/>
  <c r="N597" i="8" s="1"/>
  <c r="M276" i="2"/>
  <c r="N341" i="2"/>
  <c r="T247" i="2"/>
  <c r="T306" i="2" s="1"/>
  <c r="T688" i="8" s="1"/>
  <c r="T689" i="8" s="1"/>
  <c r="E699" i="2"/>
  <c r="AB699" i="2" s="1"/>
  <c r="AB1060" i="8" s="1"/>
  <c r="AB1061" i="8" s="1"/>
  <c r="N730" i="2"/>
  <c r="L984" i="8"/>
  <c r="L985" i="8" s="1"/>
  <c r="F633" i="8"/>
  <c r="V329" i="2"/>
  <c r="L283" i="2"/>
  <c r="N247" i="2"/>
  <c r="X702" i="2"/>
  <c r="X1072" i="8" s="1"/>
  <c r="X1073" i="8" s="1"/>
  <c r="U329" i="2"/>
  <c r="O600" i="8"/>
  <c r="O601" i="8" s="1"/>
  <c r="R271" i="2"/>
  <c r="X299" i="2"/>
  <c r="X660" i="8" s="1"/>
  <c r="X661" i="8" s="1"/>
  <c r="M247" i="2"/>
  <c r="S645" i="2"/>
  <c r="S697" i="2" s="1"/>
  <c r="S728" i="2"/>
  <c r="X705" i="2"/>
  <c r="X1084" i="8" s="1"/>
  <c r="X1085" i="8" s="1"/>
  <c r="F1045" i="8"/>
  <c r="O1020" i="8"/>
  <c r="O1021" i="8" s="1"/>
  <c r="O736" i="2"/>
  <c r="N1012" i="8"/>
  <c r="N1013" i="8" s="1"/>
  <c r="N745" i="2"/>
  <c r="M680" i="2"/>
  <c r="L666" i="2"/>
  <c r="F732" i="2"/>
  <c r="AE984" i="8"/>
  <c r="AE985" i="8" s="1"/>
  <c r="AD750" i="2"/>
  <c r="AD708" i="2"/>
  <c r="S533" i="2"/>
  <c r="X533" i="2"/>
  <c r="P533" i="2"/>
  <c r="AA37" i="9"/>
  <c r="N600" i="8"/>
  <c r="N601" i="8" s="1"/>
  <c r="E711" i="2"/>
  <c r="H731" i="2"/>
  <c r="N742" i="2"/>
  <c r="N1020" i="8"/>
  <c r="N1021" i="8" s="1"/>
  <c r="N736" i="2"/>
  <c r="M682" i="2"/>
  <c r="Y666" i="2"/>
  <c r="Y267" i="2"/>
  <c r="N604" i="8"/>
  <c r="N605" i="8" s="1"/>
  <c r="N343" i="2"/>
  <c r="M600" i="8"/>
  <c r="M601" i="8" s="1"/>
  <c r="M331" i="2"/>
  <c r="Y269" i="2"/>
  <c r="V247" i="2"/>
  <c r="V299" i="2" s="1"/>
  <c r="V660" i="8" s="1"/>
  <c r="V661" i="8" s="1"/>
  <c r="W247" i="2"/>
  <c r="W299" i="2" s="1"/>
  <c r="W660" i="8" s="1"/>
  <c r="W661" i="8" s="1"/>
  <c r="O247" i="2"/>
  <c r="AE247" i="2"/>
  <c r="P247" i="2"/>
  <c r="Q247" i="2"/>
  <c r="R247" i="2"/>
  <c r="S247" i="2"/>
  <c r="M996" i="8"/>
  <c r="M997" i="8" s="1"/>
  <c r="M741" i="2"/>
  <c r="R668" i="2"/>
  <c r="Q668" i="2"/>
  <c r="F1041" i="8"/>
  <c r="R647" i="2"/>
  <c r="R705" i="2" s="1"/>
  <c r="R1084" i="8" s="1"/>
  <c r="R1085" i="8" s="1"/>
  <c r="S647" i="2"/>
  <c r="S705" i="2" s="1"/>
  <c r="S1084" i="8" s="1"/>
  <c r="S1085" i="8" s="1"/>
  <c r="T647" i="2"/>
  <c r="U647" i="2"/>
  <c r="U704" i="2" s="1"/>
  <c r="U1080" i="8" s="1"/>
  <c r="U1081" i="8" s="1"/>
  <c r="V647" i="2"/>
  <c r="N647" i="2"/>
  <c r="N988" i="8" s="1"/>
  <c r="N989" i="8" s="1"/>
  <c r="O647" i="2"/>
  <c r="O988" i="8" s="1"/>
  <c r="O989" i="8" s="1"/>
  <c r="P647" i="2"/>
  <c r="P988" i="8" s="1"/>
  <c r="P989" i="8" s="1"/>
  <c r="Q647" i="2"/>
  <c r="Q698" i="2" s="1"/>
  <c r="Q1056" i="8" s="1"/>
  <c r="Q1057" i="8" s="1"/>
  <c r="W647" i="2"/>
  <c r="N348" i="2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X704" i="2"/>
  <c r="X1080" i="8" s="1"/>
  <c r="X1081" i="8" s="1"/>
  <c r="Y704" i="2"/>
  <c r="Y1080" i="8" s="1"/>
  <c r="Y1081" i="8" s="1"/>
  <c r="V704" i="2"/>
  <c r="V1080" i="8" s="1"/>
  <c r="V1081" i="8" s="1"/>
  <c r="Q664" i="2"/>
  <c r="R664" i="2"/>
  <c r="F645" i="8"/>
  <c r="AB248" i="2"/>
  <c r="AE647" i="2"/>
  <c r="AE703" i="2" s="1"/>
  <c r="AE1076" i="8" s="1"/>
  <c r="AE1077" i="8" s="1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E714" i="2"/>
  <c r="S702" i="2"/>
  <c r="S1072" i="8" s="1"/>
  <c r="S1073" i="8" s="1"/>
  <c r="U702" i="2"/>
  <c r="U1072" i="8" s="1"/>
  <c r="U1073" i="8" s="1"/>
  <c r="V698" i="2"/>
  <c r="V1056" i="8" s="1"/>
  <c r="V1057" i="8" s="1"/>
  <c r="AD647" i="2"/>
  <c r="F653" i="8"/>
  <c r="F1037" i="8"/>
  <c r="AC647" i="2"/>
  <c r="AC988" i="8" s="1"/>
  <c r="AC989" i="8" s="1"/>
  <c r="V728" i="2"/>
  <c r="L663" i="2"/>
  <c r="U728" i="2"/>
  <c r="F1053" i="8"/>
  <c r="F1025" i="8"/>
  <c r="O678" i="2"/>
  <c r="L670" i="2"/>
  <c r="T728" i="2"/>
  <c r="N1008" i="8"/>
  <c r="N1009" i="8" s="1"/>
  <c r="N744" i="2"/>
  <c r="M679" i="2"/>
  <c r="N733" i="2"/>
  <c r="O681" i="2"/>
  <c r="AC646" i="2"/>
  <c r="AC703" i="2" s="1"/>
  <c r="AC1076" i="8" s="1"/>
  <c r="AC1077" i="8" s="1"/>
  <c r="O646" i="2"/>
  <c r="F937" i="8"/>
  <c r="F1033" i="8"/>
  <c r="AB646" i="2"/>
  <c r="AB705" i="2" s="1"/>
  <c r="AB1084" i="8" s="1"/>
  <c r="AB1085" i="8" s="1"/>
  <c r="N646" i="2"/>
  <c r="O676" i="2"/>
  <c r="AA646" i="2"/>
  <c r="M646" i="2"/>
  <c r="M702" i="2" s="1"/>
  <c r="M1072" i="8" s="1"/>
  <c r="M1073" i="8" s="1"/>
  <c r="Z646" i="2"/>
  <c r="Z704" i="2" s="1"/>
  <c r="Z1080" i="8" s="1"/>
  <c r="Z1081" i="8" s="1"/>
  <c r="F945" i="8"/>
  <c r="F1333" i="8"/>
  <c r="F1341" i="8"/>
  <c r="Z478" i="2"/>
  <c r="T11" i="2"/>
  <c r="Z13" i="2"/>
  <c r="AB37" i="2"/>
  <c r="AB18" i="2" s="1"/>
  <c r="Y70" i="2"/>
  <c r="Y80" i="2" s="1"/>
  <c r="Y90" i="2" s="1"/>
  <c r="Z98" i="2"/>
  <c r="S161" i="2"/>
  <c r="P466" i="2"/>
  <c r="X496" i="2"/>
  <c r="X480" i="2" s="1"/>
  <c r="X81" i="2"/>
  <c r="X91" i="2" s="1"/>
  <c r="X217" i="2"/>
  <c r="X204" i="2" s="1"/>
  <c r="AB217" i="2"/>
  <c r="M217" i="2"/>
  <c r="M197" i="2" s="1"/>
  <c r="M403" i="8" s="1"/>
  <c r="M404" i="8" s="1"/>
  <c r="AA217" i="2"/>
  <c r="L217" i="2"/>
  <c r="L204" i="2" s="1"/>
  <c r="Z217" i="2"/>
  <c r="Z198" i="2" s="1"/>
  <c r="Z407" i="8" s="1"/>
  <c r="Z408" i="8" s="1"/>
  <c r="K217" i="2"/>
  <c r="K204" i="2" s="1"/>
  <c r="K431" i="8" s="1"/>
  <c r="W217" i="2"/>
  <c r="W203" i="2" s="1"/>
  <c r="W427" i="8" s="1"/>
  <c r="W428" i="8" s="1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Q201" i="2" s="1"/>
  <c r="Q419" i="8" s="1"/>
  <c r="Q420" i="8" s="1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B138" i="2"/>
  <c r="AB148" i="2" s="1"/>
  <c r="AE217" i="2"/>
  <c r="AD12" i="2"/>
  <c r="AC37" i="2"/>
  <c r="O41" i="2"/>
  <c r="AA70" i="2"/>
  <c r="Z191" i="2"/>
  <c r="AA191" i="2"/>
  <c r="AA201" i="2" s="1"/>
  <c r="AA419" i="8" s="1"/>
  <c r="AA420" i="8" s="1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K23" i="2" s="1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U25" i="2"/>
  <c r="U327" i="8" s="1"/>
  <c r="U328" i="8" s="1"/>
  <c r="L37" i="2"/>
  <c r="Q101" i="2"/>
  <c r="AC157" i="2"/>
  <c r="AC139" i="2" s="1"/>
  <c r="AB157" i="2"/>
  <c r="X157" i="2"/>
  <c r="X139" i="2" s="1"/>
  <c r="Q157" i="2"/>
  <c r="Q138" i="2" s="1"/>
  <c r="Q371" i="8" s="1"/>
  <c r="Q372" i="8" s="1"/>
  <c r="P157" i="2"/>
  <c r="N191" i="2"/>
  <c r="Y408" i="2"/>
  <c r="AE408" i="2"/>
  <c r="AE418" i="2" s="1"/>
  <c r="AD408" i="2"/>
  <c r="AC408" i="2"/>
  <c r="U408" i="2"/>
  <c r="M408" i="2"/>
  <c r="S408" i="2"/>
  <c r="S418" i="2" s="1"/>
  <c r="N408" i="2"/>
  <c r="Q7" i="2"/>
  <c r="U18" i="2"/>
  <c r="W11" i="2"/>
  <c r="AD11" i="2"/>
  <c r="N11" i="2"/>
  <c r="AC11" i="2"/>
  <c r="AB11" i="2"/>
  <c r="L11" i="2"/>
  <c r="Z11" i="2"/>
  <c r="AE11" i="2"/>
  <c r="M37" i="2"/>
  <c r="P39" i="2"/>
  <c r="T41" i="2"/>
  <c r="K71" i="2"/>
  <c r="Y84" i="2"/>
  <c r="Y94" i="2" s="1"/>
  <c r="Z101" i="2"/>
  <c r="N157" i="2"/>
  <c r="N139" i="2" s="1"/>
  <c r="N160" i="2"/>
  <c r="O191" i="2"/>
  <c r="N221" i="2"/>
  <c r="AE417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D145" i="2" s="1"/>
  <c r="AD399" i="8" s="1"/>
  <c r="AD400" i="8" s="1"/>
  <c r="AB160" i="2"/>
  <c r="AD191" i="2"/>
  <c r="O217" i="2"/>
  <c r="O200" i="2" s="1"/>
  <c r="O415" i="8" s="1"/>
  <c r="O416" i="8" s="1"/>
  <c r="AA221" i="2"/>
  <c r="O408" i="2"/>
  <c r="X436" i="2"/>
  <c r="X417" i="2" s="1"/>
  <c r="W436" i="2"/>
  <c r="W419" i="2" s="1"/>
  <c r="V436" i="2"/>
  <c r="V420" i="2" s="1"/>
  <c r="T436" i="2"/>
  <c r="T420" i="2" s="1"/>
  <c r="L436" i="2"/>
  <c r="AB436" i="2"/>
  <c r="AB424" i="2" s="1"/>
  <c r="S436" i="2"/>
  <c r="V440" i="2"/>
  <c r="Y500" i="2"/>
  <c r="X500" i="2"/>
  <c r="W500" i="2"/>
  <c r="P500" i="2"/>
  <c r="AA500" i="2"/>
  <c r="W7" i="2"/>
  <c r="R71" i="2"/>
  <c r="P37" i="2"/>
  <c r="P18" i="2" s="1"/>
  <c r="R99" i="2"/>
  <c r="M11" i="2"/>
  <c r="M13" i="2"/>
  <c r="S39" i="2"/>
  <c r="Y41" i="2"/>
  <c r="T71" i="2"/>
  <c r="T81" i="2" s="1"/>
  <c r="AE75" i="2"/>
  <c r="AA75" i="2"/>
  <c r="P75" i="2"/>
  <c r="AC75" i="2"/>
  <c r="W75" i="2"/>
  <c r="W85" i="2" s="1"/>
  <c r="W95" i="2" s="1"/>
  <c r="X98" i="2"/>
  <c r="AE98" i="2"/>
  <c r="P98" i="2"/>
  <c r="AD98" i="2"/>
  <c r="O98" i="2"/>
  <c r="O95" i="2" s="1"/>
  <c r="AC98" i="2"/>
  <c r="N98" i="2"/>
  <c r="AA98" i="2"/>
  <c r="L98" i="2"/>
  <c r="U98" i="2"/>
  <c r="U89" i="2" s="1"/>
  <c r="W98" i="2"/>
  <c r="V98" i="2"/>
  <c r="T98" i="2"/>
  <c r="T93" i="2" s="1"/>
  <c r="R98" i="2"/>
  <c r="T99" i="2"/>
  <c r="Q139" i="2"/>
  <c r="Q375" i="8" s="1"/>
  <c r="Q376" i="8" s="1"/>
  <c r="AC160" i="2"/>
  <c r="O188" i="2"/>
  <c r="L188" i="2"/>
  <c r="L198" i="2" s="1"/>
  <c r="AD188" i="2"/>
  <c r="U188" i="2"/>
  <c r="S188" i="2"/>
  <c r="R188" i="2"/>
  <c r="R198" i="2" s="1"/>
  <c r="R407" i="8" s="1"/>
  <c r="R408" i="8" s="1"/>
  <c r="Q188" i="2"/>
  <c r="AE191" i="2"/>
  <c r="P217" i="2"/>
  <c r="P199" i="2" s="1"/>
  <c r="P411" i="8" s="1"/>
  <c r="P412" i="8" s="1"/>
  <c r="L473" i="2"/>
  <c r="L500" i="2"/>
  <c r="X37" i="2"/>
  <c r="X25" i="2" s="1"/>
  <c r="T37" i="2"/>
  <c r="T18" i="2" s="1"/>
  <c r="S37" i="2"/>
  <c r="S18" i="2" s="1"/>
  <c r="Q37" i="2"/>
  <c r="AE37" i="2"/>
  <c r="AE22" i="2" s="1"/>
  <c r="O37" i="2"/>
  <c r="N417" i="2"/>
  <c r="P408" i="2"/>
  <c r="N436" i="2"/>
  <c r="AD440" i="2"/>
  <c r="O11" i="2"/>
  <c r="L12" i="2"/>
  <c r="L22" i="2" s="1"/>
  <c r="L315" i="8" s="1"/>
  <c r="L316" i="8" s="1"/>
  <c r="N13" i="2"/>
  <c r="V37" i="2"/>
  <c r="V22" i="2" s="1"/>
  <c r="U39" i="2"/>
  <c r="AA41" i="2"/>
  <c r="Y79" i="2"/>
  <c r="Y89" i="2" s="1"/>
  <c r="V71" i="2"/>
  <c r="U82" i="2"/>
  <c r="U351" i="8" s="1"/>
  <c r="U352" i="8" s="1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P419" i="2" s="1"/>
  <c r="AE440" i="2"/>
  <c r="M473" i="2"/>
  <c r="V496" i="2"/>
  <c r="P496" i="2"/>
  <c r="P477" i="2" s="1"/>
  <c r="O496" i="2"/>
  <c r="M496" i="2"/>
  <c r="M481" i="2" s="1"/>
  <c r="AD496" i="2"/>
  <c r="K496" i="2"/>
  <c r="W496" i="2"/>
  <c r="W476" i="2" s="1"/>
  <c r="AE496" i="2"/>
  <c r="AA496" i="2"/>
  <c r="U496" i="2"/>
  <c r="U478" i="2" s="1"/>
  <c r="U488" i="2" s="1"/>
  <c r="M500" i="2"/>
  <c r="T534" i="2"/>
  <c r="V534" i="2"/>
  <c r="Q534" i="2"/>
  <c r="N534" i="2"/>
  <c r="P11" i="2"/>
  <c r="N12" i="2"/>
  <c r="R13" i="2"/>
  <c r="AD25" i="2"/>
  <c r="AD35" i="2" s="1"/>
  <c r="W37" i="2"/>
  <c r="W21" i="2" s="1"/>
  <c r="U78" i="2"/>
  <c r="Z71" i="2"/>
  <c r="M75" i="2"/>
  <c r="M85" i="2" s="1"/>
  <c r="M98" i="2"/>
  <c r="W100" i="2"/>
  <c r="AE100" i="2"/>
  <c r="AC100" i="2"/>
  <c r="Z100" i="2"/>
  <c r="K100" i="2"/>
  <c r="S139" i="2"/>
  <c r="S149" i="2" s="1"/>
  <c r="R158" i="2"/>
  <c r="P188" i="2"/>
  <c r="AE192" i="2"/>
  <c r="AE202" i="2" s="1"/>
  <c r="AE212" i="2" s="1"/>
  <c r="AB192" i="2"/>
  <c r="AB202" i="2" s="1"/>
  <c r="W192" i="2"/>
  <c r="T192" i="2"/>
  <c r="T202" i="2" s="1"/>
  <c r="T423" i="8" s="1"/>
  <c r="T424" i="8" s="1"/>
  <c r="AE204" i="2"/>
  <c r="AE214" i="2" s="1"/>
  <c r="Y217" i="2"/>
  <c r="Y197" i="2" s="1"/>
  <c r="Y207" i="2" s="1"/>
  <c r="Q406" i="2"/>
  <c r="O406" i="2"/>
  <c r="N406" i="2"/>
  <c r="AE406" i="2"/>
  <c r="AE416" i="2" s="1"/>
  <c r="L406" i="2"/>
  <c r="W406" i="2"/>
  <c r="Y406" i="2"/>
  <c r="U406" i="2"/>
  <c r="U416" i="2" s="1"/>
  <c r="T406" i="2"/>
  <c r="R406" i="2"/>
  <c r="Q436" i="2"/>
  <c r="Q419" i="2" s="1"/>
  <c r="Q429" i="2" s="1"/>
  <c r="L496" i="2"/>
  <c r="L479" i="2" s="1"/>
  <c r="L489" i="2" s="1"/>
  <c r="Q500" i="2"/>
  <c r="AC532" i="2"/>
  <c r="AB532" i="2"/>
  <c r="U532" i="2"/>
  <c r="Y532" i="2"/>
  <c r="X532" i="2"/>
  <c r="Q99" i="2"/>
  <c r="P440" i="2"/>
  <c r="Q473" i="2"/>
  <c r="V473" i="2"/>
  <c r="U473" i="2"/>
  <c r="U483" i="2" s="1"/>
  <c r="T473" i="2"/>
  <c r="T483" i="2" s="1"/>
  <c r="T493" i="2" s="1"/>
  <c r="R473" i="2"/>
  <c r="AD473" i="2"/>
  <c r="Z473" i="2"/>
  <c r="Z483" i="2" s="1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R200" i="2" s="1"/>
  <c r="R415" i="8" s="1"/>
  <c r="R416" i="8" s="1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N25" i="2" s="1"/>
  <c r="X142" i="2"/>
  <c r="V221" i="2"/>
  <c r="X7" i="2"/>
  <c r="L18" i="2"/>
  <c r="O12" i="2"/>
  <c r="AA71" i="2"/>
  <c r="R12" i="2"/>
  <c r="X13" i="2"/>
  <c r="Z37" i="2"/>
  <c r="U75" i="2"/>
  <c r="S98" i="2"/>
  <c r="M161" i="2"/>
  <c r="X188" i="2"/>
  <c r="AD217" i="2"/>
  <c r="Y436" i="2"/>
  <c r="Y424" i="2" s="1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N81" i="2" s="1"/>
  <c r="N347" i="8" s="1"/>
  <c r="N348" i="8" s="1"/>
  <c r="AC71" i="2"/>
  <c r="L71" i="2"/>
  <c r="L81" i="2" s="1"/>
  <c r="L347" i="8" s="1"/>
  <c r="L348" i="8" s="1"/>
  <c r="U71" i="2"/>
  <c r="U81" i="2" s="1"/>
  <c r="Q71" i="2"/>
  <c r="O71" i="2"/>
  <c r="O81" i="2" s="1"/>
  <c r="M71" i="2"/>
  <c r="M81" i="2" s="1"/>
  <c r="AA101" i="2"/>
  <c r="Q191" i="2"/>
  <c r="L13" i="2"/>
  <c r="L23" i="2" s="1"/>
  <c r="T12" i="2"/>
  <c r="Y13" i="2"/>
  <c r="AA37" i="2"/>
  <c r="AA18" i="2" s="1"/>
  <c r="AA299" i="8" s="1"/>
  <c r="AA300" i="8" s="1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Z599" i="2" s="1"/>
  <c r="Z609" i="2" s="1"/>
  <c r="V589" i="2"/>
  <c r="Y589" i="2"/>
  <c r="X589" i="2"/>
  <c r="U589" i="2"/>
  <c r="S589" i="2"/>
  <c r="AE195" i="2"/>
  <c r="AE205" i="2" s="1"/>
  <c r="AE435" i="8" s="1"/>
  <c r="AE436" i="8" s="1"/>
  <c r="Z195" i="2"/>
  <c r="Y439" i="2"/>
  <c r="X439" i="2"/>
  <c r="W439" i="2"/>
  <c r="U439" i="2"/>
  <c r="L439" i="2"/>
  <c r="T477" i="2"/>
  <c r="T487" i="2" s="1"/>
  <c r="Z558" i="2"/>
  <c r="V597" i="2"/>
  <c r="Z8" i="2"/>
  <c r="Z18" i="2" s="1"/>
  <c r="Z28" i="2" s="1"/>
  <c r="V15" i="2"/>
  <c r="V25" i="2" s="1"/>
  <c r="Y38" i="2"/>
  <c r="M79" i="2"/>
  <c r="Z127" i="2"/>
  <c r="T127" i="2"/>
  <c r="W132" i="2"/>
  <c r="V132" i="2"/>
  <c r="U132" i="2"/>
  <c r="T132" i="2"/>
  <c r="R132" i="2"/>
  <c r="AB132" i="2"/>
  <c r="AB142" i="2" s="1"/>
  <c r="M132" i="2"/>
  <c r="AD132" i="2"/>
  <c r="X187" i="2"/>
  <c r="X197" i="2" s="1"/>
  <c r="Q187" i="2"/>
  <c r="O187" i="2"/>
  <c r="N187" i="2"/>
  <c r="L187" i="2"/>
  <c r="Z187" i="2"/>
  <c r="Q195" i="2"/>
  <c r="AA409" i="2"/>
  <c r="T414" i="2"/>
  <c r="W414" i="2"/>
  <c r="V414" i="2"/>
  <c r="V424" i="2" s="1"/>
  <c r="U414" i="2"/>
  <c r="U424" i="2" s="1"/>
  <c r="R414" i="2"/>
  <c r="AC414" i="2"/>
  <c r="M414" i="2"/>
  <c r="AE414" i="2"/>
  <c r="AE424" i="2" s="1"/>
  <c r="O439" i="2"/>
  <c r="S468" i="2"/>
  <c r="P468" i="2"/>
  <c r="O468" i="2"/>
  <c r="M468" i="2"/>
  <c r="M478" i="2" s="1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V598" i="2" s="1"/>
  <c r="R616" i="2"/>
  <c r="R604" i="2" s="1"/>
  <c r="R614" i="2" s="1"/>
  <c r="Z15" i="2"/>
  <c r="AB38" i="2"/>
  <c r="AB68" i="2"/>
  <c r="AE68" i="2"/>
  <c r="W68" i="2"/>
  <c r="W78" i="2" s="1"/>
  <c r="M68" i="2"/>
  <c r="M78" i="2" s="1"/>
  <c r="M335" i="8" s="1"/>
  <c r="M336" i="8" s="1"/>
  <c r="AE74" i="2"/>
  <c r="AD74" i="2"/>
  <c r="Z74" i="2"/>
  <c r="S195" i="2"/>
  <c r="S439" i="2"/>
  <c r="AE559" i="2"/>
  <c r="Y559" i="2"/>
  <c r="V559" i="2"/>
  <c r="P559" i="2"/>
  <c r="N559" i="2"/>
  <c r="Q616" i="2"/>
  <c r="Q604" i="2" s="1"/>
  <c r="S137" i="2"/>
  <c r="AB139" i="2"/>
  <c r="AB149" i="2" s="1"/>
  <c r="AB199" i="2"/>
  <c r="AB411" i="8" s="1"/>
  <c r="AB412" i="8" s="1"/>
  <c r="Q204" i="2"/>
  <c r="Q431" i="8" s="1"/>
  <c r="Q432" i="8" s="1"/>
  <c r="AD195" i="2"/>
  <c r="V409" i="2"/>
  <c r="U409" i="2"/>
  <c r="U419" i="2" s="1"/>
  <c r="T409" i="2"/>
  <c r="T419" i="2" s="1"/>
  <c r="R409" i="2"/>
  <c r="AC409" i="2"/>
  <c r="L409" i="2"/>
  <c r="V439" i="2"/>
  <c r="AB592" i="2"/>
  <c r="AB602" i="2" s="1"/>
  <c r="S616" i="2"/>
  <c r="S599" i="2" s="1"/>
  <c r="I224" i="2"/>
  <c r="I44" i="2"/>
  <c r="N8" i="2"/>
  <c r="AD8" i="2"/>
  <c r="AD18" i="2" s="1"/>
  <c r="AD28" i="2" s="1"/>
  <c r="L15" i="2"/>
  <c r="L25" i="2" s="1"/>
  <c r="L35" i="2" s="1"/>
  <c r="AB15" i="2"/>
  <c r="L38" i="2"/>
  <c r="Q68" i="2"/>
  <c r="M82" i="2"/>
  <c r="Q74" i="2"/>
  <c r="V127" i="2"/>
  <c r="N132" i="2"/>
  <c r="N142" i="2" s="1"/>
  <c r="S187" i="2"/>
  <c r="Y410" i="2"/>
  <c r="P410" i="2"/>
  <c r="N410" i="2"/>
  <c r="N420" i="2" s="1"/>
  <c r="M410" i="2"/>
  <c r="AC410" i="2"/>
  <c r="AB412" i="2"/>
  <c r="Y412" i="2"/>
  <c r="P412" i="2"/>
  <c r="N414" i="2"/>
  <c r="N424" i="2" s="1"/>
  <c r="Z439" i="2"/>
  <c r="T468" i="2"/>
  <c r="T478" i="2" s="1"/>
  <c r="T488" i="2" s="1"/>
  <c r="P470" i="2"/>
  <c r="P480" i="2" s="1"/>
  <c r="X530" i="2"/>
  <c r="U530" i="2"/>
  <c r="T530" i="2"/>
  <c r="R530" i="2"/>
  <c r="P530" i="2"/>
  <c r="O530" i="2"/>
  <c r="N530" i="2"/>
  <c r="AC530" i="2"/>
  <c r="K530" i="2"/>
  <c r="U616" i="2"/>
  <c r="U596" i="2" s="1"/>
  <c r="W533" i="2"/>
  <c r="L533" i="2"/>
  <c r="AD533" i="2"/>
  <c r="K533" i="2"/>
  <c r="AC533" i="2"/>
  <c r="AA533" i="2"/>
  <c r="Z533" i="2"/>
  <c r="Y533" i="2"/>
  <c r="R533" i="2"/>
  <c r="R543" i="2" s="1"/>
  <c r="R553" i="2" s="1"/>
  <c r="AA558" i="2"/>
  <c r="Y558" i="2"/>
  <c r="W558" i="2"/>
  <c r="V558" i="2"/>
  <c r="U558" i="2"/>
  <c r="T558" i="2"/>
  <c r="S558" i="2"/>
  <c r="R558" i="2"/>
  <c r="AE558" i="2"/>
  <c r="O558" i="2"/>
  <c r="Z590" i="2"/>
  <c r="Z600" i="2" s="1"/>
  <c r="Z610" i="2" s="1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Q597" i="2"/>
  <c r="Q607" i="2" s="1"/>
  <c r="N69" i="2"/>
  <c r="N79" i="2" s="1"/>
  <c r="Q72" i="2"/>
  <c r="AC97" i="2"/>
  <c r="P128" i="2"/>
  <c r="O129" i="2"/>
  <c r="AE129" i="2"/>
  <c r="V189" i="2"/>
  <c r="R193" i="2"/>
  <c r="R203" i="2" s="1"/>
  <c r="N194" i="2"/>
  <c r="V219" i="2"/>
  <c r="T220" i="2"/>
  <c r="R407" i="2"/>
  <c r="R438" i="2"/>
  <c r="Y467" i="2"/>
  <c r="P469" i="2"/>
  <c r="AE469" i="2"/>
  <c r="AE479" i="2" s="1"/>
  <c r="S471" i="2"/>
  <c r="S481" i="2" s="1"/>
  <c r="S491" i="2" s="1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W8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Y82" i="2" s="1"/>
  <c r="Q143" i="2"/>
  <c r="Q391" i="8" s="1"/>
  <c r="Q392" i="8" s="1"/>
  <c r="AA199" i="2"/>
  <c r="AA411" i="8" s="1"/>
  <c r="AA412" i="8" s="1"/>
  <c r="Z194" i="2"/>
  <c r="Z204" i="2" s="1"/>
  <c r="Z431" i="8" s="1"/>
  <c r="Z432" i="8" s="1"/>
  <c r="AD220" i="2"/>
  <c r="AC407" i="2"/>
  <c r="AA438" i="2"/>
  <c r="X469" i="2"/>
  <c r="Y526" i="2"/>
  <c r="M531" i="2"/>
  <c r="AC531" i="2"/>
  <c r="M557" i="2"/>
  <c r="AD557" i="2"/>
  <c r="O586" i="2"/>
  <c r="N618" i="2"/>
  <c r="T481" i="2"/>
  <c r="T491" i="2" s="1"/>
  <c r="N531" i="2"/>
  <c r="AD531" i="2"/>
  <c r="N557" i="2"/>
  <c r="AE557" i="2"/>
  <c r="P586" i="2"/>
  <c r="O618" i="2"/>
  <c r="P85" i="2"/>
  <c r="Z129" i="2"/>
  <c r="K199" i="2"/>
  <c r="K209" i="2" s="1"/>
  <c r="AB194" i="2"/>
  <c r="AB204" i="2" s="1"/>
  <c r="N219" i="2"/>
  <c r="K407" i="2"/>
  <c r="L438" i="2"/>
  <c r="AD438" i="2"/>
  <c r="N467" i="2"/>
  <c r="K469" i="2"/>
  <c r="Z469" i="2"/>
  <c r="Z479" i="2" s="1"/>
  <c r="L497" i="2"/>
  <c r="O531" i="2"/>
  <c r="AE531" i="2"/>
  <c r="O557" i="2"/>
  <c r="AC560" i="2"/>
  <c r="K587" i="2"/>
  <c r="V591" i="2"/>
  <c r="V601" i="2" s="1"/>
  <c r="N617" i="2"/>
  <c r="P618" i="2"/>
  <c r="L10" i="2"/>
  <c r="L20" i="2" s="1"/>
  <c r="K14" i="2"/>
  <c r="O67" i="2"/>
  <c r="O77" i="2" s="1"/>
  <c r="O87" i="2" s="1"/>
  <c r="AE7" i="2"/>
  <c r="R14" i="2"/>
  <c r="O40" i="2"/>
  <c r="R73" i="2"/>
  <c r="R83" i="2" s="1"/>
  <c r="AD73" i="2"/>
  <c r="V73" i="2"/>
  <c r="U73" i="2"/>
  <c r="U83" i="2" s="1"/>
  <c r="AE73" i="2"/>
  <c r="O73" i="2"/>
  <c r="O83" i="2" s="1"/>
  <c r="O93" i="2" s="1"/>
  <c r="AB73" i="2"/>
  <c r="M73" i="2"/>
  <c r="M83" i="2" s="1"/>
  <c r="M93" i="2" s="1"/>
  <c r="N73" i="2"/>
  <c r="N83" i="2" s="1"/>
  <c r="L73" i="2"/>
  <c r="L83" i="2" s="1"/>
  <c r="L355" i="8" s="1"/>
  <c r="L356" i="8" s="1"/>
  <c r="Y73" i="2"/>
  <c r="Y83" i="2" s="1"/>
  <c r="X73" i="2"/>
  <c r="X83" i="2" s="1"/>
  <c r="W73" i="2"/>
  <c r="W83" i="2" s="1"/>
  <c r="Q73" i="2"/>
  <c r="P73" i="2"/>
  <c r="P83" i="2" s="1"/>
  <c r="R9" i="2"/>
  <c r="U10" i="2"/>
  <c r="U20" i="2" s="1"/>
  <c r="O21" i="2"/>
  <c r="O311" i="8" s="1"/>
  <c r="O312" i="8" s="1"/>
  <c r="X67" i="2"/>
  <c r="X77" i="2" s="1"/>
  <c r="S9" i="2"/>
  <c r="V10" i="2"/>
  <c r="V20" i="2" s="1"/>
  <c r="V30" i="2" s="1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Y77" i="2" s="1"/>
  <c r="Y87" i="2" s="1"/>
  <c r="Z73" i="2"/>
  <c r="W40" i="2"/>
  <c r="AA7" i="2"/>
  <c r="M7" i="2"/>
  <c r="U7" i="2"/>
  <c r="U17" i="2" s="1"/>
  <c r="U295" i="8" s="1"/>
  <c r="U296" i="8" s="1"/>
  <c r="S7" i="2"/>
  <c r="AD7" i="2"/>
  <c r="AD17" i="2" s="1"/>
  <c r="AD27" i="2" s="1"/>
  <c r="L7" i="2"/>
  <c r="L17" i="2" s="1"/>
  <c r="L27" i="2" s="1"/>
  <c r="AC7" i="2"/>
  <c r="K7" i="2"/>
  <c r="K17" i="2" s="1"/>
  <c r="K27" i="2" s="1"/>
  <c r="V7" i="2"/>
  <c r="V17" i="2" s="1"/>
  <c r="V27" i="2" s="1"/>
  <c r="T7" i="2"/>
  <c r="R7" i="2"/>
  <c r="Z14" i="2"/>
  <c r="T70" i="2"/>
  <c r="T80" i="2" s="1"/>
  <c r="S70" i="2"/>
  <c r="AB70" i="2"/>
  <c r="N70" i="2"/>
  <c r="N80" i="2" s="1"/>
  <c r="N343" i="8" s="1"/>
  <c r="N344" i="8" s="1"/>
  <c r="Z70" i="2"/>
  <c r="L70" i="2"/>
  <c r="L80" i="2" s="1"/>
  <c r="O70" i="2"/>
  <c r="O80" i="2" s="1"/>
  <c r="O90" i="2" s="1"/>
  <c r="M70" i="2"/>
  <c r="M80" i="2" s="1"/>
  <c r="X70" i="2"/>
  <c r="X80" i="2" s="1"/>
  <c r="X90" i="2" s="1"/>
  <c r="W70" i="2"/>
  <c r="W80" i="2" s="1"/>
  <c r="W90" i="2" s="1"/>
  <c r="V70" i="2"/>
  <c r="V80" i="2" s="1"/>
  <c r="Q70" i="2"/>
  <c r="P70" i="2"/>
  <c r="P80" i="2" s="1"/>
  <c r="L431" i="8"/>
  <c r="L432" i="8" s="1"/>
  <c r="R427" i="8"/>
  <c r="R428" i="8" s="1"/>
  <c r="S375" i="8"/>
  <c r="S376" i="8" s="1"/>
  <c r="W355" i="8"/>
  <c r="W356" i="8" s="1"/>
  <c r="T363" i="8"/>
  <c r="T364" i="8" s="1"/>
  <c r="L407" i="8"/>
  <c r="L408" i="8" s="1"/>
  <c r="U339" i="8"/>
  <c r="U340" i="8" s="1"/>
  <c r="O355" i="8"/>
  <c r="O356" i="8" s="1"/>
  <c r="AC375" i="8"/>
  <c r="AC376" i="8" s="1"/>
  <c r="P363" i="8"/>
  <c r="P364" i="8" s="1"/>
  <c r="N355" i="8"/>
  <c r="N356" i="8" s="1"/>
  <c r="O343" i="8"/>
  <c r="O344" i="8" s="1"/>
  <c r="X375" i="8"/>
  <c r="X376" i="8" s="1"/>
  <c r="U315" i="8"/>
  <c r="U316" i="8" s="1"/>
  <c r="AB371" i="8"/>
  <c r="AB372" i="8" s="1"/>
  <c r="L319" i="8"/>
  <c r="L320" i="8" s="1"/>
  <c r="K123" i="8"/>
  <c r="U299" i="8"/>
  <c r="U300" i="8" s="1"/>
  <c r="AB375" i="8"/>
  <c r="AB376" i="8" s="1"/>
  <c r="K319" i="8"/>
  <c r="T355" i="8"/>
  <c r="T356" i="8" s="1"/>
  <c r="M351" i="8"/>
  <c r="M352" i="8" s="1"/>
  <c r="O347" i="8"/>
  <c r="O348" i="8" s="1"/>
  <c r="N375" i="8"/>
  <c r="N376" i="8" s="1"/>
  <c r="L343" i="8"/>
  <c r="L344" i="8" s="1"/>
  <c r="K147" i="8"/>
  <c r="L143" i="8"/>
  <c r="L144" i="8" s="1"/>
  <c r="L147" i="8"/>
  <c r="L148" i="8" s="1"/>
  <c r="Y363" i="8"/>
  <c r="Y364" i="8" s="1"/>
  <c r="W339" i="8"/>
  <c r="W340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O363" i="8"/>
  <c r="O364" i="8" s="1"/>
  <c r="L11" i="8"/>
  <c r="L12" i="8" s="1"/>
  <c r="K7" i="8"/>
  <c r="K8" i="8" s="1"/>
  <c r="U307" i="8"/>
  <c r="U30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AD327" i="8"/>
  <c r="AD328" i="8" s="1"/>
  <c r="L23" i="8"/>
  <c r="L24" i="8" s="1"/>
  <c r="N7" i="2"/>
  <c r="AB23" i="2"/>
  <c r="AC14" i="2"/>
  <c r="AC24" i="2" s="1"/>
  <c r="AD40" i="2"/>
  <c r="K70" i="2"/>
  <c r="V74" i="2"/>
  <c r="T74" i="2"/>
  <c r="T84" i="2" s="1"/>
  <c r="AC74" i="2"/>
  <c r="AC84" i="2" s="1"/>
  <c r="M74" i="2"/>
  <c r="M84" i="2" s="1"/>
  <c r="AB74" i="2"/>
  <c r="AB84" i="2" s="1"/>
  <c r="L74" i="2"/>
  <c r="L84" i="2" s="1"/>
  <c r="W74" i="2"/>
  <c r="W84" i="2" s="1"/>
  <c r="S74" i="2"/>
  <c r="K74" i="2"/>
  <c r="X74" i="2"/>
  <c r="X84" i="2" s="1"/>
  <c r="X94" i="2" s="1"/>
  <c r="U74" i="2"/>
  <c r="U84" i="2" s="1"/>
  <c r="R74" i="2"/>
  <c r="R84" i="2" s="1"/>
  <c r="O74" i="2"/>
  <c r="O84" i="2" s="1"/>
  <c r="N74" i="2"/>
  <c r="N84" i="2" s="1"/>
  <c r="Y10" i="2"/>
  <c r="K10" i="2"/>
  <c r="K20" i="2" s="1"/>
  <c r="K30" i="2" s="1"/>
  <c r="S10" i="2"/>
  <c r="S20" i="2" s="1"/>
  <c r="S30" i="2" s="1"/>
  <c r="AE10" i="2"/>
  <c r="Q10" i="2"/>
  <c r="Z10" i="2"/>
  <c r="Z20" i="2" s="1"/>
  <c r="X10" i="2"/>
  <c r="P10" i="2"/>
  <c r="O10" i="2"/>
  <c r="O20" i="2" s="1"/>
  <c r="O307" i="8" s="1"/>
  <c r="O308" i="8" s="1"/>
  <c r="N10" i="2"/>
  <c r="U9" i="2"/>
  <c r="U19" i="2" s="1"/>
  <c r="AC9" i="2"/>
  <c r="AC19" i="2" s="1"/>
  <c r="O9" i="2"/>
  <c r="AA9" i="2"/>
  <c r="M9" i="2"/>
  <c r="N9" i="2"/>
  <c r="AE9" i="2"/>
  <c r="L9" i="2"/>
  <c r="L19" i="2" s="1"/>
  <c r="W9" i="2"/>
  <c r="V9" i="2"/>
  <c r="V19" i="2" s="1"/>
  <c r="V29" i="2" s="1"/>
  <c r="T9" i="2"/>
  <c r="V67" i="2"/>
  <c r="U67" i="2"/>
  <c r="U77" i="2" s="1"/>
  <c r="U87" i="2" s="1"/>
  <c r="AD67" i="2"/>
  <c r="P67" i="2"/>
  <c r="P77" i="2" s="1"/>
  <c r="AB67" i="2"/>
  <c r="N67" i="2"/>
  <c r="N77" i="2" s="1"/>
  <c r="AE67" i="2"/>
  <c r="K67" i="2"/>
  <c r="AC67" i="2"/>
  <c r="AC77" i="2" s="1"/>
  <c r="T67" i="2"/>
  <c r="T77" i="2" s="1"/>
  <c r="T87" i="2" s="1"/>
  <c r="S67" i="2"/>
  <c r="R67" i="2"/>
  <c r="R77" i="2" s="1"/>
  <c r="M67" i="2"/>
  <c r="M77" i="2" s="1"/>
  <c r="L67" i="2"/>
  <c r="L77" i="2" s="1"/>
  <c r="L87" i="2" s="1"/>
  <c r="AA10" i="2"/>
  <c r="AB40" i="2"/>
  <c r="Z9" i="2"/>
  <c r="Z19" i="2" s="1"/>
  <c r="R70" i="2"/>
  <c r="R80" i="2" s="1"/>
  <c r="U85" i="2"/>
  <c r="U95" i="2" s="1"/>
  <c r="AC130" i="2"/>
  <c r="O130" i="2"/>
  <c r="AA130" i="2"/>
  <c r="M130" i="2"/>
  <c r="V130" i="2"/>
  <c r="V140" i="2" s="1"/>
  <c r="U130" i="2"/>
  <c r="T130" i="2"/>
  <c r="P130" i="2"/>
  <c r="P140" i="2" s="1"/>
  <c r="AD130" i="2"/>
  <c r="L130" i="2"/>
  <c r="X130" i="2"/>
  <c r="X140" i="2" s="1"/>
  <c r="X150" i="2" s="1"/>
  <c r="W130" i="2"/>
  <c r="Q130" i="2"/>
  <c r="Q140" i="2" s="1"/>
  <c r="N130" i="2"/>
  <c r="N140" i="2" s="1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N144" i="2" s="1"/>
  <c r="AD134" i="2"/>
  <c r="L134" i="2"/>
  <c r="Y134" i="2"/>
  <c r="X134" i="2"/>
  <c r="X144" i="2" s="1"/>
  <c r="P134" i="2"/>
  <c r="P144" i="2" s="1"/>
  <c r="M134" i="2"/>
  <c r="K134" i="2"/>
  <c r="AB134" i="2"/>
  <c r="AB144" i="2" s="1"/>
  <c r="S134" i="2"/>
  <c r="S144" i="2" s="1"/>
  <c r="S154" i="2" s="1"/>
  <c r="R134" i="2"/>
  <c r="AA14" i="2"/>
  <c r="M14" i="2"/>
  <c r="U14" i="2"/>
  <c r="U24" i="2" s="1"/>
  <c r="S14" i="2"/>
  <c r="S24" i="2" s="1"/>
  <c r="AE14" i="2"/>
  <c r="N14" i="2"/>
  <c r="AD14" i="2"/>
  <c r="AD24" i="2" s="1"/>
  <c r="L14" i="2"/>
  <c r="L24" i="2" s="1"/>
  <c r="L34" i="2" s="1"/>
  <c r="W14" i="2"/>
  <c r="V14" i="2"/>
  <c r="V24" i="2" s="1"/>
  <c r="T14" i="2"/>
  <c r="X9" i="2"/>
  <c r="W10" i="2"/>
  <c r="Y14" i="2"/>
  <c r="AA73" i="2"/>
  <c r="Y9" i="2"/>
  <c r="AA67" i="2"/>
  <c r="AC73" i="2"/>
  <c r="AB10" i="2"/>
  <c r="L63" i="2"/>
  <c r="O7" i="2"/>
  <c r="O17" i="2" s="1"/>
  <c r="AD9" i="2"/>
  <c r="AD19" i="2" s="1"/>
  <c r="AD10" i="2"/>
  <c r="AD20" i="2" s="1"/>
  <c r="P7" i="2"/>
  <c r="AA39" i="2"/>
  <c r="U70" i="2"/>
  <c r="U80" i="2" s="1"/>
  <c r="U90" i="2" s="1"/>
  <c r="P74" i="2"/>
  <c r="P84" i="2" s="1"/>
  <c r="K9" i="2"/>
  <c r="K19" i="2" s="1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O24" i="2" s="1"/>
  <c r="O323" i="8" s="1"/>
  <c r="O324" i="8" s="1"/>
  <c r="L40" i="2"/>
  <c r="AD70" i="2"/>
  <c r="AC25" i="2"/>
  <c r="M40" i="2"/>
  <c r="Q67" i="2"/>
  <c r="AE70" i="2"/>
  <c r="K73" i="2"/>
  <c r="AD84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AB141" i="2" s="1"/>
  <c r="L131" i="2"/>
  <c r="X131" i="2"/>
  <c r="V131" i="2"/>
  <c r="P131" i="2"/>
  <c r="P141" i="2" s="1"/>
  <c r="O131" i="2"/>
  <c r="W131" i="2"/>
  <c r="U131" i="2"/>
  <c r="T131" i="2"/>
  <c r="R131" i="2"/>
  <c r="Z131" i="2"/>
  <c r="Y131" i="2"/>
  <c r="Z7" i="2"/>
  <c r="Z17" i="2" s="1"/>
  <c r="P9" i="2"/>
  <c r="R10" i="2"/>
  <c r="P14" i="2"/>
  <c r="AB7" i="2"/>
  <c r="Q9" i="2"/>
  <c r="T10" i="2"/>
  <c r="Q14" i="2"/>
  <c r="N40" i="2"/>
  <c r="W67" i="2"/>
  <c r="W77" i="2" s="1"/>
  <c r="W87" i="2" s="1"/>
  <c r="S73" i="2"/>
  <c r="K131" i="2"/>
  <c r="AD413" i="2"/>
  <c r="P413" i="2"/>
  <c r="R413" i="2"/>
  <c r="AE413" i="2"/>
  <c r="AE423" i="2" s="1"/>
  <c r="N413" i="2"/>
  <c r="N423" i="2" s="1"/>
  <c r="Y413" i="2"/>
  <c r="Y423" i="2" s="1"/>
  <c r="X413" i="2"/>
  <c r="W413" i="2"/>
  <c r="V413" i="2"/>
  <c r="S413" i="2"/>
  <c r="S423" i="2" s="1"/>
  <c r="O413" i="2"/>
  <c r="AA413" i="2"/>
  <c r="T413" i="2"/>
  <c r="T423" i="2" s="1"/>
  <c r="M413" i="2"/>
  <c r="L413" i="2"/>
  <c r="L423" i="2" s="1"/>
  <c r="K413" i="2"/>
  <c r="AC413" i="2"/>
  <c r="AB413" i="2"/>
  <c r="Z413" i="2"/>
  <c r="U413" i="2"/>
  <c r="U423" i="2" s="1"/>
  <c r="Q413" i="2"/>
  <c r="T79" i="2"/>
  <c r="T82" i="2"/>
  <c r="T92" i="2" s="1"/>
  <c r="Q159" i="2"/>
  <c r="Z68" i="2"/>
  <c r="L68" i="2"/>
  <c r="L78" i="2" s="1"/>
  <c r="Y68" i="2"/>
  <c r="Y78" i="2" s="1"/>
  <c r="K68" i="2"/>
  <c r="T68" i="2"/>
  <c r="T78" i="2" s="1"/>
  <c r="R68" i="2"/>
  <c r="R78" i="2" s="1"/>
  <c r="AC68" i="2"/>
  <c r="AC78" i="2" s="1"/>
  <c r="P12" i="2"/>
  <c r="N68" i="2"/>
  <c r="N78" i="2" s="1"/>
  <c r="N88" i="2" s="1"/>
  <c r="Q75" i="2"/>
  <c r="Q100" i="2"/>
  <c r="AE215" i="2"/>
  <c r="Q12" i="2"/>
  <c r="O68" i="2"/>
  <c r="O78" i="2" s="1"/>
  <c r="O88" i="2" s="1"/>
  <c r="AD69" i="2"/>
  <c r="P69" i="2"/>
  <c r="P79" i="2" s="1"/>
  <c r="AC69" i="2"/>
  <c r="AC79" i="2" s="1"/>
  <c r="O69" i="2"/>
  <c r="O79" i="2" s="1"/>
  <c r="X69" i="2"/>
  <c r="X79" i="2" s="1"/>
  <c r="X89" i="2" s="1"/>
  <c r="V69" i="2"/>
  <c r="AA69" i="2"/>
  <c r="R75" i="2"/>
  <c r="R85" i="2" s="1"/>
  <c r="K33" i="2"/>
  <c r="AE25" i="2"/>
  <c r="P68" i="2"/>
  <c r="P78" i="2" s="1"/>
  <c r="AE127" i="2"/>
  <c r="Q127" i="2"/>
  <c r="Q137" i="2" s="1"/>
  <c r="AC127" i="2"/>
  <c r="O127" i="2"/>
  <c r="AD127" i="2"/>
  <c r="M127" i="2"/>
  <c r="AB127" i="2"/>
  <c r="AB137" i="2" s="1"/>
  <c r="AB147" i="2" s="1"/>
  <c r="L127" i="2"/>
  <c r="AA127" i="2"/>
  <c r="AA137" i="2" s="1"/>
  <c r="K127" i="2"/>
  <c r="W127" i="2"/>
  <c r="U127" i="2"/>
  <c r="P127" i="2"/>
  <c r="P137" i="2" s="1"/>
  <c r="N127" i="2"/>
  <c r="N137" i="2" s="1"/>
  <c r="K197" i="2"/>
  <c r="K403" i="8" s="1"/>
  <c r="P142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O484" i="2" s="1"/>
  <c r="AE474" i="2"/>
  <c r="P474" i="2"/>
  <c r="P484" i="2" s="1"/>
  <c r="AD474" i="2"/>
  <c r="AD484" i="2" s="1"/>
  <c r="N474" i="2"/>
  <c r="AB474" i="2"/>
  <c r="AB484" i="2" s="1"/>
  <c r="AB494" i="2" s="1"/>
  <c r="M474" i="2"/>
  <c r="AA474" i="2"/>
  <c r="L474" i="2"/>
  <c r="L484" i="2" s="1"/>
  <c r="L494" i="2" s="1"/>
  <c r="W474" i="2"/>
  <c r="T474" i="2"/>
  <c r="T484" i="2" s="1"/>
  <c r="T494" i="2" s="1"/>
  <c r="X474" i="2"/>
  <c r="V474" i="2"/>
  <c r="V484" i="2" s="1"/>
  <c r="R474" i="2"/>
  <c r="Q474" i="2"/>
  <c r="K474" i="2"/>
  <c r="Z474" i="2"/>
  <c r="Z484" i="2" s="1"/>
  <c r="Y474" i="2"/>
  <c r="S474" i="2"/>
  <c r="S484" i="2" s="1"/>
  <c r="U474" i="2"/>
  <c r="L123" i="2"/>
  <c r="AC38" i="2"/>
  <c r="O38" i="2"/>
  <c r="W38" i="2"/>
  <c r="U38" i="2"/>
  <c r="AA38" i="2"/>
  <c r="X68" i="2"/>
  <c r="X78" i="2" s="1"/>
  <c r="R69" i="2"/>
  <c r="R79" i="2" s="1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X137" i="2" s="1"/>
  <c r="X147" i="2" s="1"/>
  <c r="Q142" i="2"/>
  <c r="Q387" i="8" s="1"/>
  <c r="Q388" i="8" s="1"/>
  <c r="L159" i="2"/>
  <c r="AA197" i="2"/>
  <c r="O205" i="2"/>
  <c r="S12" i="2"/>
  <c r="S22" i="2" s="1"/>
  <c r="AA12" i="2"/>
  <c r="M12" i="2"/>
  <c r="M22" i="2" s="1"/>
  <c r="Y12" i="2"/>
  <c r="K12" i="2"/>
  <c r="K22" i="2" s="1"/>
  <c r="AB12" i="2"/>
  <c r="AB22" i="2" s="1"/>
  <c r="AA68" i="2"/>
  <c r="Z75" i="2"/>
  <c r="L75" i="2"/>
  <c r="L85" i="2" s="1"/>
  <c r="X75" i="2"/>
  <c r="X85" i="2" s="1"/>
  <c r="X95" i="2" s="1"/>
  <c r="T75" i="2"/>
  <c r="T85" i="2" s="1"/>
  <c r="S75" i="2"/>
  <c r="AD75" i="2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N143" i="2" s="1"/>
  <c r="AC133" i="2"/>
  <c r="L133" i="2"/>
  <c r="AB133" i="2"/>
  <c r="AB143" i="2" s="1"/>
  <c r="AB153" i="2" s="1"/>
  <c r="V133" i="2"/>
  <c r="T133" i="2"/>
  <c r="P133" i="2"/>
  <c r="AE133" i="2"/>
  <c r="O133" i="2"/>
  <c r="O159" i="2"/>
  <c r="AB197" i="2"/>
  <c r="L183" i="2"/>
  <c r="U418" i="2"/>
  <c r="U128" i="2"/>
  <c r="S128" i="2"/>
  <c r="S138" i="2" s="1"/>
  <c r="S148" i="2" s="1"/>
  <c r="Y128" i="2"/>
  <c r="P139" i="2"/>
  <c r="U472" i="2"/>
  <c r="R472" i="2"/>
  <c r="Q472" i="2"/>
  <c r="AE472" i="2"/>
  <c r="P472" i="2"/>
  <c r="P482" i="2" s="1"/>
  <c r="AD472" i="2"/>
  <c r="AD482" i="2" s="1"/>
  <c r="O472" i="2"/>
  <c r="O482" i="2" s="1"/>
  <c r="Z472" i="2"/>
  <c r="Z482" i="2" s="1"/>
  <c r="K472" i="2"/>
  <c r="K482" i="2" s="1"/>
  <c r="W472" i="2"/>
  <c r="W482" i="2" s="1"/>
  <c r="AC472" i="2"/>
  <c r="AB472" i="2"/>
  <c r="AB482" i="2" s="1"/>
  <c r="V472" i="2"/>
  <c r="V482" i="2" s="1"/>
  <c r="T472" i="2"/>
  <c r="T482" i="2" s="1"/>
  <c r="T492" i="2" s="1"/>
  <c r="Y472" i="2"/>
  <c r="X472" i="2"/>
  <c r="S472" i="2"/>
  <c r="S482" i="2" s="1"/>
  <c r="N472" i="2"/>
  <c r="L472" i="2"/>
  <c r="L482" i="2" s="1"/>
  <c r="L492" i="2" s="1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O23" i="2" s="1"/>
  <c r="AC13" i="2"/>
  <c r="AC23" i="2" s="1"/>
  <c r="W15" i="2"/>
  <c r="M128" i="2"/>
  <c r="AC128" i="2"/>
  <c r="K8" i="2"/>
  <c r="K18" i="2" s="1"/>
  <c r="Q13" i="2"/>
  <c r="AE13" i="2"/>
  <c r="K15" i="2"/>
  <c r="K25" i="2" s="1"/>
  <c r="K35" i="2" s="1"/>
  <c r="R37" i="2"/>
  <c r="X41" i="2"/>
  <c r="R81" i="2"/>
  <c r="R91" i="2" s="1"/>
  <c r="AB72" i="2"/>
  <c r="AB82" i="2" s="1"/>
  <c r="N72" i="2"/>
  <c r="N82" i="2" s="1"/>
  <c r="X72" i="2"/>
  <c r="X82" i="2" s="1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AD200" i="2" s="1"/>
  <c r="AD210" i="2" s="1"/>
  <c r="P190" i="2"/>
  <c r="P200" i="2" s="1"/>
  <c r="AB190" i="2"/>
  <c r="AB200" i="2" s="1"/>
  <c r="N190" i="2"/>
  <c r="AE190" i="2"/>
  <c r="AE200" i="2" s="1"/>
  <c r="Z190" i="2"/>
  <c r="Z200" i="2" s="1"/>
  <c r="X190" i="2"/>
  <c r="W190" i="2"/>
  <c r="T190" i="2"/>
  <c r="M190" i="2"/>
  <c r="M200" i="2" s="1"/>
  <c r="AD192" i="2"/>
  <c r="P192" i="2"/>
  <c r="P202" i="2" s="1"/>
  <c r="AC192" i="2"/>
  <c r="O192" i="2"/>
  <c r="O202" i="2" s="1"/>
  <c r="AA192" i="2"/>
  <c r="AA202" i="2" s="1"/>
  <c r="M192" i="2"/>
  <c r="M202" i="2" s="1"/>
  <c r="X192" i="2"/>
  <c r="V192" i="2"/>
  <c r="U192" i="2"/>
  <c r="R192" i="2"/>
  <c r="R202" i="2" s="1"/>
  <c r="N192" i="2"/>
  <c r="L192" i="2"/>
  <c r="L202" i="2" s="1"/>
  <c r="K192" i="2"/>
  <c r="K202" i="2" s="1"/>
  <c r="Z192" i="2"/>
  <c r="Z202" i="2" s="1"/>
  <c r="AB195" i="2"/>
  <c r="AB205" i="2" s="1"/>
  <c r="N195" i="2"/>
  <c r="AA195" i="2"/>
  <c r="AA205" i="2" s="1"/>
  <c r="AA215" i="2" s="1"/>
  <c r="M195" i="2"/>
  <c r="M205" i="2" s="1"/>
  <c r="Y195" i="2"/>
  <c r="Y205" i="2" s="1"/>
  <c r="K195" i="2"/>
  <c r="K205" i="2" s="1"/>
  <c r="V195" i="2"/>
  <c r="T195" i="2"/>
  <c r="AC195" i="2"/>
  <c r="X195" i="2"/>
  <c r="W195" i="2"/>
  <c r="U195" i="2"/>
  <c r="P195" i="2"/>
  <c r="P205" i="2" s="1"/>
  <c r="W71" i="2"/>
  <c r="W81" i="2" s="1"/>
  <c r="W91" i="2" s="1"/>
  <c r="O72" i="2"/>
  <c r="O82" i="2" s="1"/>
  <c r="AD72" i="2"/>
  <c r="AD82" i="2" s="1"/>
  <c r="AD92" i="2" s="1"/>
  <c r="S97" i="2"/>
  <c r="S81" i="2" s="1"/>
  <c r="AE97" i="2"/>
  <c r="AE81" i="2" s="1"/>
  <c r="Q97" i="2"/>
  <c r="Q84" i="2" s="1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M207" i="2" s="1"/>
  <c r="Z218" i="2"/>
  <c r="K218" i="2"/>
  <c r="K214" i="2" s="1"/>
  <c r="AA218" i="2"/>
  <c r="W218" i="2"/>
  <c r="U218" i="2"/>
  <c r="P218" i="2"/>
  <c r="N218" i="2"/>
  <c r="V411" i="2"/>
  <c r="T411" i="2"/>
  <c r="T421" i="2" s="1"/>
  <c r="AD411" i="2"/>
  <c r="AD421" i="2" s="1"/>
  <c r="N411" i="2"/>
  <c r="N421" i="2" s="1"/>
  <c r="U411" i="2"/>
  <c r="U421" i="2" s="1"/>
  <c r="S411" i="2"/>
  <c r="S421" i="2" s="1"/>
  <c r="R411" i="2"/>
  <c r="Q411" i="2"/>
  <c r="AE411" i="2"/>
  <c r="AE421" i="2" s="1"/>
  <c r="M411" i="2"/>
  <c r="AB411" i="2"/>
  <c r="K411" i="2"/>
  <c r="P411" i="2"/>
  <c r="Y411" i="2"/>
  <c r="Y421" i="2" s="1"/>
  <c r="X411" i="2"/>
  <c r="S422" i="2"/>
  <c r="AE476" i="2"/>
  <c r="P41" i="2"/>
  <c r="I45" i="2"/>
  <c r="I47" i="2"/>
  <c r="I49" i="2"/>
  <c r="I51" i="2"/>
  <c r="Y71" i="2"/>
  <c r="Y81" i="2" s="1"/>
  <c r="P72" i="2"/>
  <c r="P82" i="2" s="1"/>
  <c r="AE72" i="2"/>
  <c r="K97" i="2"/>
  <c r="K82" i="2" s="1"/>
  <c r="AA97" i="2"/>
  <c r="AA85" i="2" s="1"/>
  <c r="K99" i="2"/>
  <c r="AB99" i="2"/>
  <c r="W128" i="2"/>
  <c r="AD139" i="2"/>
  <c r="P135" i="2"/>
  <c r="W157" i="2"/>
  <c r="K190" i="2"/>
  <c r="K200" i="2" s="1"/>
  <c r="Q192" i="2"/>
  <c r="L195" i="2"/>
  <c r="L205" i="2" s="1"/>
  <c r="L218" i="2"/>
  <c r="Y422" i="2"/>
  <c r="AA470" i="2"/>
  <c r="M470" i="2"/>
  <c r="M480" i="2" s="1"/>
  <c r="U470" i="2"/>
  <c r="T470" i="2"/>
  <c r="T480" i="2" s="1"/>
  <c r="S470" i="2"/>
  <c r="S480" i="2" s="1"/>
  <c r="R470" i="2"/>
  <c r="AC470" i="2"/>
  <c r="N470" i="2"/>
  <c r="Y470" i="2"/>
  <c r="AE470" i="2"/>
  <c r="AD470" i="2"/>
  <c r="AD480" i="2" s="1"/>
  <c r="W470" i="2"/>
  <c r="V470" i="2"/>
  <c r="V480" i="2" s="1"/>
  <c r="O470" i="2"/>
  <c r="O480" i="2" s="1"/>
  <c r="L470" i="2"/>
  <c r="L480" i="2" s="1"/>
  <c r="K470" i="2"/>
  <c r="Z197" i="2"/>
  <c r="S189" i="2"/>
  <c r="AE201" i="2"/>
  <c r="L417" i="2"/>
  <c r="L483" i="2"/>
  <c r="L493" i="2" s="1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AE197" i="2"/>
  <c r="W189" i="2"/>
  <c r="W199" i="2" s="1"/>
  <c r="T193" i="2"/>
  <c r="S193" i="2"/>
  <c r="AE193" i="2"/>
  <c r="AE203" i="2" s="1"/>
  <c r="Q193" i="2"/>
  <c r="AB193" i="2"/>
  <c r="AB203" i="2" s="1"/>
  <c r="N193" i="2"/>
  <c r="Z193" i="2"/>
  <c r="Z203" i="2" s="1"/>
  <c r="L193" i="2"/>
  <c r="L203" i="2" s="1"/>
  <c r="AD193" i="2"/>
  <c r="R437" i="2"/>
  <c r="V437" i="2"/>
  <c r="S437" i="2"/>
  <c r="S428" i="2" s="1"/>
  <c r="AC437" i="2"/>
  <c r="L437" i="2"/>
  <c r="X437" i="2"/>
  <c r="W437" i="2"/>
  <c r="Z437" i="2"/>
  <c r="Y437" i="2"/>
  <c r="U437" i="2"/>
  <c r="T437" i="2"/>
  <c r="T429" i="2" s="1"/>
  <c r="P437" i="2"/>
  <c r="O437" i="2"/>
  <c r="M437" i="2"/>
  <c r="Z470" i="2"/>
  <c r="Z480" i="2" s="1"/>
  <c r="L197" i="2"/>
  <c r="Y189" i="2"/>
  <c r="Z412" i="2"/>
  <c r="L412" i="2"/>
  <c r="L422" i="2" s="1"/>
  <c r="AA412" i="2"/>
  <c r="K412" i="2"/>
  <c r="V412" i="2"/>
  <c r="O412" i="2"/>
  <c r="AE412" i="2"/>
  <c r="AE422" i="2" s="1"/>
  <c r="N412" i="2"/>
  <c r="N422" i="2" s="1"/>
  <c r="AD412" i="2"/>
  <c r="M412" i="2"/>
  <c r="AC412" i="2"/>
  <c r="X412" i="2"/>
  <c r="U412" i="2"/>
  <c r="U422" i="2" s="1"/>
  <c r="AB470" i="2"/>
  <c r="AB480" i="2" s="1"/>
  <c r="K129" i="2"/>
  <c r="AE158" i="2"/>
  <c r="Q158" i="2"/>
  <c r="AD158" i="2"/>
  <c r="P158" i="2"/>
  <c r="Y158" i="2"/>
  <c r="K158" i="2"/>
  <c r="W158" i="2"/>
  <c r="AC158" i="2"/>
  <c r="AB188" i="2"/>
  <c r="AB198" i="2" s="1"/>
  <c r="N188" i="2"/>
  <c r="AA188" i="2"/>
  <c r="AA198" i="2" s="1"/>
  <c r="M188" i="2"/>
  <c r="M198" i="2" s="1"/>
  <c r="Y188" i="2"/>
  <c r="K188" i="2"/>
  <c r="K198" i="2" s="1"/>
  <c r="V188" i="2"/>
  <c r="T188" i="2"/>
  <c r="AE188" i="2"/>
  <c r="AE198" i="2" s="1"/>
  <c r="K193" i="2"/>
  <c r="K203" i="2" s="1"/>
  <c r="N437" i="2"/>
  <c r="R189" i="2"/>
  <c r="R199" i="2" s="1"/>
  <c r="AE189" i="2"/>
  <c r="AE199" i="2" s="1"/>
  <c r="Q189" i="2"/>
  <c r="AC189" i="2"/>
  <c r="O189" i="2"/>
  <c r="Z189" i="2"/>
  <c r="Z199" i="2" s="1"/>
  <c r="L189" i="2"/>
  <c r="L199" i="2" s="1"/>
  <c r="X189" i="2"/>
  <c r="AD189" i="2"/>
  <c r="L462" i="2"/>
  <c r="M189" i="2"/>
  <c r="M199" i="2" s="1"/>
  <c r="AB201" i="2"/>
  <c r="AB211" i="2" s="1"/>
  <c r="T412" i="2"/>
  <c r="T422" i="2" s="1"/>
  <c r="AE437" i="2"/>
  <c r="L582" i="2"/>
  <c r="L522" i="2"/>
  <c r="K526" i="2"/>
  <c r="L539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P197" i="2" s="1"/>
  <c r="AD187" i="2"/>
  <c r="AD197" i="2" s="1"/>
  <c r="R191" i="2"/>
  <c r="R201" i="2" s="1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S420" i="2" s="1"/>
  <c r="U467" i="2"/>
  <c r="P619" i="2"/>
  <c r="U160" i="2"/>
  <c r="R187" i="2"/>
  <c r="R197" i="2" s="1"/>
  <c r="T191" i="2"/>
  <c r="R194" i="2"/>
  <c r="R204" i="2" s="1"/>
  <c r="U219" i="2"/>
  <c r="M220" i="2"/>
  <c r="AB220" i="2"/>
  <c r="T221" i="2"/>
  <c r="T408" i="2"/>
  <c r="T418" i="2" s="1"/>
  <c r="U410" i="2"/>
  <c r="U420" i="2" s="1"/>
  <c r="Z476" i="2"/>
  <c r="AB537" i="2"/>
  <c r="AB547" i="2" s="1"/>
  <c r="V556" i="2"/>
  <c r="V537" i="2" s="1"/>
  <c r="T556" i="2"/>
  <c r="S556" i="2"/>
  <c r="R556" i="2"/>
  <c r="AE556" i="2"/>
  <c r="AE541" i="2" s="1"/>
  <c r="Q556" i="2"/>
  <c r="AB556" i="2"/>
  <c r="AB542" i="2" s="1"/>
  <c r="N556" i="2"/>
  <c r="N544" i="2" s="1"/>
  <c r="AC556" i="2"/>
  <c r="AC543" i="2" s="1"/>
  <c r="AA556" i="2"/>
  <c r="AA541" i="2" s="1"/>
  <c r="AA551" i="2" s="1"/>
  <c r="Z556" i="2"/>
  <c r="Z540" i="2" s="1"/>
  <c r="Y556" i="2"/>
  <c r="Y536" i="2" s="1"/>
  <c r="P556" i="2"/>
  <c r="P541" i="2" s="1"/>
  <c r="L556" i="2"/>
  <c r="L538" i="2" s="1"/>
  <c r="AD556" i="2"/>
  <c r="AD541" i="2" s="1"/>
  <c r="K556" i="2"/>
  <c r="X160" i="2"/>
  <c r="U187" i="2"/>
  <c r="W191" i="2"/>
  <c r="U194" i="2"/>
  <c r="X219" i="2"/>
  <c r="L243" i="2"/>
  <c r="S478" i="2"/>
  <c r="O481" i="2"/>
  <c r="R541" i="2"/>
  <c r="M556" i="2"/>
  <c r="M538" i="2" s="1"/>
  <c r="Y219" i="2"/>
  <c r="X408" i="2"/>
  <c r="R408" i="2"/>
  <c r="W408" i="2"/>
  <c r="Z408" i="2"/>
  <c r="R410" i="2"/>
  <c r="AD410" i="2"/>
  <c r="O410" i="2"/>
  <c r="W410" i="2"/>
  <c r="Z410" i="2"/>
  <c r="AC467" i="2"/>
  <c r="AC477" i="2" s="1"/>
  <c r="O467" i="2"/>
  <c r="O477" i="2" s="1"/>
  <c r="S467" i="2"/>
  <c r="S477" i="2" s="1"/>
  <c r="Z467" i="2"/>
  <c r="Z477" i="2" s="1"/>
  <c r="K467" i="2"/>
  <c r="W467" i="2"/>
  <c r="AE467" i="2"/>
  <c r="L467" i="2"/>
  <c r="L477" i="2" s="1"/>
  <c r="AD467" i="2"/>
  <c r="AD477" i="2" s="1"/>
  <c r="X467" i="2"/>
  <c r="V467" i="2"/>
  <c r="V477" i="2" s="1"/>
  <c r="V487" i="2" s="1"/>
  <c r="AD478" i="2"/>
  <c r="O556" i="2"/>
  <c r="L160" i="2"/>
  <c r="Z160" i="2"/>
  <c r="W187" i="2"/>
  <c r="W197" i="2" s="1"/>
  <c r="K191" i="2"/>
  <c r="K201" i="2" s="1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T544" i="2"/>
  <c r="U556" i="2"/>
  <c r="U541" i="2" s="1"/>
  <c r="M160" i="2"/>
  <c r="L191" i="2"/>
  <c r="L201" i="2" s="1"/>
  <c r="L219" i="2"/>
  <c r="AA219" i="2"/>
  <c r="S220" i="2"/>
  <c r="K221" i="2"/>
  <c r="Z221" i="2"/>
  <c r="AD406" i="2"/>
  <c r="P406" i="2"/>
  <c r="V406" i="2"/>
  <c r="X406" i="2"/>
  <c r="Z406" i="2"/>
  <c r="S407" i="2"/>
  <c r="S417" i="2" s="1"/>
  <c r="K408" i="2"/>
  <c r="AB408" i="2"/>
  <c r="K410" i="2"/>
  <c r="AB410" i="2"/>
  <c r="M467" i="2"/>
  <c r="M477" i="2" s="1"/>
  <c r="L478" i="2"/>
  <c r="V483" i="2"/>
  <c r="K499" i="2"/>
  <c r="W556" i="2"/>
  <c r="V526" i="2"/>
  <c r="U526" i="2"/>
  <c r="T526" i="2"/>
  <c r="AE526" i="2"/>
  <c r="AE536" i="2" s="1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AE539" i="2"/>
  <c r="AE549" i="2" s="1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V544" i="2"/>
  <c r="Y466" i="2"/>
  <c r="K466" i="2"/>
  <c r="K476" i="2" s="1"/>
  <c r="AB466" i="2"/>
  <c r="AB476" i="2" s="1"/>
  <c r="M466" i="2"/>
  <c r="T466" i="2"/>
  <c r="T476" i="2" s="1"/>
  <c r="Q466" i="2"/>
  <c r="AC466" i="2"/>
  <c r="P478" i="2"/>
  <c r="Z497" i="2"/>
  <c r="Z488" i="2" s="1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K424" i="2" s="1"/>
  <c r="AC436" i="2"/>
  <c r="AB439" i="2"/>
  <c r="N439" i="2"/>
  <c r="T439" i="2"/>
  <c r="Q439" i="2"/>
  <c r="AA439" i="2"/>
  <c r="AD466" i="2"/>
  <c r="AD476" i="2" s="1"/>
  <c r="S483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Q541" i="2"/>
  <c r="S532" i="2"/>
  <c r="R532" i="2"/>
  <c r="R542" i="2" s="1"/>
  <c r="R552" i="2" s="1"/>
  <c r="AE532" i="2"/>
  <c r="AE542" i="2" s="1"/>
  <c r="Q532" i="2"/>
  <c r="Q542" i="2" s="1"/>
  <c r="Q552" i="2" s="1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AB544" i="2" s="1"/>
  <c r="S534" i="2"/>
  <c r="P534" i="2"/>
  <c r="L559" i="2"/>
  <c r="W597" i="2"/>
  <c r="Q596" i="2"/>
  <c r="AA497" i="2"/>
  <c r="M497" i="2"/>
  <c r="M488" i="2" s="1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Q544" i="2"/>
  <c r="AB603" i="2"/>
  <c r="AE41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R544" i="2" s="1"/>
  <c r="X559" i="2"/>
  <c r="Y438" i="2"/>
  <c r="N468" i="2"/>
  <c r="AC468" i="2"/>
  <c r="P471" i="2"/>
  <c r="P481" i="2" s="1"/>
  <c r="N473" i="2"/>
  <c r="AC473" i="2"/>
  <c r="N496" i="2"/>
  <c r="AC496" i="2"/>
  <c r="AC479" i="2" s="1"/>
  <c r="P527" i="2"/>
  <c r="AB409" i="2"/>
  <c r="N409" i="2"/>
  <c r="N419" i="2" s="1"/>
  <c r="X409" i="2"/>
  <c r="X419" i="2" s="1"/>
  <c r="X414" i="2"/>
  <c r="X424" i="2" s="1"/>
  <c r="M438" i="2"/>
  <c r="AB438" i="2"/>
  <c r="Q468" i="2"/>
  <c r="Q496" i="2"/>
  <c r="Q480" i="2" s="1"/>
  <c r="S527" i="2"/>
  <c r="AE471" i="2"/>
  <c r="Q471" i="2"/>
  <c r="X471" i="2"/>
  <c r="S588" i="2"/>
  <c r="AD588" i="2"/>
  <c r="P588" i="2"/>
  <c r="T588" i="2"/>
  <c r="R588" i="2"/>
  <c r="R598" i="2" s="1"/>
  <c r="Q588" i="2"/>
  <c r="Q598" i="2" s="1"/>
  <c r="O588" i="2"/>
  <c r="AE588" i="2"/>
  <c r="N588" i="2"/>
  <c r="AC588" i="2"/>
  <c r="M588" i="2"/>
  <c r="Z588" i="2"/>
  <c r="Z598" i="2" s="1"/>
  <c r="Y588" i="2"/>
  <c r="R603" i="2"/>
  <c r="Y471" i="2"/>
  <c r="T541" i="2"/>
  <c r="X468" i="2"/>
  <c r="X478" i="2" s="1"/>
  <c r="K471" i="2"/>
  <c r="K481" i="2" s="1"/>
  <c r="Z471" i="2"/>
  <c r="Z481" i="2" s="1"/>
  <c r="Z527" i="2"/>
  <c r="L527" i="2"/>
  <c r="Y527" i="2"/>
  <c r="K527" i="2"/>
  <c r="X527" i="2"/>
  <c r="U527" i="2"/>
  <c r="AC527" i="2"/>
  <c r="R596" i="2"/>
  <c r="K588" i="2"/>
  <c r="L642" i="2"/>
  <c r="Y468" i="2"/>
  <c r="L471" i="2"/>
  <c r="L481" i="2" s="1"/>
  <c r="L491" i="2" s="1"/>
  <c r="AA471" i="2"/>
  <c r="Y473" i="2"/>
  <c r="K473" i="2"/>
  <c r="K483" i="2" s="1"/>
  <c r="X473" i="2"/>
  <c r="Y496" i="2"/>
  <c r="Y479" i="2" s="1"/>
  <c r="AD527" i="2"/>
  <c r="L588" i="2"/>
  <c r="U592" i="2"/>
  <c r="R592" i="2"/>
  <c r="R602" i="2" s="1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V596" i="2" s="1"/>
  <c r="Z586" i="2"/>
  <c r="Z596" i="2" s="1"/>
  <c r="R587" i="2"/>
  <c r="R597" i="2" s="1"/>
  <c r="R607" i="2" s="1"/>
  <c r="Q599" i="2"/>
  <c r="AA590" i="2"/>
  <c r="M590" i="2"/>
  <c r="X590" i="2"/>
  <c r="Y590" i="2"/>
  <c r="R591" i="2"/>
  <c r="R601" i="2" s="1"/>
  <c r="Z592" i="2"/>
  <c r="Z602" i="2" s="1"/>
  <c r="Q593" i="2"/>
  <c r="Q603" i="2" s="1"/>
  <c r="AC594" i="2"/>
  <c r="AC604" i="2" s="1"/>
  <c r="O594" i="2"/>
  <c r="O604" i="2" s="1"/>
  <c r="Z594" i="2"/>
  <c r="Z604" i="2" s="1"/>
  <c r="L594" i="2"/>
  <c r="Y594" i="2"/>
  <c r="X616" i="2"/>
  <c r="X603" i="2" s="1"/>
  <c r="T617" i="2"/>
  <c r="K620" i="2"/>
  <c r="V530" i="2"/>
  <c r="L531" i="2"/>
  <c r="T533" i="2"/>
  <c r="V557" i="2"/>
  <c r="M558" i="2"/>
  <c r="W560" i="2"/>
  <c r="M586" i="2"/>
  <c r="M596" i="2" s="1"/>
  <c r="AC586" i="2"/>
  <c r="AC596" i="2" s="1"/>
  <c r="U587" i="2"/>
  <c r="L590" i="2"/>
  <c r="AC590" i="2"/>
  <c r="U591" i="2"/>
  <c r="M592" i="2"/>
  <c r="AC592" i="2"/>
  <c r="T593" i="2"/>
  <c r="M594" i="2"/>
  <c r="AD594" i="2"/>
  <c r="X617" i="2"/>
  <c r="O620" i="2"/>
  <c r="W530" i="2"/>
  <c r="W540" i="2" s="1"/>
  <c r="U533" i="2"/>
  <c r="X560" i="2"/>
  <c r="AD596" i="2"/>
  <c r="N592" i="2"/>
  <c r="AD592" i="2"/>
  <c r="AD602" i="2" s="1"/>
  <c r="Y616" i="2"/>
  <c r="K616" i="2"/>
  <c r="K601" i="2" s="1"/>
  <c r="AC616" i="2"/>
  <c r="AC603" i="2" s="1"/>
  <c r="N616" i="2"/>
  <c r="W616" i="2"/>
  <c r="T616" i="2"/>
  <c r="T597" i="2" s="1"/>
  <c r="AD616" i="2"/>
  <c r="P620" i="2"/>
  <c r="V533" i="2"/>
  <c r="K560" i="2"/>
  <c r="O592" i="2"/>
  <c r="AE592" i="2"/>
  <c r="L616" i="2"/>
  <c r="L596" i="2" s="1"/>
  <c r="AE616" i="2"/>
  <c r="R620" i="2"/>
  <c r="P592" i="2"/>
  <c r="M616" i="2"/>
  <c r="M603" i="2" s="1"/>
  <c r="T620" i="2"/>
  <c r="AC587" i="2"/>
  <c r="O587" i="2"/>
  <c r="Z587" i="2"/>
  <c r="Z597" i="2" s="1"/>
  <c r="L587" i="2"/>
  <c r="Y587" i="2"/>
  <c r="AE591" i="2"/>
  <c r="Q591" i="2"/>
  <c r="Q601" i="2" s="1"/>
  <c r="Q611" i="2" s="1"/>
  <c r="AB591" i="2"/>
  <c r="N591" i="2"/>
  <c r="Y591" i="2"/>
  <c r="Q592" i="2"/>
  <c r="Q602" i="2" s="1"/>
  <c r="Y593" i="2"/>
  <c r="K593" i="2"/>
  <c r="V593" i="2"/>
  <c r="V603" i="2" s="1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R600" i="2"/>
  <c r="R610" i="2" s="1"/>
  <c r="Z591" i="2"/>
  <c r="S592" i="2"/>
  <c r="AA593" i="2"/>
  <c r="P616" i="2"/>
  <c r="P597" i="2" s="1"/>
  <c r="K617" i="2"/>
  <c r="W620" i="2"/>
  <c r="T589" i="2"/>
  <c r="T599" i="2" s="1"/>
  <c r="S618" i="2"/>
  <c r="W618" i="2"/>
  <c r="Y618" i="2"/>
  <c r="M618" i="2"/>
  <c r="AB618" i="2"/>
  <c r="V32" i="2" l="1"/>
  <c r="V315" i="8"/>
  <c r="V316" i="8" s="1"/>
  <c r="U484" i="2"/>
  <c r="O612" i="8"/>
  <c r="O613" i="8" s="1"/>
  <c r="P280" i="2"/>
  <c r="F304" i="2"/>
  <c r="F303" i="2"/>
  <c r="F305" i="2"/>
  <c r="L604" i="8"/>
  <c r="L605" i="8" s="1"/>
  <c r="L343" i="2"/>
  <c r="S603" i="2"/>
  <c r="O424" i="2"/>
  <c r="X421" i="2"/>
  <c r="X431" i="2" s="1"/>
  <c r="AC202" i="2"/>
  <c r="AC212" i="2" s="1"/>
  <c r="U200" i="2"/>
  <c r="U415" i="8" s="1"/>
  <c r="U416" i="8" s="1"/>
  <c r="V144" i="2"/>
  <c r="M94" i="2"/>
  <c r="Y203" i="2"/>
  <c r="Y213" i="2" s="1"/>
  <c r="AE483" i="2"/>
  <c r="P476" i="2"/>
  <c r="M730" i="2"/>
  <c r="AC306" i="2"/>
  <c r="AC688" i="8" s="1"/>
  <c r="AC689" i="8" s="1"/>
  <c r="T431" i="2"/>
  <c r="T351" i="2"/>
  <c r="T309" i="2"/>
  <c r="AC145" i="2"/>
  <c r="AC155" i="2" s="1"/>
  <c r="O331" i="2"/>
  <c r="O760" i="8" s="1"/>
  <c r="O761" i="8" s="1"/>
  <c r="M416" i="2"/>
  <c r="M426" i="2" s="1"/>
  <c r="M453" i="2" s="1"/>
  <c r="S597" i="2"/>
  <c r="S607" i="2" s="1"/>
  <c r="R477" i="2"/>
  <c r="R487" i="2" s="1"/>
  <c r="M18" i="2"/>
  <c r="M28" i="2" s="1"/>
  <c r="V197" i="2"/>
  <c r="AD698" i="2"/>
  <c r="AD1056" i="8" s="1"/>
  <c r="AD1057" i="8" s="1"/>
  <c r="S304" i="2"/>
  <c r="S680" i="8" s="1"/>
  <c r="S681" i="8" s="1"/>
  <c r="Y305" i="2"/>
  <c r="Y684" i="8" s="1"/>
  <c r="Y685" i="8" s="1"/>
  <c r="Q600" i="2"/>
  <c r="Q610" i="2" s="1"/>
  <c r="AC588" i="8"/>
  <c r="AC589" i="8" s="1"/>
  <c r="AB33" i="9"/>
  <c r="AA33" i="9"/>
  <c r="Q670" i="2"/>
  <c r="R670" i="2"/>
  <c r="N19" i="2"/>
  <c r="N29" i="2" s="1"/>
  <c r="U481" i="2"/>
  <c r="AB539" i="2"/>
  <c r="O203" i="2"/>
  <c r="K480" i="2"/>
  <c r="AD85" i="2"/>
  <c r="K484" i="2"/>
  <c r="P22" i="2"/>
  <c r="M19" i="2"/>
  <c r="V84" i="2"/>
  <c r="X347" i="8"/>
  <c r="X348" i="8" s="1"/>
  <c r="AE431" i="8"/>
  <c r="AE432" i="8" s="1"/>
  <c r="V83" i="2"/>
  <c r="V93" i="2" s="1"/>
  <c r="T416" i="2"/>
  <c r="T426" i="2" s="1"/>
  <c r="AE21" i="2"/>
  <c r="AE31" i="2" s="1"/>
  <c r="M698" i="2"/>
  <c r="M1056" i="8" s="1"/>
  <c r="M1057" i="8" s="1"/>
  <c r="AB304" i="2"/>
  <c r="AB680" i="8" s="1"/>
  <c r="AB681" i="8" s="1"/>
  <c r="R306" i="2"/>
  <c r="R688" i="8" s="1"/>
  <c r="R689" i="8" s="1"/>
  <c r="L698" i="2"/>
  <c r="L1056" i="8" s="1"/>
  <c r="L1057" i="8" s="1"/>
  <c r="P675" i="2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R478" i="2"/>
  <c r="R488" i="2" s="1"/>
  <c r="AA480" i="2"/>
  <c r="AA490" i="2" s="1"/>
  <c r="V79" i="2"/>
  <c r="N24" i="2"/>
  <c r="M355" i="8"/>
  <c r="M356" i="8" s="1"/>
  <c r="O331" i="8"/>
  <c r="O332" i="8" s="1"/>
  <c r="AD83" i="2"/>
  <c r="AD93" i="2" s="1"/>
  <c r="W478" i="2"/>
  <c r="W424" i="2"/>
  <c r="L33" i="2"/>
  <c r="Z21" i="2"/>
  <c r="M348" i="2"/>
  <c r="O729" i="2"/>
  <c r="X596" i="2"/>
  <c r="X606" i="2" s="1"/>
  <c r="Q554" i="2"/>
  <c r="U480" i="2"/>
  <c r="U490" i="2" s="1"/>
  <c r="AD202" i="2"/>
  <c r="AD212" i="2" s="1"/>
  <c r="M90" i="2"/>
  <c r="R536" i="2"/>
  <c r="R546" i="2" s="1"/>
  <c r="X416" i="2"/>
  <c r="S602" i="2"/>
  <c r="S596" i="2"/>
  <c r="R476" i="2"/>
  <c r="AE544" i="2"/>
  <c r="L542" i="2"/>
  <c r="V536" i="2"/>
  <c r="Y198" i="2"/>
  <c r="Y208" i="2" s="1"/>
  <c r="AC203" i="2"/>
  <c r="AC427" i="8" s="1"/>
  <c r="AC428" i="8" s="1"/>
  <c r="T95" i="2"/>
  <c r="R484" i="2"/>
  <c r="R494" i="2" s="1"/>
  <c r="AD80" i="2"/>
  <c r="AC140" i="2"/>
  <c r="Y331" i="8"/>
  <c r="Y332" i="8" s="1"/>
  <c r="P93" i="2"/>
  <c r="R93" i="2"/>
  <c r="K478" i="2"/>
  <c r="AA421" i="2"/>
  <c r="L21" i="2"/>
  <c r="L311" i="8" s="1"/>
  <c r="L312" i="8" s="1"/>
  <c r="N794" i="2"/>
  <c r="N1356" i="8" s="1"/>
  <c r="N1357" i="8" s="1"/>
  <c r="Q700" i="2"/>
  <c r="Q1064" i="8" s="1"/>
  <c r="Q1065" i="8" s="1"/>
  <c r="P305" i="2"/>
  <c r="P684" i="8" s="1"/>
  <c r="P685" i="8" s="1"/>
  <c r="L705" i="2"/>
  <c r="L1084" i="8" s="1"/>
  <c r="L1085" i="8" s="1"/>
  <c r="N300" i="2"/>
  <c r="N664" i="8" s="1"/>
  <c r="N665" i="8" s="1"/>
  <c r="S703" i="2"/>
  <c r="S1076" i="8" s="1"/>
  <c r="S1077" i="8" s="1"/>
  <c r="O740" i="2"/>
  <c r="W304" i="2"/>
  <c r="W680" i="8" s="1"/>
  <c r="W681" i="8" s="1"/>
  <c r="V145" i="2"/>
  <c r="Q145" i="2"/>
  <c r="Q399" i="8" s="1"/>
  <c r="Q400" i="8" s="1"/>
  <c r="O204" i="2"/>
  <c r="O601" i="2"/>
  <c r="L702" i="2"/>
  <c r="L1072" i="8" s="1"/>
  <c r="L1073" i="8" s="1"/>
  <c r="R480" i="2"/>
  <c r="M699" i="2"/>
  <c r="M1060" i="8" s="1"/>
  <c r="M1061" i="8" s="1"/>
  <c r="Y200" i="2"/>
  <c r="V541" i="2"/>
  <c r="P493" i="2"/>
  <c r="AD420" i="2"/>
  <c r="AD430" i="2" s="1"/>
  <c r="Y199" i="2"/>
  <c r="Y411" i="8" s="1"/>
  <c r="Y412" i="8" s="1"/>
  <c r="N202" i="2"/>
  <c r="AC138" i="2"/>
  <c r="X482" i="2"/>
  <c r="R482" i="2"/>
  <c r="AA211" i="2"/>
  <c r="AC141" i="2"/>
  <c r="V78" i="2"/>
  <c r="N150" i="2"/>
  <c r="R94" i="2"/>
  <c r="U331" i="8"/>
  <c r="U332" i="8" s="1"/>
  <c r="W363" i="8"/>
  <c r="W364" i="8" s="1"/>
  <c r="Z299" i="8"/>
  <c r="Z300" i="8" s="1"/>
  <c r="M17" i="2"/>
  <c r="M27" i="2" s="1"/>
  <c r="X539" i="2"/>
  <c r="X549" i="2" s="1"/>
  <c r="L89" i="2"/>
  <c r="S700" i="2"/>
  <c r="S1064" i="8" s="1"/>
  <c r="S1065" i="8" s="1"/>
  <c r="L300" i="2"/>
  <c r="L664" i="8" s="1"/>
  <c r="L665" i="8" s="1"/>
  <c r="M343" i="2"/>
  <c r="X300" i="2"/>
  <c r="X664" i="8" s="1"/>
  <c r="X665" i="8" s="1"/>
  <c r="AE761" i="2"/>
  <c r="AE790" i="2" s="1"/>
  <c r="AE718" i="2"/>
  <c r="S200" i="2"/>
  <c r="X490" i="2"/>
  <c r="AC598" i="2"/>
  <c r="X422" i="2"/>
  <c r="AE145" i="2"/>
  <c r="AE399" i="8" s="1"/>
  <c r="AE400" i="8" s="1"/>
  <c r="U482" i="2"/>
  <c r="U492" i="2" s="1"/>
  <c r="M91" i="2"/>
  <c r="X23" i="2"/>
  <c r="N201" i="2"/>
  <c r="R700" i="2"/>
  <c r="R1064" i="8" s="1"/>
  <c r="R1065" i="8" s="1"/>
  <c r="M700" i="2"/>
  <c r="M1064" i="8" s="1"/>
  <c r="M1065" i="8" s="1"/>
  <c r="T705" i="2"/>
  <c r="T1084" i="8" s="1"/>
  <c r="T1085" i="8" s="1"/>
  <c r="O397" i="2"/>
  <c r="O968" i="8" s="1"/>
  <c r="O969" i="8" s="1"/>
  <c r="M306" i="2"/>
  <c r="M688" i="8" s="1"/>
  <c r="M689" i="8" s="1"/>
  <c r="AD300" i="2"/>
  <c r="AD664" i="8" s="1"/>
  <c r="AD665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Y537" i="2"/>
  <c r="O199" i="2"/>
  <c r="N198" i="2"/>
  <c r="Q202" i="2"/>
  <c r="Q212" i="2" s="1"/>
  <c r="AC205" i="2"/>
  <c r="V82" i="2"/>
  <c r="AC142" i="2"/>
  <c r="M24" i="2"/>
  <c r="AD77" i="2"/>
  <c r="N20" i="2"/>
  <c r="N30" i="2" s="1"/>
  <c r="N17" i="2"/>
  <c r="N27" i="2" s="1"/>
  <c r="X18" i="2"/>
  <c r="AB434" i="2"/>
  <c r="K21" i="2"/>
  <c r="O201" i="2"/>
  <c r="O419" i="8" s="1"/>
  <c r="O420" i="8" s="1"/>
  <c r="AD705" i="2"/>
  <c r="AD1084" i="8" s="1"/>
  <c r="AD1085" i="8" s="1"/>
  <c r="Y299" i="2"/>
  <c r="Y660" i="8" s="1"/>
  <c r="Y661" i="8" s="1"/>
  <c r="N393" i="2"/>
  <c r="N952" i="8" s="1"/>
  <c r="N953" i="8" s="1"/>
  <c r="P300" i="2"/>
  <c r="P664" i="8" s="1"/>
  <c r="P665" i="8" s="1"/>
  <c r="AA203" i="2"/>
  <c r="AB145" i="2"/>
  <c r="U479" i="2"/>
  <c r="U489" i="2" s="1"/>
  <c r="H256" i="2"/>
  <c r="M1016" i="8"/>
  <c r="M1017" i="8" s="1"/>
  <c r="L681" i="2"/>
  <c r="M746" i="2"/>
  <c r="X698" i="2"/>
  <c r="X1056" i="8" s="1"/>
  <c r="X1057" i="8" s="1"/>
  <c r="Q203" i="2"/>
  <c r="N205" i="2"/>
  <c r="X483" i="2"/>
  <c r="T540" i="2"/>
  <c r="AC199" i="2"/>
  <c r="O419" i="2"/>
  <c r="AB209" i="2"/>
  <c r="N200" i="2"/>
  <c r="N415" i="8" s="1"/>
  <c r="N416" i="8" s="1"/>
  <c r="AD79" i="2"/>
  <c r="K479" i="2"/>
  <c r="K489" i="2" s="1"/>
  <c r="AD198" i="2"/>
  <c r="AD208" i="2" s="1"/>
  <c r="M23" i="2"/>
  <c r="M33" i="2" s="1"/>
  <c r="L424" i="2"/>
  <c r="L418" i="2"/>
  <c r="L428" i="2" s="1"/>
  <c r="L704" i="2"/>
  <c r="L1080" i="8" s="1"/>
  <c r="L1081" i="8" s="1"/>
  <c r="AA300" i="2"/>
  <c r="AA664" i="8" s="1"/>
  <c r="AA665" i="8" s="1"/>
  <c r="P331" i="2"/>
  <c r="N708" i="2"/>
  <c r="AB479" i="2"/>
  <c r="AB489" i="2" s="1"/>
  <c r="S419" i="2"/>
  <c r="P750" i="2"/>
  <c r="P708" i="2"/>
  <c r="L700" i="2"/>
  <c r="L1064" i="8" s="1"/>
  <c r="L1065" i="8" s="1"/>
  <c r="X700" i="2"/>
  <c r="X1064" i="8" s="1"/>
  <c r="X1065" i="8" s="1"/>
  <c r="N203" i="2"/>
  <c r="N213" i="2" s="1"/>
  <c r="M95" i="2"/>
  <c r="X423" i="2"/>
  <c r="N23" i="2"/>
  <c r="S598" i="2"/>
  <c r="S608" i="2" s="1"/>
  <c r="Y599" i="2"/>
  <c r="AD204" i="2"/>
  <c r="AD214" i="2" s="1"/>
  <c r="Q199" i="2"/>
  <c r="AC149" i="2"/>
  <c r="AD203" i="2"/>
  <c r="AD213" i="2" s="1"/>
  <c r="V205" i="2"/>
  <c r="AC143" i="2"/>
  <c r="AC391" i="8" s="1"/>
  <c r="AC392" i="8" s="1"/>
  <c r="AC137" i="2"/>
  <c r="V77" i="2"/>
  <c r="Y359" i="8"/>
  <c r="Y360" i="8" s="1"/>
  <c r="M89" i="2"/>
  <c r="M116" i="2" s="1"/>
  <c r="V81" i="2"/>
  <c r="V91" i="2" s="1"/>
  <c r="AD81" i="2"/>
  <c r="AD347" i="8" s="1"/>
  <c r="AD348" i="8" s="1"/>
  <c r="X21" i="2"/>
  <c r="X31" i="2" s="1"/>
  <c r="N331" i="2"/>
  <c r="O300" i="2"/>
  <c r="O664" i="8" s="1"/>
  <c r="O665" i="8" s="1"/>
  <c r="AC204" i="2"/>
  <c r="AC431" i="8" s="1"/>
  <c r="AC432" i="8" s="1"/>
  <c r="M1004" i="8"/>
  <c r="M1005" i="8" s="1"/>
  <c r="M743" i="2"/>
  <c r="M1200" i="8" s="1"/>
  <c r="M1201" i="8" s="1"/>
  <c r="L678" i="2"/>
  <c r="AB31" i="9"/>
  <c r="AA31" i="9"/>
  <c r="T24" i="2"/>
  <c r="T323" i="8" s="1"/>
  <c r="T324" i="8" s="1"/>
  <c r="Y201" i="2"/>
  <c r="Y211" i="2" s="1"/>
  <c r="K477" i="2"/>
  <c r="K487" i="2" s="1"/>
  <c r="X418" i="2"/>
  <c r="U477" i="2"/>
  <c r="R210" i="2"/>
  <c r="AC144" i="2"/>
  <c r="AC395" i="8" s="1"/>
  <c r="AC396" i="8" s="1"/>
  <c r="T19" i="2"/>
  <c r="T29" i="2" s="1"/>
  <c r="X20" i="2"/>
  <c r="S600" i="2"/>
  <c r="S610" i="2" s="1"/>
  <c r="O197" i="2"/>
  <c r="L28" i="2"/>
  <c r="P483" i="2"/>
  <c r="AB271" i="2"/>
  <c r="O306" i="2"/>
  <c r="O688" i="8" s="1"/>
  <c r="O689" i="8" s="1"/>
  <c r="AB300" i="2"/>
  <c r="AB664" i="8" s="1"/>
  <c r="AB665" i="8" s="1"/>
  <c r="O393" i="2"/>
  <c r="O952" i="8" s="1"/>
  <c r="O953" i="8" s="1"/>
  <c r="V203" i="2"/>
  <c r="M482" i="2"/>
  <c r="Y309" i="2"/>
  <c r="Y351" i="2"/>
  <c r="V213" i="2"/>
  <c r="V427" i="8"/>
  <c r="V428" i="8" s="1"/>
  <c r="AD88" i="2"/>
  <c r="AD335" i="8"/>
  <c r="AD336" i="8" s="1"/>
  <c r="AA427" i="8"/>
  <c r="AA428" i="8" s="1"/>
  <c r="AA213" i="2"/>
  <c r="AB155" i="2"/>
  <c r="AB399" i="8"/>
  <c r="AB400" i="8" s="1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O795" i="2"/>
  <c r="O1360" i="8" s="1"/>
  <c r="O1361" i="8" s="1"/>
  <c r="Z750" i="2"/>
  <c r="Z708" i="2"/>
  <c r="N808" i="8"/>
  <c r="N809" i="8" s="1"/>
  <c r="N396" i="2"/>
  <c r="N964" i="8" s="1"/>
  <c r="N965" i="8" s="1"/>
  <c r="U305" i="2"/>
  <c r="U684" i="8" s="1"/>
  <c r="U685" i="8" s="1"/>
  <c r="Q283" i="2"/>
  <c r="P337" i="2"/>
  <c r="P348" i="2"/>
  <c r="P624" i="8"/>
  <c r="P625" i="8" s="1"/>
  <c r="O608" i="8"/>
  <c r="O609" i="8" s="1"/>
  <c r="P279" i="2"/>
  <c r="O333" i="2"/>
  <c r="O344" i="2"/>
  <c r="U597" i="2"/>
  <c r="U607" i="2" s="1"/>
  <c r="AA538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N698" i="2"/>
  <c r="N1056" i="8" s="1"/>
  <c r="N1057" i="8" s="1"/>
  <c r="T702" i="2"/>
  <c r="T1072" i="8" s="1"/>
  <c r="T1073" i="8" s="1"/>
  <c r="O1000" i="8"/>
  <c r="O1001" i="8" s="1"/>
  <c r="P677" i="2"/>
  <c r="O731" i="2"/>
  <c r="O742" i="2"/>
  <c r="Q988" i="8"/>
  <c r="Q989" i="8" s="1"/>
  <c r="Q702" i="2"/>
  <c r="Q1072" i="8" s="1"/>
  <c r="Q1073" i="8" s="1"/>
  <c r="Q704" i="2"/>
  <c r="Q1080" i="8" s="1"/>
  <c r="Q1081" i="8" s="1"/>
  <c r="Q699" i="2"/>
  <c r="Q1060" i="8" s="1"/>
  <c r="Q1061" i="8" s="1"/>
  <c r="Q703" i="2"/>
  <c r="Q1076" i="8" s="1"/>
  <c r="Q1077" i="8" s="1"/>
  <c r="AD761" i="2"/>
  <c r="AD790" i="2" s="1"/>
  <c r="AD718" i="2"/>
  <c r="P705" i="2"/>
  <c r="P1084" i="8" s="1"/>
  <c r="P1085" i="8" s="1"/>
  <c r="N376" i="2"/>
  <c r="N908" i="8" s="1"/>
  <c r="N909" i="8" s="1"/>
  <c r="T305" i="2"/>
  <c r="T684" i="8" s="1"/>
  <c r="T685" i="8" s="1"/>
  <c r="AD319" i="2"/>
  <c r="AD362" i="2"/>
  <c r="AD391" i="2" s="1"/>
  <c r="L279" i="2"/>
  <c r="M608" i="8"/>
  <c r="M609" i="8" s="1"/>
  <c r="M333" i="2"/>
  <c r="M344" i="2"/>
  <c r="M812" i="8"/>
  <c r="M813" i="8" s="1"/>
  <c r="M397" i="2"/>
  <c r="M968" i="8" s="1"/>
  <c r="M969" i="8" s="1"/>
  <c r="AE988" i="8"/>
  <c r="AE989" i="8" s="1"/>
  <c r="AE699" i="2"/>
  <c r="AE1060" i="8" s="1"/>
  <c r="AE1061" i="8" s="1"/>
  <c r="V430" i="2"/>
  <c r="V421" i="2"/>
  <c r="T214" i="2"/>
  <c r="W24" i="2"/>
  <c r="W34" i="2" s="1"/>
  <c r="X311" i="8"/>
  <c r="X312" i="8" s="1"/>
  <c r="AD415" i="8"/>
  <c r="AD416" i="8" s="1"/>
  <c r="AB422" i="2"/>
  <c r="AB432" i="2" s="1"/>
  <c r="AB25" i="2"/>
  <c r="AB35" i="2" s="1"/>
  <c r="AB78" i="2"/>
  <c r="L31" i="2"/>
  <c r="X201" i="2"/>
  <c r="AA21" i="2"/>
  <c r="AA311" i="8" s="1"/>
  <c r="AA312" i="8" s="1"/>
  <c r="O984" i="8"/>
  <c r="O985" i="8" s="1"/>
  <c r="O704" i="2"/>
  <c r="O1080" i="8" s="1"/>
  <c r="O1081" i="8" s="1"/>
  <c r="AD988" i="8"/>
  <c r="AD989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C698" i="2"/>
  <c r="AC1056" i="8" s="1"/>
  <c r="AC1057" i="8" s="1"/>
  <c r="O703" i="2"/>
  <c r="O1076" i="8" s="1"/>
  <c r="O1077" i="8" s="1"/>
  <c r="X703" i="2"/>
  <c r="X1076" i="8" s="1"/>
  <c r="X1077" i="8" s="1"/>
  <c r="M1020" i="8"/>
  <c r="M1021" i="8" s="1"/>
  <c r="M736" i="2"/>
  <c r="L682" i="2"/>
  <c r="M747" i="2"/>
  <c r="AC705" i="2"/>
  <c r="AC1084" i="8" s="1"/>
  <c r="AC1085" i="8" s="1"/>
  <c r="S708" i="2"/>
  <c r="S750" i="2"/>
  <c r="N1156" i="8"/>
  <c r="N1157" i="8" s="1"/>
  <c r="N752" i="2"/>
  <c r="N1228" i="8" s="1"/>
  <c r="N1229" i="8" s="1"/>
  <c r="M1188" i="8"/>
  <c r="M1189" i="8" s="1"/>
  <c r="M791" i="2"/>
  <c r="N776" i="8"/>
  <c r="N777" i="8" s="1"/>
  <c r="N357" i="2"/>
  <c r="N848" i="8" s="1"/>
  <c r="N849" i="8" s="1"/>
  <c r="AE304" i="2"/>
  <c r="AE680" i="8" s="1"/>
  <c r="AE681" i="8" s="1"/>
  <c r="S305" i="2"/>
  <c r="S684" i="8" s="1"/>
  <c r="S685" i="8" s="1"/>
  <c r="AE319" i="2"/>
  <c r="AE362" i="2"/>
  <c r="AE391" i="2" s="1"/>
  <c r="O808" i="8"/>
  <c r="O809" i="8" s="1"/>
  <c r="O396" i="2"/>
  <c r="O964" i="8" s="1"/>
  <c r="O965" i="8" s="1"/>
  <c r="L346" i="2"/>
  <c r="L335" i="2"/>
  <c r="L616" i="8"/>
  <c r="L617" i="8" s="1"/>
  <c r="W988" i="8"/>
  <c r="W989" i="8" s="1"/>
  <c r="W705" i="2"/>
  <c r="W1084" i="8" s="1"/>
  <c r="W1085" i="8" s="1"/>
  <c r="W702" i="2"/>
  <c r="W1072" i="8" s="1"/>
  <c r="W1073" i="8" s="1"/>
  <c r="W700" i="2"/>
  <c r="W1064" i="8" s="1"/>
  <c r="W1065" i="8" s="1"/>
  <c r="W703" i="2"/>
  <c r="W1076" i="8" s="1"/>
  <c r="W1077" i="8" s="1"/>
  <c r="P424" i="2"/>
  <c r="P434" i="2" s="1"/>
  <c r="AE20" i="2"/>
  <c r="AC701" i="2"/>
  <c r="AC1068" i="8" s="1"/>
  <c r="AC1069" i="8" s="1"/>
  <c r="AD703" i="2"/>
  <c r="AD1076" i="8" s="1"/>
  <c r="AD1077" i="8" s="1"/>
  <c r="M1152" i="8"/>
  <c r="M1153" i="8" s="1"/>
  <c r="M751" i="2"/>
  <c r="P1012" i="8"/>
  <c r="P1013" i="8" s="1"/>
  <c r="P734" i="2"/>
  <c r="P745" i="2"/>
  <c r="Q680" i="2"/>
  <c r="P421" i="2"/>
  <c r="P992" i="8"/>
  <c r="P993" i="8" s="1"/>
  <c r="Q675" i="2"/>
  <c r="P740" i="2"/>
  <c r="P729" i="2"/>
  <c r="X544" i="2"/>
  <c r="AA536" i="2"/>
  <c r="AA546" i="2" s="1"/>
  <c r="P416" i="2"/>
  <c r="P426" i="2" s="1"/>
  <c r="W420" i="2"/>
  <c r="P417" i="2"/>
  <c r="W423" i="2"/>
  <c r="AB20" i="2"/>
  <c r="O140" i="2"/>
  <c r="O150" i="2" s="1"/>
  <c r="AC87" i="2"/>
  <c r="AD299" i="8"/>
  <c r="AD300" i="8" s="1"/>
  <c r="AB80" i="2"/>
  <c r="AA17" i="2"/>
  <c r="AA295" i="8" s="1"/>
  <c r="AA296" i="8" s="1"/>
  <c r="P95" i="2"/>
  <c r="W417" i="2"/>
  <c r="W427" i="2" s="1"/>
  <c r="AB481" i="2"/>
  <c r="AB491" i="2" s="1"/>
  <c r="T22" i="2"/>
  <c r="X17" i="2"/>
  <c r="W481" i="2"/>
  <c r="T25" i="2"/>
  <c r="V18" i="2"/>
  <c r="N21" i="2"/>
  <c r="N1168" i="8"/>
  <c r="N1169" i="8" s="1"/>
  <c r="N755" i="2"/>
  <c r="N1240" i="8" s="1"/>
  <c r="N1241" i="8" s="1"/>
  <c r="AB702" i="2"/>
  <c r="AB1072" i="8" s="1"/>
  <c r="AB1073" i="8" s="1"/>
  <c r="P699" i="2"/>
  <c r="P1060" i="8" s="1"/>
  <c r="P1061" i="8" s="1"/>
  <c r="V988" i="8"/>
  <c r="V989" i="8" s="1"/>
  <c r="V705" i="2"/>
  <c r="V1084" i="8" s="1"/>
  <c r="V1085" i="8" s="1"/>
  <c r="V703" i="2"/>
  <c r="V1076" i="8" s="1"/>
  <c r="V1077" i="8" s="1"/>
  <c r="V701" i="2"/>
  <c r="V1068" i="8" s="1"/>
  <c r="V1069" i="8" s="1"/>
  <c r="V700" i="2"/>
  <c r="V1064" i="8" s="1"/>
  <c r="V1065" i="8" s="1"/>
  <c r="Q588" i="8"/>
  <c r="Q589" i="8" s="1"/>
  <c r="M760" i="8"/>
  <c r="M761" i="8" s="1"/>
  <c r="M353" i="2"/>
  <c r="M832" i="8" s="1"/>
  <c r="M833" i="8" s="1"/>
  <c r="N1196" i="8"/>
  <c r="N1197" i="8" s="1"/>
  <c r="N793" i="2"/>
  <c r="N1352" i="8" s="1"/>
  <c r="N1353" i="8" s="1"/>
  <c r="AE702" i="2"/>
  <c r="AE1072" i="8" s="1"/>
  <c r="AE1073" i="8" s="1"/>
  <c r="N792" i="8"/>
  <c r="N793" i="8" s="1"/>
  <c r="N349" i="2"/>
  <c r="N824" i="8" s="1"/>
  <c r="N825" i="8" s="1"/>
  <c r="N392" i="2"/>
  <c r="O1152" i="8"/>
  <c r="O1153" i="8" s="1"/>
  <c r="O751" i="2"/>
  <c r="S306" i="2"/>
  <c r="S688" i="8" s="1"/>
  <c r="S689" i="8" s="1"/>
  <c r="E302" i="2"/>
  <c r="T302" i="2" s="1"/>
  <c r="T672" i="8" s="1"/>
  <c r="T673" i="8" s="1"/>
  <c r="N333" i="2"/>
  <c r="O1208" i="8"/>
  <c r="O1209" i="8" s="1"/>
  <c r="O796" i="2"/>
  <c r="O1364" i="8" s="1"/>
  <c r="O1365" i="8" s="1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T479" i="2"/>
  <c r="T489" i="2" s="1"/>
  <c r="N1160" i="8"/>
  <c r="N1161" i="8" s="1"/>
  <c r="N753" i="2"/>
  <c r="N1232" i="8" s="1"/>
  <c r="N1233" i="8" s="1"/>
  <c r="M588" i="8"/>
  <c r="M589" i="8" s="1"/>
  <c r="M299" i="2"/>
  <c r="M660" i="8" s="1"/>
  <c r="M661" i="8" s="1"/>
  <c r="M393" i="2"/>
  <c r="M952" i="8" s="1"/>
  <c r="M953" i="8" s="1"/>
  <c r="M304" i="2"/>
  <c r="M680" i="8" s="1"/>
  <c r="M681" i="8" s="1"/>
  <c r="V416" i="2"/>
  <c r="U602" i="2"/>
  <c r="U603" i="2"/>
  <c r="T598" i="2"/>
  <c r="X429" i="2"/>
  <c r="M542" i="2"/>
  <c r="AC476" i="2"/>
  <c r="AC486" i="2" s="1"/>
  <c r="O420" i="2"/>
  <c r="O430" i="2" s="1"/>
  <c r="V417" i="2"/>
  <c r="V427" i="2" s="1"/>
  <c r="W480" i="2"/>
  <c r="W422" i="2"/>
  <c r="AB421" i="2"/>
  <c r="AB431" i="2" s="1"/>
  <c r="AE23" i="2"/>
  <c r="W484" i="2"/>
  <c r="W198" i="2"/>
  <c r="W208" i="2" s="1"/>
  <c r="T20" i="2"/>
  <c r="AE24" i="2"/>
  <c r="AD144" i="2"/>
  <c r="AD355" i="8"/>
  <c r="AD356" i="8" s="1"/>
  <c r="X145" i="2"/>
  <c r="AD205" i="2"/>
  <c r="AD215" i="2" s="1"/>
  <c r="AE478" i="2"/>
  <c r="AA419" i="2"/>
  <c r="AB19" i="2"/>
  <c r="L420" i="2"/>
  <c r="L430" i="2" s="1"/>
  <c r="L416" i="2"/>
  <c r="AB416" i="2"/>
  <c r="AB426" i="2" s="1"/>
  <c r="N149" i="2"/>
  <c r="AD21" i="2"/>
  <c r="M1008" i="8"/>
  <c r="M1009" i="8" s="1"/>
  <c r="L679" i="2"/>
  <c r="M733" i="2"/>
  <c r="M744" i="2"/>
  <c r="T700" i="2"/>
  <c r="T1064" i="8" s="1"/>
  <c r="T1065" i="8" s="1"/>
  <c r="N702" i="2"/>
  <c r="N1072" i="8" s="1"/>
  <c r="N1073" i="8" s="1"/>
  <c r="M703" i="2"/>
  <c r="M1076" i="8" s="1"/>
  <c r="M1077" i="8" s="1"/>
  <c r="U988" i="8"/>
  <c r="U989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P588" i="8"/>
  <c r="P589" i="8" s="1"/>
  <c r="P299" i="2"/>
  <c r="P660" i="8" s="1"/>
  <c r="P661" i="8" s="1"/>
  <c r="P304" i="2"/>
  <c r="P680" i="8" s="1"/>
  <c r="P681" i="8" s="1"/>
  <c r="N734" i="2"/>
  <c r="N588" i="8"/>
  <c r="N589" i="8" s="1"/>
  <c r="N299" i="2"/>
  <c r="N660" i="8" s="1"/>
  <c r="N661" i="8" s="1"/>
  <c r="N302" i="2"/>
  <c r="N672" i="8" s="1"/>
  <c r="N673" i="8" s="1"/>
  <c r="N395" i="2"/>
  <c r="N960" i="8" s="1"/>
  <c r="N961" i="8" s="1"/>
  <c r="N304" i="2"/>
  <c r="N680" i="8" s="1"/>
  <c r="N681" i="8" s="1"/>
  <c r="M596" i="8"/>
  <c r="M597" i="8" s="1"/>
  <c r="L276" i="2"/>
  <c r="M341" i="2"/>
  <c r="M330" i="2"/>
  <c r="V718" i="2"/>
  <c r="V761" i="2"/>
  <c r="V790" i="2" s="1"/>
  <c r="O1188" i="8"/>
  <c r="O1189" i="8" s="1"/>
  <c r="O791" i="2"/>
  <c r="N1176" i="8"/>
  <c r="N1177" i="8" s="1"/>
  <c r="N757" i="2"/>
  <c r="N1248" i="8" s="1"/>
  <c r="N1249" i="8" s="1"/>
  <c r="O776" i="8"/>
  <c r="O777" i="8" s="1"/>
  <c r="O357" i="2"/>
  <c r="O848" i="8" s="1"/>
  <c r="O849" i="8" s="1"/>
  <c r="Y304" i="2"/>
  <c r="Y680" i="8" s="1"/>
  <c r="Y681" i="8" s="1"/>
  <c r="AB305" i="2"/>
  <c r="AB684" i="8" s="1"/>
  <c r="AB685" i="8" s="1"/>
  <c r="O800" i="8"/>
  <c r="O801" i="8" s="1"/>
  <c r="O394" i="2"/>
  <c r="O956" i="8" s="1"/>
  <c r="O957" i="8" s="1"/>
  <c r="N718" i="2"/>
  <c r="N761" i="2"/>
  <c r="N790" i="2" s="1"/>
  <c r="O392" i="2"/>
  <c r="R264" i="2"/>
  <c r="Q264" i="2"/>
  <c r="O1016" i="8"/>
  <c r="O1017" i="8" s="1"/>
  <c r="O735" i="2"/>
  <c r="P681" i="2"/>
  <c r="O746" i="2"/>
  <c r="R588" i="8"/>
  <c r="R589" i="8" s="1"/>
  <c r="AE704" i="2"/>
  <c r="AE1080" i="8" s="1"/>
  <c r="AE1081" i="8" s="1"/>
  <c r="E701" i="2"/>
  <c r="Q701" i="2" s="1"/>
  <c r="Q1068" i="8" s="1"/>
  <c r="Q1069" i="8" s="1"/>
  <c r="M732" i="2"/>
  <c r="N732" i="2"/>
  <c r="T588" i="8"/>
  <c r="T589" i="8" s="1"/>
  <c r="T299" i="2"/>
  <c r="T660" i="8" s="1"/>
  <c r="T661" i="8" s="1"/>
  <c r="T300" i="2"/>
  <c r="T664" i="8" s="1"/>
  <c r="T665" i="8" s="1"/>
  <c r="N1192" i="8"/>
  <c r="N1193" i="8" s="1"/>
  <c r="N792" i="2"/>
  <c r="N1348" i="8" s="1"/>
  <c r="N1349" i="8" s="1"/>
  <c r="O734" i="2"/>
  <c r="N1216" i="8"/>
  <c r="N1217" i="8" s="1"/>
  <c r="N798" i="2"/>
  <c r="N1372" i="8" s="1"/>
  <c r="N1373" i="8" s="1"/>
  <c r="O764" i="8"/>
  <c r="O765" i="8" s="1"/>
  <c r="O354" i="2"/>
  <c r="O836" i="8" s="1"/>
  <c r="O837" i="8" s="1"/>
  <c r="AA304" i="2"/>
  <c r="AA680" i="8" s="1"/>
  <c r="AA681" i="8" s="1"/>
  <c r="M336" i="2"/>
  <c r="O1168" i="8"/>
  <c r="O1169" i="8" s="1"/>
  <c r="O755" i="2"/>
  <c r="O1240" i="8" s="1"/>
  <c r="O1241" i="8" s="1"/>
  <c r="W483" i="2"/>
  <c r="W493" i="2" s="1"/>
  <c r="U493" i="2"/>
  <c r="T200" i="2"/>
  <c r="P21" i="2"/>
  <c r="AB28" i="2"/>
  <c r="AE305" i="2"/>
  <c r="AE684" i="8" s="1"/>
  <c r="AE685" i="8" s="1"/>
  <c r="AE588" i="8"/>
  <c r="AE589" i="8" s="1"/>
  <c r="N800" i="8"/>
  <c r="N801" i="8" s="1"/>
  <c r="N394" i="2"/>
  <c r="N956" i="8" s="1"/>
  <c r="N957" i="8" s="1"/>
  <c r="AE306" i="2"/>
  <c r="AE688" i="8" s="1"/>
  <c r="AE689" i="8" s="1"/>
  <c r="X708" i="2"/>
  <c r="X750" i="2"/>
  <c r="M1176" i="8"/>
  <c r="M1177" i="8" s="1"/>
  <c r="M757" i="2"/>
  <c r="M1248" i="8" s="1"/>
  <c r="M1249" i="8" s="1"/>
  <c r="X304" i="2"/>
  <c r="X680" i="8" s="1"/>
  <c r="X681" i="8" s="1"/>
  <c r="N305" i="2"/>
  <c r="N684" i="8" s="1"/>
  <c r="N685" i="8" s="1"/>
  <c r="L699" i="2"/>
  <c r="L1060" i="8" s="1"/>
  <c r="L1061" i="8" s="1"/>
  <c r="H336" i="2"/>
  <c r="Z603" i="2"/>
  <c r="M604" i="2"/>
  <c r="L541" i="2"/>
  <c r="W541" i="2"/>
  <c r="W551" i="2" s="1"/>
  <c r="AB419" i="2"/>
  <c r="L544" i="2"/>
  <c r="W201" i="2"/>
  <c r="W211" i="2" s="1"/>
  <c r="T417" i="2"/>
  <c r="O422" i="2"/>
  <c r="U205" i="2"/>
  <c r="W200" i="2"/>
  <c r="AD143" i="2"/>
  <c r="AD391" i="8" s="1"/>
  <c r="AD392" i="8" s="1"/>
  <c r="AA484" i="2"/>
  <c r="AD137" i="2"/>
  <c r="AD367" i="8" s="1"/>
  <c r="AD368" i="8" s="1"/>
  <c r="AB17" i="2"/>
  <c r="V141" i="2"/>
  <c r="O94" i="2"/>
  <c r="M339" i="8"/>
  <c r="M340" i="8" s="1"/>
  <c r="M343" i="8"/>
  <c r="M344" i="8" s="1"/>
  <c r="P355" i="8"/>
  <c r="P356" i="8" s="1"/>
  <c r="U598" i="2"/>
  <c r="S604" i="2"/>
  <c r="S614" i="2" s="1"/>
  <c r="M203" i="2"/>
  <c r="M427" i="8" s="1"/>
  <c r="M428" i="8" s="1"/>
  <c r="AB478" i="2"/>
  <c r="AB488" i="2" s="1"/>
  <c r="AB483" i="2"/>
  <c r="AB493" i="2" s="1"/>
  <c r="L200" i="2"/>
  <c r="L415" i="8" s="1"/>
  <c r="L416" i="8" s="1"/>
  <c r="N416" i="2"/>
  <c r="U604" i="2"/>
  <c r="Z984" i="8"/>
  <c r="Z985" i="8" s="1"/>
  <c r="Z700" i="2"/>
  <c r="Z1064" i="8" s="1"/>
  <c r="Z1065" i="8" s="1"/>
  <c r="Z703" i="2"/>
  <c r="Z1076" i="8" s="1"/>
  <c r="Z1077" i="8" s="1"/>
  <c r="Z699" i="2"/>
  <c r="Z1060" i="8" s="1"/>
  <c r="Z1061" i="8" s="1"/>
  <c r="Z705" i="2"/>
  <c r="Z1084" i="8" s="1"/>
  <c r="Z1085" i="8" s="1"/>
  <c r="Z702" i="2"/>
  <c r="Z1072" i="8" s="1"/>
  <c r="Z1073" i="8" s="1"/>
  <c r="Z698" i="2"/>
  <c r="Z1056" i="8" s="1"/>
  <c r="Z1057" i="8" s="1"/>
  <c r="X699" i="2"/>
  <c r="X1060" i="8" s="1"/>
  <c r="X1061" i="8" s="1"/>
  <c r="P700" i="2"/>
  <c r="P1064" i="8" s="1"/>
  <c r="P1065" i="8" s="1"/>
  <c r="H734" i="2"/>
  <c r="L703" i="2"/>
  <c r="L1076" i="8" s="1"/>
  <c r="L1077" i="8" s="1"/>
  <c r="M1000" i="8"/>
  <c r="M1001" i="8" s="1"/>
  <c r="M742" i="2"/>
  <c r="M748" i="2" s="1"/>
  <c r="M1220" i="8" s="1"/>
  <c r="M1221" i="8" s="1"/>
  <c r="L677" i="2"/>
  <c r="M731" i="2"/>
  <c r="M737" i="2" s="1"/>
  <c r="M1184" i="8" s="1"/>
  <c r="M1185" i="8" s="1"/>
  <c r="S988" i="8"/>
  <c r="S989" i="8" s="1"/>
  <c r="S698" i="2"/>
  <c r="S1056" i="8" s="1"/>
  <c r="S1057" i="8" s="1"/>
  <c r="S699" i="2"/>
  <c r="S1060" i="8" s="1"/>
  <c r="S1061" i="8" s="1"/>
  <c r="S704" i="2"/>
  <c r="S1080" i="8" s="1"/>
  <c r="S1081" i="8" s="1"/>
  <c r="S701" i="2"/>
  <c r="S1068" i="8" s="1"/>
  <c r="S1069" i="8" s="1"/>
  <c r="O588" i="8"/>
  <c r="O589" i="8" s="1"/>
  <c r="O302" i="2"/>
  <c r="O672" i="8" s="1"/>
  <c r="O673" i="8" s="1"/>
  <c r="O304" i="2"/>
  <c r="O680" i="8" s="1"/>
  <c r="O681" i="8" s="1"/>
  <c r="O305" i="2"/>
  <c r="O684" i="8" s="1"/>
  <c r="O685" i="8" s="1"/>
  <c r="N760" i="8"/>
  <c r="N761" i="8" s="1"/>
  <c r="N353" i="2"/>
  <c r="AE705" i="2"/>
  <c r="AE1084" i="8" s="1"/>
  <c r="AE1085" i="8" s="1"/>
  <c r="N1208" i="8"/>
  <c r="N1209" i="8" s="1"/>
  <c r="N796" i="2"/>
  <c r="N1364" i="8" s="1"/>
  <c r="N1365" i="8" s="1"/>
  <c r="AE299" i="2"/>
  <c r="AE660" i="8" s="1"/>
  <c r="AE661" i="8" s="1"/>
  <c r="N1152" i="8"/>
  <c r="N1153" i="8" s="1"/>
  <c r="N737" i="2"/>
  <c r="N1184" i="8" s="1"/>
  <c r="N1185" i="8" s="1"/>
  <c r="N751" i="2"/>
  <c r="R299" i="2"/>
  <c r="R660" i="8" s="1"/>
  <c r="R661" i="8" s="1"/>
  <c r="Q306" i="2"/>
  <c r="Q688" i="8" s="1"/>
  <c r="Q689" i="8" s="1"/>
  <c r="P704" i="2"/>
  <c r="P1080" i="8" s="1"/>
  <c r="P1081" i="8" s="1"/>
  <c r="S300" i="2"/>
  <c r="S664" i="8" s="1"/>
  <c r="S665" i="8" s="1"/>
  <c r="AA305" i="2"/>
  <c r="AA684" i="8" s="1"/>
  <c r="AA685" i="8" s="1"/>
  <c r="P703" i="2"/>
  <c r="P1076" i="8" s="1"/>
  <c r="P1077" i="8" s="1"/>
  <c r="Z300" i="2"/>
  <c r="Z664" i="8" s="1"/>
  <c r="Z665" i="8" s="1"/>
  <c r="L331" i="2"/>
  <c r="Q319" i="2"/>
  <c r="Q362" i="2"/>
  <c r="Q391" i="2" s="1"/>
  <c r="AB34" i="9"/>
  <c r="AA34" i="9"/>
  <c r="R479" i="2"/>
  <c r="R489" i="2" s="1"/>
  <c r="S362" i="2"/>
  <c r="S391" i="2" s="1"/>
  <c r="S319" i="2"/>
  <c r="P351" i="2"/>
  <c r="P309" i="2"/>
  <c r="Y703" i="2"/>
  <c r="Y1076" i="8" s="1"/>
  <c r="Y1077" i="8" s="1"/>
  <c r="U543" i="2"/>
  <c r="AD138" i="2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S588" i="8"/>
  <c r="S589" i="8" s="1"/>
  <c r="S302" i="2"/>
  <c r="S672" i="8" s="1"/>
  <c r="S673" i="8" s="1"/>
  <c r="N1180" i="8"/>
  <c r="N1181" i="8" s="1"/>
  <c r="N758" i="2"/>
  <c r="N1252" i="8" s="1"/>
  <c r="N1253" i="8" s="1"/>
  <c r="N775" i="2"/>
  <c r="N1304" i="8" s="1"/>
  <c r="N1305" i="8" s="1"/>
  <c r="O705" i="2"/>
  <c r="O1084" i="8" s="1"/>
  <c r="O1085" i="8" s="1"/>
  <c r="R305" i="2"/>
  <c r="R684" i="8" s="1"/>
  <c r="R685" i="8" s="1"/>
  <c r="N334" i="2"/>
  <c r="O334" i="2"/>
  <c r="M334" i="2"/>
  <c r="E303" i="2"/>
  <c r="M303" i="2" s="1"/>
  <c r="M676" i="8" s="1"/>
  <c r="M677" i="8" s="1"/>
  <c r="L334" i="2"/>
  <c r="L336" i="2"/>
  <c r="L620" i="8"/>
  <c r="L621" i="8" s="1"/>
  <c r="L347" i="2"/>
  <c r="V423" i="2"/>
  <c r="V433" i="2" s="1"/>
  <c r="P25" i="2"/>
  <c r="P35" i="2" s="1"/>
  <c r="R355" i="8"/>
  <c r="R356" i="8" s="1"/>
  <c r="U600" i="2"/>
  <c r="W698" i="2"/>
  <c r="W1056" i="8" s="1"/>
  <c r="W1057" i="8" s="1"/>
  <c r="O702" i="2"/>
  <c r="O1072" i="8" s="1"/>
  <c r="O1073" i="8" s="1"/>
  <c r="N703" i="2"/>
  <c r="N1076" i="8" s="1"/>
  <c r="N1077" i="8" s="1"/>
  <c r="M362" i="2"/>
  <c r="M391" i="2" s="1"/>
  <c r="M319" i="2"/>
  <c r="N362" i="2"/>
  <c r="N391" i="2" s="1"/>
  <c r="N319" i="2"/>
  <c r="Q305" i="2"/>
  <c r="Q684" i="8" s="1"/>
  <c r="Q685" i="8" s="1"/>
  <c r="R270" i="2"/>
  <c r="Q270" i="2"/>
  <c r="X305" i="2"/>
  <c r="X684" i="8" s="1"/>
  <c r="X685" i="8" s="1"/>
  <c r="M776" i="8"/>
  <c r="M777" i="8" s="1"/>
  <c r="M357" i="2"/>
  <c r="M848" i="8" s="1"/>
  <c r="M849" i="8" s="1"/>
  <c r="T604" i="2"/>
  <c r="Y538" i="2"/>
  <c r="AB417" i="2"/>
  <c r="AB427" i="2" s="1"/>
  <c r="L210" i="2"/>
  <c r="AA19" i="2"/>
  <c r="W479" i="2"/>
  <c r="Q417" i="2"/>
  <c r="Q427" i="2" s="1"/>
  <c r="N1204" i="8"/>
  <c r="N1205" i="8" s="1"/>
  <c r="N795" i="2"/>
  <c r="N1360" i="8" s="1"/>
  <c r="N1361" i="8" s="1"/>
  <c r="Y699" i="2"/>
  <c r="Y1060" i="8" s="1"/>
  <c r="Y1061" i="8" s="1"/>
  <c r="AB703" i="2"/>
  <c r="AB1076" i="8" s="1"/>
  <c r="AB1077" i="8" s="1"/>
  <c r="T988" i="8"/>
  <c r="T989" i="8" s="1"/>
  <c r="F989" i="8" s="1"/>
  <c r="T699" i="2"/>
  <c r="T1060" i="8" s="1"/>
  <c r="T1061" i="8" s="1"/>
  <c r="T698" i="2"/>
  <c r="T1056" i="8" s="1"/>
  <c r="T1057" i="8" s="1"/>
  <c r="T704" i="2"/>
  <c r="T1080" i="8" s="1"/>
  <c r="T1081" i="8" s="1"/>
  <c r="M1012" i="8"/>
  <c r="M1013" i="8" s="1"/>
  <c r="M745" i="2"/>
  <c r="L680" i="2"/>
  <c r="M734" i="2"/>
  <c r="L348" i="2"/>
  <c r="L624" i="8"/>
  <c r="L625" i="8" s="1"/>
  <c r="L337" i="2"/>
  <c r="L796" i="8"/>
  <c r="L797" i="8" s="1"/>
  <c r="L393" i="2"/>
  <c r="L952" i="8" s="1"/>
  <c r="L953" i="8" s="1"/>
  <c r="Q663" i="2"/>
  <c r="R663" i="2"/>
  <c r="Z601" i="2"/>
  <c r="T603" i="2"/>
  <c r="AD543" i="2"/>
  <c r="AA537" i="2"/>
  <c r="AC418" i="2"/>
  <c r="AC428" i="2" s="1"/>
  <c r="M476" i="2"/>
  <c r="AB538" i="2"/>
  <c r="U197" i="2"/>
  <c r="AD199" i="2"/>
  <c r="AD209" i="2" s="1"/>
  <c r="AD155" i="2"/>
  <c r="V422" i="2"/>
  <c r="Q421" i="2"/>
  <c r="Q431" i="2" s="1"/>
  <c r="W205" i="2"/>
  <c r="W215" i="2" s="1"/>
  <c r="X200" i="2"/>
  <c r="K143" i="2"/>
  <c r="M484" i="2"/>
  <c r="AD89" i="2"/>
  <c r="T88" i="2"/>
  <c r="AB423" i="2"/>
  <c r="AB433" i="2" s="1"/>
  <c r="P24" i="2"/>
  <c r="P34" i="2" s="1"/>
  <c r="X141" i="2"/>
  <c r="AE18" i="2"/>
  <c r="AA83" i="2"/>
  <c r="AA93" i="2" s="1"/>
  <c r="AB77" i="2"/>
  <c r="AB299" i="8"/>
  <c r="AB300" i="8" s="1"/>
  <c r="S387" i="8"/>
  <c r="S388" i="8" s="1"/>
  <c r="W343" i="8"/>
  <c r="W344" i="8" s="1"/>
  <c r="Y427" i="8"/>
  <c r="Y428" i="8" s="1"/>
  <c r="P90" i="2"/>
  <c r="AE17" i="2"/>
  <c r="AB612" i="2"/>
  <c r="U199" i="2"/>
  <c r="U209" i="2" s="1"/>
  <c r="M479" i="2"/>
  <c r="S601" i="2"/>
  <c r="S611" i="2" s="1"/>
  <c r="AD483" i="2"/>
  <c r="AD493" i="2" s="1"/>
  <c r="P201" i="2"/>
  <c r="P419" i="8" s="1"/>
  <c r="P420" i="8" s="1"/>
  <c r="AD22" i="2"/>
  <c r="T21" i="2"/>
  <c r="M984" i="8"/>
  <c r="M985" i="8" s="1"/>
  <c r="M704" i="2"/>
  <c r="M1080" i="8" s="1"/>
  <c r="M1081" i="8" s="1"/>
  <c r="M705" i="2"/>
  <c r="M1084" i="8" s="1"/>
  <c r="M1085" i="8" s="1"/>
  <c r="F1085" i="8" s="1"/>
  <c r="W699" i="2"/>
  <c r="W1060" i="8" s="1"/>
  <c r="W1061" i="8" s="1"/>
  <c r="AE700" i="2"/>
  <c r="AE1064" i="8" s="1"/>
  <c r="AE1065" i="8" s="1"/>
  <c r="AD592" i="8"/>
  <c r="AD593" i="8" s="1"/>
  <c r="AD305" i="2"/>
  <c r="AD684" i="8" s="1"/>
  <c r="AD685" i="8" s="1"/>
  <c r="T703" i="2"/>
  <c r="T1076" i="8" s="1"/>
  <c r="T1077" i="8" s="1"/>
  <c r="O699" i="2"/>
  <c r="O1060" i="8" s="1"/>
  <c r="O1061" i="8" s="1"/>
  <c r="R988" i="8"/>
  <c r="R989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W588" i="8"/>
  <c r="W589" i="8" s="1"/>
  <c r="W302" i="2"/>
  <c r="W672" i="8" s="1"/>
  <c r="W673" i="8" s="1"/>
  <c r="W300" i="2"/>
  <c r="W664" i="8" s="1"/>
  <c r="W665" i="8" s="1"/>
  <c r="W305" i="2"/>
  <c r="W684" i="8" s="1"/>
  <c r="W685" i="8" s="1"/>
  <c r="W301" i="2"/>
  <c r="W668" i="8" s="1"/>
  <c r="W669" i="8" s="1"/>
  <c r="W306" i="2"/>
  <c r="W688" i="8" s="1"/>
  <c r="W689" i="8" s="1"/>
  <c r="Q299" i="2"/>
  <c r="Q660" i="8" s="1"/>
  <c r="Q661" i="8" s="1"/>
  <c r="M820" i="8"/>
  <c r="M821" i="8" s="1"/>
  <c r="M399" i="2"/>
  <c r="M976" i="8" s="1"/>
  <c r="M977" i="8" s="1"/>
  <c r="N1188" i="8"/>
  <c r="N1189" i="8" s="1"/>
  <c r="N791" i="2"/>
  <c r="N748" i="2"/>
  <c r="N1220" i="8" s="1"/>
  <c r="N1221" i="8" s="1"/>
  <c r="E317" i="2"/>
  <c r="H337" i="2"/>
  <c r="Q600" i="8"/>
  <c r="Q601" i="8" s="1"/>
  <c r="Q342" i="2"/>
  <c r="R277" i="2"/>
  <c r="Q331" i="2"/>
  <c r="AD306" i="2"/>
  <c r="AD688" i="8" s="1"/>
  <c r="AD689" i="8" s="1"/>
  <c r="P702" i="2"/>
  <c r="P1072" i="8" s="1"/>
  <c r="P1073" i="8" s="1"/>
  <c r="R300" i="2"/>
  <c r="R664" i="8" s="1"/>
  <c r="R665" i="8" s="1"/>
  <c r="R304" i="2"/>
  <c r="R680" i="8" s="1"/>
  <c r="R681" i="8" s="1"/>
  <c r="M305" i="2"/>
  <c r="M684" i="8" s="1"/>
  <c r="M685" i="8" s="1"/>
  <c r="M800" i="8"/>
  <c r="M801" i="8" s="1"/>
  <c r="M394" i="2"/>
  <c r="M956" i="8" s="1"/>
  <c r="M957" i="8" s="1"/>
  <c r="M794" i="2"/>
  <c r="M1356" i="8" s="1"/>
  <c r="M1357" i="8" s="1"/>
  <c r="P303" i="2"/>
  <c r="P676" i="8" s="1"/>
  <c r="P677" i="8" s="1"/>
  <c r="O351" i="2"/>
  <c r="O309" i="2"/>
  <c r="AB718" i="2"/>
  <c r="AB761" i="2"/>
  <c r="AB790" i="2" s="1"/>
  <c r="Q268" i="2"/>
  <c r="R268" i="2"/>
  <c r="AC305" i="2"/>
  <c r="AC684" i="8" s="1"/>
  <c r="AC685" i="8" s="1"/>
  <c r="M1156" i="8"/>
  <c r="M1157" i="8" s="1"/>
  <c r="M752" i="2"/>
  <c r="M1228" i="8" s="1"/>
  <c r="M1229" i="8" s="1"/>
  <c r="AC351" i="2"/>
  <c r="AC309" i="2"/>
  <c r="O1216" i="8"/>
  <c r="O1217" i="8" s="1"/>
  <c r="O798" i="2"/>
  <c r="O1372" i="8" s="1"/>
  <c r="O1373" i="8" s="1"/>
  <c r="AE19" i="2"/>
  <c r="AE29" i="2" s="1"/>
  <c r="M544" i="2"/>
  <c r="M554" i="2" s="1"/>
  <c r="W418" i="2"/>
  <c r="W428" i="2" s="1"/>
  <c r="S538" i="2"/>
  <c r="X199" i="2"/>
  <c r="X209" i="2" s="1"/>
  <c r="T198" i="2"/>
  <c r="Q153" i="2"/>
  <c r="Q420" i="2"/>
  <c r="X205" i="2"/>
  <c r="AD142" i="2"/>
  <c r="AD152" i="2" s="1"/>
  <c r="AA22" i="2"/>
  <c r="AA24" i="2"/>
  <c r="T331" i="8"/>
  <c r="T332" i="8" s="1"/>
  <c r="L327" i="8"/>
  <c r="L328" i="8" s="1"/>
  <c r="U343" i="8"/>
  <c r="U344" i="8" s="1"/>
  <c r="T17" i="2"/>
  <c r="T27" i="2" s="1"/>
  <c r="X24" i="2"/>
  <c r="V479" i="2"/>
  <c r="N418" i="2"/>
  <c r="Q422" i="2"/>
  <c r="Q432" i="2" s="1"/>
  <c r="AA984" i="8"/>
  <c r="AA985" i="8" s="1"/>
  <c r="AA700" i="2"/>
  <c r="AA1064" i="8" s="1"/>
  <c r="AA1065" i="8" s="1"/>
  <c r="AA703" i="2"/>
  <c r="AA1076" i="8" s="1"/>
  <c r="AA1077" i="8" s="1"/>
  <c r="AA702" i="2"/>
  <c r="AA1072" i="8" s="1"/>
  <c r="AA1073" i="8" s="1"/>
  <c r="AA698" i="2"/>
  <c r="AA1056" i="8" s="1"/>
  <c r="AA1057" i="8" s="1"/>
  <c r="AA704" i="2"/>
  <c r="AA1080" i="8" s="1"/>
  <c r="AA1081" i="8" s="1"/>
  <c r="AA705" i="2"/>
  <c r="AA1084" i="8" s="1"/>
  <c r="AA1085" i="8" s="1"/>
  <c r="V699" i="2"/>
  <c r="V1060" i="8" s="1"/>
  <c r="V1061" i="8" s="1"/>
  <c r="O700" i="2"/>
  <c r="O1064" i="8" s="1"/>
  <c r="O1065" i="8" s="1"/>
  <c r="O718" i="2"/>
  <c r="O761" i="2"/>
  <c r="O790" i="2" s="1"/>
  <c r="V588" i="8"/>
  <c r="V589" i="8" s="1"/>
  <c r="V306" i="2"/>
  <c r="V688" i="8" s="1"/>
  <c r="V689" i="8" s="1"/>
  <c r="V300" i="2"/>
  <c r="V664" i="8" s="1"/>
  <c r="V665" i="8" s="1"/>
  <c r="V302" i="2"/>
  <c r="V672" i="8" s="1"/>
  <c r="V673" i="8" s="1"/>
  <c r="V305" i="2"/>
  <c r="V684" i="8" s="1"/>
  <c r="V685" i="8" s="1"/>
  <c r="O299" i="2"/>
  <c r="O660" i="8" s="1"/>
  <c r="O661" i="8" s="1"/>
  <c r="O1180" i="8"/>
  <c r="O1181" i="8" s="1"/>
  <c r="O758" i="2"/>
  <c r="O1252" i="8" s="1"/>
  <c r="O1253" i="8" s="1"/>
  <c r="S299" i="2"/>
  <c r="S660" i="8" s="1"/>
  <c r="S661" i="8" s="1"/>
  <c r="P796" i="8"/>
  <c r="P797" i="8" s="1"/>
  <c r="P393" i="2"/>
  <c r="P952" i="8" s="1"/>
  <c r="P953" i="8" s="1"/>
  <c r="P306" i="2"/>
  <c r="P688" i="8" s="1"/>
  <c r="P689" i="8" s="1"/>
  <c r="L1192" i="8"/>
  <c r="L1193" i="8" s="1"/>
  <c r="L792" i="2"/>
  <c r="L1348" i="8" s="1"/>
  <c r="L1349" i="8" s="1"/>
  <c r="M300" i="2"/>
  <c r="M664" i="8" s="1"/>
  <c r="M665" i="8" s="1"/>
  <c r="Q304" i="2"/>
  <c r="Q680" i="8" s="1"/>
  <c r="Q681" i="8" s="1"/>
  <c r="Z305" i="2"/>
  <c r="Z684" i="8" s="1"/>
  <c r="Z685" i="8" s="1"/>
  <c r="L1188" i="8"/>
  <c r="L1189" i="8" s="1"/>
  <c r="L791" i="2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Q418" i="2"/>
  <c r="AC702" i="2"/>
  <c r="AC1072" i="8" s="1"/>
  <c r="AC1073" i="8" s="1"/>
  <c r="M602" i="2"/>
  <c r="AA544" i="2"/>
  <c r="AC538" i="2"/>
  <c r="M536" i="2"/>
  <c r="M546" i="2" s="1"/>
  <c r="AB420" i="2"/>
  <c r="AB430" i="2" s="1"/>
  <c r="W477" i="2"/>
  <c r="T201" i="2"/>
  <c r="W434" i="2"/>
  <c r="U202" i="2"/>
  <c r="U212" i="2" s="1"/>
  <c r="P423" i="2"/>
  <c r="P433" i="2" s="1"/>
  <c r="P19" i="2"/>
  <c r="P17" i="2"/>
  <c r="Y24" i="2"/>
  <c r="AD295" i="8"/>
  <c r="AD296" i="8" s="1"/>
  <c r="K411" i="8"/>
  <c r="AB83" i="2"/>
  <c r="N197" i="2"/>
  <c r="N403" i="8" s="1"/>
  <c r="N404" i="8" s="1"/>
  <c r="U476" i="2"/>
  <c r="U486" i="2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P698" i="2"/>
  <c r="P1056" i="8" s="1"/>
  <c r="P1057" i="8" s="1"/>
  <c r="AA670" i="2"/>
  <c r="AA271" i="2"/>
  <c r="H732" i="2"/>
  <c r="P334" i="2"/>
  <c r="P760" i="8"/>
  <c r="P761" i="8" s="1"/>
  <c r="P353" i="2"/>
  <c r="P832" i="8" s="1"/>
  <c r="P833" i="8" s="1"/>
  <c r="L1156" i="8"/>
  <c r="L1157" i="8" s="1"/>
  <c r="L752" i="2"/>
  <c r="L1228" i="8" s="1"/>
  <c r="L1229" i="8" s="1"/>
  <c r="Q1020" i="8"/>
  <c r="Q1021" i="8" s="1"/>
  <c r="Q736" i="2"/>
  <c r="Q747" i="2"/>
  <c r="R682" i="2"/>
  <c r="L305" i="2"/>
  <c r="L684" i="8" s="1"/>
  <c r="L685" i="8" s="1"/>
  <c r="O756" i="8"/>
  <c r="O757" i="8" s="1"/>
  <c r="O352" i="2"/>
  <c r="L1152" i="8"/>
  <c r="L1153" i="8" s="1"/>
  <c r="L751" i="2"/>
  <c r="O820" i="8"/>
  <c r="O821" i="8" s="1"/>
  <c r="O399" i="2"/>
  <c r="O976" i="8" s="1"/>
  <c r="O977" i="8" s="1"/>
  <c r="H333" i="2"/>
  <c r="M398" i="2"/>
  <c r="M972" i="8" s="1"/>
  <c r="M973" i="8" s="1"/>
  <c r="AB32" i="9"/>
  <c r="AA32" i="9"/>
  <c r="G255" i="2"/>
  <c r="G654" i="2"/>
  <c r="AB362" i="2"/>
  <c r="AB391" i="2" s="1"/>
  <c r="AB319" i="2"/>
  <c r="R616" i="8"/>
  <c r="R617" i="8" s="1"/>
  <c r="R346" i="2"/>
  <c r="S281" i="2"/>
  <c r="R335" i="2"/>
  <c r="W704" i="2"/>
  <c r="W1080" i="8" s="1"/>
  <c r="W1081" i="8" s="1"/>
  <c r="K139" i="2"/>
  <c r="K149" i="2" s="1"/>
  <c r="X430" i="2"/>
  <c r="T205" i="2"/>
  <c r="T197" i="2"/>
  <c r="W20" i="2"/>
  <c r="AD140" i="2"/>
  <c r="AD379" i="8" s="1"/>
  <c r="AD380" i="8" s="1"/>
  <c r="AA20" i="2"/>
  <c r="AB33" i="2"/>
  <c r="AE423" i="8"/>
  <c r="AE424" i="8" s="1"/>
  <c r="AA25" i="2"/>
  <c r="AA327" i="8" s="1"/>
  <c r="AA328" i="8" s="1"/>
  <c r="X476" i="2"/>
  <c r="L421" i="2"/>
  <c r="L431" i="2" s="1"/>
  <c r="X22" i="2"/>
  <c r="N984" i="8"/>
  <c r="N985" i="8" s="1"/>
  <c r="N704" i="2"/>
  <c r="N1080" i="8" s="1"/>
  <c r="N1081" i="8" s="1"/>
  <c r="N700" i="2"/>
  <c r="N1064" i="8" s="1"/>
  <c r="N1065" i="8" s="1"/>
  <c r="N797" i="2"/>
  <c r="N1368" i="8" s="1"/>
  <c r="N1369" i="8" s="1"/>
  <c r="N699" i="2"/>
  <c r="N1060" i="8" s="1"/>
  <c r="N1061" i="8" s="1"/>
  <c r="AE698" i="2"/>
  <c r="AE1056" i="8" s="1"/>
  <c r="AE1057" i="8" s="1"/>
  <c r="AB592" i="8"/>
  <c r="AB593" i="8" s="1"/>
  <c r="AB306" i="2"/>
  <c r="AB688" i="8" s="1"/>
  <c r="AB689" i="8" s="1"/>
  <c r="AB303" i="2"/>
  <c r="AB676" i="8" s="1"/>
  <c r="AB677" i="8" s="1"/>
  <c r="M302" i="2"/>
  <c r="M672" i="8" s="1"/>
  <c r="M673" i="8" s="1"/>
  <c r="S301" i="2"/>
  <c r="S668" i="8" s="1"/>
  <c r="S669" i="8" s="1"/>
  <c r="Q705" i="2"/>
  <c r="Q1084" i="8" s="1"/>
  <c r="Q1085" i="8" s="1"/>
  <c r="AE302" i="2"/>
  <c r="AE672" i="8" s="1"/>
  <c r="AE673" i="8" s="1"/>
  <c r="L362" i="2"/>
  <c r="L391" i="2" s="1"/>
  <c r="L319" i="2"/>
  <c r="AC301" i="2"/>
  <c r="AC668" i="8" s="1"/>
  <c r="AC669" i="8" s="1"/>
  <c r="P1216" i="8"/>
  <c r="P1217" i="8" s="1"/>
  <c r="P798" i="2"/>
  <c r="P1372" i="8" s="1"/>
  <c r="P1373" i="8" s="1"/>
  <c r="AE300" i="2"/>
  <c r="AE664" i="8" s="1"/>
  <c r="AE665" i="8" s="1"/>
  <c r="V304" i="2"/>
  <c r="V680" i="8" s="1"/>
  <c r="V681" i="8" s="1"/>
  <c r="P596" i="8"/>
  <c r="P597" i="8" s="1"/>
  <c r="Q276" i="2"/>
  <c r="P330" i="2"/>
  <c r="P341" i="2"/>
  <c r="P776" i="8"/>
  <c r="P777" i="8" s="1"/>
  <c r="P357" i="2"/>
  <c r="P848" i="8" s="1"/>
  <c r="P849" i="8" s="1"/>
  <c r="M808" i="8"/>
  <c r="M809" i="8" s="1"/>
  <c r="M396" i="2"/>
  <c r="M964" i="8" s="1"/>
  <c r="M965" i="8" s="1"/>
  <c r="M332" i="2"/>
  <c r="N332" i="2"/>
  <c r="E301" i="2"/>
  <c r="O301" i="2" s="1"/>
  <c r="O668" i="8" s="1"/>
  <c r="O669" i="8" s="1"/>
  <c r="L332" i="2"/>
  <c r="AA761" i="2"/>
  <c r="AA790" i="2" s="1"/>
  <c r="AA718" i="2"/>
  <c r="N336" i="2"/>
  <c r="Q266" i="2"/>
  <c r="R266" i="2"/>
  <c r="G656" i="2"/>
  <c r="G257" i="2"/>
  <c r="Q776" i="8"/>
  <c r="Q777" i="8" s="1"/>
  <c r="Q357" i="2"/>
  <c r="Q848" i="8" s="1"/>
  <c r="Q849" i="8" s="1"/>
  <c r="H254" i="2"/>
  <c r="I254" i="2"/>
  <c r="L304" i="2"/>
  <c r="L680" i="8" s="1"/>
  <c r="L681" i="8" s="1"/>
  <c r="Z304" i="2"/>
  <c r="Z680" i="8" s="1"/>
  <c r="Z681" i="8" s="1"/>
  <c r="U601" i="2"/>
  <c r="Q481" i="2"/>
  <c r="AE603" i="2"/>
  <c r="Z606" i="2"/>
  <c r="AE481" i="2"/>
  <c r="AE491" i="2" s="1"/>
  <c r="N476" i="2"/>
  <c r="N486" i="2" s="1"/>
  <c r="AB418" i="2"/>
  <c r="AB428" i="2" s="1"/>
  <c r="K536" i="2"/>
  <c r="L434" i="2"/>
  <c r="X202" i="2"/>
  <c r="Y137" i="2"/>
  <c r="X19" i="2"/>
  <c r="X29" i="2" s="1"/>
  <c r="AA28" i="2"/>
  <c r="P20" i="2"/>
  <c r="Y403" i="8"/>
  <c r="Y404" i="8" s="1"/>
  <c r="L30" i="2"/>
  <c r="W603" i="2"/>
  <c r="L419" i="2"/>
  <c r="L429" i="2" s="1"/>
  <c r="M88" i="2"/>
  <c r="O22" i="2"/>
  <c r="O315" i="8" s="1"/>
  <c r="O316" i="8" s="1"/>
  <c r="S424" i="2"/>
  <c r="AD91" i="2"/>
  <c r="AB984" i="8"/>
  <c r="AB985" i="8" s="1"/>
  <c r="AB700" i="2"/>
  <c r="AB1064" i="8" s="1"/>
  <c r="AB1065" i="8" s="1"/>
  <c r="AB698" i="2"/>
  <c r="AB1056" i="8" s="1"/>
  <c r="AB1057" i="8" s="1"/>
  <c r="AB704" i="2"/>
  <c r="AB1080" i="8" s="1"/>
  <c r="AB1081" i="8" s="1"/>
  <c r="AA699" i="2"/>
  <c r="AA1060" i="8" s="1"/>
  <c r="AA1061" i="8" s="1"/>
  <c r="O698" i="2"/>
  <c r="O1056" i="8" s="1"/>
  <c r="O1057" i="8" s="1"/>
  <c r="V702" i="2"/>
  <c r="V1072" i="8" s="1"/>
  <c r="V1073" i="8" s="1"/>
  <c r="Q265" i="2"/>
  <c r="R265" i="2"/>
  <c r="N820" i="8"/>
  <c r="N821" i="8" s="1"/>
  <c r="N399" i="2"/>
  <c r="N976" i="8" s="1"/>
  <c r="N977" i="8" s="1"/>
  <c r="M1192" i="8"/>
  <c r="M1193" i="8" s="1"/>
  <c r="M792" i="2"/>
  <c r="M1348" i="8" s="1"/>
  <c r="M1349" i="8" s="1"/>
  <c r="N705" i="2"/>
  <c r="N1084" i="8" s="1"/>
  <c r="N1085" i="8" s="1"/>
  <c r="H733" i="2"/>
  <c r="E713" i="2"/>
  <c r="AC304" i="2"/>
  <c r="AC680" i="8" s="1"/>
  <c r="AC681" i="8" s="1"/>
  <c r="AD304" i="2"/>
  <c r="AD680" i="8" s="1"/>
  <c r="AD681" i="8" s="1"/>
  <c r="P1180" i="8"/>
  <c r="P1181" i="8" s="1"/>
  <c r="P758" i="2"/>
  <c r="P1252" i="8" s="1"/>
  <c r="P1253" i="8" s="1"/>
  <c r="Q300" i="2"/>
  <c r="Q664" i="8" s="1"/>
  <c r="Q665" i="8" s="1"/>
  <c r="U304" i="2"/>
  <c r="U680" i="8" s="1"/>
  <c r="U681" i="8" s="1"/>
  <c r="P812" i="8"/>
  <c r="P813" i="8" s="1"/>
  <c r="P397" i="2"/>
  <c r="P968" i="8" s="1"/>
  <c r="P969" i="8" s="1"/>
  <c r="L808" i="8"/>
  <c r="L809" i="8" s="1"/>
  <c r="L396" i="2"/>
  <c r="L964" i="8" s="1"/>
  <c r="L965" i="8" s="1"/>
  <c r="AB299" i="2"/>
  <c r="AB660" i="8" s="1"/>
  <c r="AB661" i="8" s="1"/>
  <c r="O784" i="8"/>
  <c r="O785" i="8" s="1"/>
  <c r="O376" i="2"/>
  <c r="O908" i="8" s="1"/>
  <c r="O909" i="8" s="1"/>
  <c r="O359" i="2"/>
  <c r="O856" i="8" s="1"/>
  <c r="O857" i="8" s="1"/>
  <c r="AC718" i="2"/>
  <c r="AC761" i="2"/>
  <c r="AC790" i="2" s="1"/>
  <c r="N816" i="8"/>
  <c r="N817" i="8" s="1"/>
  <c r="N398" i="2"/>
  <c r="N972" i="8" s="1"/>
  <c r="N973" i="8" s="1"/>
  <c r="Q665" i="2"/>
  <c r="R665" i="2"/>
  <c r="G652" i="2"/>
  <c r="G253" i="2"/>
  <c r="S479" i="2"/>
  <c r="S489" i="2" s="1"/>
  <c r="Q812" i="8"/>
  <c r="Q813" i="8" s="1"/>
  <c r="Q397" i="2"/>
  <c r="Q968" i="8" s="1"/>
  <c r="Q969" i="8" s="1"/>
  <c r="H653" i="2"/>
  <c r="I653" i="2"/>
  <c r="AB89" i="2"/>
  <c r="AB339" i="8"/>
  <c r="AB340" i="8" s="1"/>
  <c r="X93" i="2"/>
  <c r="X355" i="8"/>
  <c r="X356" i="8" s="1"/>
  <c r="V608" i="2"/>
  <c r="W491" i="2"/>
  <c r="V28" i="2"/>
  <c r="V299" i="8"/>
  <c r="V300" i="8" s="1"/>
  <c r="N31" i="2"/>
  <c r="N311" i="8"/>
  <c r="N312" i="8" s="1"/>
  <c r="V207" i="2"/>
  <c r="V403" i="8"/>
  <c r="V404" i="8" s="1"/>
  <c r="AE601" i="2"/>
  <c r="Y596" i="2"/>
  <c r="Y606" i="2" s="1"/>
  <c r="K493" i="2"/>
  <c r="P543" i="2"/>
  <c r="W543" i="2"/>
  <c r="W553" i="2" s="1"/>
  <c r="W539" i="2"/>
  <c r="AA420" i="2"/>
  <c r="AA430" i="2" s="1"/>
  <c r="T542" i="2"/>
  <c r="T552" i="2" s="1"/>
  <c r="Y543" i="2"/>
  <c r="Y553" i="2" s="1"/>
  <c r="Y539" i="2"/>
  <c r="Y549" i="2" s="1"/>
  <c r="Y542" i="2"/>
  <c r="AA422" i="2"/>
  <c r="Z139" i="2"/>
  <c r="Z149" i="2" s="1"/>
  <c r="Z142" i="2"/>
  <c r="AE143" i="2"/>
  <c r="AE153" i="2" s="1"/>
  <c r="Z137" i="2"/>
  <c r="Z147" i="2" s="1"/>
  <c r="R141" i="2"/>
  <c r="R151" i="2" s="1"/>
  <c r="M34" i="2"/>
  <c r="M323" i="8"/>
  <c r="M324" i="8" s="1"/>
  <c r="Y20" i="2"/>
  <c r="T90" i="2"/>
  <c r="T343" i="8"/>
  <c r="T344" i="8" s="1"/>
  <c r="Y93" i="2"/>
  <c r="Y355" i="8"/>
  <c r="Y356" i="8" s="1"/>
  <c r="K80" i="2"/>
  <c r="V543" i="2"/>
  <c r="AE604" i="2"/>
  <c r="K539" i="2"/>
  <c r="AE597" i="2"/>
  <c r="K29" i="2"/>
  <c r="K303" i="8"/>
  <c r="R144" i="2"/>
  <c r="R154" i="2" s="1"/>
  <c r="Z143" i="2"/>
  <c r="AC29" i="2"/>
  <c r="X363" i="8"/>
  <c r="X364" i="8" s="1"/>
  <c r="AB600" i="2"/>
  <c r="AB597" i="2"/>
  <c r="AC18" i="2"/>
  <c r="AC20" i="2"/>
  <c r="AC307" i="8" s="1"/>
  <c r="AC308" i="8" s="1"/>
  <c r="N152" i="2"/>
  <c r="N387" i="8"/>
  <c r="N388" i="8" s="1"/>
  <c r="S147" i="2"/>
  <c r="S367" i="8"/>
  <c r="S368" i="8" s="1"/>
  <c r="X152" i="2"/>
  <c r="X387" i="8"/>
  <c r="X388" i="8" s="1"/>
  <c r="S537" i="2"/>
  <c r="S547" i="2" s="1"/>
  <c r="L95" i="2"/>
  <c r="L363" i="8"/>
  <c r="L364" i="8" s="1"/>
  <c r="AA603" i="2"/>
  <c r="AE598" i="2"/>
  <c r="P539" i="2"/>
  <c r="P549" i="2" s="1"/>
  <c r="P544" i="2"/>
  <c r="P554" i="2" s="1"/>
  <c r="Z417" i="2"/>
  <c r="AC480" i="2"/>
  <c r="Z208" i="2"/>
  <c r="L145" i="2"/>
  <c r="V434" i="2"/>
  <c r="N147" i="2"/>
  <c r="N367" i="8"/>
  <c r="N368" i="8" s="1"/>
  <c r="Q154" i="2"/>
  <c r="Q395" i="8"/>
  <c r="Q396" i="8" s="1"/>
  <c r="Q78" i="2"/>
  <c r="T303" i="8"/>
  <c r="T304" i="8" s="1"/>
  <c r="V489" i="2"/>
  <c r="AA604" i="2"/>
  <c r="AA614" i="2" s="1"/>
  <c r="AA596" i="2"/>
  <c r="AA606" i="2" s="1"/>
  <c r="AA598" i="2"/>
  <c r="AD600" i="2"/>
  <c r="AD610" i="2" s="1"/>
  <c r="AD603" i="2"/>
  <c r="AD613" i="2" s="1"/>
  <c r="AD601" i="2"/>
  <c r="AD611" i="2" s="1"/>
  <c r="T543" i="2"/>
  <c r="S544" i="2"/>
  <c r="W542" i="2"/>
  <c r="W552" i="2" s="1"/>
  <c r="R420" i="2"/>
  <c r="T428" i="2"/>
  <c r="S199" i="2"/>
  <c r="S209" i="2" s="1"/>
  <c r="K210" i="2"/>
  <c r="Z145" i="2"/>
  <c r="Y434" i="2"/>
  <c r="X484" i="2"/>
  <c r="Q22" i="2"/>
  <c r="Q19" i="2"/>
  <c r="Q303" i="8" s="1"/>
  <c r="Q304" i="8" s="1"/>
  <c r="K307" i="8"/>
  <c r="Y214" i="2"/>
  <c r="L142" i="2"/>
  <c r="L152" i="2" s="1"/>
  <c r="L139" i="2"/>
  <c r="L375" i="8" s="1"/>
  <c r="L376" i="8" s="1"/>
  <c r="AC419" i="2"/>
  <c r="AC429" i="2" s="1"/>
  <c r="AC416" i="2"/>
  <c r="AC426" i="2" s="1"/>
  <c r="AC417" i="2"/>
  <c r="AC427" i="2" s="1"/>
  <c r="M420" i="2"/>
  <c r="M419" i="2"/>
  <c r="M424" i="2"/>
  <c r="M417" i="2"/>
  <c r="M492" i="2"/>
  <c r="M519" i="2" s="1"/>
  <c r="AB27" i="2"/>
  <c r="AB295" i="8"/>
  <c r="AB296" i="8" s="1"/>
  <c r="V151" i="2"/>
  <c r="V383" i="8"/>
  <c r="V384" i="8" s="1"/>
  <c r="V34" i="2"/>
  <c r="V323" i="8"/>
  <c r="V324" i="8" s="1"/>
  <c r="V87" i="2"/>
  <c r="V331" i="8"/>
  <c r="V332" i="8" s="1"/>
  <c r="K84" i="2"/>
  <c r="K94" i="2" s="1"/>
  <c r="P537" i="2"/>
  <c r="W599" i="2"/>
  <c r="W604" i="2"/>
  <c r="W596" i="2"/>
  <c r="X600" i="2"/>
  <c r="V540" i="2"/>
  <c r="V550" i="2" s="1"/>
  <c r="M600" i="2"/>
  <c r="M610" i="2" s="1"/>
  <c r="AE599" i="2"/>
  <c r="K542" i="2"/>
  <c r="K552" i="2" s="1"/>
  <c r="AA416" i="2"/>
  <c r="AA424" i="2"/>
  <c r="W490" i="2"/>
  <c r="U606" i="2"/>
  <c r="U614" i="2"/>
  <c r="U610" i="2"/>
  <c r="X602" i="2"/>
  <c r="X612" i="2" s="1"/>
  <c r="S540" i="2"/>
  <c r="S550" i="2" s="1"/>
  <c r="W602" i="2"/>
  <c r="AD544" i="2"/>
  <c r="AD554" i="2" s="1"/>
  <c r="T537" i="2"/>
  <c r="P538" i="2"/>
  <c r="P548" i="2" s="1"/>
  <c r="AB210" i="2"/>
  <c r="R140" i="2"/>
  <c r="R150" i="2" s="1"/>
  <c r="AA597" i="2"/>
  <c r="AC613" i="2"/>
  <c r="O539" i="2"/>
  <c r="O549" i="2" s="1"/>
  <c r="M601" i="2"/>
  <c r="M611" i="2" s="1"/>
  <c r="Y540" i="2"/>
  <c r="R538" i="2"/>
  <c r="R537" i="2"/>
  <c r="R540" i="2"/>
  <c r="R550" i="2" s="1"/>
  <c r="Z489" i="2"/>
  <c r="M212" i="2"/>
  <c r="M423" i="8"/>
  <c r="M424" i="8" s="1"/>
  <c r="R213" i="2"/>
  <c r="Y22" i="2"/>
  <c r="Y32" i="2" s="1"/>
  <c r="Y92" i="2"/>
  <c r="Y351" i="8"/>
  <c r="Y352" i="8" s="1"/>
  <c r="AB596" i="2"/>
  <c r="AC80" i="2"/>
  <c r="AC82" i="2"/>
  <c r="P599" i="2"/>
  <c r="P609" i="2" s="1"/>
  <c r="U91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92" i="2"/>
  <c r="X351" i="8"/>
  <c r="X352" i="8" s="1"/>
  <c r="AB431" i="8"/>
  <c r="AB432" i="8" s="1"/>
  <c r="AB214" i="2"/>
  <c r="AA601" i="2"/>
  <c r="AA611" i="2" s="1"/>
  <c r="Q21" i="2"/>
  <c r="Q25" i="2"/>
  <c r="Q18" i="2"/>
  <c r="K540" i="2"/>
  <c r="K550" i="2" s="1"/>
  <c r="K541" i="2"/>
  <c r="V431" i="2"/>
  <c r="K85" i="2"/>
  <c r="V607" i="2"/>
  <c r="AB423" i="8"/>
  <c r="AB424" i="8" s="1"/>
  <c r="AB212" i="2"/>
  <c r="U88" i="2"/>
  <c r="U335" i="8"/>
  <c r="U336" i="8" s="1"/>
  <c r="AA482" i="2"/>
  <c r="AA492" i="2" s="1"/>
  <c r="AA479" i="2"/>
  <c r="AA489" i="2" s="1"/>
  <c r="AA477" i="2"/>
  <c r="AA478" i="2"/>
  <c r="S202" i="2"/>
  <c r="S423" i="8" s="1"/>
  <c r="S424" i="8" s="1"/>
  <c r="S204" i="2"/>
  <c r="S431" i="8" s="1"/>
  <c r="S432" i="8" s="1"/>
  <c r="S28" i="2"/>
  <c r="S299" i="8"/>
  <c r="S300" i="8" s="1"/>
  <c r="T430" i="2"/>
  <c r="R417" i="2"/>
  <c r="R427" i="2" s="1"/>
  <c r="R424" i="2"/>
  <c r="T536" i="2"/>
  <c r="R139" i="2"/>
  <c r="Y18" i="2"/>
  <c r="Y21" i="2"/>
  <c r="Y17" i="2"/>
  <c r="Y25" i="2"/>
  <c r="Y35" i="2" s="1"/>
  <c r="P28" i="2"/>
  <c r="P299" i="8"/>
  <c r="P300" i="8" s="1"/>
  <c r="P536" i="2"/>
  <c r="V538" i="2"/>
  <c r="X426" i="2"/>
  <c r="M537" i="2"/>
  <c r="M547" i="2" s="1"/>
  <c r="M539" i="2"/>
  <c r="M540" i="2"/>
  <c r="M418" i="2"/>
  <c r="N207" i="2"/>
  <c r="V92" i="2"/>
  <c r="V351" i="8"/>
  <c r="V352" i="8" s="1"/>
  <c r="N95" i="2"/>
  <c r="N363" i="8"/>
  <c r="N364" i="8" s="1"/>
  <c r="S494" i="2"/>
  <c r="AC35" i="2"/>
  <c r="Y19" i="2"/>
  <c r="Y29" i="2" s="1"/>
  <c r="Q149" i="2"/>
  <c r="W88" i="2"/>
  <c r="W335" i="8"/>
  <c r="W336" i="8" s="1"/>
  <c r="AA483" i="2"/>
  <c r="W486" i="2"/>
  <c r="AC21" i="2"/>
  <c r="T28" i="2"/>
  <c r="T299" i="8"/>
  <c r="T300" i="8" s="1"/>
  <c r="AB601" i="2"/>
  <c r="AB611" i="2" s="1"/>
  <c r="AE540" i="2"/>
  <c r="Q478" i="2"/>
  <c r="Q488" i="2" s="1"/>
  <c r="P542" i="2"/>
  <c r="P552" i="2" s="1"/>
  <c r="O536" i="2"/>
  <c r="O546" i="2" s="1"/>
  <c r="AE477" i="2"/>
  <c r="AC422" i="2"/>
  <c r="V200" i="2"/>
  <c r="V210" i="2" s="1"/>
  <c r="Z85" i="2"/>
  <c r="Z363" i="8" s="1"/>
  <c r="Z364" i="8" s="1"/>
  <c r="L137" i="2"/>
  <c r="AE141" i="2"/>
  <c r="O25" i="2"/>
  <c r="O35" i="2" s="1"/>
  <c r="M363" i="8"/>
  <c r="M364" i="8" s="1"/>
  <c r="Z24" i="2"/>
  <c r="Z34" i="2" s="1"/>
  <c r="L93" i="2"/>
  <c r="M120" i="2" s="1"/>
  <c r="V204" i="2"/>
  <c r="P479" i="2"/>
  <c r="P422" i="2"/>
  <c r="L92" i="2"/>
  <c r="O478" i="2"/>
  <c r="Q205" i="2"/>
  <c r="Q435" i="8" s="1"/>
  <c r="Q436" i="8" s="1"/>
  <c r="V599" i="2"/>
  <c r="L91" i="2"/>
  <c r="N18" i="2"/>
  <c r="Y416" i="2"/>
  <c r="P198" i="2"/>
  <c r="P407" i="8" s="1"/>
  <c r="P408" i="8" s="1"/>
  <c r="X203" i="2"/>
  <c r="O198" i="2"/>
  <c r="O407" i="8" s="1"/>
  <c r="O408" i="8" s="1"/>
  <c r="M21" i="2"/>
  <c r="S25" i="2"/>
  <c r="X153" i="2"/>
  <c r="V478" i="2"/>
  <c r="M201" i="2"/>
  <c r="M419" i="8" s="1"/>
  <c r="M420" i="8" s="1"/>
  <c r="AE602" i="2"/>
  <c r="AE612" i="2" s="1"/>
  <c r="K598" i="2"/>
  <c r="K608" i="2" s="1"/>
  <c r="AC483" i="2"/>
  <c r="AC493" i="2" s="1"/>
  <c r="K211" i="2"/>
  <c r="R418" i="2"/>
  <c r="R428" i="2" s="1"/>
  <c r="U204" i="2"/>
  <c r="AE480" i="2"/>
  <c r="AE490" i="2" s="1"/>
  <c r="M421" i="2"/>
  <c r="M431" i="2" s="1"/>
  <c r="M458" i="2" s="1"/>
  <c r="V138" i="2"/>
  <c r="V148" i="2" s="1"/>
  <c r="P490" i="2"/>
  <c r="S82" i="2"/>
  <c r="S351" i="8" s="1"/>
  <c r="S352" i="8" s="1"/>
  <c r="Q152" i="2"/>
  <c r="AE484" i="2"/>
  <c r="L426" i="2"/>
  <c r="AA209" i="2"/>
  <c r="Q423" i="2"/>
  <c r="Q433" i="2" s="1"/>
  <c r="Q24" i="2"/>
  <c r="AC83" i="2"/>
  <c r="AC355" i="8" s="1"/>
  <c r="AC356" i="8" s="1"/>
  <c r="Y144" i="2"/>
  <c r="Y154" i="2" s="1"/>
  <c r="AA140" i="2"/>
  <c r="W19" i="2"/>
  <c r="W29" i="2" s="1"/>
  <c r="M299" i="8"/>
  <c r="M300" i="8" s="1"/>
  <c r="L307" i="8"/>
  <c r="L308" i="8" s="1"/>
  <c r="X343" i="8"/>
  <c r="X344" i="8" s="1"/>
  <c r="M347" i="8"/>
  <c r="M348" i="8" s="1"/>
  <c r="T351" i="8"/>
  <c r="T352" i="8" s="1"/>
  <c r="N93" i="2"/>
  <c r="AC81" i="2"/>
  <c r="AA476" i="2"/>
  <c r="Q424" i="2"/>
  <c r="O483" i="2"/>
  <c r="W416" i="2"/>
  <c r="X149" i="2"/>
  <c r="S21" i="2"/>
  <c r="S416" i="2"/>
  <c r="V21" i="2"/>
  <c r="X428" i="2"/>
  <c r="S203" i="2"/>
  <c r="AE482" i="2"/>
  <c r="Q484" i="2"/>
  <c r="L144" i="2"/>
  <c r="L395" i="8" s="1"/>
  <c r="L396" i="8" s="1"/>
  <c r="AE140" i="2"/>
  <c r="AE150" i="2" s="1"/>
  <c r="Q20" i="2"/>
  <c r="Q30" i="2" s="1"/>
  <c r="W347" i="8"/>
  <c r="W348" i="8" s="1"/>
  <c r="X479" i="2"/>
  <c r="AB604" i="2"/>
  <c r="V604" i="2"/>
  <c r="M92" i="2"/>
  <c r="V476" i="2"/>
  <c r="M204" i="2"/>
  <c r="M431" i="8" s="1"/>
  <c r="M432" i="8" s="1"/>
  <c r="AC201" i="2"/>
  <c r="AC419" i="8" s="1"/>
  <c r="AC420" i="8" s="1"/>
  <c r="N22" i="2"/>
  <c r="AD481" i="2"/>
  <c r="AD491" i="2" s="1"/>
  <c r="AD479" i="2"/>
  <c r="V201" i="2"/>
  <c r="V23" i="2"/>
  <c r="W489" i="2"/>
  <c r="AB598" i="2"/>
  <c r="V602" i="2"/>
  <c r="AA599" i="2"/>
  <c r="Y23" i="2"/>
  <c r="N138" i="2"/>
  <c r="Q17" i="2"/>
  <c r="Y339" i="8"/>
  <c r="Y340" i="8" s="1"/>
  <c r="S19" i="2"/>
  <c r="Q200" i="2"/>
  <c r="Q415" i="8" s="1"/>
  <c r="Q416" i="8" s="1"/>
  <c r="L32" i="2"/>
  <c r="AC17" i="2"/>
  <c r="AC295" i="8" s="1"/>
  <c r="AC296" i="8" s="1"/>
  <c r="V600" i="2"/>
  <c r="AB599" i="2"/>
  <c r="W17" i="2"/>
  <c r="W295" i="8" s="1"/>
  <c r="W296" i="8" s="1"/>
  <c r="W421" i="2"/>
  <c r="Z201" i="2"/>
  <c r="Z419" i="8" s="1"/>
  <c r="Z420" i="8" s="1"/>
  <c r="W22" i="2"/>
  <c r="W315" i="8" s="1"/>
  <c r="W316" i="8" s="1"/>
  <c r="P420" i="2"/>
  <c r="AA602" i="2"/>
  <c r="Q416" i="2"/>
  <c r="AC85" i="2"/>
  <c r="AC597" i="2"/>
  <c r="AC607" i="2" s="1"/>
  <c r="AE543" i="2"/>
  <c r="AE553" i="2" s="1"/>
  <c r="U612" i="2"/>
  <c r="AA481" i="2"/>
  <c r="AA491" i="2" s="1"/>
  <c r="K537" i="2"/>
  <c r="K547" i="2" s="1"/>
  <c r="Y598" i="2"/>
  <c r="X481" i="2"/>
  <c r="X491" i="2" s="1"/>
  <c r="K600" i="2"/>
  <c r="P486" i="2"/>
  <c r="K538" i="2"/>
  <c r="K548" i="2" s="1"/>
  <c r="AB536" i="2"/>
  <c r="AA540" i="2"/>
  <c r="L543" i="2"/>
  <c r="AA539" i="2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W494" i="2"/>
  <c r="AE137" i="2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Y420" i="2"/>
  <c r="V419" i="2"/>
  <c r="Q197" i="2"/>
  <c r="Q403" i="8" s="1"/>
  <c r="Q404" i="8" s="1"/>
  <c r="AA200" i="2"/>
  <c r="M483" i="2"/>
  <c r="AB24" i="2"/>
  <c r="P23" i="2"/>
  <c r="R599" i="2"/>
  <c r="AC22" i="2"/>
  <c r="AD419" i="8"/>
  <c r="AD420" i="8" s="1"/>
  <c r="L90" i="2"/>
  <c r="M117" i="2" s="1"/>
  <c r="S17" i="2"/>
  <c r="V199" i="2"/>
  <c r="Z25" i="2"/>
  <c r="V481" i="2"/>
  <c r="Z205" i="2"/>
  <c r="Z435" i="8" s="1"/>
  <c r="Z436" i="8" s="1"/>
  <c r="L476" i="2"/>
  <c r="P418" i="2"/>
  <c r="P428" i="2" s="1"/>
  <c r="Q198" i="2"/>
  <c r="Q407" i="8" s="1"/>
  <c r="Q408" i="8" s="1"/>
  <c r="S23" i="2"/>
  <c r="Z22" i="2"/>
  <c r="AC200" i="2"/>
  <c r="N91" i="2"/>
  <c r="N204" i="2"/>
  <c r="Z23" i="2"/>
  <c r="N90" i="2"/>
  <c r="S198" i="2"/>
  <c r="S407" i="8" s="1"/>
  <c r="S408" i="8" s="1"/>
  <c r="AA600" i="2"/>
  <c r="AA610" i="2" s="1"/>
  <c r="R539" i="2"/>
  <c r="O542" i="2"/>
  <c r="O552" i="2" s="1"/>
  <c r="T538" i="2"/>
  <c r="AD536" i="2"/>
  <c r="X477" i="2"/>
  <c r="R207" i="2"/>
  <c r="Y432" i="2"/>
  <c r="M215" i="2"/>
  <c r="O139" i="2"/>
  <c r="O149" i="2" s="1"/>
  <c r="AE138" i="2"/>
  <c r="W18" i="2"/>
  <c r="W28" i="2" s="1"/>
  <c r="Y138" i="2"/>
  <c r="Y371" i="8" s="1"/>
  <c r="Y372" i="8" s="1"/>
  <c r="P143" i="2"/>
  <c r="P391" i="8" s="1"/>
  <c r="P392" i="8" s="1"/>
  <c r="N141" i="2"/>
  <c r="N151" i="2" s="1"/>
  <c r="Q77" i="2"/>
  <c r="Q87" i="2" s="1"/>
  <c r="AE144" i="2"/>
  <c r="AE154" i="2" s="1"/>
  <c r="AE311" i="8"/>
  <c r="AE312" i="8" s="1"/>
  <c r="Y343" i="8"/>
  <c r="Y344" i="8" s="1"/>
  <c r="K295" i="8"/>
  <c r="T347" i="8"/>
  <c r="T348" i="8" s="1"/>
  <c r="W93" i="2"/>
  <c r="Y417" i="2"/>
  <c r="P138" i="2"/>
  <c r="S197" i="2"/>
  <c r="S403" i="8" s="1"/>
  <c r="S404" i="8" s="1"/>
  <c r="S205" i="2"/>
  <c r="S435" i="8" s="1"/>
  <c r="S436" i="8" s="1"/>
  <c r="T424" i="2"/>
  <c r="U599" i="2"/>
  <c r="O91" i="2"/>
  <c r="O476" i="2"/>
  <c r="X198" i="2"/>
  <c r="V418" i="2"/>
  <c r="U92" i="2"/>
  <c r="U198" i="2"/>
  <c r="U407" i="8" s="1"/>
  <c r="U408" i="8" s="1"/>
  <c r="N199" i="2"/>
  <c r="N411" i="8" s="1"/>
  <c r="N412" i="8" s="1"/>
  <c r="AB21" i="2"/>
  <c r="Y418" i="2"/>
  <c r="N145" i="2"/>
  <c r="U201" i="2"/>
  <c r="U419" i="8" s="1"/>
  <c r="U420" i="8" s="1"/>
  <c r="K611" i="2"/>
  <c r="U551" i="2"/>
  <c r="N554" i="2"/>
  <c r="L606" i="2"/>
  <c r="K434" i="2"/>
  <c r="N430" i="2"/>
  <c r="N427" i="2"/>
  <c r="N426" i="2"/>
  <c r="N428" i="2"/>
  <c r="Z607" i="2"/>
  <c r="AC553" i="2"/>
  <c r="W431" i="2"/>
  <c r="W426" i="2"/>
  <c r="X151" i="2"/>
  <c r="X383" i="8"/>
  <c r="X384" i="8" s="1"/>
  <c r="O596" i="2"/>
  <c r="O600" i="2"/>
  <c r="O603" i="2"/>
  <c r="O599" i="2"/>
  <c r="N483" i="2"/>
  <c r="W607" i="2"/>
  <c r="R493" i="2"/>
  <c r="V554" i="2"/>
  <c r="Z550" i="2"/>
  <c r="Q210" i="2"/>
  <c r="Q214" i="2"/>
  <c r="Q208" i="2"/>
  <c r="P88" i="2"/>
  <c r="P335" i="8"/>
  <c r="P336" i="8" s="1"/>
  <c r="AD148" i="2"/>
  <c r="AD371" i="8"/>
  <c r="AD372" i="8" s="1"/>
  <c r="Z211" i="2"/>
  <c r="AA355" i="8"/>
  <c r="AA356" i="8" s="1"/>
  <c r="N154" i="2"/>
  <c r="N395" i="8"/>
  <c r="N396" i="8" s="1"/>
  <c r="Z613" i="2"/>
  <c r="R612" i="2"/>
  <c r="Y481" i="2"/>
  <c r="P491" i="2"/>
  <c r="K549" i="2"/>
  <c r="Y552" i="2"/>
  <c r="W214" i="2"/>
  <c r="W431" i="8"/>
  <c r="W432" i="8" s="1"/>
  <c r="AE428" i="2"/>
  <c r="AE430" i="2"/>
  <c r="AE427" i="2"/>
  <c r="K213" i="2"/>
  <c r="K427" i="8"/>
  <c r="K490" i="2"/>
  <c r="M490" i="2"/>
  <c r="AE486" i="2"/>
  <c r="AD431" i="2"/>
  <c r="AE33" i="2"/>
  <c r="AE319" i="8"/>
  <c r="AE320" i="8" s="1"/>
  <c r="AE426" i="2"/>
  <c r="Y149" i="2"/>
  <c r="Y375" i="8"/>
  <c r="Y376" i="8" s="1"/>
  <c r="P29" i="2"/>
  <c r="P303" i="8"/>
  <c r="P304" i="8" s="1"/>
  <c r="Z89" i="2"/>
  <c r="Z339" i="8"/>
  <c r="Z340" i="8" s="1"/>
  <c r="W430" i="2"/>
  <c r="AD95" i="2"/>
  <c r="AD363" i="8"/>
  <c r="AD364" i="8" s="1"/>
  <c r="Z30" i="2"/>
  <c r="Z307" i="8"/>
  <c r="Z308" i="8" s="1"/>
  <c r="AA547" i="2"/>
  <c r="Q614" i="2"/>
  <c r="P607" i="2"/>
  <c r="Z427" i="2"/>
  <c r="N34" i="2"/>
  <c r="N323" i="8"/>
  <c r="N324" i="8" s="1"/>
  <c r="Y489" i="2"/>
  <c r="AC548" i="2"/>
  <c r="W142" i="2"/>
  <c r="W145" i="2"/>
  <c r="W143" i="2"/>
  <c r="R22" i="2"/>
  <c r="R21" i="2"/>
  <c r="R25" i="2"/>
  <c r="R18" i="2"/>
  <c r="R23" i="2"/>
  <c r="P152" i="2"/>
  <c r="P387" i="8"/>
  <c r="P388" i="8" s="1"/>
  <c r="Q94" i="2"/>
  <c r="Q359" i="8"/>
  <c r="Q360" i="8" s="1"/>
  <c r="AA613" i="2"/>
  <c r="O597" i="2"/>
  <c r="R486" i="2"/>
  <c r="N434" i="2"/>
  <c r="K614" i="2"/>
  <c r="Y477" i="2"/>
  <c r="T215" i="2"/>
  <c r="T435" i="8"/>
  <c r="T436" i="8" s="1"/>
  <c r="AE210" i="2"/>
  <c r="AE415" i="8"/>
  <c r="AE416" i="8" s="1"/>
  <c r="S155" i="2"/>
  <c r="S399" i="8"/>
  <c r="S400" i="8" s="1"/>
  <c r="AB152" i="2"/>
  <c r="AB387" i="8"/>
  <c r="AB388" i="8" s="1"/>
  <c r="U428" i="2"/>
  <c r="AA207" i="2"/>
  <c r="AA403" i="8"/>
  <c r="AA404" i="8" s="1"/>
  <c r="T433" i="2"/>
  <c r="S34" i="2"/>
  <c r="S323" i="8"/>
  <c r="S324" i="8" s="1"/>
  <c r="N379" i="8"/>
  <c r="N380" i="8" s="1"/>
  <c r="S612" i="2"/>
  <c r="T607" i="2"/>
  <c r="R611" i="2"/>
  <c r="Y483" i="2"/>
  <c r="U537" i="2"/>
  <c r="P488" i="2"/>
  <c r="M549" i="2"/>
  <c r="X543" i="2"/>
  <c r="X536" i="2"/>
  <c r="X542" i="2"/>
  <c r="X540" i="2"/>
  <c r="X541" i="2"/>
  <c r="AC541" i="2"/>
  <c r="AC540" i="2"/>
  <c r="AC536" i="2"/>
  <c r="AC542" i="2"/>
  <c r="T211" i="2"/>
  <c r="T419" i="8"/>
  <c r="T420" i="8" s="1"/>
  <c r="T432" i="2"/>
  <c r="N432" i="2"/>
  <c r="Q213" i="2"/>
  <c r="Q427" i="8"/>
  <c r="Q428" i="8" s="1"/>
  <c r="Q430" i="2"/>
  <c r="W138" i="2"/>
  <c r="AA141" i="2"/>
  <c r="AA139" i="2"/>
  <c r="AA144" i="2"/>
  <c r="AA138" i="2"/>
  <c r="L155" i="2"/>
  <c r="L399" i="8"/>
  <c r="L400" i="8" s="1"/>
  <c r="W137" i="2"/>
  <c r="AE35" i="2"/>
  <c r="AE327" i="8"/>
  <c r="AE328" i="8" s="1"/>
  <c r="Z27" i="2"/>
  <c r="Z295" i="8"/>
  <c r="Z296" i="8" s="1"/>
  <c r="M141" i="2"/>
  <c r="AC152" i="2"/>
  <c r="AC387" i="8"/>
  <c r="AC388" i="8" s="1"/>
  <c r="X35" i="2"/>
  <c r="X327" i="8"/>
  <c r="X328" i="8" s="1"/>
  <c r="R90" i="2"/>
  <c r="R343" i="8"/>
  <c r="R344" i="8" s="1"/>
  <c r="AC94" i="2"/>
  <c r="AC359" i="8"/>
  <c r="AC360" i="8" s="1"/>
  <c r="S613" i="2"/>
  <c r="O614" i="2"/>
  <c r="P551" i="2"/>
  <c r="AE391" i="8"/>
  <c r="AE392" i="8" s="1"/>
  <c r="V553" i="2"/>
  <c r="N478" i="2"/>
  <c r="AE208" i="2"/>
  <c r="AE407" i="8"/>
  <c r="AE408" i="8" s="1"/>
  <c r="AC88" i="2"/>
  <c r="AC335" i="8"/>
  <c r="AC336" i="8" s="1"/>
  <c r="T89" i="2"/>
  <c r="T339" i="8"/>
  <c r="T340" i="8" s="1"/>
  <c r="S433" i="2"/>
  <c r="N87" i="2"/>
  <c r="N331" i="8"/>
  <c r="N332" i="8" s="1"/>
  <c r="O303" i="8"/>
  <c r="O304" i="8" s="1"/>
  <c r="P600" i="2"/>
  <c r="P604" i="2"/>
  <c r="P603" i="2"/>
  <c r="P601" i="2"/>
  <c r="Z493" i="2"/>
  <c r="X487" i="2"/>
  <c r="AB429" i="2"/>
  <c r="L551" i="2"/>
  <c r="Y608" i="2"/>
  <c r="Q551" i="2"/>
  <c r="AA152" i="2"/>
  <c r="AA387" i="8"/>
  <c r="AA388" i="8" s="1"/>
  <c r="AB93" i="2"/>
  <c r="AB355" i="8"/>
  <c r="AB356" i="8" s="1"/>
  <c r="K610" i="2"/>
  <c r="Z487" i="2"/>
  <c r="O375" i="8"/>
  <c r="O376" i="8" s="1"/>
  <c r="Q494" i="2"/>
  <c r="W433" i="2"/>
  <c r="N94" i="2"/>
  <c r="N359" i="8"/>
  <c r="N360" i="8" s="1"/>
  <c r="P596" i="2"/>
  <c r="S536" i="2"/>
  <c r="S487" i="2"/>
  <c r="W614" i="2"/>
  <c r="AC209" i="2"/>
  <c r="AC411" i="8"/>
  <c r="AC412" i="8" s="1"/>
  <c r="K208" i="2"/>
  <c r="K407" i="8"/>
  <c r="P211" i="2"/>
  <c r="P209" i="2"/>
  <c r="P213" i="2"/>
  <c r="P208" i="2"/>
  <c r="U142" i="2"/>
  <c r="U139" i="2"/>
  <c r="U143" i="2"/>
  <c r="O92" i="2"/>
  <c r="O351" i="8"/>
  <c r="O352" i="8" s="1"/>
  <c r="N215" i="2"/>
  <c r="N435" i="8"/>
  <c r="N436" i="8" s="1"/>
  <c r="AB492" i="2"/>
  <c r="K32" i="2"/>
  <c r="K315" i="8"/>
  <c r="R95" i="2"/>
  <c r="R363" i="8"/>
  <c r="R364" i="8" s="1"/>
  <c r="AD87" i="2"/>
  <c r="AD331" i="8"/>
  <c r="AD332" i="8" s="1"/>
  <c r="Q88" i="2"/>
  <c r="Q335" i="8"/>
  <c r="Q336" i="8" s="1"/>
  <c r="AC327" i="8"/>
  <c r="AC328" i="8" s="1"/>
  <c r="AB548" i="2"/>
  <c r="U432" i="2"/>
  <c r="M119" i="2"/>
  <c r="W210" i="2"/>
  <c r="W415" i="8"/>
  <c r="W416" i="8" s="1"/>
  <c r="AD34" i="2"/>
  <c r="AD323" i="8"/>
  <c r="AD324" i="8" s="1"/>
  <c r="AC606" i="2"/>
  <c r="N479" i="2"/>
  <c r="N481" i="2"/>
  <c r="N477" i="2"/>
  <c r="AD546" i="2"/>
  <c r="L548" i="2"/>
  <c r="S431" i="2"/>
  <c r="P89" i="2"/>
  <c r="P339" i="8"/>
  <c r="P340" i="8" s="1"/>
  <c r="AE379" i="8"/>
  <c r="AE380" i="8" s="1"/>
  <c r="AC432" i="2"/>
  <c r="M494" i="2"/>
  <c r="M521" i="2" s="1"/>
  <c r="O611" i="2"/>
  <c r="Z155" i="2"/>
  <c r="Z399" i="8"/>
  <c r="Z400" i="8" s="1"/>
  <c r="N596" i="2"/>
  <c r="N600" i="2"/>
  <c r="N599" i="2"/>
  <c r="N603" i="2"/>
  <c r="N604" i="2"/>
  <c r="X610" i="2"/>
  <c r="T546" i="2"/>
  <c r="V490" i="2"/>
  <c r="S91" i="2"/>
  <c r="S347" i="8"/>
  <c r="S348" i="8" s="1"/>
  <c r="AA147" i="2"/>
  <c r="AA367" i="8"/>
  <c r="AA368" i="8" s="1"/>
  <c r="AD29" i="2"/>
  <c r="AD303" i="8"/>
  <c r="AD304" i="8" s="1"/>
  <c r="Q491" i="2"/>
  <c r="V548" i="2"/>
  <c r="V492" i="2"/>
  <c r="R89" i="2"/>
  <c r="R339" i="8"/>
  <c r="R340" i="8" s="1"/>
  <c r="L147" i="2"/>
  <c r="L367" i="8"/>
  <c r="L368" i="8" s="1"/>
  <c r="P94" i="2"/>
  <c r="P359" i="8"/>
  <c r="P360" i="8" s="1"/>
  <c r="U29" i="2"/>
  <c r="U303" i="8"/>
  <c r="U304" i="8" s="1"/>
  <c r="K597" i="2"/>
  <c r="K602" i="2"/>
  <c r="K599" i="2"/>
  <c r="V546" i="2"/>
  <c r="N601" i="2"/>
  <c r="Y609" i="2"/>
  <c r="M612" i="2"/>
  <c r="Q609" i="2"/>
  <c r="N597" i="2"/>
  <c r="AC608" i="2"/>
  <c r="R554" i="2"/>
  <c r="AE554" i="2"/>
  <c r="L552" i="2"/>
  <c r="O489" i="2"/>
  <c r="AD417" i="2"/>
  <c r="AD418" i="2"/>
  <c r="AD424" i="2"/>
  <c r="X538" i="2"/>
  <c r="O541" i="2"/>
  <c r="O540" i="2"/>
  <c r="O543" i="2"/>
  <c r="O537" i="2"/>
  <c r="W613" i="2"/>
  <c r="S429" i="2"/>
  <c r="AE207" i="2"/>
  <c r="AE403" i="8"/>
  <c r="AE404" i="8" s="1"/>
  <c r="O138" i="2"/>
  <c r="O33" i="2"/>
  <c r="O319" i="8"/>
  <c r="O320" i="8" s="1"/>
  <c r="K153" i="2"/>
  <c r="K391" i="8"/>
  <c r="AA31" i="2"/>
  <c r="V494" i="2"/>
  <c r="N89" i="2"/>
  <c r="N339" i="8"/>
  <c r="N340" i="8" s="1"/>
  <c r="AA30" i="2"/>
  <c r="AA307" i="8"/>
  <c r="AA308" i="8" s="1"/>
  <c r="N35" i="2"/>
  <c r="N327" i="8"/>
  <c r="N328" i="8" s="1"/>
  <c r="O492" i="2"/>
  <c r="R87" i="2"/>
  <c r="R331" i="8"/>
  <c r="R332" i="8" s="1"/>
  <c r="T614" i="2"/>
  <c r="W487" i="2"/>
  <c r="L209" i="2"/>
  <c r="L411" i="8"/>
  <c r="L412" i="8" s="1"/>
  <c r="W429" i="2"/>
  <c r="X613" i="2"/>
  <c r="S554" i="2"/>
  <c r="P546" i="2"/>
  <c r="V94" i="2"/>
  <c r="V359" i="8"/>
  <c r="V360" i="8" s="1"/>
  <c r="T613" i="2"/>
  <c r="Z608" i="2"/>
  <c r="T486" i="2"/>
  <c r="O209" i="2"/>
  <c r="O411" i="8"/>
  <c r="O412" i="8" s="1"/>
  <c r="O142" i="2"/>
  <c r="O494" i="2"/>
  <c r="AA612" i="2"/>
  <c r="AA609" i="2"/>
  <c r="AD612" i="2"/>
  <c r="Z491" i="2"/>
  <c r="M430" i="2"/>
  <c r="K486" i="2"/>
  <c r="AC487" i="2"/>
  <c r="S543" i="2"/>
  <c r="S541" i="2"/>
  <c r="W549" i="2"/>
  <c r="Z543" i="2"/>
  <c r="Y546" i="2"/>
  <c r="AE209" i="2"/>
  <c r="AE411" i="8"/>
  <c r="AE412" i="8" s="1"/>
  <c r="L432" i="2"/>
  <c r="P430" i="2"/>
  <c r="P432" i="2"/>
  <c r="AE211" i="2"/>
  <c r="AE419" i="8"/>
  <c r="AE420" i="8" s="1"/>
  <c r="L208" i="2"/>
  <c r="L214" i="2"/>
  <c r="P92" i="2"/>
  <c r="P351" i="8"/>
  <c r="P352" i="8" s="1"/>
  <c r="W213" i="2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W492" i="2"/>
  <c r="X207" i="2"/>
  <c r="X403" i="8"/>
  <c r="X404" i="8" s="1"/>
  <c r="K95" i="2"/>
  <c r="K363" i="8"/>
  <c r="M32" i="2"/>
  <c r="M315" i="8"/>
  <c r="M316" i="8" s="1"/>
  <c r="U35" i="2"/>
  <c r="U28" i="2"/>
  <c r="U32" i="2"/>
  <c r="U33" i="2"/>
  <c r="X494" i="2"/>
  <c r="L88" i="2"/>
  <c r="L335" i="8"/>
  <c r="L336" i="8" s="1"/>
  <c r="Z423" i="2"/>
  <c r="N433" i="2"/>
  <c r="AD606" i="2"/>
  <c r="L488" i="2"/>
  <c r="M515" i="2" s="1"/>
  <c r="Y147" i="2"/>
  <c r="Y367" i="8"/>
  <c r="Y368" i="8" s="1"/>
  <c r="AA150" i="2"/>
  <c r="AA379" i="8"/>
  <c r="AA380" i="8" s="1"/>
  <c r="R606" i="2"/>
  <c r="P207" i="2"/>
  <c r="P403" i="8"/>
  <c r="P404" i="8" s="1"/>
  <c r="P154" i="2"/>
  <c r="P395" i="8"/>
  <c r="P396" i="8" s="1"/>
  <c r="V150" i="2"/>
  <c r="V379" i="8"/>
  <c r="V380" i="8" s="1"/>
  <c r="O379" i="8"/>
  <c r="O380" i="8" s="1"/>
  <c r="AE489" i="2"/>
  <c r="AB549" i="2"/>
  <c r="AD488" i="2"/>
  <c r="M429" i="2"/>
  <c r="N212" i="2"/>
  <c r="N423" i="8"/>
  <c r="N424" i="8" s="1"/>
  <c r="AB150" i="2"/>
  <c r="AB379" i="8"/>
  <c r="AB380" i="8" s="1"/>
  <c r="R608" i="2"/>
  <c r="S490" i="2"/>
  <c r="AA95" i="2"/>
  <c r="AA363" i="8"/>
  <c r="AA364" i="8" s="1"/>
  <c r="U553" i="2"/>
  <c r="AD553" i="2"/>
  <c r="T490" i="2"/>
  <c r="AC213" i="2"/>
  <c r="M613" i="2"/>
  <c r="U540" i="2"/>
  <c r="U542" i="2"/>
  <c r="N541" i="2"/>
  <c r="N540" i="2"/>
  <c r="N543" i="2"/>
  <c r="N537" i="2"/>
  <c r="AE91" i="2"/>
  <c r="AE347" i="8"/>
  <c r="AE348" i="8" s="1"/>
  <c r="M142" i="2"/>
  <c r="M139" i="2"/>
  <c r="M145" i="2"/>
  <c r="Y482" i="2"/>
  <c r="M614" i="2"/>
  <c r="K417" i="2"/>
  <c r="K416" i="2"/>
  <c r="K419" i="2"/>
  <c r="S427" i="2"/>
  <c r="S213" i="2"/>
  <c r="S427" i="8"/>
  <c r="S428" i="8" s="1"/>
  <c r="V95" i="2"/>
  <c r="V363" i="8"/>
  <c r="V364" i="8" s="1"/>
  <c r="Q612" i="2"/>
  <c r="AE609" i="2"/>
  <c r="Z419" i="2"/>
  <c r="Z421" i="2"/>
  <c r="Z424" i="2"/>
  <c r="Q540" i="2"/>
  <c r="Q537" i="2"/>
  <c r="T213" i="2"/>
  <c r="T427" i="8"/>
  <c r="T428" i="8" s="1"/>
  <c r="O434" i="2"/>
  <c r="O27" i="2"/>
  <c r="O295" i="8"/>
  <c r="O296" i="8" s="1"/>
  <c r="Z29" i="2"/>
  <c r="Z303" i="8"/>
  <c r="Z304" i="8" s="1"/>
  <c r="P87" i="2"/>
  <c r="P331" i="8"/>
  <c r="P332" i="8" s="1"/>
  <c r="K90" i="2"/>
  <c r="K343" i="8"/>
  <c r="L603" i="2"/>
  <c r="L601" i="2"/>
  <c r="L602" i="2"/>
  <c r="L599" i="2"/>
  <c r="V551" i="2"/>
  <c r="W612" i="2"/>
  <c r="K551" i="2"/>
  <c r="R549" i="2"/>
  <c r="AA487" i="2"/>
  <c r="X554" i="2"/>
  <c r="S548" i="2"/>
  <c r="T550" i="2"/>
  <c r="U487" i="2"/>
  <c r="P214" i="2"/>
  <c r="P431" i="8"/>
  <c r="P432" i="8" s="1"/>
  <c r="L549" i="2"/>
  <c r="N539" i="2"/>
  <c r="AE431" i="2"/>
  <c r="K212" i="2"/>
  <c r="K423" i="8"/>
  <c r="M210" i="2"/>
  <c r="M237" i="2" s="1"/>
  <c r="M415" i="8"/>
  <c r="M416" i="8" s="1"/>
  <c r="M143" i="2"/>
  <c r="AB95" i="2"/>
  <c r="AB363" i="8"/>
  <c r="AB364" i="8" s="1"/>
  <c r="AA32" i="2"/>
  <c r="AA315" i="8"/>
  <c r="AA316" i="8" s="1"/>
  <c r="T609" i="2"/>
  <c r="AE611" i="2"/>
  <c r="L600" i="2"/>
  <c r="L604" i="2"/>
  <c r="V606" i="2"/>
  <c r="X488" i="2"/>
  <c r="O598" i="2"/>
  <c r="Q490" i="2"/>
  <c r="S539" i="2"/>
  <c r="Z538" i="2"/>
  <c r="Z536" i="2"/>
  <c r="V493" i="2"/>
  <c r="AA550" i="2"/>
  <c r="AD551" i="2"/>
  <c r="V547" i="2"/>
  <c r="Z541" i="2"/>
  <c r="M434" i="2"/>
  <c r="AD419" i="2"/>
  <c r="AC490" i="2"/>
  <c r="O214" i="2"/>
  <c r="O431" i="8"/>
  <c r="O432" i="8" s="1"/>
  <c r="L149" i="2"/>
  <c r="Z214" i="2"/>
  <c r="T145" i="2"/>
  <c r="AA143" i="2"/>
  <c r="AC147" i="2"/>
  <c r="AC367" i="8"/>
  <c r="AC368" i="8" s="1"/>
  <c r="R434" i="2"/>
  <c r="AC34" i="2"/>
  <c r="AC323" i="8"/>
  <c r="AC324" i="8" s="1"/>
  <c r="W323" i="8"/>
  <c r="W324" i="8" s="1"/>
  <c r="V90" i="2"/>
  <c r="V343" i="8"/>
  <c r="V344" i="8" s="1"/>
  <c r="Y601" i="2"/>
  <c r="P602" i="2"/>
  <c r="AD604" i="2"/>
  <c r="T553" i="2"/>
  <c r="Y600" i="2"/>
  <c r="Q543" i="2"/>
  <c r="X493" i="2"/>
  <c r="M597" i="2"/>
  <c r="K491" i="2"/>
  <c r="AB553" i="2"/>
  <c r="N429" i="2"/>
  <c r="AB613" i="2"/>
  <c r="AC539" i="2"/>
  <c r="AB554" i="2"/>
  <c r="Z542" i="2"/>
  <c r="AA548" i="2"/>
  <c r="O538" i="2"/>
  <c r="L536" i="2"/>
  <c r="AD416" i="2"/>
  <c r="AE488" i="2"/>
  <c r="P429" i="2"/>
  <c r="M491" i="2"/>
  <c r="M518" i="2" s="1"/>
  <c r="U430" i="2"/>
  <c r="Z209" i="2"/>
  <c r="Z411" i="8"/>
  <c r="Z412" i="8" s="1"/>
  <c r="AC424" i="2"/>
  <c r="Z422" i="2"/>
  <c r="O429" i="2"/>
  <c r="AE213" i="2"/>
  <c r="AE427" i="8"/>
  <c r="AE428" i="8" s="1"/>
  <c r="R490" i="2"/>
  <c r="L215" i="2"/>
  <c r="M242" i="2" s="1"/>
  <c r="Y91" i="2"/>
  <c r="Y347" i="8"/>
  <c r="Y348" i="8" s="1"/>
  <c r="U213" i="2"/>
  <c r="O145" i="2"/>
  <c r="AB215" i="2"/>
  <c r="AB435" i="8"/>
  <c r="AB436" i="8" s="1"/>
  <c r="U145" i="2"/>
  <c r="AC421" i="2"/>
  <c r="AC33" i="2"/>
  <c r="AC319" i="8"/>
  <c r="AC320" i="8" s="1"/>
  <c r="X427" i="2"/>
  <c r="Y143" i="2"/>
  <c r="X88" i="2"/>
  <c r="X335" i="8"/>
  <c r="X336" i="8" s="1"/>
  <c r="AC484" i="2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AB87" i="2"/>
  <c r="AB331" i="8"/>
  <c r="AB332" i="8" s="1"/>
  <c r="T94" i="2"/>
  <c r="T359" i="8"/>
  <c r="T360" i="8" s="1"/>
  <c r="P399" i="8"/>
  <c r="P400" i="8" s="1"/>
  <c r="K419" i="8"/>
  <c r="AA435" i="8"/>
  <c r="AA436" i="8" s="1"/>
  <c r="AD431" i="8"/>
  <c r="AD432" i="8" s="1"/>
  <c r="AE596" i="2"/>
  <c r="AE600" i="2"/>
  <c r="AC602" i="2"/>
  <c r="W600" i="2"/>
  <c r="K543" i="2"/>
  <c r="M598" i="2"/>
  <c r="AC601" i="2"/>
  <c r="AC478" i="2"/>
  <c r="Q479" i="2"/>
  <c r="T539" i="2"/>
  <c r="AC481" i="2"/>
  <c r="U544" i="2"/>
  <c r="N542" i="2"/>
  <c r="AD597" i="2"/>
  <c r="O416" i="2"/>
  <c r="O417" i="2"/>
  <c r="O418" i="2"/>
  <c r="Q476" i="2"/>
  <c r="AD538" i="2"/>
  <c r="N536" i="2"/>
  <c r="M487" i="2"/>
  <c r="AA418" i="2"/>
  <c r="O487" i="2"/>
  <c r="M541" i="2"/>
  <c r="M543" i="2"/>
  <c r="U214" i="2"/>
  <c r="U431" i="8"/>
  <c r="U432" i="8" s="1"/>
  <c r="AB540" i="2"/>
  <c r="AB541" i="2"/>
  <c r="M493" i="2"/>
  <c r="M520" i="2" s="1"/>
  <c r="S434" i="2"/>
  <c r="K488" i="2"/>
  <c r="Q209" i="2"/>
  <c r="Q411" i="8"/>
  <c r="Q412" i="8" s="1"/>
  <c r="X432" i="2"/>
  <c r="AC420" i="2"/>
  <c r="W209" i="2"/>
  <c r="W411" i="8"/>
  <c r="W412" i="8" s="1"/>
  <c r="L427" i="2"/>
  <c r="U215" i="2"/>
  <c r="U435" i="8"/>
  <c r="U436" i="8" s="1"/>
  <c r="L212" i="2"/>
  <c r="M239" i="2" s="1"/>
  <c r="T210" i="2"/>
  <c r="AE139" i="2"/>
  <c r="AE142" i="2"/>
  <c r="K28" i="2"/>
  <c r="K299" i="8"/>
  <c r="AC482" i="2"/>
  <c r="O421" i="2"/>
  <c r="O143" i="2"/>
  <c r="R142" i="2"/>
  <c r="S32" i="2"/>
  <c r="S315" i="8"/>
  <c r="S316" i="8" s="1"/>
  <c r="W32" i="2"/>
  <c r="W31" i="2"/>
  <c r="W311" i="8"/>
  <c r="W312" i="8" s="1"/>
  <c r="P32" i="2"/>
  <c r="P315" i="8"/>
  <c r="P316" i="8" s="1"/>
  <c r="Y88" i="2"/>
  <c r="Y335" i="8"/>
  <c r="Y336" i="8" s="1"/>
  <c r="S83" i="2"/>
  <c r="AA543" i="2"/>
  <c r="AB151" i="2"/>
  <c r="AB383" i="8"/>
  <c r="AB384" i="8" s="1"/>
  <c r="P540" i="2"/>
  <c r="Y34" i="2"/>
  <c r="Y323" i="8"/>
  <c r="Y324" i="8" s="1"/>
  <c r="AE34" i="2"/>
  <c r="AE323" i="8"/>
  <c r="AE324" i="8" s="1"/>
  <c r="AD154" i="2"/>
  <c r="K140" i="2"/>
  <c r="AC150" i="2"/>
  <c r="AC379" i="8"/>
  <c r="AC380" i="8" s="1"/>
  <c r="AD395" i="8"/>
  <c r="AD396" i="8" s="1"/>
  <c r="AC303" i="8"/>
  <c r="AC304" i="8" s="1"/>
  <c r="AE303" i="8"/>
  <c r="AE304" i="8" s="1"/>
  <c r="S307" i="8"/>
  <c r="S308" i="8" s="1"/>
  <c r="R395" i="8"/>
  <c r="R396" i="8" s="1"/>
  <c r="X87" i="2"/>
  <c r="X331" i="8"/>
  <c r="X332" i="8" s="1"/>
  <c r="AE83" i="2"/>
  <c r="L387" i="8"/>
  <c r="L388" i="8" s="1"/>
  <c r="M57" i="2"/>
  <c r="M55" i="2"/>
  <c r="M59" i="2"/>
  <c r="Y597" i="2"/>
  <c r="N602" i="2"/>
  <c r="U611" i="2"/>
  <c r="X601" i="2"/>
  <c r="X599" i="2"/>
  <c r="X597" i="2"/>
  <c r="X604" i="2"/>
  <c r="Y478" i="2"/>
  <c r="AD540" i="2"/>
  <c r="AC599" i="2"/>
  <c r="N598" i="2"/>
  <c r="AE551" i="2"/>
  <c r="S609" i="2"/>
  <c r="P489" i="2"/>
  <c r="K544" i="2"/>
  <c r="M552" i="2"/>
  <c r="S493" i="2"/>
  <c r="M486" i="2"/>
  <c r="Q538" i="2"/>
  <c r="W544" i="2"/>
  <c r="Q536" i="2"/>
  <c r="AE434" i="2"/>
  <c r="U207" i="2"/>
  <c r="U403" i="8"/>
  <c r="U404" i="8" s="1"/>
  <c r="AE537" i="2"/>
  <c r="AE538" i="2"/>
  <c r="S430" i="2"/>
  <c r="R211" i="2"/>
  <c r="R419" i="8"/>
  <c r="R420" i="8" s="1"/>
  <c r="Q477" i="2"/>
  <c r="R209" i="2"/>
  <c r="R411" i="8"/>
  <c r="R412" i="8" s="1"/>
  <c r="T208" i="2"/>
  <c r="T407" i="8"/>
  <c r="T408" i="8" s="1"/>
  <c r="M422" i="2"/>
  <c r="Q211" i="2"/>
  <c r="Y430" i="2"/>
  <c r="Y429" i="2"/>
  <c r="W139" i="2"/>
  <c r="L490" i="2"/>
  <c r="U431" i="2"/>
  <c r="M211" i="2"/>
  <c r="X215" i="2"/>
  <c r="X435" i="8"/>
  <c r="X436" i="8" s="1"/>
  <c r="R212" i="2"/>
  <c r="R423" i="8"/>
  <c r="R424" i="8" s="1"/>
  <c r="X210" i="2"/>
  <c r="X415" i="8"/>
  <c r="X416" i="8" s="1"/>
  <c r="T138" i="2"/>
  <c r="V137" i="2"/>
  <c r="V142" i="2"/>
  <c r="V139" i="2"/>
  <c r="Q483" i="2"/>
  <c r="K492" i="2"/>
  <c r="V428" i="2"/>
  <c r="S85" i="2"/>
  <c r="O215" i="2"/>
  <c r="O435" i="8"/>
  <c r="O436" i="8" s="1"/>
  <c r="AD147" i="2"/>
  <c r="O207" i="2"/>
  <c r="O403" i="8"/>
  <c r="O404" i="8" s="1"/>
  <c r="P487" i="2"/>
  <c r="U211" i="2"/>
  <c r="Z78" i="2"/>
  <c r="X433" i="2"/>
  <c r="M213" i="2"/>
  <c r="AC151" i="2"/>
  <c r="AC383" i="8"/>
  <c r="AC384" i="8" s="1"/>
  <c r="T209" i="2"/>
  <c r="AD90" i="2"/>
  <c r="AD343" i="8"/>
  <c r="AD344" i="8" s="1"/>
  <c r="W30" i="2"/>
  <c r="W307" i="8"/>
  <c r="W308" i="8" s="1"/>
  <c r="U34" i="2"/>
  <c r="U323" i="8"/>
  <c r="U324" i="8" s="1"/>
  <c r="T144" i="2"/>
  <c r="Q150" i="2"/>
  <c r="Q379" i="8"/>
  <c r="Q380" i="8" s="1"/>
  <c r="R138" i="2"/>
  <c r="P30" i="2"/>
  <c r="P307" i="8"/>
  <c r="P308" i="8" s="1"/>
  <c r="U94" i="2"/>
  <c r="U359" i="8"/>
  <c r="U360" i="8" s="1"/>
  <c r="AB391" i="8"/>
  <c r="AB392" i="8" s="1"/>
  <c r="X339" i="8"/>
  <c r="X340" i="8" s="1"/>
  <c r="L331" i="8"/>
  <c r="L332" i="8" s="1"/>
  <c r="V347" i="8"/>
  <c r="V348" i="8" s="1"/>
  <c r="Z367" i="8"/>
  <c r="Z368" i="8" s="1"/>
  <c r="Y407" i="8"/>
  <c r="Y408" i="8" s="1"/>
  <c r="U30" i="2"/>
  <c r="U93" i="2"/>
  <c r="U355" i="8"/>
  <c r="U356" i="8" s="1"/>
  <c r="L597" i="2"/>
  <c r="O602" i="2"/>
  <c r="V611" i="2"/>
  <c r="AC600" i="2"/>
  <c r="Y604" i="2"/>
  <c r="L598" i="2"/>
  <c r="AC537" i="2"/>
  <c r="M599" i="2"/>
  <c r="AE608" i="2"/>
  <c r="Z539" i="2"/>
  <c r="X598" i="2"/>
  <c r="Y544" i="2"/>
  <c r="AA542" i="2"/>
  <c r="U491" i="2"/>
  <c r="AA426" i="2"/>
  <c r="AB486" i="2"/>
  <c r="U538" i="2"/>
  <c r="AE546" i="2"/>
  <c r="K420" i="2"/>
  <c r="L211" i="2"/>
  <c r="M238" i="2" s="1"/>
  <c r="L419" i="8"/>
  <c r="L420" i="8" s="1"/>
  <c r="R491" i="2"/>
  <c r="Z420" i="2"/>
  <c r="R551" i="2"/>
  <c r="R214" i="2"/>
  <c r="R431" i="8"/>
  <c r="R432" i="8" s="1"/>
  <c r="Q428" i="2"/>
  <c r="AD207" i="2"/>
  <c r="AD403" i="8"/>
  <c r="AD404" i="8" s="1"/>
  <c r="Y541" i="2"/>
  <c r="M579" i="2"/>
  <c r="AD422" i="2"/>
  <c r="O490" i="2"/>
  <c r="AD149" i="2"/>
  <c r="AD375" i="8"/>
  <c r="AD376" i="8" s="1"/>
  <c r="N431" i="2"/>
  <c r="AC215" i="2"/>
  <c r="AC435" i="8"/>
  <c r="AC436" i="8" s="1"/>
  <c r="Z210" i="2"/>
  <c r="Z415" i="8"/>
  <c r="Z416" i="8" s="1"/>
  <c r="R153" i="2"/>
  <c r="AE148" i="2"/>
  <c r="AE371" i="8"/>
  <c r="AE372" i="8" s="1"/>
  <c r="Z492" i="2"/>
  <c r="AA417" i="2"/>
  <c r="AA494" i="2"/>
  <c r="O137" i="2"/>
  <c r="L138" i="2"/>
  <c r="U433" i="2"/>
  <c r="Y433" i="2"/>
  <c r="Y141" i="2"/>
  <c r="N383" i="8"/>
  <c r="N384" i="8" s="1"/>
  <c r="R208" i="2"/>
  <c r="V88" i="2"/>
  <c r="V335" i="8"/>
  <c r="V336" i="8" s="1"/>
  <c r="W92" i="2"/>
  <c r="W351" i="8"/>
  <c r="W352" i="8" s="1"/>
  <c r="M87" i="2"/>
  <c r="M114" i="2" s="1"/>
  <c r="M331" i="8"/>
  <c r="M332" i="8" s="1"/>
  <c r="X30" i="2"/>
  <c r="X307" i="8"/>
  <c r="X308" i="8" s="1"/>
  <c r="V35" i="2"/>
  <c r="V327" i="8"/>
  <c r="V328" i="8" s="1"/>
  <c r="X359" i="8"/>
  <c r="X360" i="8" s="1"/>
  <c r="AD351" i="8"/>
  <c r="AD352" i="8" s="1"/>
  <c r="AD339" i="8"/>
  <c r="AD340" i="8" s="1"/>
  <c r="AB419" i="8"/>
  <c r="AB420" i="8" s="1"/>
  <c r="R403" i="8"/>
  <c r="R404" i="8" s="1"/>
  <c r="R19" i="2"/>
  <c r="Z614" i="2"/>
  <c r="K596" i="2"/>
  <c r="S606" i="2"/>
  <c r="U613" i="2"/>
  <c r="X537" i="2"/>
  <c r="T551" i="2"/>
  <c r="Q608" i="2"/>
  <c r="AD539" i="2"/>
  <c r="Q606" i="2"/>
  <c r="Z544" i="2"/>
  <c r="AD542" i="2"/>
  <c r="R547" i="2"/>
  <c r="AD486" i="2"/>
  <c r="Y476" i="2"/>
  <c r="W538" i="2"/>
  <c r="U536" i="2"/>
  <c r="K418" i="2"/>
  <c r="P427" i="2"/>
  <c r="W537" i="2"/>
  <c r="AE432" i="2"/>
  <c r="L207" i="2"/>
  <c r="M234" i="2" s="1"/>
  <c r="L403" i="8"/>
  <c r="L404" i="8" s="1"/>
  <c r="S432" i="2"/>
  <c r="Z82" i="2"/>
  <c r="Z81" i="2"/>
  <c r="Z77" i="2"/>
  <c r="Z84" i="2"/>
  <c r="V215" i="2"/>
  <c r="V435" i="8"/>
  <c r="V436" i="8" s="1"/>
  <c r="X212" i="2"/>
  <c r="X423" i="8"/>
  <c r="X424" i="8" s="1"/>
  <c r="N210" i="2"/>
  <c r="K138" i="2"/>
  <c r="K142" i="2"/>
  <c r="K145" i="2"/>
  <c r="U494" i="2"/>
  <c r="Q147" i="2"/>
  <c r="Q367" i="8"/>
  <c r="Q368" i="8" s="1"/>
  <c r="AA79" i="2"/>
  <c r="AE433" i="2"/>
  <c r="Q34" i="2"/>
  <c r="Q323" i="8"/>
  <c r="Q324" i="8" s="1"/>
  <c r="Q151" i="2"/>
  <c r="Q383" i="8"/>
  <c r="Q384" i="8" s="1"/>
  <c r="O34" i="2"/>
  <c r="O144" i="2"/>
  <c r="L140" i="2"/>
  <c r="M61" i="2"/>
  <c r="S77" i="2"/>
  <c r="L29" i="2"/>
  <c r="L303" i="8"/>
  <c r="L304" i="8" s="1"/>
  <c r="S84" i="2"/>
  <c r="L423" i="8"/>
  <c r="L424" i="8" s="1"/>
  <c r="W407" i="8"/>
  <c r="W408" i="8" s="1"/>
  <c r="L213" i="2"/>
  <c r="L427" i="8"/>
  <c r="L428" i="8" s="1"/>
  <c r="Z207" i="2"/>
  <c r="Z403" i="8"/>
  <c r="Z404" i="8" s="1"/>
  <c r="AD490" i="2"/>
  <c r="Q79" i="2"/>
  <c r="Q81" i="2"/>
  <c r="Q82" i="2"/>
  <c r="K215" i="2"/>
  <c r="K435" i="8"/>
  <c r="AA429" i="2"/>
  <c r="Y142" i="2"/>
  <c r="Y140" i="2"/>
  <c r="N92" i="2"/>
  <c r="N351" i="8"/>
  <c r="N352" i="8" s="1"/>
  <c r="U434" i="2"/>
  <c r="P149" i="2"/>
  <c r="P375" i="8"/>
  <c r="P376" i="8" s="1"/>
  <c r="L143" i="2"/>
  <c r="Z95" i="2"/>
  <c r="R155" i="2"/>
  <c r="R399" i="8"/>
  <c r="R400" i="8" s="1"/>
  <c r="N484" i="2"/>
  <c r="AA431" i="2"/>
  <c r="Z152" i="2"/>
  <c r="Z387" i="8"/>
  <c r="Z388" i="8" s="1"/>
  <c r="AE147" i="2"/>
  <c r="AE367" i="8"/>
  <c r="AE368" i="8" s="1"/>
  <c r="V89" i="2"/>
  <c r="V339" i="8"/>
  <c r="V340" i="8" s="1"/>
  <c r="S215" i="2"/>
  <c r="S212" i="2"/>
  <c r="AC423" i="2"/>
  <c r="R423" i="2"/>
  <c r="T141" i="2"/>
  <c r="S207" i="2"/>
  <c r="AE28" i="2"/>
  <c r="AE299" i="8"/>
  <c r="AE300" i="8" s="1"/>
  <c r="AC154" i="2"/>
  <c r="AD150" i="2"/>
  <c r="M35" i="2"/>
  <c r="M62" i="2" s="1"/>
  <c r="M327" i="8"/>
  <c r="M328" i="8" s="1"/>
  <c r="AE30" i="2"/>
  <c r="AE307" i="8"/>
  <c r="AE308" i="8" s="1"/>
  <c r="W94" i="2"/>
  <c r="W359" i="8"/>
  <c r="W360" i="8" s="1"/>
  <c r="L323" i="8"/>
  <c r="L324" i="8" s="1"/>
  <c r="AD427" i="8"/>
  <c r="AD428" i="8" s="1"/>
  <c r="S371" i="8"/>
  <c r="S372" i="8" s="1"/>
  <c r="Z490" i="2"/>
  <c r="V613" i="2"/>
  <c r="W550" i="2"/>
  <c r="Y547" i="2"/>
  <c r="AA554" i="2"/>
  <c r="T554" i="2"/>
  <c r="AD487" i="2"/>
  <c r="V432" i="2"/>
  <c r="AA84" i="2"/>
  <c r="AA81" i="2"/>
  <c r="Y431" i="2"/>
  <c r="AE79" i="2"/>
  <c r="AE85" i="2"/>
  <c r="AE84" i="2"/>
  <c r="AE78" i="2"/>
  <c r="Y215" i="2"/>
  <c r="Y435" i="8"/>
  <c r="Y436" i="8" s="1"/>
  <c r="P210" i="2"/>
  <c r="P415" i="8"/>
  <c r="P416" i="8" s="1"/>
  <c r="AB92" i="2"/>
  <c r="AB351" i="8"/>
  <c r="AB352" i="8" s="1"/>
  <c r="N482" i="2"/>
  <c r="AE492" i="2"/>
  <c r="AC153" i="2"/>
  <c r="S92" i="2"/>
  <c r="Y484" i="2"/>
  <c r="AD494" i="2"/>
  <c r="T212" i="2"/>
  <c r="K423" i="2"/>
  <c r="T30" i="2"/>
  <c r="T307" i="8"/>
  <c r="T308" i="8" s="1"/>
  <c r="U141" i="2"/>
  <c r="S151" i="2"/>
  <c r="S383" i="8"/>
  <c r="S384" i="8" s="1"/>
  <c r="AD94" i="2"/>
  <c r="AD359" i="8"/>
  <c r="AD360" i="8" s="1"/>
  <c r="O28" i="2"/>
  <c r="O299" i="8"/>
  <c r="O300" i="8" s="1"/>
  <c r="AA80" i="2"/>
  <c r="AB154" i="2"/>
  <c r="AB395" i="8"/>
  <c r="AB396" i="8" s="1"/>
  <c r="P150" i="2"/>
  <c r="P379" i="8"/>
  <c r="P380" i="8" s="1"/>
  <c r="L94" i="2"/>
  <c r="M121" i="2" s="1"/>
  <c r="L359" i="8"/>
  <c r="L360" i="8" s="1"/>
  <c r="U426" i="2"/>
  <c r="V295" i="8"/>
  <c r="V296" i="8" s="1"/>
  <c r="AB415" i="8"/>
  <c r="AB416" i="8" s="1"/>
  <c r="M359" i="8"/>
  <c r="M360" i="8" s="1"/>
  <c r="X411" i="8"/>
  <c r="X412" i="8" s="1"/>
  <c r="L435" i="8"/>
  <c r="L436" i="8" s="1"/>
  <c r="Q148" i="2"/>
  <c r="K546" i="2"/>
  <c r="M208" i="2"/>
  <c r="M407" i="8"/>
  <c r="M408" i="8" s="1"/>
  <c r="AB552" i="2"/>
  <c r="AC614" i="2"/>
  <c r="AE607" i="2"/>
  <c r="Z416" i="2"/>
  <c r="R430" i="2"/>
  <c r="O491" i="2"/>
  <c r="W488" i="2"/>
  <c r="M209" i="2"/>
  <c r="M411" i="8"/>
  <c r="M412" i="8" s="1"/>
  <c r="O213" i="2"/>
  <c r="O427" i="8"/>
  <c r="O428" i="8" s="1"/>
  <c r="AA208" i="2"/>
  <c r="AA407" i="8"/>
  <c r="AA408" i="8" s="1"/>
  <c r="Z213" i="2"/>
  <c r="Z427" i="8"/>
  <c r="Z428" i="8" s="1"/>
  <c r="K603" i="2"/>
  <c r="T600" i="2"/>
  <c r="T601" i="2"/>
  <c r="T596" i="2"/>
  <c r="Q613" i="2"/>
  <c r="M550" i="2"/>
  <c r="AD599" i="2"/>
  <c r="L537" i="2"/>
  <c r="R613" i="2"/>
  <c r="P598" i="2"/>
  <c r="P547" i="2"/>
  <c r="V542" i="2"/>
  <c r="R416" i="2"/>
  <c r="R419" i="2"/>
  <c r="R422" i="2"/>
  <c r="U539" i="2"/>
  <c r="O544" i="2"/>
  <c r="AE613" i="2"/>
  <c r="Y548" i="2"/>
  <c r="AB546" i="2"/>
  <c r="L487" i="2"/>
  <c r="Z418" i="2"/>
  <c r="S488" i="2"/>
  <c r="Z486" i="2"/>
  <c r="T427" i="2"/>
  <c r="N208" i="2"/>
  <c r="N407" i="8"/>
  <c r="N408" i="8" s="1"/>
  <c r="K422" i="2"/>
  <c r="AE493" i="2"/>
  <c r="Y480" i="2"/>
  <c r="W432" i="2"/>
  <c r="K92" i="2"/>
  <c r="K351" i="8"/>
  <c r="P431" i="2"/>
  <c r="S79" i="2"/>
  <c r="S78" i="2"/>
  <c r="O212" i="2"/>
  <c r="S426" i="2"/>
  <c r="S492" i="2"/>
  <c r="Q482" i="2"/>
  <c r="O211" i="2"/>
  <c r="N153" i="2"/>
  <c r="N391" i="8"/>
  <c r="N392" i="8" s="1"/>
  <c r="AA78" i="2"/>
  <c r="R92" i="2"/>
  <c r="R351" i="8"/>
  <c r="R352" i="8" s="1"/>
  <c r="Z494" i="2"/>
  <c r="P494" i="2"/>
  <c r="P147" i="2"/>
  <c r="P367" i="8"/>
  <c r="P368" i="8" s="1"/>
  <c r="AA82" i="2"/>
  <c r="O89" i="2"/>
  <c r="O339" i="8"/>
  <c r="O340" i="8" s="1"/>
  <c r="AC399" i="8"/>
  <c r="AC400" i="8" s="1"/>
  <c r="L433" i="2"/>
  <c r="AD423" i="2"/>
  <c r="Q29" i="2"/>
  <c r="W141" i="2"/>
  <c r="AC93" i="2"/>
  <c r="T34" i="2"/>
  <c r="K144" i="2"/>
  <c r="T140" i="2"/>
  <c r="Z153" i="2"/>
  <c r="Z391" i="8"/>
  <c r="Z392" i="8" s="1"/>
  <c r="K77" i="2"/>
  <c r="M29" i="2"/>
  <c r="M303" i="8"/>
  <c r="M304" i="8" s="1"/>
  <c r="AB94" i="2"/>
  <c r="AB359" i="8"/>
  <c r="AB360" i="8" s="1"/>
  <c r="U427" i="2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O432" i="2"/>
  <c r="Z611" i="2"/>
  <c r="M606" i="2"/>
  <c r="M633" i="2" s="1"/>
  <c r="AE550" i="2"/>
  <c r="T608" i="2"/>
  <c r="Q539" i="2"/>
  <c r="AE552" i="2"/>
  <c r="L553" i="2"/>
  <c r="AA607" i="2"/>
  <c r="Y603" i="2"/>
  <c r="W609" i="2"/>
  <c r="Z612" i="2"/>
  <c r="Y602" i="2"/>
  <c r="AD537" i="2"/>
  <c r="Z537" i="2"/>
  <c r="T602" i="2"/>
  <c r="AD598" i="2"/>
  <c r="X434" i="2"/>
  <c r="AC489" i="2"/>
  <c r="L540" i="2"/>
  <c r="AE429" i="2"/>
  <c r="V539" i="2"/>
  <c r="AC544" i="2"/>
  <c r="S542" i="2"/>
  <c r="W598" i="2"/>
  <c r="N538" i="2"/>
  <c r="W536" i="2"/>
  <c r="V426" i="2"/>
  <c r="W207" i="2"/>
  <c r="W403" i="8"/>
  <c r="W404" i="8" s="1"/>
  <c r="AE487" i="2"/>
  <c r="AA434" i="2"/>
  <c r="W601" i="2"/>
  <c r="AB208" i="2"/>
  <c r="AB407" i="8"/>
  <c r="AB408" i="8" s="1"/>
  <c r="AB490" i="2"/>
  <c r="AA432" i="2"/>
  <c r="AB213" i="2"/>
  <c r="AB427" i="8"/>
  <c r="AB428" i="8" s="1"/>
  <c r="M548" i="2"/>
  <c r="M575" i="2" s="1"/>
  <c r="N480" i="2"/>
  <c r="AE82" i="2"/>
  <c r="K421" i="2"/>
  <c r="AC214" i="2"/>
  <c r="AC208" i="2"/>
  <c r="S210" i="2"/>
  <c r="X492" i="2"/>
  <c r="R492" i="2"/>
  <c r="U138" i="2"/>
  <c r="AB207" i="2"/>
  <c r="AB403" i="8"/>
  <c r="AB404" i="8" s="1"/>
  <c r="AD153" i="2"/>
  <c r="AB32" i="2"/>
  <c r="AB315" i="8"/>
  <c r="AB316" i="8" s="1"/>
  <c r="K494" i="2"/>
  <c r="AE494" i="2"/>
  <c r="R149" i="2"/>
  <c r="R375" i="8"/>
  <c r="R376" i="8" s="1"/>
  <c r="U137" i="2"/>
  <c r="AC89" i="2"/>
  <c r="AC339" i="8"/>
  <c r="AC340" i="8" s="1"/>
  <c r="K81" i="2"/>
  <c r="V155" i="2"/>
  <c r="V399" i="8"/>
  <c r="V400" i="8" s="1"/>
  <c r="M423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Y30" i="2"/>
  <c r="Y307" i="8"/>
  <c r="Y308" i="8" s="1"/>
  <c r="V303" i="8"/>
  <c r="V304" i="8" s="1"/>
  <c r="X367" i="8"/>
  <c r="X368" i="8" s="1"/>
  <c r="W331" i="8"/>
  <c r="W332" i="8" s="1"/>
  <c r="K415" i="8"/>
  <c r="O423" i="8"/>
  <c r="O424" i="8" s="1"/>
  <c r="S415" i="8"/>
  <c r="S416" i="8" s="1"/>
  <c r="T415" i="8"/>
  <c r="T416" i="8" s="1"/>
  <c r="Q80" i="2"/>
  <c r="T335" i="8"/>
  <c r="T336" i="8" s="1"/>
  <c r="Z375" i="8"/>
  <c r="Z376" i="8" s="1"/>
  <c r="R17" i="2"/>
  <c r="Z140" i="2"/>
  <c r="O31" i="2"/>
  <c r="AD423" i="8"/>
  <c r="AD424" i="8" s="1"/>
  <c r="Q423" i="8"/>
  <c r="Q424" i="8" s="1"/>
  <c r="Z144" i="2"/>
  <c r="P212" i="2"/>
  <c r="U210" i="2"/>
  <c r="AC148" i="2"/>
  <c r="AD492" i="2"/>
  <c r="Q155" i="2"/>
  <c r="T143" i="2"/>
  <c r="K207" i="2"/>
  <c r="AA423" i="2"/>
  <c r="O141" i="2"/>
  <c r="K83" i="2"/>
  <c r="U144" i="2"/>
  <c r="W140" i="2"/>
  <c r="N335" i="8"/>
  <c r="N336" i="8" s="1"/>
  <c r="O335" i="8"/>
  <c r="O336" i="8" s="1"/>
  <c r="AC27" i="2"/>
  <c r="R421" i="2"/>
  <c r="P215" i="2"/>
  <c r="AA145" i="2"/>
  <c r="M138" i="2"/>
  <c r="P492" i="2"/>
  <c r="O210" i="2"/>
  <c r="V143" i="2"/>
  <c r="Z138" i="2"/>
  <c r="T207" i="2"/>
  <c r="M137" i="2"/>
  <c r="W33" i="2"/>
  <c r="K78" i="2"/>
  <c r="O423" i="2"/>
  <c r="P151" i="2"/>
  <c r="AA34" i="2"/>
  <c r="W144" i="2"/>
  <c r="O30" i="2"/>
  <c r="U363" i="8"/>
  <c r="U364" i="8" s="1"/>
  <c r="AC371" i="8"/>
  <c r="AC372" i="8" s="1"/>
  <c r="P423" i="8"/>
  <c r="P424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T403" i="8"/>
  <c r="T404" i="8" s="1"/>
  <c r="U429" i="2"/>
  <c r="V415" i="8"/>
  <c r="V416" i="8" s="1"/>
  <c r="R347" i="8"/>
  <c r="R348" i="8" s="1"/>
  <c r="Y327" i="8"/>
  <c r="Y328" i="8" s="1"/>
  <c r="P383" i="8"/>
  <c r="P384" i="8" s="1"/>
  <c r="S80" i="2"/>
  <c r="AA323" i="8"/>
  <c r="AA324" i="8" s="1"/>
  <c r="R359" i="8"/>
  <c r="R360" i="8" s="1"/>
  <c r="AB367" i="8"/>
  <c r="AB368" i="8" s="1"/>
  <c r="F689" i="8" l="1"/>
  <c r="L1016" i="8"/>
  <c r="L1017" i="8" s="1"/>
  <c r="L735" i="2"/>
  <c r="L746" i="2"/>
  <c r="AA668" i="2"/>
  <c r="AA269" i="2"/>
  <c r="P153" i="2"/>
  <c r="M214" i="2"/>
  <c r="Z383" i="8"/>
  <c r="Z384" i="8" s="1"/>
  <c r="O375" i="2"/>
  <c r="O904" i="8" s="1"/>
  <c r="O905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394" i="2"/>
  <c r="L956" i="8" s="1"/>
  <c r="L957" i="8" s="1"/>
  <c r="L800" i="8"/>
  <c r="L801" i="8" s="1"/>
  <c r="X28" i="2"/>
  <c r="X299" i="8"/>
  <c r="X300" i="8" s="1"/>
  <c r="Y419" i="8"/>
  <c r="Y420" i="8" s="1"/>
  <c r="M235" i="2"/>
  <c r="AC211" i="2"/>
  <c r="N307" i="8"/>
  <c r="N308" i="8" s="1"/>
  <c r="Z323" i="8"/>
  <c r="Z324" i="8" s="1"/>
  <c r="M54" i="2"/>
  <c r="AD435" i="8"/>
  <c r="AD436" i="8" s="1"/>
  <c r="M118" i="2"/>
  <c r="M122" i="2"/>
  <c r="F1057" i="8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N397" i="2"/>
  <c r="N968" i="8" s="1"/>
  <c r="N969" i="8" s="1"/>
  <c r="N774" i="2"/>
  <c r="N1300" i="8" s="1"/>
  <c r="N1301" i="8" s="1"/>
  <c r="M60" i="2"/>
  <c r="AC423" i="8"/>
  <c r="AC424" i="8" s="1"/>
  <c r="N295" i="8"/>
  <c r="N296" i="8" s="1"/>
  <c r="W303" i="8"/>
  <c r="W304" i="8" s="1"/>
  <c r="V371" i="8"/>
  <c r="V372" i="8" s="1"/>
  <c r="O353" i="2"/>
  <c r="O832" i="8" s="1"/>
  <c r="O833" i="8" s="1"/>
  <c r="F985" i="8"/>
  <c r="Q280" i="2"/>
  <c r="P345" i="2"/>
  <c r="P612" i="8"/>
  <c r="P613" i="8" s="1"/>
  <c r="U208" i="2"/>
  <c r="X303" i="8"/>
  <c r="X304" i="8" s="1"/>
  <c r="O748" i="2"/>
  <c r="O1220" i="8" s="1"/>
  <c r="O1221" i="8" s="1"/>
  <c r="F665" i="8"/>
  <c r="N303" i="8"/>
  <c r="N304" i="8" s="1"/>
  <c r="N427" i="8"/>
  <c r="N428" i="8" s="1"/>
  <c r="W27" i="2"/>
  <c r="AD383" i="8"/>
  <c r="AD384" i="8" s="1"/>
  <c r="L554" i="2"/>
  <c r="M581" i="2" s="1"/>
  <c r="N581" i="2" s="1"/>
  <c r="Y319" i="2"/>
  <c r="Y362" i="2"/>
  <c r="Y391" i="2" s="1"/>
  <c r="R319" i="2"/>
  <c r="R362" i="2"/>
  <c r="R391" i="2" s="1"/>
  <c r="F1081" i="8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M797" i="2"/>
  <c r="M1368" i="8" s="1"/>
  <c r="M1369" i="8" s="1"/>
  <c r="X33" i="2"/>
  <c r="X319" i="8"/>
  <c r="X320" i="8" s="1"/>
  <c r="N764" i="8"/>
  <c r="N765" i="8" s="1"/>
  <c r="N354" i="2"/>
  <c r="N836" i="8" s="1"/>
  <c r="N837" i="8" s="1"/>
  <c r="X315" i="8"/>
  <c r="X316" i="8" s="1"/>
  <c r="X32" i="2"/>
  <c r="Y212" i="2"/>
  <c r="Y423" i="8"/>
  <c r="Y424" i="8" s="1"/>
  <c r="Q760" i="8"/>
  <c r="Q761" i="8" s="1"/>
  <c r="Q353" i="2"/>
  <c r="Q832" i="8" s="1"/>
  <c r="Q833" i="8" s="1"/>
  <c r="L780" i="8"/>
  <c r="L781" i="8" s="1"/>
  <c r="L358" i="2"/>
  <c r="L852" i="8" s="1"/>
  <c r="L853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L357" i="2"/>
  <c r="L848" i="8" s="1"/>
  <c r="L849" i="8" s="1"/>
  <c r="M1344" i="8"/>
  <c r="M1345" i="8" s="1"/>
  <c r="O768" i="8"/>
  <c r="O769" i="8" s="1"/>
  <c r="O355" i="2"/>
  <c r="O840" i="8" s="1"/>
  <c r="O841" i="8" s="1"/>
  <c r="M457" i="2"/>
  <c r="U411" i="8"/>
  <c r="U412" i="8" s="1"/>
  <c r="G312" i="2"/>
  <c r="G311" i="2"/>
  <c r="G310" i="2"/>
  <c r="M764" i="8"/>
  <c r="M765" i="8" s="1"/>
  <c r="M354" i="2"/>
  <c r="M836" i="8" s="1"/>
  <c r="M837" i="8" s="1"/>
  <c r="F685" i="8"/>
  <c r="R600" i="8"/>
  <c r="R601" i="8" s="1"/>
  <c r="R342" i="2"/>
  <c r="S277" i="2"/>
  <c r="R331" i="2"/>
  <c r="T701" i="2"/>
  <c r="T1068" i="8" s="1"/>
  <c r="T1069" i="8" s="1"/>
  <c r="O32" i="2"/>
  <c r="L772" i="8"/>
  <c r="L773" i="8" s="1"/>
  <c r="L356" i="2"/>
  <c r="L844" i="8" s="1"/>
  <c r="L845" i="8" s="1"/>
  <c r="Z701" i="2"/>
  <c r="Z1068" i="8" s="1"/>
  <c r="Z1069" i="8" s="1"/>
  <c r="O1176" i="8"/>
  <c r="O1177" i="8" s="1"/>
  <c r="O757" i="2"/>
  <c r="O1248" i="8" s="1"/>
  <c r="O1249" i="8" s="1"/>
  <c r="U701" i="2"/>
  <c r="U1068" i="8" s="1"/>
  <c r="U1069" i="8" s="1"/>
  <c r="T32" i="2"/>
  <c r="T315" i="8"/>
  <c r="T316" i="8" s="1"/>
  <c r="L812" i="8"/>
  <c r="L813" i="8" s="1"/>
  <c r="L397" i="2"/>
  <c r="L968" i="8" s="1"/>
  <c r="L969" i="8" s="1"/>
  <c r="P608" i="8"/>
  <c r="P609" i="8" s="1"/>
  <c r="Q279" i="2"/>
  <c r="P344" i="2"/>
  <c r="P333" i="2"/>
  <c r="F312" i="2"/>
  <c r="P365" i="2" s="1"/>
  <c r="P872" i="8" s="1"/>
  <c r="P873" i="8" s="1"/>
  <c r="F310" i="2"/>
  <c r="F311" i="2"/>
  <c r="O319" i="2"/>
  <c r="O362" i="2"/>
  <c r="O391" i="2" s="1"/>
  <c r="Q796" i="8"/>
  <c r="Q797" i="8" s="1"/>
  <c r="Q393" i="2"/>
  <c r="Q952" i="8" s="1"/>
  <c r="Q953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357" i="2"/>
  <c r="R848" i="8" s="1"/>
  <c r="R849" i="8" s="1"/>
  <c r="R1020" i="8"/>
  <c r="R1021" i="8" s="1"/>
  <c r="S682" i="2"/>
  <c r="R736" i="2"/>
  <c r="R747" i="2"/>
  <c r="P347" i="2"/>
  <c r="P336" i="2"/>
  <c r="P338" i="2" s="1"/>
  <c r="P788" i="8" s="1"/>
  <c r="P789" i="8" s="1"/>
  <c r="Q282" i="2"/>
  <c r="P620" i="8"/>
  <c r="P621" i="8" s="1"/>
  <c r="M772" i="8"/>
  <c r="M773" i="8" s="1"/>
  <c r="M356" i="2"/>
  <c r="M844" i="8" s="1"/>
  <c r="M845" i="8" s="1"/>
  <c r="X718" i="2"/>
  <c r="X761" i="2"/>
  <c r="X790" i="2" s="1"/>
  <c r="P1168" i="8"/>
  <c r="P1169" i="8" s="1"/>
  <c r="P755" i="2"/>
  <c r="P1240" i="8" s="1"/>
  <c r="P1241" i="8" s="1"/>
  <c r="P1152" i="8"/>
  <c r="P1153" i="8" s="1"/>
  <c r="P751" i="2"/>
  <c r="H253" i="2"/>
  <c r="I253" i="2"/>
  <c r="S616" i="8"/>
  <c r="S617" i="8" s="1"/>
  <c r="S335" i="2"/>
  <c r="S346" i="2"/>
  <c r="T281" i="2"/>
  <c r="Q1216" i="8"/>
  <c r="Q1217" i="8" s="1"/>
  <c r="Q798" i="2"/>
  <c r="Q1372" i="8" s="1"/>
  <c r="Q1373" i="8" s="1"/>
  <c r="O1164" i="8"/>
  <c r="O1165" i="8" s="1"/>
  <c r="O754" i="2"/>
  <c r="O1236" i="8" s="1"/>
  <c r="O1237" i="8" s="1"/>
  <c r="O780" i="8"/>
  <c r="O781" i="8" s="1"/>
  <c r="O358" i="2"/>
  <c r="O852" i="8" s="1"/>
  <c r="O853" i="8" s="1"/>
  <c r="O772" i="8"/>
  <c r="O773" i="8" s="1"/>
  <c r="O356" i="2"/>
  <c r="O844" i="8" s="1"/>
  <c r="O845" i="8" s="1"/>
  <c r="L760" i="8"/>
  <c r="L761" i="8" s="1"/>
  <c r="L353" i="2"/>
  <c r="L832" i="8" s="1"/>
  <c r="L833" i="8" s="1"/>
  <c r="M780" i="8"/>
  <c r="M781" i="8" s="1"/>
  <c r="M358" i="2"/>
  <c r="M852" i="8" s="1"/>
  <c r="M853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791" i="2"/>
  <c r="P820" i="8"/>
  <c r="P821" i="8" s="1"/>
  <c r="P399" i="2"/>
  <c r="P976" i="8" s="1"/>
  <c r="P977" i="8" s="1"/>
  <c r="W299" i="8"/>
  <c r="W300" i="8" s="1"/>
  <c r="M516" i="2"/>
  <c r="U608" i="2"/>
  <c r="H652" i="2"/>
  <c r="I652" i="2"/>
  <c r="H257" i="2"/>
  <c r="F313" i="2" s="1"/>
  <c r="O366" i="2" s="1"/>
  <c r="O876" i="8" s="1"/>
  <c r="O877" i="8" s="1"/>
  <c r="I257" i="2"/>
  <c r="G313" i="2" s="1"/>
  <c r="R812" i="8"/>
  <c r="R813" i="8" s="1"/>
  <c r="R397" i="2"/>
  <c r="R968" i="8" s="1"/>
  <c r="R969" i="8" s="1"/>
  <c r="Q1180" i="8"/>
  <c r="Q1181" i="8" s="1"/>
  <c r="Q758" i="2"/>
  <c r="Q1252" i="8" s="1"/>
  <c r="Q1253" i="8" s="1"/>
  <c r="Q775" i="2"/>
  <c r="Q1304" i="8" s="1"/>
  <c r="Q1305" i="8" s="1"/>
  <c r="O1200" i="8"/>
  <c r="O1201" i="8" s="1"/>
  <c r="O794" i="2"/>
  <c r="O1356" i="8" s="1"/>
  <c r="O1357" i="8" s="1"/>
  <c r="O816" i="8"/>
  <c r="O817" i="8" s="1"/>
  <c r="O398" i="2"/>
  <c r="O972" i="8" s="1"/>
  <c r="O973" i="8" s="1"/>
  <c r="AC319" i="2"/>
  <c r="AC362" i="2"/>
  <c r="AC391" i="2" s="1"/>
  <c r="L784" i="8"/>
  <c r="L785" i="8" s="1"/>
  <c r="L359" i="2"/>
  <c r="L856" i="8" s="1"/>
  <c r="L857" i="8" s="1"/>
  <c r="L376" i="2"/>
  <c r="L908" i="8" s="1"/>
  <c r="L909" i="8" s="1"/>
  <c r="N772" i="8"/>
  <c r="N773" i="8" s="1"/>
  <c r="N356" i="2"/>
  <c r="N844" i="8" s="1"/>
  <c r="N845" i="8" s="1"/>
  <c r="F589" i="8"/>
  <c r="P1204" i="8"/>
  <c r="P1205" i="8" s="1"/>
  <c r="P795" i="2"/>
  <c r="P1360" i="8" s="1"/>
  <c r="P1361" i="8" s="1"/>
  <c r="Q992" i="8"/>
  <c r="Q993" i="8" s="1"/>
  <c r="R675" i="2"/>
  <c r="Q740" i="2"/>
  <c r="Q729" i="2"/>
  <c r="AD701" i="2"/>
  <c r="AD1068" i="8" s="1"/>
  <c r="AD1069" i="8" s="1"/>
  <c r="P784" i="8"/>
  <c r="P785" i="8" s="1"/>
  <c r="P359" i="2"/>
  <c r="P856" i="8" s="1"/>
  <c r="P857" i="8" s="1"/>
  <c r="W419" i="8"/>
  <c r="W420" i="8" s="1"/>
  <c r="M489" i="2"/>
  <c r="H656" i="2"/>
  <c r="F712" i="2" s="1"/>
  <c r="I656" i="2"/>
  <c r="G712" i="2" s="1"/>
  <c r="O765" i="2" s="1"/>
  <c r="O1272" i="8" s="1"/>
  <c r="O1273" i="8" s="1"/>
  <c r="F593" i="8"/>
  <c r="L1224" i="8"/>
  <c r="L1225" i="8" s="1"/>
  <c r="P1004" i="8"/>
  <c r="P1005" i="8" s="1"/>
  <c r="Q678" i="2"/>
  <c r="P743" i="2"/>
  <c r="P732" i="2"/>
  <c r="N1164" i="8"/>
  <c r="N1165" i="8" s="1"/>
  <c r="N754" i="2"/>
  <c r="N1236" i="8" s="1"/>
  <c r="N1237" i="8" s="1"/>
  <c r="N768" i="8"/>
  <c r="N769" i="8" s="1"/>
  <c r="N378" i="2"/>
  <c r="N916" i="8" s="1"/>
  <c r="N917" i="8" s="1"/>
  <c r="N355" i="2"/>
  <c r="N840" i="8" s="1"/>
  <c r="N841" i="8" s="1"/>
  <c r="AB90" i="2"/>
  <c r="AB343" i="8"/>
  <c r="AB344" i="8" s="1"/>
  <c r="R283" i="2"/>
  <c r="Q337" i="2"/>
  <c r="Q348" i="2"/>
  <c r="Q624" i="8"/>
  <c r="Q625" i="8" s="1"/>
  <c r="Y148" i="2"/>
  <c r="M517" i="2"/>
  <c r="Q331" i="8"/>
  <c r="Q332" i="8" s="1"/>
  <c r="Z215" i="2"/>
  <c r="AE479" i="8"/>
  <c r="AE480" i="8" s="1"/>
  <c r="N303" i="2"/>
  <c r="N676" i="8" s="1"/>
  <c r="N677" i="8" s="1"/>
  <c r="S303" i="2"/>
  <c r="S676" i="8" s="1"/>
  <c r="S677" i="8" s="1"/>
  <c r="X486" i="2"/>
  <c r="N1344" i="8"/>
  <c r="N1345" i="8" s="1"/>
  <c r="N799" i="2"/>
  <c r="N1376" i="8" s="1"/>
  <c r="N1377" i="8" s="1"/>
  <c r="AE27" i="2"/>
  <c r="AE295" i="8"/>
  <c r="AE296" i="8" s="1"/>
  <c r="L820" i="8"/>
  <c r="L821" i="8" s="1"/>
  <c r="L399" i="2"/>
  <c r="L976" i="8" s="1"/>
  <c r="L977" i="8" s="1"/>
  <c r="M1164" i="8"/>
  <c r="M1165" i="8" s="1"/>
  <c r="M754" i="2"/>
  <c r="M1236" i="8" s="1"/>
  <c r="M1237" i="8" s="1"/>
  <c r="M777" i="2"/>
  <c r="M1312" i="8" s="1"/>
  <c r="M1313" i="8" s="1"/>
  <c r="O948" i="8"/>
  <c r="O949" i="8" s="1"/>
  <c r="N1172" i="8"/>
  <c r="N1173" i="8" s="1"/>
  <c r="N756" i="2"/>
  <c r="N1244" i="8" s="1"/>
  <c r="N1245" i="8" s="1"/>
  <c r="F1073" i="8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M395" i="2"/>
  <c r="M960" i="8" s="1"/>
  <c r="M961" i="8" s="1"/>
  <c r="S208" i="2"/>
  <c r="O1192" i="8"/>
  <c r="O1193" i="8" s="1"/>
  <c r="O792" i="2"/>
  <c r="O1348" i="8" s="1"/>
  <c r="O1349" i="8" s="1"/>
  <c r="L1344" i="8"/>
  <c r="L1345" i="8" s="1"/>
  <c r="M1172" i="8"/>
  <c r="M1173" i="8" s="1"/>
  <c r="M756" i="2"/>
  <c r="M1244" i="8" s="1"/>
  <c r="M1245" i="8" s="1"/>
  <c r="P319" i="2"/>
  <c r="P362" i="2"/>
  <c r="P391" i="2" s="1"/>
  <c r="N338" i="2"/>
  <c r="N788" i="8" s="1"/>
  <c r="N789" i="8" s="1"/>
  <c r="M1160" i="8"/>
  <c r="M1161" i="8" s="1"/>
  <c r="M753" i="2"/>
  <c r="M1232" i="8" s="1"/>
  <c r="M1233" i="8" s="1"/>
  <c r="Y701" i="2"/>
  <c r="Y1068" i="8" s="1"/>
  <c r="Y1069" i="8" s="1"/>
  <c r="O701" i="2"/>
  <c r="O1068" i="8" s="1"/>
  <c r="O1069" i="8" s="1"/>
  <c r="X701" i="2"/>
  <c r="X1068" i="8" s="1"/>
  <c r="X1069" i="8" s="1"/>
  <c r="AA701" i="2"/>
  <c r="AA1068" i="8" s="1"/>
  <c r="AA1069" i="8" s="1"/>
  <c r="P701" i="2"/>
  <c r="P1068" i="8" s="1"/>
  <c r="P1069" i="8" s="1"/>
  <c r="M701" i="2"/>
  <c r="M1068" i="8" s="1"/>
  <c r="M1069" i="8" s="1"/>
  <c r="L701" i="2"/>
  <c r="L1068" i="8" s="1"/>
  <c r="L1069" i="8" s="1"/>
  <c r="AB701" i="2"/>
  <c r="AB1068" i="8" s="1"/>
  <c r="AB1069" i="8" s="1"/>
  <c r="O1344" i="8"/>
  <c r="O1345" i="8" s="1"/>
  <c r="X155" i="2"/>
  <c r="X399" i="8"/>
  <c r="X400" i="8" s="1"/>
  <c r="S718" i="2"/>
  <c r="S761" i="2"/>
  <c r="S790" i="2" s="1"/>
  <c r="M768" i="8"/>
  <c r="M769" i="8" s="1"/>
  <c r="M355" i="2"/>
  <c r="M840" i="8" s="1"/>
  <c r="M841" i="8" s="1"/>
  <c r="V301" i="2"/>
  <c r="V668" i="8" s="1"/>
  <c r="V669" i="8" s="1"/>
  <c r="Q307" i="8"/>
  <c r="Q308" i="8" s="1"/>
  <c r="M461" i="2"/>
  <c r="M428" i="2"/>
  <c r="M455" i="2" s="1"/>
  <c r="AA35" i="2"/>
  <c r="N780" i="8"/>
  <c r="N781" i="8" s="1"/>
  <c r="N358" i="2"/>
  <c r="N852" i="8" s="1"/>
  <c r="N853" i="8" s="1"/>
  <c r="I654" i="2"/>
  <c r="G716" i="2" s="1"/>
  <c r="H654" i="2"/>
  <c r="F716" i="2" s="1"/>
  <c r="M769" i="2" s="1"/>
  <c r="M1288" i="8" s="1"/>
  <c r="M1289" i="8" s="1"/>
  <c r="O303" i="2"/>
  <c r="O676" i="8" s="1"/>
  <c r="O677" i="8" s="1"/>
  <c r="O1156" i="8"/>
  <c r="O1157" i="8" s="1"/>
  <c r="O752" i="2"/>
  <c r="O1228" i="8" s="1"/>
  <c r="O1229" i="8" s="1"/>
  <c r="W701" i="2"/>
  <c r="W1068" i="8" s="1"/>
  <c r="W1069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M795" i="2"/>
  <c r="M1360" i="8" s="1"/>
  <c r="M1361" i="8" s="1"/>
  <c r="AA663" i="2"/>
  <c r="AA264" i="2"/>
  <c r="R303" i="2"/>
  <c r="R676" i="8" s="1"/>
  <c r="R677" i="8" s="1"/>
  <c r="Q1012" i="8"/>
  <c r="Q1013" i="8" s="1"/>
  <c r="R680" i="2"/>
  <c r="Q734" i="2"/>
  <c r="Q745" i="2"/>
  <c r="O488" i="2"/>
  <c r="M115" i="2"/>
  <c r="M47" i="8" s="1"/>
  <c r="M48" i="8" s="1"/>
  <c r="W212" i="2"/>
  <c r="AB327" i="8"/>
  <c r="AB328" i="8" s="1"/>
  <c r="K563" i="8"/>
  <c r="Q483" i="8"/>
  <c r="Q484" i="8" s="1"/>
  <c r="P323" i="8"/>
  <c r="P324" i="8" s="1"/>
  <c r="F681" i="8"/>
  <c r="P792" i="8"/>
  <c r="P793" i="8" s="1"/>
  <c r="P363" i="2"/>
  <c r="P349" i="2"/>
  <c r="P824" i="8" s="1"/>
  <c r="P825" i="8" s="1"/>
  <c r="P392" i="2"/>
  <c r="F1065" i="8"/>
  <c r="H255" i="2"/>
  <c r="F317" i="2" s="1"/>
  <c r="L370" i="2" s="1"/>
  <c r="L892" i="8" s="1"/>
  <c r="L893" i="8" s="1"/>
  <c r="I255" i="2"/>
  <c r="G317" i="2" s="1"/>
  <c r="T303" i="2"/>
  <c r="T676" i="8" s="1"/>
  <c r="T677" i="8" s="1"/>
  <c r="P996" i="8"/>
  <c r="P997" i="8" s="1"/>
  <c r="Q676" i="2"/>
  <c r="P730" i="2"/>
  <c r="P737" i="2" s="1"/>
  <c r="P1184" i="8" s="1"/>
  <c r="P1185" i="8" s="1"/>
  <c r="P741" i="2"/>
  <c r="P748" i="2" s="1"/>
  <c r="P1220" i="8" s="1"/>
  <c r="P1221" i="8" s="1"/>
  <c r="P27" i="2"/>
  <c r="P295" i="8"/>
  <c r="P296" i="8" s="1"/>
  <c r="M1208" i="8"/>
  <c r="M1209" i="8" s="1"/>
  <c r="M796" i="2"/>
  <c r="M1364" i="8" s="1"/>
  <c r="M1365" i="8" s="1"/>
  <c r="N832" i="8"/>
  <c r="N833" i="8" s="1"/>
  <c r="M1196" i="8"/>
  <c r="M1197" i="8" s="1"/>
  <c r="M793" i="2"/>
  <c r="M1352" i="8" s="1"/>
  <c r="M1353" i="8" s="1"/>
  <c r="R301" i="2"/>
  <c r="R668" i="8" s="1"/>
  <c r="R669" i="8" s="1"/>
  <c r="P302" i="2"/>
  <c r="P672" i="8" s="1"/>
  <c r="P673" i="8" s="1"/>
  <c r="M1168" i="8"/>
  <c r="M1169" i="8" s="1"/>
  <c r="M755" i="2"/>
  <c r="M1240" i="8" s="1"/>
  <c r="M1241" i="8" s="1"/>
  <c r="AB663" i="2"/>
  <c r="AB264" i="2"/>
  <c r="P764" i="8"/>
  <c r="P765" i="8" s="1"/>
  <c r="P354" i="2"/>
  <c r="P836" i="8" s="1"/>
  <c r="P837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P796" i="2"/>
  <c r="P1364" i="8" s="1"/>
  <c r="P1365" i="8" s="1"/>
  <c r="M1216" i="8"/>
  <c r="M1217" i="8" s="1"/>
  <c r="M798" i="2"/>
  <c r="M1372" i="8" s="1"/>
  <c r="M1373" i="8" s="1"/>
  <c r="L333" i="2"/>
  <c r="L608" i="8"/>
  <c r="L609" i="8" s="1"/>
  <c r="L344" i="2"/>
  <c r="O1196" i="8"/>
  <c r="O1197" i="8" s="1"/>
  <c r="O793" i="2"/>
  <c r="O1352" i="8" s="1"/>
  <c r="O1353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P352" i="2"/>
  <c r="P375" i="2" s="1"/>
  <c r="P904" i="8" s="1"/>
  <c r="P905" i="8" s="1"/>
  <c r="AA665" i="2"/>
  <c r="AA266" i="2"/>
  <c r="O338" i="2"/>
  <c r="O788" i="8" s="1"/>
  <c r="O789" i="8" s="1"/>
  <c r="P772" i="8"/>
  <c r="P773" i="8" s="1"/>
  <c r="P356" i="2"/>
  <c r="P844" i="8" s="1"/>
  <c r="P845" i="8" s="1"/>
  <c r="O775" i="2"/>
  <c r="O1304" i="8" s="1"/>
  <c r="O1305" i="8" s="1"/>
  <c r="T31" i="2"/>
  <c r="T311" i="8"/>
  <c r="T312" i="8" s="1"/>
  <c r="F1061" i="8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P394" i="2"/>
  <c r="P956" i="8" s="1"/>
  <c r="P957" i="8" s="1"/>
  <c r="O737" i="2"/>
  <c r="O1184" i="8" s="1"/>
  <c r="O1185" i="8" s="1"/>
  <c r="Q302" i="2"/>
  <c r="Q672" i="8" s="1"/>
  <c r="Q673" i="8" s="1"/>
  <c r="P1172" i="8"/>
  <c r="P1173" i="8" s="1"/>
  <c r="P756" i="2"/>
  <c r="P1244" i="8" s="1"/>
  <c r="P1245" i="8" s="1"/>
  <c r="L1020" i="8"/>
  <c r="L1021" i="8" s="1"/>
  <c r="L736" i="2"/>
  <c r="L747" i="2"/>
  <c r="O1160" i="8"/>
  <c r="O1161" i="8" s="1"/>
  <c r="O753" i="2"/>
  <c r="O1232" i="8" s="1"/>
  <c r="O1233" i="8" s="1"/>
  <c r="AA493" i="2"/>
  <c r="K375" i="8"/>
  <c r="Q215" i="2"/>
  <c r="G711" i="2"/>
  <c r="G709" i="2"/>
  <c r="G710" i="2"/>
  <c r="L764" i="8"/>
  <c r="L765" i="8" s="1"/>
  <c r="L354" i="2"/>
  <c r="L836" i="8" s="1"/>
  <c r="L837" i="8" s="1"/>
  <c r="Q596" i="8"/>
  <c r="Q597" i="8" s="1"/>
  <c r="Q330" i="2"/>
  <c r="R276" i="2"/>
  <c r="Q341" i="2"/>
  <c r="N701" i="2"/>
  <c r="N1068" i="8" s="1"/>
  <c r="N1069" i="8" s="1"/>
  <c r="AB266" i="2"/>
  <c r="AB665" i="2"/>
  <c r="AD32" i="2"/>
  <c r="AD315" i="8"/>
  <c r="AD316" i="8" s="1"/>
  <c r="L398" i="2"/>
  <c r="L972" i="8" s="1"/>
  <c r="L973" i="8" s="1"/>
  <c r="L816" i="8"/>
  <c r="L817" i="8" s="1"/>
  <c r="N1224" i="8"/>
  <c r="N1225" i="8" s="1"/>
  <c r="N759" i="2"/>
  <c r="N1256" i="8" s="1"/>
  <c r="N1257" i="8" s="1"/>
  <c r="F1077" i="8"/>
  <c r="O1172" i="8"/>
  <c r="O1173" i="8" s="1"/>
  <c r="O756" i="2"/>
  <c r="O1244" i="8" s="1"/>
  <c r="O1245" i="8" s="1"/>
  <c r="M756" i="8"/>
  <c r="M757" i="8" s="1"/>
  <c r="M352" i="2"/>
  <c r="M338" i="2"/>
  <c r="M788" i="8" s="1"/>
  <c r="M789" i="8" s="1"/>
  <c r="M375" i="2"/>
  <c r="M904" i="8" s="1"/>
  <c r="M905" i="8" s="1"/>
  <c r="Q604" i="8"/>
  <c r="Q605" i="8" s="1"/>
  <c r="R278" i="2"/>
  <c r="Q343" i="2"/>
  <c r="Q332" i="2"/>
  <c r="T35" i="2"/>
  <c r="T327" i="8"/>
  <c r="T328" i="8" s="1"/>
  <c r="M1180" i="8"/>
  <c r="M1181" i="8" s="1"/>
  <c r="M758" i="2"/>
  <c r="M1252" i="8" s="1"/>
  <c r="M1253" i="8" s="1"/>
  <c r="P1000" i="8"/>
  <c r="P1001" i="8" s="1"/>
  <c r="Q677" i="2"/>
  <c r="P731" i="2"/>
  <c r="P742" i="2"/>
  <c r="Z761" i="2"/>
  <c r="Z790" i="2" s="1"/>
  <c r="Z718" i="2"/>
  <c r="M576" i="2"/>
  <c r="T515" i="8"/>
  <c r="T516" i="8" s="1"/>
  <c r="R455" i="8"/>
  <c r="R456" i="8" s="1"/>
  <c r="F711" i="2"/>
  <c r="F709" i="2"/>
  <c r="F710" i="2"/>
  <c r="O763" i="2" s="1"/>
  <c r="O1264" i="8" s="1"/>
  <c r="O1265" i="8" s="1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R701" i="2"/>
  <c r="R1068" i="8" s="1"/>
  <c r="R1069" i="8" s="1"/>
  <c r="AA667" i="2"/>
  <c r="AA268" i="2"/>
  <c r="O1212" i="8"/>
  <c r="O1213" i="8" s="1"/>
  <c r="O797" i="2"/>
  <c r="O1368" i="8" s="1"/>
  <c r="O1369" i="8" s="1"/>
  <c r="M792" i="8"/>
  <c r="M793" i="8" s="1"/>
  <c r="M363" i="2"/>
  <c r="M392" i="2"/>
  <c r="M349" i="2"/>
  <c r="M824" i="8" s="1"/>
  <c r="M825" i="8" s="1"/>
  <c r="AD31" i="2"/>
  <c r="AD311" i="8"/>
  <c r="AD312" i="8" s="1"/>
  <c r="N948" i="8"/>
  <c r="N949" i="8" s="1"/>
  <c r="N400" i="2"/>
  <c r="N980" i="8" s="1"/>
  <c r="N981" i="8" s="1"/>
  <c r="M1224" i="8"/>
  <c r="M1225" i="8" s="1"/>
  <c r="X211" i="2"/>
  <c r="X419" i="8"/>
  <c r="X420" i="8" s="1"/>
  <c r="AE701" i="2"/>
  <c r="AE1068" i="8" s="1"/>
  <c r="AE1069" i="8" s="1"/>
  <c r="O804" i="8"/>
  <c r="O805" i="8" s="1"/>
  <c r="O395" i="2"/>
  <c r="O960" i="8" s="1"/>
  <c r="O961" i="8" s="1"/>
  <c r="O349" i="2"/>
  <c r="O824" i="8" s="1"/>
  <c r="O825" i="8" s="1"/>
  <c r="AE303" i="2"/>
  <c r="AE676" i="8" s="1"/>
  <c r="AE677" i="8" s="1"/>
  <c r="N117" i="2"/>
  <c r="O117" i="2" s="1"/>
  <c r="M55" i="8"/>
  <c r="M56" i="8" s="1"/>
  <c r="Y426" i="2"/>
  <c r="AE395" i="8"/>
  <c r="AE396" i="8" s="1"/>
  <c r="M427" i="2"/>
  <c r="P553" i="2"/>
  <c r="AE614" i="2"/>
  <c r="T547" i="2"/>
  <c r="W606" i="2"/>
  <c r="V212" i="2"/>
  <c r="Y443" i="8"/>
  <c r="Y444" i="8" s="1"/>
  <c r="Y427" i="2"/>
  <c r="S27" i="2"/>
  <c r="S295" i="8"/>
  <c r="S296" i="8" s="1"/>
  <c r="AA549" i="2"/>
  <c r="AC95" i="2"/>
  <c r="AC363" i="8"/>
  <c r="AC364" i="8" s="1"/>
  <c r="N209" i="2"/>
  <c r="Y299" i="8"/>
  <c r="Y300" i="8" s="1"/>
  <c r="Y28" i="2"/>
  <c r="Q35" i="2"/>
  <c r="Q327" i="8"/>
  <c r="Q328" i="8" s="1"/>
  <c r="AB607" i="2"/>
  <c r="AB551" i="8"/>
  <c r="AB552" i="8" s="1"/>
  <c r="Y428" i="2"/>
  <c r="AB31" i="2"/>
  <c r="AB311" i="8"/>
  <c r="AB312" i="8" s="1"/>
  <c r="Z33" i="2"/>
  <c r="Z319" i="8"/>
  <c r="Z320" i="8" s="1"/>
  <c r="Q426" i="2"/>
  <c r="S29" i="2"/>
  <c r="S303" i="8"/>
  <c r="S304" i="8" s="1"/>
  <c r="N32" i="2"/>
  <c r="N59" i="2" s="1"/>
  <c r="N315" i="8"/>
  <c r="N316" i="8" s="1"/>
  <c r="Q31" i="2"/>
  <c r="Q311" i="8"/>
  <c r="Q312" i="8" s="1"/>
  <c r="AB610" i="2"/>
  <c r="AB563" i="8"/>
  <c r="AB564" i="8" s="1"/>
  <c r="M563" i="8"/>
  <c r="M564" i="8" s="1"/>
  <c r="O327" i="8"/>
  <c r="O328" i="8" s="1"/>
  <c r="N214" i="2"/>
  <c r="N431" i="8"/>
  <c r="N432" i="8" s="1"/>
  <c r="V488" i="2"/>
  <c r="U609" i="2"/>
  <c r="Y315" i="8"/>
  <c r="Y316" i="8" s="1"/>
  <c r="M514" i="2"/>
  <c r="M454" i="2"/>
  <c r="N454" i="2" s="1"/>
  <c r="M236" i="2"/>
  <c r="N236" i="2" s="1"/>
  <c r="AC315" i="8"/>
  <c r="AC316" i="8" s="1"/>
  <c r="AC32" i="2"/>
  <c r="R548" i="2"/>
  <c r="R609" i="2"/>
  <c r="Q27" i="2"/>
  <c r="Q295" i="8"/>
  <c r="Q296" i="8" s="1"/>
  <c r="V214" i="2"/>
  <c r="V431" i="8"/>
  <c r="V432" i="8" s="1"/>
  <c r="W327" i="8"/>
  <c r="W328" i="8" s="1"/>
  <c r="AE539" i="8"/>
  <c r="AE540" i="8" s="1"/>
  <c r="Z32" i="2"/>
  <c r="Z315" i="8"/>
  <c r="Z316" i="8" s="1"/>
  <c r="P33" i="2"/>
  <c r="P319" i="8"/>
  <c r="P320" i="8" s="1"/>
  <c r="N148" i="2"/>
  <c r="N371" i="8"/>
  <c r="N372" i="8" s="1"/>
  <c r="M31" i="2"/>
  <c r="M58" i="2" s="1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M240" i="2"/>
  <c r="N240" i="2" s="1"/>
  <c r="Y395" i="8"/>
  <c r="Y396" i="8" s="1"/>
  <c r="X208" i="2"/>
  <c r="X407" i="8"/>
  <c r="X408" i="8" s="1"/>
  <c r="F408" i="8" s="1"/>
  <c r="S319" i="8"/>
  <c r="S320" i="8" s="1"/>
  <c r="S33" i="2"/>
  <c r="AB34" i="2"/>
  <c r="AB323" i="8"/>
  <c r="AB324" i="8" s="1"/>
  <c r="Y33" i="2"/>
  <c r="Y319" i="8"/>
  <c r="Y320" i="8" s="1"/>
  <c r="V614" i="2"/>
  <c r="V579" i="8"/>
  <c r="V580" i="8" s="1"/>
  <c r="S31" i="2"/>
  <c r="S311" i="8"/>
  <c r="S312" i="8" s="1"/>
  <c r="AB606" i="2"/>
  <c r="Y550" i="2"/>
  <c r="T548" i="2"/>
  <c r="AA608" i="2"/>
  <c r="O493" i="2"/>
  <c r="L383" i="8"/>
  <c r="L384" i="8" s="1"/>
  <c r="P519" i="8"/>
  <c r="P520" i="8" s="1"/>
  <c r="AB614" i="2"/>
  <c r="X213" i="2"/>
  <c r="X427" i="8"/>
  <c r="X428" i="8" s="1"/>
  <c r="F428" i="8" s="1"/>
  <c r="AC415" i="8"/>
  <c r="AC416" i="8" s="1"/>
  <c r="AC210" i="2"/>
  <c r="V486" i="2"/>
  <c r="S35" i="2"/>
  <c r="S327" i="8"/>
  <c r="S328" i="8" s="1"/>
  <c r="R383" i="8"/>
  <c r="R384" i="8" s="1"/>
  <c r="Q207" i="2"/>
  <c r="M456" i="2"/>
  <c r="N456" i="2" s="1"/>
  <c r="AA415" i="8"/>
  <c r="AA416" i="8" s="1"/>
  <c r="F416" i="8" s="1"/>
  <c r="AA210" i="2"/>
  <c r="V612" i="2"/>
  <c r="X489" i="2"/>
  <c r="AB609" i="2"/>
  <c r="T434" i="2"/>
  <c r="V429" i="2"/>
  <c r="V563" i="8"/>
  <c r="V564" i="8" s="1"/>
  <c r="V610" i="2"/>
  <c r="Q434" i="2"/>
  <c r="N28" i="2"/>
  <c r="N55" i="2" s="1"/>
  <c r="N299" i="8"/>
  <c r="N300" i="8" s="1"/>
  <c r="AE151" i="2"/>
  <c r="AE383" i="8"/>
  <c r="AE384" i="8" s="1"/>
  <c r="V491" i="2"/>
  <c r="V33" i="2"/>
  <c r="V319" i="8"/>
  <c r="V320" i="8" s="1"/>
  <c r="AA486" i="2"/>
  <c r="AC31" i="2"/>
  <c r="AC311" i="8"/>
  <c r="AC312" i="8" s="1"/>
  <c r="L486" i="2"/>
  <c r="M513" i="2" s="1"/>
  <c r="R379" i="8"/>
  <c r="R380" i="8" s="1"/>
  <c r="M241" i="2"/>
  <c r="M143" i="8" s="1"/>
  <c r="M144" i="8" s="1"/>
  <c r="Y303" i="8"/>
  <c r="Y304" i="8" s="1"/>
  <c r="Z35" i="2"/>
  <c r="Z327" i="8"/>
  <c r="Z328" i="8" s="1"/>
  <c r="K34" i="2"/>
  <c r="K323" i="8"/>
  <c r="V211" i="2"/>
  <c r="V419" i="8"/>
  <c r="V420" i="8" s="1"/>
  <c r="F420" i="8" s="1"/>
  <c r="AC91" i="2"/>
  <c r="AC347" i="8"/>
  <c r="AC348" i="8" s="1"/>
  <c r="V609" i="2"/>
  <c r="Y27" i="2"/>
  <c r="Y295" i="8"/>
  <c r="Y296" i="8" s="1"/>
  <c r="S214" i="2"/>
  <c r="AB608" i="2"/>
  <c r="M56" i="2"/>
  <c r="N56" i="2" s="1"/>
  <c r="AA488" i="2"/>
  <c r="N155" i="2"/>
  <c r="N399" i="8"/>
  <c r="N400" i="8" s="1"/>
  <c r="P371" i="8"/>
  <c r="P372" i="8" s="1"/>
  <c r="P148" i="2"/>
  <c r="V209" i="2"/>
  <c r="V411" i="8"/>
  <c r="V412" i="8" s="1"/>
  <c r="AD489" i="2"/>
  <c r="Y311" i="8"/>
  <c r="Y312" i="8" s="1"/>
  <c r="Y31" i="2"/>
  <c r="Q28" i="2"/>
  <c r="Q299" i="8"/>
  <c r="Q300" i="8" s="1"/>
  <c r="O486" i="2"/>
  <c r="AC28" i="2"/>
  <c r="AC299" i="8"/>
  <c r="AC300" i="8" s="1"/>
  <c r="M15" i="8"/>
  <c r="M16" i="8" s="1"/>
  <c r="N239" i="2"/>
  <c r="M135" i="8"/>
  <c r="M136" i="8" s="1"/>
  <c r="M215" i="8"/>
  <c r="M216" i="8" s="1"/>
  <c r="N114" i="2"/>
  <c r="M43" i="8"/>
  <c r="M44" i="8" s="1"/>
  <c r="N242" i="2"/>
  <c r="M147" i="8"/>
  <c r="M148" i="8" s="1"/>
  <c r="N234" i="2"/>
  <c r="M115" i="8"/>
  <c r="M116" i="8" s="1"/>
  <c r="N115" i="2"/>
  <c r="N62" i="2"/>
  <c r="M39" i="8"/>
  <c r="M40" i="8" s="1"/>
  <c r="N235" i="2"/>
  <c r="M119" i="8"/>
  <c r="M120" i="8" s="1"/>
  <c r="N121" i="2"/>
  <c r="M71" i="8"/>
  <c r="M72" i="8" s="1"/>
  <c r="N458" i="2"/>
  <c r="N238" i="2"/>
  <c r="M131" i="8"/>
  <c r="M132" i="8" s="1"/>
  <c r="U154" i="2"/>
  <c r="U395" i="8"/>
  <c r="U396" i="8" s="1"/>
  <c r="Z547" i="2"/>
  <c r="F404" i="8"/>
  <c r="AA553" i="2"/>
  <c r="O151" i="2"/>
  <c r="O383" i="8"/>
  <c r="O384" i="8" s="1"/>
  <c r="N553" i="2"/>
  <c r="O550" i="2"/>
  <c r="O527" i="8"/>
  <c r="O528" i="8" s="1"/>
  <c r="S88" i="2"/>
  <c r="S335" i="8"/>
  <c r="S336" i="8" s="1"/>
  <c r="K88" i="2"/>
  <c r="K335" i="8"/>
  <c r="Q93" i="2"/>
  <c r="Q355" i="8"/>
  <c r="Q356" i="8" s="1"/>
  <c r="N548" i="2"/>
  <c r="N575" i="2" s="1"/>
  <c r="AD608" i="2"/>
  <c r="K154" i="2"/>
  <c r="K395" i="8"/>
  <c r="Q492" i="2"/>
  <c r="Q499" i="8"/>
  <c r="Q500" i="8" s="1"/>
  <c r="T610" i="2"/>
  <c r="T563" i="8"/>
  <c r="T564" i="8" s="1"/>
  <c r="T151" i="2"/>
  <c r="T383" i="8"/>
  <c r="T384" i="8" s="1"/>
  <c r="O154" i="2"/>
  <c r="O395" i="8"/>
  <c r="O396" i="8" s="1"/>
  <c r="Y486" i="2"/>
  <c r="AD432" i="2"/>
  <c r="X608" i="2"/>
  <c r="P550" i="2"/>
  <c r="P527" i="8"/>
  <c r="P528" i="8" s="1"/>
  <c r="AE152" i="2"/>
  <c r="AE387" i="8"/>
  <c r="AE388" i="8" s="1"/>
  <c r="Q489" i="2"/>
  <c r="AE606" i="2"/>
  <c r="T155" i="2"/>
  <c r="T399" i="8"/>
  <c r="T400" i="8" s="1"/>
  <c r="S549" i="2"/>
  <c r="M152" i="2"/>
  <c r="M179" i="2" s="1"/>
  <c r="M387" i="8"/>
  <c r="M388" i="8" s="1"/>
  <c r="N453" i="2"/>
  <c r="M151" i="8"/>
  <c r="M152" i="8" s="1"/>
  <c r="AC550" i="2"/>
  <c r="U547" i="2"/>
  <c r="Y487" i="2"/>
  <c r="K152" i="2"/>
  <c r="K387" i="8"/>
  <c r="K430" i="2"/>
  <c r="N549" i="2"/>
  <c r="N576" i="2" s="1"/>
  <c r="N523" i="8"/>
  <c r="N524" i="8" s="1"/>
  <c r="P613" i="2"/>
  <c r="P575" i="8"/>
  <c r="P576" i="8" s="1"/>
  <c r="Y494" i="2"/>
  <c r="O610" i="2"/>
  <c r="AE95" i="2"/>
  <c r="AE363" i="8"/>
  <c r="AE364" i="8" s="1"/>
  <c r="AD552" i="2"/>
  <c r="K87" i="2"/>
  <c r="K331" i="8"/>
  <c r="Z93" i="2"/>
  <c r="Z355" i="8"/>
  <c r="Z356" i="8" s="1"/>
  <c r="W150" i="2"/>
  <c r="W379" i="8"/>
  <c r="W380" i="8" s="1"/>
  <c r="W608" i="2"/>
  <c r="T612" i="2"/>
  <c r="AA92" i="2"/>
  <c r="AA351" i="8"/>
  <c r="AA352" i="8" s="1"/>
  <c r="K613" i="2"/>
  <c r="AA90" i="2"/>
  <c r="AA343" i="8"/>
  <c r="AA344" i="8" s="1"/>
  <c r="R433" i="2"/>
  <c r="R467" i="8"/>
  <c r="R468" i="8" s="1"/>
  <c r="K155" i="2"/>
  <c r="K399" i="8"/>
  <c r="L148" i="2"/>
  <c r="L371" i="8"/>
  <c r="L372" i="8" s="1"/>
  <c r="Z549" i="2"/>
  <c r="N612" i="2"/>
  <c r="AE149" i="2"/>
  <c r="AE375" i="8"/>
  <c r="AE376" i="8" s="1"/>
  <c r="AC488" i="2"/>
  <c r="AC483" i="8"/>
  <c r="AC484" i="8" s="1"/>
  <c r="R30" i="2"/>
  <c r="R307" i="8"/>
  <c r="R308" i="8" s="1"/>
  <c r="AC431" i="2"/>
  <c r="AC459" i="8"/>
  <c r="AC460" i="8" s="1"/>
  <c r="Z552" i="2"/>
  <c r="M607" i="2"/>
  <c r="Q547" i="2"/>
  <c r="N607" i="2"/>
  <c r="K609" i="2"/>
  <c r="K559" i="8"/>
  <c r="P611" i="2"/>
  <c r="P567" i="8"/>
  <c r="P568" i="8" s="1"/>
  <c r="AC551" i="2"/>
  <c r="AC531" i="8"/>
  <c r="AC532" i="8" s="1"/>
  <c r="Y493" i="2"/>
  <c r="N493" i="2"/>
  <c r="N520" i="2" s="1"/>
  <c r="N546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AD548" i="2"/>
  <c r="O608" i="2"/>
  <c r="Z434" i="2"/>
  <c r="R28" i="2"/>
  <c r="R299" i="8"/>
  <c r="R300" i="8" s="1"/>
  <c r="W154" i="2"/>
  <c r="W395" i="8"/>
  <c r="W396" i="8" s="1"/>
  <c r="Y612" i="2"/>
  <c r="Y571" i="8"/>
  <c r="Y572" i="8" s="1"/>
  <c r="S93" i="2"/>
  <c r="S355" i="8"/>
  <c r="S356" i="8" s="1"/>
  <c r="Q553" i="2"/>
  <c r="Z431" i="2"/>
  <c r="R35" i="2"/>
  <c r="R327" i="8"/>
  <c r="R328" i="8" s="1"/>
  <c r="R431" i="2"/>
  <c r="Q90" i="2"/>
  <c r="Q343" i="8"/>
  <c r="Q344" i="8" s="1"/>
  <c r="AE90" i="2"/>
  <c r="AE343" i="8"/>
  <c r="AE344" i="8" s="1"/>
  <c r="Q89" i="2"/>
  <c r="Q339" i="8"/>
  <c r="Q340" i="8" s="1"/>
  <c r="L608" i="2"/>
  <c r="W554" i="2"/>
  <c r="N54" i="2"/>
  <c r="M63" i="2"/>
  <c r="M7" i="8"/>
  <c r="M8" i="8" s="1"/>
  <c r="AC492" i="2"/>
  <c r="AC499" i="8"/>
  <c r="AC500" i="8" s="1"/>
  <c r="Q95" i="2"/>
  <c r="Q363" i="8"/>
  <c r="Q364" i="8" s="1"/>
  <c r="Y610" i="2"/>
  <c r="Y563" i="8"/>
  <c r="Y564" i="8" s="1"/>
  <c r="L612" i="2"/>
  <c r="M639" i="2" s="1"/>
  <c r="K426" i="2"/>
  <c r="X551" i="2"/>
  <c r="R31" i="2"/>
  <c r="R311" i="8"/>
  <c r="R312" i="8" s="1"/>
  <c r="O606" i="2"/>
  <c r="O547" i="8"/>
  <c r="O548" i="8" s="1"/>
  <c r="M433" i="2"/>
  <c r="M460" i="2" s="1"/>
  <c r="M467" i="8"/>
  <c r="M468" i="8" s="1"/>
  <c r="AE92" i="2"/>
  <c r="AE351" i="8"/>
  <c r="AE352" i="8" s="1"/>
  <c r="V549" i="2"/>
  <c r="S89" i="2"/>
  <c r="S339" i="8"/>
  <c r="S340" i="8" s="1"/>
  <c r="L547" i="2"/>
  <c r="M574" i="2"/>
  <c r="AE89" i="2"/>
  <c r="AE339" i="8"/>
  <c r="AE340" i="8" s="1"/>
  <c r="S94" i="2"/>
  <c r="S359" i="8"/>
  <c r="S360" i="8" s="1"/>
  <c r="W547" i="2"/>
  <c r="Z554" i="2"/>
  <c r="AA427" i="2"/>
  <c r="Y614" i="2"/>
  <c r="Q548" i="2"/>
  <c r="AC609" i="2"/>
  <c r="M27" i="8"/>
  <c r="M28" i="8" s="1"/>
  <c r="AB550" i="2"/>
  <c r="AB527" i="8"/>
  <c r="AB528" i="8" s="1"/>
  <c r="O427" i="2"/>
  <c r="O443" i="8"/>
  <c r="O444" i="8" s="1"/>
  <c r="K553" i="2"/>
  <c r="M150" i="2"/>
  <c r="M379" i="8"/>
  <c r="M380" i="8" s="1"/>
  <c r="K147" i="2"/>
  <c r="K367" i="8"/>
  <c r="O155" i="2"/>
  <c r="O399" i="8"/>
  <c r="O400" i="8" s="1"/>
  <c r="L611" i="2"/>
  <c r="L567" i="8"/>
  <c r="L568" i="8" s="1"/>
  <c r="K427" i="2"/>
  <c r="K443" i="8"/>
  <c r="N551" i="2"/>
  <c r="N531" i="8"/>
  <c r="N532" i="8" s="1"/>
  <c r="X550" i="2"/>
  <c r="R32" i="2"/>
  <c r="R315" i="8"/>
  <c r="R316" i="8" s="1"/>
  <c r="Y491" i="2"/>
  <c r="M148" i="2"/>
  <c r="M371" i="8"/>
  <c r="M372" i="8" s="1"/>
  <c r="AC433" i="2"/>
  <c r="AC467" i="8"/>
  <c r="AC468" i="8" s="1"/>
  <c r="AC611" i="2"/>
  <c r="AC567" i="8"/>
  <c r="AC568" i="8" s="1"/>
  <c r="O153" i="2"/>
  <c r="O391" i="8"/>
  <c r="O392" i="8" s="1"/>
  <c r="N547" i="2"/>
  <c r="P614" i="2"/>
  <c r="O613" i="2"/>
  <c r="Y607" i="2"/>
  <c r="W151" i="2"/>
  <c r="W383" i="8"/>
  <c r="W384" i="8" s="1"/>
  <c r="U548" i="2"/>
  <c r="U519" i="8"/>
  <c r="U520" i="8" s="1"/>
  <c r="R148" i="2"/>
  <c r="R371" i="8"/>
  <c r="R372" i="8" s="1"/>
  <c r="N608" i="2"/>
  <c r="AB551" i="2"/>
  <c r="O428" i="2"/>
  <c r="M608" i="2"/>
  <c r="Z429" i="2"/>
  <c r="Z451" i="8"/>
  <c r="Z452" i="8" s="1"/>
  <c r="N550" i="2"/>
  <c r="N527" i="8"/>
  <c r="N528" i="8" s="1"/>
  <c r="M163" i="8"/>
  <c r="M164" i="8" s="1"/>
  <c r="O551" i="2"/>
  <c r="R34" i="2"/>
  <c r="R323" i="8"/>
  <c r="R324" i="8" s="1"/>
  <c r="O433" i="2"/>
  <c r="T153" i="2"/>
  <c r="T391" i="8"/>
  <c r="T392" i="8" s="1"/>
  <c r="N490" i="2"/>
  <c r="N517" i="2" s="1"/>
  <c r="N491" i="8"/>
  <c r="N492" i="8" s="1"/>
  <c r="AD609" i="2"/>
  <c r="AD559" i="8"/>
  <c r="AD560" i="8" s="1"/>
  <c r="K606" i="2"/>
  <c r="K547" i="8"/>
  <c r="AC610" i="2"/>
  <c r="Q487" i="2"/>
  <c r="AD550" i="2"/>
  <c r="M11" i="8"/>
  <c r="M12" i="8" s="1"/>
  <c r="O426" i="2"/>
  <c r="O439" i="8"/>
  <c r="O440" i="8" s="1"/>
  <c r="Z432" i="2"/>
  <c r="Z463" i="8"/>
  <c r="Z464" i="8" s="1"/>
  <c r="Z546" i="2"/>
  <c r="Z511" i="8"/>
  <c r="Z512" i="8" s="1"/>
  <c r="L613" i="2"/>
  <c r="M640" i="2" s="1"/>
  <c r="U552" i="2"/>
  <c r="T149" i="2"/>
  <c r="T375" i="8"/>
  <c r="T376" i="8" s="1"/>
  <c r="Z553" i="2"/>
  <c r="N118" i="2"/>
  <c r="M59" i="8"/>
  <c r="M60" i="8" s="1"/>
  <c r="X552" i="2"/>
  <c r="X535" i="8"/>
  <c r="X536" i="8" s="1"/>
  <c r="O607" i="2"/>
  <c r="O551" i="8"/>
  <c r="O552" i="8" s="1"/>
  <c r="W153" i="2"/>
  <c r="W391" i="8"/>
  <c r="W392" i="8" s="1"/>
  <c r="U155" i="2"/>
  <c r="U399" i="8"/>
  <c r="U400" i="8" s="1"/>
  <c r="Z433" i="2"/>
  <c r="X547" i="2"/>
  <c r="M432" i="2"/>
  <c r="M459" i="2" s="1"/>
  <c r="M463" i="8"/>
  <c r="M464" i="8" s="1"/>
  <c r="K151" i="2"/>
  <c r="K383" i="8"/>
  <c r="K148" i="2"/>
  <c r="K371" i="8"/>
  <c r="M609" i="2"/>
  <c r="O553" i="2"/>
  <c r="K607" i="2"/>
  <c r="M153" i="2"/>
  <c r="M391" i="8"/>
  <c r="M392" i="8" s="1"/>
  <c r="AC494" i="2"/>
  <c r="AC507" i="8"/>
  <c r="AC508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L550" i="2"/>
  <c r="M577" i="2" s="1"/>
  <c r="AA91" i="2"/>
  <c r="AA347" i="8"/>
  <c r="AA348" i="8" s="1"/>
  <c r="Z88" i="2"/>
  <c r="Z335" i="8"/>
  <c r="Z336" i="8" s="1"/>
  <c r="V149" i="2"/>
  <c r="V375" i="8"/>
  <c r="V376" i="8" s="1"/>
  <c r="X614" i="2"/>
  <c r="X579" i="8"/>
  <c r="X580" i="8" s="1"/>
  <c r="M553" i="2"/>
  <c r="M580" i="2" s="1"/>
  <c r="N552" i="2"/>
  <c r="N579" i="2" s="1"/>
  <c r="W610" i="2"/>
  <c r="L546" i="2"/>
  <c r="M573" i="2" s="1"/>
  <c r="P612" i="2"/>
  <c r="P571" i="8"/>
  <c r="P572" i="8" s="1"/>
  <c r="AD429" i="2"/>
  <c r="AD451" i="8"/>
  <c r="AD452" i="8" s="1"/>
  <c r="L610" i="2"/>
  <c r="M637" i="2" s="1"/>
  <c r="L563" i="8"/>
  <c r="L564" i="8" s="1"/>
  <c r="T152" i="2"/>
  <c r="T387" i="8"/>
  <c r="T388" i="8" s="1"/>
  <c r="O152" i="2"/>
  <c r="O387" i="8"/>
  <c r="O388" i="8" s="1"/>
  <c r="AD434" i="2"/>
  <c r="N614" i="2"/>
  <c r="N119" i="2"/>
  <c r="M63" i="8"/>
  <c r="M64" i="8" s="1"/>
  <c r="U149" i="2"/>
  <c r="U375" i="8"/>
  <c r="U376" i="8" s="1"/>
  <c r="N488" i="2"/>
  <c r="N515" i="2" s="1"/>
  <c r="N483" i="8"/>
  <c r="N484" i="8" s="1"/>
  <c r="AA148" i="2"/>
  <c r="AA371" i="8"/>
  <c r="AA372" i="8" s="1"/>
  <c r="X553" i="2"/>
  <c r="W152" i="2"/>
  <c r="W387" i="8"/>
  <c r="W388" i="8" s="1"/>
  <c r="M154" i="2"/>
  <c r="M395" i="8"/>
  <c r="M396" i="8" s="1"/>
  <c r="Z426" i="2"/>
  <c r="Z439" i="8"/>
  <c r="Z440" i="8" s="1"/>
  <c r="Y551" i="2"/>
  <c r="Y531" i="8"/>
  <c r="Y532" i="8" s="1"/>
  <c r="R152" i="2"/>
  <c r="R387" i="8"/>
  <c r="R388" i="8" s="1"/>
  <c r="Q550" i="2"/>
  <c r="AE88" i="2"/>
  <c r="AE335" i="8"/>
  <c r="AE336" i="8" s="1"/>
  <c r="Q92" i="2"/>
  <c r="Q351" i="8"/>
  <c r="Q352" i="8" s="1"/>
  <c r="S95" i="2"/>
  <c r="S363" i="8"/>
  <c r="S364" i="8" s="1"/>
  <c r="M211" i="8"/>
  <c r="M212" i="8" s="1"/>
  <c r="AC547" i="2"/>
  <c r="W147" i="2"/>
  <c r="W367" i="8"/>
  <c r="W368" i="8" s="1"/>
  <c r="AA433" i="2"/>
  <c r="K431" i="2"/>
  <c r="N58" i="2"/>
  <c r="M23" i="8"/>
  <c r="M24" i="8" s="1"/>
  <c r="AD607" i="2"/>
  <c r="L614" i="2"/>
  <c r="M641" i="2" s="1"/>
  <c r="L579" i="8"/>
  <c r="L580" i="8" s="1"/>
  <c r="T147" i="2"/>
  <c r="T367" i="8"/>
  <c r="T368" i="8" s="1"/>
  <c r="U549" i="2"/>
  <c r="AD549" i="2"/>
  <c r="R432" i="2"/>
  <c r="N492" i="2"/>
  <c r="N519" i="2" s="1"/>
  <c r="Z87" i="2"/>
  <c r="Z331" i="8"/>
  <c r="Z332" i="8" s="1"/>
  <c r="X607" i="2"/>
  <c r="X551" i="8"/>
  <c r="X552" i="8" s="1"/>
  <c r="M551" i="2"/>
  <c r="M578" i="2" s="1"/>
  <c r="U554" i="2"/>
  <c r="O548" i="2"/>
  <c r="Y611" i="2"/>
  <c r="S551" i="2"/>
  <c r="N457" i="2"/>
  <c r="AD428" i="2"/>
  <c r="AD447" i="8"/>
  <c r="AD448" i="8" s="1"/>
  <c r="M638" i="2"/>
  <c r="N613" i="2"/>
  <c r="N575" i="8"/>
  <c r="N576" i="8" s="1"/>
  <c r="N116" i="2"/>
  <c r="M51" i="8"/>
  <c r="M52" i="8" s="1"/>
  <c r="U152" i="2"/>
  <c r="U387" i="8"/>
  <c r="U388" i="8" s="1"/>
  <c r="AA154" i="2"/>
  <c r="AA395" i="8"/>
  <c r="AA396" i="8" s="1"/>
  <c r="O147" i="2"/>
  <c r="O367" i="8"/>
  <c r="O368" i="8" s="1"/>
  <c r="P606" i="2"/>
  <c r="P547" i="8"/>
  <c r="P548" i="8" s="1"/>
  <c r="O609" i="2"/>
  <c r="O559" i="8"/>
  <c r="O560" i="8" s="1"/>
  <c r="AC554" i="2"/>
  <c r="AC543" i="8"/>
  <c r="AC544" i="8" s="1"/>
  <c r="P608" i="2"/>
  <c r="AE94" i="2"/>
  <c r="AE359" i="8"/>
  <c r="AE360" i="8" s="1"/>
  <c r="L153" i="2"/>
  <c r="L391" i="8"/>
  <c r="L392" i="8" s="1"/>
  <c r="O431" i="2"/>
  <c r="Q486" i="2"/>
  <c r="Q475" i="8"/>
  <c r="Q476" i="8" s="1"/>
  <c r="AC549" i="2"/>
  <c r="AC523" i="8"/>
  <c r="AC524" i="8" s="1"/>
  <c r="L609" i="2"/>
  <c r="L559" i="8"/>
  <c r="L560" i="8" s="1"/>
  <c r="K429" i="2"/>
  <c r="P610" i="2"/>
  <c r="AD433" i="2"/>
  <c r="K150" i="2"/>
  <c r="K379" i="8"/>
  <c r="AC434" i="2"/>
  <c r="AC471" i="8"/>
  <c r="AC472" i="8" s="1"/>
  <c r="AD614" i="2"/>
  <c r="AD579" i="8"/>
  <c r="AD580" i="8" s="1"/>
  <c r="N611" i="2"/>
  <c r="N567" i="8"/>
  <c r="N568" i="8" s="1"/>
  <c r="N122" i="2"/>
  <c r="M75" i="8"/>
  <c r="M76" i="8" s="1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R429" i="2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Z430" i="2"/>
  <c r="L607" i="2"/>
  <c r="V147" i="2"/>
  <c r="V367" i="8"/>
  <c r="V368" i="8" s="1"/>
  <c r="AE548" i="2"/>
  <c r="X609" i="2"/>
  <c r="N60" i="2"/>
  <c r="M31" i="8"/>
  <c r="M32" i="8" s="1"/>
  <c r="AC430" i="2"/>
  <c r="AC455" i="8"/>
  <c r="AC456" i="8" s="1"/>
  <c r="AC491" i="2"/>
  <c r="Y153" i="2"/>
  <c r="Y391" i="8"/>
  <c r="Y392" i="8" s="1"/>
  <c r="N461" i="2"/>
  <c r="Z548" i="2"/>
  <c r="Y492" i="2"/>
  <c r="S553" i="2"/>
  <c r="AD427" i="2"/>
  <c r="AD443" i="8"/>
  <c r="AD444" i="8" s="1"/>
  <c r="N609" i="2"/>
  <c r="N487" i="2"/>
  <c r="N514" i="2" s="1"/>
  <c r="AA149" i="2"/>
  <c r="AA375" i="8"/>
  <c r="AA376" i="8" s="1"/>
  <c r="O547" i="2"/>
  <c r="K612" i="2"/>
  <c r="AA155" i="2"/>
  <c r="AA399" i="8"/>
  <c r="AA400" i="8" s="1"/>
  <c r="AD547" i="2"/>
  <c r="O148" i="2"/>
  <c r="O371" i="8"/>
  <c r="O372" i="8" s="1"/>
  <c r="Y155" i="2"/>
  <c r="Y399" i="8"/>
  <c r="Y400" i="8" s="1"/>
  <c r="W611" i="2"/>
  <c r="Q549" i="2"/>
  <c r="K432" i="2"/>
  <c r="Q91" i="2"/>
  <c r="Q347" i="8"/>
  <c r="Q348" i="8" s="1"/>
  <c r="Q546" i="2"/>
  <c r="O554" i="2"/>
  <c r="U151" i="2"/>
  <c r="U383" i="8"/>
  <c r="U384" i="8" s="1"/>
  <c r="T154" i="2"/>
  <c r="T395" i="8"/>
  <c r="T396" i="8" s="1"/>
  <c r="Q493" i="2"/>
  <c r="Y488" i="2"/>
  <c r="AD426" i="2"/>
  <c r="AD439" i="8"/>
  <c r="AD440" i="8" s="1"/>
  <c r="N237" i="2"/>
  <c r="M127" i="8"/>
  <c r="M128" i="8" s="1"/>
  <c r="X548" i="2"/>
  <c r="U153" i="2"/>
  <c r="U391" i="8"/>
  <c r="U392" i="8" s="1"/>
  <c r="X546" i="2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F304" i="8" s="1"/>
  <c r="O612" i="2"/>
  <c r="V152" i="2"/>
  <c r="V387" i="8"/>
  <c r="V388" i="8" s="1"/>
  <c r="AE87" i="2"/>
  <c r="AE331" i="8"/>
  <c r="AE332" i="8" s="1"/>
  <c r="Y613" i="2"/>
  <c r="Z148" i="2"/>
  <c r="Z371" i="8"/>
  <c r="Z372" i="8" s="1"/>
  <c r="K89" i="2"/>
  <c r="K339" i="8"/>
  <c r="U147" i="2"/>
  <c r="U367" i="8"/>
  <c r="U368" i="8" s="1"/>
  <c r="R426" i="2"/>
  <c r="T606" i="2"/>
  <c r="F436" i="8"/>
  <c r="Y152" i="2"/>
  <c r="Y387" i="8"/>
  <c r="Y388" i="8" s="1"/>
  <c r="N61" i="2"/>
  <c r="M35" i="8"/>
  <c r="M36" i="8" s="1"/>
  <c r="Z92" i="2"/>
  <c r="Z351" i="8"/>
  <c r="Z352" i="8" s="1"/>
  <c r="U546" i="2"/>
  <c r="U511" i="8"/>
  <c r="U512" i="8" s="1"/>
  <c r="AA552" i="2"/>
  <c r="T148" i="2"/>
  <c r="T371" i="8"/>
  <c r="T372" i="8" s="1"/>
  <c r="W149" i="2"/>
  <c r="W375" i="8"/>
  <c r="W376" i="8" s="1"/>
  <c r="AE547" i="2"/>
  <c r="X611" i="2"/>
  <c r="X567" i="8"/>
  <c r="X568" i="8" s="1"/>
  <c r="N57" i="2"/>
  <c r="M19" i="8"/>
  <c r="M20" i="8" s="1"/>
  <c r="T549" i="2"/>
  <c r="T523" i="8"/>
  <c r="T524" i="8" s="1"/>
  <c r="AC612" i="2"/>
  <c r="Z551" i="2"/>
  <c r="M155" i="2"/>
  <c r="M182" i="2" s="1"/>
  <c r="M399" i="8"/>
  <c r="M400" i="8" s="1"/>
  <c r="N610" i="2"/>
  <c r="N491" i="2"/>
  <c r="N518" i="2" s="1"/>
  <c r="N495" i="8"/>
  <c r="N496" i="8" s="1"/>
  <c r="N120" i="2"/>
  <c r="M67" i="8"/>
  <c r="M68" i="8" s="1"/>
  <c r="AA151" i="2"/>
  <c r="AA383" i="8"/>
  <c r="AA384" i="8" s="1"/>
  <c r="AC552" i="2"/>
  <c r="S552" i="2"/>
  <c r="U550" i="2"/>
  <c r="V153" i="2"/>
  <c r="V391" i="8"/>
  <c r="V392" i="8" s="1"/>
  <c r="Z154" i="2"/>
  <c r="Z395" i="8"/>
  <c r="Z396" i="8" s="1"/>
  <c r="U150" i="2"/>
  <c r="U379" i="8"/>
  <c r="U380" i="8" s="1"/>
  <c r="W546" i="2"/>
  <c r="W511" i="8"/>
  <c r="W512" i="8" s="1"/>
  <c r="Y490" i="2"/>
  <c r="Z428" i="2"/>
  <c r="V552" i="2"/>
  <c r="T611" i="2"/>
  <c r="K433" i="2"/>
  <c r="K467" i="8"/>
  <c r="N494" i="2"/>
  <c r="N521" i="2" s="1"/>
  <c r="N507" i="8"/>
  <c r="N508" i="8" s="1"/>
  <c r="L150" i="2"/>
  <c r="M177" i="2" s="1"/>
  <c r="L379" i="8"/>
  <c r="L380" i="8" s="1"/>
  <c r="W548" i="2"/>
  <c r="Y554" i="2"/>
  <c r="K554" i="2"/>
  <c r="AA428" i="2"/>
  <c r="AE610" i="2"/>
  <c r="AE563" i="8"/>
  <c r="AE564" i="8" s="1"/>
  <c r="AA153" i="2"/>
  <c r="AA391" i="8"/>
  <c r="AA392" i="8" s="1"/>
  <c r="M149" i="2"/>
  <c r="M176" i="2" s="1"/>
  <c r="M375" i="8"/>
  <c r="M376" i="8" s="1"/>
  <c r="F412" i="8"/>
  <c r="N606" i="2"/>
  <c r="N633" i="2" s="1"/>
  <c r="N489" i="2"/>
  <c r="N516" i="2" s="1"/>
  <c r="S546" i="2"/>
  <c r="M151" i="2"/>
  <c r="M178" i="2" s="1"/>
  <c r="M383" i="8"/>
  <c r="M384" i="8" s="1"/>
  <c r="W148" i="2"/>
  <c r="W371" i="8"/>
  <c r="W372" i="8" s="1"/>
  <c r="AC546" i="2"/>
  <c r="S539" i="8" l="1"/>
  <c r="S540" i="8" s="1"/>
  <c r="AE515" i="8"/>
  <c r="AE516" i="8" s="1"/>
  <c r="S511" i="8"/>
  <c r="S512" i="8" s="1"/>
  <c r="Q523" i="8"/>
  <c r="Q524" i="8" s="1"/>
  <c r="U527" i="8"/>
  <c r="U528" i="8" s="1"/>
  <c r="L527" i="8"/>
  <c r="L528" i="8" s="1"/>
  <c r="T547" i="8"/>
  <c r="T548" i="8" s="1"/>
  <c r="X511" i="8"/>
  <c r="X512" i="8" s="1"/>
  <c r="W567" i="8"/>
  <c r="W568" i="8" s="1"/>
  <c r="N55" i="8"/>
  <c r="N56" i="8" s="1"/>
  <c r="Z519" i="8"/>
  <c r="Z520" i="8" s="1"/>
  <c r="AE519" i="8"/>
  <c r="AE520" i="8" s="1"/>
  <c r="Y567" i="8"/>
  <c r="Y568" i="8" s="1"/>
  <c r="R463" i="8"/>
  <c r="R464" i="8" s="1"/>
  <c r="K459" i="8"/>
  <c r="Y579" i="8"/>
  <c r="Y580" i="8" s="1"/>
  <c r="W543" i="8"/>
  <c r="W544" i="8" s="1"/>
  <c r="M219" i="8"/>
  <c r="M220" i="8" s="1"/>
  <c r="AB555" i="8"/>
  <c r="AB556" i="8" s="1"/>
  <c r="R447" i="8"/>
  <c r="R448" i="8" s="1"/>
  <c r="V475" i="8"/>
  <c r="V476" i="8" s="1"/>
  <c r="AC439" i="8"/>
  <c r="AC440" i="8" s="1"/>
  <c r="W439" i="8"/>
  <c r="W440" i="8" s="1"/>
  <c r="M503" i="8"/>
  <c r="M504" i="8" s="1"/>
  <c r="U555" i="8"/>
  <c r="U556" i="8" s="1"/>
  <c r="K571" i="8"/>
  <c r="O459" i="8"/>
  <c r="O460" i="8" s="1"/>
  <c r="X559" i="8"/>
  <c r="X560" i="8" s="1"/>
  <c r="S523" i="8"/>
  <c r="S524" i="8" s="1"/>
  <c r="K543" i="8"/>
  <c r="AD467" i="8"/>
  <c r="AD468" i="8" s="1"/>
  <c r="AD471" i="8"/>
  <c r="AD472" i="8" s="1"/>
  <c r="N487" i="8"/>
  <c r="N488" i="8" s="1"/>
  <c r="Y543" i="8"/>
  <c r="Y544" i="8" s="1"/>
  <c r="Z447" i="8"/>
  <c r="Z448" i="8" s="1"/>
  <c r="S535" i="8"/>
  <c r="S536" i="8" s="1"/>
  <c r="Z531" i="8"/>
  <c r="Z532" i="8" s="1"/>
  <c r="P563" i="8"/>
  <c r="P564" i="8" s="1"/>
  <c r="Q527" i="8"/>
  <c r="Q528" i="8" s="1"/>
  <c r="X539" i="8"/>
  <c r="X540" i="8" s="1"/>
  <c r="N535" i="8"/>
  <c r="N536" i="8" s="1"/>
  <c r="O539" i="8"/>
  <c r="O540" i="8" s="1"/>
  <c r="U535" i="8"/>
  <c r="U536" i="8" s="1"/>
  <c r="Q479" i="8"/>
  <c r="Q480" i="8" s="1"/>
  <c r="F324" i="8"/>
  <c r="AB531" i="8"/>
  <c r="AB532" i="8" s="1"/>
  <c r="P579" i="8"/>
  <c r="P580" i="8" s="1"/>
  <c r="K439" i="8"/>
  <c r="Z459" i="8"/>
  <c r="Z460" i="8" s="1"/>
  <c r="O555" i="8"/>
  <c r="O556" i="8" s="1"/>
  <c r="N503" i="8"/>
  <c r="N504" i="8" s="1"/>
  <c r="M551" i="8"/>
  <c r="M552" i="8" s="1"/>
  <c r="Z523" i="8"/>
  <c r="Z524" i="8" s="1"/>
  <c r="M155" i="8"/>
  <c r="M156" i="8" s="1"/>
  <c r="Y475" i="8"/>
  <c r="Y476" i="8" s="1"/>
  <c r="N519" i="8"/>
  <c r="N520" i="8" s="1"/>
  <c r="AA539" i="8"/>
  <c r="AA540" i="8" s="1"/>
  <c r="Y539" i="8"/>
  <c r="Y540" i="8" s="1"/>
  <c r="K515" i="8"/>
  <c r="AB559" i="8"/>
  <c r="AB560" i="8" s="1"/>
  <c r="Y527" i="8"/>
  <c r="Y528" i="8" s="1"/>
  <c r="R559" i="8"/>
  <c r="R560" i="8" s="1"/>
  <c r="P447" i="8"/>
  <c r="P448" i="8" s="1"/>
  <c r="O475" i="8"/>
  <c r="O476" i="8" s="1"/>
  <c r="AA567" i="8"/>
  <c r="AA568" i="8" s="1"/>
  <c r="Y575" i="8"/>
  <c r="Y576" i="8" s="1"/>
  <c r="T567" i="8"/>
  <c r="T568" i="8" s="1"/>
  <c r="O515" i="8"/>
  <c r="O516" i="8" s="1"/>
  <c r="K575" i="8"/>
  <c r="K551" i="8"/>
  <c r="N547" i="8"/>
  <c r="N548" i="8" s="1"/>
  <c r="R439" i="8"/>
  <c r="R440" i="8" s="1"/>
  <c r="O571" i="8"/>
  <c r="O572" i="8" s="1"/>
  <c r="M183" i="8"/>
  <c r="M184" i="8" s="1"/>
  <c r="O519" i="8"/>
  <c r="O520" i="8" s="1"/>
  <c r="AD523" i="8"/>
  <c r="AD524" i="8" s="1"/>
  <c r="AA467" i="8"/>
  <c r="AA468" i="8" s="1"/>
  <c r="AA443" i="8"/>
  <c r="AA444" i="8" s="1"/>
  <c r="L555" i="8"/>
  <c r="L556" i="8" s="1"/>
  <c r="T571" i="8"/>
  <c r="T572" i="8" s="1"/>
  <c r="O563" i="8"/>
  <c r="O564" i="8" s="1"/>
  <c r="Y479" i="8"/>
  <c r="Y480" i="8" s="1"/>
  <c r="AE547" i="8"/>
  <c r="AE548" i="8" s="1"/>
  <c r="M231" i="8"/>
  <c r="M232" i="8" s="1"/>
  <c r="Q439" i="8"/>
  <c r="Q440" i="8" s="1"/>
  <c r="AE507" i="8"/>
  <c r="AE508" i="8" s="1"/>
  <c r="F424" i="8"/>
  <c r="M167" i="8"/>
  <c r="M168" i="8" s="1"/>
  <c r="S531" i="8"/>
  <c r="S532" i="8" s="1"/>
  <c r="Q519" i="8"/>
  <c r="Q520" i="8" s="1"/>
  <c r="M203" i="8"/>
  <c r="M204" i="8" s="1"/>
  <c r="W519" i="8"/>
  <c r="W520" i="8" s="1"/>
  <c r="AC535" i="8"/>
  <c r="AC536" i="8" s="1"/>
  <c r="AA535" i="8"/>
  <c r="AA536" i="8" s="1"/>
  <c r="K451" i="8"/>
  <c r="P555" i="8"/>
  <c r="P556" i="8" s="1"/>
  <c r="M539" i="8"/>
  <c r="M540" i="8" s="1"/>
  <c r="M559" i="8"/>
  <c r="M560" i="8" s="1"/>
  <c r="L575" i="8"/>
  <c r="L576" i="8" s="1"/>
  <c r="AC563" i="8"/>
  <c r="AC564" i="8" s="1"/>
  <c r="O531" i="8"/>
  <c r="O532" i="8" s="1"/>
  <c r="N555" i="8"/>
  <c r="N556" i="8" s="1"/>
  <c r="N515" i="8"/>
  <c r="N516" i="8" s="1"/>
  <c r="X527" i="8"/>
  <c r="X528" i="8" s="1"/>
  <c r="K539" i="8"/>
  <c r="V523" i="8"/>
  <c r="V524" i="8" s="1"/>
  <c r="L571" i="8"/>
  <c r="L572" i="8" s="1"/>
  <c r="Q539" i="8"/>
  <c r="Q540" i="8" s="1"/>
  <c r="AD519" i="8"/>
  <c r="AD520" i="8" s="1"/>
  <c r="Y503" i="8"/>
  <c r="Y504" i="8" s="1"/>
  <c r="Z535" i="8"/>
  <c r="Z536" i="8" s="1"/>
  <c r="M247" i="8"/>
  <c r="M248" i="8" s="1"/>
  <c r="M139" i="8"/>
  <c r="M140" i="8" s="1"/>
  <c r="AB547" i="8"/>
  <c r="AB548" i="8" s="1"/>
  <c r="R519" i="8"/>
  <c r="R520" i="8" s="1"/>
  <c r="Y547" i="8"/>
  <c r="Y548" i="8" s="1"/>
  <c r="AD563" i="8"/>
  <c r="AD564" i="8" s="1"/>
  <c r="M199" i="8"/>
  <c r="M200" i="8" s="1"/>
  <c r="AD551" i="8"/>
  <c r="AD552" i="8" s="1"/>
  <c r="N563" i="8"/>
  <c r="N564" i="8" s="1"/>
  <c r="Y499" i="8"/>
  <c r="Y500" i="8" s="1"/>
  <c r="AD535" i="8"/>
  <c r="AD536" i="8" s="1"/>
  <c r="U559" i="8"/>
  <c r="U560" i="8" s="1"/>
  <c r="V535" i="8"/>
  <c r="V536" i="8" s="1"/>
  <c r="Y491" i="8"/>
  <c r="Y492" i="8" s="1"/>
  <c r="AC571" i="8"/>
  <c r="AC572" i="8" s="1"/>
  <c r="X519" i="8"/>
  <c r="X520" i="8" s="1"/>
  <c r="O543" i="8"/>
  <c r="O544" i="8" s="1"/>
  <c r="N479" i="8"/>
  <c r="N480" i="8" s="1"/>
  <c r="L551" i="8"/>
  <c r="L552" i="8" s="1"/>
  <c r="U543" i="8"/>
  <c r="U544" i="8" s="1"/>
  <c r="U523" i="8"/>
  <c r="U524" i="8" s="1"/>
  <c r="Z543" i="8"/>
  <c r="Z544" i="8" s="1"/>
  <c r="W555" i="8"/>
  <c r="W556" i="8" s="1"/>
  <c r="M259" i="8"/>
  <c r="M260" i="8" s="1"/>
  <c r="U515" i="8"/>
  <c r="U516" i="8" s="1"/>
  <c r="Q487" i="8"/>
  <c r="Q488" i="8" s="1"/>
  <c r="Z515" i="8"/>
  <c r="Z516" i="8" s="1"/>
  <c r="M123" i="2"/>
  <c r="X487" i="8"/>
  <c r="X488" i="8" s="1"/>
  <c r="M515" i="8"/>
  <c r="M516" i="8" s="1"/>
  <c r="P535" i="8"/>
  <c r="P536" i="8" s="1"/>
  <c r="AA523" i="8"/>
  <c r="AA524" i="8" s="1"/>
  <c r="O774" i="2"/>
  <c r="O1300" i="8" s="1"/>
  <c r="O1301" i="8" s="1"/>
  <c r="L1164" i="8"/>
  <c r="L1165" i="8" s="1"/>
  <c r="L754" i="2"/>
  <c r="L1236" i="8" s="1"/>
  <c r="L1237" i="8" s="1"/>
  <c r="Y507" i="8"/>
  <c r="Y508" i="8" s="1"/>
  <c r="M195" i="8"/>
  <c r="M196" i="8" s="1"/>
  <c r="AD487" i="8"/>
  <c r="AD488" i="8" s="1"/>
  <c r="V559" i="8"/>
  <c r="V560" i="8" s="1"/>
  <c r="L475" i="8"/>
  <c r="L476" i="8" s="1"/>
  <c r="F476" i="8" s="1"/>
  <c r="V571" i="8"/>
  <c r="V572" i="8" s="1"/>
  <c r="R527" i="8"/>
  <c r="R528" i="8" s="1"/>
  <c r="Y439" i="8"/>
  <c r="Y440" i="8" s="1"/>
  <c r="M366" i="2"/>
  <c r="M876" i="8" s="1"/>
  <c r="M877" i="8" s="1"/>
  <c r="R523" i="8"/>
  <c r="R524" i="8" s="1"/>
  <c r="L1200" i="8"/>
  <c r="L1201" i="8" s="1"/>
  <c r="L794" i="2"/>
  <c r="L1356" i="8" s="1"/>
  <c r="L1357" i="8" s="1"/>
  <c r="AC511" i="8"/>
  <c r="AC512" i="8" s="1"/>
  <c r="Q511" i="8"/>
  <c r="Q512" i="8" s="1"/>
  <c r="AD515" i="8"/>
  <c r="AD516" i="8" s="1"/>
  <c r="N559" i="8"/>
  <c r="N560" i="8" s="1"/>
  <c r="AC495" i="8"/>
  <c r="AC496" i="8" s="1"/>
  <c r="Z455" i="8"/>
  <c r="Z456" i="8" s="1"/>
  <c r="R451" i="8"/>
  <c r="R452" i="8" s="1"/>
  <c r="M636" i="2"/>
  <c r="N636" i="2" s="1"/>
  <c r="M531" i="8"/>
  <c r="M532" i="8" s="1"/>
  <c r="AC515" i="8"/>
  <c r="AC516" i="8" s="1"/>
  <c r="W515" i="8"/>
  <c r="W516" i="8" s="1"/>
  <c r="AC527" i="8"/>
  <c r="AC528" i="8" s="1"/>
  <c r="M235" i="8"/>
  <c r="M236" i="8" s="1"/>
  <c r="Q471" i="8"/>
  <c r="Q472" i="8" s="1"/>
  <c r="AB579" i="8"/>
  <c r="AB580" i="8" s="1"/>
  <c r="M775" i="2"/>
  <c r="M1304" i="8" s="1"/>
  <c r="M1305" i="8" s="1"/>
  <c r="AA555" i="8"/>
  <c r="AA556" i="8" s="1"/>
  <c r="O374" i="2"/>
  <c r="P539" i="8"/>
  <c r="P540" i="8" s="1"/>
  <c r="AA503" i="8"/>
  <c r="AA504" i="8" s="1"/>
  <c r="P396" i="2"/>
  <c r="P964" i="8" s="1"/>
  <c r="P965" i="8" s="1"/>
  <c r="P808" i="8"/>
  <c r="P809" i="8" s="1"/>
  <c r="M451" i="8"/>
  <c r="M452" i="8" s="1"/>
  <c r="O378" i="2"/>
  <c r="O916" i="8" s="1"/>
  <c r="O917" i="8" s="1"/>
  <c r="Q612" i="8"/>
  <c r="Q613" i="8" s="1"/>
  <c r="Q345" i="2"/>
  <c r="R280" i="2"/>
  <c r="Q334" i="2"/>
  <c r="L797" i="2"/>
  <c r="L1368" i="8" s="1"/>
  <c r="L1369" i="8" s="1"/>
  <c r="L1212" i="8"/>
  <c r="L1213" i="8" s="1"/>
  <c r="K463" i="8"/>
  <c r="R459" i="8"/>
  <c r="R460" i="8" s="1"/>
  <c r="X555" i="8"/>
  <c r="X556" i="8" s="1"/>
  <c r="M171" i="8"/>
  <c r="M172" i="8" s="1"/>
  <c r="M123" i="8"/>
  <c r="M124" i="8" s="1"/>
  <c r="AA475" i="8"/>
  <c r="AA476" i="8" s="1"/>
  <c r="V451" i="8"/>
  <c r="V452" i="8" s="1"/>
  <c r="R443" i="8"/>
  <c r="R444" i="8" s="1"/>
  <c r="O503" i="8"/>
  <c r="O504" i="8" s="1"/>
  <c r="N439" i="8"/>
  <c r="N440" i="8" s="1"/>
  <c r="Z443" i="8"/>
  <c r="Z444" i="8" s="1"/>
  <c r="U563" i="8"/>
  <c r="U564" i="8" s="1"/>
  <c r="P487" i="8"/>
  <c r="P488" i="8" s="1"/>
  <c r="L1176" i="8"/>
  <c r="L1177" i="8" s="1"/>
  <c r="L757" i="2"/>
  <c r="L1248" i="8" s="1"/>
  <c r="L1249" i="8" s="1"/>
  <c r="K447" i="8"/>
  <c r="M255" i="8"/>
  <c r="M256" i="8" s="1"/>
  <c r="N579" i="8"/>
  <c r="N580" i="8" s="1"/>
  <c r="L511" i="8"/>
  <c r="L512" i="8" s="1"/>
  <c r="X515" i="8"/>
  <c r="X516" i="8" s="1"/>
  <c r="Z539" i="8"/>
  <c r="Z540" i="8" s="1"/>
  <c r="M555" i="8"/>
  <c r="M556" i="8" s="1"/>
  <c r="Y551" i="8"/>
  <c r="Y552" i="8" s="1"/>
  <c r="N551" i="8"/>
  <c r="N552" i="8" s="1"/>
  <c r="K455" i="8"/>
  <c r="N539" i="8"/>
  <c r="N540" i="8" s="1"/>
  <c r="M207" i="8"/>
  <c r="M208" i="8" s="1"/>
  <c r="T519" i="8"/>
  <c r="T520" i="8" s="1"/>
  <c r="P455" i="8"/>
  <c r="P456" i="8" s="1"/>
  <c r="Y483" i="8"/>
  <c r="Y484" i="8" s="1"/>
  <c r="AA447" i="8"/>
  <c r="AA448" i="8" s="1"/>
  <c r="Q503" i="8"/>
  <c r="Q504" i="8" s="1"/>
  <c r="N499" i="8"/>
  <c r="N500" i="8" s="1"/>
  <c r="AA559" i="8"/>
  <c r="AA560" i="8" s="1"/>
  <c r="M443" i="8"/>
  <c r="M444" i="8" s="1"/>
  <c r="AC559" i="8"/>
  <c r="AC560" i="8" s="1"/>
  <c r="W563" i="8"/>
  <c r="W564" i="8" s="1"/>
  <c r="Z467" i="8"/>
  <c r="Z468" i="8" s="1"/>
  <c r="AD527" i="8"/>
  <c r="AD528" i="8" s="1"/>
  <c r="O467" i="8"/>
  <c r="O468" i="8" s="1"/>
  <c r="O447" i="8"/>
  <c r="O448" i="8" s="1"/>
  <c r="O575" i="8"/>
  <c r="O576" i="8" s="1"/>
  <c r="Y495" i="8"/>
  <c r="Y496" i="8" s="1"/>
  <c r="L515" i="8"/>
  <c r="L516" i="8" s="1"/>
  <c r="X531" i="8"/>
  <c r="X532" i="8" s="1"/>
  <c r="Z471" i="8"/>
  <c r="Z472" i="8" s="1"/>
  <c r="N511" i="8"/>
  <c r="N512" i="8" s="1"/>
  <c r="Q515" i="8"/>
  <c r="Q516" i="8" s="1"/>
  <c r="N571" i="8"/>
  <c r="N572" i="8" s="1"/>
  <c r="AD463" i="8"/>
  <c r="AD464" i="8" s="1"/>
  <c r="AD555" i="8"/>
  <c r="AD556" i="8" s="1"/>
  <c r="M191" i="8"/>
  <c r="M192" i="8" s="1"/>
  <c r="V495" i="8"/>
  <c r="V496" i="8" s="1"/>
  <c r="T471" i="8"/>
  <c r="T472" i="8" s="1"/>
  <c r="V483" i="8"/>
  <c r="V484" i="8" s="1"/>
  <c r="AA579" i="8"/>
  <c r="AA580" i="8" s="1"/>
  <c r="W459" i="8"/>
  <c r="W460" i="8" s="1"/>
  <c r="U579" i="8"/>
  <c r="U580" i="8" s="1"/>
  <c r="V447" i="8"/>
  <c r="V448" i="8" s="1"/>
  <c r="W547" i="8"/>
  <c r="W548" i="8" s="1"/>
  <c r="N455" i="2"/>
  <c r="O455" i="2" s="1"/>
  <c r="M159" i="8"/>
  <c r="M160" i="8" s="1"/>
  <c r="P386" i="2"/>
  <c r="P928" i="8" s="1"/>
  <c r="P929" i="8" s="1"/>
  <c r="M948" i="8"/>
  <c r="M949" i="8" s="1"/>
  <c r="M400" i="2"/>
  <c r="M980" i="8" s="1"/>
  <c r="M981" i="8" s="1"/>
  <c r="W711" i="2"/>
  <c r="X711" i="2"/>
  <c r="V711" i="2"/>
  <c r="Y711" i="2"/>
  <c r="Z711" i="2"/>
  <c r="AA711" i="2"/>
  <c r="AE711" i="2"/>
  <c r="L711" i="2"/>
  <c r="M711" i="2"/>
  <c r="N711" i="2"/>
  <c r="O711" i="2"/>
  <c r="Q711" i="2"/>
  <c r="R711" i="2"/>
  <c r="AB711" i="2"/>
  <c r="U711" i="2"/>
  <c r="AC711" i="2"/>
  <c r="AD711" i="2"/>
  <c r="P711" i="2"/>
  <c r="T711" i="2"/>
  <c r="S711" i="2"/>
  <c r="N764" i="2"/>
  <c r="N1268" i="8" s="1"/>
  <c r="N1269" i="8" s="1"/>
  <c r="Q792" i="8"/>
  <c r="Q793" i="8" s="1"/>
  <c r="Q363" i="2"/>
  <c r="Q392" i="2"/>
  <c r="L1204" i="8"/>
  <c r="L1205" i="8" s="1"/>
  <c r="L766" i="2"/>
  <c r="L1276" i="8" s="1"/>
  <c r="L1277" i="8" s="1"/>
  <c r="L795" i="2"/>
  <c r="L1360" i="8" s="1"/>
  <c r="L1361" i="8" s="1"/>
  <c r="L1208" i="8"/>
  <c r="L1209" i="8" s="1"/>
  <c r="L796" i="2"/>
  <c r="L1364" i="8" s="1"/>
  <c r="L1365" i="8" s="1"/>
  <c r="Q820" i="8"/>
  <c r="Q821" i="8" s="1"/>
  <c r="Q370" i="2"/>
  <c r="Q892" i="8" s="1"/>
  <c r="Q893" i="8" s="1"/>
  <c r="Q399" i="2"/>
  <c r="Q976" i="8" s="1"/>
  <c r="Q977" i="8" s="1"/>
  <c r="P1200" i="8"/>
  <c r="P1201" i="8" s="1"/>
  <c r="P765" i="2"/>
  <c r="P1272" i="8" s="1"/>
  <c r="P1273" i="8" s="1"/>
  <c r="P794" i="2"/>
  <c r="P1356" i="8" s="1"/>
  <c r="P1357" i="8" s="1"/>
  <c r="P1344" i="8"/>
  <c r="P1345" i="8" s="1"/>
  <c r="O900" i="8"/>
  <c r="O901" i="8" s="1"/>
  <c r="O379" i="2"/>
  <c r="O920" i="8" s="1"/>
  <c r="O92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R353" i="2"/>
  <c r="R832" i="8" s="1"/>
  <c r="R833" i="8" s="1"/>
  <c r="M243" i="2"/>
  <c r="O360" i="2"/>
  <c r="O860" i="8" s="1"/>
  <c r="O861" i="8" s="1"/>
  <c r="R596" i="8"/>
  <c r="R597" i="8" s="1"/>
  <c r="R341" i="2"/>
  <c r="S276" i="2"/>
  <c r="R330" i="2"/>
  <c r="L1168" i="8"/>
  <c r="L1169" i="8" s="1"/>
  <c r="L755" i="2"/>
  <c r="L1240" i="8" s="1"/>
  <c r="L1241" i="8" s="1"/>
  <c r="M773" i="2"/>
  <c r="F1069" i="8"/>
  <c r="F673" i="8"/>
  <c r="Q784" i="8"/>
  <c r="Q785" i="8" s="1"/>
  <c r="Q359" i="2"/>
  <c r="Q856" i="8" s="1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S397" i="2"/>
  <c r="S968" i="8" s="1"/>
  <c r="S969" i="8" s="1"/>
  <c r="P780" i="8"/>
  <c r="P781" i="8" s="1"/>
  <c r="P358" i="2"/>
  <c r="P852" i="8" s="1"/>
  <c r="P853" i="8" s="1"/>
  <c r="S600" i="8"/>
  <c r="S601" i="8" s="1"/>
  <c r="S342" i="2"/>
  <c r="S331" i="2"/>
  <c r="T277" i="2"/>
  <c r="L756" i="8"/>
  <c r="L757" i="8" s="1"/>
  <c r="L338" i="2"/>
  <c r="L788" i="8" s="1"/>
  <c r="L789" i="8" s="1"/>
  <c r="L352" i="2"/>
  <c r="L375" i="2" s="1"/>
  <c r="L904" i="8" s="1"/>
  <c r="L905" i="8" s="1"/>
  <c r="M759" i="2"/>
  <c r="M1256" i="8" s="1"/>
  <c r="M1257" i="8" s="1"/>
  <c r="M864" i="8"/>
  <c r="M865" i="8" s="1"/>
  <c r="Q756" i="8"/>
  <c r="Q757" i="8" s="1"/>
  <c r="Q352" i="2"/>
  <c r="P1192" i="8"/>
  <c r="P1193" i="8" s="1"/>
  <c r="P763" i="2"/>
  <c r="P1264" i="8" s="1"/>
  <c r="P1265" i="8" s="1"/>
  <c r="P792" i="2"/>
  <c r="P1348" i="8" s="1"/>
  <c r="P1349" i="8" s="1"/>
  <c r="R624" i="8"/>
  <c r="R625" i="8" s="1"/>
  <c r="S283" i="2"/>
  <c r="R337" i="2"/>
  <c r="R348" i="2"/>
  <c r="N374" i="2"/>
  <c r="S776" i="8"/>
  <c r="S777" i="8" s="1"/>
  <c r="S357" i="2"/>
  <c r="S848" i="8" s="1"/>
  <c r="S849" i="8" s="1"/>
  <c r="P816" i="8"/>
  <c r="P817" i="8" s="1"/>
  <c r="P398" i="2"/>
  <c r="P972" i="8" s="1"/>
  <c r="P973" i="8" s="1"/>
  <c r="R796" i="8"/>
  <c r="R797" i="8" s="1"/>
  <c r="R364" i="2"/>
  <c r="R868" i="8" s="1"/>
  <c r="R869" i="8" s="1"/>
  <c r="R393" i="2"/>
  <c r="R952" i="8" s="1"/>
  <c r="R953" i="8" s="1"/>
  <c r="P1156" i="8"/>
  <c r="P1157" i="8" s="1"/>
  <c r="P752" i="2"/>
  <c r="P1228" i="8" s="1"/>
  <c r="P1229" i="8" s="1"/>
  <c r="Q800" i="8"/>
  <c r="Q801" i="8" s="1"/>
  <c r="Q394" i="2"/>
  <c r="Q956" i="8" s="1"/>
  <c r="Q957" i="8" s="1"/>
  <c r="Q365" i="2"/>
  <c r="Q872" i="8" s="1"/>
  <c r="Q873" i="8" s="1"/>
  <c r="Q996" i="8"/>
  <c r="Q997" i="8" s="1"/>
  <c r="R676" i="2"/>
  <c r="Q730" i="2"/>
  <c r="Q741" i="2"/>
  <c r="G315" i="2"/>
  <c r="G316" i="2"/>
  <c r="P369" i="2" s="1"/>
  <c r="P888" i="8" s="1"/>
  <c r="P889" i="8" s="1"/>
  <c r="G314" i="2"/>
  <c r="M634" i="2"/>
  <c r="R604" i="8"/>
  <c r="R605" i="8" s="1"/>
  <c r="S278" i="2"/>
  <c r="R332" i="2"/>
  <c r="R343" i="2"/>
  <c r="L1180" i="8"/>
  <c r="L1181" i="8" s="1"/>
  <c r="L758" i="2"/>
  <c r="L1252" i="8" s="1"/>
  <c r="L1253" i="8" s="1"/>
  <c r="P828" i="8"/>
  <c r="P829" i="8" s="1"/>
  <c r="Q1152" i="8"/>
  <c r="Q1153" i="8" s="1"/>
  <c r="Q751" i="2"/>
  <c r="Q1204" i="8"/>
  <c r="Q1205" i="8" s="1"/>
  <c r="Q795" i="2"/>
  <c r="Q1360" i="8" s="1"/>
  <c r="Q1361" i="8" s="1"/>
  <c r="F315" i="2"/>
  <c r="S368" i="2" s="1"/>
  <c r="S884" i="8" s="1"/>
  <c r="S885" i="8" s="1"/>
  <c r="F316" i="2"/>
  <c r="F314" i="2"/>
  <c r="V471" i="8"/>
  <c r="V472" i="8" s="1"/>
  <c r="K483" i="8"/>
  <c r="L459" i="8"/>
  <c r="L460" i="8" s="1"/>
  <c r="L267" i="8"/>
  <c r="L268" i="8" s="1"/>
  <c r="L223" i="8"/>
  <c r="L224" i="8" s="1"/>
  <c r="K151" i="8"/>
  <c r="K183" i="8"/>
  <c r="L195" i="8"/>
  <c r="L196" i="8" s="1"/>
  <c r="L279" i="8"/>
  <c r="L280" i="8" s="1"/>
  <c r="T451" i="8"/>
  <c r="T452" i="8" s="1"/>
  <c r="K243" i="8"/>
  <c r="L227" i="8"/>
  <c r="L228" i="8" s="1"/>
  <c r="Z563" i="8"/>
  <c r="Z564" i="8" s="1"/>
  <c r="AB463" i="8"/>
  <c r="AB464" i="8" s="1"/>
  <c r="R479" i="8"/>
  <c r="R480" i="8" s="1"/>
  <c r="S475" i="8"/>
  <c r="S476" i="8" s="1"/>
  <c r="L179" i="8"/>
  <c r="L180" i="8" s="1"/>
  <c r="Q443" i="8"/>
  <c r="Q444" i="8" s="1"/>
  <c r="K195" i="8"/>
  <c r="L235" i="8"/>
  <c r="L236" i="8" s="1"/>
  <c r="L219" i="8"/>
  <c r="L220" i="8" s="1"/>
  <c r="L451" i="8"/>
  <c r="L452" i="8" s="1"/>
  <c r="Z483" i="8"/>
  <c r="Z484" i="8" s="1"/>
  <c r="R579" i="8"/>
  <c r="R580" i="8" s="1"/>
  <c r="W447" i="8"/>
  <c r="W448" i="8" s="1"/>
  <c r="L255" i="8"/>
  <c r="L256" i="8" s="1"/>
  <c r="L263" i="8"/>
  <c r="L264" i="8" s="1"/>
  <c r="L275" i="8"/>
  <c r="L276" i="8" s="1"/>
  <c r="L439" i="8"/>
  <c r="L440" i="8" s="1"/>
  <c r="L171" i="8"/>
  <c r="L172" i="8" s="1"/>
  <c r="L487" i="8"/>
  <c r="L488" i="8" s="1"/>
  <c r="L467" i="8"/>
  <c r="L468" i="8" s="1"/>
  <c r="AB487" i="8"/>
  <c r="AB488" i="8" s="1"/>
  <c r="K235" i="8"/>
  <c r="K203" i="8"/>
  <c r="K291" i="8"/>
  <c r="L455" i="8"/>
  <c r="L456" i="8" s="1"/>
  <c r="K163" i="8"/>
  <c r="K251" i="8"/>
  <c r="K271" i="8"/>
  <c r="AB495" i="8"/>
  <c r="AB496" i="8" s="1"/>
  <c r="AB479" i="8"/>
  <c r="AB480" i="8" s="1"/>
  <c r="AE447" i="8"/>
  <c r="AE448" i="8" s="1"/>
  <c r="Q463" i="8"/>
  <c r="Q464" i="8" s="1"/>
  <c r="K275" i="8"/>
  <c r="L231" i="8"/>
  <c r="L232" i="8" s="1"/>
  <c r="L287" i="8"/>
  <c r="L288" i="8" s="1"/>
  <c r="L199" i="8"/>
  <c r="L200" i="8" s="1"/>
  <c r="K259" i="8"/>
  <c r="L283" i="8"/>
  <c r="L284" i="8" s="1"/>
  <c r="L215" i="8"/>
  <c r="L216" i="8" s="1"/>
  <c r="K247" i="8"/>
  <c r="L159" i="8"/>
  <c r="L160" i="8" s="1"/>
  <c r="AB439" i="8"/>
  <c r="AB440" i="8" s="1"/>
  <c r="L175" i="8"/>
  <c r="L176" i="8" s="1"/>
  <c r="K199" i="8"/>
  <c r="L191" i="8"/>
  <c r="L192" i="8" s="1"/>
  <c r="Z559" i="8"/>
  <c r="Z560" i="8" s="1"/>
  <c r="K487" i="8"/>
  <c r="U571" i="8"/>
  <c r="U572" i="8" s="1"/>
  <c r="K263" i="8"/>
  <c r="T503" i="8"/>
  <c r="T504" i="8" s="1"/>
  <c r="K231" i="8"/>
  <c r="AD503" i="8"/>
  <c r="AD504" i="8" s="1"/>
  <c r="L447" i="8"/>
  <c r="L448" i="8" s="1"/>
  <c r="N447" i="8"/>
  <c r="N448" i="8" s="1"/>
  <c r="L271" i="8"/>
  <c r="L272" i="8" s="1"/>
  <c r="K179" i="8"/>
  <c r="K267" i="8"/>
  <c r="L247" i="8"/>
  <c r="L248" i="8" s="1"/>
  <c r="L251" i="8"/>
  <c r="L252" i="8" s="1"/>
  <c r="K167" i="8"/>
  <c r="L243" i="8"/>
  <c r="L244" i="8" s="1"/>
  <c r="T487" i="8"/>
  <c r="T488" i="8" s="1"/>
  <c r="AB471" i="8"/>
  <c r="AB472" i="8" s="1"/>
  <c r="K211" i="8"/>
  <c r="L203" i="8"/>
  <c r="L204" i="8" s="1"/>
  <c r="K283" i="8"/>
  <c r="AE443" i="8"/>
  <c r="AE444" i="8" s="1"/>
  <c r="K215" i="8"/>
  <c r="T483" i="8"/>
  <c r="T484" i="8" s="1"/>
  <c r="L211" i="8"/>
  <c r="L212" i="8" s="1"/>
  <c r="W443" i="8"/>
  <c r="W444" i="8" s="1"/>
  <c r="AB483" i="8"/>
  <c r="AB484" i="8" s="1"/>
  <c r="U483" i="8"/>
  <c r="U484" i="8" s="1"/>
  <c r="AE439" i="8"/>
  <c r="AE440" i="8" s="1"/>
  <c r="L207" i="8"/>
  <c r="L208" i="8" s="1"/>
  <c r="L167" i="8"/>
  <c r="L168" i="8" s="1"/>
  <c r="L163" i="8"/>
  <c r="L164" i="8" s="1"/>
  <c r="K255" i="8"/>
  <c r="K187" i="8"/>
  <c r="S487" i="8"/>
  <c r="S488" i="8" s="1"/>
  <c r="T495" i="8"/>
  <c r="T496" i="8" s="1"/>
  <c r="T479" i="8"/>
  <c r="T480" i="8" s="1"/>
  <c r="Q551" i="8"/>
  <c r="Q552" i="8" s="1"/>
  <c r="AB571" i="8"/>
  <c r="AB572" i="8" s="1"/>
  <c r="AE455" i="8"/>
  <c r="AE456" i="8" s="1"/>
  <c r="N455" i="8"/>
  <c r="N456" i="8" s="1"/>
  <c r="K155" i="8"/>
  <c r="L239" i="8"/>
  <c r="L240" i="8" s="1"/>
  <c r="K279" i="8"/>
  <c r="Q451" i="8"/>
  <c r="Q452" i="8" s="1"/>
  <c r="L151" i="8"/>
  <c r="L152" i="8" s="1"/>
  <c r="K239" i="8"/>
  <c r="W471" i="8"/>
  <c r="W472" i="8" s="1"/>
  <c r="S563" i="8"/>
  <c r="S564" i="8" s="1"/>
  <c r="S579" i="8"/>
  <c r="S580" i="8" s="1"/>
  <c r="L291" i="8"/>
  <c r="L292" i="8" s="1"/>
  <c r="L259" i="8"/>
  <c r="L260" i="8" s="1"/>
  <c r="K159" i="8"/>
  <c r="K207" i="8"/>
  <c r="K219" i="8"/>
  <c r="K191" i="8"/>
  <c r="K223" i="8"/>
  <c r="K227" i="8"/>
  <c r="R487" i="8"/>
  <c r="R488" i="8" s="1"/>
  <c r="U487" i="8"/>
  <c r="U488" i="8" s="1"/>
  <c r="U547" i="8"/>
  <c r="U548" i="8" s="1"/>
  <c r="L471" i="8"/>
  <c r="L472" i="8" s="1"/>
  <c r="M499" i="8"/>
  <c r="M500" i="8" s="1"/>
  <c r="L155" i="8"/>
  <c r="L156" i="8" s="1"/>
  <c r="L187" i="8"/>
  <c r="L188" i="8" s="1"/>
  <c r="K287" i="8"/>
  <c r="K171" i="8"/>
  <c r="L183" i="8"/>
  <c r="L184" i="8" s="1"/>
  <c r="K175" i="8"/>
  <c r="S447" i="8"/>
  <c r="S448" i="8" s="1"/>
  <c r="AC575" i="8"/>
  <c r="AC576" i="8" s="1"/>
  <c r="AD459" i="8"/>
  <c r="AD460" i="8" s="1"/>
  <c r="V539" i="8"/>
  <c r="V540" i="8" s="1"/>
  <c r="X479" i="8"/>
  <c r="X480" i="8" s="1"/>
  <c r="AB499" i="8"/>
  <c r="AB500" i="8" s="1"/>
  <c r="AB519" i="8"/>
  <c r="AB520" i="8" s="1"/>
  <c r="O567" i="8"/>
  <c r="O568" i="8" s="1"/>
  <c r="AE543" i="8"/>
  <c r="AE544" i="8" s="1"/>
  <c r="M439" i="8"/>
  <c r="M440" i="8" s="1"/>
  <c r="L495" i="8"/>
  <c r="L496" i="8" s="1"/>
  <c r="AB539" i="8"/>
  <c r="AB540" i="8" s="1"/>
  <c r="R539" i="8"/>
  <c r="R540" i="8" s="1"/>
  <c r="AB467" i="8"/>
  <c r="AB468" i="8" s="1"/>
  <c r="AE531" i="8"/>
  <c r="AE532" i="8" s="1"/>
  <c r="K527" i="8"/>
  <c r="U551" i="8"/>
  <c r="U552" i="8" s="1"/>
  <c r="AC579" i="8"/>
  <c r="AC580" i="8" s="1"/>
  <c r="M547" i="8"/>
  <c r="M548" i="8" s="1"/>
  <c r="W559" i="8"/>
  <c r="W560" i="8" s="1"/>
  <c r="AE451" i="8"/>
  <c r="AE452" i="8" s="1"/>
  <c r="Z499" i="8"/>
  <c r="Z500" i="8" s="1"/>
  <c r="T531" i="8"/>
  <c r="T532" i="8" s="1"/>
  <c r="Z571" i="8"/>
  <c r="Z572" i="8" s="1"/>
  <c r="AA471" i="8"/>
  <c r="AA472" i="8" s="1"/>
  <c r="L499" i="8"/>
  <c r="L500" i="8" s="1"/>
  <c r="AE471" i="8"/>
  <c r="AE472" i="8" s="1"/>
  <c r="R499" i="8"/>
  <c r="R500" i="8" s="1"/>
  <c r="U575" i="8"/>
  <c r="U576" i="8" s="1"/>
  <c r="X491" i="8"/>
  <c r="X492" i="8" s="1"/>
  <c r="M483" i="8"/>
  <c r="M484" i="8" s="1"/>
  <c r="V459" i="8"/>
  <c r="V460" i="8" s="1"/>
  <c r="N475" i="8"/>
  <c r="N476" i="8" s="1"/>
  <c r="AC551" i="8"/>
  <c r="AC552" i="8" s="1"/>
  <c r="Y487" i="8"/>
  <c r="Y488" i="8" s="1"/>
  <c r="T463" i="8"/>
  <c r="T464" i="8" s="1"/>
  <c r="S467" i="8"/>
  <c r="S468" i="8" s="1"/>
  <c r="K555" i="8"/>
  <c r="AD511" i="8"/>
  <c r="AD512" i="8" s="1"/>
  <c r="W535" i="8"/>
  <c r="W536" i="8" s="1"/>
  <c r="V527" i="8"/>
  <c r="V528" i="8" s="1"/>
  <c r="M571" i="8"/>
  <c r="M572" i="8" s="1"/>
  <c r="AD575" i="8"/>
  <c r="AD576" i="8" s="1"/>
  <c r="S543" i="8"/>
  <c r="S544" i="8" s="1"/>
  <c r="K475" i="8"/>
  <c r="S491" i="8"/>
  <c r="S492" i="8" s="1"/>
  <c r="AC443" i="8"/>
  <c r="AC444" i="8" s="1"/>
  <c r="L523" i="8"/>
  <c r="L524" i="8" s="1"/>
  <c r="AD531" i="8"/>
  <c r="AD532" i="8" s="1"/>
  <c r="AB515" i="8"/>
  <c r="AB516" i="8" s="1"/>
  <c r="M479" i="8"/>
  <c r="M480" i="8" s="1"/>
  <c r="AE571" i="8"/>
  <c r="AE572" i="8" s="1"/>
  <c r="AB455" i="8"/>
  <c r="AB456" i="8" s="1"/>
  <c r="U495" i="8"/>
  <c r="U496" i="8" s="1"/>
  <c r="O491" i="8"/>
  <c r="O492" i="8" s="1"/>
  <c r="S463" i="8"/>
  <c r="S464" i="8" s="1"/>
  <c r="AD491" i="8"/>
  <c r="AD492" i="8" s="1"/>
  <c r="Z491" i="8"/>
  <c r="Z492" i="8" s="1"/>
  <c r="V463" i="8"/>
  <c r="V464" i="8" s="1"/>
  <c r="U459" i="8"/>
  <c r="U460" i="8" s="1"/>
  <c r="Y519" i="8"/>
  <c r="Y520" i="8" s="1"/>
  <c r="P507" i="8"/>
  <c r="P508" i="8" s="1"/>
  <c r="U491" i="8"/>
  <c r="U492" i="8" s="1"/>
  <c r="S559" i="8"/>
  <c r="S560" i="8" s="1"/>
  <c r="R531" i="8"/>
  <c r="R532" i="8" s="1"/>
  <c r="U471" i="8"/>
  <c r="U472" i="8" s="1"/>
  <c r="AE551" i="8"/>
  <c r="AE552" i="8" s="1"/>
  <c r="R575" i="8"/>
  <c r="R576" i="8" s="1"/>
  <c r="AE527" i="8"/>
  <c r="AE528" i="8" s="1"/>
  <c r="AA459" i="8"/>
  <c r="AA460" i="8" s="1"/>
  <c r="S455" i="8"/>
  <c r="S456" i="8" s="1"/>
  <c r="S571" i="8"/>
  <c r="S572" i="8" s="1"/>
  <c r="M511" i="8"/>
  <c r="M512" i="8" s="1"/>
  <c r="AB451" i="8"/>
  <c r="AB452" i="8" s="1"/>
  <c r="U463" i="8"/>
  <c r="U464" i="8" s="1"/>
  <c r="P523" i="8"/>
  <c r="P524" i="8" s="1"/>
  <c r="L535" i="8"/>
  <c r="L536" i="8" s="1"/>
  <c r="O499" i="8"/>
  <c r="O500" i="8" s="1"/>
  <c r="O507" i="8"/>
  <c r="O508" i="8" s="1"/>
  <c r="Y511" i="8"/>
  <c r="Y512" i="8" s="1"/>
  <c r="X507" i="8"/>
  <c r="X508" i="8" s="1"/>
  <c r="AE487" i="8"/>
  <c r="AE488" i="8" s="1"/>
  <c r="Q571" i="8"/>
  <c r="Q572" i="8" s="1"/>
  <c r="Q491" i="8"/>
  <c r="Q492" i="8" s="1"/>
  <c r="N451" i="8"/>
  <c r="N452" i="8" s="1"/>
  <c r="T507" i="8"/>
  <c r="T508" i="8" s="1"/>
  <c r="X443" i="8"/>
  <c r="X444" i="8" s="1"/>
  <c r="M495" i="8"/>
  <c r="M496" i="8" s="1"/>
  <c r="S555" i="8"/>
  <c r="S556" i="8" s="1"/>
  <c r="S507" i="8"/>
  <c r="S508" i="8" s="1"/>
  <c r="U531" i="8"/>
  <c r="U532" i="8" s="1"/>
  <c r="AC519" i="8"/>
  <c r="AC520" i="8" s="1"/>
  <c r="AA575" i="8"/>
  <c r="AA576" i="8" s="1"/>
  <c r="N463" i="8"/>
  <c r="N464" i="8" s="1"/>
  <c r="X451" i="8"/>
  <c r="X452" i="8" s="1"/>
  <c r="L519" i="8"/>
  <c r="L520" i="8" s="1"/>
  <c r="T511" i="8"/>
  <c r="T512" i="8" s="1"/>
  <c r="Q495" i="8"/>
  <c r="Q496" i="8" s="1"/>
  <c r="Q559" i="8"/>
  <c r="Q560" i="8" s="1"/>
  <c r="W575" i="8"/>
  <c r="W576" i="8" s="1"/>
  <c r="P511" i="8"/>
  <c r="P512" i="8" s="1"/>
  <c r="P439" i="8"/>
  <c r="P440" i="8" s="1"/>
  <c r="AD567" i="8"/>
  <c r="AD568" i="8" s="1"/>
  <c r="M575" i="8"/>
  <c r="M576" i="8" s="1"/>
  <c r="M579" i="8"/>
  <c r="M580" i="8" s="1"/>
  <c r="X543" i="8"/>
  <c r="X544" i="8" s="1"/>
  <c r="V515" i="8"/>
  <c r="V516" i="8" s="1"/>
  <c r="AC503" i="8"/>
  <c r="AC504" i="8" s="1"/>
  <c r="O451" i="8"/>
  <c r="O452" i="8" s="1"/>
  <c r="AA511" i="8"/>
  <c r="AA512" i="8" s="1"/>
  <c r="V567" i="8"/>
  <c r="V568" i="8" s="1"/>
  <c r="AA439" i="8"/>
  <c r="AA440" i="8" s="1"/>
  <c r="X459" i="8"/>
  <c r="X460" i="8" s="1"/>
  <c r="V575" i="8"/>
  <c r="V576" i="8" s="1"/>
  <c r="AE491" i="8"/>
  <c r="AE492" i="8" s="1"/>
  <c r="P467" i="8"/>
  <c r="P468" i="8" s="1"/>
  <c r="U467" i="8"/>
  <c r="U468" i="8" s="1"/>
  <c r="K519" i="8"/>
  <c r="AB511" i="8"/>
  <c r="AB512" i="8" s="1"/>
  <c r="P543" i="8"/>
  <c r="P544" i="8" s="1"/>
  <c r="AD499" i="8"/>
  <c r="AD500" i="8" s="1"/>
  <c r="T543" i="8"/>
  <c r="T544" i="8" s="1"/>
  <c r="M519" i="8"/>
  <c r="M520" i="8" s="1"/>
  <c r="Z551" i="8"/>
  <c r="Z552" i="8" s="1"/>
  <c r="W551" i="8"/>
  <c r="W552" i="8" s="1"/>
  <c r="R571" i="8"/>
  <c r="R572" i="8" s="1"/>
  <c r="T551" i="8"/>
  <c r="T552" i="8" s="1"/>
  <c r="L531" i="8"/>
  <c r="L532" i="8" s="1"/>
  <c r="S527" i="8"/>
  <c r="S528" i="8" s="1"/>
  <c r="K535" i="8"/>
  <c r="W499" i="8"/>
  <c r="W500" i="8" s="1"/>
  <c r="AB523" i="8"/>
  <c r="AB524" i="8" s="1"/>
  <c r="AE559" i="8"/>
  <c r="AE560" i="8" s="1"/>
  <c r="AE483" i="8"/>
  <c r="AE484" i="8" s="1"/>
  <c r="O479" i="8"/>
  <c r="O480" i="8" s="1"/>
  <c r="U567" i="8"/>
  <c r="U568" i="8" s="1"/>
  <c r="Q567" i="8"/>
  <c r="Q568" i="8" s="1"/>
  <c r="Q555" i="8"/>
  <c r="Q556" i="8" s="1"/>
  <c r="S499" i="8"/>
  <c r="S500" i="8" s="1"/>
  <c r="T555" i="8"/>
  <c r="T556" i="8" s="1"/>
  <c r="AB443" i="8"/>
  <c r="AB444" i="8" s="1"/>
  <c r="W507" i="8"/>
  <c r="W508" i="8" s="1"/>
  <c r="S451" i="8"/>
  <c r="S452" i="8" s="1"/>
  <c r="O535" i="8"/>
  <c r="O536" i="8" s="1"/>
  <c r="AB575" i="8"/>
  <c r="AB576" i="8" s="1"/>
  <c r="AB475" i="8"/>
  <c r="AB476" i="8" s="1"/>
  <c r="P515" i="8"/>
  <c r="P516" i="8" s="1"/>
  <c r="P443" i="8"/>
  <c r="P444" i="8" s="1"/>
  <c r="K511" i="8"/>
  <c r="W579" i="8"/>
  <c r="W580" i="8" s="1"/>
  <c r="Q467" i="8"/>
  <c r="Q468" i="8" s="1"/>
  <c r="W483" i="8"/>
  <c r="W484" i="8" s="1"/>
  <c r="R543" i="8"/>
  <c r="R544" i="8" s="1"/>
  <c r="AA451" i="8"/>
  <c r="AA452" i="8" s="1"/>
  <c r="AD507" i="8"/>
  <c r="AD508" i="8" s="1"/>
  <c r="X455" i="8"/>
  <c r="X456" i="8" s="1"/>
  <c r="U455" i="8"/>
  <c r="U456" i="8" s="1"/>
  <c r="P491" i="8"/>
  <c r="P492" i="8" s="1"/>
  <c r="K503" i="8"/>
  <c r="R507" i="8"/>
  <c r="R508" i="8" s="1"/>
  <c r="W491" i="8"/>
  <c r="W492" i="8" s="1"/>
  <c r="V551" i="8"/>
  <c r="V552" i="8" s="1"/>
  <c r="T455" i="8"/>
  <c r="T456" i="8" s="1"/>
  <c r="X439" i="8"/>
  <c r="X440" i="8" s="1"/>
  <c r="X447" i="8"/>
  <c r="X448" i="8" s="1"/>
  <c r="N543" i="8"/>
  <c r="N544" i="8" s="1"/>
  <c r="F544" i="8" s="1"/>
  <c r="AB447" i="8"/>
  <c r="AB448" i="8" s="1"/>
  <c r="S575" i="8"/>
  <c r="S576" i="8" s="1"/>
  <c r="AC475" i="8"/>
  <c r="AC476" i="8" s="1"/>
  <c r="S459" i="8"/>
  <c r="S460" i="8" s="1"/>
  <c r="AC447" i="8"/>
  <c r="AC448" i="8" s="1"/>
  <c r="V519" i="8"/>
  <c r="V520" i="8" s="1"/>
  <c r="AA455" i="8"/>
  <c r="AA456" i="8" s="1"/>
  <c r="R547" i="8"/>
  <c r="R548" i="8" s="1"/>
  <c r="W531" i="8"/>
  <c r="W532" i="8" s="1"/>
  <c r="V531" i="8"/>
  <c r="V532" i="8" s="1"/>
  <c r="T559" i="8"/>
  <c r="T560" i="8" s="1"/>
  <c r="W503" i="8"/>
  <c r="W504" i="8" s="1"/>
  <c r="T539" i="8"/>
  <c r="T540" i="8" s="1"/>
  <c r="N459" i="8"/>
  <c r="N460" i="8" s="1"/>
  <c r="AA507" i="8"/>
  <c r="AA508" i="8" s="1"/>
  <c r="R551" i="8"/>
  <c r="R552" i="8" s="1"/>
  <c r="O455" i="8"/>
  <c r="O456" i="8" s="1"/>
  <c r="W527" i="8"/>
  <c r="W528" i="8" s="1"/>
  <c r="L479" i="8"/>
  <c r="L480" i="8" s="1"/>
  <c r="AE503" i="8"/>
  <c r="AE504" i="8" s="1"/>
  <c r="K507" i="8"/>
  <c r="Y459" i="8"/>
  <c r="Y460" i="8" s="1"/>
  <c r="AE535" i="8"/>
  <c r="AE536" i="8" s="1"/>
  <c r="AB491" i="8"/>
  <c r="AB492" i="8" s="1"/>
  <c r="S495" i="8"/>
  <c r="S496" i="8" s="1"/>
  <c r="S483" i="8"/>
  <c r="S484" i="8" s="1"/>
  <c r="R511" i="8"/>
  <c r="R512" i="8" s="1"/>
  <c r="AB459" i="8"/>
  <c r="AB460" i="8" s="1"/>
  <c r="Z555" i="8"/>
  <c r="Z556" i="8" s="1"/>
  <c r="AD539" i="8"/>
  <c r="AD540" i="8" s="1"/>
  <c r="AA495" i="8"/>
  <c r="AA496" i="8" s="1"/>
  <c r="AA491" i="8"/>
  <c r="AA492" i="8" s="1"/>
  <c r="X471" i="8"/>
  <c r="X472" i="8" s="1"/>
  <c r="X499" i="8"/>
  <c r="X500" i="8" s="1"/>
  <c r="M491" i="8"/>
  <c r="M492" i="8" s="1"/>
  <c r="F492" i="8" s="1"/>
  <c r="AC547" i="8"/>
  <c r="AC548" i="8" s="1"/>
  <c r="S443" i="8"/>
  <c r="S444" i="8" s="1"/>
  <c r="U503" i="8"/>
  <c r="U504" i="8" s="1"/>
  <c r="M475" i="8"/>
  <c r="M476" i="8" s="1"/>
  <c r="Y467" i="8"/>
  <c r="Y468" i="8" s="1"/>
  <c r="L443" i="8"/>
  <c r="L444" i="8" s="1"/>
  <c r="AC487" i="8"/>
  <c r="AC488" i="8" s="1"/>
  <c r="R535" i="8"/>
  <c r="R536" i="8" s="1"/>
  <c r="AD475" i="8"/>
  <c r="AD476" i="8" s="1"/>
  <c r="AE575" i="8"/>
  <c r="AE576" i="8" s="1"/>
  <c r="Y451" i="8"/>
  <c r="Y452" i="8" s="1"/>
  <c r="Y471" i="8"/>
  <c r="Y472" i="8" s="1"/>
  <c r="O487" i="8"/>
  <c r="O488" i="8" s="1"/>
  <c r="S567" i="8"/>
  <c r="S568" i="8" s="1"/>
  <c r="AC539" i="8"/>
  <c r="AC540" i="8" s="1"/>
  <c r="M543" i="8"/>
  <c r="M544" i="8" s="1"/>
  <c r="AA515" i="8"/>
  <c r="AA516" i="8" s="1"/>
  <c r="R475" i="8"/>
  <c r="R476" i="8" s="1"/>
  <c r="R567" i="8"/>
  <c r="R568" i="8" s="1"/>
  <c r="Y555" i="8"/>
  <c r="Y556" i="8" s="1"/>
  <c r="AC555" i="8"/>
  <c r="AC556" i="8" s="1"/>
  <c r="T579" i="8"/>
  <c r="T580" i="8" s="1"/>
  <c r="L463" i="8"/>
  <c r="L464" i="8" s="1"/>
  <c r="AD483" i="8"/>
  <c r="AD484" i="8" s="1"/>
  <c r="AE459" i="8"/>
  <c r="AE460" i="8" s="1"/>
  <c r="M471" i="8"/>
  <c r="M472" i="8" s="1"/>
  <c r="K479" i="8"/>
  <c r="AA563" i="8"/>
  <c r="AA564" i="8" s="1"/>
  <c r="F564" i="8" s="1"/>
  <c r="M535" i="8"/>
  <c r="M536" i="8" s="1"/>
  <c r="Q447" i="8"/>
  <c r="Q448" i="8" s="1"/>
  <c r="AE467" i="8"/>
  <c r="AE468" i="8" s="1"/>
  <c r="AE499" i="8"/>
  <c r="AE500" i="8" s="1"/>
  <c r="Q459" i="8"/>
  <c r="Q460" i="8" s="1"/>
  <c r="L491" i="8"/>
  <c r="L492" i="8" s="1"/>
  <c r="AA531" i="8"/>
  <c r="AA532" i="8" s="1"/>
  <c r="Q547" i="8"/>
  <c r="Q548" i="8" s="1"/>
  <c r="Y515" i="8"/>
  <c r="Y516" i="8" s="1"/>
  <c r="O495" i="8"/>
  <c r="O496" i="8" s="1"/>
  <c r="Z579" i="8"/>
  <c r="Z580" i="8" s="1"/>
  <c r="W463" i="8"/>
  <c r="W464" i="8" s="1"/>
  <c r="P471" i="8"/>
  <c r="P472" i="8" s="1"/>
  <c r="AD571" i="8"/>
  <c r="AD572" i="8" s="1"/>
  <c r="Q535" i="8"/>
  <c r="Q536" i="8" s="1"/>
  <c r="T527" i="8"/>
  <c r="T528" i="8" s="1"/>
  <c r="Z547" i="8"/>
  <c r="Z548" i="8" s="1"/>
  <c r="AA543" i="8"/>
  <c r="AA544" i="8" s="1"/>
  <c r="L539" i="8"/>
  <c r="L540" i="8" s="1"/>
  <c r="AA463" i="8"/>
  <c r="AA464" i="8" s="1"/>
  <c r="V543" i="8"/>
  <c r="V544" i="8" s="1"/>
  <c r="P551" i="8"/>
  <c r="P552" i="8" s="1"/>
  <c r="V511" i="8"/>
  <c r="V512" i="8" s="1"/>
  <c r="K531" i="8"/>
  <c r="Y463" i="8"/>
  <c r="Y464" i="8" s="1"/>
  <c r="T459" i="8"/>
  <c r="T460" i="8" s="1"/>
  <c r="Q575" i="8"/>
  <c r="Q576" i="8" s="1"/>
  <c r="O463" i="8"/>
  <c r="O464" i="8" s="1"/>
  <c r="S547" i="8"/>
  <c r="S548" i="8" s="1"/>
  <c r="Z507" i="8"/>
  <c r="Z508" i="8" s="1"/>
  <c r="P451" i="8"/>
  <c r="P452" i="8" s="1"/>
  <c r="W451" i="8"/>
  <c r="W452" i="8" s="1"/>
  <c r="Z487" i="8"/>
  <c r="Z488" i="8" s="1"/>
  <c r="V555" i="8"/>
  <c r="V556" i="8" s="1"/>
  <c r="AB507" i="8"/>
  <c r="AB508" i="8" s="1"/>
  <c r="AB503" i="8"/>
  <c r="AB504" i="8" s="1"/>
  <c r="L547" i="8"/>
  <c r="L548" i="8" s="1"/>
  <c r="P495" i="8"/>
  <c r="P496" i="8" s="1"/>
  <c r="U447" i="8"/>
  <c r="U448" i="8" s="1"/>
  <c r="Q455" i="8"/>
  <c r="Q456" i="8" s="1"/>
  <c r="O579" i="8"/>
  <c r="O580" i="8" s="1"/>
  <c r="Z479" i="8"/>
  <c r="Z480" i="8" s="1"/>
  <c r="S479" i="8"/>
  <c r="S480" i="8" s="1"/>
  <c r="V491" i="8"/>
  <c r="V492" i="8" s="1"/>
  <c r="V507" i="8"/>
  <c r="V508" i="8" s="1"/>
  <c r="T575" i="8"/>
  <c r="T576" i="8" s="1"/>
  <c r="T535" i="8"/>
  <c r="T536" i="8" s="1"/>
  <c r="N467" i="8"/>
  <c r="N468" i="8" s="1"/>
  <c r="U539" i="8"/>
  <c r="U540" i="8" s="1"/>
  <c r="W571" i="8"/>
  <c r="W572" i="8" s="1"/>
  <c r="S519" i="8"/>
  <c r="S520" i="8" s="1"/>
  <c r="AE567" i="8"/>
  <c r="AE568" i="8" s="1"/>
  <c r="R471" i="8"/>
  <c r="R472" i="8" s="1"/>
  <c r="P475" i="8"/>
  <c r="P476" i="8" s="1"/>
  <c r="S551" i="8"/>
  <c r="S552" i="8" s="1"/>
  <c r="R503" i="8"/>
  <c r="R504" i="8" s="1"/>
  <c r="K491" i="8"/>
  <c r="Q579" i="8"/>
  <c r="Q580" i="8" s="1"/>
  <c r="N471" i="8"/>
  <c r="N472" i="8" s="1"/>
  <c r="Q531" i="8"/>
  <c r="Q532" i="8" s="1"/>
  <c r="AD543" i="8"/>
  <c r="AD544" i="8" s="1"/>
  <c r="X547" i="8"/>
  <c r="X548" i="8" s="1"/>
  <c r="W479" i="8"/>
  <c r="W480" i="8" s="1"/>
  <c r="T447" i="8"/>
  <c r="T448" i="8" s="1"/>
  <c r="S515" i="8"/>
  <c r="S516" i="8" s="1"/>
  <c r="R483" i="8"/>
  <c r="R484" i="8" s="1"/>
  <c r="AB543" i="8"/>
  <c r="AB544" i="8" s="1"/>
  <c r="R491" i="8"/>
  <c r="R492" i="8" s="1"/>
  <c r="S503" i="8"/>
  <c r="S504" i="8" s="1"/>
  <c r="AE511" i="8"/>
  <c r="AE512" i="8" s="1"/>
  <c r="X503" i="8"/>
  <c r="X504" i="8" s="1"/>
  <c r="K579" i="8"/>
  <c r="Z475" i="8"/>
  <c r="Z476" i="8" s="1"/>
  <c r="L507" i="8"/>
  <c r="L508" i="8" s="1"/>
  <c r="V479" i="8"/>
  <c r="V480" i="8" s="1"/>
  <c r="V455" i="8"/>
  <c r="V456" i="8" s="1"/>
  <c r="W495" i="8"/>
  <c r="W496" i="8" s="1"/>
  <c r="R563" i="8"/>
  <c r="R564" i="8" s="1"/>
  <c r="Q563" i="8"/>
  <c r="Q564" i="8" s="1"/>
  <c r="K471" i="8"/>
  <c r="K523" i="8"/>
  <c r="P559" i="8"/>
  <c r="P560" i="8" s="1"/>
  <c r="U499" i="8"/>
  <c r="U500" i="8" s="1"/>
  <c r="V499" i="8"/>
  <c r="V500" i="8" s="1"/>
  <c r="AC479" i="8"/>
  <c r="AC480" i="8" s="1"/>
  <c r="AC463" i="8"/>
  <c r="AC464" i="8" s="1"/>
  <c r="W539" i="8"/>
  <c r="W540" i="8" s="1"/>
  <c r="V439" i="8"/>
  <c r="V440" i="8" s="1"/>
  <c r="AA551" i="8"/>
  <c r="AA552" i="8" s="1"/>
  <c r="X463" i="8"/>
  <c r="X464" i="8" s="1"/>
  <c r="P503" i="8"/>
  <c r="P504" i="8" s="1"/>
  <c r="AE463" i="8"/>
  <c r="AE464" i="8" s="1"/>
  <c r="P483" i="8"/>
  <c r="P484" i="8" s="1"/>
  <c r="AC491" i="8"/>
  <c r="AC492" i="8" s="1"/>
  <c r="AE523" i="8"/>
  <c r="AE524" i="8" s="1"/>
  <c r="V467" i="8"/>
  <c r="V468" i="8" s="1"/>
  <c r="R515" i="8"/>
  <c r="R516" i="8" s="1"/>
  <c r="P499" i="8"/>
  <c r="P500" i="8" s="1"/>
  <c r="U451" i="8"/>
  <c r="U452" i="8" s="1"/>
  <c r="N443" i="8"/>
  <c r="N444" i="8" s="1"/>
  <c r="W475" i="8"/>
  <c r="W476" i="8" s="1"/>
  <c r="W487" i="8"/>
  <c r="W488" i="8" s="1"/>
  <c r="L543" i="8"/>
  <c r="L544" i="8" s="1"/>
  <c r="Y535" i="8"/>
  <c r="Y536" i="8" s="1"/>
  <c r="T467" i="8"/>
  <c r="T468" i="8" s="1"/>
  <c r="Y523" i="8"/>
  <c r="Y524" i="8" s="1"/>
  <c r="P531" i="8"/>
  <c r="P532" i="8" s="1"/>
  <c r="Q543" i="8"/>
  <c r="Q544" i="8" s="1"/>
  <c r="Q507" i="8"/>
  <c r="Q508" i="8" s="1"/>
  <c r="X563" i="8"/>
  <c r="X564" i="8" s="1"/>
  <c r="T475" i="8"/>
  <c r="T476" i="8" s="1"/>
  <c r="Z495" i="8"/>
  <c r="Z496" i="8" s="1"/>
  <c r="AD547" i="8"/>
  <c r="AD548" i="8" s="1"/>
  <c r="AD455" i="8"/>
  <c r="AD456" i="8" s="1"/>
  <c r="U479" i="8"/>
  <c r="U480" i="8" s="1"/>
  <c r="V547" i="8"/>
  <c r="V548" i="8" s="1"/>
  <c r="V503" i="8"/>
  <c r="V504" i="8" s="1"/>
  <c r="AA519" i="8"/>
  <c r="AA520" i="8" s="1"/>
  <c r="T499" i="8"/>
  <c r="T500" i="8" s="1"/>
  <c r="K499" i="8"/>
  <c r="X467" i="8"/>
  <c r="X468" i="8" s="1"/>
  <c r="AD479" i="8"/>
  <c r="AD480" i="8" s="1"/>
  <c r="T439" i="8"/>
  <c r="T440" i="8" s="1"/>
  <c r="U507" i="8"/>
  <c r="U508" i="8" s="1"/>
  <c r="Z527" i="8"/>
  <c r="Z528" i="8" s="1"/>
  <c r="AE475" i="8"/>
  <c r="AE476" i="8" s="1"/>
  <c r="W455" i="8"/>
  <c r="W456" i="8" s="1"/>
  <c r="M523" i="8"/>
  <c r="M524" i="8" s="1"/>
  <c r="Z503" i="8"/>
  <c r="Z504" i="8" s="1"/>
  <c r="X495" i="8"/>
  <c r="X496" i="8" s="1"/>
  <c r="M507" i="8"/>
  <c r="M508" i="8" s="1"/>
  <c r="O523" i="8"/>
  <c r="O524" i="8" s="1"/>
  <c r="X523" i="8"/>
  <c r="X524" i="8" s="1"/>
  <c r="K495" i="8"/>
  <c r="L503" i="8"/>
  <c r="L504" i="8" s="1"/>
  <c r="AB535" i="8"/>
  <c r="AB536" i="8" s="1"/>
  <c r="M527" i="8"/>
  <c r="M528" i="8" s="1"/>
  <c r="T443" i="8"/>
  <c r="T444" i="8" s="1"/>
  <c r="P459" i="8"/>
  <c r="P460" i="8" s="1"/>
  <c r="Z567" i="8"/>
  <c r="Z568" i="8" s="1"/>
  <c r="X571" i="8"/>
  <c r="X572" i="8" s="1"/>
  <c r="X575" i="8"/>
  <c r="X576" i="8" s="1"/>
  <c r="M455" i="8"/>
  <c r="M456" i="8" s="1"/>
  <c r="L483" i="8"/>
  <c r="L484" i="8" s="1"/>
  <c r="T491" i="8"/>
  <c r="T492" i="8" s="1"/>
  <c r="AB567" i="8"/>
  <c r="AB568" i="8" s="1"/>
  <c r="AA527" i="8"/>
  <c r="AA528" i="8" s="1"/>
  <c r="AC451" i="8"/>
  <c r="AC452" i="8" s="1"/>
  <c r="AE495" i="8"/>
  <c r="AE496" i="8" s="1"/>
  <c r="R495" i="8"/>
  <c r="R496" i="8" s="1"/>
  <c r="P479" i="8"/>
  <c r="P480" i="8" s="1"/>
  <c r="U439" i="8"/>
  <c r="U440" i="8" s="1"/>
  <c r="V487" i="8"/>
  <c r="V488" i="8" s="1"/>
  <c r="K567" i="8"/>
  <c r="Z575" i="8"/>
  <c r="Z576" i="8" s="1"/>
  <c r="W467" i="8"/>
  <c r="W468" i="8" s="1"/>
  <c r="Y559" i="8"/>
  <c r="Y560" i="8" s="1"/>
  <c r="W523" i="8"/>
  <c r="W524" i="8" s="1"/>
  <c r="R555" i="8"/>
  <c r="R556" i="8" s="1"/>
  <c r="O471" i="8"/>
  <c r="O472" i="8" s="1"/>
  <c r="X483" i="8"/>
  <c r="X484" i="8" s="1"/>
  <c r="V443" i="8"/>
  <c r="V444" i="8" s="1"/>
  <c r="M459" i="8"/>
  <c r="M460" i="8" s="1"/>
  <c r="U443" i="8"/>
  <c r="U444" i="8" s="1"/>
  <c r="S1020" i="8"/>
  <c r="S1021" i="8" s="1"/>
  <c r="T682" i="2"/>
  <c r="S747" i="2"/>
  <c r="S736" i="2"/>
  <c r="N310" i="2"/>
  <c r="AB310" i="2"/>
  <c r="O310" i="2"/>
  <c r="AC310" i="2"/>
  <c r="P310" i="2"/>
  <c r="AD310" i="2"/>
  <c r="Q310" i="2"/>
  <c r="AE310" i="2"/>
  <c r="X310" i="2"/>
  <c r="Y310" i="2"/>
  <c r="Z310" i="2"/>
  <c r="AA310" i="2"/>
  <c r="T310" i="2"/>
  <c r="U310" i="2"/>
  <c r="V310" i="2"/>
  <c r="W310" i="2"/>
  <c r="M310" i="2"/>
  <c r="L310" i="2"/>
  <c r="R310" i="2"/>
  <c r="S310" i="2"/>
  <c r="O363" i="2"/>
  <c r="N363" i="2"/>
  <c r="M799" i="2"/>
  <c r="M1376" i="8" s="1"/>
  <c r="M1377" i="8" s="1"/>
  <c r="Q1016" i="8"/>
  <c r="Q1017" i="8" s="1"/>
  <c r="Q746" i="2"/>
  <c r="R681" i="2"/>
  <c r="Q735" i="2"/>
  <c r="R1180" i="8"/>
  <c r="R1181" i="8" s="1"/>
  <c r="R758" i="2"/>
  <c r="R1252" i="8" s="1"/>
  <c r="R1253" i="8" s="1"/>
  <c r="O764" i="2"/>
  <c r="O1268" i="8" s="1"/>
  <c r="O1269" i="8" s="1"/>
  <c r="M378" i="2"/>
  <c r="M916" i="8" s="1"/>
  <c r="M917" i="8" s="1"/>
  <c r="L387" i="2"/>
  <c r="L932" i="8" s="1"/>
  <c r="L933" i="8" s="1"/>
  <c r="Q1188" i="8"/>
  <c r="Q1189" i="8" s="1"/>
  <c r="Q762" i="2"/>
  <c r="Q791" i="2"/>
  <c r="U475" i="8"/>
  <c r="U476" i="8" s="1"/>
  <c r="M447" i="8"/>
  <c r="M448" i="8" s="1"/>
  <c r="X312" i="2"/>
  <c r="Y312" i="2"/>
  <c r="L312" i="2"/>
  <c r="Z312" i="2"/>
  <c r="M312" i="2"/>
  <c r="AA312" i="2"/>
  <c r="R312" i="2"/>
  <c r="S312" i="2"/>
  <c r="T312" i="2"/>
  <c r="U312" i="2"/>
  <c r="V312" i="2"/>
  <c r="N312" i="2"/>
  <c r="P312" i="2"/>
  <c r="AD312" i="2"/>
  <c r="O312" i="2"/>
  <c r="W312" i="2"/>
  <c r="Q312" i="2"/>
  <c r="AC312" i="2"/>
  <c r="AE312" i="2"/>
  <c r="AB312" i="2"/>
  <c r="L365" i="2"/>
  <c r="L872" i="8" s="1"/>
  <c r="L873" i="8" s="1"/>
  <c r="O365" i="2"/>
  <c r="O872" i="8" s="1"/>
  <c r="O873" i="8" s="1"/>
  <c r="M365" i="2"/>
  <c r="M872" i="8" s="1"/>
  <c r="M873" i="8" s="1"/>
  <c r="N365" i="2"/>
  <c r="N872" i="8" s="1"/>
  <c r="N873" i="8" s="1"/>
  <c r="P1212" i="8"/>
  <c r="P1213" i="8" s="1"/>
  <c r="P797" i="2"/>
  <c r="P1368" i="8" s="1"/>
  <c r="P1369" i="8" s="1"/>
  <c r="AE555" i="8"/>
  <c r="AE556" i="8" s="1"/>
  <c r="R1216" i="8"/>
  <c r="R1217" i="8" s="1"/>
  <c r="R798" i="2"/>
  <c r="R1372" i="8" s="1"/>
  <c r="R1373" i="8" s="1"/>
  <c r="R769" i="2"/>
  <c r="R1288" i="8" s="1"/>
  <c r="R1289" i="8" s="1"/>
  <c r="R786" i="2"/>
  <c r="R1328" i="8" s="1"/>
  <c r="R1329" i="8" s="1"/>
  <c r="F396" i="8"/>
  <c r="AA487" i="8"/>
  <c r="AA488" i="8" s="1"/>
  <c r="O773" i="2"/>
  <c r="AA483" i="8"/>
  <c r="AA484" i="8" s="1"/>
  <c r="L1216" i="8"/>
  <c r="L1217" i="8" s="1"/>
  <c r="L769" i="2"/>
  <c r="L1288" i="8" s="1"/>
  <c r="L1289" i="8" s="1"/>
  <c r="L798" i="2"/>
  <c r="L1372" i="8" s="1"/>
  <c r="L1373" i="8" s="1"/>
  <c r="L786" i="2"/>
  <c r="L1328" i="8" s="1"/>
  <c r="L1329" i="8" s="1"/>
  <c r="M764" i="2"/>
  <c r="M1268" i="8" s="1"/>
  <c r="M1269" i="8" s="1"/>
  <c r="N712" i="2"/>
  <c r="AB712" i="2"/>
  <c r="O712" i="2"/>
  <c r="AC712" i="2"/>
  <c r="Q712" i="2"/>
  <c r="R712" i="2"/>
  <c r="S712" i="2"/>
  <c r="T712" i="2"/>
  <c r="AD712" i="2"/>
  <c r="AE712" i="2"/>
  <c r="L712" i="2"/>
  <c r="P712" i="2"/>
  <c r="M712" i="2"/>
  <c r="U712" i="2"/>
  <c r="V712" i="2"/>
  <c r="W712" i="2"/>
  <c r="X712" i="2"/>
  <c r="Z712" i="2"/>
  <c r="Y712" i="2"/>
  <c r="N765" i="2"/>
  <c r="AA712" i="2"/>
  <c r="L765" i="2"/>
  <c r="M765" i="2"/>
  <c r="R992" i="8"/>
  <c r="R993" i="8" s="1"/>
  <c r="S675" i="2"/>
  <c r="R729" i="2"/>
  <c r="R740" i="2"/>
  <c r="F364" i="8"/>
  <c r="O511" i="8"/>
  <c r="O512" i="8" s="1"/>
  <c r="O389" i="2"/>
  <c r="O940" i="8" s="1"/>
  <c r="O941" i="8" s="1"/>
  <c r="P1196" i="8"/>
  <c r="P1197" i="8" s="1"/>
  <c r="P793" i="2"/>
  <c r="P1352" i="8" s="1"/>
  <c r="P1353" i="8" s="1"/>
  <c r="P764" i="2"/>
  <c r="P1268" i="8" s="1"/>
  <c r="P1269" i="8" s="1"/>
  <c r="O759" i="2"/>
  <c r="O1256" i="8" s="1"/>
  <c r="O1257" i="8" s="1"/>
  <c r="U317" i="2"/>
  <c r="V317" i="2"/>
  <c r="W317" i="2"/>
  <c r="X317" i="2"/>
  <c r="S317" i="2"/>
  <c r="T317" i="2"/>
  <c r="Y317" i="2"/>
  <c r="Z317" i="2"/>
  <c r="AA317" i="2"/>
  <c r="M317" i="2"/>
  <c r="N317" i="2"/>
  <c r="O317" i="2"/>
  <c r="P317" i="2"/>
  <c r="Q317" i="2"/>
  <c r="AB317" i="2"/>
  <c r="R317" i="2"/>
  <c r="AD317" i="2"/>
  <c r="L317" i="2"/>
  <c r="AC317" i="2"/>
  <c r="AE317" i="2"/>
  <c r="M370" i="2"/>
  <c r="O370" i="2"/>
  <c r="N370" i="2"/>
  <c r="T716" i="2"/>
  <c r="U716" i="2"/>
  <c r="W716" i="2"/>
  <c r="X716" i="2"/>
  <c r="Y716" i="2"/>
  <c r="Z716" i="2"/>
  <c r="AD716" i="2"/>
  <c r="AE716" i="2"/>
  <c r="L716" i="2"/>
  <c r="M716" i="2"/>
  <c r="N716" i="2"/>
  <c r="P716" i="2"/>
  <c r="V716" i="2"/>
  <c r="Q716" i="2"/>
  <c r="AC716" i="2"/>
  <c r="O716" i="2"/>
  <c r="R716" i="2"/>
  <c r="S716" i="2"/>
  <c r="AB716" i="2"/>
  <c r="AA716" i="2"/>
  <c r="N769" i="2"/>
  <c r="P769" i="2"/>
  <c r="O769" i="2"/>
  <c r="O777" i="2"/>
  <c r="O1312" i="8" s="1"/>
  <c r="O1313" i="8" s="1"/>
  <c r="O483" i="8"/>
  <c r="O484" i="8" s="1"/>
  <c r="P768" i="8"/>
  <c r="P769" i="8" s="1"/>
  <c r="P355" i="2"/>
  <c r="P840" i="8" s="1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P753" i="2"/>
  <c r="P1232" i="8" s="1"/>
  <c r="P1233" i="8" s="1"/>
  <c r="AE579" i="8"/>
  <c r="AE580" i="8" s="1"/>
  <c r="L804" i="8"/>
  <c r="L805" i="8" s="1"/>
  <c r="L366" i="2"/>
  <c r="L876" i="8" s="1"/>
  <c r="L877" i="8" s="1"/>
  <c r="L395" i="2"/>
  <c r="L960" i="8" s="1"/>
  <c r="L961" i="8" s="1"/>
  <c r="N360" i="2"/>
  <c r="N860" i="8" s="1"/>
  <c r="N861" i="8" s="1"/>
  <c r="L1160" i="8"/>
  <c r="L1161" i="8" s="1"/>
  <c r="L753" i="2"/>
  <c r="L737" i="2"/>
  <c r="L1184" i="8" s="1"/>
  <c r="L1185" i="8" s="1"/>
  <c r="L774" i="2"/>
  <c r="L1300" i="8" s="1"/>
  <c r="L1301" i="8" s="1"/>
  <c r="N777" i="2"/>
  <c r="N1312" i="8" s="1"/>
  <c r="N1313" i="8" s="1"/>
  <c r="M567" i="8"/>
  <c r="M568" i="8" s="1"/>
  <c r="F568" i="8" s="1"/>
  <c r="P370" i="2"/>
  <c r="AD495" i="8"/>
  <c r="AD496" i="8" s="1"/>
  <c r="M374" i="2"/>
  <c r="X475" i="8"/>
  <c r="X476" i="8" s="1"/>
  <c r="P804" i="8"/>
  <c r="P805" i="8" s="1"/>
  <c r="P395" i="2"/>
  <c r="P960" i="8" s="1"/>
  <c r="P961" i="8" s="1"/>
  <c r="P366" i="2"/>
  <c r="P876" i="8" s="1"/>
  <c r="P877" i="8" s="1"/>
  <c r="F669" i="8"/>
  <c r="Q764" i="8"/>
  <c r="Q765" i="8" s="1"/>
  <c r="Q354" i="2"/>
  <c r="Q836" i="8" s="1"/>
  <c r="Q837" i="8" s="1"/>
  <c r="Q1168" i="8"/>
  <c r="Q1169" i="8" s="1"/>
  <c r="Q755" i="2"/>
  <c r="Q1240" i="8" s="1"/>
  <c r="Q1241" i="8" s="1"/>
  <c r="L792" i="8"/>
  <c r="L793" i="8" s="1"/>
  <c r="L363" i="2"/>
  <c r="L349" i="2"/>
  <c r="L824" i="8" s="1"/>
  <c r="L825" i="8" s="1"/>
  <c r="L392" i="2"/>
  <c r="P1176" i="8"/>
  <c r="P1177" i="8" s="1"/>
  <c r="P757" i="2"/>
  <c r="P1248" i="8" s="1"/>
  <c r="P1249" i="8" s="1"/>
  <c r="F400" i="8"/>
  <c r="F360" i="8"/>
  <c r="Q1000" i="8"/>
  <c r="Q1001" i="8" s="1"/>
  <c r="Q731" i="2"/>
  <c r="R677" i="2"/>
  <c r="Q742" i="2"/>
  <c r="P948" i="8"/>
  <c r="P949" i="8" s="1"/>
  <c r="Q1208" i="8"/>
  <c r="Q1209" i="8" s="1"/>
  <c r="Q796" i="2"/>
  <c r="Q1364" i="8" s="1"/>
  <c r="Q1365" i="8" s="1"/>
  <c r="L1196" i="8"/>
  <c r="L1197" i="8" s="1"/>
  <c r="L764" i="2"/>
  <c r="L1268" i="8" s="1"/>
  <c r="L1269" i="8" s="1"/>
  <c r="L793" i="2"/>
  <c r="L748" i="2"/>
  <c r="L1220" i="8" s="1"/>
  <c r="L1221" i="8" s="1"/>
  <c r="O313" i="2"/>
  <c r="AC313" i="2"/>
  <c r="P313" i="2"/>
  <c r="AD313" i="2"/>
  <c r="Q313" i="2"/>
  <c r="AE313" i="2"/>
  <c r="R313" i="2"/>
  <c r="M313" i="2"/>
  <c r="N313" i="2"/>
  <c r="S313" i="2"/>
  <c r="T313" i="2"/>
  <c r="U313" i="2"/>
  <c r="L313" i="2"/>
  <c r="V313" i="2"/>
  <c r="W313" i="2"/>
  <c r="Y313" i="2"/>
  <c r="X313" i="2"/>
  <c r="Z313" i="2"/>
  <c r="AA313" i="2"/>
  <c r="AB313" i="2"/>
  <c r="N366" i="2"/>
  <c r="Y447" i="8"/>
  <c r="Y448" i="8" s="1"/>
  <c r="AA499" i="8"/>
  <c r="AA500" i="8" s="1"/>
  <c r="F677" i="8"/>
  <c r="Q608" i="8"/>
  <c r="Q609" i="8" s="1"/>
  <c r="R279" i="2"/>
  <c r="Q344" i="2"/>
  <c r="Q333" i="2"/>
  <c r="L374" i="2"/>
  <c r="S471" i="8"/>
  <c r="S472" i="8" s="1"/>
  <c r="M181" i="2"/>
  <c r="M107" i="8" s="1"/>
  <c r="M108" i="8" s="1"/>
  <c r="N241" i="2"/>
  <c r="P374" i="2"/>
  <c r="AA547" i="8"/>
  <c r="AA548" i="8" s="1"/>
  <c r="L768" i="8"/>
  <c r="L769" i="8" s="1"/>
  <c r="L355" i="2"/>
  <c r="L840" i="8" s="1"/>
  <c r="L841" i="8" s="1"/>
  <c r="Q1172" i="8"/>
  <c r="Q1173" i="8" s="1"/>
  <c r="Q756" i="2"/>
  <c r="Q1244" i="8" s="1"/>
  <c r="Q1245" i="8" s="1"/>
  <c r="M389" i="2"/>
  <c r="M940" i="8" s="1"/>
  <c r="M941" i="8" s="1"/>
  <c r="P463" i="8"/>
  <c r="P464" i="8" s="1"/>
  <c r="Q769" i="2"/>
  <c r="M487" i="8"/>
  <c r="M488" i="8" s="1"/>
  <c r="N773" i="2"/>
  <c r="M635" i="2"/>
  <c r="N635" i="2" s="1"/>
  <c r="S311" i="2"/>
  <c r="T311" i="2"/>
  <c r="U311" i="2"/>
  <c r="V311" i="2"/>
  <c r="W311" i="2"/>
  <c r="X311" i="2"/>
  <c r="Y311" i="2"/>
  <c r="Z311" i="2"/>
  <c r="AA311" i="2"/>
  <c r="AC311" i="2"/>
  <c r="AD311" i="2"/>
  <c r="AE311" i="2"/>
  <c r="L311" i="2"/>
  <c r="Q311" i="2"/>
  <c r="M364" i="2"/>
  <c r="M868" i="8" s="1"/>
  <c r="M869" i="8" s="1"/>
  <c r="M311" i="2"/>
  <c r="N311" i="2"/>
  <c r="O311" i="2"/>
  <c r="O364" i="2"/>
  <c r="O868" i="8" s="1"/>
  <c r="O869" i="8" s="1"/>
  <c r="P311" i="2"/>
  <c r="N364" i="2"/>
  <c r="N868" i="8" s="1"/>
  <c r="N869" i="8" s="1"/>
  <c r="R311" i="2"/>
  <c r="AB311" i="2"/>
  <c r="P364" i="2"/>
  <c r="P868" i="8" s="1"/>
  <c r="P869" i="8" s="1"/>
  <c r="L364" i="2"/>
  <c r="L868" i="8" s="1"/>
  <c r="L869" i="8" s="1"/>
  <c r="F312" i="8"/>
  <c r="F432" i="8"/>
  <c r="R710" i="2"/>
  <c r="S710" i="2"/>
  <c r="M710" i="2"/>
  <c r="AC710" i="2"/>
  <c r="N710" i="2"/>
  <c r="AD710" i="2"/>
  <c r="O710" i="2"/>
  <c r="AE710" i="2"/>
  <c r="P710" i="2"/>
  <c r="AB710" i="2"/>
  <c r="L710" i="2"/>
  <c r="T710" i="2"/>
  <c r="W710" i="2"/>
  <c r="X710" i="2"/>
  <c r="Y710" i="2"/>
  <c r="Z710" i="2"/>
  <c r="AA710" i="2"/>
  <c r="Q710" i="2"/>
  <c r="U710" i="2"/>
  <c r="V710" i="2"/>
  <c r="M763" i="2"/>
  <c r="M1264" i="8" s="1"/>
  <c r="M1265" i="8" s="1"/>
  <c r="L763" i="2"/>
  <c r="L1264" i="8" s="1"/>
  <c r="L1265" i="8" s="1"/>
  <c r="N763" i="2"/>
  <c r="N1264" i="8" s="1"/>
  <c r="N1265" i="8" s="1"/>
  <c r="M828" i="8"/>
  <c r="M829" i="8" s="1"/>
  <c r="M360" i="2"/>
  <c r="M860" i="8" s="1"/>
  <c r="M861" i="8" s="1"/>
  <c r="R1012" i="8"/>
  <c r="R1013" i="8" s="1"/>
  <c r="S680" i="2"/>
  <c r="R734" i="2"/>
  <c r="R745" i="2"/>
  <c r="N375" i="2"/>
  <c r="N904" i="8" s="1"/>
  <c r="N905" i="8" s="1"/>
  <c r="S439" i="8"/>
  <c r="S440" i="8" s="1"/>
  <c r="O799" i="2"/>
  <c r="O1376" i="8" s="1"/>
  <c r="O1377" i="8" s="1"/>
  <c r="O400" i="2"/>
  <c r="O980" i="8" s="1"/>
  <c r="O981" i="8" s="1"/>
  <c r="AA571" i="8"/>
  <c r="AA572" i="8" s="1"/>
  <c r="G714" i="2"/>
  <c r="G713" i="2"/>
  <c r="G715" i="2"/>
  <c r="P768" i="2" s="1"/>
  <c r="P1284" i="8" s="1"/>
  <c r="P1285" i="8" s="1"/>
  <c r="AA479" i="8"/>
  <c r="AA480" i="8" s="1"/>
  <c r="F300" i="8"/>
  <c r="M709" i="2"/>
  <c r="AA709" i="2"/>
  <c r="N709" i="2"/>
  <c r="AB709" i="2"/>
  <c r="T709" i="2"/>
  <c r="U709" i="2"/>
  <c r="V709" i="2"/>
  <c r="W709" i="2"/>
  <c r="AE709" i="2"/>
  <c r="L709" i="2"/>
  <c r="O709" i="2"/>
  <c r="Q709" i="2"/>
  <c r="P709" i="2"/>
  <c r="R709" i="2"/>
  <c r="X709" i="2"/>
  <c r="AD709" i="2"/>
  <c r="S709" i="2"/>
  <c r="Z709" i="2"/>
  <c r="AC709" i="2"/>
  <c r="Y709" i="2"/>
  <c r="L762" i="2"/>
  <c r="N762" i="2"/>
  <c r="O762" i="2"/>
  <c r="M762" i="2"/>
  <c r="M786" i="2"/>
  <c r="M1328" i="8" s="1"/>
  <c r="M1329" i="8" s="1"/>
  <c r="P864" i="8"/>
  <c r="P865" i="8" s="1"/>
  <c r="L1172" i="8"/>
  <c r="L1173" i="8" s="1"/>
  <c r="L756" i="2"/>
  <c r="L1244" i="8" s="1"/>
  <c r="L1245" i="8" s="1"/>
  <c r="P1164" i="8"/>
  <c r="P1165" i="8" s="1"/>
  <c r="P754" i="2"/>
  <c r="P1236" i="8" s="1"/>
  <c r="P1237" i="8" s="1"/>
  <c r="O788" i="2"/>
  <c r="O1336" i="8" s="1"/>
  <c r="O1337" i="8" s="1"/>
  <c r="F714" i="2"/>
  <c r="F713" i="2"/>
  <c r="Q766" i="2" s="1"/>
  <c r="Q1276" i="8" s="1"/>
  <c r="Q1277" i="8" s="1"/>
  <c r="F715" i="2"/>
  <c r="P762" i="2"/>
  <c r="P1224" i="8"/>
  <c r="P1225" i="8" s="1"/>
  <c r="Q364" i="2"/>
  <c r="Q868" i="8" s="1"/>
  <c r="Q869" i="8" s="1"/>
  <c r="Y455" i="8"/>
  <c r="Y456" i="8" s="1"/>
  <c r="M522" i="2"/>
  <c r="N513" i="2"/>
  <c r="N187" i="8" s="1"/>
  <c r="N188" i="8" s="1"/>
  <c r="M187" i="8"/>
  <c r="M188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M267" i="8"/>
  <c r="M268" i="8" s="1"/>
  <c r="N641" i="2"/>
  <c r="M291" i="8"/>
  <c r="M292" i="8" s="1"/>
  <c r="O518" i="2"/>
  <c r="N207" i="8"/>
  <c r="N208" i="8" s="1"/>
  <c r="N634" i="2"/>
  <c r="M263" i="8"/>
  <c r="M264" i="8" s="1"/>
  <c r="M642" i="2"/>
  <c r="N639" i="2"/>
  <c r="M283" i="8"/>
  <c r="M284" i="8" s="1"/>
  <c r="N578" i="2"/>
  <c r="M243" i="8"/>
  <c r="M244" i="8" s="1"/>
  <c r="N580" i="2"/>
  <c r="M251" i="8"/>
  <c r="M252" i="8" s="1"/>
  <c r="O515" i="2"/>
  <c r="N195" i="8"/>
  <c r="N196" i="8" s="1"/>
  <c r="N182" i="2"/>
  <c r="M111" i="8"/>
  <c r="M112" i="8" s="1"/>
  <c r="O633" i="2"/>
  <c r="N259" i="8"/>
  <c r="N260" i="8" s="1"/>
  <c r="N459" i="2"/>
  <c r="M175" i="8"/>
  <c r="M176" i="8" s="1"/>
  <c r="M462" i="2"/>
  <c r="O517" i="2"/>
  <c r="N203" i="8"/>
  <c r="N204" i="8" s="1"/>
  <c r="N176" i="2"/>
  <c r="M87" i="8"/>
  <c r="M88" i="8" s="1"/>
  <c r="N577" i="2"/>
  <c r="M239" i="8"/>
  <c r="M240" i="8" s="1"/>
  <c r="O521" i="2"/>
  <c r="N219" i="8"/>
  <c r="N220" i="8" s="1"/>
  <c r="O576" i="2"/>
  <c r="N235" i="8"/>
  <c r="N236" i="8" s="1"/>
  <c r="O453" i="2"/>
  <c r="N151" i="8"/>
  <c r="N152" i="8" s="1"/>
  <c r="O235" i="2"/>
  <c r="N119" i="8"/>
  <c r="N120" i="8" s="1"/>
  <c r="O55" i="2"/>
  <c r="N11" i="8"/>
  <c r="N12" i="8" s="1"/>
  <c r="O59" i="2"/>
  <c r="N27" i="8"/>
  <c r="N28" i="8" s="1"/>
  <c r="O514" i="2"/>
  <c r="N191" i="8"/>
  <c r="N192" i="8" s="1"/>
  <c r="N637" i="2"/>
  <c r="M275" i="8"/>
  <c r="M276" i="8" s="1"/>
  <c r="F392" i="8"/>
  <c r="M175" i="2"/>
  <c r="O454" i="2"/>
  <c r="N155" i="8"/>
  <c r="N156" i="8" s="1"/>
  <c r="O242" i="2"/>
  <c r="N147" i="8"/>
  <c r="N148" i="8" s="1"/>
  <c r="O239" i="2"/>
  <c r="N135" i="8"/>
  <c r="N136" i="8" s="1"/>
  <c r="N243" i="2"/>
  <c r="O234" i="2"/>
  <c r="N115" i="8"/>
  <c r="N116" i="8" s="1"/>
  <c r="N574" i="2"/>
  <c r="M227" i="8"/>
  <c r="M228" i="8" s="1"/>
  <c r="F344" i="8"/>
  <c r="F372" i="8"/>
  <c r="O57" i="2"/>
  <c r="N19" i="8"/>
  <c r="N20" i="8" s="1"/>
  <c r="P117" i="2"/>
  <c r="O55" i="8"/>
  <c r="O56" i="8" s="1"/>
  <c r="N460" i="2"/>
  <c r="M179" i="8"/>
  <c r="M180" i="8" s="1"/>
  <c r="M180" i="2"/>
  <c r="O238" i="2"/>
  <c r="N131" i="8"/>
  <c r="N132" i="8" s="1"/>
  <c r="O240" i="2"/>
  <c r="N139" i="8"/>
  <c r="N140" i="8" s="1"/>
  <c r="N179" i="2"/>
  <c r="M99" i="8"/>
  <c r="M100" i="8" s="1"/>
  <c r="O457" i="2"/>
  <c r="N167" i="8"/>
  <c r="N168" i="8" s="1"/>
  <c r="O519" i="2"/>
  <c r="N211" i="8"/>
  <c r="N212" i="8" s="1"/>
  <c r="O579" i="2"/>
  <c r="N247" i="8"/>
  <c r="N248" i="8" s="1"/>
  <c r="O520" i="2"/>
  <c r="N215" i="8"/>
  <c r="N216" i="8" s="1"/>
  <c r="N177" i="2"/>
  <c r="M91" i="8"/>
  <c r="M92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N640" i="2"/>
  <c r="M287" i="8"/>
  <c r="M288" i="8" s="1"/>
  <c r="O114" i="2"/>
  <c r="N123" i="2"/>
  <c r="N43" i="8"/>
  <c r="N44" i="8" s="1"/>
  <c r="O575" i="2"/>
  <c r="N231" i="8"/>
  <c r="N232" i="8" s="1"/>
  <c r="O61" i="2"/>
  <c r="N35" i="8"/>
  <c r="N36" i="8" s="1"/>
  <c r="O461" i="2"/>
  <c r="N183" i="8"/>
  <c r="N184" i="8" s="1"/>
  <c r="O54" i="2"/>
  <c r="N63" i="2"/>
  <c r="N7" i="8"/>
  <c r="N8" i="8" s="1"/>
  <c r="O458" i="2"/>
  <c r="N171" i="8"/>
  <c r="N172" i="8" s="1"/>
  <c r="O62" i="2"/>
  <c r="N39" i="8"/>
  <c r="N40" i="8" s="1"/>
  <c r="O237" i="2"/>
  <c r="N127" i="8"/>
  <c r="N128" i="8" s="1"/>
  <c r="O581" i="2"/>
  <c r="N255" i="8"/>
  <c r="N256" i="8" s="1"/>
  <c r="O456" i="2"/>
  <c r="N163" i="8"/>
  <c r="N164" i="8" s="1"/>
  <c r="O236" i="2"/>
  <c r="N123" i="8"/>
  <c r="N124" i="8" s="1"/>
  <c r="O118" i="2"/>
  <c r="N59" i="8"/>
  <c r="N60" i="8" s="1"/>
  <c r="O60" i="2"/>
  <c r="N31" i="8"/>
  <c r="N32" i="8" s="1"/>
  <c r="O516" i="2"/>
  <c r="N199" i="8"/>
  <c r="N200" i="8" s="1"/>
  <c r="O122" i="2"/>
  <c r="N75" i="8"/>
  <c r="N76" i="8" s="1"/>
  <c r="O116" i="2"/>
  <c r="N51" i="8"/>
  <c r="N52" i="8" s="1"/>
  <c r="N573" i="2"/>
  <c r="M582" i="2"/>
  <c r="M223" i="8"/>
  <c r="M224" i="8" s="1"/>
  <c r="O121" i="2"/>
  <c r="N71" i="8"/>
  <c r="N72" i="8" s="1"/>
  <c r="O241" i="2"/>
  <c r="N143" i="8"/>
  <c r="N144" i="8" s="1"/>
  <c r="O56" i="2"/>
  <c r="N15" i="8"/>
  <c r="N16" i="8" s="1"/>
  <c r="O115" i="2"/>
  <c r="N47" i="8"/>
  <c r="N48" i="8" s="1"/>
  <c r="N174" i="2"/>
  <c r="M79" i="8"/>
  <c r="M80" i="8" s="1"/>
  <c r="N638" i="2"/>
  <c r="M279" i="8"/>
  <c r="M280" i="8" s="1"/>
  <c r="F356" i="8"/>
  <c r="F524" i="8" l="1"/>
  <c r="F556" i="8"/>
  <c r="F552" i="8"/>
  <c r="N181" i="2"/>
  <c r="F500" i="8"/>
  <c r="F508" i="8"/>
  <c r="N642" i="2"/>
  <c r="Q737" i="2"/>
  <c r="Q1184" i="8" s="1"/>
  <c r="Q1185" i="8" s="1"/>
  <c r="N159" i="8"/>
  <c r="N160" i="8" s="1"/>
  <c r="F540" i="8"/>
  <c r="O513" i="2"/>
  <c r="F440" i="8"/>
  <c r="D4" i="8" s="1"/>
  <c r="P389" i="2"/>
  <c r="P940" i="8" s="1"/>
  <c r="P941" i="8" s="1"/>
  <c r="F520" i="8"/>
  <c r="F468" i="8"/>
  <c r="F516" i="8"/>
  <c r="F560" i="8"/>
  <c r="F480" i="8"/>
  <c r="F484" i="8"/>
  <c r="Q772" i="8"/>
  <c r="Q773" i="8" s="1"/>
  <c r="Q356" i="2"/>
  <c r="Q844" i="8" s="1"/>
  <c r="Q845" i="8" s="1"/>
  <c r="L767" i="2"/>
  <c r="L777" i="2"/>
  <c r="L1312" i="8" s="1"/>
  <c r="L1313" i="8" s="1"/>
  <c r="M271" i="8"/>
  <c r="M272" i="8" s="1"/>
  <c r="F528" i="8"/>
  <c r="F532" i="8"/>
  <c r="F576" i="8"/>
  <c r="R612" i="8"/>
  <c r="R613" i="8" s="1"/>
  <c r="R345" i="2"/>
  <c r="S280" i="2"/>
  <c r="R334" i="2"/>
  <c r="F548" i="8"/>
  <c r="F472" i="8"/>
  <c r="F444" i="8"/>
  <c r="F536" i="8"/>
  <c r="F496" i="8"/>
  <c r="F456" i="8"/>
  <c r="F452" i="8"/>
  <c r="Q396" i="2"/>
  <c r="Q964" i="8" s="1"/>
  <c r="Q965" i="8" s="1"/>
  <c r="Q808" i="8"/>
  <c r="Q809" i="8" s="1"/>
  <c r="F460" i="8"/>
  <c r="F580" i="8"/>
  <c r="F512" i="8"/>
  <c r="F488" i="8"/>
  <c r="F448" i="8"/>
  <c r="F504" i="8"/>
  <c r="F572" i="8"/>
  <c r="F464" i="8"/>
  <c r="L1280" i="8"/>
  <c r="L1281" i="8" s="1"/>
  <c r="P759" i="2"/>
  <c r="P1256" i="8" s="1"/>
  <c r="P1257" i="8" s="1"/>
  <c r="R1088" i="8"/>
  <c r="R1089" i="8" s="1"/>
  <c r="R719" i="2"/>
  <c r="R1120" i="8" s="1"/>
  <c r="R1121" i="8" s="1"/>
  <c r="AA1092" i="8"/>
  <c r="AA1093" i="8" s="1"/>
  <c r="AA720" i="2"/>
  <c r="AA1124" i="8" s="1"/>
  <c r="AA1125" i="8" s="1"/>
  <c r="M1092" i="8"/>
  <c r="M1093" i="8" s="1"/>
  <c r="M720" i="2"/>
  <c r="M1124" i="8" s="1"/>
  <c r="M1125" i="8" s="1"/>
  <c r="P696" i="8"/>
  <c r="P697" i="8" s="1"/>
  <c r="P321" i="2"/>
  <c r="P728" i="8" s="1"/>
  <c r="P729" i="8" s="1"/>
  <c r="X696" i="8"/>
  <c r="X697" i="8" s="1"/>
  <c r="X321" i="2"/>
  <c r="X728" i="8" s="1"/>
  <c r="X729" i="8" s="1"/>
  <c r="X704" i="8"/>
  <c r="X705" i="8" s="1"/>
  <c r="X323" i="2"/>
  <c r="X736" i="8" s="1"/>
  <c r="X737" i="8" s="1"/>
  <c r="P704" i="8"/>
  <c r="P705" i="8" s="1"/>
  <c r="P323" i="2"/>
  <c r="P736" i="8" s="1"/>
  <c r="P737" i="8" s="1"/>
  <c r="Q1196" i="8"/>
  <c r="Q1197" i="8" s="1"/>
  <c r="Q793" i="2"/>
  <c r="Q1352" i="8" s="1"/>
  <c r="Q1353" i="8" s="1"/>
  <c r="Q764" i="2"/>
  <c r="Q1268" i="8" s="1"/>
  <c r="Q1269" i="8" s="1"/>
  <c r="P892" i="8"/>
  <c r="P893" i="8" s="1"/>
  <c r="P387" i="2"/>
  <c r="P932" i="8" s="1"/>
  <c r="P933" i="8" s="1"/>
  <c r="AC1116" i="8"/>
  <c r="AC1117" i="8" s="1"/>
  <c r="AC726" i="2"/>
  <c r="AC1148" i="8" s="1"/>
  <c r="AC1149" i="8" s="1"/>
  <c r="T1116" i="8"/>
  <c r="T1117" i="8" s="1"/>
  <c r="T726" i="2"/>
  <c r="T1148" i="8" s="1"/>
  <c r="T1149" i="8" s="1"/>
  <c r="M720" i="8"/>
  <c r="M721" i="8" s="1"/>
  <c r="M327" i="2"/>
  <c r="M752" i="8" s="1"/>
  <c r="M753" i="8" s="1"/>
  <c r="N1272" i="8"/>
  <c r="N1273" i="8" s="1"/>
  <c r="N788" i="2"/>
  <c r="N1336" i="8" s="1"/>
  <c r="N1337" i="8" s="1"/>
  <c r="R1100" i="8"/>
  <c r="R1101" i="8" s="1"/>
  <c r="R722" i="2"/>
  <c r="R1132" i="8" s="1"/>
  <c r="R1133" i="8" s="1"/>
  <c r="P700" i="8"/>
  <c r="P701" i="8" s="1"/>
  <c r="P322" i="2"/>
  <c r="P732" i="8" s="1"/>
  <c r="P733" i="8" s="1"/>
  <c r="Q1176" i="8"/>
  <c r="Q1177" i="8" s="1"/>
  <c r="Q757" i="2"/>
  <c r="T692" i="8"/>
  <c r="T693" i="8" s="1"/>
  <c r="T320" i="2"/>
  <c r="T724" i="8" s="1"/>
  <c r="T725" i="8" s="1"/>
  <c r="S1216" i="8"/>
  <c r="S1217" i="8" s="1"/>
  <c r="S769" i="2"/>
  <c r="S1288" i="8" s="1"/>
  <c r="S1289" i="8" s="1"/>
  <c r="S798" i="2"/>
  <c r="S1372" i="8" s="1"/>
  <c r="S1373" i="8" s="1"/>
  <c r="R784" i="8"/>
  <c r="R785" i="8" s="1"/>
  <c r="R359" i="2"/>
  <c r="R856" i="8" s="1"/>
  <c r="R857" i="8" s="1"/>
  <c r="T812" i="8"/>
  <c r="T813" i="8" s="1"/>
  <c r="T397" i="2"/>
  <c r="T968" i="8" s="1"/>
  <c r="T969" i="8" s="1"/>
  <c r="T368" i="2"/>
  <c r="T884" i="8" s="1"/>
  <c r="T885" i="8" s="1"/>
  <c r="Q387" i="2"/>
  <c r="Q932" i="8" s="1"/>
  <c r="Q933" i="8" s="1"/>
  <c r="AE1096" i="8"/>
  <c r="AE1097" i="8" s="1"/>
  <c r="AE721" i="2"/>
  <c r="AE1128" i="8" s="1"/>
  <c r="AE1129" i="8" s="1"/>
  <c r="Q1092" i="8"/>
  <c r="Q1093" i="8" s="1"/>
  <c r="Q720" i="2"/>
  <c r="Q1124" i="8" s="1"/>
  <c r="Q1125" i="8" s="1"/>
  <c r="AA1100" i="8"/>
  <c r="AA1101" i="8" s="1"/>
  <c r="AA722" i="2"/>
  <c r="AA1132" i="8" s="1"/>
  <c r="AA1133" i="8" s="1"/>
  <c r="R399" i="2"/>
  <c r="R976" i="8" s="1"/>
  <c r="R977" i="8" s="1"/>
  <c r="R820" i="8"/>
  <c r="R821" i="8" s="1"/>
  <c r="R370" i="2"/>
  <c r="R892" i="8" s="1"/>
  <c r="R893" i="8" s="1"/>
  <c r="P1088" i="8"/>
  <c r="P1089" i="8" s="1"/>
  <c r="P719" i="2"/>
  <c r="P1120" i="8" s="1"/>
  <c r="P1121" i="8" s="1"/>
  <c r="R1208" i="8"/>
  <c r="R1209" i="8" s="1"/>
  <c r="R767" i="2"/>
  <c r="R1280" i="8" s="1"/>
  <c r="R1281" i="8" s="1"/>
  <c r="R796" i="2"/>
  <c r="R1364" i="8" s="1"/>
  <c r="R1365" i="8" s="1"/>
  <c r="Z1092" i="8"/>
  <c r="Z1093" i="8" s="1"/>
  <c r="Z720" i="2"/>
  <c r="Z1124" i="8" s="1"/>
  <c r="Z1125" i="8" s="1"/>
  <c r="S1092" i="8"/>
  <c r="S1093" i="8" s="1"/>
  <c r="S720" i="2"/>
  <c r="S1124" i="8" s="1"/>
  <c r="S1125" i="8" s="1"/>
  <c r="W696" i="8"/>
  <c r="W697" i="8" s="1"/>
  <c r="W321" i="2"/>
  <c r="W728" i="8" s="1"/>
  <c r="W729" i="8" s="1"/>
  <c r="Y704" i="8"/>
  <c r="Y705" i="8" s="1"/>
  <c r="Y323" i="2"/>
  <c r="Y736" i="8" s="1"/>
  <c r="Y737" i="8" s="1"/>
  <c r="AC704" i="8"/>
  <c r="AC705" i="8" s="1"/>
  <c r="AC323" i="2"/>
  <c r="AC736" i="8" s="1"/>
  <c r="AC737" i="8" s="1"/>
  <c r="R1000" i="8"/>
  <c r="R1001" i="8" s="1"/>
  <c r="R731" i="2"/>
  <c r="S677" i="2"/>
  <c r="R742" i="2"/>
  <c r="P378" i="2"/>
  <c r="P916" i="8" s="1"/>
  <c r="P917" i="8" s="1"/>
  <c r="Q1116" i="8"/>
  <c r="Q1117" i="8" s="1"/>
  <c r="Q726" i="2"/>
  <c r="Q1148" i="8" s="1"/>
  <c r="Q1149" i="8" s="1"/>
  <c r="N892" i="8"/>
  <c r="N893" i="8" s="1"/>
  <c r="N387" i="2"/>
  <c r="N932" i="8" s="1"/>
  <c r="N933" i="8" s="1"/>
  <c r="AA327" i="2"/>
  <c r="AA752" i="8" s="1"/>
  <c r="AA753" i="8" s="1"/>
  <c r="AA720" i="8"/>
  <c r="AA721" i="8" s="1"/>
  <c r="Y1100" i="8"/>
  <c r="Y1101" i="8" s="1"/>
  <c r="Y722" i="2"/>
  <c r="Y1132" i="8" s="1"/>
  <c r="Y1133" i="8" s="1"/>
  <c r="Q1100" i="8"/>
  <c r="Q1101" i="8" s="1"/>
  <c r="Q722" i="2"/>
  <c r="Q1132" i="8" s="1"/>
  <c r="Q1133" i="8" s="1"/>
  <c r="N700" i="8"/>
  <c r="N701" i="8" s="1"/>
  <c r="N322" i="2"/>
  <c r="N732" i="8" s="1"/>
  <c r="N733" i="8" s="1"/>
  <c r="R1016" i="8"/>
  <c r="R1017" i="8" s="1"/>
  <c r="R746" i="2"/>
  <c r="S681" i="2"/>
  <c r="R735" i="2"/>
  <c r="AA692" i="8"/>
  <c r="AA693" i="8" s="1"/>
  <c r="AA320" i="2"/>
  <c r="AA724" i="8" s="1"/>
  <c r="AA725" i="8" s="1"/>
  <c r="T1020" i="8"/>
  <c r="T1021" i="8" s="1"/>
  <c r="U682" i="2"/>
  <c r="T747" i="2"/>
  <c r="T736" i="2"/>
  <c r="S624" i="8"/>
  <c r="S625" i="8" s="1"/>
  <c r="T283" i="2"/>
  <c r="S348" i="2"/>
  <c r="S337" i="2"/>
  <c r="Q1164" i="8"/>
  <c r="Q1165" i="8" s="1"/>
  <c r="Q754" i="2"/>
  <c r="Q1236" i="8" s="1"/>
  <c r="Q1237" i="8" s="1"/>
  <c r="R756" i="8"/>
  <c r="R757" i="8" s="1"/>
  <c r="R352" i="2"/>
  <c r="U616" i="8"/>
  <c r="U617" i="8" s="1"/>
  <c r="V281" i="2"/>
  <c r="U335" i="2"/>
  <c r="U346" i="2"/>
  <c r="S1096" i="8"/>
  <c r="S1097" i="8" s="1"/>
  <c r="S721" i="2"/>
  <c r="S1128" i="8" s="1"/>
  <c r="S1129" i="8" s="1"/>
  <c r="AA1096" i="8"/>
  <c r="AA1097" i="8" s="1"/>
  <c r="AA721" i="2"/>
  <c r="AA1128" i="8" s="1"/>
  <c r="AA1129" i="8" s="1"/>
  <c r="AD704" i="8"/>
  <c r="AD705" i="8" s="1"/>
  <c r="AD323" i="2"/>
  <c r="AD736" i="8" s="1"/>
  <c r="AD737" i="8" s="1"/>
  <c r="R1172" i="8"/>
  <c r="R1173" i="8" s="1"/>
  <c r="R756" i="2"/>
  <c r="R1244" i="8" s="1"/>
  <c r="R1245" i="8" s="1"/>
  <c r="R1092" i="8"/>
  <c r="R1093" i="8" s="1"/>
  <c r="R720" i="2"/>
  <c r="R1124" i="8" s="1"/>
  <c r="R1125" i="8" s="1"/>
  <c r="O696" i="8"/>
  <c r="O697" i="8" s="1"/>
  <c r="O321" i="2"/>
  <c r="O728" i="8" s="1"/>
  <c r="O729" i="8" s="1"/>
  <c r="V696" i="8"/>
  <c r="V697" i="8" s="1"/>
  <c r="V321" i="2"/>
  <c r="V728" i="8" s="1"/>
  <c r="V729" i="8" s="1"/>
  <c r="O704" i="8"/>
  <c r="O705" i="8" s="1"/>
  <c r="O323" i="2"/>
  <c r="O736" i="8" s="1"/>
  <c r="O737" i="8" s="1"/>
  <c r="O892" i="8"/>
  <c r="O893" i="8" s="1"/>
  <c r="O387" i="2"/>
  <c r="O932" i="8" s="1"/>
  <c r="O933" i="8" s="1"/>
  <c r="L828" i="8"/>
  <c r="L829" i="8" s="1"/>
  <c r="L360" i="2"/>
  <c r="L860" i="8" s="1"/>
  <c r="L861" i="8" s="1"/>
  <c r="Q1200" i="8"/>
  <c r="Q1201" i="8" s="1"/>
  <c r="Q765" i="2"/>
  <c r="Q1272" i="8" s="1"/>
  <c r="Q1273" i="8" s="1"/>
  <c r="Q794" i="2"/>
  <c r="Q1356" i="8" s="1"/>
  <c r="Q1357" i="8" s="1"/>
  <c r="S596" i="8"/>
  <c r="S597" i="8" s="1"/>
  <c r="S341" i="2"/>
  <c r="T276" i="2"/>
  <c r="S330" i="2"/>
  <c r="T776" i="8"/>
  <c r="T777" i="8" s="1"/>
  <c r="T357" i="2"/>
  <c r="T848" i="8" s="1"/>
  <c r="T849" i="8" s="1"/>
  <c r="T1096" i="8"/>
  <c r="T1097" i="8" s="1"/>
  <c r="T721" i="2"/>
  <c r="T1128" i="8" s="1"/>
  <c r="T1129" i="8" s="1"/>
  <c r="Z1096" i="8"/>
  <c r="Z1097" i="8" s="1"/>
  <c r="Z721" i="2"/>
  <c r="Z1128" i="8" s="1"/>
  <c r="Z1129" i="8" s="1"/>
  <c r="N720" i="8"/>
  <c r="N721" i="8" s="1"/>
  <c r="N327" i="2"/>
  <c r="N752" i="8" s="1"/>
  <c r="N753" i="8" s="1"/>
  <c r="S604" i="8"/>
  <c r="S605" i="8" s="1"/>
  <c r="T278" i="2"/>
  <c r="S332" i="2"/>
  <c r="S343" i="2"/>
  <c r="X1092" i="8"/>
  <c r="X1093" i="8" s="1"/>
  <c r="X720" i="2"/>
  <c r="X1124" i="8" s="1"/>
  <c r="X1125" i="8" s="1"/>
  <c r="N696" i="8"/>
  <c r="N697" i="8" s="1"/>
  <c r="N321" i="2"/>
  <c r="N728" i="8" s="1"/>
  <c r="N729" i="8" s="1"/>
  <c r="Q768" i="8"/>
  <c r="Q769" i="8" s="1"/>
  <c r="Q355" i="2"/>
  <c r="Q840" i="8" s="1"/>
  <c r="Q841" i="8" s="1"/>
  <c r="V704" i="8"/>
  <c r="V705" i="8" s="1"/>
  <c r="V323" i="2"/>
  <c r="V736" i="8" s="1"/>
  <c r="V737" i="8" s="1"/>
  <c r="M892" i="8"/>
  <c r="M893" i="8" s="1"/>
  <c r="M387" i="2"/>
  <c r="M932" i="8" s="1"/>
  <c r="M933" i="8" s="1"/>
  <c r="R1004" i="8"/>
  <c r="R1005" i="8" s="1"/>
  <c r="S678" i="2"/>
  <c r="R743" i="2"/>
  <c r="R732" i="2"/>
  <c r="R792" i="8"/>
  <c r="R793" i="8" s="1"/>
  <c r="R363" i="2"/>
  <c r="R392" i="2"/>
  <c r="P1096" i="8"/>
  <c r="P1097" i="8" s="1"/>
  <c r="P721" i="2"/>
  <c r="P1128" i="8" s="1"/>
  <c r="P1129" i="8" s="1"/>
  <c r="Y1096" i="8"/>
  <c r="Y1097" i="8" s="1"/>
  <c r="Y721" i="2"/>
  <c r="Y1128" i="8" s="1"/>
  <c r="Y1129" i="8" s="1"/>
  <c r="M386" i="2"/>
  <c r="M928" i="8" s="1"/>
  <c r="M929" i="8" s="1"/>
  <c r="M1088" i="8"/>
  <c r="M1089" i="8" s="1"/>
  <c r="M719" i="2"/>
  <c r="M1120" i="8" s="1"/>
  <c r="M1121" i="8" s="1"/>
  <c r="U692" i="8"/>
  <c r="U693" i="8" s="1"/>
  <c r="U320" i="2"/>
  <c r="U724" i="8" s="1"/>
  <c r="U725" i="8" s="1"/>
  <c r="V322" i="2"/>
  <c r="V732" i="8" s="1"/>
  <c r="V733" i="8" s="1"/>
  <c r="V700" i="8"/>
  <c r="V701" i="8" s="1"/>
  <c r="M1260" i="8"/>
  <c r="M1261" i="8" s="1"/>
  <c r="M785" i="2"/>
  <c r="M1324" i="8" s="1"/>
  <c r="M1325" i="8" s="1"/>
  <c r="T696" i="8"/>
  <c r="T697" i="8" s="1"/>
  <c r="T321" i="2"/>
  <c r="T728" i="8" s="1"/>
  <c r="T729" i="8" s="1"/>
  <c r="L785" i="2"/>
  <c r="L1324" i="8" s="1"/>
  <c r="L1325" i="8" s="1"/>
  <c r="AB1100" i="8"/>
  <c r="AB1101" i="8" s="1"/>
  <c r="AB722" i="2"/>
  <c r="AB1132" i="8" s="1"/>
  <c r="AB1133" i="8" s="1"/>
  <c r="X692" i="8"/>
  <c r="X693" i="8" s="1"/>
  <c r="X320" i="2"/>
  <c r="X724" i="8" s="1"/>
  <c r="X725" i="8" s="1"/>
  <c r="T314" i="2"/>
  <c r="U314" i="2"/>
  <c r="V314" i="2"/>
  <c r="W314" i="2"/>
  <c r="L314" i="2"/>
  <c r="AD314" i="2"/>
  <c r="M314" i="2"/>
  <c r="AE314" i="2"/>
  <c r="N314" i="2"/>
  <c r="O314" i="2"/>
  <c r="P314" i="2"/>
  <c r="S314" i="2"/>
  <c r="X314" i="2"/>
  <c r="Y314" i="2"/>
  <c r="Z314" i="2"/>
  <c r="AA314" i="2"/>
  <c r="AC314" i="2"/>
  <c r="AB314" i="2"/>
  <c r="Q314" i="2"/>
  <c r="R314" i="2"/>
  <c r="P367" i="2"/>
  <c r="N367" i="2"/>
  <c r="O367" i="2"/>
  <c r="M367" i="2"/>
  <c r="L367" i="2"/>
  <c r="L371" i="2" s="1"/>
  <c r="L896" i="8" s="1"/>
  <c r="L897" i="8" s="1"/>
  <c r="Q367" i="2"/>
  <c r="Q880" i="8" s="1"/>
  <c r="Q881" i="8" s="1"/>
  <c r="R367" i="2"/>
  <c r="R880" i="8" s="1"/>
  <c r="R881" i="8" s="1"/>
  <c r="P360" i="2"/>
  <c r="P860" i="8" s="1"/>
  <c r="P861" i="8" s="1"/>
  <c r="AD1096" i="8"/>
  <c r="AD1097" i="8" s="1"/>
  <c r="AD721" i="2"/>
  <c r="AD1128" i="8" s="1"/>
  <c r="AD1129" i="8" s="1"/>
  <c r="V1096" i="8"/>
  <c r="V1097" i="8" s="1"/>
  <c r="V721" i="2"/>
  <c r="V1128" i="8" s="1"/>
  <c r="V1129" i="8" s="1"/>
  <c r="V1116" i="8"/>
  <c r="V1117" i="8" s="1"/>
  <c r="V726" i="2"/>
  <c r="V1148" i="8" s="1"/>
  <c r="V1149" i="8" s="1"/>
  <c r="O715" i="2"/>
  <c r="AC715" i="2"/>
  <c r="P715" i="2"/>
  <c r="AD715" i="2"/>
  <c r="L715" i="2"/>
  <c r="AB715" i="2"/>
  <c r="M715" i="2"/>
  <c r="AE715" i="2"/>
  <c r="N715" i="2"/>
  <c r="Q715" i="2"/>
  <c r="AA715" i="2"/>
  <c r="S715" i="2"/>
  <c r="V715" i="2"/>
  <c r="W715" i="2"/>
  <c r="X715" i="2"/>
  <c r="Y715" i="2"/>
  <c r="Z715" i="2"/>
  <c r="R715" i="2"/>
  <c r="T715" i="2"/>
  <c r="U715" i="2"/>
  <c r="N768" i="2"/>
  <c r="N1284" i="8" s="1"/>
  <c r="N1285" i="8" s="1"/>
  <c r="M768" i="2"/>
  <c r="M1284" i="8" s="1"/>
  <c r="M1285" i="8" s="1"/>
  <c r="L768" i="2"/>
  <c r="L1284" i="8" s="1"/>
  <c r="L1285" i="8" s="1"/>
  <c r="O768" i="2"/>
  <c r="O1284" i="8" s="1"/>
  <c r="O1285" i="8" s="1"/>
  <c r="L1088" i="8"/>
  <c r="L1089" i="8" s="1"/>
  <c r="L719" i="2"/>
  <c r="L1120" i="8" s="1"/>
  <c r="L1121" i="8" s="1"/>
  <c r="P774" i="2"/>
  <c r="P1300" i="8" s="1"/>
  <c r="P1301" i="8" s="1"/>
  <c r="W1092" i="8"/>
  <c r="W1093" i="8" s="1"/>
  <c r="W720" i="2"/>
  <c r="W1124" i="8" s="1"/>
  <c r="W1125" i="8" s="1"/>
  <c r="M696" i="8"/>
  <c r="M697" i="8" s="1"/>
  <c r="M321" i="2"/>
  <c r="M728" i="8" s="1"/>
  <c r="M729" i="8" s="1"/>
  <c r="Q804" i="8"/>
  <c r="Q805" i="8" s="1"/>
  <c r="Q366" i="2"/>
  <c r="Q876" i="8" s="1"/>
  <c r="Q877" i="8" s="1"/>
  <c r="Q395" i="2"/>
  <c r="Q960" i="8" s="1"/>
  <c r="Q961" i="8" s="1"/>
  <c r="L704" i="8"/>
  <c r="L705" i="8" s="1"/>
  <c r="L323" i="2"/>
  <c r="L736" i="8" s="1"/>
  <c r="L737" i="8" s="1"/>
  <c r="N1116" i="8"/>
  <c r="N1117" i="8" s="1"/>
  <c r="N726" i="2"/>
  <c r="N1148" i="8" s="1"/>
  <c r="N1149" i="8" s="1"/>
  <c r="AE720" i="8"/>
  <c r="AE721" i="8" s="1"/>
  <c r="AE327" i="2"/>
  <c r="AE752" i="8" s="1"/>
  <c r="AE753" i="8" s="1"/>
  <c r="T720" i="8"/>
  <c r="T721" i="8" s="1"/>
  <c r="T327" i="2"/>
  <c r="T752" i="8" s="1"/>
  <c r="T753" i="8" s="1"/>
  <c r="W1100" i="8"/>
  <c r="W1101" i="8" s="1"/>
  <c r="W722" i="2"/>
  <c r="W1132" i="8" s="1"/>
  <c r="W1133" i="8" s="1"/>
  <c r="T322" i="2"/>
  <c r="T732" i="8" s="1"/>
  <c r="T733" i="8" s="1"/>
  <c r="T700" i="8"/>
  <c r="T701" i="8" s="1"/>
  <c r="Q1260" i="8"/>
  <c r="Q1261" i="8" s="1"/>
  <c r="S713" i="2"/>
  <c r="T713" i="2"/>
  <c r="Z713" i="2"/>
  <c r="AA713" i="2"/>
  <c r="L713" i="2"/>
  <c r="AB713" i="2"/>
  <c r="M713" i="2"/>
  <c r="AC713" i="2"/>
  <c r="AE713" i="2"/>
  <c r="N713" i="2"/>
  <c r="O713" i="2"/>
  <c r="Q713" i="2"/>
  <c r="Y713" i="2"/>
  <c r="AD713" i="2"/>
  <c r="U713" i="2"/>
  <c r="P713" i="2"/>
  <c r="R713" i="2"/>
  <c r="V713" i="2"/>
  <c r="X713" i="2"/>
  <c r="W713" i="2"/>
  <c r="N766" i="2"/>
  <c r="O766" i="2"/>
  <c r="P766" i="2"/>
  <c r="P770" i="2" s="1"/>
  <c r="P1292" i="8" s="1"/>
  <c r="P1293" i="8" s="1"/>
  <c r="M766" i="2"/>
  <c r="O1260" i="8"/>
  <c r="O1261" i="8" s="1"/>
  <c r="O785" i="2"/>
  <c r="O1324" i="8" s="1"/>
  <c r="O1325" i="8" s="1"/>
  <c r="AE1088" i="8"/>
  <c r="AE1089" i="8" s="1"/>
  <c r="AE719" i="2"/>
  <c r="AE1120" i="8" s="1"/>
  <c r="AE1121" i="8" s="1"/>
  <c r="T1092" i="8"/>
  <c r="T1093" i="8" s="1"/>
  <c r="T720" i="2"/>
  <c r="T1124" i="8" s="1"/>
  <c r="T1125" i="8" s="1"/>
  <c r="S696" i="8"/>
  <c r="S697" i="8" s="1"/>
  <c r="S321" i="2"/>
  <c r="S728" i="8" s="1"/>
  <c r="S729" i="8" s="1"/>
  <c r="L378" i="2"/>
  <c r="L916" i="8" s="1"/>
  <c r="L917" i="8" s="1"/>
  <c r="R608" i="8"/>
  <c r="R609" i="8" s="1"/>
  <c r="S279" i="2"/>
  <c r="R344" i="2"/>
  <c r="R333" i="2"/>
  <c r="U704" i="8"/>
  <c r="U705" i="8" s="1"/>
  <c r="U323" i="2"/>
  <c r="U736" i="8" s="1"/>
  <c r="U737" i="8" s="1"/>
  <c r="L1352" i="8"/>
  <c r="L1353" i="8" s="1"/>
  <c r="L799" i="2"/>
  <c r="L1376" i="8" s="1"/>
  <c r="L1377" i="8" s="1"/>
  <c r="L1232" i="8"/>
  <c r="L1233" i="8" s="1"/>
  <c r="L759" i="2"/>
  <c r="L1256" i="8" s="1"/>
  <c r="L1257" i="8" s="1"/>
  <c r="M1116" i="8"/>
  <c r="M1117" i="8" s="1"/>
  <c r="M726" i="2"/>
  <c r="M1148" i="8" s="1"/>
  <c r="M1149" i="8" s="1"/>
  <c r="AC720" i="8"/>
  <c r="AC721" i="8" s="1"/>
  <c r="AC327" i="2"/>
  <c r="AC752" i="8" s="1"/>
  <c r="AC753" i="8" s="1"/>
  <c r="S720" i="8"/>
  <c r="S721" i="8" s="1"/>
  <c r="S327" i="2"/>
  <c r="S752" i="8" s="1"/>
  <c r="S753" i="8" s="1"/>
  <c r="V1100" i="8"/>
  <c r="V1101" i="8" s="1"/>
  <c r="V722" i="2"/>
  <c r="V1132" i="8" s="1"/>
  <c r="V1133" i="8" s="1"/>
  <c r="N1100" i="8"/>
  <c r="N1101" i="8" s="1"/>
  <c r="N722" i="2"/>
  <c r="N1132" i="8" s="1"/>
  <c r="N1133" i="8" s="1"/>
  <c r="O1296" i="8"/>
  <c r="O1297" i="8" s="1"/>
  <c r="O778" i="2"/>
  <c r="O1316" i="8" s="1"/>
  <c r="O1317" i="8" s="1"/>
  <c r="S700" i="8"/>
  <c r="S701" i="8" s="1"/>
  <c r="S322" i="2"/>
  <c r="S732" i="8" s="1"/>
  <c r="S733" i="8" s="1"/>
  <c r="Q748" i="2"/>
  <c r="Q1220" i="8" s="1"/>
  <c r="Q1221" i="8" s="1"/>
  <c r="N864" i="8"/>
  <c r="N865" i="8" s="1"/>
  <c r="N386" i="2"/>
  <c r="N928" i="8" s="1"/>
  <c r="N929" i="8" s="1"/>
  <c r="AE692" i="8"/>
  <c r="AE693" i="8" s="1"/>
  <c r="AE320" i="2"/>
  <c r="AE724" i="8" s="1"/>
  <c r="AE725" i="8" s="1"/>
  <c r="P316" i="2"/>
  <c r="AD316" i="2"/>
  <c r="Q316" i="2"/>
  <c r="AE316" i="2"/>
  <c r="R316" i="2"/>
  <c r="S316" i="2"/>
  <c r="X316" i="2"/>
  <c r="Y316" i="2"/>
  <c r="Z316" i="2"/>
  <c r="AA316" i="2"/>
  <c r="AB316" i="2"/>
  <c r="L316" i="2"/>
  <c r="M316" i="2"/>
  <c r="O316" i="2"/>
  <c r="AC316" i="2"/>
  <c r="N316" i="2"/>
  <c r="T316" i="2"/>
  <c r="U316" i="2"/>
  <c r="V316" i="2"/>
  <c r="M369" i="2"/>
  <c r="M888" i="8" s="1"/>
  <c r="M889" i="8" s="1"/>
  <c r="W316" i="2"/>
  <c r="N369" i="2"/>
  <c r="N888" i="8" s="1"/>
  <c r="N889" i="8" s="1"/>
  <c r="O369" i="2"/>
  <c r="O888" i="8" s="1"/>
  <c r="O889" i="8" s="1"/>
  <c r="L369" i="2"/>
  <c r="L888" i="8" s="1"/>
  <c r="L889" i="8" s="1"/>
  <c r="Q1192" i="8"/>
  <c r="Q1193" i="8" s="1"/>
  <c r="Q763" i="2"/>
  <c r="Q1264" i="8" s="1"/>
  <c r="Q1265" i="8" s="1"/>
  <c r="Q792" i="2"/>
  <c r="Q1348" i="8" s="1"/>
  <c r="Q1349" i="8" s="1"/>
  <c r="T600" i="8"/>
  <c r="T601" i="8" s="1"/>
  <c r="U277" i="2"/>
  <c r="T342" i="2"/>
  <c r="T331" i="2"/>
  <c r="Q376" i="2"/>
  <c r="Q908" i="8" s="1"/>
  <c r="Q909" i="8" s="1"/>
  <c r="AC1096" i="8"/>
  <c r="AC1097" i="8" s="1"/>
  <c r="AC721" i="2"/>
  <c r="AC1128" i="8" s="1"/>
  <c r="AC1129" i="8" s="1"/>
  <c r="X1096" i="8"/>
  <c r="X1097" i="8" s="1"/>
  <c r="X721" i="2"/>
  <c r="X1128" i="8" s="1"/>
  <c r="X1129" i="8" s="1"/>
  <c r="X1088" i="8"/>
  <c r="X1089" i="8" s="1"/>
  <c r="X719" i="2"/>
  <c r="X1120" i="8" s="1"/>
  <c r="X1121" i="8" s="1"/>
  <c r="AC1092" i="8"/>
  <c r="AC1093" i="8" s="1"/>
  <c r="AC720" i="2"/>
  <c r="AC1124" i="8" s="1"/>
  <c r="AC1125" i="8" s="1"/>
  <c r="Z704" i="8"/>
  <c r="Z705" i="8" s="1"/>
  <c r="Z323" i="2"/>
  <c r="Z736" i="8" s="1"/>
  <c r="Z737" i="8" s="1"/>
  <c r="L1096" i="8"/>
  <c r="L1097" i="8" s="1"/>
  <c r="L721" i="2"/>
  <c r="L1128" i="8" s="1"/>
  <c r="L1129" i="8" s="1"/>
  <c r="L900" i="8"/>
  <c r="L901" i="8" s="1"/>
  <c r="L379" i="2"/>
  <c r="L920" i="8" s="1"/>
  <c r="L921" i="8" s="1"/>
  <c r="Z327" i="2"/>
  <c r="Z752" i="8" s="1"/>
  <c r="Z753" i="8" s="1"/>
  <c r="Z720" i="8"/>
  <c r="Z721" i="8" s="1"/>
  <c r="Z692" i="8"/>
  <c r="Z693" i="8" s="1"/>
  <c r="Z320" i="2"/>
  <c r="Z724" i="8" s="1"/>
  <c r="Z725" i="8" s="1"/>
  <c r="P1260" i="8"/>
  <c r="P1261" i="8" s="1"/>
  <c r="O1088" i="8"/>
  <c r="O1089" i="8" s="1"/>
  <c r="O719" i="2"/>
  <c r="O1120" i="8" s="1"/>
  <c r="O1121" i="8" s="1"/>
  <c r="U321" i="2"/>
  <c r="U728" i="8" s="1"/>
  <c r="U729" i="8" s="1"/>
  <c r="U696" i="8"/>
  <c r="U697" i="8" s="1"/>
  <c r="X1100" i="8"/>
  <c r="X1101" i="8" s="1"/>
  <c r="X722" i="2"/>
  <c r="X1132" i="8" s="1"/>
  <c r="X1133" i="8" s="1"/>
  <c r="S1008" i="8"/>
  <c r="S1009" i="8" s="1"/>
  <c r="S733" i="2"/>
  <c r="S744" i="2"/>
  <c r="T679" i="2"/>
  <c r="U1088" i="8"/>
  <c r="U1089" i="8" s="1"/>
  <c r="U719" i="2"/>
  <c r="U1120" i="8" s="1"/>
  <c r="U1121" i="8" s="1"/>
  <c r="P1092" i="8"/>
  <c r="P1093" i="8" s="1"/>
  <c r="P720" i="2"/>
  <c r="P1124" i="8" s="1"/>
  <c r="P1125" i="8" s="1"/>
  <c r="AE696" i="8"/>
  <c r="AE697" i="8" s="1"/>
  <c r="AE321" i="2"/>
  <c r="AE728" i="8" s="1"/>
  <c r="AE729" i="8" s="1"/>
  <c r="N704" i="8"/>
  <c r="N705" i="8" s="1"/>
  <c r="N323" i="2"/>
  <c r="N736" i="8" s="1"/>
  <c r="N737" i="8" s="1"/>
  <c r="R1168" i="8"/>
  <c r="R1169" i="8" s="1"/>
  <c r="R755" i="2"/>
  <c r="R1240" i="8" s="1"/>
  <c r="R1241" i="8" s="1"/>
  <c r="N1288" i="8"/>
  <c r="N1289" i="8" s="1"/>
  <c r="N786" i="2"/>
  <c r="N1328" i="8" s="1"/>
  <c r="N1329" i="8" s="1"/>
  <c r="AD1116" i="8"/>
  <c r="AD1117" i="8" s="1"/>
  <c r="AD726" i="2"/>
  <c r="AD1148" i="8" s="1"/>
  <c r="AD1149" i="8" s="1"/>
  <c r="R720" i="8"/>
  <c r="R721" i="8" s="1"/>
  <c r="R327" i="2"/>
  <c r="R752" i="8" s="1"/>
  <c r="R753" i="8" s="1"/>
  <c r="V720" i="8"/>
  <c r="V721" i="8" s="1"/>
  <c r="V327" i="2"/>
  <c r="V752" i="8" s="1"/>
  <c r="V753" i="8" s="1"/>
  <c r="R1152" i="8"/>
  <c r="R1153" i="8" s="1"/>
  <c r="R751" i="2"/>
  <c r="P1100" i="8"/>
  <c r="P1101" i="8" s="1"/>
  <c r="P722" i="2"/>
  <c r="P1132" i="8" s="1"/>
  <c r="P1133" i="8" s="1"/>
  <c r="AE700" i="8"/>
  <c r="AE701" i="8" s="1"/>
  <c r="AE322" i="2"/>
  <c r="AE732" i="8" s="1"/>
  <c r="AE733" i="8" s="1"/>
  <c r="M700" i="8"/>
  <c r="M701" i="8" s="1"/>
  <c r="M322" i="2"/>
  <c r="M732" i="8" s="1"/>
  <c r="M733" i="8" s="1"/>
  <c r="R692" i="8"/>
  <c r="R693" i="8" s="1"/>
  <c r="R320" i="2"/>
  <c r="R724" i="8" s="1"/>
  <c r="R725" i="8" s="1"/>
  <c r="P692" i="8"/>
  <c r="P693" i="8" s="1"/>
  <c r="P320" i="2"/>
  <c r="P724" i="8" s="1"/>
  <c r="P725" i="8" s="1"/>
  <c r="Q338" i="2"/>
  <c r="Q788" i="8" s="1"/>
  <c r="Q789" i="8" s="1"/>
  <c r="P788" i="2"/>
  <c r="P1336" i="8" s="1"/>
  <c r="P1337" i="8" s="1"/>
  <c r="R1096" i="8"/>
  <c r="R1097" i="8" s="1"/>
  <c r="R721" i="2"/>
  <c r="R1128" i="8" s="1"/>
  <c r="R1129" i="8" s="1"/>
  <c r="O1116" i="8"/>
  <c r="O1117" i="8" s="1"/>
  <c r="O726" i="2"/>
  <c r="O1148" i="8" s="1"/>
  <c r="O1149" i="8" s="1"/>
  <c r="Q1088" i="8"/>
  <c r="Q1089" i="8" s="1"/>
  <c r="Q719" i="2"/>
  <c r="Q1120" i="8" s="1"/>
  <c r="Q1121" i="8" s="1"/>
  <c r="W704" i="8"/>
  <c r="W705" i="8" s="1"/>
  <c r="W323" i="2"/>
  <c r="W736" i="8" s="1"/>
  <c r="W737" i="8" s="1"/>
  <c r="Q1160" i="8"/>
  <c r="Q1161" i="8" s="1"/>
  <c r="Q753" i="2"/>
  <c r="Q1232" i="8" s="1"/>
  <c r="Q1233" i="8" s="1"/>
  <c r="Q1212" i="8"/>
  <c r="Q1213" i="8" s="1"/>
  <c r="Q768" i="2"/>
  <c r="Q1284" i="8" s="1"/>
  <c r="Q1285" i="8" s="1"/>
  <c r="Q797" i="2"/>
  <c r="Q1368" i="8" s="1"/>
  <c r="Q1369" i="8" s="1"/>
  <c r="P1116" i="8"/>
  <c r="P1117" i="8" s="1"/>
  <c r="P726" i="2"/>
  <c r="P1148" i="8" s="1"/>
  <c r="P1149" i="8" s="1"/>
  <c r="X714" i="2"/>
  <c r="Y714" i="2"/>
  <c r="S714" i="2"/>
  <c r="T714" i="2"/>
  <c r="U714" i="2"/>
  <c r="V714" i="2"/>
  <c r="AD714" i="2"/>
  <c r="AE714" i="2"/>
  <c r="L714" i="2"/>
  <c r="M714" i="2"/>
  <c r="N714" i="2"/>
  <c r="P714" i="2"/>
  <c r="O714" i="2"/>
  <c r="Q714" i="2"/>
  <c r="R714" i="2"/>
  <c r="Z714" i="2"/>
  <c r="AC714" i="2"/>
  <c r="W714" i="2"/>
  <c r="AA714" i="2"/>
  <c r="AB714" i="2"/>
  <c r="N767" i="2"/>
  <c r="N1280" i="8" s="1"/>
  <c r="N1281" i="8" s="1"/>
  <c r="O767" i="2"/>
  <c r="O1280" i="8" s="1"/>
  <c r="O1281" i="8" s="1"/>
  <c r="M767" i="2"/>
  <c r="M1280" i="8" s="1"/>
  <c r="M1281" i="8" s="1"/>
  <c r="P767" i="2"/>
  <c r="P1280" i="8" s="1"/>
  <c r="P1281" i="8" s="1"/>
  <c r="U1096" i="8"/>
  <c r="U1097" i="8" s="1"/>
  <c r="U721" i="2"/>
  <c r="U1128" i="8" s="1"/>
  <c r="U1129" i="8" s="1"/>
  <c r="V1088" i="8"/>
  <c r="V1089" i="8" s="1"/>
  <c r="V719" i="2"/>
  <c r="V1120" i="8" s="1"/>
  <c r="V1121" i="8" s="1"/>
  <c r="S704" i="8"/>
  <c r="S705" i="8" s="1"/>
  <c r="S323" i="2"/>
  <c r="S736" i="8" s="1"/>
  <c r="S737" i="8" s="1"/>
  <c r="R1204" i="8"/>
  <c r="R1205" i="8" s="1"/>
  <c r="R795" i="2"/>
  <c r="R1360" i="8" s="1"/>
  <c r="R1361" i="8" s="1"/>
  <c r="R766" i="2"/>
  <c r="R1276" i="8" s="1"/>
  <c r="R1277" i="8" s="1"/>
  <c r="L775" i="2"/>
  <c r="L1304" i="8" s="1"/>
  <c r="L1305" i="8" s="1"/>
  <c r="AB1096" i="8"/>
  <c r="AB1097" i="8" s="1"/>
  <c r="AB721" i="2"/>
  <c r="AB1128" i="8" s="1"/>
  <c r="AB1129" i="8" s="1"/>
  <c r="AC1088" i="8"/>
  <c r="AC1089" i="8" s="1"/>
  <c r="AC719" i="2"/>
  <c r="AC1120" i="8" s="1"/>
  <c r="AC1121" i="8" s="1"/>
  <c r="L948" i="8"/>
  <c r="L949" i="8" s="1"/>
  <c r="L400" i="2"/>
  <c r="L980" i="8" s="1"/>
  <c r="L981" i="8" s="1"/>
  <c r="Z1116" i="8"/>
  <c r="Z1117" i="8" s="1"/>
  <c r="Z726" i="2"/>
  <c r="Z1148" i="8" s="1"/>
  <c r="Z1149" i="8" s="1"/>
  <c r="AB720" i="8"/>
  <c r="AB721" i="8" s="1"/>
  <c r="AB327" i="2"/>
  <c r="AB752" i="8" s="1"/>
  <c r="AB753" i="8" s="1"/>
  <c r="U720" i="8"/>
  <c r="U721" i="8" s="1"/>
  <c r="U327" i="2"/>
  <c r="U752" i="8" s="1"/>
  <c r="U753" i="8" s="1"/>
  <c r="AC322" i="2"/>
  <c r="AC732" i="8" s="1"/>
  <c r="AC733" i="8" s="1"/>
  <c r="AC700" i="8"/>
  <c r="AC701" i="8" s="1"/>
  <c r="Z700" i="8"/>
  <c r="Z701" i="8" s="1"/>
  <c r="Z322" i="2"/>
  <c r="Z732" i="8" s="1"/>
  <c r="Z733" i="8" s="1"/>
  <c r="L692" i="8"/>
  <c r="L693" i="8" s="1"/>
  <c r="L320" i="2"/>
  <c r="L724" i="8" s="1"/>
  <c r="L725" i="8" s="1"/>
  <c r="AC692" i="8"/>
  <c r="AC693" i="8" s="1"/>
  <c r="AC320" i="2"/>
  <c r="AC724" i="8" s="1"/>
  <c r="AC725" i="8" s="1"/>
  <c r="Q828" i="8"/>
  <c r="Q829" i="8" s="1"/>
  <c r="Q948" i="8"/>
  <c r="Q949" i="8" s="1"/>
  <c r="Q1096" i="8"/>
  <c r="Q1097" i="8" s="1"/>
  <c r="Q721" i="2"/>
  <c r="Q1128" i="8" s="1"/>
  <c r="Q1129" i="8" s="1"/>
  <c r="Q1288" i="8"/>
  <c r="Q1289" i="8" s="1"/>
  <c r="Q786" i="2"/>
  <c r="Q1328" i="8" s="1"/>
  <c r="Q1329" i="8" s="1"/>
  <c r="S722" i="2"/>
  <c r="S1132" i="8" s="1"/>
  <c r="S1133" i="8" s="1"/>
  <c r="S1100" i="8"/>
  <c r="S1101" i="8" s="1"/>
  <c r="L773" i="2"/>
  <c r="Y1092" i="8"/>
  <c r="Y1093" i="8" s="1"/>
  <c r="Y720" i="2"/>
  <c r="Y1124" i="8" s="1"/>
  <c r="Y1125" i="8" s="1"/>
  <c r="Z1100" i="8"/>
  <c r="Z1101" i="8" s="1"/>
  <c r="Z722" i="2"/>
  <c r="Z1132" i="8" s="1"/>
  <c r="Z1133" i="8" s="1"/>
  <c r="U700" i="8"/>
  <c r="U701" i="8" s="1"/>
  <c r="U322" i="2"/>
  <c r="U732" i="8" s="1"/>
  <c r="U733" i="8" s="1"/>
  <c r="W1088" i="8"/>
  <c r="W1089" i="8" s="1"/>
  <c r="W719" i="2"/>
  <c r="W1120" i="8" s="1"/>
  <c r="W1121" i="8" s="1"/>
  <c r="L1116" i="8"/>
  <c r="L1117" i="8" s="1"/>
  <c r="L726" i="2"/>
  <c r="L1148" i="8" s="1"/>
  <c r="L1149" i="8" s="1"/>
  <c r="L720" i="8"/>
  <c r="L721" i="8" s="1"/>
  <c r="L327" i="2"/>
  <c r="L752" i="8" s="1"/>
  <c r="L753" i="8" s="1"/>
  <c r="R700" i="8"/>
  <c r="R701" i="8" s="1"/>
  <c r="R322" i="2"/>
  <c r="R732" i="8" s="1"/>
  <c r="R733" i="8" s="1"/>
  <c r="Q692" i="8"/>
  <c r="Q693" i="8" s="1"/>
  <c r="Q320" i="2"/>
  <c r="Q724" i="8" s="1"/>
  <c r="Q725" i="8" s="1"/>
  <c r="M1100" i="8"/>
  <c r="M1101" i="8" s="1"/>
  <c r="M722" i="2"/>
  <c r="M1132" i="8" s="1"/>
  <c r="M1133" i="8" s="1"/>
  <c r="T1088" i="8"/>
  <c r="T1089" i="8" s="1"/>
  <c r="T719" i="2"/>
  <c r="T1120" i="8" s="1"/>
  <c r="T1121" i="8" s="1"/>
  <c r="AE720" i="2"/>
  <c r="AE1124" i="8" s="1"/>
  <c r="AE1125" i="8" s="1"/>
  <c r="AE1092" i="8"/>
  <c r="AE1093" i="8" s="1"/>
  <c r="M704" i="8"/>
  <c r="M705" i="8" s="1"/>
  <c r="M323" i="2"/>
  <c r="M736" i="8" s="1"/>
  <c r="M737" i="8" s="1"/>
  <c r="S992" i="8"/>
  <c r="S993" i="8" s="1"/>
  <c r="T675" i="2"/>
  <c r="S729" i="2"/>
  <c r="S740" i="2"/>
  <c r="Z1088" i="8"/>
  <c r="Z1089" i="8" s="1"/>
  <c r="Z719" i="2"/>
  <c r="Z1120" i="8" s="1"/>
  <c r="Z1121" i="8" s="1"/>
  <c r="O1092" i="8"/>
  <c r="O1093" i="8" s="1"/>
  <c r="O720" i="2"/>
  <c r="O1124" i="8" s="1"/>
  <c r="O1125" i="8" s="1"/>
  <c r="Y1116" i="8"/>
  <c r="Y1117" i="8" s="1"/>
  <c r="Y726" i="2"/>
  <c r="Y1148" i="8" s="1"/>
  <c r="Y1149" i="8" s="1"/>
  <c r="Q375" i="2"/>
  <c r="Q904" i="8" s="1"/>
  <c r="Q905" i="8" s="1"/>
  <c r="Q864" i="8"/>
  <c r="Q865" i="8" s="1"/>
  <c r="O1096" i="8"/>
  <c r="O1097" i="8" s="1"/>
  <c r="O721" i="2"/>
  <c r="O1128" i="8" s="1"/>
  <c r="O1129" i="8" s="1"/>
  <c r="U1116" i="8"/>
  <c r="U1117" i="8" s="1"/>
  <c r="U726" i="2"/>
  <c r="U1148" i="8" s="1"/>
  <c r="U1149" i="8" s="1"/>
  <c r="AD700" i="8"/>
  <c r="AD701" i="8" s="1"/>
  <c r="AD322" i="2"/>
  <c r="AD732" i="8" s="1"/>
  <c r="AD733" i="8" s="1"/>
  <c r="S1180" i="8"/>
  <c r="S1181" i="8" s="1"/>
  <c r="S758" i="2"/>
  <c r="S1252" i="8" s="1"/>
  <c r="S1253" i="8" s="1"/>
  <c r="Q1224" i="8"/>
  <c r="Q1225" i="8" s="1"/>
  <c r="Q1344" i="8"/>
  <c r="Q1345" i="8" s="1"/>
  <c r="Y327" i="2"/>
  <c r="Y752" i="8" s="1"/>
  <c r="Y753" i="8" s="1"/>
  <c r="Y720" i="8"/>
  <c r="Y721" i="8" s="1"/>
  <c r="Y692" i="8"/>
  <c r="Y693" i="8" s="1"/>
  <c r="Y320" i="2"/>
  <c r="Y724" i="8" s="1"/>
  <c r="Y725" i="8" s="1"/>
  <c r="N1260" i="8"/>
  <c r="N1261" i="8" s="1"/>
  <c r="N785" i="2"/>
  <c r="N1324" i="8" s="1"/>
  <c r="N1325" i="8" s="1"/>
  <c r="P785" i="2"/>
  <c r="P1324" i="8" s="1"/>
  <c r="P1325" i="8" s="1"/>
  <c r="L1092" i="8"/>
  <c r="L1093" i="8" s="1"/>
  <c r="L720" i="2"/>
  <c r="L1124" i="8" s="1"/>
  <c r="L1125" i="8" s="1"/>
  <c r="O1288" i="8"/>
  <c r="O1289" i="8" s="1"/>
  <c r="O786" i="2"/>
  <c r="O1328" i="8" s="1"/>
  <c r="O1329" i="8" s="1"/>
  <c r="U722" i="2"/>
  <c r="U1132" i="8" s="1"/>
  <c r="U1133" i="8" s="1"/>
  <c r="U1100" i="8"/>
  <c r="U1101" i="8" s="1"/>
  <c r="Q1156" i="8"/>
  <c r="Q1157" i="8" s="1"/>
  <c r="Q752" i="2"/>
  <c r="Q1228" i="8" s="1"/>
  <c r="Q1229" i="8" s="1"/>
  <c r="S760" i="8"/>
  <c r="S761" i="8" s="1"/>
  <c r="S353" i="2"/>
  <c r="S832" i="8" s="1"/>
  <c r="S833" i="8" s="1"/>
  <c r="P799" i="2"/>
  <c r="P1376" i="8" s="1"/>
  <c r="P1377" i="8" s="1"/>
  <c r="L1260" i="8"/>
  <c r="L1261" i="8" s="1"/>
  <c r="L770" i="2"/>
  <c r="L1292" i="8" s="1"/>
  <c r="L1293" i="8" s="1"/>
  <c r="AB1092" i="8"/>
  <c r="AB1093" i="8" s="1"/>
  <c r="AB720" i="2"/>
  <c r="AB1124" i="8" s="1"/>
  <c r="AB1125" i="8" s="1"/>
  <c r="L696" i="8"/>
  <c r="L697" i="8" s="1"/>
  <c r="L321" i="2"/>
  <c r="L728" i="8" s="1"/>
  <c r="L729" i="8" s="1"/>
  <c r="P1288" i="8"/>
  <c r="P1289" i="8" s="1"/>
  <c r="P786" i="2"/>
  <c r="P1328" i="8" s="1"/>
  <c r="P1329" i="8" s="1"/>
  <c r="AE1116" i="8"/>
  <c r="AE1117" i="8" s="1"/>
  <c r="AE726" i="2"/>
  <c r="AE1148" i="8" s="1"/>
  <c r="AE1149" i="8" s="1"/>
  <c r="AD720" i="8"/>
  <c r="AD721" i="8" s="1"/>
  <c r="AD327" i="2"/>
  <c r="AD752" i="8" s="1"/>
  <c r="AD753" i="8" s="1"/>
  <c r="R1188" i="8"/>
  <c r="R1189" i="8" s="1"/>
  <c r="R791" i="2"/>
  <c r="R762" i="2"/>
  <c r="AB322" i="2"/>
  <c r="AB732" i="8" s="1"/>
  <c r="AB733" i="8" s="1"/>
  <c r="AB700" i="8"/>
  <c r="AB701" i="8" s="1"/>
  <c r="S692" i="8"/>
  <c r="S693" i="8" s="1"/>
  <c r="S320" i="2"/>
  <c r="S724" i="8" s="1"/>
  <c r="S725" i="8" s="1"/>
  <c r="AD692" i="8"/>
  <c r="AD693" i="8" s="1"/>
  <c r="AD320" i="2"/>
  <c r="AD724" i="8" s="1"/>
  <c r="AD725" i="8" s="1"/>
  <c r="S796" i="8"/>
  <c r="S797" i="8" s="1"/>
  <c r="S364" i="2"/>
  <c r="S868" i="8" s="1"/>
  <c r="S869" i="8" s="1"/>
  <c r="S393" i="2"/>
  <c r="S952" i="8" s="1"/>
  <c r="S953" i="8" s="1"/>
  <c r="Y1088" i="8"/>
  <c r="Y1089" i="8" s="1"/>
  <c r="Y719" i="2"/>
  <c r="Y1120" i="8" s="1"/>
  <c r="Y1121" i="8" s="1"/>
  <c r="AD696" i="8"/>
  <c r="AD697" i="8" s="1"/>
  <c r="AD321" i="2"/>
  <c r="AD728" i="8" s="1"/>
  <c r="AD729" i="8" s="1"/>
  <c r="N1296" i="8"/>
  <c r="N1297" i="8" s="1"/>
  <c r="N778" i="2"/>
  <c r="N1316" i="8" s="1"/>
  <c r="N1317" i="8" s="1"/>
  <c r="P900" i="8"/>
  <c r="P901" i="8" s="1"/>
  <c r="Q767" i="2"/>
  <c r="Q1280" i="8" s="1"/>
  <c r="Q1281" i="8" s="1"/>
  <c r="AA1116" i="8"/>
  <c r="AA1117" i="8" s="1"/>
  <c r="AA726" i="2"/>
  <c r="AA1148" i="8" s="1"/>
  <c r="AA1149" i="8" s="1"/>
  <c r="L1100" i="8"/>
  <c r="L1101" i="8" s="1"/>
  <c r="L722" i="2"/>
  <c r="L1132" i="8" s="1"/>
  <c r="L1133" i="8" s="1"/>
  <c r="AB1088" i="8"/>
  <c r="AB1089" i="8" s="1"/>
  <c r="AB719" i="2"/>
  <c r="AB1120" i="8" s="1"/>
  <c r="AB1121" i="8" s="1"/>
  <c r="AC696" i="8"/>
  <c r="AC697" i="8" s="1"/>
  <c r="AC321" i="2"/>
  <c r="AC728" i="8" s="1"/>
  <c r="AC729" i="8" s="1"/>
  <c r="N876" i="8"/>
  <c r="N877" i="8" s="1"/>
  <c r="N389" i="2"/>
  <c r="N940" i="8" s="1"/>
  <c r="N941" i="8" s="1"/>
  <c r="R704" i="8"/>
  <c r="R705" i="8" s="1"/>
  <c r="R323" i="2"/>
  <c r="R736" i="8" s="1"/>
  <c r="R737" i="8" s="1"/>
  <c r="L389" i="2"/>
  <c r="L940" i="8" s="1"/>
  <c r="L941" i="8" s="1"/>
  <c r="AB1116" i="8"/>
  <c r="AB1117" i="8" s="1"/>
  <c r="AB726" i="2"/>
  <c r="AB1148" i="8" s="1"/>
  <c r="AB1149" i="8" s="1"/>
  <c r="Q327" i="2"/>
  <c r="Q752" i="8" s="1"/>
  <c r="Q753" i="8" s="1"/>
  <c r="Q720" i="8"/>
  <c r="Q721" i="8" s="1"/>
  <c r="AE1100" i="8"/>
  <c r="AE1101" i="8" s="1"/>
  <c r="AE722" i="2"/>
  <c r="AE1132" i="8" s="1"/>
  <c r="AE1133" i="8" s="1"/>
  <c r="Q700" i="8"/>
  <c r="Q701" i="8" s="1"/>
  <c r="Q322" i="2"/>
  <c r="Q732" i="8" s="1"/>
  <c r="Q733" i="8" s="1"/>
  <c r="L700" i="8"/>
  <c r="L701" i="8" s="1"/>
  <c r="L322" i="2"/>
  <c r="L732" i="8" s="1"/>
  <c r="L733" i="8" s="1"/>
  <c r="M692" i="8"/>
  <c r="M693" i="8" s="1"/>
  <c r="M320" i="2"/>
  <c r="M724" i="8" s="1"/>
  <c r="M725" i="8" s="1"/>
  <c r="O692" i="8"/>
  <c r="O693" i="8" s="1"/>
  <c r="O320" i="2"/>
  <c r="O724" i="8" s="1"/>
  <c r="O725" i="8" s="1"/>
  <c r="P777" i="2"/>
  <c r="P1312" i="8" s="1"/>
  <c r="P1313" i="8" s="1"/>
  <c r="S1088" i="8"/>
  <c r="S1089" i="8" s="1"/>
  <c r="S719" i="2"/>
  <c r="S1120" i="8" s="1"/>
  <c r="S1121" i="8" s="1"/>
  <c r="N1088" i="8"/>
  <c r="N1089" i="8" s="1"/>
  <c r="N719" i="2"/>
  <c r="N1120" i="8" s="1"/>
  <c r="N1121" i="8" s="1"/>
  <c r="V1092" i="8"/>
  <c r="V1093" i="8" s="1"/>
  <c r="V720" i="2"/>
  <c r="V1124" i="8" s="1"/>
  <c r="V1125" i="8" s="1"/>
  <c r="AD720" i="2"/>
  <c r="AD1124" i="8" s="1"/>
  <c r="AD1125" i="8" s="1"/>
  <c r="AD1092" i="8"/>
  <c r="AD1093" i="8" s="1"/>
  <c r="AB696" i="8"/>
  <c r="AB697" i="8" s="1"/>
  <c r="AB321" i="2"/>
  <c r="AB728" i="8" s="1"/>
  <c r="AB729" i="8" s="1"/>
  <c r="AA696" i="8"/>
  <c r="AA697" i="8" s="1"/>
  <c r="AA321" i="2"/>
  <c r="AA728" i="8" s="1"/>
  <c r="AA729" i="8" s="1"/>
  <c r="AB704" i="8"/>
  <c r="AB705" i="8" s="1"/>
  <c r="AB323" i="2"/>
  <c r="AB736" i="8" s="1"/>
  <c r="AB737" i="8" s="1"/>
  <c r="AE704" i="8"/>
  <c r="AE705" i="8" s="1"/>
  <c r="AE323" i="2"/>
  <c r="AE736" i="8" s="1"/>
  <c r="AE737" i="8" s="1"/>
  <c r="P400" i="2"/>
  <c r="P980" i="8" s="1"/>
  <c r="P981" i="8" s="1"/>
  <c r="L864" i="8"/>
  <c r="L865" i="8" s="1"/>
  <c r="S1116" i="8"/>
  <c r="S1117" i="8" s="1"/>
  <c r="S726" i="2"/>
  <c r="S1148" i="8" s="1"/>
  <c r="S1149" i="8" s="1"/>
  <c r="X1116" i="8"/>
  <c r="X1117" i="8" s="1"/>
  <c r="X726" i="2"/>
  <c r="X1148" i="8" s="1"/>
  <c r="X1149" i="8" s="1"/>
  <c r="P720" i="8"/>
  <c r="P721" i="8" s="1"/>
  <c r="P327" i="2"/>
  <c r="P752" i="8" s="1"/>
  <c r="P753" i="8" s="1"/>
  <c r="M1272" i="8"/>
  <c r="M1273" i="8" s="1"/>
  <c r="M788" i="2"/>
  <c r="M1336" i="8" s="1"/>
  <c r="M1337" i="8" s="1"/>
  <c r="AD1100" i="8"/>
  <c r="AD1101" i="8" s="1"/>
  <c r="AD722" i="2"/>
  <c r="AD1132" i="8" s="1"/>
  <c r="AD1133" i="8" s="1"/>
  <c r="W700" i="8"/>
  <c r="W701" i="8" s="1"/>
  <c r="W322" i="2"/>
  <c r="W732" i="8" s="1"/>
  <c r="W733" i="8" s="1"/>
  <c r="Y700" i="8"/>
  <c r="Y701" i="8" s="1"/>
  <c r="Y322" i="2"/>
  <c r="Y732" i="8" s="1"/>
  <c r="Y733" i="8" s="1"/>
  <c r="R775" i="2"/>
  <c r="R1304" i="8" s="1"/>
  <c r="R1305" i="8" s="1"/>
  <c r="W692" i="8"/>
  <c r="W693" i="8" s="1"/>
  <c r="W320" i="2"/>
  <c r="W724" i="8" s="1"/>
  <c r="W725" i="8" s="1"/>
  <c r="AB692" i="8"/>
  <c r="AB693" i="8" s="1"/>
  <c r="AB320" i="2"/>
  <c r="AB724" i="8" s="1"/>
  <c r="AB725" i="8" s="1"/>
  <c r="R800" i="8"/>
  <c r="R801" i="8" s="1"/>
  <c r="R394" i="2"/>
  <c r="R956" i="8" s="1"/>
  <c r="R957" i="8" s="1"/>
  <c r="R365" i="2"/>
  <c r="R872" i="8" s="1"/>
  <c r="R873" i="8" s="1"/>
  <c r="M1296" i="8"/>
  <c r="M1297" i="8" s="1"/>
  <c r="M778" i="2"/>
  <c r="M1316" i="8" s="1"/>
  <c r="M1317" i="8" s="1"/>
  <c r="Q780" i="8"/>
  <c r="Q781" i="8" s="1"/>
  <c r="Q358" i="2"/>
  <c r="Q852" i="8" s="1"/>
  <c r="Q853" i="8" s="1"/>
  <c r="Q386" i="2"/>
  <c r="Q928" i="8" s="1"/>
  <c r="Q929" i="8" s="1"/>
  <c r="N1096" i="8"/>
  <c r="N1097" i="8" s="1"/>
  <c r="N721" i="2"/>
  <c r="N1128" i="8" s="1"/>
  <c r="N1129" i="8" s="1"/>
  <c r="Y696" i="8"/>
  <c r="Y697" i="8" s="1"/>
  <c r="Y321" i="2"/>
  <c r="Y728" i="8" s="1"/>
  <c r="Y729" i="8" s="1"/>
  <c r="R620" i="8"/>
  <c r="R621" i="8" s="1"/>
  <c r="S282" i="2"/>
  <c r="R347" i="2"/>
  <c r="R336" i="2"/>
  <c r="AC1100" i="8"/>
  <c r="AC1101" i="8" s="1"/>
  <c r="AC722" i="2"/>
  <c r="AC1132" i="8" s="1"/>
  <c r="AC1133" i="8" s="1"/>
  <c r="S1012" i="8"/>
  <c r="S1013" i="8" s="1"/>
  <c r="T680" i="2"/>
  <c r="S734" i="2"/>
  <c r="S745" i="2"/>
  <c r="O1100" i="8"/>
  <c r="O1101" i="8" s="1"/>
  <c r="O722" i="2"/>
  <c r="O1132" i="8" s="1"/>
  <c r="O1133" i="8" s="1"/>
  <c r="Q696" i="8"/>
  <c r="Q697" i="8" s="1"/>
  <c r="Q321" i="2"/>
  <c r="Q728" i="8" s="1"/>
  <c r="Q729" i="8" s="1"/>
  <c r="T704" i="8"/>
  <c r="T705" i="8" s="1"/>
  <c r="T323" i="2"/>
  <c r="T736" i="8" s="1"/>
  <c r="T737" i="8" s="1"/>
  <c r="X327" i="2"/>
  <c r="X752" i="8" s="1"/>
  <c r="X753" i="8" s="1"/>
  <c r="X720" i="8"/>
  <c r="X721" i="8" s="1"/>
  <c r="O864" i="8"/>
  <c r="O865" i="8" s="1"/>
  <c r="O386" i="2"/>
  <c r="O928" i="8" s="1"/>
  <c r="O929" i="8" s="1"/>
  <c r="Y315" i="2"/>
  <c r="L315" i="2"/>
  <c r="Z315" i="2"/>
  <c r="M315" i="2"/>
  <c r="AA315" i="2"/>
  <c r="N315" i="2"/>
  <c r="AB315" i="2"/>
  <c r="AC315" i="2"/>
  <c r="AD315" i="2"/>
  <c r="AE315" i="2"/>
  <c r="O315" i="2"/>
  <c r="W315" i="2"/>
  <c r="X315" i="2"/>
  <c r="T315" i="2"/>
  <c r="P315" i="2"/>
  <c r="Q315" i="2"/>
  <c r="S315" i="2"/>
  <c r="U315" i="2"/>
  <c r="V315" i="2"/>
  <c r="R315" i="2"/>
  <c r="O368" i="2"/>
  <c r="O884" i="8" s="1"/>
  <c r="O885" i="8" s="1"/>
  <c r="N368" i="2"/>
  <c r="N884" i="8" s="1"/>
  <c r="N885" i="8" s="1"/>
  <c r="P368" i="2"/>
  <c r="P884" i="8" s="1"/>
  <c r="P885" i="8" s="1"/>
  <c r="M368" i="2"/>
  <c r="M884" i="8" s="1"/>
  <c r="M885" i="8" s="1"/>
  <c r="Q368" i="2"/>
  <c r="Q884" i="8" s="1"/>
  <c r="Q885" i="8" s="1"/>
  <c r="L368" i="2"/>
  <c r="L884" i="8" s="1"/>
  <c r="L885" i="8" s="1"/>
  <c r="R368" i="2"/>
  <c r="R884" i="8" s="1"/>
  <c r="R885" i="8" s="1"/>
  <c r="W1096" i="8"/>
  <c r="W1097" i="8" s="1"/>
  <c r="W721" i="2"/>
  <c r="W1128" i="8" s="1"/>
  <c r="W1129" i="8" s="1"/>
  <c r="W720" i="8"/>
  <c r="W721" i="8" s="1"/>
  <c r="W327" i="2"/>
  <c r="W752" i="8" s="1"/>
  <c r="W753" i="8" s="1"/>
  <c r="AA322" i="2"/>
  <c r="AA732" i="8" s="1"/>
  <c r="AA733" i="8" s="1"/>
  <c r="AA700" i="8"/>
  <c r="AA701" i="8" s="1"/>
  <c r="R996" i="8"/>
  <c r="R997" i="8" s="1"/>
  <c r="R741" i="2"/>
  <c r="R748" i="2" s="1"/>
  <c r="R1220" i="8" s="1"/>
  <c r="R1221" i="8" s="1"/>
  <c r="S676" i="2"/>
  <c r="R730" i="2"/>
  <c r="R737" i="2" s="1"/>
  <c r="R1184" i="8" s="1"/>
  <c r="R1185" i="8" s="1"/>
  <c r="AD1088" i="8"/>
  <c r="AD1089" i="8" s="1"/>
  <c r="AD719" i="2"/>
  <c r="AD1120" i="8" s="1"/>
  <c r="AD1121" i="8" s="1"/>
  <c r="AA1088" i="8"/>
  <c r="AA1089" i="8" s="1"/>
  <c r="AA719" i="2"/>
  <c r="AA1120" i="8" s="1"/>
  <c r="AA1121" i="8" s="1"/>
  <c r="U1092" i="8"/>
  <c r="U1093" i="8" s="1"/>
  <c r="U720" i="2"/>
  <c r="U1124" i="8" s="1"/>
  <c r="U1125" i="8" s="1"/>
  <c r="N1092" i="8"/>
  <c r="N1093" i="8" s="1"/>
  <c r="N720" i="2"/>
  <c r="N1124" i="8" s="1"/>
  <c r="N1125" i="8" s="1"/>
  <c r="R696" i="8"/>
  <c r="R697" i="8" s="1"/>
  <c r="R321" i="2"/>
  <c r="R728" i="8" s="1"/>
  <c r="R729" i="8" s="1"/>
  <c r="Z321" i="2"/>
  <c r="Z728" i="8" s="1"/>
  <c r="Z729" i="8" s="1"/>
  <c r="Z696" i="8"/>
  <c r="Z697" i="8" s="1"/>
  <c r="AA704" i="8"/>
  <c r="AA705" i="8" s="1"/>
  <c r="AA323" i="2"/>
  <c r="AA736" i="8" s="1"/>
  <c r="AA737" i="8" s="1"/>
  <c r="Q704" i="8"/>
  <c r="Q705" i="8" s="1"/>
  <c r="Q323" i="2"/>
  <c r="Q736" i="8" s="1"/>
  <c r="Q737" i="8" s="1"/>
  <c r="L386" i="2"/>
  <c r="L928" i="8" s="1"/>
  <c r="L929" i="8" s="1"/>
  <c r="M900" i="8"/>
  <c r="M901" i="8" s="1"/>
  <c r="M379" i="2"/>
  <c r="M920" i="8" s="1"/>
  <c r="M921" i="8" s="1"/>
  <c r="R1116" i="8"/>
  <c r="R1117" i="8" s="1"/>
  <c r="R726" i="2"/>
  <c r="R1148" i="8" s="1"/>
  <c r="R1149" i="8" s="1"/>
  <c r="W1116" i="8"/>
  <c r="W1117" i="8" s="1"/>
  <c r="W726" i="2"/>
  <c r="W1148" i="8" s="1"/>
  <c r="W1149" i="8" s="1"/>
  <c r="O720" i="8"/>
  <c r="O721" i="8" s="1"/>
  <c r="O327" i="2"/>
  <c r="O752" i="8" s="1"/>
  <c r="O753" i="8" s="1"/>
  <c r="L1272" i="8"/>
  <c r="L1273" i="8" s="1"/>
  <c r="L788" i="2"/>
  <c r="L1336" i="8" s="1"/>
  <c r="L1337" i="8" s="1"/>
  <c r="T722" i="2"/>
  <c r="T1132" i="8" s="1"/>
  <c r="T1133" i="8" s="1"/>
  <c r="T1100" i="8"/>
  <c r="T1101" i="8" s="1"/>
  <c r="O700" i="8"/>
  <c r="O701" i="8" s="1"/>
  <c r="O322" i="2"/>
  <c r="O732" i="8" s="1"/>
  <c r="O733" i="8" s="1"/>
  <c r="X700" i="8"/>
  <c r="X701" i="8" s="1"/>
  <c r="X322" i="2"/>
  <c r="X732" i="8" s="1"/>
  <c r="X733" i="8" s="1"/>
  <c r="V692" i="8"/>
  <c r="V693" i="8" s="1"/>
  <c r="V320" i="2"/>
  <c r="V724" i="8" s="1"/>
  <c r="V725" i="8" s="1"/>
  <c r="N692" i="8"/>
  <c r="N693" i="8" s="1"/>
  <c r="N320" i="2"/>
  <c r="N724" i="8" s="1"/>
  <c r="N725" i="8" s="1"/>
  <c r="R764" i="8"/>
  <c r="R765" i="8" s="1"/>
  <c r="R354" i="2"/>
  <c r="R836" i="8" s="1"/>
  <c r="R837" i="8" s="1"/>
  <c r="N900" i="8"/>
  <c r="N901" i="8" s="1"/>
  <c r="N379" i="2"/>
  <c r="N920" i="8" s="1"/>
  <c r="N921" i="8" s="1"/>
  <c r="Q816" i="8"/>
  <c r="Q817" i="8" s="1"/>
  <c r="Q369" i="2"/>
  <c r="Q888" i="8" s="1"/>
  <c r="Q889" i="8" s="1"/>
  <c r="Q398" i="2"/>
  <c r="Q972" i="8" s="1"/>
  <c r="Q973" i="8" s="1"/>
  <c r="Q349" i="2"/>
  <c r="Q824" i="8" s="1"/>
  <c r="Q825" i="8" s="1"/>
  <c r="M1096" i="8"/>
  <c r="M1097" i="8" s="1"/>
  <c r="M721" i="2"/>
  <c r="M1128" i="8" s="1"/>
  <c r="M1129" i="8" s="1"/>
  <c r="P773" i="2"/>
  <c r="N522" i="2"/>
  <c r="O459" i="2"/>
  <c r="N175" i="8"/>
  <c r="N176" i="8" s="1"/>
  <c r="P516" i="2"/>
  <c r="O199" i="8"/>
  <c r="O200" i="8" s="1"/>
  <c r="P581" i="2"/>
  <c r="O255" i="8"/>
  <c r="O256" i="8" s="1"/>
  <c r="P120" i="2"/>
  <c r="O67" i="8"/>
  <c r="O68" i="8" s="1"/>
  <c r="P519" i="2"/>
  <c r="O211" i="8"/>
  <c r="O212" i="8" s="1"/>
  <c r="O574" i="2"/>
  <c r="N227" i="8"/>
  <c r="N228" i="8" s="1"/>
  <c r="N180" i="2"/>
  <c r="M103" i="8"/>
  <c r="M104" i="8" s="1"/>
  <c r="P121" i="2"/>
  <c r="O71" i="8"/>
  <c r="O72" i="8" s="1"/>
  <c r="P118" i="2"/>
  <c r="O59" i="8"/>
  <c r="O60" i="8" s="1"/>
  <c r="P461" i="2"/>
  <c r="O183" i="8"/>
  <c r="O184" i="8" s="1"/>
  <c r="P55" i="2"/>
  <c r="O11" i="8"/>
  <c r="O12" i="8" s="1"/>
  <c r="P521" i="2"/>
  <c r="O219" i="8"/>
  <c r="O220" i="8" s="1"/>
  <c r="P633" i="2"/>
  <c r="O259" i="8"/>
  <c r="O260" i="8" s="1"/>
  <c r="O634" i="2"/>
  <c r="N263" i="8"/>
  <c r="N264" i="8" s="1"/>
  <c r="P513" i="2"/>
  <c r="O522" i="2"/>
  <c r="O187" i="8"/>
  <c r="O188" i="8" s="1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460" i="2"/>
  <c r="N179" i="8"/>
  <c r="N180" i="8" s="1"/>
  <c r="O638" i="2"/>
  <c r="N279" i="8"/>
  <c r="N280" i="8" s="1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N287" i="8"/>
  <c r="N288" i="8" s="1"/>
  <c r="P455" i="2"/>
  <c r="O159" i="8"/>
  <c r="O160" i="8" s="1"/>
  <c r="P239" i="2"/>
  <c r="O135" i="8"/>
  <c r="O136" i="8" s="1"/>
  <c r="O577" i="2"/>
  <c r="N239" i="8"/>
  <c r="N240" i="8" s="1"/>
  <c r="O182" i="2"/>
  <c r="N111" i="8"/>
  <c r="N112" i="8" s="1"/>
  <c r="P518" i="2"/>
  <c r="O207" i="8"/>
  <c r="O208" i="8" s="1"/>
  <c r="O578" i="2"/>
  <c r="N243" i="8"/>
  <c r="N244" i="8" s="1"/>
  <c r="O63" i="2"/>
  <c r="P54" i="2"/>
  <c r="O7" i="8"/>
  <c r="O8" i="8" s="1"/>
  <c r="O639" i="2"/>
  <c r="N283" i="8"/>
  <c r="N284" i="8" s="1"/>
  <c r="P236" i="2"/>
  <c r="O123" i="8"/>
  <c r="O124" i="8" s="1"/>
  <c r="P576" i="2"/>
  <c r="O235" i="8"/>
  <c r="O236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O641" i="2"/>
  <c r="N291" i="8"/>
  <c r="N292" i="8" s="1"/>
  <c r="P575" i="2"/>
  <c r="O231" i="8"/>
  <c r="O232" i="8" s="1"/>
  <c r="P514" i="2"/>
  <c r="O191" i="8"/>
  <c r="O192" i="8" s="1"/>
  <c r="P56" i="2"/>
  <c r="O15" i="8"/>
  <c r="O16" i="8" s="1"/>
  <c r="P457" i="2"/>
  <c r="O167" i="8"/>
  <c r="O168" i="8" s="1"/>
  <c r="O177" i="2"/>
  <c r="N91" i="8"/>
  <c r="N92" i="8" s="1"/>
  <c r="P515" i="2"/>
  <c r="O195" i="8"/>
  <c r="O196" i="8" s="1"/>
  <c r="M183" i="2"/>
  <c r="O181" i="2"/>
  <c r="N107" i="8"/>
  <c r="N108" i="8" s="1"/>
  <c r="P59" i="2"/>
  <c r="O27" i="8"/>
  <c r="O28" i="8" s="1"/>
  <c r="Q117" i="2"/>
  <c r="P55" i="8"/>
  <c r="P56" i="8" s="1"/>
  <c r="O637" i="2"/>
  <c r="N275" i="8"/>
  <c r="N276" i="8" s="1"/>
  <c r="O573" i="2"/>
  <c r="N582" i="2"/>
  <c r="N223" i="8"/>
  <c r="N224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O215" i="8"/>
  <c r="O216" i="8" s="1"/>
  <c r="P240" i="2"/>
  <c r="O139" i="8"/>
  <c r="O140" i="8" s="1"/>
  <c r="P453" i="2"/>
  <c r="O151" i="8"/>
  <c r="O152" i="8" s="1"/>
  <c r="P517" i="2"/>
  <c r="O203" i="8"/>
  <c r="O204" i="8" s="1"/>
  <c r="O580" i="2"/>
  <c r="N251" i="8"/>
  <c r="N252" i="8" s="1"/>
  <c r="O635" i="2"/>
  <c r="N267" i="8"/>
  <c r="N268" i="8" s="1"/>
  <c r="P456" i="2"/>
  <c r="O163" i="8"/>
  <c r="O164" i="8" s="1"/>
  <c r="N462" i="2"/>
  <c r="P122" i="2"/>
  <c r="O75" i="8"/>
  <c r="O76" i="8" s="1"/>
  <c r="P458" i="2"/>
  <c r="O171" i="8"/>
  <c r="O172" i="8" s="1"/>
  <c r="P579" i="2"/>
  <c r="O247" i="8"/>
  <c r="O248" i="8" s="1"/>
  <c r="P238" i="2"/>
  <c r="O131" i="8"/>
  <c r="O132" i="8" s="1"/>
  <c r="P454" i="2"/>
  <c r="O155" i="8"/>
  <c r="O156" i="8" s="1"/>
  <c r="O636" i="2"/>
  <c r="N271" i="8"/>
  <c r="N272" i="8" s="1"/>
  <c r="O371" i="2" l="1"/>
  <c r="O896" i="8" s="1"/>
  <c r="O897" i="8" s="1"/>
  <c r="Q378" i="2"/>
  <c r="Q916" i="8" s="1"/>
  <c r="Q917" i="8" s="1"/>
  <c r="Q774" i="2"/>
  <c r="Q1300" i="8" s="1"/>
  <c r="Q1301" i="8" s="1"/>
  <c r="N371" i="2"/>
  <c r="N896" i="8" s="1"/>
  <c r="N897" i="8" s="1"/>
  <c r="R386" i="2"/>
  <c r="R928" i="8" s="1"/>
  <c r="R929" i="8" s="1"/>
  <c r="R349" i="2"/>
  <c r="R824" i="8" s="1"/>
  <c r="R825" i="8" s="1"/>
  <c r="L784" i="2"/>
  <c r="Q371" i="2"/>
  <c r="Q896" i="8" s="1"/>
  <c r="Q897" i="8" s="1"/>
  <c r="Q385" i="2"/>
  <c r="O770" i="2"/>
  <c r="O1292" i="8" s="1"/>
  <c r="O1293" i="8" s="1"/>
  <c r="R772" i="8"/>
  <c r="R773" i="8" s="1"/>
  <c r="R356" i="2"/>
  <c r="R844" i="8" s="1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R396" i="2"/>
  <c r="R964" i="8" s="1"/>
  <c r="R965" i="8" s="1"/>
  <c r="F729" i="8"/>
  <c r="S1152" i="8"/>
  <c r="S1153" i="8" s="1"/>
  <c r="S751" i="2"/>
  <c r="R948" i="8"/>
  <c r="R949" i="8" s="1"/>
  <c r="R1260" i="8"/>
  <c r="R1261" i="8" s="1"/>
  <c r="F725" i="8"/>
  <c r="O1108" i="8"/>
  <c r="O1109" i="8" s="1"/>
  <c r="O724" i="2"/>
  <c r="O1140" i="8" s="1"/>
  <c r="O1141" i="8" s="1"/>
  <c r="U716" i="8"/>
  <c r="U717" i="8" s="1"/>
  <c r="U326" i="2"/>
  <c r="U748" i="8" s="1"/>
  <c r="U749" i="8" s="1"/>
  <c r="AE716" i="8"/>
  <c r="AE717" i="8" s="1"/>
  <c r="AE326" i="2"/>
  <c r="AE748" i="8" s="1"/>
  <c r="AE749" i="8" s="1"/>
  <c r="Q1104" i="8"/>
  <c r="Q1105" i="8" s="1"/>
  <c r="Q723" i="2"/>
  <c r="Q1136" i="8" s="1"/>
  <c r="Q1137" i="8" s="1"/>
  <c r="U1112" i="8"/>
  <c r="U1113" i="8" s="1"/>
  <c r="U725" i="2"/>
  <c r="U1144" i="8" s="1"/>
  <c r="U1145" i="8" s="1"/>
  <c r="AB1112" i="8"/>
  <c r="AB1113" i="8" s="1"/>
  <c r="AB725" i="2"/>
  <c r="AB1144" i="8" s="1"/>
  <c r="AB1145" i="8" s="1"/>
  <c r="AC708" i="8"/>
  <c r="AC709" i="8" s="1"/>
  <c r="AC324" i="2"/>
  <c r="AC740" i="8" s="1"/>
  <c r="AC741" i="8" s="1"/>
  <c r="V708" i="8"/>
  <c r="V709" i="8" s="1"/>
  <c r="V324" i="2"/>
  <c r="V740" i="8" s="1"/>
  <c r="V741" i="8" s="1"/>
  <c r="R864" i="8"/>
  <c r="R865" i="8" s="1"/>
  <c r="S1016" i="8"/>
  <c r="S1017" i="8" s="1"/>
  <c r="S735" i="2"/>
  <c r="T681" i="2"/>
  <c r="S746" i="2"/>
  <c r="R387" i="2"/>
  <c r="R932" i="8" s="1"/>
  <c r="R933" i="8" s="1"/>
  <c r="V712" i="8"/>
  <c r="V713" i="8" s="1"/>
  <c r="V325" i="2"/>
  <c r="V744" i="8" s="1"/>
  <c r="V745" i="8" s="1"/>
  <c r="AA712" i="8"/>
  <c r="AA713" i="8" s="1"/>
  <c r="AA325" i="2"/>
  <c r="AA744" i="8" s="1"/>
  <c r="AA745" i="8" s="1"/>
  <c r="R1344" i="8"/>
  <c r="R1345" i="8" s="1"/>
  <c r="Q799" i="2"/>
  <c r="Q1376" i="8" s="1"/>
  <c r="Q1377" i="8" s="1"/>
  <c r="F753" i="8"/>
  <c r="F693" i="8"/>
  <c r="P1108" i="8"/>
  <c r="P1109" i="8" s="1"/>
  <c r="P724" i="2"/>
  <c r="P1140" i="8" s="1"/>
  <c r="P1141" i="8" s="1"/>
  <c r="F1129" i="8"/>
  <c r="T760" i="8"/>
  <c r="T761" i="8" s="1"/>
  <c r="T353" i="2"/>
  <c r="T832" i="8" s="1"/>
  <c r="T833" i="8" s="1"/>
  <c r="T716" i="8"/>
  <c r="T717" i="8" s="1"/>
  <c r="T326" i="2"/>
  <c r="T748" i="8" s="1"/>
  <c r="T749" i="8" s="1"/>
  <c r="Q326" i="2"/>
  <c r="Q748" i="8" s="1"/>
  <c r="Q749" i="8" s="1"/>
  <c r="Q716" i="8"/>
  <c r="Q717" i="8" s="1"/>
  <c r="O1104" i="8"/>
  <c r="O1105" i="8" s="1"/>
  <c r="O723" i="2"/>
  <c r="O1136" i="8" s="1"/>
  <c r="O1137" i="8" s="1"/>
  <c r="T1112" i="8"/>
  <c r="T1113" i="8" s="1"/>
  <c r="T725" i="2"/>
  <c r="T1144" i="8" s="1"/>
  <c r="T1145" i="8" s="1"/>
  <c r="L1112" i="8"/>
  <c r="L1113" i="8" s="1"/>
  <c r="L725" i="2"/>
  <c r="L1144" i="8" s="1"/>
  <c r="L1145" i="8" s="1"/>
  <c r="AA708" i="8"/>
  <c r="AA709" i="8" s="1"/>
  <c r="AA324" i="2"/>
  <c r="AA740" i="8" s="1"/>
  <c r="AA741" i="8" s="1"/>
  <c r="U708" i="8"/>
  <c r="U709" i="8" s="1"/>
  <c r="U324" i="2"/>
  <c r="U740" i="8" s="1"/>
  <c r="U741" i="8" s="1"/>
  <c r="R1212" i="8"/>
  <c r="R1213" i="8" s="1"/>
  <c r="R797" i="2"/>
  <c r="R1368" i="8" s="1"/>
  <c r="R1369" i="8" s="1"/>
  <c r="R768" i="2"/>
  <c r="R376" i="2"/>
  <c r="R908" i="8" s="1"/>
  <c r="R909" i="8" s="1"/>
  <c r="T992" i="8"/>
  <c r="T993" i="8" s="1"/>
  <c r="U675" i="2"/>
  <c r="T740" i="2"/>
  <c r="T729" i="2"/>
  <c r="U712" i="8"/>
  <c r="U713" i="8" s="1"/>
  <c r="U325" i="2"/>
  <c r="U744" i="8" s="1"/>
  <c r="U745" i="8" s="1"/>
  <c r="T324" i="2"/>
  <c r="T740" i="8" s="1"/>
  <c r="T741" i="8" s="1"/>
  <c r="T708" i="8"/>
  <c r="T709" i="8" s="1"/>
  <c r="S712" i="8"/>
  <c r="S713" i="8" s="1"/>
  <c r="S325" i="2"/>
  <c r="S744" i="8" s="1"/>
  <c r="S745" i="8" s="1"/>
  <c r="Z712" i="8"/>
  <c r="Z713" i="8" s="1"/>
  <c r="Z325" i="2"/>
  <c r="Z744" i="8" s="1"/>
  <c r="Z745" i="8" s="1"/>
  <c r="F1101" i="8"/>
  <c r="F1125" i="8"/>
  <c r="Q759" i="2"/>
  <c r="Q1256" i="8" s="1"/>
  <c r="Q1257" i="8" s="1"/>
  <c r="F1149" i="8"/>
  <c r="M1108" i="8"/>
  <c r="M1109" i="8" s="1"/>
  <c r="M724" i="2"/>
  <c r="M1140" i="8" s="1"/>
  <c r="M1141" i="8" s="1"/>
  <c r="U600" i="8"/>
  <c r="U601" i="8" s="1"/>
  <c r="V277" i="2"/>
  <c r="U342" i="2"/>
  <c r="U331" i="2"/>
  <c r="AC716" i="8"/>
  <c r="AC717" i="8" s="1"/>
  <c r="AC326" i="2"/>
  <c r="AC748" i="8" s="1"/>
  <c r="AC749" i="8" s="1"/>
  <c r="P326" i="2"/>
  <c r="P748" i="8" s="1"/>
  <c r="P749" i="8" s="1"/>
  <c r="P716" i="8"/>
  <c r="P717" i="8" s="1"/>
  <c r="R804" i="8"/>
  <c r="R805" i="8" s="1"/>
  <c r="R366" i="2"/>
  <c r="R876" i="8" s="1"/>
  <c r="R877" i="8" s="1"/>
  <c r="R395" i="2"/>
  <c r="R960" i="8" s="1"/>
  <c r="R961" i="8" s="1"/>
  <c r="R389" i="2"/>
  <c r="R940" i="8" s="1"/>
  <c r="R941" i="8" s="1"/>
  <c r="P1276" i="8"/>
  <c r="P1277" i="8" s="1"/>
  <c r="P784" i="2"/>
  <c r="AE1104" i="8"/>
  <c r="AE1105" i="8" s="1"/>
  <c r="AE723" i="2"/>
  <c r="AE1136" i="8" s="1"/>
  <c r="AE1137" i="8" s="1"/>
  <c r="Z1112" i="8"/>
  <c r="Z1113" i="8" s="1"/>
  <c r="Z725" i="2"/>
  <c r="Z1144" i="8" s="1"/>
  <c r="Z1145" i="8" s="1"/>
  <c r="P1112" i="8"/>
  <c r="P1113" i="8" s="1"/>
  <c r="P725" i="2"/>
  <c r="P1144" i="8" s="1"/>
  <c r="P1145" i="8" s="1"/>
  <c r="Y708" i="8"/>
  <c r="Y709" i="8" s="1"/>
  <c r="Y324" i="2"/>
  <c r="Y740" i="8" s="1"/>
  <c r="Y741" i="8" s="1"/>
  <c r="R1164" i="8"/>
  <c r="R1165" i="8" s="1"/>
  <c r="R754" i="2"/>
  <c r="R1236" i="8" s="1"/>
  <c r="R1237" i="8" s="1"/>
  <c r="S756" i="8"/>
  <c r="S757" i="8" s="1"/>
  <c r="S352" i="2"/>
  <c r="S820" i="8"/>
  <c r="S821" i="8" s="1"/>
  <c r="S399" i="2"/>
  <c r="S976" i="8" s="1"/>
  <c r="S977" i="8" s="1"/>
  <c r="S370" i="2"/>
  <c r="S892" i="8" s="1"/>
  <c r="S893" i="8" s="1"/>
  <c r="AC712" i="8"/>
  <c r="AC713" i="8" s="1"/>
  <c r="AC325" i="2"/>
  <c r="AC744" i="8" s="1"/>
  <c r="AC745" i="8" s="1"/>
  <c r="R1176" i="8"/>
  <c r="R1177" i="8" s="1"/>
  <c r="R757" i="2"/>
  <c r="R1248" i="8" s="1"/>
  <c r="R1249" i="8" s="1"/>
  <c r="F1133" i="8"/>
  <c r="F721" i="8"/>
  <c r="N1108" i="8"/>
  <c r="N1109" i="8" s="1"/>
  <c r="N724" i="2"/>
  <c r="N1140" i="8" s="1"/>
  <c r="N1141" i="8" s="1"/>
  <c r="R1224" i="8"/>
  <c r="R1225" i="8" s="1"/>
  <c r="F1097" i="8"/>
  <c r="T796" i="8"/>
  <c r="T797" i="8" s="1"/>
  <c r="T364" i="2"/>
  <c r="T868" i="8" s="1"/>
  <c r="T869" i="8" s="1"/>
  <c r="T393" i="2"/>
  <c r="T952" i="8" s="1"/>
  <c r="T953" i="8" s="1"/>
  <c r="N716" i="8"/>
  <c r="N717" i="8" s="1"/>
  <c r="N326" i="2"/>
  <c r="N748" i="8" s="1"/>
  <c r="N749" i="8" s="1"/>
  <c r="AD716" i="8"/>
  <c r="AD717" i="8" s="1"/>
  <c r="AD326" i="2"/>
  <c r="AD748" i="8" s="1"/>
  <c r="AD749" i="8" s="1"/>
  <c r="R768" i="8"/>
  <c r="R769" i="8" s="1"/>
  <c r="R355" i="2"/>
  <c r="R840" i="8" s="1"/>
  <c r="R841" i="8" s="1"/>
  <c r="M1276" i="8"/>
  <c r="M1277" i="8" s="1"/>
  <c r="M784" i="2"/>
  <c r="N1104" i="8"/>
  <c r="N1105" i="8" s="1"/>
  <c r="N723" i="2"/>
  <c r="N1136" i="8" s="1"/>
  <c r="N1137" i="8" s="1"/>
  <c r="R1112" i="8"/>
  <c r="R1113" i="8" s="1"/>
  <c r="R725" i="2"/>
  <c r="R1144" i="8" s="1"/>
  <c r="R1145" i="8" s="1"/>
  <c r="AD1112" i="8"/>
  <c r="AD1113" i="8" s="1"/>
  <c r="AD725" i="2"/>
  <c r="AD1144" i="8" s="1"/>
  <c r="AD1145" i="8" s="1"/>
  <c r="Z708" i="8"/>
  <c r="Z709" i="8" s="1"/>
  <c r="Z324" i="2"/>
  <c r="Z740" i="8" s="1"/>
  <c r="Z741" i="8" s="1"/>
  <c r="S784" i="8"/>
  <c r="S785" i="8" s="1"/>
  <c r="S359" i="2"/>
  <c r="S856" i="8" s="1"/>
  <c r="S857" i="8" s="1"/>
  <c r="Q712" i="8"/>
  <c r="Q713" i="8" s="1"/>
  <c r="Q325" i="2"/>
  <c r="Q744" i="8" s="1"/>
  <c r="Q745" i="8" s="1"/>
  <c r="L712" i="8"/>
  <c r="L713" i="8" s="1"/>
  <c r="L325" i="2"/>
  <c r="L744" i="8" s="1"/>
  <c r="L745" i="8" s="1"/>
  <c r="R780" i="8"/>
  <c r="R781" i="8" s="1"/>
  <c r="R358" i="2"/>
  <c r="R852" i="8" s="1"/>
  <c r="R853" i="8" s="1"/>
  <c r="R374" i="2"/>
  <c r="F1093" i="8"/>
  <c r="F1117" i="8"/>
  <c r="L1108" i="8"/>
  <c r="L1109" i="8" s="1"/>
  <c r="L724" i="2"/>
  <c r="L1140" i="8" s="1"/>
  <c r="L1141" i="8" s="1"/>
  <c r="O326" i="2"/>
  <c r="O748" i="8" s="1"/>
  <c r="O749" i="8" s="1"/>
  <c r="O716" i="8"/>
  <c r="O717" i="8" s="1"/>
  <c r="S608" i="8"/>
  <c r="S609" i="8" s="1"/>
  <c r="S333" i="2"/>
  <c r="S344" i="2"/>
  <c r="T279" i="2"/>
  <c r="O1276" i="8"/>
  <c r="O1277" i="8" s="1"/>
  <c r="O784" i="2"/>
  <c r="AC1104" i="8"/>
  <c r="AC1105" i="8" s="1"/>
  <c r="AC723" i="2"/>
  <c r="AC1136" i="8" s="1"/>
  <c r="AC1137" i="8" s="1"/>
  <c r="Y1112" i="8"/>
  <c r="Y1113" i="8" s="1"/>
  <c r="Y725" i="2"/>
  <c r="Y1144" i="8" s="1"/>
  <c r="Y1145" i="8" s="1"/>
  <c r="AC1112" i="8"/>
  <c r="AC1113" i="8" s="1"/>
  <c r="AC725" i="2"/>
  <c r="AC1144" i="8" s="1"/>
  <c r="AC1145" i="8" s="1"/>
  <c r="X708" i="8"/>
  <c r="X709" i="8" s="1"/>
  <c r="X324" i="2"/>
  <c r="X740" i="8" s="1"/>
  <c r="X741" i="8" s="1"/>
  <c r="R1200" i="8"/>
  <c r="R1201" i="8" s="1"/>
  <c r="R765" i="2"/>
  <c r="R1272" i="8" s="1"/>
  <c r="R1273" i="8" s="1"/>
  <c r="R788" i="2"/>
  <c r="R1336" i="8" s="1"/>
  <c r="R1337" i="8" s="1"/>
  <c r="R794" i="2"/>
  <c r="R1356" i="8" s="1"/>
  <c r="R1357" i="8" s="1"/>
  <c r="T596" i="8"/>
  <c r="T597" i="8" s="1"/>
  <c r="T341" i="2"/>
  <c r="U276" i="2"/>
  <c r="T330" i="2"/>
  <c r="U812" i="8"/>
  <c r="U813" i="8" s="1"/>
  <c r="U397" i="2"/>
  <c r="U968" i="8" s="1"/>
  <c r="U969" i="8" s="1"/>
  <c r="U368" i="2"/>
  <c r="U884" i="8" s="1"/>
  <c r="U885" i="8" s="1"/>
  <c r="T624" i="8"/>
  <c r="T625" i="8" s="1"/>
  <c r="T348" i="2"/>
  <c r="T337" i="2"/>
  <c r="U283" i="2"/>
  <c r="Q1108" i="8"/>
  <c r="Q1109" i="8" s="1"/>
  <c r="Q724" i="2"/>
  <c r="Q1140" i="8" s="1"/>
  <c r="Q1141" i="8" s="1"/>
  <c r="R326" i="2"/>
  <c r="R748" i="8" s="1"/>
  <c r="R749" i="8" s="1"/>
  <c r="R716" i="8"/>
  <c r="R717" i="8" s="1"/>
  <c r="Y1104" i="8"/>
  <c r="Y1105" i="8" s="1"/>
  <c r="Y723" i="2"/>
  <c r="Y1136" i="8" s="1"/>
  <c r="Y1137" i="8" s="1"/>
  <c r="AB708" i="8"/>
  <c r="AB709" i="8" s="1"/>
  <c r="AB324" i="2"/>
  <c r="AB740" i="8" s="1"/>
  <c r="AB741" i="8" s="1"/>
  <c r="AB712" i="8"/>
  <c r="AB713" i="8" s="1"/>
  <c r="AB325" i="2"/>
  <c r="AB744" i="8" s="1"/>
  <c r="AB745" i="8" s="1"/>
  <c r="S1168" i="8"/>
  <c r="S1169" i="8" s="1"/>
  <c r="S755" i="2"/>
  <c r="S1240" i="8" s="1"/>
  <c r="S1241" i="8" s="1"/>
  <c r="R712" i="8"/>
  <c r="R713" i="8" s="1"/>
  <c r="R325" i="2"/>
  <c r="R744" i="8" s="1"/>
  <c r="R745" i="8" s="1"/>
  <c r="L1296" i="8"/>
  <c r="L1297" i="8" s="1"/>
  <c r="L778" i="2"/>
  <c r="L1316" i="8" s="1"/>
  <c r="L1317" i="8" s="1"/>
  <c r="AE1108" i="8"/>
  <c r="AE1109" i="8" s="1"/>
  <c r="AE724" i="2"/>
  <c r="AE1140" i="8" s="1"/>
  <c r="AE1141" i="8" s="1"/>
  <c r="M716" i="8"/>
  <c r="M717" i="8" s="1"/>
  <c r="M326" i="2"/>
  <c r="M748" i="8" s="1"/>
  <c r="M749" i="8" s="1"/>
  <c r="N1276" i="8"/>
  <c r="N1277" i="8" s="1"/>
  <c r="N784" i="2"/>
  <c r="S324" i="2"/>
  <c r="S740" i="8" s="1"/>
  <c r="S741" i="8" s="1"/>
  <c r="S708" i="8"/>
  <c r="S709" i="8" s="1"/>
  <c r="S1004" i="8"/>
  <c r="S1005" i="8" s="1"/>
  <c r="S743" i="2"/>
  <c r="T678" i="2"/>
  <c r="S732" i="2"/>
  <c r="S800" i="8"/>
  <c r="S801" i="8" s="1"/>
  <c r="S365" i="2"/>
  <c r="S872" i="8" s="1"/>
  <c r="S873" i="8" s="1"/>
  <c r="S394" i="2"/>
  <c r="S956" i="8" s="1"/>
  <c r="S957" i="8" s="1"/>
  <c r="S792" i="8"/>
  <c r="S793" i="8" s="1"/>
  <c r="S363" i="2"/>
  <c r="S392" i="2"/>
  <c r="S386" i="2"/>
  <c r="S928" i="8" s="1"/>
  <c r="S929" i="8" s="1"/>
  <c r="U776" i="8"/>
  <c r="U777" i="8" s="1"/>
  <c r="U357" i="2"/>
  <c r="U848" i="8" s="1"/>
  <c r="U849" i="8" s="1"/>
  <c r="T712" i="8"/>
  <c r="T713" i="8" s="1"/>
  <c r="T325" i="2"/>
  <c r="T744" i="8" s="1"/>
  <c r="T745" i="8" s="1"/>
  <c r="S620" i="8"/>
  <c r="S621" i="8" s="1"/>
  <c r="T282" i="2"/>
  <c r="S347" i="2"/>
  <c r="S336" i="2"/>
  <c r="AD1108" i="8"/>
  <c r="AD1109" i="8" s="1"/>
  <c r="AD724" i="2"/>
  <c r="AD1140" i="8" s="1"/>
  <c r="AD1141" i="8" s="1"/>
  <c r="L716" i="8"/>
  <c r="L717" i="8" s="1"/>
  <c r="L326" i="2"/>
  <c r="L748" i="8" s="1"/>
  <c r="L749" i="8" s="1"/>
  <c r="W1104" i="8"/>
  <c r="W1105" i="8" s="1"/>
  <c r="W723" i="2"/>
  <c r="W1136" i="8" s="1"/>
  <c r="W1137" i="8" s="1"/>
  <c r="AB1104" i="8"/>
  <c r="AB1105" i="8" s="1"/>
  <c r="AB723" i="2"/>
  <c r="AB1136" i="8" s="1"/>
  <c r="AB1137" i="8" s="1"/>
  <c r="W1112" i="8"/>
  <c r="W1113" i="8" s="1"/>
  <c r="W725" i="2"/>
  <c r="W1144" i="8" s="1"/>
  <c r="W1145" i="8" s="1"/>
  <c r="L880" i="8"/>
  <c r="L881" i="8" s="1"/>
  <c r="L385" i="2"/>
  <c r="P708" i="8"/>
  <c r="P709" i="8" s="1"/>
  <c r="P324" i="2"/>
  <c r="P740" i="8" s="1"/>
  <c r="P741" i="8" s="1"/>
  <c r="S764" i="8"/>
  <c r="S765" i="8" s="1"/>
  <c r="S354" i="2"/>
  <c r="S836" i="8" s="1"/>
  <c r="S837" i="8" s="1"/>
  <c r="V616" i="8"/>
  <c r="V617" i="8" s="1"/>
  <c r="W281" i="2"/>
  <c r="V335" i="2"/>
  <c r="V346" i="2"/>
  <c r="S786" i="2"/>
  <c r="S1328" i="8" s="1"/>
  <c r="S1329" i="8" s="1"/>
  <c r="V716" i="8"/>
  <c r="V717" i="8" s="1"/>
  <c r="V326" i="2"/>
  <c r="V748" i="8" s="1"/>
  <c r="V749" i="8" s="1"/>
  <c r="L1320" i="8"/>
  <c r="L1321" i="8" s="1"/>
  <c r="L789" i="2"/>
  <c r="L1340" i="8" s="1"/>
  <c r="Q924" i="8"/>
  <c r="Q925" i="8" s="1"/>
  <c r="Q390" i="2"/>
  <c r="Q944" i="8" s="1"/>
  <c r="M1104" i="8"/>
  <c r="M1105" i="8" s="1"/>
  <c r="M723" i="2"/>
  <c r="M1136" i="8" s="1"/>
  <c r="M1137" i="8" s="1"/>
  <c r="X1112" i="8"/>
  <c r="X1113" i="8" s="1"/>
  <c r="X725" i="2"/>
  <c r="X1144" i="8" s="1"/>
  <c r="X1145" i="8" s="1"/>
  <c r="O1112" i="8"/>
  <c r="O1113" i="8" s="1"/>
  <c r="O725" i="2"/>
  <c r="O1144" i="8" s="1"/>
  <c r="O1145" i="8" s="1"/>
  <c r="N183" i="2"/>
  <c r="M371" i="2"/>
  <c r="M896" i="8" s="1"/>
  <c r="M897" i="8" s="1"/>
  <c r="X325" i="2"/>
  <c r="X744" i="8" s="1"/>
  <c r="X745" i="8" s="1"/>
  <c r="X712" i="8"/>
  <c r="X713" i="8" s="1"/>
  <c r="P379" i="2"/>
  <c r="P920" i="8" s="1"/>
  <c r="P921" i="8" s="1"/>
  <c r="N770" i="2"/>
  <c r="N1292" i="8" s="1"/>
  <c r="N1293" i="8" s="1"/>
  <c r="Q400" i="2"/>
  <c r="Q980" i="8" s="1"/>
  <c r="Q981" i="8" s="1"/>
  <c r="AB1108" i="8"/>
  <c r="AB1109" i="8" s="1"/>
  <c r="AB724" i="2"/>
  <c r="AB1140" i="8" s="1"/>
  <c r="AB1141" i="8" s="1"/>
  <c r="V1108" i="8"/>
  <c r="V1109" i="8" s="1"/>
  <c r="V724" i="2"/>
  <c r="V1140" i="8" s="1"/>
  <c r="V1141" i="8" s="1"/>
  <c r="AB716" i="8"/>
  <c r="AB717" i="8" s="1"/>
  <c r="AB326" i="2"/>
  <c r="AB748" i="8" s="1"/>
  <c r="AB749" i="8" s="1"/>
  <c r="X1104" i="8"/>
  <c r="X1105" i="8" s="1"/>
  <c r="X723" i="2"/>
  <c r="X1136" i="8" s="1"/>
  <c r="X1137" i="8" s="1"/>
  <c r="L1104" i="8"/>
  <c r="L1105" i="8" s="1"/>
  <c r="L723" i="2"/>
  <c r="L1136" i="8" s="1"/>
  <c r="L1137" i="8" s="1"/>
  <c r="V1112" i="8"/>
  <c r="V1113" i="8" s="1"/>
  <c r="V725" i="2"/>
  <c r="V1144" i="8" s="1"/>
  <c r="V1145" i="8" s="1"/>
  <c r="M880" i="8"/>
  <c r="M881" i="8" s="1"/>
  <c r="M385" i="2"/>
  <c r="O708" i="8"/>
  <c r="O709" i="8" s="1"/>
  <c r="O324" i="2"/>
  <c r="O740" i="8" s="1"/>
  <c r="O741" i="8" s="1"/>
  <c r="T604" i="8"/>
  <c r="T605" i="8" s="1"/>
  <c r="U278" i="2"/>
  <c r="T332" i="2"/>
  <c r="T343" i="2"/>
  <c r="T1180" i="8"/>
  <c r="T1181" i="8" s="1"/>
  <c r="T758" i="2"/>
  <c r="T1252" i="8" s="1"/>
  <c r="T1253" i="8" s="1"/>
  <c r="R1196" i="8"/>
  <c r="R1197" i="8" s="1"/>
  <c r="R793" i="2"/>
  <c r="R1352" i="8" s="1"/>
  <c r="R1353" i="8" s="1"/>
  <c r="R764" i="2"/>
  <c r="R1268" i="8" s="1"/>
  <c r="R1269" i="8" s="1"/>
  <c r="P1296" i="8"/>
  <c r="P1297" i="8" s="1"/>
  <c r="P778" i="2"/>
  <c r="P1316" i="8" s="1"/>
  <c r="P1317" i="8" s="1"/>
  <c r="M712" i="8"/>
  <c r="M713" i="8" s="1"/>
  <c r="M325" i="2"/>
  <c r="M744" i="8" s="1"/>
  <c r="M745" i="8" s="1"/>
  <c r="W325" i="2"/>
  <c r="W744" i="8" s="1"/>
  <c r="W745" i="8" s="1"/>
  <c r="W712" i="8"/>
  <c r="W713" i="8" s="1"/>
  <c r="AA1108" i="8"/>
  <c r="AA1109" i="8" s="1"/>
  <c r="AA724" i="2"/>
  <c r="AA1140" i="8" s="1"/>
  <c r="AA1141" i="8" s="1"/>
  <c r="U1108" i="8"/>
  <c r="U1109" i="8" s="1"/>
  <c r="U724" i="2"/>
  <c r="U1140" i="8" s="1"/>
  <c r="U1141" i="8" s="1"/>
  <c r="AA716" i="8"/>
  <c r="AA717" i="8" s="1"/>
  <c r="AA326" i="2"/>
  <c r="AA748" i="8" s="1"/>
  <c r="AA749" i="8" s="1"/>
  <c r="V1104" i="8"/>
  <c r="V1105" i="8" s="1"/>
  <c r="V723" i="2"/>
  <c r="V1136" i="8" s="1"/>
  <c r="V1137" i="8" s="1"/>
  <c r="AA1104" i="8"/>
  <c r="AA1105" i="8" s="1"/>
  <c r="AA723" i="2"/>
  <c r="AA1136" i="8" s="1"/>
  <c r="AA1137" i="8" s="1"/>
  <c r="F1121" i="8"/>
  <c r="S1112" i="8"/>
  <c r="S1113" i="8" s="1"/>
  <c r="S725" i="2"/>
  <c r="S1144" i="8" s="1"/>
  <c r="S1145" i="8" s="1"/>
  <c r="O880" i="8"/>
  <c r="O881" i="8" s="1"/>
  <c r="O385" i="2"/>
  <c r="N708" i="8"/>
  <c r="N709" i="8" s="1"/>
  <c r="N324" i="2"/>
  <c r="N740" i="8" s="1"/>
  <c r="N741" i="8" s="1"/>
  <c r="Q788" i="2"/>
  <c r="Q1336" i="8" s="1"/>
  <c r="Q1337" i="8" s="1"/>
  <c r="R338" i="2"/>
  <c r="R788" i="8" s="1"/>
  <c r="R789" i="8" s="1"/>
  <c r="T1216" i="8"/>
  <c r="T1217" i="8" s="1"/>
  <c r="T769" i="2"/>
  <c r="T1288" i="8" s="1"/>
  <c r="T1289" i="8" s="1"/>
  <c r="T798" i="2"/>
  <c r="T1372" i="8" s="1"/>
  <c r="T1373" i="8" s="1"/>
  <c r="S1000" i="8"/>
  <c r="S1001" i="8" s="1"/>
  <c r="S731" i="2"/>
  <c r="S742" i="2"/>
  <c r="T677" i="2"/>
  <c r="M1112" i="8"/>
  <c r="M1113" i="8" s="1"/>
  <c r="M725" i="2"/>
  <c r="M1144" i="8" s="1"/>
  <c r="M1145" i="8" s="1"/>
  <c r="N712" i="8"/>
  <c r="N713" i="8" s="1"/>
  <c r="N325" i="2"/>
  <c r="N744" i="8" s="1"/>
  <c r="N745" i="8" s="1"/>
  <c r="F697" i="8"/>
  <c r="P712" i="8"/>
  <c r="P713" i="8" s="1"/>
  <c r="P325" i="2"/>
  <c r="P744" i="8" s="1"/>
  <c r="P745" i="8" s="1"/>
  <c r="Y712" i="8"/>
  <c r="Y713" i="8" s="1"/>
  <c r="Y325" i="2"/>
  <c r="Y744" i="8" s="1"/>
  <c r="Y745" i="8" s="1"/>
  <c r="R816" i="8"/>
  <c r="R817" i="8" s="1"/>
  <c r="R398" i="2"/>
  <c r="R972" i="8" s="1"/>
  <c r="R973" i="8" s="1"/>
  <c r="R369" i="2"/>
  <c r="R888" i="8" s="1"/>
  <c r="R889" i="8" s="1"/>
  <c r="R385" i="2"/>
  <c r="O712" i="8"/>
  <c r="O713" i="8" s="1"/>
  <c r="O325" i="2"/>
  <c r="O744" i="8" s="1"/>
  <c r="O745" i="8" s="1"/>
  <c r="S1208" i="8"/>
  <c r="S1209" i="8" s="1"/>
  <c r="S767" i="2"/>
  <c r="S1280" i="8" s="1"/>
  <c r="S1281" i="8" s="1"/>
  <c r="S796" i="2"/>
  <c r="S1364" i="8" s="1"/>
  <c r="S1365" i="8" s="1"/>
  <c r="Q360" i="2"/>
  <c r="Q860" i="8" s="1"/>
  <c r="Q861" i="8" s="1"/>
  <c r="W1108" i="8"/>
  <c r="W1109" i="8" s="1"/>
  <c r="W724" i="2"/>
  <c r="W1140" i="8" s="1"/>
  <c r="W1141" i="8" s="1"/>
  <c r="T1108" i="8"/>
  <c r="T1109" i="8" s="1"/>
  <c r="T724" i="2"/>
  <c r="T1140" i="8" s="1"/>
  <c r="T1141" i="8" s="1"/>
  <c r="Z716" i="8"/>
  <c r="Z717" i="8" s="1"/>
  <c r="Z326" i="2"/>
  <c r="Z748" i="8" s="1"/>
  <c r="Z749" i="8" s="1"/>
  <c r="R1104" i="8"/>
  <c r="R1105" i="8" s="1"/>
  <c r="R723" i="2"/>
  <c r="R1136" i="8" s="1"/>
  <c r="R1137" i="8" s="1"/>
  <c r="Z1104" i="8"/>
  <c r="Z1105" i="8" s="1"/>
  <c r="Z723" i="2"/>
  <c r="Z1136" i="8" s="1"/>
  <c r="Z1137" i="8" s="1"/>
  <c r="F1089" i="8"/>
  <c r="AA1112" i="8"/>
  <c r="AA1113" i="8" s="1"/>
  <c r="AA725" i="2"/>
  <c r="AA1144" i="8" s="1"/>
  <c r="AA1145" i="8" s="1"/>
  <c r="N880" i="8"/>
  <c r="N881" i="8" s="1"/>
  <c r="N385" i="2"/>
  <c r="AE708" i="8"/>
  <c r="AE709" i="8" s="1"/>
  <c r="AE324" i="2"/>
  <c r="AE740" i="8" s="1"/>
  <c r="AE741" i="8" s="1"/>
  <c r="R828" i="8"/>
  <c r="R829" i="8" s="1"/>
  <c r="R360" i="2"/>
  <c r="R860" i="8" s="1"/>
  <c r="R861" i="8" s="1"/>
  <c r="U1020" i="8"/>
  <c r="U1021" i="8" s="1"/>
  <c r="V682" i="2"/>
  <c r="U747" i="2"/>
  <c r="U736" i="2"/>
  <c r="R1160" i="8"/>
  <c r="R1161" i="8" s="1"/>
  <c r="R753" i="2"/>
  <c r="R1232" i="8" s="1"/>
  <c r="R1233" i="8" s="1"/>
  <c r="R1192" i="8"/>
  <c r="R1193" i="8" s="1"/>
  <c r="R763" i="2"/>
  <c r="R1264" i="8" s="1"/>
  <c r="R1265" i="8" s="1"/>
  <c r="R792" i="2"/>
  <c r="R1348" i="8" s="1"/>
  <c r="R1349" i="8" s="1"/>
  <c r="W708" i="8"/>
  <c r="W709" i="8" s="1"/>
  <c r="W324" i="2"/>
  <c r="W740" i="8" s="1"/>
  <c r="W741" i="8" s="1"/>
  <c r="R1156" i="8"/>
  <c r="R1157" i="8" s="1"/>
  <c r="R752" i="2"/>
  <c r="AE712" i="8"/>
  <c r="AE713" i="8" s="1"/>
  <c r="AE325" i="2"/>
  <c r="AE744" i="8" s="1"/>
  <c r="AE745" i="8" s="1"/>
  <c r="S1172" i="8"/>
  <c r="S1173" i="8" s="1"/>
  <c r="S756" i="2"/>
  <c r="S1244" i="8" s="1"/>
  <c r="S1245" i="8" s="1"/>
  <c r="F733" i="8"/>
  <c r="Y716" i="8"/>
  <c r="Y717" i="8" s="1"/>
  <c r="Y326" i="2"/>
  <c r="Y748" i="8" s="1"/>
  <c r="Y749" i="8" s="1"/>
  <c r="P1104" i="8"/>
  <c r="P1105" i="8" s="1"/>
  <c r="P723" i="2"/>
  <c r="P1136" i="8" s="1"/>
  <c r="P1137" i="8" s="1"/>
  <c r="T1104" i="8"/>
  <c r="T1105" i="8" s="1"/>
  <c r="T723" i="2"/>
  <c r="T1136" i="8" s="1"/>
  <c r="T1137" i="8" s="1"/>
  <c r="Q1112" i="8"/>
  <c r="Q1113" i="8" s="1"/>
  <c r="Q725" i="2"/>
  <c r="Q1144" i="8" s="1"/>
  <c r="Q1145" i="8" s="1"/>
  <c r="P880" i="8"/>
  <c r="P881" i="8" s="1"/>
  <c r="P385" i="2"/>
  <c r="P371" i="2"/>
  <c r="P896" i="8" s="1"/>
  <c r="P897" i="8" s="1"/>
  <c r="M708" i="8"/>
  <c r="M709" i="8" s="1"/>
  <c r="M324" i="2"/>
  <c r="M740" i="8" s="1"/>
  <c r="M741" i="8" s="1"/>
  <c r="R375" i="2"/>
  <c r="R904" i="8" s="1"/>
  <c r="R905" i="8" s="1"/>
  <c r="Q1248" i="8"/>
  <c r="Q1249" i="8" s="1"/>
  <c r="Q773" i="2"/>
  <c r="AC1108" i="8"/>
  <c r="AC1109" i="8" s="1"/>
  <c r="AC724" i="2"/>
  <c r="AC1140" i="8" s="1"/>
  <c r="AC1141" i="8" s="1"/>
  <c r="S1108" i="8"/>
  <c r="S1109" i="8" s="1"/>
  <c r="S724" i="2"/>
  <c r="S1140" i="8" s="1"/>
  <c r="S1141" i="8" s="1"/>
  <c r="S996" i="8"/>
  <c r="S997" i="8" s="1"/>
  <c r="S741" i="2"/>
  <c r="S748" i="2" s="1"/>
  <c r="S1220" i="8" s="1"/>
  <c r="S1221" i="8" s="1"/>
  <c r="T676" i="2"/>
  <c r="S730" i="2"/>
  <c r="AD712" i="8"/>
  <c r="AD713" i="8" s="1"/>
  <c r="AD325" i="2"/>
  <c r="AD744" i="8" s="1"/>
  <c r="AD745" i="8" s="1"/>
  <c r="T1012" i="8"/>
  <c r="T1013" i="8" s="1"/>
  <c r="U680" i="2"/>
  <c r="T745" i="2"/>
  <c r="T734" i="2"/>
  <c r="F701" i="8"/>
  <c r="Q785" i="2"/>
  <c r="Q1324" i="8" s="1"/>
  <c r="Q1325" i="8" s="1"/>
  <c r="Q784" i="2"/>
  <c r="Z1108" i="8"/>
  <c r="Z1109" i="8" s="1"/>
  <c r="Z724" i="2"/>
  <c r="Z1140" i="8" s="1"/>
  <c r="Z1141" i="8" s="1"/>
  <c r="Y1108" i="8"/>
  <c r="Y1109" i="8" s="1"/>
  <c r="Y724" i="2"/>
  <c r="Y1140" i="8" s="1"/>
  <c r="Y1141" i="8" s="1"/>
  <c r="T1008" i="8"/>
  <c r="T1009" i="8" s="1"/>
  <c r="T733" i="2"/>
  <c r="T744" i="2"/>
  <c r="U679" i="2"/>
  <c r="W716" i="8"/>
  <c r="W717" i="8" s="1"/>
  <c r="W326" i="2"/>
  <c r="W748" i="8" s="1"/>
  <c r="W749" i="8" s="1"/>
  <c r="X326" i="2"/>
  <c r="X748" i="8" s="1"/>
  <c r="X749" i="8" s="1"/>
  <c r="X716" i="8"/>
  <c r="X717" i="8" s="1"/>
  <c r="U1104" i="8"/>
  <c r="U1105" i="8" s="1"/>
  <c r="U723" i="2"/>
  <c r="U1136" i="8" s="1"/>
  <c r="U1137" i="8" s="1"/>
  <c r="S1104" i="8"/>
  <c r="S1105" i="8" s="1"/>
  <c r="S723" i="2"/>
  <c r="S1136" i="8" s="1"/>
  <c r="S1137" i="8" s="1"/>
  <c r="F737" i="8"/>
  <c r="N1112" i="8"/>
  <c r="N1113" i="8" s="1"/>
  <c r="N725" i="2"/>
  <c r="N1144" i="8" s="1"/>
  <c r="N1145" i="8" s="1"/>
  <c r="R708" i="8"/>
  <c r="R709" i="8" s="1"/>
  <c r="R324" i="2"/>
  <c r="R740" i="8" s="1"/>
  <c r="R741" i="8" s="1"/>
  <c r="AD324" i="2"/>
  <c r="AD740" i="8" s="1"/>
  <c r="AD741" i="8" s="1"/>
  <c r="AD708" i="8"/>
  <c r="AD709" i="8" s="1"/>
  <c r="S1188" i="8"/>
  <c r="S1189" i="8" s="1"/>
  <c r="S762" i="2"/>
  <c r="S791" i="2"/>
  <c r="R1108" i="8"/>
  <c r="R1109" i="8" s="1"/>
  <c r="R724" i="2"/>
  <c r="R1140" i="8" s="1"/>
  <c r="R1141" i="8" s="1"/>
  <c r="X1108" i="8"/>
  <c r="X1109" i="8" s="1"/>
  <c r="X724" i="2"/>
  <c r="X1140" i="8" s="1"/>
  <c r="X1141" i="8" s="1"/>
  <c r="S1204" i="8"/>
  <c r="S1205" i="8" s="1"/>
  <c r="S795" i="2"/>
  <c r="S1360" i="8" s="1"/>
  <c r="S1361" i="8" s="1"/>
  <c r="S766" i="2"/>
  <c r="S1276" i="8" s="1"/>
  <c r="S1277" i="8" s="1"/>
  <c r="S326" i="2"/>
  <c r="S748" i="8" s="1"/>
  <c r="S749" i="8" s="1"/>
  <c r="S716" i="8"/>
  <c r="S717" i="8" s="1"/>
  <c r="AD1104" i="8"/>
  <c r="AD1105" i="8" s="1"/>
  <c r="AD723" i="2"/>
  <c r="AD1136" i="8" s="1"/>
  <c r="AD1137" i="8" s="1"/>
  <c r="Q770" i="2"/>
  <c r="Q1292" i="8" s="1"/>
  <c r="Q1293" i="8" s="1"/>
  <c r="F705" i="8"/>
  <c r="AE1112" i="8"/>
  <c r="AE1113" i="8" s="1"/>
  <c r="AE725" i="2"/>
  <c r="AE1144" i="8" s="1"/>
  <c r="AE1145" i="8" s="1"/>
  <c r="Q324" i="2"/>
  <c r="Q740" i="8" s="1"/>
  <c r="Q741" i="8" s="1"/>
  <c r="Q708" i="8"/>
  <c r="Q709" i="8" s="1"/>
  <c r="L708" i="8"/>
  <c r="L709" i="8" s="1"/>
  <c r="L324" i="2"/>
  <c r="L740" i="8" s="1"/>
  <c r="L741" i="8" s="1"/>
  <c r="M770" i="2"/>
  <c r="M1292" i="8" s="1"/>
  <c r="M1293" i="8" s="1"/>
  <c r="Q777" i="2"/>
  <c r="Q1312" i="8" s="1"/>
  <c r="Q1313" i="8" s="1"/>
  <c r="O462" i="2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Q514" i="2"/>
  <c r="P191" i="8"/>
  <c r="P192" i="8" s="1"/>
  <c r="O175" i="2"/>
  <c r="N83" i="8"/>
  <c r="N84" i="8" s="1"/>
  <c r="P574" i="2"/>
  <c r="O227" i="8"/>
  <c r="O228" i="8" s="1"/>
  <c r="P634" i="2"/>
  <c r="O263" i="8"/>
  <c r="O264" i="8" s="1"/>
  <c r="Q456" i="2"/>
  <c r="P163" i="8"/>
  <c r="P164" i="8" s="1"/>
  <c r="P640" i="2"/>
  <c r="O287" i="8"/>
  <c r="O288" i="8" s="1"/>
  <c r="P638" i="2"/>
  <c r="O279" i="8"/>
  <c r="O280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P181" i="2"/>
  <c r="O107" i="8"/>
  <c r="O108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79" i="2"/>
  <c r="P247" i="8"/>
  <c r="P248" i="8" s="1"/>
  <c r="Q517" i="2"/>
  <c r="P203" i="8"/>
  <c r="P204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P235" i="8"/>
  <c r="P236" i="8" s="1"/>
  <c r="P522" i="2"/>
  <c r="Q513" i="2"/>
  <c r="P187" i="8"/>
  <c r="P188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454" i="2"/>
  <c r="P155" i="8"/>
  <c r="P1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O582" i="2"/>
  <c r="P573" i="2"/>
  <c r="O223" i="8"/>
  <c r="O224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O642" i="2"/>
  <c r="Q516" i="2"/>
  <c r="P199" i="8"/>
  <c r="P200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Q521" i="2"/>
  <c r="P219" i="8"/>
  <c r="P220" i="8" s="1"/>
  <c r="O180" i="2"/>
  <c r="N103" i="8"/>
  <c r="N104" i="8" s="1"/>
  <c r="P459" i="2"/>
  <c r="O175" i="8"/>
  <c r="O176" i="8" s="1"/>
  <c r="T786" i="2" l="1"/>
  <c r="T1328" i="8" s="1"/>
  <c r="T1329" i="8" s="1"/>
  <c r="Q379" i="2"/>
  <c r="Q920" i="8" s="1"/>
  <c r="Q921" i="8" s="1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396" i="2"/>
  <c r="S964" i="8" s="1"/>
  <c r="S965" i="8" s="1"/>
  <c r="S367" i="2"/>
  <c r="S880" i="8" s="1"/>
  <c r="S881" i="8" s="1"/>
  <c r="S356" i="2"/>
  <c r="S844" i="8" s="1"/>
  <c r="S845" i="8" s="1"/>
  <c r="S772" i="8"/>
  <c r="S773" i="8" s="1"/>
  <c r="T345" i="2"/>
  <c r="T612" i="8"/>
  <c r="T613" i="8" s="1"/>
  <c r="U280" i="2"/>
  <c r="T334" i="2"/>
  <c r="S1344" i="8"/>
  <c r="S1345" i="8" s="1"/>
  <c r="T996" i="8"/>
  <c r="T997" i="8" s="1"/>
  <c r="U676" i="2"/>
  <c r="T741" i="2"/>
  <c r="T730" i="2"/>
  <c r="M924" i="8"/>
  <c r="M925" i="8" s="1"/>
  <c r="M390" i="2"/>
  <c r="M944" i="8" s="1"/>
  <c r="F717" i="8"/>
  <c r="T1004" i="8"/>
  <c r="T1005" i="8" s="1"/>
  <c r="T743" i="2"/>
  <c r="U678" i="2"/>
  <c r="T732" i="2"/>
  <c r="S804" i="8"/>
  <c r="S805" i="8" s="1"/>
  <c r="S366" i="2"/>
  <c r="S876" i="8" s="1"/>
  <c r="S877" i="8" s="1"/>
  <c r="S395" i="2"/>
  <c r="S960" i="8" s="1"/>
  <c r="S961" i="8" s="1"/>
  <c r="S1164" i="8"/>
  <c r="S1165" i="8" s="1"/>
  <c r="S754" i="2"/>
  <c r="S1236" i="8" s="1"/>
  <c r="S1237" i="8" s="1"/>
  <c r="S1192" i="8"/>
  <c r="S1193" i="8" s="1"/>
  <c r="S763" i="2"/>
  <c r="S1264" i="8" s="1"/>
  <c r="S1265" i="8" s="1"/>
  <c r="S792" i="2"/>
  <c r="S1348" i="8" s="1"/>
  <c r="S1349" i="8" s="1"/>
  <c r="U1180" i="8"/>
  <c r="U1181" i="8" s="1"/>
  <c r="U775" i="2"/>
  <c r="U1304" i="8" s="1"/>
  <c r="U1305" i="8" s="1"/>
  <c r="U758" i="2"/>
  <c r="U1252" i="8" s="1"/>
  <c r="U1253" i="8" s="1"/>
  <c r="O924" i="8"/>
  <c r="O925" i="8" s="1"/>
  <c r="O390" i="2"/>
  <c r="O944" i="8" s="1"/>
  <c r="S1200" i="8"/>
  <c r="S1201" i="8" s="1"/>
  <c r="S765" i="2"/>
  <c r="S1272" i="8" s="1"/>
  <c r="S1273" i="8" s="1"/>
  <c r="S788" i="2"/>
  <c r="S1336" i="8" s="1"/>
  <c r="S1337" i="8" s="1"/>
  <c r="S794" i="2"/>
  <c r="S1356" i="8" s="1"/>
  <c r="S1357" i="8" s="1"/>
  <c r="S768" i="8"/>
  <c r="S769" i="8" s="1"/>
  <c r="S355" i="2"/>
  <c r="S840" i="8" s="1"/>
  <c r="S841" i="8" s="1"/>
  <c r="R799" i="2"/>
  <c r="R1376" i="8" s="1"/>
  <c r="R1377" i="8" s="1"/>
  <c r="R371" i="2"/>
  <c r="R896" i="8" s="1"/>
  <c r="R897" i="8" s="1"/>
  <c r="S737" i="2"/>
  <c r="S1184" i="8" s="1"/>
  <c r="S1185" i="8" s="1"/>
  <c r="U1216" i="8"/>
  <c r="U1217" i="8" s="1"/>
  <c r="U798" i="2"/>
  <c r="U1372" i="8" s="1"/>
  <c r="U1373" i="8" s="1"/>
  <c r="U769" i="2"/>
  <c r="U1288" i="8" s="1"/>
  <c r="U1289" i="8" s="1"/>
  <c r="S1224" i="8"/>
  <c r="S1225" i="8" s="1"/>
  <c r="S759" i="2"/>
  <c r="S1256" i="8" s="1"/>
  <c r="S1257" i="8" s="1"/>
  <c r="Q1320" i="8"/>
  <c r="Q1321" i="8" s="1"/>
  <c r="Q789" i="2"/>
  <c r="Q1340" i="8" s="1"/>
  <c r="P924" i="8"/>
  <c r="P925" i="8" s="1"/>
  <c r="P390" i="2"/>
  <c r="P944" i="8" s="1"/>
  <c r="S1160" i="8"/>
  <c r="S1161" i="8" s="1"/>
  <c r="S753" i="2"/>
  <c r="S1232" i="8" s="1"/>
  <c r="S1233" i="8" s="1"/>
  <c r="F1137" i="8"/>
  <c r="L924" i="8"/>
  <c r="L925" i="8" s="1"/>
  <c r="L390" i="2"/>
  <c r="L944" i="8" s="1"/>
  <c r="T820" i="8"/>
  <c r="T821" i="8" s="1"/>
  <c r="T399" i="2"/>
  <c r="T976" i="8" s="1"/>
  <c r="T977" i="8" s="1"/>
  <c r="T370" i="2"/>
  <c r="T892" i="8" s="1"/>
  <c r="T893" i="8" s="1"/>
  <c r="F713" i="8"/>
  <c r="U760" i="8"/>
  <c r="U761" i="8" s="1"/>
  <c r="U353" i="2"/>
  <c r="U832" i="8" s="1"/>
  <c r="U833" i="8" s="1"/>
  <c r="S1156" i="8"/>
  <c r="S1157" i="8" s="1"/>
  <c r="S752" i="2"/>
  <c r="S1228" i="8" s="1"/>
  <c r="S1229" i="8" s="1"/>
  <c r="F749" i="8"/>
  <c r="S1260" i="8"/>
  <c r="S1261" i="8" s="1"/>
  <c r="T1000" i="8"/>
  <c r="T1001" i="8" s="1"/>
  <c r="T731" i="2"/>
  <c r="U677" i="2"/>
  <c r="T742" i="2"/>
  <c r="F1105" i="8"/>
  <c r="N1320" i="8"/>
  <c r="N1321" i="8" s="1"/>
  <c r="N789" i="2"/>
  <c r="N1340" i="8" s="1"/>
  <c r="F1141" i="8"/>
  <c r="S387" i="2"/>
  <c r="S932" i="8" s="1"/>
  <c r="S933" i="8" s="1"/>
  <c r="U796" i="8"/>
  <c r="U797" i="8" s="1"/>
  <c r="U364" i="2"/>
  <c r="U868" i="8" s="1"/>
  <c r="U869" i="8" s="1"/>
  <c r="U393" i="2"/>
  <c r="U952" i="8" s="1"/>
  <c r="U953" i="8" s="1"/>
  <c r="U624" i="8"/>
  <c r="U625" i="8" s="1"/>
  <c r="U337" i="2"/>
  <c r="U348" i="2"/>
  <c r="V283" i="2"/>
  <c r="F741" i="8"/>
  <c r="R1228" i="8"/>
  <c r="R1229" i="8" s="1"/>
  <c r="R774" i="2"/>
  <c r="R1300" i="8" s="1"/>
  <c r="R1301" i="8" s="1"/>
  <c r="S948" i="8"/>
  <c r="S949" i="8" s="1"/>
  <c r="S400" i="2"/>
  <c r="S980" i="8" s="1"/>
  <c r="S981" i="8" s="1"/>
  <c r="F1109" i="8"/>
  <c r="V600" i="8"/>
  <c r="V601" i="8" s="1"/>
  <c r="W277" i="2"/>
  <c r="V342" i="2"/>
  <c r="V331" i="2"/>
  <c r="F709" i="8"/>
  <c r="T1172" i="8"/>
  <c r="T1173" i="8" s="1"/>
  <c r="T756" i="2"/>
  <c r="T1244" i="8" s="1"/>
  <c r="T1245" i="8" s="1"/>
  <c r="T620" i="8"/>
  <c r="T621" i="8" s="1"/>
  <c r="U282" i="2"/>
  <c r="T347" i="2"/>
  <c r="T336" i="2"/>
  <c r="S864" i="8"/>
  <c r="S865" i="8" s="1"/>
  <c r="M1320" i="8"/>
  <c r="M1321" i="8" s="1"/>
  <c r="M789" i="2"/>
  <c r="M1340" i="8" s="1"/>
  <c r="S338" i="2"/>
  <c r="S788" i="8" s="1"/>
  <c r="S789" i="8" s="1"/>
  <c r="R785" i="2"/>
  <c r="R1324" i="8" s="1"/>
  <c r="R1325" i="8" s="1"/>
  <c r="S1176" i="8"/>
  <c r="S1177" i="8" s="1"/>
  <c r="S757" i="2"/>
  <c r="S1248" i="8" s="1"/>
  <c r="S1249" i="8" s="1"/>
  <c r="R1284" i="8"/>
  <c r="R1285" i="8" s="1"/>
  <c r="R784" i="2"/>
  <c r="S816" i="8"/>
  <c r="S817" i="8" s="1"/>
  <c r="S398" i="2"/>
  <c r="S972" i="8" s="1"/>
  <c r="S973" i="8" s="1"/>
  <c r="S369" i="2"/>
  <c r="S888" i="8" s="1"/>
  <c r="S889" i="8" s="1"/>
  <c r="R759" i="2"/>
  <c r="R1256" i="8" s="1"/>
  <c r="R1257" i="8" s="1"/>
  <c r="T1208" i="8"/>
  <c r="T1209" i="8" s="1"/>
  <c r="T796" i="2"/>
  <c r="T1364" i="8" s="1"/>
  <c r="T1365" i="8" s="1"/>
  <c r="T767" i="2"/>
  <c r="T1280" i="8" s="1"/>
  <c r="T1281" i="8" s="1"/>
  <c r="T800" i="8"/>
  <c r="T801" i="8" s="1"/>
  <c r="T394" i="2"/>
  <c r="T956" i="8" s="1"/>
  <c r="T957" i="8" s="1"/>
  <c r="T365" i="2"/>
  <c r="T872" i="8" s="1"/>
  <c r="T873" i="8" s="1"/>
  <c r="S349" i="2"/>
  <c r="S824" i="8" s="1"/>
  <c r="S825" i="8" s="1"/>
  <c r="P1320" i="8"/>
  <c r="P1321" i="8" s="1"/>
  <c r="P789" i="2"/>
  <c r="P1340" i="8" s="1"/>
  <c r="S1196" i="8"/>
  <c r="S1197" i="8" s="1"/>
  <c r="S793" i="2"/>
  <c r="S1352" i="8" s="1"/>
  <c r="S1353" i="8" s="1"/>
  <c r="S764" i="2"/>
  <c r="S1268" i="8" s="1"/>
  <c r="S1269" i="8" s="1"/>
  <c r="T784" i="8"/>
  <c r="T785" i="8" s="1"/>
  <c r="T359" i="2"/>
  <c r="T856" i="8" s="1"/>
  <c r="T857" i="8" s="1"/>
  <c r="S780" i="8"/>
  <c r="S781" i="8" s="1"/>
  <c r="S358" i="2"/>
  <c r="S852" i="8" s="1"/>
  <c r="S853" i="8" s="1"/>
  <c r="R773" i="2"/>
  <c r="U1012" i="8"/>
  <c r="U1013" i="8" s="1"/>
  <c r="V680" i="2"/>
  <c r="U745" i="2"/>
  <c r="U734" i="2"/>
  <c r="T354" i="2"/>
  <c r="T836" i="8" s="1"/>
  <c r="T837" i="8" s="1"/>
  <c r="T764" i="8"/>
  <c r="T765" i="8" s="1"/>
  <c r="T756" i="8"/>
  <c r="T757" i="8" s="1"/>
  <c r="T375" i="2"/>
  <c r="T904" i="8" s="1"/>
  <c r="T905" i="8" s="1"/>
  <c r="T352" i="2"/>
  <c r="S828" i="8"/>
  <c r="S829" i="8" s="1"/>
  <c r="S773" i="2"/>
  <c r="V1020" i="8"/>
  <c r="V1021" i="8" s="1"/>
  <c r="W682" i="2"/>
  <c r="V747" i="2"/>
  <c r="V736" i="2"/>
  <c r="R924" i="8"/>
  <c r="R925" i="8" s="1"/>
  <c r="R390" i="2"/>
  <c r="R944" i="8" s="1"/>
  <c r="U1008" i="8"/>
  <c r="U1009" i="8" s="1"/>
  <c r="U733" i="2"/>
  <c r="U744" i="2"/>
  <c r="V679" i="2"/>
  <c r="Q1296" i="8"/>
  <c r="Q1297" i="8" s="1"/>
  <c r="Q778" i="2"/>
  <c r="Q1316" i="8" s="1"/>
  <c r="Q1317" i="8" s="1"/>
  <c r="N924" i="8"/>
  <c r="N925" i="8" s="1"/>
  <c r="N390" i="2"/>
  <c r="N944" i="8" s="1"/>
  <c r="U604" i="8"/>
  <c r="U605" i="8" s="1"/>
  <c r="V278" i="2"/>
  <c r="U332" i="2"/>
  <c r="U343" i="2"/>
  <c r="V812" i="8"/>
  <c r="V813" i="8" s="1"/>
  <c r="V397" i="2"/>
  <c r="V968" i="8" s="1"/>
  <c r="V969" i="8" s="1"/>
  <c r="V368" i="2"/>
  <c r="V884" i="8" s="1"/>
  <c r="V885" i="8" s="1"/>
  <c r="U596" i="8"/>
  <c r="U597" i="8" s="1"/>
  <c r="U341" i="2"/>
  <c r="U330" i="2"/>
  <c r="V276" i="2"/>
  <c r="R900" i="8"/>
  <c r="R901" i="8" s="1"/>
  <c r="R378" i="2"/>
  <c r="R916" i="8" s="1"/>
  <c r="R917" i="8" s="1"/>
  <c r="T1152" i="8"/>
  <c r="T1153" i="8" s="1"/>
  <c r="T751" i="2"/>
  <c r="F1145" i="8"/>
  <c r="R770" i="2"/>
  <c r="R1292" i="8" s="1"/>
  <c r="R1293" i="8" s="1"/>
  <c r="F745" i="8"/>
  <c r="T1204" i="8"/>
  <c r="T1205" i="8" s="1"/>
  <c r="T795" i="2"/>
  <c r="T1360" i="8" s="1"/>
  <c r="T1361" i="8" s="1"/>
  <c r="T766" i="2"/>
  <c r="T1276" i="8" s="1"/>
  <c r="T1277" i="8" s="1"/>
  <c r="V776" i="8"/>
  <c r="V777" i="8" s="1"/>
  <c r="V357" i="2"/>
  <c r="V848" i="8" s="1"/>
  <c r="V849" i="8" s="1"/>
  <c r="T392" i="2"/>
  <c r="T792" i="8"/>
  <c r="T793" i="8" s="1"/>
  <c r="T363" i="2"/>
  <c r="T386" i="2" s="1"/>
  <c r="T928" i="8" s="1"/>
  <c r="T929" i="8" s="1"/>
  <c r="O1320" i="8"/>
  <c r="O1321" i="8" s="1"/>
  <c r="O789" i="2"/>
  <c r="O1340" i="8" s="1"/>
  <c r="T1188" i="8"/>
  <c r="T1189" i="8" s="1"/>
  <c r="T762" i="2"/>
  <c r="T791" i="2"/>
  <c r="F1113" i="8"/>
  <c r="S1212" i="8"/>
  <c r="S1213" i="8" s="1"/>
  <c r="S797" i="2"/>
  <c r="S1368" i="8" s="1"/>
  <c r="S1369" i="8" s="1"/>
  <c r="S768" i="2"/>
  <c r="S1284" i="8" s="1"/>
  <c r="S1285" i="8" s="1"/>
  <c r="T608" i="8"/>
  <c r="T609" i="8" s="1"/>
  <c r="T333" i="2"/>
  <c r="T344" i="2"/>
  <c r="U279" i="2"/>
  <c r="T1168" i="8"/>
  <c r="T1169" i="8" s="1"/>
  <c r="T755" i="2"/>
  <c r="T1240" i="8" s="1"/>
  <c r="T1241" i="8" s="1"/>
  <c r="W616" i="8"/>
  <c r="W617" i="8" s="1"/>
  <c r="W346" i="2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T748" i="2" s="1"/>
  <c r="T1220" i="8" s="1"/>
  <c r="T1221" i="8" s="1"/>
  <c r="R400" i="2"/>
  <c r="R980" i="8" s="1"/>
  <c r="R981" i="8" s="1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Q522" i="2"/>
  <c r="R513" i="2"/>
  <c r="Q187" i="8"/>
  <c r="Q188" i="8" s="1"/>
  <c r="R458" i="2"/>
  <c r="Q171" i="8"/>
  <c r="Q172" i="8" s="1"/>
  <c r="P175" i="2"/>
  <c r="P183" i="2" s="1"/>
  <c r="O83" i="8"/>
  <c r="O84" i="8" s="1"/>
  <c r="P180" i="2"/>
  <c r="O103" i="8"/>
  <c r="O104" i="8" s="1"/>
  <c r="Q580" i="2"/>
  <c r="P251" i="8"/>
  <c r="P252" i="8" s="1"/>
  <c r="R519" i="2"/>
  <c r="Q211" i="8"/>
  <c r="Q212" i="8" s="1"/>
  <c r="P642" i="2"/>
  <c r="Q573" i="2"/>
  <c r="P582" i="2"/>
  <c r="P223" i="8"/>
  <c r="P224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Q638" i="2"/>
  <c r="P279" i="8"/>
  <c r="P280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454" i="2"/>
  <c r="Q155" i="8"/>
  <c r="Q156" i="8" s="1"/>
  <c r="R56" i="2"/>
  <c r="Q15" i="8"/>
  <c r="Q16" i="8" s="1"/>
  <c r="P462" i="2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Q462" i="2" l="1"/>
  <c r="T387" i="2"/>
  <c r="T932" i="8" s="1"/>
  <c r="T933" i="8" s="1"/>
  <c r="T367" i="2"/>
  <c r="T880" i="8" s="1"/>
  <c r="T881" i="8" s="1"/>
  <c r="T808" i="8"/>
  <c r="T809" i="8" s="1"/>
  <c r="T396" i="2"/>
  <c r="T964" i="8" s="1"/>
  <c r="T965" i="8" s="1"/>
  <c r="U612" i="8"/>
  <c r="U613" i="8" s="1"/>
  <c r="V280" i="2"/>
  <c r="U345" i="2"/>
  <c r="U334" i="2"/>
  <c r="T356" i="2"/>
  <c r="T844" i="8" s="1"/>
  <c r="T845" i="8" s="1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S784" i="2"/>
  <c r="V624" i="8"/>
  <c r="V625" i="8" s="1"/>
  <c r="V337" i="2"/>
  <c r="W283" i="2"/>
  <c r="V348" i="2"/>
  <c r="T1196" i="8"/>
  <c r="T1197" i="8" s="1"/>
  <c r="T793" i="2"/>
  <c r="T1352" i="8" s="1"/>
  <c r="T1353" i="8" s="1"/>
  <c r="T764" i="2"/>
  <c r="T1268" i="8" s="1"/>
  <c r="T1269" i="8" s="1"/>
  <c r="S378" i="2"/>
  <c r="S916" i="8" s="1"/>
  <c r="S917" i="8" s="1"/>
  <c r="T1212" i="8"/>
  <c r="T1213" i="8" s="1"/>
  <c r="T768" i="2"/>
  <c r="T1284" i="8" s="1"/>
  <c r="T1285" i="8" s="1"/>
  <c r="T797" i="2"/>
  <c r="T1368" i="8" s="1"/>
  <c r="T1369" i="8" s="1"/>
  <c r="T1176" i="8"/>
  <c r="T1177" i="8" s="1"/>
  <c r="T757" i="2"/>
  <c r="T1248" i="8" s="1"/>
  <c r="T1249" i="8" s="1"/>
  <c r="U800" i="8"/>
  <c r="U801" i="8" s="1"/>
  <c r="U394" i="2"/>
  <c r="U956" i="8" s="1"/>
  <c r="U957" i="8" s="1"/>
  <c r="U365" i="2"/>
  <c r="U872" i="8" s="1"/>
  <c r="U873" i="8" s="1"/>
  <c r="T376" i="2"/>
  <c r="T908" i="8" s="1"/>
  <c r="T909" i="8" s="1"/>
  <c r="U820" i="8"/>
  <c r="U821" i="8" s="1"/>
  <c r="U399" i="2"/>
  <c r="U976" i="8" s="1"/>
  <c r="U977" i="8" s="1"/>
  <c r="U387" i="2"/>
  <c r="U932" i="8" s="1"/>
  <c r="U933" i="8" s="1"/>
  <c r="U370" i="2"/>
  <c r="U892" i="8" s="1"/>
  <c r="U893" i="8" s="1"/>
  <c r="U1000" i="8"/>
  <c r="U1001" i="8" s="1"/>
  <c r="U731" i="2"/>
  <c r="V677" i="2"/>
  <c r="U742" i="2"/>
  <c r="V604" i="8"/>
  <c r="V605" i="8" s="1"/>
  <c r="W278" i="2"/>
  <c r="V343" i="2"/>
  <c r="V332" i="2"/>
  <c r="U1152" i="8"/>
  <c r="U1153" i="8" s="1"/>
  <c r="U751" i="2"/>
  <c r="T804" i="8"/>
  <c r="T805" i="8" s="1"/>
  <c r="T366" i="2"/>
  <c r="T876" i="8" s="1"/>
  <c r="T877" i="8" s="1"/>
  <c r="T395" i="2"/>
  <c r="T960" i="8" s="1"/>
  <c r="T961" i="8" s="1"/>
  <c r="W1020" i="8"/>
  <c r="W1021" i="8" s="1"/>
  <c r="X682" i="2"/>
  <c r="W747" i="2"/>
  <c r="W736" i="2"/>
  <c r="X277" i="2"/>
  <c r="W600" i="8"/>
  <c r="W601" i="8" s="1"/>
  <c r="W342" i="2"/>
  <c r="W331" i="2"/>
  <c r="S770" i="2"/>
  <c r="S1292" i="8" s="1"/>
  <c r="S1293" i="8" s="1"/>
  <c r="T1156" i="8"/>
  <c r="T1157" i="8" s="1"/>
  <c r="T752" i="2"/>
  <c r="T1228" i="8" s="1"/>
  <c r="T1229" i="8" s="1"/>
  <c r="S774" i="2"/>
  <c r="S1300" i="8" s="1"/>
  <c r="S1301" i="8" s="1"/>
  <c r="S785" i="2"/>
  <c r="S1324" i="8" s="1"/>
  <c r="S1325" i="8" s="1"/>
  <c r="V760" i="8"/>
  <c r="V761" i="8" s="1"/>
  <c r="V353" i="2"/>
  <c r="V832" i="8" s="1"/>
  <c r="V833" i="8" s="1"/>
  <c r="T1160" i="8"/>
  <c r="T1161" i="8" s="1"/>
  <c r="T753" i="2"/>
  <c r="T1232" i="8" s="1"/>
  <c r="T1233" i="8" s="1"/>
  <c r="T784" i="2"/>
  <c r="V1216" i="8"/>
  <c r="V1217" i="8" s="1"/>
  <c r="V769" i="2"/>
  <c r="V1288" i="8" s="1"/>
  <c r="V1289" i="8" s="1"/>
  <c r="V798" i="2"/>
  <c r="V1372" i="8" s="1"/>
  <c r="V1373" i="8" s="1"/>
  <c r="V992" i="8"/>
  <c r="V993" i="8" s="1"/>
  <c r="W675" i="2"/>
  <c r="V729" i="2"/>
  <c r="V740" i="2"/>
  <c r="T768" i="8"/>
  <c r="T769" i="8" s="1"/>
  <c r="T355" i="2"/>
  <c r="T840" i="8" s="1"/>
  <c r="T841" i="8" s="1"/>
  <c r="T864" i="8"/>
  <c r="T865" i="8" s="1"/>
  <c r="V596" i="8"/>
  <c r="V597" i="8" s="1"/>
  <c r="V330" i="2"/>
  <c r="V341" i="2"/>
  <c r="W276" i="2"/>
  <c r="T1192" i="8"/>
  <c r="T1193" i="8" s="1"/>
  <c r="T792" i="2"/>
  <c r="T1348" i="8" s="1"/>
  <c r="T1349" i="8" s="1"/>
  <c r="T763" i="2"/>
  <c r="T1264" i="8" s="1"/>
  <c r="T1265" i="8" s="1"/>
  <c r="V796" i="8"/>
  <c r="V797" i="8" s="1"/>
  <c r="V364" i="2"/>
  <c r="V868" i="8" s="1"/>
  <c r="V869" i="8" s="1"/>
  <c r="V393" i="2"/>
  <c r="V952" i="8" s="1"/>
  <c r="V953" i="8" s="1"/>
  <c r="T349" i="2"/>
  <c r="T824" i="8" s="1"/>
  <c r="T825" i="8" s="1"/>
  <c r="S1296" i="8"/>
  <c r="S1297" i="8" s="1"/>
  <c r="U1172" i="8"/>
  <c r="U1173" i="8" s="1"/>
  <c r="U756" i="2"/>
  <c r="U1244" i="8" s="1"/>
  <c r="U1245" i="8" s="1"/>
  <c r="U786" i="2"/>
  <c r="U1328" i="8" s="1"/>
  <c r="U1329" i="8" s="1"/>
  <c r="U1188" i="8"/>
  <c r="U1189" i="8" s="1"/>
  <c r="U762" i="2"/>
  <c r="U791" i="2"/>
  <c r="U792" i="8"/>
  <c r="U793" i="8" s="1"/>
  <c r="U392" i="2"/>
  <c r="U363" i="2"/>
  <c r="U386" i="2" s="1"/>
  <c r="U928" i="8" s="1"/>
  <c r="U929" i="8" s="1"/>
  <c r="T948" i="8"/>
  <c r="T949" i="8" s="1"/>
  <c r="S360" i="2"/>
  <c r="S860" i="8" s="1"/>
  <c r="S861" i="8" s="1"/>
  <c r="U1208" i="8"/>
  <c r="U1209" i="8" s="1"/>
  <c r="U796" i="2"/>
  <c r="U1364" i="8" s="1"/>
  <c r="U1365" i="8" s="1"/>
  <c r="U767" i="2"/>
  <c r="U1280" i="8" s="1"/>
  <c r="U1281" i="8" s="1"/>
  <c r="S385" i="2"/>
  <c r="T780" i="8"/>
  <c r="T781" i="8" s="1"/>
  <c r="T358" i="2"/>
  <c r="T852" i="8" s="1"/>
  <c r="T853" i="8" s="1"/>
  <c r="S799" i="2"/>
  <c r="S1376" i="8" s="1"/>
  <c r="S1377" i="8" s="1"/>
  <c r="U756" i="8"/>
  <c r="U757" i="8" s="1"/>
  <c r="U352" i="2"/>
  <c r="U996" i="8"/>
  <c r="U997" i="8" s="1"/>
  <c r="U730" i="2"/>
  <c r="V676" i="2"/>
  <c r="U741" i="2"/>
  <c r="U748" i="2" s="1"/>
  <c r="U1220" i="8" s="1"/>
  <c r="U1221" i="8" s="1"/>
  <c r="V1008" i="8"/>
  <c r="V1009" i="8" s="1"/>
  <c r="V744" i="2"/>
  <c r="W679" i="2"/>
  <c r="V733" i="2"/>
  <c r="V1012" i="8"/>
  <c r="V1013" i="8" s="1"/>
  <c r="V745" i="2"/>
  <c r="W680" i="2"/>
  <c r="V734" i="2"/>
  <c r="T816" i="8"/>
  <c r="T817" i="8" s="1"/>
  <c r="T398" i="2"/>
  <c r="T972" i="8" s="1"/>
  <c r="T973" i="8" s="1"/>
  <c r="T369" i="2"/>
  <c r="T888" i="8" s="1"/>
  <c r="T889" i="8" s="1"/>
  <c r="T385" i="2"/>
  <c r="U608" i="8"/>
  <c r="U609" i="8" s="1"/>
  <c r="U344" i="2"/>
  <c r="V279" i="2"/>
  <c r="U333" i="2"/>
  <c r="R379" i="2"/>
  <c r="R920" i="8" s="1"/>
  <c r="R921" i="8" s="1"/>
  <c r="W776" i="8"/>
  <c r="W777" i="8" s="1"/>
  <c r="W357" i="2"/>
  <c r="W848" i="8" s="1"/>
  <c r="W849" i="8" s="1"/>
  <c r="U1204" i="8"/>
  <c r="U1205" i="8" s="1"/>
  <c r="U766" i="2"/>
  <c r="U1276" i="8" s="1"/>
  <c r="U1277" i="8" s="1"/>
  <c r="U795" i="2"/>
  <c r="U1360" i="8" s="1"/>
  <c r="U1361" i="8" s="1"/>
  <c r="T338" i="2"/>
  <c r="T788" i="8" s="1"/>
  <c r="T789" i="8" s="1"/>
  <c r="U620" i="8"/>
  <c r="U621" i="8" s="1"/>
  <c r="V282" i="2"/>
  <c r="U347" i="2"/>
  <c r="U336" i="2"/>
  <c r="U338" i="2" s="1"/>
  <c r="U788" i="8" s="1"/>
  <c r="U789" i="8" s="1"/>
  <c r="T1164" i="8"/>
  <c r="T1165" i="8" s="1"/>
  <c r="T754" i="2"/>
  <c r="T1236" i="8" s="1"/>
  <c r="T1237" i="8" s="1"/>
  <c r="U764" i="8"/>
  <c r="U765" i="8" s="1"/>
  <c r="U354" i="2"/>
  <c r="U836" i="8" s="1"/>
  <c r="U837" i="8" s="1"/>
  <c r="V1180" i="8"/>
  <c r="V1181" i="8" s="1"/>
  <c r="V758" i="2"/>
  <c r="V1252" i="8" s="1"/>
  <c r="V1253" i="8" s="1"/>
  <c r="U784" i="8"/>
  <c r="U785" i="8" s="1"/>
  <c r="U359" i="2"/>
  <c r="U856" i="8" s="1"/>
  <c r="U857" i="8" s="1"/>
  <c r="X616" i="8"/>
  <c r="X617" i="8" s="1"/>
  <c r="X346" i="2"/>
  <c r="Y281" i="2"/>
  <c r="X335" i="2"/>
  <c r="T1344" i="8"/>
  <c r="T1345" i="8" s="1"/>
  <c r="T1224" i="8"/>
  <c r="T1225" i="8" s="1"/>
  <c r="U1168" i="8"/>
  <c r="U1169" i="8" s="1"/>
  <c r="U755" i="2"/>
  <c r="U1240" i="8" s="1"/>
  <c r="U1241" i="8" s="1"/>
  <c r="T828" i="8"/>
  <c r="T829" i="8" s="1"/>
  <c r="R1296" i="8"/>
  <c r="R1297" i="8" s="1"/>
  <c r="R778" i="2"/>
  <c r="R1316" i="8" s="1"/>
  <c r="R1317" i="8" s="1"/>
  <c r="U1004" i="8"/>
  <c r="U1005" i="8" s="1"/>
  <c r="U743" i="2"/>
  <c r="U732" i="2"/>
  <c r="V678" i="2"/>
  <c r="W812" i="8"/>
  <c r="W813" i="8" s="1"/>
  <c r="W397" i="2"/>
  <c r="W968" i="8" s="1"/>
  <c r="W969" i="8" s="1"/>
  <c r="W368" i="2"/>
  <c r="W884" i="8" s="1"/>
  <c r="W885" i="8" s="1"/>
  <c r="T785" i="2"/>
  <c r="T1324" i="8" s="1"/>
  <c r="T1325" i="8" s="1"/>
  <c r="T737" i="2"/>
  <c r="T1184" i="8" s="1"/>
  <c r="T1185" i="8" s="1"/>
  <c r="S374" i="2"/>
  <c r="R1320" i="8"/>
  <c r="R1321" i="8" s="1"/>
  <c r="R789" i="2"/>
  <c r="R1340" i="8" s="1"/>
  <c r="T1200" i="8"/>
  <c r="T1201" i="8" s="1"/>
  <c r="T765" i="2"/>
  <c r="T1272" i="8" s="1"/>
  <c r="T1273" i="8" s="1"/>
  <c r="T794" i="2"/>
  <c r="T1356" i="8" s="1"/>
  <c r="T1357" i="8" s="1"/>
  <c r="S56" i="2"/>
  <c r="R15" i="8"/>
  <c r="R16" i="8" s="1"/>
  <c r="S60" i="2"/>
  <c r="R31" i="8"/>
  <c r="R32" i="8" s="1"/>
  <c r="R522" i="2"/>
  <c r="S513" i="2"/>
  <c r="R187" i="8"/>
  <c r="R188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S454" i="2"/>
  <c r="R155" i="8"/>
  <c r="R156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638" i="2"/>
  <c r="Q279" i="8"/>
  <c r="Q280" i="8" s="1"/>
  <c r="R577" i="2"/>
  <c r="Q239" i="8"/>
  <c r="Q240" i="8" s="1"/>
  <c r="S518" i="2"/>
  <c r="R207" i="8"/>
  <c r="R208" i="8" s="1"/>
  <c r="Q642" i="2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Q582" i="2"/>
  <c r="R573" i="2"/>
  <c r="Q223" i="8"/>
  <c r="Q224" i="8" s="1"/>
  <c r="R636" i="2"/>
  <c r="Q271" i="8"/>
  <c r="Q272" i="8" s="1"/>
  <c r="S520" i="2"/>
  <c r="R215" i="8"/>
  <c r="R216" i="8" s="1"/>
  <c r="T360" i="2" l="1"/>
  <c r="T860" i="8" s="1"/>
  <c r="T861" i="8" s="1"/>
  <c r="U376" i="2"/>
  <c r="U908" i="8" s="1"/>
  <c r="U909" i="8" s="1"/>
  <c r="U737" i="2"/>
  <c r="U1184" i="8" s="1"/>
  <c r="U1185" i="8" s="1"/>
  <c r="U772" i="8"/>
  <c r="U773" i="8" s="1"/>
  <c r="U356" i="2"/>
  <c r="U844" i="8" s="1"/>
  <c r="U845" i="8" s="1"/>
  <c r="U808" i="8"/>
  <c r="U809" i="8" s="1"/>
  <c r="U396" i="2"/>
  <c r="U964" i="8" s="1"/>
  <c r="U965" i="8" s="1"/>
  <c r="U367" i="2"/>
  <c r="U880" i="8" s="1"/>
  <c r="U881" i="8" s="1"/>
  <c r="V612" i="8"/>
  <c r="V613" i="8" s="1"/>
  <c r="W280" i="2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T773" i="2"/>
  <c r="U1192" i="8"/>
  <c r="U1193" i="8" s="1"/>
  <c r="U792" i="2"/>
  <c r="U1348" i="8" s="1"/>
  <c r="U1349" i="8" s="1"/>
  <c r="U763" i="2"/>
  <c r="U1264" i="8" s="1"/>
  <c r="U1265" i="8" s="1"/>
  <c r="V1188" i="8"/>
  <c r="V1189" i="8" s="1"/>
  <c r="V791" i="2"/>
  <c r="V762" i="2"/>
  <c r="T799" i="2"/>
  <c r="T1376" i="8" s="1"/>
  <c r="T1377" i="8" s="1"/>
  <c r="V996" i="8"/>
  <c r="V997" i="8" s="1"/>
  <c r="V730" i="2"/>
  <c r="V737" i="2" s="1"/>
  <c r="V1184" i="8" s="1"/>
  <c r="V1185" i="8" s="1"/>
  <c r="W676" i="2"/>
  <c r="V741" i="2"/>
  <c r="U1260" i="8"/>
  <c r="U1261" i="8" s="1"/>
  <c r="V1152" i="8"/>
  <c r="V1153" i="8" s="1"/>
  <c r="V751" i="2"/>
  <c r="T777" i="2"/>
  <c r="T1312" i="8" s="1"/>
  <c r="T1313" i="8" s="1"/>
  <c r="Y616" i="8"/>
  <c r="Y617" i="8" s="1"/>
  <c r="Y346" i="2"/>
  <c r="Z281" i="2"/>
  <c r="Y335" i="2"/>
  <c r="W1012" i="8"/>
  <c r="W1013" i="8" s="1"/>
  <c r="W745" i="2"/>
  <c r="X680" i="2"/>
  <c r="W734" i="2"/>
  <c r="T400" i="2"/>
  <c r="T980" i="8" s="1"/>
  <c r="T981" i="8" s="1"/>
  <c r="V820" i="8"/>
  <c r="V821" i="8" s="1"/>
  <c r="V399" i="2"/>
  <c r="V976" i="8" s="1"/>
  <c r="V977" i="8" s="1"/>
  <c r="V370" i="2"/>
  <c r="V892" i="8" s="1"/>
  <c r="V893" i="8" s="1"/>
  <c r="T774" i="2"/>
  <c r="T1300" i="8" s="1"/>
  <c r="T1301" i="8" s="1"/>
  <c r="S900" i="8"/>
  <c r="S901" i="8" s="1"/>
  <c r="S379" i="2"/>
  <c r="S920" i="8" s="1"/>
  <c r="S921" i="8" s="1"/>
  <c r="X812" i="8"/>
  <c r="X813" i="8" s="1"/>
  <c r="X397" i="2"/>
  <c r="X968" i="8" s="1"/>
  <c r="X969" i="8" s="1"/>
  <c r="X368" i="2"/>
  <c r="X884" i="8" s="1"/>
  <c r="X885" i="8" s="1"/>
  <c r="V1208" i="8"/>
  <c r="V1209" i="8" s="1"/>
  <c r="V767" i="2"/>
  <c r="V1280" i="8" s="1"/>
  <c r="V1281" i="8" s="1"/>
  <c r="V796" i="2"/>
  <c r="V1364" i="8" s="1"/>
  <c r="V1365" i="8" s="1"/>
  <c r="W330" i="2"/>
  <c r="W341" i="2"/>
  <c r="W596" i="8"/>
  <c r="W597" i="8" s="1"/>
  <c r="X276" i="2"/>
  <c r="W760" i="8"/>
  <c r="W761" i="8" s="1"/>
  <c r="W353" i="2"/>
  <c r="W832" i="8" s="1"/>
  <c r="W833" i="8" s="1"/>
  <c r="W624" i="8"/>
  <c r="W625" i="8" s="1"/>
  <c r="W348" i="2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392" i="2"/>
  <c r="V363" i="2"/>
  <c r="V786" i="2"/>
  <c r="V1328" i="8" s="1"/>
  <c r="V1329" i="8" s="1"/>
  <c r="W796" i="8"/>
  <c r="W797" i="8" s="1"/>
  <c r="W393" i="2"/>
  <c r="W952" i="8" s="1"/>
  <c r="W953" i="8" s="1"/>
  <c r="W364" i="2"/>
  <c r="W868" i="8" s="1"/>
  <c r="W869" i="8" s="1"/>
  <c r="V784" i="8"/>
  <c r="V785" i="8" s="1"/>
  <c r="V359" i="2"/>
  <c r="V856" i="8" s="1"/>
  <c r="V857" i="8" s="1"/>
  <c r="V376" i="2"/>
  <c r="V908" i="8" s="1"/>
  <c r="V909" i="8" s="1"/>
  <c r="T924" i="8"/>
  <c r="T925" i="8" s="1"/>
  <c r="T390" i="2"/>
  <c r="T944" i="8" s="1"/>
  <c r="U1344" i="8"/>
  <c r="U1345" i="8" s="1"/>
  <c r="U780" i="8"/>
  <c r="U781" i="8" s="1"/>
  <c r="U358" i="2"/>
  <c r="U852" i="8" s="1"/>
  <c r="U853" i="8" s="1"/>
  <c r="V756" i="8"/>
  <c r="V757" i="8" s="1"/>
  <c r="V375" i="2"/>
  <c r="V904" i="8" s="1"/>
  <c r="V905" i="8" s="1"/>
  <c r="V352" i="2"/>
  <c r="U816" i="8"/>
  <c r="U817" i="8" s="1"/>
  <c r="U369" i="2"/>
  <c r="U888" i="8" s="1"/>
  <c r="U889" i="8" s="1"/>
  <c r="U398" i="2"/>
  <c r="U972" i="8" s="1"/>
  <c r="U973" i="8" s="1"/>
  <c r="W1008" i="8"/>
  <c r="W1009" i="8" s="1"/>
  <c r="W744" i="2"/>
  <c r="W733" i="2"/>
  <c r="X679" i="2"/>
  <c r="S778" i="2"/>
  <c r="S1316" i="8" s="1"/>
  <c r="S1317" i="8" s="1"/>
  <c r="T1320" i="8"/>
  <c r="T1321" i="8" s="1"/>
  <c r="Y277" i="2"/>
  <c r="X600" i="8"/>
  <c r="X601" i="8" s="1"/>
  <c r="X342" i="2"/>
  <c r="X331" i="2"/>
  <c r="V800" i="8"/>
  <c r="V801" i="8" s="1"/>
  <c r="V394" i="2"/>
  <c r="V956" i="8" s="1"/>
  <c r="V957" i="8" s="1"/>
  <c r="V365" i="2"/>
  <c r="V872" i="8" s="1"/>
  <c r="V873" i="8" s="1"/>
  <c r="S1320" i="8"/>
  <c r="S1321" i="8" s="1"/>
  <c r="S789" i="2"/>
  <c r="S1340" i="8" s="1"/>
  <c r="U1160" i="8"/>
  <c r="U1161" i="8" s="1"/>
  <c r="U753" i="2"/>
  <c r="U1232" i="8" s="1"/>
  <c r="U1233" i="8" s="1"/>
  <c r="U1156" i="8"/>
  <c r="U1157" i="8" s="1"/>
  <c r="U752" i="2"/>
  <c r="U1228" i="8" s="1"/>
  <c r="U1229" i="8" s="1"/>
  <c r="X776" i="8"/>
  <c r="X777" i="8" s="1"/>
  <c r="X357" i="2"/>
  <c r="X848" i="8" s="1"/>
  <c r="X849" i="8" s="1"/>
  <c r="V1172" i="8"/>
  <c r="V1173" i="8" s="1"/>
  <c r="V756" i="2"/>
  <c r="V1244" i="8" s="1"/>
  <c r="V1245" i="8" s="1"/>
  <c r="V1168" i="8"/>
  <c r="V1169" i="8" s="1"/>
  <c r="V755" i="2"/>
  <c r="V1240" i="8" s="1"/>
  <c r="V1241" i="8" s="1"/>
  <c r="U375" i="2"/>
  <c r="U904" i="8" s="1"/>
  <c r="U905" i="8" s="1"/>
  <c r="V764" i="8"/>
  <c r="V765" i="8" s="1"/>
  <c r="V354" i="2"/>
  <c r="V836" i="8" s="1"/>
  <c r="V837" i="8" s="1"/>
  <c r="T1296" i="8"/>
  <c r="T1297" i="8" s="1"/>
  <c r="T778" i="2"/>
  <c r="T1316" i="8" s="1"/>
  <c r="T1317" i="8" s="1"/>
  <c r="T759" i="2"/>
  <c r="T1256" i="8" s="1"/>
  <c r="T1257" i="8" s="1"/>
  <c r="V620" i="8"/>
  <c r="V621" i="8" s="1"/>
  <c r="W282" i="2"/>
  <c r="V347" i="2"/>
  <c r="V336" i="2"/>
  <c r="U768" i="8"/>
  <c r="U769" i="8" s="1"/>
  <c r="U378" i="2"/>
  <c r="U916" i="8" s="1"/>
  <c r="U917" i="8" s="1"/>
  <c r="U355" i="2"/>
  <c r="U840" i="8" s="1"/>
  <c r="U841" i="8" s="1"/>
  <c r="V766" i="2"/>
  <c r="V1276" i="8" s="1"/>
  <c r="V1277" i="8" s="1"/>
  <c r="V1204" i="8"/>
  <c r="V1205" i="8" s="1"/>
  <c r="V795" i="2"/>
  <c r="V1360" i="8" s="1"/>
  <c r="V1361" i="8" s="1"/>
  <c r="U948" i="8"/>
  <c r="U949" i="8" s="1"/>
  <c r="T371" i="2"/>
  <c r="T896" i="8" s="1"/>
  <c r="T897" i="8" s="1"/>
  <c r="W1180" i="8"/>
  <c r="W1181" i="8" s="1"/>
  <c r="W758" i="2"/>
  <c r="W1252" i="8" s="1"/>
  <c r="W1253" i="8" s="1"/>
  <c r="W604" i="8"/>
  <c r="W605" i="8" s="1"/>
  <c r="X278" i="2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678" i="2"/>
  <c r="V608" i="8"/>
  <c r="V609" i="8" s="1"/>
  <c r="V344" i="2"/>
  <c r="V349" i="2" s="1"/>
  <c r="V824" i="8" s="1"/>
  <c r="V825" i="8" s="1"/>
  <c r="W279" i="2"/>
  <c r="V333" i="2"/>
  <c r="V338" i="2" s="1"/>
  <c r="V788" i="8" s="1"/>
  <c r="V789" i="8" s="1"/>
  <c r="T374" i="2"/>
  <c r="W1216" i="8"/>
  <c r="W1217" i="8" s="1"/>
  <c r="W786" i="2"/>
  <c r="W1328" i="8" s="1"/>
  <c r="W1329" i="8" s="1"/>
  <c r="W798" i="2"/>
  <c r="W1372" i="8" s="1"/>
  <c r="W1373" i="8" s="1"/>
  <c r="W769" i="2"/>
  <c r="W1288" i="8" s="1"/>
  <c r="W1289" i="8" s="1"/>
  <c r="U1212" i="8"/>
  <c r="U1213" i="8" s="1"/>
  <c r="U768" i="2"/>
  <c r="U1284" i="8" s="1"/>
  <c r="U1285" i="8" s="1"/>
  <c r="U797" i="2"/>
  <c r="U1368" i="8" s="1"/>
  <c r="U1369" i="8" s="1"/>
  <c r="R462" i="2"/>
  <c r="T788" i="2"/>
  <c r="T1336" i="8" s="1"/>
  <c r="T1337" i="8" s="1"/>
  <c r="U1164" i="8"/>
  <c r="U1165" i="8" s="1"/>
  <c r="U754" i="2"/>
  <c r="U1236" i="8" s="1"/>
  <c r="U1237" i="8" s="1"/>
  <c r="U777" i="2"/>
  <c r="U1312" i="8" s="1"/>
  <c r="U1313" i="8" s="1"/>
  <c r="V775" i="2"/>
  <c r="V1304" i="8" s="1"/>
  <c r="V1305" i="8" s="1"/>
  <c r="U804" i="8"/>
  <c r="U805" i="8" s="1"/>
  <c r="U366" i="2"/>
  <c r="U876" i="8" s="1"/>
  <c r="U877" i="8" s="1"/>
  <c r="U395" i="2"/>
  <c r="U960" i="8" s="1"/>
  <c r="U961" i="8" s="1"/>
  <c r="X1020" i="8"/>
  <c r="X1021" i="8" s="1"/>
  <c r="X747" i="2"/>
  <c r="Y682" i="2"/>
  <c r="X736" i="2"/>
  <c r="U1196" i="8"/>
  <c r="U1197" i="8" s="1"/>
  <c r="U793" i="2"/>
  <c r="U1352" i="8" s="1"/>
  <c r="U1353" i="8" s="1"/>
  <c r="U764" i="2"/>
  <c r="U1268" i="8" s="1"/>
  <c r="U1269" i="8" s="1"/>
  <c r="U1176" i="8"/>
  <c r="U1177" i="8" s="1"/>
  <c r="U757" i="2"/>
  <c r="U1248" i="8" s="1"/>
  <c r="U1249" i="8" s="1"/>
  <c r="U1200" i="8"/>
  <c r="U1201" i="8" s="1"/>
  <c r="U765" i="2"/>
  <c r="U1272" i="8" s="1"/>
  <c r="U1273" i="8" s="1"/>
  <c r="U794" i="2"/>
  <c r="U1356" i="8" s="1"/>
  <c r="U1357" i="8" s="1"/>
  <c r="U784" i="2"/>
  <c r="T378" i="2"/>
  <c r="T916" i="8" s="1"/>
  <c r="T917" i="8" s="1"/>
  <c r="W677" i="2"/>
  <c r="V742" i="2"/>
  <c r="V1000" i="8"/>
  <c r="V1001" i="8" s="1"/>
  <c r="V731" i="2"/>
  <c r="V1016" i="8"/>
  <c r="V1017" i="8" s="1"/>
  <c r="W681" i="2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S638" i="2"/>
  <c r="R279" i="8"/>
  <c r="R280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T454" i="2"/>
  <c r="S155" i="8"/>
  <c r="S156" i="8" s="1"/>
  <c r="R175" i="2"/>
  <c r="Q83" i="8"/>
  <c r="Q84" i="8" s="1"/>
  <c r="R582" i="2"/>
  <c r="S573" i="2"/>
  <c r="R223" i="8"/>
  <c r="R22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S522" i="2"/>
  <c r="T513" i="2"/>
  <c r="S187" i="8"/>
  <c r="S188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R642" i="2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V808" i="8" l="1"/>
  <c r="V809" i="8" s="1"/>
  <c r="V396" i="2"/>
  <c r="V964" i="8" s="1"/>
  <c r="V965" i="8" s="1"/>
  <c r="V367" i="2"/>
  <c r="V880" i="8" s="1"/>
  <c r="V881" i="8" s="1"/>
  <c r="V772" i="8"/>
  <c r="V773" i="8" s="1"/>
  <c r="V356" i="2"/>
  <c r="V844" i="8" s="1"/>
  <c r="V845" i="8" s="1"/>
  <c r="X280" i="2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S642" i="2"/>
  <c r="U385" i="2"/>
  <c r="U774" i="2"/>
  <c r="U1300" i="8" s="1"/>
  <c r="U1301" i="8" s="1"/>
  <c r="W1152" i="8"/>
  <c r="W1153" i="8" s="1"/>
  <c r="W751" i="2"/>
  <c r="V1196" i="8"/>
  <c r="V1197" i="8" s="1"/>
  <c r="V764" i="2"/>
  <c r="V1268" i="8" s="1"/>
  <c r="V1269" i="8" s="1"/>
  <c r="V793" i="2"/>
  <c r="V1352" i="8" s="1"/>
  <c r="V1353" i="8" s="1"/>
  <c r="T900" i="8"/>
  <c r="T901" i="8" s="1"/>
  <c r="T379" i="2"/>
  <c r="T920" i="8" s="1"/>
  <c r="T921" i="8" s="1"/>
  <c r="W1204" i="8"/>
  <c r="W1205" i="8" s="1"/>
  <c r="W766" i="2"/>
  <c r="W1276" i="8" s="1"/>
  <c r="W1277" i="8" s="1"/>
  <c r="W795" i="2"/>
  <c r="W1360" i="8" s="1"/>
  <c r="W1361" i="8" s="1"/>
  <c r="U799" i="2"/>
  <c r="U1376" i="8" s="1"/>
  <c r="U1377" i="8" s="1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755" i="2"/>
  <c r="W1240" i="8" s="1"/>
  <c r="W1241" i="8" s="1"/>
  <c r="W1000" i="8"/>
  <c r="W1001" i="8" s="1"/>
  <c r="X677" i="2"/>
  <c r="W742" i="2"/>
  <c r="W731" i="2"/>
  <c r="V768" i="8"/>
  <c r="V769" i="8" s="1"/>
  <c r="V355" i="2"/>
  <c r="V840" i="8" s="1"/>
  <c r="V841" i="8" s="1"/>
  <c r="W764" i="8"/>
  <c r="W765" i="8" s="1"/>
  <c r="W354" i="2"/>
  <c r="W836" i="8" s="1"/>
  <c r="W837" i="8" s="1"/>
  <c r="V804" i="8"/>
  <c r="V805" i="8" s="1"/>
  <c r="V395" i="2"/>
  <c r="V960" i="8" s="1"/>
  <c r="V961" i="8" s="1"/>
  <c r="V366" i="2"/>
  <c r="V876" i="8" s="1"/>
  <c r="V877" i="8" s="1"/>
  <c r="W784" i="8"/>
  <c r="W785" i="8" s="1"/>
  <c r="W359" i="2"/>
  <c r="W856" i="8" s="1"/>
  <c r="W857" i="8" s="1"/>
  <c r="W1172" i="8"/>
  <c r="W1173" i="8" s="1"/>
  <c r="W756" i="2"/>
  <c r="W1244" i="8" s="1"/>
  <c r="W1245" i="8" s="1"/>
  <c r="U1320" i="8"/>
  <c r="U1321" i="8" s="1"/>
  <c r="U789" i="2"/>
  <c r="U1340" i="8" s="1"/>
  <c r="X1180" i="8"/>
  <c r="X1181" i="8" s="1"/>
  <c r="X758" i="2"/>
  <c r="X1252" i="8" s="1"/>
  <c r="X1253" i="8" s="1"/>
  <c r="V780" i="8"/>
  <c r="V781" i="8" s="1"/>
  <c r="V358" i="2"/>
  <c r="V852" i="8" s="1"/>
  <c r="V853" i="8" s="1"/>
  <c r="V948" i="8"/>
  <c r="V949" i="8" s="1"/>
  <c r="W820" i="8"/>
  <c r="W821" i="8" s="1"/>
  <c r="W399" i="2"/>
  <c r="W976" i="8" s="1"/>
  <c r="W977" i="8" s="1"/>
  <c r="W370" i="2"/>
  <c r="W892" i="8" s="1"/>
  <c r="W893" i="8" s="1"/>
  <c r="X1012" i="8"/>
  <c r="X1013" i="8" s="1"/>
  <c r="X745" i="2"/>
  <c r="Y680" i="2"/>
  <c r="X734" i="2"/>
  <c r="U770" i="2"/>
  <c r="U1292" i="8" s="1"/>
  <c r="U1293" i="8" s="1"/>
  <c r="W608" i="8"/>
  <c r="W609" i="8" s="1"/>
  <c r="W333" i="2"/>
  <c r="W344" i="2"/>
  <c r="X279" i="2"/>
  <c r="Y1020" i="8"/>
  <c r="Y1021" i="8" s="1"/>
  <c r="Y747" i="2"/>
  <c r="Z682" i="2"/>
  <c r="Y736" i="2"/>
  <c r="V816" i="8"/>
  <c r="V817" i="8" s="1"/>
  <c r="V369" i="2"/>
  <c r="V888" i="8" s="1"/>
  <c r="V889" i="8" s="1"/>
  <c r="V398" i="2"/>
  <c r="V972" i="8" s="1"/>
  <c r="V973" i="8" s="1"/>
  <c r="X760" i="8"/>
  <c r="X761" i="8" s="1"/>
  <c r="X353" i="2"/>
  <c r="X832" i="8" s="1"/>
  <c r="X833" i="8" s="1"/>
  <c r="W1208" i="8"/>
  <c r="W1209" i="8" s="1"/>
  <c r="W767" i="2"/>
  <c r="W1280" i="8" s="1"/>
  <c r="W1281" i="8" s="1"/>
  <c r="W796" i="2"/>
  <c r="W1364" i="8" s="1"/>
  <c r="W1365" i="8" s="1"/>
  <c r="X624" i="8"/>
  <c r="X625" i="8" s="1"/>
  <c r="X337" i="2"/>
  <c r="X348" i="2"/>
  <c r="Y283" i="2"/>
  <c r="W620" i="8"/>
  <c r="W621" i="8" s="1"/>
  <c r="X282" i="2"/>
  <c r="W336" i="2"/>
  <c r="W347" i="2"/>
  <c r="X796" i="8"/>
  <c r="X797" i="8" s="1"/>
  <c r="X364" i="2"/>
  <c r="X868" i="8" s="1"/>
  <c r="X869" i="8" s="1"/>
  <c r="X393" i="2"/>
  <c r="X952" i="8" s="1"/>
  <c r="X953" i="8" s="1"/>
  <c r="U371" i="2"/>
  <c r="U896" i="8" s="1"/>
  <c r="U897" i="8" s="1"/>
  <c r="V1192" i="8"/>
  <c r="V1193" i="8" s="1"/>
  <c r="V792" i="2"/>
  <c r="V1348" i="8" s="1"/>
  <c r="V1349" i="8" s="1"/>
  <c r="V763" i="2"/>
  <c r="W732" i="2"/>
  <c r="W743" i="2"/>
  <c r="W1004" i="8"/>
  <c r="W1005" i="8" s="1"/>
  <c r="X678" i="2"/>
  <c r="W996" i="8"/>
  <c r="W997" i="8" s="1"/>
  <c r="W730" i="2"/>
  <c r="W741" i="2"/>
  <c r="X676" i="2"/>
  <c r="V1212" i="8"/>
  <c r="V1213" i="8" s="1"/>
  <c r="V797" i="2"/>
  <c r="V1368" i="8" s="1"/>
  <c r="V1369" i="8" s="1"/>
  <c r="V768" i="2"/>
  <c r="U389" i="2"/>
  <c r="U940" i="8" s="1"/>
  <c r="U941" i="8" s="1"/>
  <c r="V1164" i="8"/>
  <c r="V1165" i="8" s="1"/>
  <c r="V754" i="2"/>
  <c r="V1236" i="8" s="1"/>
  <c r="V1237" i="8" s="1"/>
  <c r="Z277" i="2"/>
  <c r="Y600" i="8"/>
  <c r="Y601" i="8" s="1"/>
  <c r="Y342" i="2"/>
  <c r="Y331" i="2"/>
  <c r="V828" i="8"/>
  <c r="V829" i="8" s="1"/>
  <c r="U360" i="2"/>
  <c r="U860" i="8" s="1"/>
  <c r="U861" i="8" s="1"/>
  <c r="Z616" i="8"/>
  <c r="Z617" i="8" s="1"/>
  <c r="Z346" i="2"/>
  <c r="AA281" i="2"/>
  <c r="Z335" i="2"/>
  <c r="V1156" i="8"/>
  <c r="V1157" i="8" s="1"/>
  <c r="V752" i="2"/>
  <c r="V1228" i="8" s="1"/>
  <c r="V1229" i="8" s="1"/>
  <c r="V1176" i="8"/>
  <c r="V1177" i="8" s="1"/>
  <c r="V757" i="2"/>
  <c r="U400" i="2"/>
  <c r="U980" i="8" s="1"/>
  <c r="U981" i="8" s="1"/>
  <c r="T789" i="2"/>
  <c r="T1340" i="8" s="1"/>
  <c r="Y276" i="2"/>
  <c r="X330" i="2"/>
  <c r="X596" i="8"/>
  <c r="X597" i="8" s="1"/>
  <c r="X341" i="2"/>
  <c r="Y812" i="8"/>
  <c r="Y813" i="8" s="1"/>
  <c r="Y397" i="2"/>
  <c r="Y968" i="8" s="1"/>
  <c r="Y969" i="8" s="1"/>
  <c r="Y368" i="2"/>
  <c r="Y884" i="8" s="1"/>
  <c r="Y885" i="8" s="1"/>
  <c r="X604" i="8"/>
  <c r="X605" i="8" s="1"/>
  <c r="Y278" i="2"/>
  <c r="X343" i="2"/>
  <c r="X332" i="2"/>
  <c r="U924" i="8"/>
  <c r="U925" i="8" s="1"/>
  <c r="X1216" i="8"/>
  <c r="X1217" i="8" s="1"/>
  <c r="X798" i="2"/>
  <c r="X1372" i="8" s="1"/>
  <c r="X1373" i="8" s="1"/>
  <c r="X769" i="2"/>
  <c r="X1288" i="8" s="1"/>
  <c r="X1289" i="8" s="1"/>
  <c r="V1200" i="8"/>
  <c r="V1201" i="8" s="1"/>
  <c r="V788" i="2"/>
  <c r="V1336" i="8" s="1"/>
  <c r="V1337" i="8" s="1"/>
  <c r="V765" i="2"/>
  <c r="V1272" i="8" s="1"/>
  <c r="V1273" i="8" s="1"/>
  <c r="V794" i="2"/>
  <c r="V1356" i="8" s="1"/>
  <c r="V1357" i="8" s="1"/>
  <c r="Y776" i="8"/>
  <c r="Y777" i="8" s="1"/>
  <c r="Y357" i="2"/>
  <c r="Y848" i="8" s="1"/>
  <c r="Y849" i="8" s="1"/>
  <c r="W735" i="2"/>
  <c r="W1016" i="8"/>
  <c r="W1017" i="8" s="1"/>
  <c r="X681" i="2"/>
  <c r="W746" i="2"/>
  <c r="U759" i="2"/>
  <c r="U1256" i="8" s="1"/>
  <c r="U1257" i="8" s="1"/>
  <c r="U773" i="2"/>
  <c r="U374" i="2"/>
  <c r="W792" i="8"/>
  <c r="W793" i="8" s="1"/>
  <c r="W392" i="2"/>
  <c r="W363" i="2"/>
  <c r="W386" i="2" s="1"/>
  <c r="W928" i="8" s="1"/>
  <c r="W929" i="8" s="1"/>
  <c r="V387" i="2"/>
  <c r="V932" i="8" s="1"/>
  <c r="V933" i="8" s="1"/>
  <c r="V1260" i="8"/>
  <c r="V1261" i="8" s="1"/>
  <c r="W800" i="8"/>
  <c r="W801" i="8" s="1"/>
  <c r="W394" i="2"/>
  <c r="W956" i="8" s="1"/>
  <c r="W957" i="8" s="1"/>
  <c r="W365" i="2"/>
  <c r="W872" i="8" s="1"/>
  <c r="W873" i="8" s="1"/>
  <c r="V864" i="8"/>
  <c r="V865" i="8" s="1"/>
  <c r="V1160" i="8"/>
  <c r="V1161" i="8" s="1"/>
  <c r="V753" i="2"/>
  <c r="V1232" i="8" s="1"/>
  <c r="V1233" i="8" s="1"/>
  <c r="Y679" i="2"/>
  <c r="X744" i="2"/>
  <c r="X1008" i="8"/>
  <c r="X1009" i="8" s="1"/>
  <c r="X733" i="2"/>
  <c r="W1188" i="8"/>
  <c r="W1189" i="8" s="1"/>
  <c r="W791" i="2"/>
  <c r="W748" i="2"/>
  <c r="W1220" i="8" s="1"/>
  <c r="W1221" i="8" s="1"/>
  <c r="W762" i="2"/>
  <c r="W756" i="8"/>
  <c r="W757" i="8" s="1"/>
  <c r="W352" i="2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638" i="2"/>
  <c r="S279" i="8"/>
  <c r="S28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522" i="2"/>
  <c r="U513" i="2"/>
  <c r="T187" i="8"/>
  <c r="T188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S462" i="2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U454" i="2"/>
  <c r="T155" i="8"/>
  <c r="T156" i="8" s="1"/>
  <c r="T639" i="2"/>
  <c r="S283" i="8"/>
  <c r="S284" i="8" s="1"/>
  <c r="U60" i="2"/>
  <c r="T31" i="8"/>
  <c r="T32" i="8" s="1"/>
  <c r="T460" i="2"/>
  <c r="T462" i="2" s="1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S183" i="2" s="1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S582" i="2"/>
  <c r="T573" i="2"/>
  <c r="S223" i="8"/>
  <c r="S224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V385" i="2" l="1"/>
  <c r="W808" i="8"/>
  <c r="W809" i="8" s="1"/>
  <c r="W367" i="2"/>
  <c r="W880" i="8" s="1"/>
  <c r="W881" i="8" s="1"/>
  <c r="W396" i="2"/>
  <c r="W964" i="8" s="1"/>
  <c r="W965" i="8" s="1"/>
  <c r="W356" i="2"/>
  <c r="W844" i="8" s="1"/>
  <c r="W845" i="8" s="1"/>
  <c r="W772" i="8"/>
  <c r="W773" i="8" s="1"/>
  <c r="X612" i="8"/>
  <c r="X613" i="8" s="1"/>
  <c r="Y280" i="2"/>
  <c r="X345" i="2"/>
  <c r="X334" i="2"/>
  <c r="V374" i="2"/>
  <c r="V900" i="8" s="1"/>
  <c r="V901" i="8" s="1"/>
  <c r="W355" i="2"/>
  <c r="W840" i="8" s="1"/>
  <c r="W841" i="8" s="1"/>
  <c r="W768" i="8"/>
  <c r="W769" i="8" s="1"/>
  <c r="X1168" i="8"/>
  <c r="X1169" i="8" s="1"/>
  <c r="X755" i="2"/>
  <c r="X1240" i="8" s="1"/>
  <c r="X1241" i="8" s="1"/>
  <c r="W757" i="2"/>
  <c r="W1248" i="8" s="1"/>
  <c r="W1249" i="8" s="1"/>
  <c r="W1176" i="8"/>
  <c r="W1177" i="8" s="1"/>
  <c r="X800" i="8"/>
  <c r="X801" i="8" s="1"/>
  <c r="X394" i="2"/>
  <c r="X956" i="8" s="1"/>
  <c r="X957" i="8" s="1"/>
  <c r="X365" i="2"/>
  <c r="X872" i="8" s="1"/>
  <c r="X873" i="8" s="1"/>
  <c r="V777" i="2"/>
  <c r="V1312" i="8" s="1"/>
  <c r="V1313" i="8" s="1"/>
  <c r="W1200" i="8"/>
  <c r="W1201" i="8" s="1"/>
  <c r="W765" i="2"/>
  <c r="W1272" i="8" s="1"/>
  <c r="W1273" i="8" s="1"/>
  <c r="W788" i="2"/>
  <c r="W1336" i="8" s="1"/>
  <c r="W1337" i="8" s="1"/>
  <c r="W794" i="2"/>
  <c r="W1356" i="8" s="1"/>
  <c r="W1357" i="8" s="1"/>
  <c r="W780" i="8"/>
  <c r="W781" i="8" s="1"/>
  <c r="W358" i="2"/>
  <c r="W852" i="8" s="1"/>
  <c r="W853" i="8" s="1"/>
  <c r="W816" i="8"/>
  <c r="W817" i="8" s="1"/>
  <c r="W369" i="2"/>
  <c r="W888" i="8" s="1"/>
  <c r="W889" i="8" s="1"/>
  <c r="W398" i="2"/>
  <c r="W972" i="8" s="1"/>
  <c r="W973" i="8" s="1"/>
  <c r="W349" i="2"/>
  <c r="W824" i="8" s="1"/>
  <c r="W825" i="8" s="1"/>
  <c r="Y604" i="8"/>
  <c r="Y605" i="8" s="1"/>
  <c r="Y332" i="2"/>
  <c r="Y343" i="2"/>
  <c r="Z278" i="2"/>
  <c r="W1164" i="8"/>
  <c r="W1165" i="8" s="1"/>
  <c r="W754" i="2"/>
  <c r="W1236" i="8" s="1"/>
  <c r="W1237" i="8" s="1"/>
  <c r="X620" i="8"/>
  <c r="X621" i="8" s="1"/>
  <c r="X336" i="2"/>
  <c r="Y282" i="2"/>
  <c r="X347" i="2"/>
  <c r="V389" i="2"/>
  <c r="V940" i="8" s="1"/>
  <c r="V941" i="8" s="1"/>
  <c r="Y1008" i="8"/>
  <c r="Y1009" i="8" s="1"/>
  <c r="Z679" i="2"/>
  <c r="Y733" i="2"/>
  <c r="Y744" i="2"/>
  <c r="AB281" i="2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283" i="2"/>
  <c r="V924" i="8"/>
  <c r="V925" i="8" s="1"/>
  <c r="Y1012" i="8"/>
  <c r="Y1013" i="8" s="1"/>
  <c r="Y745" i="2"/>
  <c r="Z680" i="2"/>
  <c r="Y734" i="2"/>
  <c r="V799" i="2"/>
  <c r="V1376" i="8" s="1"/>
  <c r="V1377" i="8" s="1"/>
  <c r="T642" i="2"/>
  <c r="W948" i="8"/>
  <c r="W949" i="8" s="1"/>
  <c r="Z812" i="8"/>
  <c r="Z813" i="8" s="1"/>
  <c r="Z397" i="2"/>
  <c r="Z968" i="8" s="1"/>
  <c r="Z969" i="8" s="1"/>
  <c r="Z368" i="2"/>
  <c r="Z884" i="8" s="1"/>
  <c r="Z885" i="8" s="1"/>
  <c r="X820" i="8"/>
  <c r="X821" i="8" s="1"/>
  <c r="X370" i="2"/>
  <c r="X892" i="8" s="1"/>
  <c r="X893" i="8" s="1"/>
  <c r="X399" i="2"/>
  <c r="X976" i="8" s="1"/>
  <c r="X977" i="8" s="1"/>
  <c r="X387" i="2"/>
  <c r="X932" i="8" s="1"/>
  <c r="X933" i="8" s="1"/>
  <c r="X1208" i="8"/>
  <c r="X1209" i="8" s="1"/>
  <c r="X796" i="2"/>
  <c r="X1364" i="8" s="1"/>
  <c r="X1365" i="8" s="1"/>
  <c r="X767" i="2"/>
  <c r="X1280" i="8" s="1"/>
  <c r="X1281" i="8" s="1"/>
  <c r="Z776" i="8"/>
  <c r="Z777" i="8" s="1"/>
  <c r="Z357" i="2"/>
  <c r="Z848" i="8" s="1"/>
  <c r="Z849" i="8" s="1"/>
  <c r="W828" i="8"/>
  <c r="W829" i="8" s="1"/>
  <c r="V1284" i="8"/>
  <c r="V1285" i="8" s="1"/>
  <c r="V784" i="2"/>
  <c r="X784" i="8"/>
  <c r="X785" i="8" s="1"/>
  <c r="X359" i="2"/>
  <c r="X856" i="8" s="1"/>
  <c r="X857" i="8" s="1"/>
  <c r="V759" i="2"/>
  <c r="V1256" i="8" s="1"/>
  <c r="V1257" i="8" s="1"/>
  <c r="X1172" i="8"/>
  <c r="X1173" i="8" s="1"/>
  <c r="X756" i="2"/>
  <c r="X1244" i="8" s="1"/>
  <c r="X1245" i="8" s="1"/>
  <c r="W375" i="2"/>
  <c r="W904" i="8" s="1"/>
  <c r="W905" i="8" s="1"/>
  <c r="U900" i="8"/>
  <c r="U901" i="8" s="1"/>
  <c r="U379" i="2"/>
  <c r="U920" i="8" s="1"/>
  <c r="U921" i="8" s="1"/>
  <c r="X792" i="8"/>
  <c r="X793" i="8" s="1"/>
  <c r="X363" i="2"/>
  <c r="X392" i="2"/>
  <c r="X349" i="2"/>
  <c r="X824" i="8" s="1"/>
  <c r="X825" i="8" s="1"/>
  <c r="W387" i="2"/>
  <c r="W932" i="8" s="1"/>
  <c r="W933" i="8" s="1"/>
  <c r="X775" i="2"/>
  <c r="X1304" i="8" s="1"/>
  <c r="X1305" i="8" s="1"/>
  <c r="X1204" i="8"/>
  <c r="X1205" i="8" s="1"/>
  <c r="X795" i="2"/>
  <c r="X1360" i="8" s="1"/>
  <c r="X1361" i="8" s="1"/>
  <c r="X766" i="2"/>
  <c r="X1276" i="8" s="1"/>
  <c r="X1277" i="8" s="1"/>
  <c r="W864" i="8"/>
  <c r="W865" i="8" s="1"/>
  <c r="V371" i="2"/>
  <c r="V896" i="8" s="1"/>
  <c r="V897" i="8" s="1"/>
  <c r="V360" i="2"/>
  <c r="V860" i="8" s="1"/>
  <c r="V861" i="8" s="1"/>
  <c r="Y1180" i="8"/>
  <c r="Y1181" i="8" s="1"/>
  <c r="Y758" i="2"/>
  <c r="Y1252" i="8" s="1"/>
  <c r="Y1253" i="8" s="1"/>
  <c r="X1152" i="8"/>
  <c r="X1153" i="8" s="1"/>
  <c r="X751" i="2"/>
  <c r="U1296" i="8"/>
  <c r="U1297" i="8" s="1"/>
  <c r="U778" i="2"/>
  <c r="U1316" i="8" s="1"/>
  <c r="U1317" i="8" s="1"/>
  <c r="X756" i="8"/>
  <c r="X757" i="8" s="1"/>
  <c r="X352" i="2"/>
  <c r="X375" i="2" s="1"/>
  <c r="X904" i="8" s="1"/>
  <c r="X905" i="8" s="1"/>
  <c r="Z1020" i="8"/>
  <c r="Z1021" i="8" s="1"/>
  <c r="Z736" i="2"/>
  <c r="AA682" i="2"/>
  <c r="Z747" i="2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Y676" i="2"/>
  <c r="W1260" i="8"/>
  <c r="W1261" i="8" s="1"/>
  <c r="X786" i="2"/>
  <c r="X1328" i="8" s="1"/>
  <c r="X1329" i="8" s="1"/>
  <c r="Z276" i="2"/>
  <c r="Y341" i="2"/>
  <c r="Y330" i="2"/>
  <c r="Y596" i="8"/>
  <c r="Y597" i="8" s="1"/>
  <c r="Y353" i="2"/>
  <c r="Y832" i="8" s="1"/>
  <c r="Y833" i="8" s="1"/>
  <c r="Y760" i="8"/>
  <c r="Y761" i="8" s="1"/>
  <c r="W1192" i="8"/>
  <c r="W1193" i="8" s="1"/>
  <c r="W792" i="2"/>
  <c r="W1348" i="8" s="1"/>
  <c r="W1349" i="8" s="1"/>
  <c r="W763" i="2"/>
  <c r="W770" i="2" s="1"/>
  <c r="W1292" i="8" s="1"/>
  <c r="W1293" i="8" s="1"/>
  <c r="Y1216" i="8"/>
  <c r="Y1217" i="8" s="1"/>
  <c r="Y769" i="2"/>
  <c r="Y1288" i="8" s="1"/>
  <c r="Y1289" i="8" s="1"/>
  <c r="Y798" i="2"/>
  <c r="Y1372" i="8" s="1"/>
  <c r="Y1373" i="8" s="1"/>
  <c r="X1188" i="8"/>
  <c r="X1189" i="8" s="1"/>
  <c r="X791" i="2"/>
  <c r="X762" i="2"/>
  <c r="W338" i="2"/>
  <c r="W788" i="8" s="1"/>
  <c r="W789" i="8" s="1"/>
  <c r="Y796" i="8"/>
  <c r="Y797" i="8" s="1"/>
  <c r="Y364" i="2"/>
  <c r="Y868" i="8" s="1"/>
  <c r="Y869" i="8" s="1"/>
  <c r="Y393" i="2"/>
  <c r="Y952" i="8" s="1"/>
  <c r="Y953" i="8" s="1"/>
  <c r="W1156" i="8"/>
  <c r="W1157" i="8" s="1"/>
  <c r="W752" i="2"/>
  <c r="W1228" i="8" s="1"/>
  <c r="W1229" i="8" s="1"/>
  <c r="V400" i="2"/>
  <c r="V980" i="8" s="1"/>
  <c r="V981" i="8" s="1"/>
  <c r="W1160" i="8"/>
  <c r="W1161" i="8" s="1"/>
  <c r="W753" i="2"/>
  <c r="W1232" i="8" s="1"/>
  <c r="W1233" i="8" s="1"/>
  <c r="W737" i="2"/>
  <c r="W1184" i="8" s="1"/>
  <c r="W1185" i="8" s="1"/>
  <c r="X764" i="8"/>
  <c r="X765" i="8" s="1"/>
  <c r="X354" i="2"/>
  <c r="X836" i="8" s="1"/>
  <c r="X837" i="8" s="1"/>
  <c r="W1212" i="8"/>
  <c r="W1213" i="8" s="1"/>
  <c r="W768" i="2"/>
  <c r="W797" i="2"/>
  <c r="W1368" i="8" s="1"/>
  <c r="W1369" i="8" s="1"/>
  <c r="U390" i="2"/>
  <c r="U944" i="8" s="1"/>
  <c r="X608" i="8"/>
  <c r="X609" i="8" s="1"/>
  <c r="X333" i="2"/>
  <c r="X344" i="2"/>
  <c r="Y279" i="2"/>
  <c r="W1196" i="8"/>
  <c r="W1197" i="8" s="1"/>
  <c r="W764" i="2"/>
  <c r="W1268" i="8" s="1"/>
  <c r="W1269" i="8" s="1"/>
  <c r="W793" i="2"/>
  <c r="W1352" i="8" s="1"/>
  <c r="W1353" i="8" s="1"/>
  <c r="W1344" i="8"/>
  <c r="W1345" i="8" s="1"/>
  <c r="V770" i="2"/>
  <c r="V1292" i="8" s="1"/>
  <c r="V1293" i="8" s="1"/>
  <c r="X1016" i="8"/>
  <c r="X1017" i="8" s="1"/>
  <c r="X735" i="2"/>
  <c r="X746" i="2"/>
  <c r="Y681" i="2"/>
  <c r="V1248" i="8"/>
  <c r="V1249" i="8" s="1"/>
  <c r="V773" i="2"/>
  <c r="AA277" i="2"/>
  <c r="Z331" i="2"/>
  <c r="Z600" i="8"/>
  <c r="Z601" i="8" s="1"/>
  <c r="Z342" i="2"/>
  <c r="X1004" i="8"/>
  <c r="X1005" i="8" s="1"/>
  <c r="X743" i="2"/>
  <c r="X732" i="2"/>
  <c r="Y678" i="2"/>
  <c r="W804" i="8"/>
  <c r="W805" i="8" s="1"/>
  <c r="W395" i="2"/>
  <c r="W960" i="8" s="1"/>
  <c r="W961" i="8" s="1"/>
  <c r="W366" i="2"/>
  <c r="W876" i="8" s="1"/>
  <c r="W877" i="8" s="1"/>
  <c r="W376" i="2"/>
  <c r="W908" i="8" s="1"/>
  <c r="W909" i="8" s="1"/>
  <c r="X1000" i="8"/>
  <c r="X1001" i="8" s="1"/>
  <c r="Y677" i="2"/>
  <c r="X742" i="2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U462" i="2" s="1"/>
  <c r="T175" i="8"/>
  <c r="T176" i="8" s="1"/>
  <c r="U522" i="2"/>
  <c r="V513" i="2"/>
  <c r="U187" i="8"/>
  <c r="U188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454" i="2"/>
  <c r="U155" i="8"/>
  <c r="U156" i="8" s="1"/>
  <c r="V119" i="2"/>
  <c r="U63" i="8"/>
  <c r="U64" i="8" s="1"/>
  <c r="V517" i="2"/>
  <c r="U203" i="8"/>
  <c r="U204" i="8" s="1"/>
  <c r="V518" i="2"/>
  <c r="U207" i="8"/>
  <c r="U208" i="8" s="1"/>
  <c r="T582" i="2"/>
  <c r="U573" i="2"/>
  <c r="T223" i="8"/>
  <c r="T224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U638" i="2"/>
  <c r="T279" i="8"/>
  <c r="T280" i="8" s="1"/>
  <c r="T175" i="2"/>
  <c r="T183" i="2" s="1"/>
  <c r="S83" i="8"/>
  <c r="S84" i="8" s="1"/>
  <c r="X772" i="8" l="1"/>
  <c r="X773" i="8" s="1"/>
  <c r="X356" i="2"/>
  <c r="X844" i="8" s="1"/>
  <c r="X845" i="8" s="1"/>
  <c r="W389" i="2"/>
  <c r="W940" i="8" s="1"/>
  <c r="W941" i="8" s="1"/>
  <c r="X808" i="8"/>
  <c r="X809" i="8" s="1"/>
  <c r="X396" i="2"/>
  <c r="X964" i="8" s="1"/>
  <c r="X965" i="8" s="1"/>
  <c r="X367" i="2"/>
  <c r="X880" i="8" s="1"/>
  <c r="X881" i="8" s="1"/>
  <c r="Z280" i="2"/>
  <c r="Y345" i="2"/>
  <c r="Y334" i="2"/>
  <c r="Y612" i="8"/>
  <c r="Y613" i="8" s="1"/>
  <c r="V379" i="2"/>
  <c r="V920" i="8" s="1"/>
  <c r="V921" i="8" s="1"/>
  <c r="W371" i="2"/>
  <c r="W896" i="8" s="1"/>
  <c r="W897" i="8" s="1"/>
  <c r="X355" i="2"/>
  <c r="X840" i="8" s="1"/>
  <c r="X841" i="8" s="1"/>
  <c r="X768" i="8"/>
  <c r="X769" i="8" s="1"/>
  <c r="AA1020" i="8"/>
  <c r="AA1021" i="8" s="1"/>
  <c r="AB682" i="2"/>
  <c r="AA736" i="2"/>
  <c r="AA747" i="2"/>
  <c r="Y775" i="2"/>
  <c r="Y1304" i="8" s="1"/>
  <c r="Y1305" i="8" s="1"/>
  <c r="X948" i="8"/>
  <c r="X949" i="8" s="1"/>
  <c r="W360" i="2"/>
  <c r="W860" i="8" s="1"/>
  <c r="W861" i="8" s="1"/>
  <c r="W400" i="2"/>
  <c r="W980" i="8" s="1"/>
  <c r="W981" i="8" s="1"/>
  <c r="X780" i="8"/>
  <c r="X781" i="8" s="1"/>
  <c r="X358" i="2"/>
  <c r="X852" i="8" s="1"/>
  <c r="X853" i="8" s="1"/>
  <c r="X374" i="2"/>
  <c r="V1296" i="8"/>
  <c r="V1297" i="8" s="1"/>
  <c r="V778" i="2"/>
  <c r="V1316" i="8" s="1"/>
  <c r="V1317" i="8" s="1"/>
  <c r="Z1216" i="8"/>
  <c r="Z1217" i="8" s="1"/>
  <c r="Z769" i="2"/>
  <c r="Z1288" i="8" s="1"/>
  <c r="Z1289" i="8" s="1"/>
  <c r="Z798" i="2"/>
  <c r="Z1372" i="8" s="1"/>
  <c r="Z1373" i="8" s="1"/>
  <c r="Y620" i="8"/>
  <c r="Y621" i="8" s="1"/>
  <c r="Y336" i="2"/>
  <c r="Z282" i="2"/>
  <c r="Y347" i="2"/>
  <c r="Y349" i="2" s="1"/>
  <c r="Y824" i="8" s="1"/>
  <c r="Y825" i="8" s="1"/>
  <c r="Y1016" i="8"/>
  <c r="Y1017" i="8" s="1"/>
  <c r="Y746" i="2"/>
  <c r="Z681" i="2"/>
  <c r="Y735" i="2"/>
  <c r="Y786" i="2"/>
  <c r="Y1328" i="8" s="1"/>
  <c r="Y1329" i="8" s="1"/>
  <c r="Z1180" i="8"/>
  <c r="Z1181" i="8" s="1"/>
  <c r="Z758" i="2"/>
  <c r="Z1252" i="8" s="1"/>
  <c r="Z1253" i="8" s="1"/>
  <c r="X864" i="8"/>
  <c r="X865" i="8" s="1"/>
  <c r="X1212" i="8"/>
  <c r="X1213" i="8" s="1"/>
  <c r="X797" i="2"/>
  <c r="X1368" i="8" s="1"/>
  <c r="X1369" i="8" s="1"/>
  <c r="X768" i="2"/>
  <c r="X1284" i="8" s="1"/>
  <c r="X1285" i="8" s="1"/>
  <c r="Y996" i="8"/>
  <c r="Y997" i="8" s="1"/>
  <c r="Y741" i="2"/>
  <c r="Y730" i="2"/>
  <c r="Z676" i="2"/>
  <c r="AA776" i="8"/>
  <c r="AA777" i="8" s="1"/>
  <c r="AA357" i="2"/>
  <c r="AA848" i="8" s="1"/>
  <c r="AA849" i="8" s="1"/>
  <c r="W777" i="2"/>
  <c r="W1312" i="8" s="1"/>
  <c r="W1313" i="8" s="1"/>
  <c r="AA812" i="8"/>
  <c r="AA813" i="8" s="1"/>
  <c r="AA368" i="2"/>
  <c r="AA884" i="8" s="1"/>
  <c r="AA885" i="8" s="1"/>
  <c r="AA397" i="2"/>
  <c r="AA968" i="8" s="1"/>
  <c r="AA969" i="8" s="1"/>
  <c r="W1264" i="8"/>
  <c r="W1265" i="8" s="1"/>
  <c r="W785" i="2"/>
  <c r="W1324" i="8" s="1"/>
  <c r="W1325" i="8" s="1"/>
  <c r="X1156" i="8"/>
  <c r="X1157" i="8" s="1"/>
  <c r="X752" i="2"/>
  <c r="X1228" i="8" s="1"/>
  <c r="X1229" i="8" s="1"/>
  <c r="Y1172" i="8"/>
  <c r="Y1173" i="8" s="1"/>
  <c r="Y756" i="2"/>
  <c r="Y1244" i="8" s="1"/>
  <c r="Y1245" i="8" s="1"/>
  <c r="W374" i="2"/>
  <c r="AC281" i="2"/>
  <c r="AB616" i="8"/>
  <c r="AB617" i="8" s="1"/>
  <c r="AB346" i="2"/>
  <c r="AB335" i="2"/>
  <c r="X1164" i="8"/>
  <c r="X1165" i="8" s="1"/>
  <c r="X754" i="2"/>
  <c r="X1236" i="8" s="1"/>
  <c r="X1237" i="8" s="1"/>
  <c r="W799" i="2"/>
  <c r="W1376" i="8" s="1"/>
  <c r="W1377" i="8" s="1"/>
  <c r="W759" i="2"/>
  <c r="W1256" i="8" s="1"/>
  <c r="W1257" i="8" s="1"/>
  <c r="X784" i="2"/>
  <c r="Y1208" i="8"/>
  <c r="Y1209" i="8" s="1"/>
  <c r="Y796" i="2"/>
  <c r="Y1364" i="8" s="1"/>
  <c r="Y1365" i="8" s="1"/>
  <c r="Y767" i="2"/>
  <c r="Y1280" i="8" s="1"/>
  <c r="Y1281" i="8" s="1"/>
  <c r="Y1204" i="8"/>
  <c r="Y1205" i="8" s="1"/>
  <c r="Y795" i="2"/>
  <c r="Y1360" i="8" s="1"/>
  <c r="Y1361" i="8" s="1"/>
  <c r="Y766" i="2"/>
  <c r="Y1276" i="8" s="1"/>
  <c r="Y1277" i="8" s="1"/>
  <c r="Y800" i="8"/>
  <c r="Y801" i="8" s="1"/>
  <c r="Y365" i="2"/>
  <c r="Y872" i="8" s="1"/>
  <c r="Y873" i="8" s="1"/>
  <c r="Y394" i="2"/>
  <c r="Y956" i="8" s="1"/>
  <c r="Y957" i="8" s="1"/>
  <c r="W378" i="2"/>
  <c r="W916" i="8" s="1"/>
  <c r="W917" i="8" s="1"/>
  <c r="X1192" i="8"/>
  <c r="X1193" i="8" s="1"/>
  <c r="X792" i="2"/>
  <c r="X1348" i="8" s="1"/>
  <c r="X1349" i="8" s="1"/>
  <c r="X763" i="2"/>
  <c r="X1264" i="8" s="1"/>
  <c r="X1265" i="8" s="1"/>
  <c r="X828" i="8"/>
  <c r="X829" i="8" s="1"/>
  <c r="Y1004" i="8"/>
  <c r="Y1005" i="8" s="1"/>
  <c r="Y732" i="2"/>
  <c r="Y743" i="2"/>
  <c r="Y748" i="2" s="1"/>
  <c r="Y1220" i="8" s="1"/>
  <c r="Y1221" i="8" s="1"/>
  <c r="Z678" i="2"/>
  <c r="X338" i="2"/>
  <c r="X788" i="8" s="1"/>
  <c r="X789" i="8" s="1"/>
  <c r="X1200" i="8"/>
  <c r="X1201" i="8" s="1"/>
  <c r="X765" i="2"/>
  <c r="X1272" i="8" s="1"/>
  <c r="X1273" i="8" s="1"/>
  <c r="X794" i="2"/>
  <c r="X1356" i="8" s="1"/>
  <c r="X1357" i="8" s="1"/>
  <c r="W1284" i="8"/>
  <c r="W1285" i="8" s="1"/>
  <c r="W784" i="2"/>
  <c r="Y1168" i="8"/>
  <c r="Y1169" i="8" s="1"/>
  <c r="Y755" i="2"/>
  <c r="Y1240" i="8" s="1"/>
  <c r="Y1241" i="8" s="1"/>
  <c r="Y764" i="8"/>
  <c r="Y765" i="8" s="1"/>
  <c r="Y354" i="2"/>
  <c r="Y836" i="8" s="1"/>
  <c r="Y837" i="8" s="1"/>
  <c r="Y1152" i="8"/>
  <c r="Y1153" i="8" s="1"/>
  <c r="Y751" i="2"/>
  <c r="Y737" i="2"/>
  <c r="Y1184" i="8" s="1"/>
  <c r="Y1185" i="8" s="1"/>
  <c r="V390" i="2"/>
  <c r="V944" i="8" s="1"/>
  <c r="Z1008" i="8"/>
  <c r="Z1009" i="8" s="1"/>
  <c r="AA679" i="2"/>
  <c r="Z744" i="2"/>
  <c r="Z733" i="2"/>
  <c r="Z796" i="8"/>
  <c r="Z797" i="8" s="1"/>
  <c r="Z364" i="2"/>
  <c r="Z868" i="8" s="1"/>
  <c r="Z869" i="8" s="1"/>
  <c r="Z393" i="2"/>
  <c r="Z952" i="8" s="1"/>
  <c r="Z953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X1160" i="8"/>
  <c r="X1161" i="8" s="1"/>
  <c r="X753" i="2"/>
  <c r="X1232" i="8" s="1"/>
  <c r="X1233" i="8" s="1"/>
  <c r="Y756" i="8"/>
  <c r="Y757" i="8" s="1"/>
  <c r="Y352" i="2"/>
  <c r="Y375" i="2" s="1"/>
  <c r="Y904" i="8" s="1"/>
  <c r="Y905" i="8" s="1"/>
  <c r="Y1188" i="8"/>
  <c r="Y1189" i="8" s="1"/>
  <c r="Y791" i="2"/>
  <c r="Y762" i="2"/>
  <c r="Z624" i="8"/>
  <c r="Z625" i="8" s="1"/>
  <c r="Z348" i="2"/>
  <c r="Z337" i="2"/>
  <c r="AA283" i="2"/>
  <c r="W773" i="2"/>
  <c r="W385" i="2"/>
  <c r="Z1012" i="8"/>
  <c r="Z1013" i="8" s="1"/>
  <c r="AA680" i="2"/>
  <c r="Z745" i="2"/>
  <c r="Z734" i="2"/>
  <c r="X1196" i="8"/>
  <c r="X1197" i="8" s="1"/>
  <c r="X764" i="2"/>
  <c r="X1268" i="8" s="1"/>
  <c r="X1269" i="8" s="1"/>
  <c r="X793" i="2"/>
  <c r="X1352" i="8" s="1"/>
  <c r="X1353" i="8" s="1"/>
  <c r="Z353" i="2"/>
  <c r="Z832" i="8" s="1"/>
  <c r="Z833" i="8" s="1"/>
  <c r="Z760" i="8"/>
  <c r="Z761" i="8" s="1"/>
  <c r="Z279" i="2"/>
  <c r="Y333" i="2"/>
  <c r="Y338" i="2" s="1"/>
  <c r="Y788" i="8" s="1"/>
  <c r="Y789" i="8" s="1"/>
  <c r="Y608" i="8"/>
  <c r="Y609" i="8" s="1"/>
  <c r="Y344" i="2"/>
  <c r="X748" i="2"/>
  <c r="X1220" i="8" s="1"/>
  <c r="X1221" i="8" s="1"/>
  <c r="Y792" i="8"/>
  <c r="Y793" i="8" s="1"/>
  <c r="Y363" i="2"/>
  <c r="Y386" i="2" s="1"/>
  <c r="Y928" i="8" s="1"/>
  <c r="Y929" i="8" s="1"/>
  <c r="Y392" i="2"/>
  <c r="X1224" i="8"/>
  <c r="X1225" i="8" s="1"/>
  <c r="X759" i="2"/>
  <c r="X1256" i="8" s="1"/>
  <c r="X1257" i="8" s="1"/>
  <c r="Y784" i="8"/>
  <c r="Y785" i="8" s="1"/>
  <c r="Y376" i="2"/>
  <c r="Y908" i="8" s="1"/>
  <c r="Y909" i="8" s="1"/>
  <c r="Y359" i="2"/>
  <c r="Y856" i="8" s="1"/>
  <c r="Y857" i="8" s="1"/>
  <c r="X1176" i="8"/>
  <c r="X1177" i="8" s="1"/>
  <c r="X757" i="2"/>
  <c r="X1248" i="8" s="1"/>
  <c r="X1249" i="8" s="1"/>
  <c r="Y1000" i="8"/>
  <c r="Y1001" i="8" s="1"/>
  <c r="Y742" i="2"/>
  <c r="Z677" i="2"/>
  <c r="Y731" i="2"/>
  <c r="AA331" i="2"/>
  <c r="AA600" i="8"/>
  <c r="AA601" i="8" s="1"/>
  <c r="AB277" i="2"/>
  <c r="AA342" i="2"/>
  <c r="X804" i="8"/>
  <c r="X805" i="8" s="1"/>
  <c r="X389" i="2"/>
  <c r="X940" i="8" s="1"/>
  <c r="X941" i="8" s="1"/>
  <c r="X395" i="2"/>
  <c r="X960" i="8" s="1"/>
  <c r="X961" i="8" s="1"/>
  <c r="X366" i="2"/>
  <c r="X876" i="8" s="1"/>
  <c r="X877" i="8" s="1"/>
  <c r="X1344" i="8"/>
  <c r="X1345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Y370" i="2"/>
  <c r="Y892" i="8" s="1"/>
  <c r="Y893" i="8" s="1"/>
  <c r="Y399" i="2"/>
  <c r="Y976" i="8" s="1"/>
  <c r="Y977" i="8" s="1"/>
  <c r="X369" i="2"/>
  <c r="X888" i="8" s="1"/>
  <c r="X889" i="8" s="1"/>
  <c r="X398" i="2"/>
  <c r="X972" i="8" s="1"/>
  <c r="X973" i="8" s="1"/>
  <c r="X816" i="8"/>
  <c r="X817" i="8" s="1"/>
  <c r="W774" i="2"/>
  <c r="W1300" i="8" s="1"/>
  <c r="W1301" i="8" s="1"/>
  <c r="U642" i="2"/>
  <c r="W61" i="2"/>
  <c r="V35" i="8"/>
  <c r="V36" i="8" s="1"/>
  <c r="V522" i="2"/>
  <c r="W513" i="2"/>
  <c r="V187" i="8"/>
  <c r="V188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V638" i="2"/>
  <c r="U279" i="8"/>
  <c r="U280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W454" i="2"/>
  <c r="V155" i="8"/>
  <c r="V156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U582" i="2"/>
  <c r="V573" i="2"/>
  <c r="U223" i="8"/>
  <c r="U224" i="8" s="1"/>
  <c r="V578" i="2"/>
  <c r="U243" i="8"/>
  <c r="U244" i="8" s="1"/>
  <c r="X360" i="2" l="1"/>
  <c r="X860" i="8" s="1"/>
  <c r="X861" i="8" s="1"/>
  <c r="Y772" i="8"/>
  <c r="Y773" i="8" s="1"/>
  <c r="Y356" i="2"/>
  <c r="Y844" i="8" s="1"/>
  <c r="Y845" i="8" s="1"/>
  <c r="Y808" i="8"/>
  <c r="Y809" i="8" s="1"/>
  <c r="Y396" i="2"/>
  <c r="Y964" i="8" s="1"/>
  <c r="Y965" i="8" s="1"/>
  <c r="Y367" i="2"/>
  <c r="Y880" i="8" s="1"/>
  <c r="Y881" i="8" s="1"/>
  <c r="X785" i="2"/>
  <c r="X1324" i="8" s="1"/>
  <c r="X1325" i="8" s="1"/>
  <c r="X400" i="2"/>
  <c r="X980" i="8" s="1"/>
  <c r="X981" i="8" s="1"/>
  <c r="Z334" i="2"/>
  <c r="Z612" i="8"/>
  <c r="Z613" i="8" s="1"/>
  <c r="Z345" i="2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Y358" i="2"/>
  <c r="Y852" i="8" s="1"/>
  <c r="Y853" i="8" s="1"/>
  <c r="Z792" i="8"/>
  <c r="Z793" i="8" s="1"/>
  <c r="Z363" i="2"/>
  <c r="Z392" i="2"/>
  <c r="Y1196" i="8"/>
  <c r="Y1197" i="8" s="1"/>
  <c r="Y764" i="2"/>
  <c r="Y1268" i="8" s="1"/>
  <c r="Y1269" i="8" s="1"/>
  <c r="Y793" i="2"/>
  <c r="Y1352" i="8" s="1"/>
  <c r="Y1353" i="8" s="1"/>
  <c r="Z1172" i="8"/>
  <c r="Z1173" i="8" s="1"/>
  <c r="Z756" i="2"/>
  <c r="Z1244" i="8" s="1"/>
  <c r="Z1245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596" i="8"/>
  <c r="AA597" i="8" s="1"/>
  <c r="AB276" i="2"/>
  <c r="AA341" i="2"/>
  <c r="AA330" i="2"/>
  <c r="Y948" i="8"/>
  <c r="Y949" i="8" s="1"/>
  <c r="Z1208" i="8"/>
  <c r="Z1209" i="8" s="1"/>
  <c r="Z767" i="2"/>
  <c r="Z1280" i="8" s="1"/>
  <c r="Z1281" i="8" s="1"/>
  <c r="Z796" i="2"/>
  <c r="Z1364" i="8" s="1"/>
  <c r="Z1365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AA678" i="2"/>
  <c r="Z775" i="2"/>
  <c r="Z1304" i="8" s="1"/>
  <c r="Z1305" i="8" s="1"/>
  <c r="Y387" i="2"/>
  <c r="Y932" i="8" s="1"/>
  <c r="Y933" i="8" s="1"/>
  <c r="Y804" i="8"/>
  <c r="Y805" i="8" s="1"/>
  <c r="Y395" i="2"/>
  <c r="Y960" i="8" s="1"/>
  <c r="Y961" i="8" s="1"/>
  <c r="Y366" i="2"/>
  <c r="Y876" i="8" s="1"/>
  <c r="Y877" i="8" s="1"/>
  <c r="W1296" i="8"/>
  <c r="W1297" i="8" s="1"/>
  <c r="W778" i="2"/>
  <c r="W1316" i="8" s="1"/>
  <c r="W1317" i="8" s="1"/>
  <c r="Y1200" i="8"/>
  <c r="Y1201" i="8" s="1"/>
  <c r="Y794" i="2"/>
  <c r="Y1356" i="8" s="1"/>
  <c r="Y1357" i="8" s="1"/>
  <c r="Y765" i="2"/>
  <c r="Y1272" i="8" s="1"/>
  <c r="Y1273" i="8" s="1"/>
  <c r="AD281" i="2"/>
  <c r="AC335" i="2"/>
  <c r="AC616" i="8"/>
  <c r="AC617" i="8" s="1"/>
  <c r="AC346" i="2"/>
  <c r="AA1216" i="8"/>
  <c r="AA1217" i="8" s="1"/>
  <c r="AA769" i="2"/>
  <c r="AA1288" i="8" s="1"/>
  <c r="AA1289" i="8" s="1"/>
  <c r="AA798" i="2"/>
  <c r="AA1372" i="8" s="1"/>
  <c r="AA1373" i="8" s="1"/>
  <c r="Y864" i="8"/>
  <c r="Y865" i="8" s="1"/>
  <c r="Z1152" i="8"/>
  <c r="Z1153" i="8" s="1"/>
  <c r="Z751" i="2"/>
  <c r="AA624" i="8"/>
  <c r="AA625" i="8" s="1"/>
  <c r="AA348" i="2"/>
  <c r="AA337" i="2"/>
  <c r="AB283" i="2"/>
  <c r="X770" i="2"/>
  <c r="X1292" i="8" s="1"/>
  <c r="X1293" i="8" s="1"/>
  <c r="Y1164" i="8"/>
  <c r="Y1165" i="8" s="1"/>
  <c r="Y754" i="2"/>
  <c r="Y1236" i="8" s="1"/>
  <c r="Y1237" i="8" s="1"/>
  <c r="Y777" i="2"/>
  <c r="Y1312" i="8" s="1"/>
  <c r="Y1313" i="8" s="1"/>
  <c r="W900" i="8"/>
  <c r="W901" i="8" s="1"/>
  <c r="W379" i="2"/>
  <c r="W920" i="8" s="1"/>
  <c r="W921" i="8" s="1"/>
  <c r="AA1180" i="8"/>
  <c r="AA1181" i="8" s="1"/>
  <c r="AA758" i="2"/>
  <c r="AA1252" i="8" s="1"/>
  <c r="AA1253" i="8" s="1"/>
  <c r="X799" i="2"/>
  <c r="X1376" i="8" s="1"/>
  <c r="X1377" i="8" s="1"/>
  <c r="AA1012" i="8"/>
  <c r="AA1013" i="8" s="1"/>
  <c r="AA734" i="2"/>
  <c r="AB680" i="2"/>
  <c r="AA745" i="2"/>
  <c r="Y828" i="8"/>
  <c r="Y829" i="8" s="1"/>
  <c r="Z1188" i="8"/>
  <c r="Z1189" i="8" s="1"/>
  <c r="Z762" i="2"/>
  <c r="Z791" i="2"/>
  <c r="AB812" i="8"/>
  <c r="AB813" i="8" s="1"/>
  <c r="AB368" i="2"/>
  <c r="AB884" i="8" s="1"/>
  <c r="AB885" i="8" s="1"/>
  <c r="AB397" i="2"/>
  <c r="AB968" i="8" s="1"/>
  <c r="AB969" i="8" s="1"/>
  <c r="Y355" i="2"/>
  <c r="Y840" i="8" s="1"/>
  <c r="Y841" i="8" s="1"/>
  <c r="Y768" i="8"/>
  <c r="Y769" i="8" s="1"/>
  <c r="Z784" i="8"/>
  <c r="Z785" i="8" s="1"/>
  <c r="Z359" i="2"/>
  <c r="Z856" i="8" s="1"/>
  <c r="Z857" i="8" s="1"/>
  <c r="Y1176" i="8"/>
  <c r="Y1177" i="8" s="1"/>
  <c r="Y757" i="2"/>
  <c r="Y1248" i="8" s="1"/>
  <c r="Y1249" i="8" s="1"/>
  <c r="AB1020" i="8"/>
  <c r="AB1021" i="8" s="1"/>
  <c r="AB736" i="2"/>
  <c r="AB747" i="2"/>
  <c r="AC682" i="2"/>
  <c r="AA796" i="8"/>
  <c r="AA797" i="8" s="1"/>
  <c r="AA364" i="2"/>
  <c r="AA868" i="8" s="1"/>
  <c r="AA869" i="8" s="1"/>
  <c r="AA393" i="2"/>
  <c r="AA952" i="8" s="1"/>
  <c r="AA953" i="8" s="1"/>
  <c r="AA279" i="2"/>
  <c r="Z333" i="2"/>
  <c r="Z338" i="2" s="1"/>
  <c r="Z788" i="8" s="1"/>
  <c r="Z789" i="8" s="1"/>
  <c r="Z608" i="8"/>
  <c r="Z609" i="8" s="1"/>
  <c r="Z344" i="2"/>
  <c r="Z349" i="2" s="1"/>
  <c r="Z824" i="8" s="1"/>
  <c r="Z825" i="8" s="1"/>
  <c r="Z820" i="8"/>
  <c r="Z821" i="8" s="1"/>
  <c r="Z370" i="2"/>
  <c r="Z892" i="8" s="1"/>
  <c r="Z893" i="8" s="1"/>
  <c r="Z399" i="2"/>
  <c r="Z976" i="8" s="1"/>
  <c r="Z977" i="8" s="1"/>
  <c r="Z996" i="8"/>
  <c r="Z997" i="8" s="1"/>
  <c r="Z730" i="2"/>
  <c r="Z741" i="2"/>
  <c r="AA676" i="2"/>
  <c r="Z1016" i="8"/>
  <c r="Z1017" i="8" s="1"/>
  <c r="AA681" i="2"/>
  <c r="Z746" i="2"/>
  <c r="Z735" i="2"/>
  <c r="AB600" i="8"/>
  <c r="AB601" i="8" s="1"/>
  <c r="AB331" i="2"/>
  <c r="AB342" i="2"/>
  <c r="AC277" i="2"/>
  <c r="Z800" i="8"/>
  <c r="Z801" i="8" s="1"/>
  <c r="Z365" i="2"/>
  <c r="Z872" i="8" s="1"/>
  <c r="Z873" i="8" s="1"/>
  <c r="Z394" i="2"/>
  <c r="Z956" i="8" s="1"/>
  <c r="Z957" i="8" s="1"/>
  <c r="Y773" i="2"/>
  <c r="Y1156" i="8"/>
  <c r="Y1157" i="8" s="1"/>
  <c r="Y752" i="2"/>
  <c r="Y1212" i="8"/>
  <c r="Y1213" i="8" s="1"/>
  <c r="Y797" i="2"/>
  <c r="Y1368" i="8" s="1"/>
  <c r="Y1369" i="8" s="1"/>
  <c r="Y768" i="2"/>
  <c r="Y1284" i="8" s="1"/>
  <c r="Y1285" i="8" s="1"/>
  <c r="X378" i="2"/>
  <c r="X916" i="8" s="1"/>
  <c r="X917" i="8" s="1"/>
  <c r="Z1000" i="8"/>
  <c r="Z1001" i="8" s="1"/>
  <c r="Z742" i="2"/>
  <c r="Z731" i="2"/>
  <c r="AA677" i="2"/>
  <c r="X774" i="2"/>
  <c r="X1300" i="8" s="1"/>
  <c r="X1301" i="8" s="1"/>
  <c r="AA343" i="2"/>
  <c r="AA604" i="8"/>
  <c r="AA605" i="8" s="1"/>
  <c r="AA332" i="2"/>
  <c r="AB278" i="2"/>
  <c r="X1320" i="8"/>
  <c r="X1321" i="8" s="1"/>
  <c r="X789" i="2"/>
  <c r="X1340" i="8" s="1"/>
  <c r="Y1192" i="8"/>
  <c r="Y1193" i="8" s="1"/>
  <c r="Y792" i="2"/>
  <c r="Y1348" i="8" s="1"/>
  <c r="Y1349" i="8" s="1"/>
  <c r="Y763" i="2"/>
  <c r="AA353" i="2"/>
  <c r="AA832" i="8" s="1"/>
  <c r="AA833" i="8" s="1"/>
  <c r="AA760" i="8"/>
  <c r="AA761" i="8" s="1"/>
  <c r="Z764" i="8"/>
  <c r="Z765" i="8" s="1"/>
  <c r="Z354" i="2"/>
  <c r="Z836" i="8" s="1"/>
  <c r="Z837" i="8" s="1"/>
  <c r="Z1168" i="8"/>
  <c r="Z1169" i="8" s="1"/>
  <c r="Z755" i="2"/>
  <c r="Z1240" i="8" s="1"/>
  <c r="Z1241" i="8" s="1"/>
  <c r="W1320" i="8"/>
  <c r="W1321" i="8" s="1"/>
  <c r="W789" i="2"/>
  <c r="W1340" i="8" s="1"/>
  <c r="Y816" i="8"/>
  <c r="Y817" i="8" s="1"/>
  <c r="Y398" i="2"/>
  <c r="Y972" i="8" s="1"/>
  <c r="Y973" i="8" s="1"/>
  <c r="Y369" i="2"/>
  <c r="Y888" i="8" s="1"/>
  <c r="Y889" i="8" s="1"/>
  <c r="X900" i="8"/>
  <c r="X901" i="8" s="1"/>
  <c r="AB776" i="8"/>
  <c r="AB777" i="8" s="1"/>
  <c r="AB357" i="2"/>
  <c r="AB848" i="8" s="1"/>
  <c r="AB849" i="8" s="1"/>
  <c r="Z756" i="8"/>
  <c r="Z757" i="8" s="1"/>
  <c r="Z352" i="2"/>
  <c r="Z375" i="2" s="1"/>
  <c r="Z904" i="8" s="1"/>
  <c r="Z905" i="8" s="1"/>
  <c r="Y1160" i="8"/>
  <c r="Y1161" i="8" s="1"/>
  <c r="Y753" i="2"/>
  <c r="Y1232" i="8" s="1"/>
  <c r="Y1233" i="8" s="1"/>
  <c r="Y1260" i="8"/>
  <c r="Y1261" i="8" s="1"/>
  <c r="Z1204" i="8"/>
  <c r="Z1205" i="8" s="1"/>
  <c r="Z795" i="2"/>
  <c r="Z1360" i="8" s="1"/>
  <c r="Z1361" i="8" s="1"/>
  <c r="Z766" i="2"/>
  <c r="Z1276" i="8" s="1"/>
  <c r="Z1277" i="8" s="1"/>
  <c r="Z620" i="8"/>
  <c r="Z621" i="8" s="1"/>
  <c r="Z336" i="2"/>
  <c r="Z347" i="2"/>
  <c r="AA282" i="2"/>
  <c r="X773" i="2"/>
  <c r="V642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W638" i="2"/>
  <c r="V279" i="8"/>
  <c r="V280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W573" i="2"/>
  <c r="V582" i="2"/>
  <c r="V223" i="8"/>
  <c r="V224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V462" i="2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V183" i="2" s="1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X454" i="2"/>
  <c r="W155" i="8"/>
  <c r="W15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522" i="2"/>
  <c r="X513" i="2"/>
  <c r="W187" i="8"/>
  <c r="W188" i="8" s="1"/>
  <c r="W176" i="2"/>
  <c r="V87" i="8"/>
  <c r="V88" i="8" s="1"/>
  <c r="X458" i="2"/>
  <c r="W171" i="8"/>
  <c r="W172" i="8" s="1"/>
  <c r="X517" i="2"/>
  <c r="W203" i="8"/>
  <c r="W204" i="8" s="1"/>
  <c r="W460" i="2"/>
  <c r="W462" i="2" s="1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X379" i="2" l="1"/>
  <c r="X920" i="8" s="1"/>
  <c r="X921" i="8" s="1"/>
  <c r="Z396" i="2"/>
  <c r="Z964" i="8" s="1"/>
  <c r="Z965" i="8" s="1"/>
  <c r="Z367" i="2"/>
  <c r="Z880" i="8" s="1"/>
  <c r="Z881" i="8" s="1"/>
  <c r="Z808" i="8"/>
  <c r="Z809" i="8" s="1"/>
  <c r="Y389" i="2"/>
  <c r="Y940" i="8" s="1"/>
  <c r="Y941" i="8" s="1"/>
  <c r="Z356" i="2"/>
  <c r="Z844" i="8" s="1"/>
  <c r="Z845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Z387" i="2"/>
  <c r="Z932" i="8" s="1"/>
  <c r="Z933" i="8" s="1"/>
  <c r="Y784" i="2"/>
  <c r="Y788" i="2"/>
  <c r="Y1336" i="8" s="1"/>
  <c r="Y1337" i="8" s="1"/>
  <c r="Y385" i="2"/>
  <c r="Z1212" i="8"/>
  <c r="Z1213" i="8" s="1"/>
  <c r="Z797" i="2"/>
  <c r="Z1368" i="8" s="1"/>
  <c r="Z1369" i="8" s="1"/>
  <c r="Z768" i="2"/>
  <c r="Z1284" i="8" s="1"/>
  <c r="Z1285" i="8" s="1"/>
  <c r="AB279" i="2"/>
  <c r="AA333" i="2"/>
  <c r="AA608" i="8"/>
  <c r="AA609" i="8" s="1"/>
  <c r="AA344" i="2"/>
  <c r="Y378" i="2"/>
  <c r="Y916" i="8" s="1"/>
  <c r="Y917" i="8" s="1"/>
  <c r="AA1172" i="8"/>
  <c r="AA1173" i="8" s="1"/>
  <c r="AA756" i="2"/>
  <c r="AA1244" i="8" s="1"/>
  <c r="AA1245" i="8" s="1"/>
  <c r="AA1188" i="8"/>
  <c r="AA1189" i="8" s="1"/>
  <c r="AA762" i="2"/>
  <c r="AA791" i="2"/>
  <c r="Y400" i="2"/>
  <c r="Y980" i="8" s="1"/>
  <c r="Y981" i="8" s="1"/>
  <c r="AA1016" i="8"/>
  <c r="AA1017" i="8" s="1"/>
  <c r="AB681" i="2"/>
  <c r="AA746" i="2"/>
  <c r="AA735" i="2"/>
  <c r="AA1152" i="8"/>
  <c r="AA1153" i="8" s="1"/>
  <c r="AA751" i="2"/>
  <c r="Y770" i="2"/>
  <c r="Y1292" i="8" s="1"/>
  <c r="Y1293" i="8" s="1"/>
  <c r="AB348" i="2"/>
  <c r="AB624" i="8"/>
  <c r="AB625" i="8" s="1"/>
  <c r="AC283" i="2"/>
  <c r="AB337" i="2"/>
  <c r="AC812" i="8"/>
  <c r="AC813" i="8" s="1"/>
  <c r="AC368" i="2"/>
  <c r="AC884" i="8" s="1"/>
  <c r="AC885" i="8" s="1"/>
  <c r="AC397" i="2"/>
  <c r="AC968" i="8" s="1"/>
  <c r="AC969" i="8" s="1"/>
  <c r="AB992" i="8"/>
  <c r="AB993" i="8" s="1"/>
  <c r="AB729" i="2"/>
  <c r="AB740" i="2"/>
  <c r="AC675" i="2"/>
  <c r="AA756" i="8"/>
  <c r="AA757" i="8" s="1"/>
  <c r="AA352" i="2"/>
  <c r="AA375" i="2" s="1"/>
  <c r="AA904" i="8" s="1"/>
  <c r="AA905" i="8" s="1"/>
  <c r="Y1228" i="8"/>
  <c r="Y1229" i="8" s="1"/>
  <c r="Y774" i="2"/>
  <c r="Y1300" i="8" s="1"/>
  <c r="Y1301" i="8" s="1"/>
  <c r="AA996" i="8"/>
  <c r="AA997" i="8" s="1"/>
  <c r="AA730" i="2"/>
  <c r="AA741" i="2"/>
  <c r="AB676" i="2"/>
  <c r="AA784" i="8"/>
  <c r="AA785" i="8" s="1"/>
  <c r="AA359" i="2"/>
  <c r="AA856" i="8" s="1"/>
  <c r="AA857" i="8" s="1"/>
  <c r="AA792" i="8"/>
  <c r="AA793" i="8" s="1"/>
  <c r="AA363" i="2"/>
  <c r="AA392" i="2"/>
  <c r="X1296" i="8"/>
  <c r="X1297" i="8" s="1"/>
  <c r="X778" i="2"/>
  <c r="X1316" i="8" s="1"/>
  <c r="X1317" i="8" s="1"/>
  <c r="AA800" i="8"/>
  <c r="AA801" i="8" s="1"/>
  <c r="AA365" i="2"/>
  <c r="AA872" i="8" s="1"/>
  <c r="AA873" i="8" s="1"/>
  <c r="AA394" i="2"/>
  <c r="AA956" i="8" s="1"/>
  <c r="AA957" i="8" s="1"/>
  <c r="Z1224" i="8"/>
  <c r="Z1225" i="8" s="1"/>
  <c r="Z948" i="8"/>
  <c r="Z949" i="8" s="1"/>
  <c r="Z1192" i="8"/>
  <c r="Z1193" i="8" s="1"/>
  <c r="Z792" i="2"/>
  <c r="Z1348" i="8" s="1"/>
  <c r="Z1349" i="8" s="1"/>
  <c r="Z763" i="2"/>
  <c r="Z1264" i="8" s="1"/>
  <c r="Z1265" i="8" s="1"/>
  <c r="AA820" i="8"/>
  <c r="AA821" i="8" s="1"/>
  <c r="AA370" i="2"/>
  <c r="AA892" i="8" s="1"/>
  <c r="AA893" i="8" s="1"/>
  <c r="AA399" i="2"/>
  <c r="AA976" i="8" s="1"/>
  <c r="AA977" i="8" s="1"/>
  <c r="AB596" i="8"/>
  <c r="AB597" i="8" s="1"/>
  <c r="AC276" i="2"/>
  <c r="AB341" i="2"/>
  <c r="AB330" i="2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678" i="2"/>
  <c r="AA1204" i="8"/>
  <c r="AA1205" i="8" s="1"/>
  <c r="AA795" i="2"/>
  <c r="AA1360" i="8" s="1"/>
  <c r="AA1361" i="8" s="1"/>
  <c r="AA766" i="2"/>
  <c r="AA1276" i="8" s="1"/>
  <c r="AA1277" i="8" s="1"/>
  <c r="Z864" i="8"/>
  <c r="Z865" i="8" s="1"/>
  <c r="AB343" i="2"/>
  <c r="AB332" i="2"/>
  <c r="AB604" i="8"/>
  <c r="AB605" i="8" s="1"/>
  <c r="AC278" i="2"/>
  <c r="AA764" i="8"/>
  <c r="AA765" i="8" s="1"/>
  <c r="AA354" i="2"/>
  <c r="AA836" i="8" s="1"/>
  <c r="AA837" i="8" s="1"/>
  <c r="Z1156" i="8"/>
  <c r="Z1157" i="8" s="1"/>
  <c r="Z752" i="2"/>
  <c r="Z1228" i="8" s="1"/>
  <c r="Z1229" i="8" s="1"/>
  <c r="AB1216" i="8"/>
  <c r="AB1217" i="8" s="1"/>
  <c r="AB769" i="2"/>
  <c r="AB1288" i="8" s="1"/>
  <c r="AB1289" i="8" s="1"/>
  <c r="AB798" i="2"/>
  <c r="AB1372" i="8" s="1"/>
  <c r="AB1373" i="8" s="1"/>
  <c r="Z748" i="2"/>
  <c r="Z1220" i="8" s="1"/>
  <c r="Z1221" i="8" s="1"/>
  <c r="AD616" i="8"/>
  <c r="AD617" i="8" s="1"/>
  <c r="AE281" i="2"/>
  <c r="AD335" i="2"/>
  <c r="AD346" i="2"/>
  <c r="AB1180" i="8"/>
  <c r="AB1181" i="8" s="1"/>
  <c r="AB758" i="2"/>
  <c r="AB1252" i="8" s="1"/>
  <c r="AB1253" i="8" s="1"/>
  <c r="Z774" i="2"/>
  <c r="Z1300" i="8" s="1"/>
  <c r="Z1301" i="8" s="1"/>
  <c r="Y1320" i="8"/>
  <c r="Y1321" i="8" s="1"/>
  <c r="Z1200" i="8"/>
  <c r="Z1201" i="8" s="1"/>
  <c r="Z794" i="2"/>
  <c r="Z1356" i="8" s="1"/>
  <c r="Z1357" i="8" s="1"/>
  <c r="Z765" i="2"/>
  <c r="Z1272" i="8" s="1"/>
  <c r="Z1273" i="8" s="1"/>
  <c r="AB1008" i="8"/>
  <c r="AB1009" i="8" s="1"/>
  <c r="AB744" i="2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Z816" i="8"/>
  <c r="Z817" i="8" s="1"/>
  <c r="Z398" i="2"/>
  <c r="Z972" i="8" s="1"/>
  <c r="Z973" i="8" s="1"/>
  <c r="Z369" i="2"/>
  <c r="Z888" i="8" s="1"/>
  <c r="Z889" i="8" s="1"/>
  <c r="AA1000" i="8"/>
  <c r="AA1001" i="8" s="1"/>
  <c r="AA742" i="2"/>
  <c r="AB677" i="2"/>
  <c r="AA731" i="2"/>
  <c r="AA737" i="2" s="1"/>
  <c r="AA1184" i="8" s="1"/>
  <c r="AA1185" i="8" s="1"/>
  <c r="AC600" i="8"/>
  <c r="AC601" i="8" s="1"/>
  <c r="AC331" i="2"/>
  <c r="AC342" i="2"/>
  <c r="AD277" i="2"/>
  <c r="Z780" i="8"/>
  <c r="Z781" i="8" s="1"/>
  <c r="Z358" i="2"/>
  <c r="Z852" i="8" s="1"/>
  <c r="Z853" i="8" s="1"/>
  <c r="Z374" i="2"/>
  <c r="Z1160" i="8"/>
  <c r="Z1161" i="8" s="1"/>
  <c r="Z753" i="2"/>
  <c r="Z1232" i="8" s="1"/>
  <c r="Z1233" i="8" s="1"/>
  <c r="AB796" i="8"/>
  <c r="AB797" i="8" s="1"/>
  <c r="AB393" i="2"/>
  <c r="AB952" i="8" s="1"/>
  <c r="AB953" i="8" s="1"/>
  <c r="AB364" i="2"/>
  <c r="AB868" i="8" s="1"/>
  <c r="AB869" i="8" s="1"/>
  <c r="Z376" i="2"/>
  <c r="Z908" i="8" s="1"/>
  <c r="Z909" i="8" s="1"/>
  <c r="Y360" i="2"/>
  <c r="Y860" i="8" s="1"/>
  <c r="Y861" i="8" s="1"/>
  <c r="Y371" i="2"/>
  <c r="Y896" i="8" s="1"/>
  <c r="Y897" i="8" s="1"/>
  <c r="Z1164" i="8"/>
  <c r="Z1165" i="8" s="1"/>
  <c r="Z754" i="2"/>
  <c r="Z1236" i="8" s="1"/>
  <c r="Z1237" i="8" s="1"/>
  <c r="AA1168" i="8"/>
  <c r="AA1169" i="8" s="1"/>
  <c r="AA755" i="2"/>
  <c r="AA1240" i="8" s="1"/>
  <c r="AA1241" i="8" s="1"/>
  <c r="AC1020" i="8"/>
  <c r="AC1021" i="8" s="1"/>
  <c r="AC736" i="2"/>
  <c r="AC747" i="2"/>
  <c r="AD682" i="2"/>
  <c r="AC776" i="8"/>
  <c r="AC777" i="8" s="1"/>
  <c r="AC357" i="2"/>
  <c r="AC848" i="8" s="1"/>
  <c r="AC849" i="8" s="1"/>
  <c r="Z1196" i="8"/>
  <c r="Z1197" i="8" s="1"/>
  <c r="Z793" i="2"/>
  <c r="Z1352" i="8" s="1"/>
  <c r="Z1353" i="8" s="1"/>
  <c r="Z764" i="2"/>
  <c r="Z1268" i="8" s="1"/>
  <c r="Z1269" i="8" s="1"/>
  <c r="AB353" i="2"/>
  <c r="AB832" i="8" s="1"/>
  <c r="AB833" i="8" s="1"/>
  <c r="AB760" i="8"/>
  <c r="AB761" i="8" s="1"/>
  <c r="Z804" i="8"/>
  <c r="Z805" i="8" s="1"/>
  <c r="Z395" i="2"/>
  <c r="Z960" i="8" s="1"/>
  <c r="Z961" i="8" s="1"/>
  <c r="Z366" i="2"/>
  <c r="Z876" i="8" s="1"/>
  <c r="Z877" i="8" s="1"/>
  <c r="Y374" i="2"/>
  <c r="AA1208" i="8"/>
  <c r="AA1209" i="8" s="1"/>
  <c r="AA796" i="2"/>
  <c r="AA1364" i="8" s="1"/>
  <c r="AA1365" i="8" s="1"/>
  <c r="AA767" i="2"/>
  <c r="AA1280" i="8" s="1"/>
  <c r="AA1281" i="8" s="1"/>
  <c r="Y759" i="2"/>
  <c r="Y1256" i="8" s="1"/>
  <c r="Y1257" i="8" s="1"/>
  <c r="Y1264" i="8"/>
  <c r="Y1265" i="8" s="1"/>
  <c r="Y785" i="2"/>
  <c r="Y1324" i="8" s="1"/>
  <c r="Y1325" i="8" s="1"/>
  <c r="Z1176" i="8"/>
  <c r="Z1177" i="8" s="1"/>
  <c r="Z757" i="2"/>
  <c r="Z1248" i="8" s="1"/>
  <c r="Z1249" i="8" s="1"/>
  <c r="Z768" i="8"/>
  <c r="Z769" i="8" s="1"/>
  <c r="Z355" i="2"/>
  <c r="Z840" i="8" s="1"/>
  <c r="Z841" i="8" s="1"/>
  <c r="AB1012" i="8"/>
  <c r="AB1013" i="8" s="1"/>
  <c r="AB745" i="2"/>
  <c r="AB734" i="2"/>
  <c r="AC680" i="2"/>
  <c r="AA786" i="2"/>
  <c r="AA1328" i="8" s="1"/>
  <c r="AA1329" i="8" s="1"/>
  <c r="Y799" i="2"/>
  <c r="Y1376" i="8" s="1"/>
  <c r="Y1377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573" i="2"/>
  <c r="W582" i="2"/>
  <c r="W223" i="8"/>
  <c r="W224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X638" i="2"/>
  <c r="W279" i="8"/>
  <c r="W280" i="8" s="1"/>
  <c r="Y576" i="2"/>
  <c r="X235" i="8"/>
  <c r="X236" i="8" s="1"/>
  <c r="Y60" i="2"/>
  <c r="X31" i="8"/>
  <c r="X32" i="8" s="1"/>
  <c r="Y461" i="2"/>
  <c r="X183" i="8"/>
  <c r="X184" i="8" s="1"/>
  <c r="W180" i="2"/>
  <c r="W183" i="2" s="1"/>
  <c r="V103" i="8"/>
  <c r="V104" i="8" s="1"/>
  <c r="X522" i="2"/>
  <c r="Y513" i="2"/>
  <c r="X187" i="8"/>
  <c r="X188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Y454" i="2"/>
  <c r="X155" i="8"/>
  <c r="X15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W642" i="2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A772" i="8" l="1"/>
  <c r="AA773" i="8" s="1"/>
  <c r="AA356" i="2"/>
  <c r="AA844" i="8" s="1"/>
  <c r="AA845" i="8" s="1"/>
  <c r="AB334" i="2"/>
  <c r="AC280" i="2"/>
  <c r="AB612" i="8"/>
  <c r="AB613" i="8" s="1"/>
  <c r="AB345" i="2"/>
  <c r="AA367" i="2"/>
  <c r="AA880" i="8" s="1"/>
  <c r="AA881" i="8" s="1"/>
  <c r="AA396" i="2"/>
  <c r="AA964" i="8" s="1"/>
  <c r="AA965" i="8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Z860" i="8" s="1"/>
  <c r="Z861" i="8" s="1"/>
  <c r="Y778" i="2"/>
  <c r="Y1316" i="8" s="1"/>
  <c r="Y1317" i="8" s="1"/>
  <c r="Y789" i="2"/>
  <c r="Y1340" i="8" s="1"/>
  <c r="AA948" i="8"/>
  <c r="AA949" i="8" s="1"/>
  <c r="AA1160" i="8"/>
  <c r="AA1161" i="8" s="1"/>
  <c r="AA753" i="2"/>
  <c r="AA1232" i="8" s="1"/>
  <c r="AA1233" i="8" s="1"/>
  <c r="AB756" i="8"/>
  <c r="AB757" i="8" s="1"/>
  <c r="AB352" i="2"/>
  <c r="AA864" i="8"/>
  <c r="AA865" i="8" s="1"/>
  <c r="AA1224" i="8"/>
  <c r="AA1225" i="8" s="1"/>
  <c r="AB1168" i="8"/>
  <c r="AB1169" i="8" s="1"/>
  <c r="AB755" i="2"/>
  <c r="AB1240" i="8" s="1"/>
  <c r="AB1241" i="8" s="1"/>
  <c r="AB1204" i="8"/>
  <c r="AB1205" i="8" s="1"/>
  <c r="AB766" i="2"/>
  <c r="AB1276" i="8" s="1"/>
  <c r="AB1277" i="8" s="1"/>
  <c r="AB795" i="2"/>
  <c r="AB1360" i="8" s="1"/>
  <c r="AB1361" i="8" s="1"/>
  <c r="AB775" i="2"/>
  <c r="AB1304" i="8" s="1"/>
  <c r="AB1305" i="8" s="1"/>
  <c r="AB1004" i="8"/>
  <c r="AB1005" i="8" s="1"/>
  <c r="AB732" i="2"/>
  <c r="AB743" i="2"/>
  <c r="AC678" i="2"/>
  <c r="Z759" i="2"/>
  <c r="Z1256" i="8" s="1"/>
  <c r="Z1257" i="8" s="1"/>
  <c r="AA376" i="2"/>
  <c r="AA908" i="8" s="1"/>
  <c r="AA909" i="8" s="1"/>
  <c r="AB1152" i="8"/>
  <c r="AB1153" i="8" s="1"/>
  <c r="AB751" i="2"/>
  <c r="AA1176" i="8"/>
  <c r="AA1177" i="8" s="1"/>
  <c r="AA757" i="2"/>
  <c r="AA1248" i="8" s="1"/>
  <c r="AA1249" i="8" s="1"/>
  <c r="AC1008" i="8"/>
  <c r="AC1009" i="8" s="1"/>
  <c r="AC744" i="2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E682" i="2"/>
  <c r="AC1012" i="8"/>
  <c r="AC1013" i="8" s="1"/>
  <c r="AC745" i="2"/>
  <c r="AC734" i="2"/>
  <c r="AD680" i="2"/>
  <c r="AC1216" i="8"/>
  <c r="AC1217" i="8" s="1"/>
  <c r="AC798" i="2"/>
  <c r="AC1372" i="8" s="1"/>
  <c r="AC1373" i="8" s="1"/>
  <c r="AC769" i="2"/>
  <c r="AC1288" i="8" s="1"/>
  <c r="AC1289" i="8" s="1"/>
  <c r="Z385" i="2"/>
  <c r="AC604" i="8"/>
  <c r="AC605" i="8" s="1"/>
  <c r="AC343" i="2"/>
  <c r="AC332" i="2"/>
  <c r="AD278" i="2"/>
  <c r="AA1200" i="8"/>
  <c r="AA1201" i="8" s="1"/>
  <c r="AA765" i="2"/>
  <c r="AA1272" i="8" s="1"/>
  <c r="AA1273" i="8" s="1"/>
  <c r="AA788" i="2"/>
  <c r="AA1336" i="8" s="1"/>
  <c r="AA1337" i="8" s="1"/>
  <c r="AA794" i="2"/>
  <c r="AA1356" i="8" s="1"/>
  <c r="AA1357" i="8" s="1"/>
  <c r="AA387" i="2"/>
  <c r="AA932" i="8" s="1"/>
  <c r="AA933" i="8" s="1"/>
  <c r="AA1212" i="8"/>
  <c r="AA1213" i="8" s="1"/>
  <c r="AA797" i="2"/>
  <c r="AA1368" i="8" s="1"/>
  <c r="AA1369" i="8" s="1"/>
  <c r="AA768" i="2"/>
  <c r="AA1284" i="8" s="1"/>
  <c r="AA1285" i="8" s="1"/>
  <c r="AA768" i="8"/>
  <c r="AA769" i="8" s="1"/>
  <c r="AA355" i="2"/>
  <c r="AA840" i="8" s="1"/>
  <c r="AA841" i="8" s="1"/>
  <c r="AC992" i="8"/>
  <c r="AC993" i="8" s="1"/>
  <c r="AC729" i="2"/>
  <c r="AC740" i="2"/>
  <c r="AD675" i="2"/>
  <c r="AA804" i="8"/>
  <c r="AA805" i="8" s="1"/>
  <c r="AA395" i="2"/>
  <c r="AA960" i="8" s="1"/>
  <c r="AA961" i="8" s="1"/>
  <c r="AA366" i="2"/>
  <c r="AA876" i="8" s="1"/>
  <c r="AA877" i="8" s="1"/>
  <c r="AB1172" i="8"/>
  <c r="AB1173" i="8" s="1"/>
  <c r="AB756" i="2"/>
  <c r="AB1244" i="8" s="1"/>
  <c r="AB1245" i="8" s="1"/>
  <c r="Y900" i="8"/>
  <c r="Y901" i="8" s="1"/>
  <c r="Y379" i="2"/>
  <c r="Y920" i="8" s="1"/>
  <c r="Y921" i="8" s="1"/>
  <c r="AC1180" i="8"/>
  <c r="AC1181" i="8" s="1"/>
  <c r="AC758" i="2"/>
  <c r="AC1252" i="8" s="1"/>
  <c r="AC1253" i="8" s="1"/>
  <c r="AD812" i="8"/>
  <c r="AD813" i="8" s="1"/>
  <c r="AD368" i="2"/>
  <c r="AD884" i="8" s="1"/>
  <c r="AD885" i="8" s="1"/>
  <c r="AD397" i="2"/>
  <c r="AD968" i="8" s="1"/>
  <c r="AD969" i="8" s="1"/>
  <c r="AA1164" i="8"/>
  <c r="AA1165" i="8" s="1"/>
  <c r="AA754" i="2"/>
  <c r="AA1236" i="8" s="1"/>
  <c r="AA1237" i="8" s="1"/>
  <c r="AB996" i="8"/>
  <c r="AB997" i="8" s="1"/>
  <c r="AC676" i="2"/>
  <c r="AB741" i="2"/>
  <c r="AB730" i="2"/>
  <c r="AB1016" i="8"/>
  <c r="AB1017" i="8" s="1"/>
  <c r="AC681" i="2"/>
  <c r="AB746" i="2"/>
  <c r="AB735" i="2"/>
  <c r="AB608" i="8"/>
  <c r="AB609" i="8" s="1"/>
  <c r="AB333" i="2"/>
  <c r="AB344" i="2"/>
  <c r="AC279" i="2"/>
  <c r="AC760" i="8"/>
  <c r="AC761" i="8" s="1"/>
  <c r="AC353" i="2"/>
  <c r="AC832" i="8" s="1"/>
  <c r="AC833" i="8" s="1"/>
  <c r="AB1000" i="8"/>
  <c r="AB1001" i="8" s="1"/>
  <c r="AB731" i="2"/>
  <c r="AB737" i="2" s="1"/>
  <c r="AB1184" i="8" s="1"/>
  <c r="AB1185" i="8" s="1"/>
  <c r="AB742" i="2"/>
  <c r="AC677" i="2"/>
  <c r="AB792" i="8"/>
  <c r="AB793" i="8" s="1"/>
  <c r="AB363" i="2"/>
  <c r="AB386" i="2" s="1"/>
  <c r="AB928" i="8" s="1"/>
  <c r="AB929" i="8" s="1"/>
  <c r="AB392" i="2"/>
  <c r="AA1196" i="8"/>
  <c r="AA1197" i="8" s="1"/>
  <c r="AA764" i="2"/>
  <c r="AA1268" i="8" s="1"/>
  <c r="AA1269" i="8" s="1"/>
  <c r="AA793" i="2"/>
  <c r="AA1352" i="8" s="1"/>
  <c r="AA1353" i="8" s="1"/>
  <c r="AB1188" i="8"/>
  <c r="AB1189" i="8" s="1"/>
  <c r="AB791" i="2"/>
  <c r="AB762" i="2"/>
  <c r="AB1208" i="8"/>
  <c r="AB1209" i="8" s="1"/>
  <c r="AB767" i="2"/>
  <c r="AB1280" i="8" s="1"/>
  <c r="AB1281" i="8" s="1"/>
  <c r="AB796" i="2"/>
  <c r="AB1364" i="8" s="1"/>
  <c r="AB1365" i="8" s="1"/>
  <c r="AD357" i="2"/>
  <c r="AD848" i="8" s="1"/>
  <c r="AD849" i="8" s="1"/>
  <c r="AD776" i="8"/>
  <c r="AD777" i="8" s="1"/>
  <c r="AB764" i="8"/>
  <c r="AB765" i="8" s="1"/>
  <c r="AB354" i="2"/>
  <c r="AB836" i="8" s="1"/>
  <c r="AB837" i="8" s="1"/>
  <c r="AA1192" i="8"/>
  <c r="AA1193" i="8" s="1"/>
  <c r="AA792" i="2"/>
  <c r="AA1348" i="8" s="1"/>
  <c r="AA1349" i="8" s="1"/>
  <c r="AA763" i="2"/>
  <c r="AA1264" i="8" s="1"/>
  <c r="AA1265" i="8" s="1"/>
  <c r="Z900" i="8"/>
  <c r="Z901" i="8" s="1"/>
  <c r="AE335" i="2"/>
  <c r="AE616" i="8"/>
  <c r="AE617" i="8" s="1"/>
  <c r="F617" i="8" s="1"/>
  <c r="AE346" i="2"/>
  <c r="AB800" i="8"/>
  <c r="AB801" i="8" s="1"/>
  <c r="AB365" i="2"/>
  <c r="AB872" i="8" s="1"/>
  <c r="AB873" i="8" s="1"/>
  <c r="AB394" i="2"/>
  <c r="AB956" i="8" s="1"/>
  <c r="AB957" i="8" s="1"/>
  <c r="AA1156" i="8"/>
  <c r="AA1157" i="8" s="1"/>
  <c r="AA752" i="2"/>
  <c r="AA1228" i="8" s="1"/>
  <c r="AA1229" i="8" s="1"/>
  <c r="Z378" i="2"/>
  <c r="Z916" i="8" s="1"/>
  <c r="Z917" i="8" s="1"/>
  <c r="Z389" i="2"/>
  <c r="Z940" i="8" s="1"/>
  <c r="Z941" i="8" s="1"/>
  <c r="AA816" i="8"/>
  <c r="AA817" i="8" s="1"/>
  <c r="AA398" i="2"/>
  <c r="AA972" i="8" s="1"/>
  <c r="AA973" i="8" s="1"/>
  <c r="AA369" i="2"/>
  <c r="AA888" i="8" s="1"/>
  <c r="AA889" i="8" s="1"/>
  <c r="AA385" i="2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359" i="2"/>
  <c r="AB856" i="8" s="1"/>
  <c r="AB857" i="8" s="1"/>
  <c r="AA1344" i="8"/>
  <c r="AA1345" i="8" s="1"/>
  <c r="AB620" i="8"/>
  <c r="AB621" i="8" s="1"/>
  <c r="AC282" i="2"/>
  <c r="AB347" i="2"/>
  <c r="AB349" i="2" s="1"/>
  <c r="AB824" i="8" s="1"/>
  <c r="AB825" i="8" s="1"/>
  <c r="AB336" i="2"/>
  <c r="Z788" i="2"/>
  <c r="Z1336" i="8" s="1"/>
  <c r="Z1337" i="8" s="1"/>
  <c r="AD283" i="2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277" i="2"/>
  <c r="AA780" i="8"/>
  <c r="AA781" i="8" s="1"/>
  <c r="AA358" i="2"/>
  <c r="AA852" i="8" s="1"/>
  <c r="AA853" i="8" s="1"/>
  <c r="AA374" i="2"/>
  <c r="AA784" i="2"/>
  <c r="Z799" i="2"/>
  <c r="Z1376" i="8" s="1"/>
  <c r="Z1377" i="8" s="1"/>
  <c r="Z784" i="2"/>
  <c r="AC796" i="8"/>
  <c r="AC797" i="8" s="1"/>
  <c r="AC393" i="2"/>
  <c r="AC952" i="8" s="1"/>
  <c r="AC953" i="8" s="1"/>
  <c r="AC364" i="2"/>
  <c r="AC868" i="8" s="1"/>
  <c r="AC869" i="8" s="1"/>
  <c r="AB786" i="2"/>
  <c r="AB1328" i="8" s="1"/>
  <c r="AB1329" i="8" s="1"/>
  <c r="Z400" i="2"/>
  <c r="Z980" i="8" s="1"/>
  <c r="Z981" i="8" s="1"/>
  <c r="AA349" i="2"/>
  <c r="AA824" i="8" s="1"/>
  <c r="AA825" i="8" s="1"/>
  <c r="AA828" i="8"/>
  <c r="AA829" i="8" s="1"/>
  <c r="AB820" i="8"/>
  <c r="AB821" i="8" s="1"/>
  <c r="AB370" i="2"/>
  <c r="AB892" i="8" s="1"/>
  <c r="AB893" i="8" s="1"/>
  <c r="AB387" i="2"/>
  <c r="AB932" i="8" s="1"/>
  <c r="AB933" i="8" s="1"/>
  <c r="AB399" i="2"/>
  <c r="AB976" i="8" s="1"/>
  <c r="AB977" i="8" s="1"/>
  <c r="AA1260" i="8"/>
  <c r="AA1261" i="8" s="1"/>
  <c r="Z785" i="2"/>
  <c r="Z1324" i="8" s="1"/>
  <c r="Z1325" i="8" s="1"/>
  <c r="X462" i="2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Y638" i="2"/>
  <c r="X279" i="8"/>
  <c r="X280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Y573" i="2"/>
  <c r="X582" i="2"/>
  <c r="X223" i="8"/>
  <c r="X224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Z454" i="2"/>
  <c r="Y155" i="8"/>
  <c r="Y156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X642" i="2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13" i="2"/>
  <c r="Y522" i="2"/>
  <c r="Y187" i="8"/>
  <c r="Y188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A777" i="2" l="1"/>
  <c r="AA1312" i="8" s="1"/>
  <c r="AA1313" i="8" s="1"/>
  <c r="AA360" i="2"/>
  <c r="AA860" i="8" s="1"/>
  <c r="AA861" i="8" s="1"/>
  <c r="AA773" i="2"/>
  <c r="AB338" i="2"/>
  <c r="AB788" i="8" s="1"/>
  <c r="AB789" i="8" s="1"/>
  <c r="AB396" i="2"/>
  <c r="AB964" i="8" s="1"/>
  <c r="AB965" i="8" s="1"/>
  <c r="AB808" i="8"/>
  <c r="AB809" i="8" s="1"/>
  <c r="AB367" i="2"/>
  <c r="AB880" i="8" s="1"/>
  <c r="AB881" i="8" s="1"/>
  <c r="AC345" i="2"/>
  <c r="AC334" i="2"/>
  <c r="AD280" i="2"/>
  <c r="AC612" i="8"/>
  <c r="AC613" i="8" s="1"/>
  <c r="AB772" i="8"/>
  <c r="AB773" i="8" s="1"/>
  <c r="AB356" i="2"/>
  <c r="AB844" i="8" s="1"/>
  <c r="AB845" i="8" s="1"/>
  <c r="AD796" i="8"/>
  <c r="AD797" i="8" s="1"/>
  <c r="AD393" i="2"/>
  <c r="AD952" i="8" s="1"/>
  <c r="AD953" i="8" s="1"/>
  <c r="AD364" i="2"/>
  <c r="AD868" i="8" s="1"/>
  <c r="AD869" i="8" s="1"/>
  <c r="AB1160" i="8"/>
  <c r="AB1161" i="8" s="1"/>
  <c r="AB753" i="2"/>
  <c r="AB1232" i="8" s="1"/>
  <c r="AB1233" i="8" s="1"/>
  <c r="AB1196" i="8"/>
  <c r="AB1197" i="8" s="1"/>
  <c r="AB764" i="2"/>
  <c r="AB1268" i="8" s="1"/>
  <c r="AB1269" i="8" s="1"/>
  <c r="AB793" i="2"/>
  <c r="AB1352" i="8" s="1"/>
  <c r="AB1353" i="8" s="1"/>
  <c r="AC996" i="8"/>
  <c r="AC997" i="8" s="1"/>
  <c r="AD676" i="2"/>
  <c r="AC741" i="2"/>
  <c r="AC730" i="2"/>
  <c r="AD1008" i="8"/>
  <c r="AD1009" i="8" s="1"/>
  <c r="AE679" i="2"/>
  <c r="AD744" i="2"/>
  <c r="AD733" i="2"/>
  <c r="AD1012" i="8"/>
  <c r="AD1013" i="8" s="1"/>
  <c r="AD745" i="2"/>
  <c r="AD734" i="2"/>
  <c r="AE680" i="2"/>
  <c r="AC1204" i="8"/>
  <c r="AC1205" i="8" s="1"/>
  <c r="AC766" i="2"/>
  <c r="AC1276" i="8" s="1"/>
  <c r="AC1277" i="8" s="1"/>
  <c r="AC795" i="2"/>
  <c r="AC1360" i="8" s="1"/>
  <c r="AC1361" i="8" s="1"/>
  <c r="AA799" i="2"/>
  <c r="AA1376" i="8" s="1"/>
  <c r="AA1377" i="8" s="1"/>
  <c r="AC1172" i="8"/>
  <c r="AC1173" i="8" s="1"/>
  <c r="AC756" i="2"/>
  <c r="AC1244" i="8" s="1"/>
  <c r="AC1245" i="8" s="1"/>
  <c r="AB828" i="8"/>
  <c r="AB829" i="8" s="1"/>
  <c r="AC1000" i="8"/>
  <c r="AC1001" i="8" s="1"/>
  <c r="AD677" i="2"/>
  <c r="AC731" i="2"/>
  <c r="AC742" i="2"/>
  <c r="AD760" i="8"/>
  <c r="AD761" i="8" s="1"/>
  <c r="AD353" i="2"/>
  <c r="AD832" i="8" s="1"/>
  <c r="AD833" i="8" s="1"/>
  <c r="AA389" i="2"/>
  <c r="AA940" i="8" s="1"/>
  <c r="AA941" i="8" s="1"/>
  <c r="AC1208" i="8"/>
  <c r="AC1209" i="8" s="1"/>
  <c r="AC767" i="2"/>
  <c r="AC1280" i="8" s="1"/>
  <c r="AC1281" i="8" s="1"/>
  <c r="AC796" i="2"/>
  <c r="AC1364" i="8" s="1"/>
  <c r="AC1365" i="8" s="1"/>
  <c r="AB375" i="2"/>
  <c r="AB904" i="8" s="1"/>
  <c r="AB905" i="8" s="1"/>
  <c r="AB1200" i="8"/>
  <c r="AB1201" i="8" s="1"/>
  <c r="AB794" i="2"/>
  <c r="AB1356" i="8" s="1"/>
  <c r="AB1357" i="8" s="1"/>
  <c r="AB765" i="2"/>
  <c r="AB1272" i="8" s="1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370" i="2"/>
  <c r="AC892" i="8" s="1"/>
  <c r="AC893" i="8" s="1"/>
  <c r="AC399" i="2"/>
  <c r="AC976" i="8" s="1"/>
  <c r="AC977" i="8" s="1"/>
  <c r="AC608" i="8"/>
  <c r="AC609" i="8" s="1"/>
  <c r="AC344" i="2"/>
  <c r="AC333" i="2"/>
  <c r="AD279" i="2"/>
  <c r="AB748" i="2"/>
  <c r="AB1220" i="8" s="1"/>
  <c r="AB1221" i="8" s="1"/>
  <c r="AB1192" i="8"/>
  <c r="AB1193" i="8" s="1"/>
  <c r="AB792" i="2"/>
  <c r="AB1348" i="8" s="1"/>
  <c r="AB1349" i="8" s="1"/>
  <c r="AB763" i="2"/>
  <c r="AB1264" i="8" s="1"/>
  <c r="AB1265" i="8" s="1"/>
  <c r="AB804" i="8"/>
  <c r="AB805" i="8" s="1"/>
  <c r="AB395" i="2"/>
  <c r="AB960" i="8" s="1"/>
  <c r="AB961" i="8" s="1"/>
  <c r="AB366" i="2"/>
  <c r="AB876" i="8" s="1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283" i="2"/>
  <c r="AD337" i="2"/>
  <c r="AD624" i="8"/>
  <c r="AD625" i="8" s="1"/>
  <c r="AD348" i="2"/>
  <c r="AB1156" i="8"/>
  <c r="AB1157" i="8" s="1"/>
  <c r="AB752" i="2"/>
  <c r="AB1228" i="8" s="1"/>
  <c r="AB1229" i="8" s="1"/>
  <c r="AC1168" i="8"/>
  <c r="AC1169" i="8" s="1"/>
  <c r="AC755" i="2"/>
  <c r="AC1240" i="8" s="1"/>
  <c r="AC1241" i="8" s="1"/>
  <c r="AB1164" i="8"/>
  <c r="AB1165" i="8" s="1"/>
  <c r="AB754" i="2"/>
  <c r="AB1236" i="8" s="1"/>
  <c r="AB1237" i="8" s="1"/>
  <c r="AA1296" i="8"/>
  <c r="AA1297" i="8" s="1"/>
  <c r="AA778" i="2"/>
  <c r="AA1316" i="8" s="1"/>
  <c r="AA1317" i="8" s="1"/>
  <c r="AA785" i="2"/>
  <c r="AA1324" i="8" s="1"/>
  <c r="AA1325" i="8" s="1"/>
  <c r="AC784" i="8"/>
  <c r="AC785" i="8" s="1"/>
  <c r="AC359" i="2"/>
  <c r="AC856" i="8" s="1"/>
  <c r="AC857" i="8" s="1"/>
  <c r="AB768" i="8"/>
  <c r="AB769" i="8" s="1"/>
  <c r="AB355" i="2"/>
  <c r="AB840" i="8" s="1"/>
  <c r="AB841" i="8" s="1"/>
  <c r="AC1188" i="8"/>
  <c r="AC1189" i="8" s="1"/>
  <c r="AC791" i="2"/>
  <c r="AC762" i="2"/>
  <c r="AD604" i="8"/>
  <c r="AD605" i="8" s="1"/>
  <c r="AD343" i="2"/>
  <c r="AE278" i="2"/>
  <c r="AD332" i="2"/>
  <c r="AD1216" i="8"/>
  <c r="AD1217" i="8" s="1"/>
  <c r="AD798" i="2"/>
  <c r="AD1372" i="8" s="1"/>
  <c r="AD1373" i="8" s="1"/>
  <c r="AD769" i="2"/>
  <c r="AD1288" i="8" s="1"/>
  <c r="AD1289" i="8" s="1"/>
  <c r="AD786" i="2"/>
  <c r="AD1328" i="8" s="1"/>
  <c r="AD1329" i="8" s="1"/>
  <c r="AB1224" i="8"/>
  <c r="AB1225" i="8" s="1"/>
  <c r="AA1320" i="8"/>
  <c r="AA1321" i="8" s="1"/>
  <c r="AC1152" i="8"/>
  <c r="AC1153" i="8" s="1"/>
  <c r="AC751" i="2"/>
  <c r="AD1180" i="8"/>
  <c r="AD1181" i="8" s="1"/>
  <c r="AD758" i="2"/>
  <c r="AD1252" i="8" s="1"/>
  <c r="AD1253" i="8" s="1"/>
  <c r="AD775" i="2"/>
  <c r="AD1304" i="8" s="1"/>
  <c r="AD1305" i="8" s="1"/>
  <c r="AA900" i="8"/>
  <c r="AA901" i="8" s="1"/>
  <c r="AE812" i="8"/>
  <c r="AE813" i="8" s="1"/>
  <c r="F813" i="8" s="1"/>
  <c r="AE368" i="2"/>
  <c r="AE884" i="8" s="1"/>
  <c r="AE885" i="8" s="1"/>
  <c r="F885" i="8" s="1"/>
  <c r="AE397" i="2"/>
  <c r="AE968" i="8" s="1"/>
  <c r="AE969" i="8" s="1"/>
  <c r="F969" i="8" s="1"/>
  <c r="AB948" i="8"/>
  <c r="AB949" i="8" s="1"/>
  <c r="AB400" i="2"/>
  <c r="AB980" i="8" s="1"/>
  <c r="AB981" i="8" s="1"/>
  <c r="AB1176" i="8"/>
  <c r="AB1177" i="8" s="1"/>
  <c r="AB757" i="2"/>
  <c r="AB1248" i="8" s="1"/>
  <c r="AB1249" i="8" s="1"/>
  <c r="AC800" i="8"/>
  <c r="AC801" i="8" s="1"/>
  <c r="AC365" i="2"/>
  <c r="AC872" i="8" s="1"/>
  <c r="AC873" i="8" s="1"/>
  <c r="AC394" i="2"/>
  <c r="AC956" i="8" s="1"/>
  <c r="AC957" i="8" s="1"/>
  <c r="AA400" i="2"/>
  <c r="AA980" i="8" s="1"/>
  <c r="AA981" i="8" s="1"/>
  <c r="AC764" i="8"/>
  <c r="AC765" i="8" s="1"/>
  <c r="AC354" i="2"/>
  <c r="AC836" i="8" s="1"/>
  <c r="AC837" i="8" s="1"/>
  <c r="AB780" i="8"/>
  <c r="AB781" i="8" s="1"/>
  <c r="AB358" i="2"/>
  <c r="AB852" i="8" s="1"/>
  <c r="AB853" i="8" s="1"/>
  <c r="AB1260" i="8"/>
  <c r="AB1261" i="8" s="1"/>
  <c r="AB1212" i="8"/>
  <c r="AB1213" i="8" s="1"/>
  <c r="AB797" i="2"/>
  <c r="AB1368" i="8" s="1"/>
  <c r="AB1369" i="8" s="1"/>
  <c r="AB768" i="2"/>
  <c r="AB1284" i="8" s="1"/>
  <c r="AB1285" i="8" s="1"/>
  <c r="AC775" i="2"/>
  <c r="AC1304" i="8" s="1"/>
  <c r="AC1305" i="8" s="1"/>
  <c r="AA378" i="2"/>
  <c r="AA916" i="8" s="1"/>
  <c r="AA917" i="8" s="1"/>
  <c r="AC792" i="8"/>
  <c r="AC793" i="8" s="1"/>
  <c r="AC363" i="2"/>
  <c r="AC386" i="2"/>
  <c r="AC928" i="8" s="1"/>
  <c r="AC929" i="8" s="1"/>
  <c r="AC392" i="2"/>
  <c r="AA759" i="2"/>
  <c r="AA1256" i="8" s="1"/>
  <c r="AA1257" i="8" s="1"/>
  <c r="AB816" i="8"/>
  <c r="AB817" i="8" s="1"/>
  <c r="AB398" i="2"/>
  <c r="AB972" i="8" s="1"/>
  <c r="AB973" i="8" s="1"/>
  <c r="AB369" i="2"/>
  <c r="AB888" i="8" s="1"/>
  <c r="AB889" i="8" s="1"/>
  <c r="AB385" i="2"/>
  <c r="AA924" i="8"/>
  <c r="AA925" i="8" s="1"/>
  <c r="AA390" i="2"/>
  <c r="AA944" i="8" s="1"/>
  <c r="AE776" i="8"/>
  <c r="AE777" i="8" s="1"/>
  <c r="F777" i="8" s="1"/>
  <c r="AE357" i="2"/>
  <c r="AE848" i="8" s="1"/>
  <c r="AE849" i="8" s="1"/>
  <c r="F849" i="8" s="1"/>
  <c r="AB1344" i="8"/>
  <c r="AB1345" i="8" s="1"/>
  <c r="AB864" i="8"/>
  <c r="AB865" i="8" s="1"/>
  <c r="AB371" i="2"/>
  <c r="AB896" i="8" s="1"/>
  <c r="AB897" i="8" s="1"/>
  <c r="AC1016" i="8"/>
  <c r="AC1017" i="8" s="1"/>
  <c r="AD681" i="2"/>
  <c r="AC746" i="2"/>
  <c r="AC735" i="2"/>
  <c r="Z924" i="8"/>
  <c r="Z925" i="8" s="1"/>
  <c r="Z390" i="2"/>
  <c r="Z944" i="8" s="1"/>
  <c r="AC756" i="8"/>
  <c r="AC757" i="8" s="1"/>
  <c r="AC352" i="2"/>
  <c r="AC375" i="2" s="1"/>
  <c r="AC904" i="8" s="1"/>
  <c r="AC905" i="8" s="1"/>
  <c r="Z1296" i="8"/>
  <c r="Z1297" i="8" s="1"/>
  <c r="Z778" i="2"/>
  <c r="Z1316" i="8" s="1"/>
  <c r="Z1317" i="8" s="1"/>
  <c r="AE600" i="8"/>
  <c r="AE601" i="8" s="1"/>
  <c r="F601" i="8" s="1"/>
  <c r="AE331" i="2"/>
  <c r="AE342" i="2"/>
  <c r="AC620" i="8"/>
  <c r="AC621" i="8" s="1"/>
  <c r="AD282" i="2"/>
  <c r="AC347" i="2"/>
  <c r="AC336" i="2"/>
  <c r="Z379" i="2"/>
  <c r="Z920" i="8" s="1"/>
  <c r="Z921" i="8" s="1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A371" i="2"/>
  <c r="AA896" i="8" s="1"/>
  <c r="AA897" i="8" s="1"/>
  <c r="AA774" i="2"/>
  <c r="AA1300" i="8" s="1"/>
  <c r="AA1301" i="8" s="1"/>
  <c r="Y642" i="2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AA513" i="2"/>
  <c r="Z522" i="2"/>
  <c r="Z187" i="8"/>
  <c r="Z188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Z573" i="2"/>
  <c r="Y582" i="2"/>
  <c r="Y223" i="8"/>
  <c r="Y224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AA454" i="2"/>
  <c r="Z155" i="8"/>
  <c r="Z15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Y462" i="2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Y183" i="2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38" i="2"/>
  <c r="Y279" i="8"/>
  <c r="Y280" i="8" s="1"/>
  <c r="Z641" i="2"/>
  <c r="Y291" i="8"/>
  <c r="Y292" i="8" s="1"/>
  <c r="AA457" i="2"/>
  <c r="Z167" i="8"/>
  <c r="Z168" i="8" s="1"/>
  <c r="AD345" i="2" l="1"/>
  <c r="AD334" i="2"/>
  <c r="AE280" i="2"/>
  <c r="AD612" i="8"/>
  <c r="AD613" i="8" s="1"/>
  <c r="AB777" i="2"/>
  <c r="AB1312" i="8" s="1"/>
  <c r="AB1313" i="8" s="1"/>
  <c r="AC356" i="2"/>
  <c r="AC844" i="8" s="1"/>
  <c r="AC845" i="8" s="1"/>
  <c r="AC772" i="8"/>
  <c r="AC773" i="8" s="1"/>
  <c r="AC338" i="2"/>
  <c r="AC788" i="8" s="1"/>
  <c r="AC789" i="8" s="1"/>
  <c r="AC367" i="2"/>
  <c r="AC880" i="8" s="1"/>
  <c r="AC881" i="8" s="1"/>
  <c r="AC396" i="2"/>
  <c r="AC964" i="8" s="1"/>
  <c r="AC965" i="8" s="1"/>
  <c r="AC808" i="8"/>
  <c r="AC809" i="8" s="1"/>
  <c r="AC737" i="2"/>
  <c r="AC1184" i="8" s="1"/>
  <c r="AC1185" i="8" s="1"/>
  <c r="AC748" i="2"/>
  <c r="AC1220" i="8" s="1"/>
  <c r="AC1221" i="8" s="1"/>
  <c r="AB799" i="2"/>
  <c r="AB1376" i="8" s="1"/>
  <c r="AB1377" i="8" s="1"/>
  <c r="AA789" i="2"/>
  <c r="AA1340" i="8" s="1"/>
  <c r="Z462" i="2"/>
  <c r="AD784" i="8"/>
  <c r="AD785" i="8" s="1"/>
  <c r="AD359" i="2"/>
  <c r="AD856" i="8" s="1"/>
  <c r="AD857" i="8" s="1"/>
  <c r="AD1168" i="8"/>
  <c r="AD1169" i="8" s="1"/>
  <c r="AD755" i="2"/>
  <c r="AD1240" i="8" s="1"/>
  <c r="AD1241" i="8" s="1"/>
  <c r="AD764" i="8"/>
  <c r="AD765" i="8" s="1"/>
  <c r="AD354" i="2"/>
  <c r="AD836" i="8" s="1"/>
  <c r="AD837" i="8" s="1"/>
  <c r="AD363" i="2"/>
  <c r="AD792" i="8"/>
  <c r="AD793" i="8" s="1"/>
  <c r="AD392" i="2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B860" i="8" s="1"/>
  <c r="AB861" i="8" s="1"/>
  <c r="AD1204" i="8"/>
  <c r="AD1205" i="8" s="1"/>
  <c r="AD766" i="2"/>
  <c r="AD1276" i="8" s="1"/>
  <c r="AD1277" i="8" s="1"/>
  <c r="AD795" i="2"/>
  <c r="AD1360" i="8" s="1"/>
  <c r="AD1361" i="8" s="1"/>
  <c r="AE596" i="8"/>
  <c r="AE597" i="8" s="1"/>
  <c r="F597" i="8" s="1"/>
  <c r="AE330" i="2"/>
  <c r="AE341" i="2"/>
  <c r="AD608" i="8"/>
  <c r="AD609" i="8" s="1"/>
  <c r="AE279" i="2"/>
  <c r="AD344" i="2"/>
  <c r="AD333" i="2"/>
  <c r="AC1260" i="8"/>
  <c r="AC1261" i="8" s="1"/>
  <c r="AC768" i="8"/>
  <c r="AC769" i="8" s="1"/>
  <c r="AC355" i="2"/>
  <c r="AC840" i="8" s="1"/>
  <c r="AC841" i="8" s="1"/>
  <c r="AC1156" i="8"/>
  <c r="AC1157" i="8" s="1"/>
  <c r="AC752" i="2"/>
  <c r="AC1228" i="8" s="1"/>
  <c r="AC1229" i="8" s="1"/>
  <c r="AC1224" i="8"/>
  <c r="AC1225" i="8" s="1"/>
  <c r="AD800" i="8"/>
  <c r="AD801" i="8" s="1"/>
  <c r="AD365" i="2"/>
  <c r="AD872" i="8" s="1"/>
  <c r="AD873" i="8" s="1"/>
  <c r="AD394" i="2"/>
  <c r="AD956" i="8" s="1"/>
  <c r="AD957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389" i="2"/>
  <c r="AC940" i="8" s="1"/>
  <c r="AC941" i="8" s="1"/>
  <c r="AC395" i="2"/>
  <c r="AC960" i="8" s="1"/>
  <c r="AC961" i="8" s="1"/>
  <c r="AC366" i="2"/>
  <c r="AC876" i="8" s="1"/>
  <c r="AC877" i="8" s="1"/>
  <c r="AC1192" i="8"/>
  <c r="AC1193" i="8" s="1"/>
  <c r="AC763" i="2"/>
  <c r="AC792" i="2"/>
  <c r="AC1348" i="8" s="1"/>
  <c r="AC1349" i="8" s="1"/>
  <c r="AD820" i="8"/>
  <c r="AD821" i="8" s="1"/>
  <c r="AD370" i="2"/>
  <c r="AD892" i="8" s="1"/>
  <c r="AD893" i="8" s="1"/>
  <c r="AD399" i="2"/>
  <c r="AD976" i="8" s="1"/>
  <c r="AD977" i="8" s="1"/>
  <c r="AD1208" i="8"/>
  <c r="AD1209" i="8" s="1"/>
  <c r="AD767" i="2"/>
  <c r="AD1280" i="8" s="1"/>
  <c r="AD1281" i="8" s="1"/>
  <c r="AD796" i="2"/>
  <c r="AD1364" i="8" s="1"/>
  <c r="AD1365" i="8" s="1"/>
  <c r="AC864" i="8"/>
  <c r="AC865" i="8" s="1"/>
  <c r="AB924" i="8"/>
  <c r="AB925" i="8" s="1"/>
  <c r="AB390" i="2"/>
  <c r="AB944" i="8" s="1"/>
  <c r="AD1152" i="8"/>
  <c r="AD1153" i="8" s="1"/>
  <c r="AD751" i="2"/>
  <c r="AD996" i="8"/>
  <c r="AD997" i="8" s="1"/>
  <c r="AE676" i="2"/>
  <c r="AD741" i="2"/>
  <c r="AD730" i="2"/>
  <c r="AE760" i="8"/>
  <c r="AE761" i="8" s="1"/>
  <c r="F761" i="8" s="1"/>
  <c r="AE353" i="2"/>
  <c r="AE832" i="8" s="1"/>
  <c r="AE833" i="8" s="1"/>
  <c r="F833" i="8" s="1"/>
  <c r="AD1000" i="8"/>
  <c r="AD1001" i="8" s="1"/>
  <c r="AD731" i="2"/>
  <c r="AE677" i="2"/>
  <c r="AD742" i="2"/>
  <c r="AD756" i="8"/>
  <c r="AD757" i="8" s="1"/>
  <c r="AD352" i="2"/>
  <c r="AC780" i="8"/>
  <c r="AC781" i="8" s="1"/>
  <c r="AC358" i="2"/>
  <c r="AC852" i="8" s="1"/>
  <c r="AC853" i="8" s="1"/>
  <c r="AB770" i="2"/>
  <c r="AB1292" i="8" s="1"/>
  <c r="AB1293" i="8" s="1"/>
  <c r="AC1344" i="8"/>
  <c r="AC1345" i="8" s="1"/>
  <c r="AD1188" i="8"/>
  <c r="AD1189" i="8" s="1"/>
  <c r="AD791" i="2"/>
  <c r="AD762" i="2"/>
  <c r="AC816" i="8"/>
  <c r="AC817" i="8" s="1"/>
  <c r="AC398" i="2"/>
  <c r="AC972" i="8" s="1"/>
  <c r="AC973" i="8" s="1"/>
  <c r="AC369" i="2"/>
  <c r="AC888" i="8" s="1"/>
  <c r="AC889" i="8" s="1"/>
  <c r="AC385" i="2"/>
  <c r="AC1176" i="8"/>
  <c r="AC1177" i="8" s="1"/>
  <c r="AC757" i="2"/>
  <c r="AC1248" i="8" s="1"/>
  <c r="AC1249" i="8" s="1"/>
  <c r="AB759" i="2"/>
  <c r="AB1256" i="8" s="1"/>
  <c r="AB1257" i="8" s="1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798" i="2"/>
  <c r="AE1372" i="8" s="1"/>
  <c r="AE1373" i="8" s="1"/>
  <c r="F1373" i="8" s="1"/>
  <c r="AE769" i="2"/>
  <c r="AE1288" i="8" s="1"/>
  <c r="AE1289" i="8" s="1"/>
  <c r="F1289" i="8" s="1"/>
  <c r="AE1180" i="8"/>
  <c r="AE1181" i="8" s="1"/>
  <c r="F1181" i="8" s="1"/>
  <c r="AE758" i="2"/>
  <c r="AE1252" i="8" s="1"/>
  <c r="AE1253" i="8" s="1"/>
  <c r="F1253" i="8" s="1"/>
  <c r="AE775" i="2"/>
  <c r="AE1304" i="8" s="1"/>
  <c r="AE1305" i="8" s="1"/>
  <c r="F1305" i="8" s="1"/>
  <c r="AD620" i="8"/>
  <c r="AD621" i="8" s="1"/>
  <c r="AD336" i="2"/>
  <c r="AE282" i="2"/>
  <c r="AD347" i="2"/>
  <c r="AD349" i="2" s="1"/>
  <c r="AD824" i="8" s="1"/>
  <c r="AD825" i="8" s="1"/>
  <c r="AC1212" i="8"/>
  <c r="AC1213" i="8" s="1"/>
  <c r="AC768" i="2"/>
  <c r="AC1284" i="8" s="1"/>
  <c r="AC1285" i="8" s="1"/>
  <c r="AC797" i="2"/>
  <c r="AC1368" i="8" s="1"/>
  <c r="AC1369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C1200" i="8"/>
  <c r="AC1201" i="8" s="1"/>
  <c r="AC794" i="2"/>
  <c r="AC1356" i="8" s="1"/>
  <c r="AC1357" i="8" s="1"/>
  <c r="AC765" i="2"/>
  <c r="AC1272" i="8" s="1"/>
  <c r="AC1273" i="8" s="1"/>
  <c r="AD746" i="2"/>
  <c r="AD1016" i="8"/>
  <c r="AD1017" i="8" s="1"/>
  <c r="AE681" i="2"/>
  <c r="AD735" i="2"/>
  <c r="AE1012" i="8"/>
  <c r="AE1013" i="8" s="1"/>
  <c r="F1013" i="8" s="1"/>
  <c r="AE745" i="2"/>
  <c r="AE734" i="2"/>
  <c r="AB784" i="2"/>
  <c r="AD1004" i="8"/>
  <c r="AD1005" i="8" s="1"/>
  <c r="AE678" i="2"/>
  <c r="AD732" i="2"/>
  <c r="AD743" i="2"/>
  <c r="AD748" i="2" s="1"/>
  <c r="AD1220" i="8" s="1"/>
  <c r="AD1221" i="8" s="1"/>
  <c r="AC1160" i="8"/>
  <c r="AC1161" i="8" s="1"/>
  <c r="AC753" i="2"/>
  <c r="AC1232" i="8" s="1"/>
  <c r="AC1233" i="8" s="1"/>
  <c r="AC1164" i="8"/>
  <c r="AC1165" i="8" s="1"/>
  <c r="AC777" i="2"/>
  <c r="AC1312" i="8" s="1"/>
  <c r="AC1313" i="8" s="1"/>
  <c r="AC754" i="2"/>
  <c r="AC1236" i="8" s="1"/>
  <c r="AC1237" i="8" s="1"/>
  <c r="AE796" i="8"/>
  <c r="AE797" i="8" s="1"/>
  <c r="F797" i="8" s="1"/>
  <c r="AE393" i="2"/>
  <c r="AE952" i="8" s="1"/>
  <c r="AE953" i="8" s="1"/>
  <c r="F953" i="8" s="1"/>
  <c r="AE364" i="2"/>
  <c r="AE868" i="8" s="1"/>
  <c r="AE869" i="8" s="1"/>
  <c r="F869" i="8" s="1"/>
  <c r="AC349" i="2"/>
  <c r="AC824" i="8" s="1"/>
  <c r="AC825" i="8" s="1"/>
  <c r="AA379" i="2"/>
  <c r="AA920" i="8" s="1"/>
  <c r="AA921" i="8" s="1"/>
  <c r="AB389" i="2"/>
  <c r="AB940" i="8" s="1"/>
  <c r="AB941" i="8" s="1"/>
  <c r="AC1196" i="8"/>
  <c r="AC1197" i="8" s="1"/>
  <c r="AC764" i="2"/>
  <c r="AC1268" i="8" s="1"/>
  <c r="AC1269" i="8" s="1"/>
  <c r="AC793" i="2"/>
  <c r="AC1352" i="8" s="1"/>
  <c r="AC1353" i="8" s="1"/>
  <c r="AD1172" i="8"/>
  <c r="AD1173" i="8" s="1"/>
  <c r="AD756" i="2"/>
  <c r="AD1244" i="8" s="1"/>
  <c r="AD1245" i="8" s="1"/>
  <c r="AB773" i="2"/>
  <c r="Z642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A573" i="2"/>
  <c r="Z582" i="2"/>
  <c r="Z223" i="8"/>
  <c r="Z224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A638" i="2"/>
  <c r="Z279" i="8"/>
  <c r="Z280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522" i="2"/>
  <c r="AB513" i="2"/>
  <c r="AA187" i="8"/>
  <c r="AA188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B454" i="2"/>
  <c r="AA155" i="8"/>
  <c r="AA156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C773" i="2" l="1"/>
  <c r="AD386" i="2"/>
  <c r="AD928" i="8" s="1"/>
  <c r="AD929" i="8" s="1"/>
  <c r="AC759" i="2"/>
  <c r="AC1256" i="8" s="1"/>
  <c r="AC1257" i="8" s="1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356" i="2"/>
  <c r="AD844" i="8" s="1"/>
  <c r="AD845" i="8" s="1"/>
  <c r="AD396" i="2"/>
  <c r="AD964" i="8" s="1"/>
  <c r="AD965" i="8" s="1"/>
  <c r="AD808" i="8"/>
  <c r="AD809" i="8" s="1"/>
  <c r="AD367" i="2"/>
  <c r="AD880" i="8" s="1"/>
  <c r="AD881" i="8" s="1"/>
  <c r="AD1224" i="8"/>
  <c r="AD1225" i="8" s="1"/>
  <c r="AD757" i="2"/>
  <c r="AD1248" i="8" s="1"/>
  <c r="AD1249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B920" i="8" s="1"/>
  <c r="AB921" i="8" s="1"/>
  <c r="AD1196" i="8"/>
  <c r="AD1197" i="8" s="1"/>
  <c r="AD793" i="2"/>
  <c r="AD1352" i="8" s="1"/>
  <c r="AD1353" i="8" s="1"/>
  <c r="AD764" i="2"/>
  <c r="AD1268" i="8" s="1"/>
  <c r="AD1269" i="8" s="1"/>
  <c r="AD948" i="8"/>
  <c r="AD949" i="8" s="1"/>
  <c r="AD1260" i="8"/>
  <c r="AD1261" i="8" s="1"/>
  <c r="AE756" i="8"/>
  <c r="AE757" i="8" s="1"/>
  <c r="F757" i="8" s="1"/>
  <c r="AE352" i="2"/>
  <c r="AC360" i="2"/>
  <c r="AC860" i="8" s="1"/>
  <c r="AC861" i="8" s="1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D369" i="2"/>
  <c r="AD888" i="8" s="1"/>
  <c r="AD889" i="8" s="1"/>
  <c r="AD398" i="2"/>
  <c r="AD972" i="8" s="1"/>
  <c r="AD973" i="8" s="1"/>
  <c r="AC799" i="2"/>
  <c r="AC1376" i="8" s="1"/>
  <c r="AC1377" i="8" s="1"/>
  <c r="AC1296" i="8"/>
  <c r="AC1297" i="8" s="1"/>
  <c r="AD1200" i="8"/>
  <c r="AD1201" i="8" s="1"/>
  <c r="AD765" i="2"/>
  <c r="AD1272" i="8" s="1"/>
  <c r="AD1273" i="8" s="1"/>
  <c r="AD794" i="2"/>
  <c r="AD1356" i="8" s="1"/>
  <c r="AD1357" i="8" s="1"/>
  <c r="AE347" i="2"/>
  <c r="AE620" i="8"/>
  <c r="AE621" i="8" s="1"/>
  <c r="F621" i="8" s="1"/>
  <c r="AE336" i="2"/>
  <c r="AE1152" i="8"/>
  <c r="AE1153" i="8" s="1"/>
  <c r="F1153" i="8" s="1"/>
  <c r="AE751" i="2"/>
  <c r="AC770" i="2"/>
  <c r="AC1292" i="8" s="1"/>
  <c r="AC1293" i="8" s="1"/>
  <c r="AB1296" i="8"/>
  <c r="AB1297" i="8" s="1"/>
  <c r="AB778" i="2"/>
  <c r="AB1316" i="8" s="1"/>
  <c r="AB1317" i="8" s="1"/>
  <c r="AD1212" i="8"/>
  <c r="AD1213" i="8" s="1"/>
  <c r="AD797" i="2"/>
  <c r="AD1368" i="8" s="1"/>
  <c r="AD1369" i="8" s="1"/>
  <c r="AD768" i="2"/>
  <c r="AD1284" i="8" s="1"/>
  <c r="AD1285" i="8" s="1"/>
  <c r="AD780" i="8"/>
  <c r="AD781" i="8" s="1"/>
  <c r="AD358" i="2"/>
  <c r="AD852" i="8" s="1"/>
  <c r="AD853" i="8" s="1"/>
  <c r="AC784" i="2"/>
  <c r="AE1188" i="8"/>
  <c r="AE1189" i="8" s="1"/>
  <c r="F1189" i="8" s="1"/>
  <c r="AE762" i="2"/>
  <c r="AE791" i="2"/>
  <c r="AE1004" i="8"/>
  <c r="AE1005" i="8" s="1"/>
  <c r="F1005" i="8" s="1"/>
  <c r="AE732" i="2"/>
  <c r="AE743" i="2"/>
  <c r="AE1204" i="8"/>
  <c r="AE1205" i="8" s="1"/>
  <c r="F1205" i="8" s="1"/>
  <c r="AE766" i="2"/>
  <c r="AE1276" i="8" s="1"/>
  <c r="AE1277" i="8" s="1"/>
  <c r="F1277" i="8" s="1"/>
  <c r="AE795" i="2"/>
  <c r="AE1360" i="8" s="1"/>
  <c r="AE1361" i="8" s="1"/>
  <c r="F1361" i="8" s="1"/>
  <c r="AC900" i="8"/>
  <c r="AC901" i="8" s="1"/>
  <c r="AC379" i="2"/>
  <c r="AC920" i="8" s="1"/>
  <c r="AC921" i="8" s="1"/>
  <c r="AD1156" i="8"/>
  <c r="AD1157" i="8" s="1"/>
  <c r="AD752" i="2"/>
  <c r="AD1228" i="8" s="1"/>
  <c r="AD1229" i="8" s="1"/>
  <c r="AC774" i="2"/>
  <c r="AC1300" i="8" s="1"/>
  <c r="AC1301" i="8" s="1"/>
  <c r="AE820" i="8"/>
  <c r="AE821" i="8" s="1"/>
  <c r="F821" i="8" s="1"/>
  <c r="AE387" i="2"/>
  <c r="AE932" i="8" s="1"/>
  <c r="AE933" i="8" s="1"/>
  <c r="AE370" i="2"/>
  <c r="AE892" i="8" s="1"/>
  <c r="AE893" i="8" s="1"/>
  <c r="F893" i="8" s="1"/>
  <c r="AE399" i="2"/>
  <c r="AE976" i="8" s="1"/>
  <c r="AE977" i="8" s="1"/>
  <c r="F977" i="8" s="1"/>
  <c r="AD773" i="2"/>
  <c r="AD828" i="8"/>
  <c r="AD829" i="8" s="1"/>
  <c r="AE792" i="8"/>
  <c r="AE793" i="8" s="1"/>
  <c r="F793" i="8" s="1"/>
  <c r="AE386" i="2"/>
  <c r="AE928" i="8" s="1"/>
  <c r="AE929" i="8" s="1"/>
  <c r="F929" i="8" s="1"/>
  <c r="AE363" i="2"/>
  <c r="AE392" i="2"/>
  <c r="AD1160" i="8"/>
  <c r="AD1161" i="8" s="1"/>
  <c r="AD753" i="2"/>
  <c r="AD1232" i="8" s="1"/>
  <c r="AD1233" i="8" s="1"/>
  <c r="AD1164" i="8"/>
  <c r="AD1165" i="8" s="1"/>
  <c r="AD754" i="2"/>
  <c r="AD1236" i="8" s="1"/>
  <c r="AD1237" i="8" s="1"/>
  <c r="AE1168" i="8"/>
  <c r="AE1169" i="8" s="1"/>
  <c r="F1169" i="8" s="1"/>
  <c r="AE755" i="2"/>
  <c r="AE1240" i="8" s="1"/>
  <c r="AE1241" i="8" s="1"/>
  <c r="F1241" i="8" s="1"/>
  <c r="AC924" i="8"/>
  <c r="AC925" i="8" s="1"/>
  <c r="AC390" i="2"/>
  <c r="AC944" i="8" s="1"/>
  <c r="AD1192" i="8"/>
  <c r="AD1193" i="8" s="1"/>
  <c r="AD763" i="2"/>
  <c r="AD1264" i="8" s="1"/>
  <c r="AD1265" i="8" s="1"/>
  <c r="AD792" i="2"/>
  <c r="AD1348" i="8" s="1"/>
  <c r="AD1349" i="8" s="1"/>
  <c r="AD768" i="8"/>
  <c r="AD769" i="8" s="1"/>
  <c r="AD355" i="2"/>
  <c r="AD840" i="8" s="1"/>
  <c r="AD841" i="8" s="1"/>
  <c r="AD378" i="2"/>
  <c r="AD916" i="8" s="1"/>
  <c r="AD917" i="8" s="1"/>
  <c r="Z183" i="2"/>
  <c r="AA642" i="2"/>
  <c r="AB1320" i="8"/>
  <c r="AB1321" i="8" s="1"/>
  <c r="AB789" i="2"/>
  <c r="AB1340" i="8" s="1"/>
  <c r="AE996" i="8"/>
  <c r="AE997" i="8" s="1"/>
  <c r="F997" i="8" s="1"/>
  <c r="AE741" i="2"/>
  <c r="AE730" i="2"/>
  <c r="AD387" i="2"/>
  <c r="AD932" i="8" s="1"/>
  <c r="AD933" i="8" s="1"/>
  <c r="AD804" i="8"/>
  <c r="AD805" i="8" s="1"/>
  <c r="AD395" i="2"/>
  <c r="AD960" i="8" s="1"/>
  <c r="AD961" i="8" s="1"/>
  <c r="AD366" i="2"/>
  <c r="AD876" i="8" s="1"/>
  <c r="AD877" i="8" s="1"/>
  <c r="AE784" i="8"/>
  <c r="AE785" i="8" s="1"/>
  <c r="F785" i="8" s="1"/>
  <c r="AE359" i="2"/>
  <c r="AE856" i="8" s="1"/>
  <c r="AE857" i="8" s="1"/>
  <c r="F857" i="8" s="1"/>
  <c r="AE376" i="2"/>
  <c r="AE908" i="8" s="1"/>
  <c r="AE909" i="8" s="1"/>
  <c r="AD864" i="8"/>
  <c r="AD865" i="8" s="1"/>
  <c r="AE1172" i="8"/>
  <c r="AE1173" i="8" s="1"/>
  <c r="F1173" i="8" s="1"/>
  <c r="AE756" i="2"/>
  <c r="AE1244" i="8" s="1"/>
  <c r="AE1245" i="8" s="1"/>
  <c r="F1245" i="8" s="1"/>
  <c r="AC400" i="2"/>
  <c r="AC980" i="8" s="1"/>
  <c r="AC981" i="8" s="1"/>
  <c r="AD375" i="2"/>
  <c r="AD904" i="8" s="1"/>
  <c r="AD905" i="8" s="1"/>
  <c r="AE608" i="8"/>
  <c r="AE609" i="8" s="1"/>
  <c r="F609" i="8" s="1"/>
  <c r="AE344" i="2"/>
  <c r="AE333" i="2"/>
  <c r="AE338" i="2" s="1"/>
  <c r="AE788" i="8" s="1"/>
  <c r="AE789" i="8" s="1"/>
  <c r="F789" i="8" s="1"/>
  <c r="AE764" i="8"/>
  <c r="AE765" i="8" s="1"/>
  <c r="F765" i="8" s="1"/>
  <c r="AE354" i="2"/>
  <c r="AE836" i="8" s="1"/>
  <c r="AE837" i="8" s="1"/>
  <c r="F837" i="8" s="1"/>
  <c r="AD376" i="2"/>
  <c r="AD908" i="8" s="1"/>
  <c r="AD909" i="8" s="1"/>
  <c r="AE1208" i="8"/>
  <c r="AE1209" i="8" s="1"/>
  <c r="F1209" i="8" s="1"/>
  <c r="AE767" i="2"/>
  <c r="AE1280" i="8" s="1"/>
  <c r="AE1281" i="8" s="1"/>
  <c r="F1281" i="8" s="1"/>
  <c r="AE796" i="2"/>
  <c r="AE1364" i="8" s="1"/>
  <c r="AE1365" i="8" s="1"/>
  <c r="F1365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E365" i="2"/>
  <c r="AE872" i="8" s="1"/>
  <c r="AE873" i="8" s="1"/>
  <c r="F873" i="8" s="1"/>
  <c r="AE394" i="2"/>
  <c r="AE956" i="8" s="1"/>
  <c r="AE957" i="8" s="1"/>
  <c r="F957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13" i="2"/>
  <c r="AB522" i="2"/>
  <c r="AB187" i="8"/>
  <c r="AB188" i="8" s="1"/>
  <c r="AC520" i="2"/>
  <c r="AB215" i="8"/>
  <c r="AB216" i="8" s="1"/>
  <c r="AB577" i="2"/>
  <c r="AA239" i="8"/>
  <c r="AA240" i="8" s="1"/>
  <c r="AC461" i="2"/>
  <c r="AB183" i="8"/>
  <c r="AB184" i="8" s="1"/>
  <c r="AC454" i="2"/>
  <c r="AB155" i="8"/>
  <c r="AB156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A582" i="2"/>
  <c r="AB573" i="2"/>
  <c r="AA223" i="8"/>
  <c r="AA22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A462" i="2"/>
  <c r="AC455" i="2"/>
  <c r="AB159" i="8"/>
  <c r="AB160" i="8" s="1"/>
  <c r="AB638" i="2"/>
  <c r="AA279" i="8"/>
  <c r="AA280" i="8" s="1"/>
  <c r="AC241" i="2"/>
  <c r="AB143" i="8"/>
  <c r="AB144" i="8" s="1"/>
  <c r="AC56" i="2"/>
  <c r="AB15" i="8"/>
  <c r="AB16" i="8" s="1"/>
  <c r="AB635" i="2"/>
  <c r="AA267" i="8"/>
  <c r="AA268" i="8" s="1"/>
  <c r="AE772" i="8" l="1"/>
  <c r="AE773" i="8" s="1"/>
  <c r="F773" i="8" s="1"/>
  <c r="AE356" i="2"/>
  <c r="AE844" i="8" s="1"/>
  <c r="AE845" i="8" s="1"/>
  <c r="F845" i="8" s="1"/>
  <c r="AE367" i="2"/>
  <c r="AE880" i="8" s="1"/>
  <c r="AE881" i="8" s="1"/>
  <c r="F881" i="8" s="1"/>
  <c r="AE396" i="2"/>
  <c r="AE964" i="8" s="1"/>
  <c r="AE965" i="8" s="1"/>
  <c r="F965" i="8" s="1"/>
  <c r="AE808" i="8"/>
  <c r="AE809" i="8" s="1"/>
  <c r="F809" i="8" s="1"/>
  <c r="AE375" i="2"/>
  <c r="AE904" i="8" s="1"/>
  <c r="AE905" i="8" s="1"/>
  <c r="F905" i="8" s="1"/>
  <c r="F909" i="8"/>
  <c r="AD759" i="2"/>
  <c r="AD1256" i="8" s="1"/>
  <c r="AD1257" i="8" s="1"/>
  <c r="AD385" i="2"/>
  <c r="AE804" i="8"/>
  <c r="AE805" i="8" s="1"/>
  <c r="F805" i="8" s="1"/>
  <c r="AE366" i="2"/>
  <c r="AE876" i="8" s="1"/>
  <c r="AE877" i="8" s="1"/>
  <c r="F877" i="8" s="1"/>
  <c r="AE395" i="2"/>
  <c r="AE960" i="8" s="1"/>
  <c r="AE961" i="8" s="1"/>
  <c r="F961" i="8" s="1"/>
  <c r="AE1164" i="8"/>
  <c r="AE1165" i="8" s="1"/>
  <c r="F1165" i="8" s="1"/>
  <c r="AE754" i="2"/>
  <c r="AE1236" i="8" s="1"/>
  <c r="AE1237" i="8" s="1"/>
  <c r="F1237" i="8" s="1"/>
  <c r="AD371" i="2"/>
  <c r="AD896" i="8" s="1"/>
  <c r="AD897" i="8" s="1"/>
  <c r="AD777" i="2"/>
  <c r="AD1312" i="8" s="1"/>
  <c r="AD1313" i="8" s="1"/>
  <c r="AC778" i="2"/>
  <c r="AC1316" i="8" s="1"/>
  <c r="AC1317" i="8" s="1"/>
  <c r="AE1160" i="8"/>
  <c r="AE1161" i="8" s="1"/>
  <c r="F1161" i="8" s="1"/>
  <c r="AE753" i="2"/>
  <c r="AE1232" i="8" s="1"/>
  <c r="AE1233" i="8" s="1"/>
  <c r="F1233" i="8" s="1"/>
  <c r="AE773" i="2"/>
  <c r="AD1296" i="8"/>
  <c r="AD1297" i="8" s="1"/>
  <c r="AE1200" i="8"/>
  <c r="AE1201" i="8" s="1"/>
  <c r="F1201" i="8" s="1"/>
  <c r="AE765" i="2"/>
  <c r="AE1272" i="8" s="1"/>
  <c r="AE1273" i="8" s="1"/>
  <c r="F1273" i="8" s="1"/>
  <c r="AE794" i="2"/>
  <c r="AE1356" i="8" s="1"/>
  <c r="AE1357" i="8" s="1"/>
  <c r="F1357" i="8" s="1"/>
  <c r="AE788" i="2"/>
  <c r="AE1336" i="8" s="1"/>
  <c r="AE1337" i="8" s="1"/>
  <c r="F933" i="8"/>
  <c r="AE1344" i="8"/>
  <c r="AE1345" i="8" s="1"/>
  <c r="F1345" i="8" s="1"/>
  <c r="AE1176" i="8"/>
  <c r="AE1177" i="8" s="1"/>
  <c r="F1177" i="8" s="1"/>
  <c r="AE757" i="2"/>
  <c r="AE1248" i="8" s="1"/>
  <c r="AE1249" i="8" s="1"/>
  <c r="F1249" i="8" s="1"/>
  <c r="AE1212" i="8"/>
  <c r="AE1213" i="8" s="1"/>
  <c r="F1213" i="8" s="1"/>
  <c r="AE768" i="2"/>
  <c r="AE1284" i="8" s="1"/>
  <c r="AE1285" i="8" s="1"/>
  <c r="F1285" i="8" s="1"/>
  <c r="AE797" i="2"/>
  <c r="AE1368" i="8" s="1"/>
  <c r="AE1369" i="8" s="1"/>
  <c r="F1369" i="8" s="1"/>
  <c r="AE737" i="2"/>
  <c r="AE1184" i="8" s="1"/>
  <c r="AE1185" i="8" s="1"/>
  <c r="F1185" i="8" s="1"/>
  <c r="AD924" i="8"/>
  <c r="AD92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793" i="2"/>
  <c r="AE1352" i="8" s="1"/>
  <c r="AE1353" i="8" s="1"/>
  <c r="F1353" i="8" s="1"/>
  <c r="AE764" i="2"/>
  <c r="AE1268" i="8" s="1"/>
  <c r="AE1269" i="8" s="1"/>
  <c r="F1269" i="8" s="1"/>
  <c r="AE816" i="8"/>
  <c r="AE817" i="8" s="1"/>
  <c r="F817" i="8" s="1"/>
  <c r="AE369" i="2"/>
  <c r="AE888" i="8" s="1"/>
  <c r="AE889" i="8" s="1"/>
  <c r="F889" i="8" s="1"/>
  <c r="AE398" i="2"/>
  <c r="AE972" i="8" s="1"/>
  <c r="AE973" i="8" s="1"/>
  <c r="F973" i="8" s="1"/>
  <c r="AE385" i="2"/>
  <c r="AE1260" i="8"/>
  <c r="AE1261" i="8" s="1"/>
  <c r="F1261" i="8" s="1"/>
  <c r="AE828" i="8"/>
  <c r="AE829" i="8" s="1"/>
  <c r="F829" i="8" s="1"/>
  <c r="AB462" i="2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D400" i="2"/>
  <c r="AD980" i="8" s="1"/>
  <c r="AD981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355" i="2"/>
  <c r="AE840" i="8" s="1"/>
  <c r="AE841" i="8" s="1"/>
  <c r="F841" i="8" s="1"/>
  <c r="AE378" i="2"/>
  <c r="AE916" i="8" s="1"/>
  <c r="AE917" i="8" s="1"/>
  <c r="F917" i="8" s="1"/>
  <c r="AE864" i="8"/>
  <c r="AE865" i="8" s="1"/>
  <c r="F865" i="8" s="1"/>
  <c r="AD374" i="2"/>
  <c r="AE780" i="8"/>
  <c r="AE781" i="8" s="1"/>
  <c r="F781" i="8" s="1"/>
  <c r="AE358" i="2"/>
  <c r="AE852" i="8" s="1"/>
  <c r="AE853" i="8" s="1"/>
  <c r="F853" i="8" s="1"/>
  <c r="AE1156" i="8"/>
  <c r="AE1157" i="8" s="1"/>
  <c r="F1157" i="8" s="1"/>
  <c r="AE752" i="2"/>
  <c r="AE1228" i="8" s="1"/>
  <c r="AE1229" i="8" s="1"/>
  <c r="F1229" i="8" s="1"/>
  <c r="AD360" i="2"/>
  <c r="AD860" i="8" s="1"/>
  <c r="AD861" i="8" s="1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E763" i="2"/>
  <c r="AE1264" i="8" s="1"/>
  <c r="AE1265" i="8" s="1"/>
  <c r="F1265" i="8" s="1"/>
  <c r="AE792" i="2"/>
  <c r="AE1348" i="8" s="1"/>
  <c r="AE1349" i="8" s="1"/>
  <c r="F1349" i="8" s="1"/>
  <c r="AD799" i="2"/>
  <c r="AD1376" i="8" s="1"/>
  <c r="AD1377" i="8" s="1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13" i="2"/>
  <c r="AC522" i="2"/>
  <c r="AC187" i="8"/>
  <c r="AC188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454" i="2"/>
  <c r="AC155" i="8"/>
  <c r="AC156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C638" i="2"/>
  <c r="AB279" i="8"/>
  <c r="AB280" i="8" s="1"/>
  <c r="AD115" i="2"/>
  <c r="AC47" i="8"/>
  <c r="AC48" i="8" s="1"/>
  <c r="AC636" i="2"/>
  <c r="AB271" i="8"/>
  <c r="AB272" i="8" s="1"/>
  <c r="AD457" i="2"/>
  <c r="AC167" i="8"/>
  <c r="AC168" i="8" s="1"/>
  <c r="AC573" i="2"/>
  <c r="AB582" i="2"/>
  <c r="AB223" i="8"/>
  <c r="AB224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B642" i="2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D390" i="2" l="1"/>
  <c r="AD944" i="8" s="1"/>
  <c r="AC642" i="2"/>
  <c r="AE374" i="2"/>
  <c r="AE777" i="2"/>
  <c r="AE1312" i="8" s="1"/>
  <c r="AE1313" i="8" s="1"/>
  <c r="AE400" i="2"/>
  <c r="AE980" i="8" s="1"/>
  <c r="AE981" i="8" s="1"/>
  <c r="F981" i="8" s="1"/>
  <c r="F1313" i="8"/>
  <c r="AE759" i="2"/>
  <c r="AE1256" i="8" s="1"/>
  <c r="AE1257" i="8" s="1"/>
  <c r="F1257" i="8" s="1"/>
  <c r="AD1320" i="8"/>
  <c r="AD1321" i="8" s="1"/>
  <c r="AD789" i="2"/>
  <c r="AD1340" i="8" s="1"/>
  <c r="AE900" i="8"/>
  <c r="AE901" i="8" s="1"/>
  <c r="AE379" i="2"/>
  <c r="AE920" i="8" s="1"/>
  <c r="AE921" i="8" s="1"/>
  <c r="F921" i="8" s="1"/>
  <c r="F1337" i="8"/>
  <c r="AE784" i="2"/>
  <c r="AE799" i="2"/>
  <c r="AE1376" i="8" s="1"/>
  <c r="AE1377" i="8" s="1"/>
  <c r="F1377" i="8" s="1"/>
  <c r="AD900" i="8"/>
  <c r="AD901" i="8" s="1"/>
  <c r="AD379" i="2"/>
  <c r="AD920" i="8" s="1"/>
  <c r="AD921" i="8" s="1"/>
  <c r="AE389" i="2"/>
  <c r="AE940" i="8" s="1"/>
  <c r="AE941" i="8" s="1"/>
  <c r="F941" i="8" s="1"/>
  <c r="F56" i="8"/>
  <c r="AE371" i="2"/>
  <c r="AE896" i="8" s="1"/>
  <c r="AE897" i="8" s="1"/>
  <c r="F897" i="8" s="1"/>
  <c r="AE360" i="2"/>
  <c r="AE860" i="8" s="1"/>
  <c r="AE861" i="8" s="1"/>
  <c r="F861" i="8" s="1"/>
  <c r="AE774" i="2"/>
  <c r="AE1300" i="8" s="1"/>
  <c r="AE1301" i="8" s="1"/>
  <c r="F1301" i="8" s="1"/>
  <c r="AE770" i="2"/>
  <c r="AE1292" i="8" s="1"/>
  <c r="AE1293" i="8" s="1"/>
  <c r="F1293" i="8" s="1"/>
  <c r="AD778" i="2"/>
  <c r="AD1316" i="8" s="1"/>
  <c r="AD1317" i="8" s="1"/>
  <c r="AC462" i="2"/>
  <c r="AE785" i="2"/>
  <c r="AE1324" i="8" s="1"/>
  <c r="AE1325" i="8" s="1"/>
  <c r="F1325" i="8" s="1"/>
  <c r="AE924" i="8"/>
  <c r="AE925" i="8" s="1"/>
  <c r="F925" i="8" s="1"/>
  <c r="AE390" i="2"/>
  <c r="AE944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D638" i="2"/>
  <c r="AC279" i="8"/>
  <c r="AC280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F136" i="8" s="1"/>
  <c r="AD135" i="8"/>
  <c r="AD136" i="8" s="1"/>
  <c r="AE238" i="2"/>
  <c r="AE131" i="8" s="1"/>
  <c r="AE132" i="8" s="1"/>
  <c r="AD131" i="8"/>
  <c r="AD132" i="8" s="1"/>
  <c r="AE454" i="2"/>
  <c r="AE155" i="8" s="1"/>
  <c r="AE156" i="8" s="1"/>
  <c r="AD155" i="8"/>
  <c r="AD156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F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D573" i="2"/>
  <c r="AC582" i="2"/>
  <c r="AC223" i="8"/>
  <c r="AC22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D522" i="2"/>
  <c r="AE513" i="2"/>
  <c r="AD187" i="8"/>
  <c r="AD188" i="8" s="1"/>
  <c r="AE519" i="2"/>
  <c r="AE211" i="8" s="1"/>
  <c r="AE212" i="8" s="1"/>
  <c r="AD211" i="8"/>
  <c r="AD212" i="8" s="1"/>
  <c r="AD177" i="2"/>
  <c r="AC91" i="8"/>
  <c r="AC92" i="8" s="1"/>
  <c r="AE453" i="2"/>
  <c r="AD462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F232" i="8" l="1"/>
  <c r="F16" i="8"/>
  <c r="F144" i="8"/>
  <c r="F204" i="8"/>
  <c r="F48" i="8"/>
  <c r="AE778" i="2"/>
  <c r="AE1316" i="8" s="1"/>
  <c r="AE1317" i="8" s="1"/>
  <c r="F1317" i="8" s="1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15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F292" i="8" s="1"/>
  <c r="AD291" i="8"/>
  <c r="AD292" i="8" s="1"/>
  <c r="F160" i="8"/>
  <c r="F68" i="8"/>
  <c r="F124" i="8"/>
  <c r="F24" i="8"/>
  <c r="AE573" i="2"/>
  <c r="AD582" i="2"/>
  <c r="AD223" i="8"/>
  <c r="AD224" i="8" s="1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E522" i="2"/>
  <c r="AE187" i="8"/>
  <c r="AE188" i="8" s="1"/>
  <c r="F188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F288" i="8" s="1"/>
  <c r="AD287" i="8"/>
  <c r="AD288" i="8" s="1"/>
  <c r="AE578" i="2"/>
  <c r="AE243" i="8" s="1"/>
  <c r="AE244" i="8" s="1"/>
  <c r="AD243" i="8"/>
  <c r="AD244" i="8" s="1"/>
  <c r="AE638" i="2"/>
  <c r="AE279" i="8" s="1"/>
  <c r="AE280" i="8" s="1"/>
  <c r="AD279" i="8"/>
  <c r="AD280" i="8" s="1"/>
  <c r="AD642" i="2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F180" i="8" s="1"/>
  <c r="AD179" i="8"/>
  <c r="AD180" i="8" s="1"/>
  <c r="F184" i="8"/>
  <c r="AE179" i="2"/>
  <c r="AE99" i="8" s="1"/>
  <c r="AE100" i="8" s="1"/>
  <c r="AD99" i="8"/>
  <c r="AD100" i="8" s="1"/>
  <c r="D584" i="8" l="1"/>
  <c r="D585" i="8"/>
  <c r="F268" i="8"/>
  <c r="AD183" i="2"/>
  <c r="F252" i="8"/>
  <c r="F88" i="8"/>
  <c r="F100" i="8"/>
  <c r="F272" i="8"/>
  <c r="F228" i="8"/>
  <c r="F112" i="8"/>
  <c r="F284" i="8"/>
  <c r="F92" i="8"/>
  <c r="F280" i="8"/>
  <c r="F176" i="8"/>
  <c r="AE462" i="2"/>
  <c r="F244" i="8"/>
  <c r="AE180" i="2"/>
  <c r="AE103" i="8" s="1"/>
  <c r="AE104" i="8" s="1"/>
  <c r="AD103" i="8"/>
  <c r="AD104" i="8" s="1"/>
  <c r="F276" i="8"/>
  <c r="AE642" i="2"/>
  <c r="AE582" i="2"/>
  <c r="AE223" i="8"/>
  <c r="AE224" i="8" s="1"/>
  <c r="F224" i="8" s="1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D3" i="8" l="1"/>
  <c r="F104" i="8"/>
  <c r="F84" i="8"/>
  <c r="D2" i="8" s="1"/>
  <c r="AE183" i="2"/>
</calcChain>
</file>

<file path=xl/sharedStrings.xml><?xml version="1.0" encoding="utf-8"?>
<sst xmlns="http://schemas.openxmlformats.org/spreadsheetml/2006/main" count="9076" uniqueCount="1723">
  <si>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</si>
  <si>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</si>
  <si>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</si>
  <si>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</si>
  <si>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</si>
  <si>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</si>
  <si>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</si>
  <si>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</si>
  <si>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</si>
  <si>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</si>
  <si>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</si>
  <si>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</si>
  <si>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</si>
  <si>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</si>
  <si>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</si>
  <si>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</si>
  <si>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</si>
  <si>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</si>
  <si>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</si>
  <si>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</si>
  <si>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</si>
  <si>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</si>
  <si>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</si>
  <si>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</si>
  <si>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</si>
  <si>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</si>
  <si>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</si>
  <si>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</si>
  <si>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</si>
  <si>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</si>
  <si>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</si>
  <si>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</si>
  <si>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</si>
  <si>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</si>
  <si>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</si>
  <si>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</si>
  <si>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</si>
  <si>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</si>
  <si>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</si>
  <si>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</si>
  <si>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</si>
  <si>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</si>
  <si>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</si>
  <si>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</si>
  <si>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</si>
  <si>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</si>
  <si>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</si>
  <si>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</si>
  <si>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</si>
  <si>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</si>
  <si>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</si>
  <si>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</si>
  <si>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</si>
  <si>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</si>
  <si>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</si>
  <si>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</si>
  <si>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</si>
  <si>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</si>
  <si>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</si>
  <si>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</si>
  <si>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</si>
  <si>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</si>
  <si>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</si>
  <si>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</si>
  <si>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</si>
  <si>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</si>
  <si>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</si>
  <si>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</si>
  <si>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</si>
  <si>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</si>
  <si>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</si>
  <si>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</si>
  <si>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</si>
  <si>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</si>
  <si>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</si>
  <si>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</si>
  <si>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</si>
  <si>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</si>
  <si>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</si>
  <si>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</si>
  <si>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</si>
  <si>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</si>
  <si>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</si>
  <si>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</si>
  <si>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</si>
  <si>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</si>
  <si>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</si>
  <si>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</si>
  <si>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</si>
  <si>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</si>
  <si>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</si>
  <si>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</si>
  <si>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</si>
  <si>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</si>
  <si>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</si>
  <si>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</si>
  <si>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</si>
  <si>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</si>
  <si>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</si>
  <si>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</si>
  <si>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</si>
  <si>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</si>
  <si>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</si>
  <si>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</si>
  <si>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</si>
  <si>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</si>
  <si>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</si>
  <si>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</si>
  <si>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</si>
  <si>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</si>
  <si>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</si>
  <si>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</si>
  <si>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</si>
  <si>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</si>
  <si>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</si>
  <si>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</si>
  <si>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</si>
  <si>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</si>
  <si>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</si>
  <si>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</si>
  <si>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</si>
  <si>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</si>
  <si>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</si>
  <si>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</si>
  <si>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</si>
  <si>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</si>
  <si>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</si>
  <si>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</si>
  <si>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</si>
  <si>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</si>
  <si>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</si>
  <si>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</si>
  <si>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</si>
  <si>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</si>
  <si>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</si>
  <si>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</si>
  <si>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</si>
  <si>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</si>
  <si>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</si>
  <si>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</si>
  <si>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</si>
  <si>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</si>
  <si>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</si>
  <si>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</si>
  <si>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</si>
  <si>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</si>
  <si>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</si>
  <si>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</si>
  <si>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</si>
  <si>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</si>
  <si>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</si>
  <si>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</si>
  <si>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</si>
  <si>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</si>
  <si>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</si>
  <si>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</si>
  <si>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</si>
  <si>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</si>
  <si>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</si>
  <si>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</si>
  <si>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</si>
  <si>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</si>
  <si>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</si>
  <si>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</si>
  <si>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</si>
  <si>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</si>
  <si>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</si>
  <si>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</si>
  <si>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</si>
  <si>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</si>
  <si>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</si>
  <si>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</si>
  <si>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</si>
  <si>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</si>
  <si>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</si>
  <si>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</si>
  <si>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</si>
  <si>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</si>
  <si>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</si>
  <si>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</si>
  <si>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</si>
  <si>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</si>
  <si>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</si>
  <si>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</si>
  <si>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</si>
  <si>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</si>
  <si>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</si>
  <si>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</si>
  <si>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</si>
  <si>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</si>
  <si>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</si>
  <si>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</si>
  <si>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</si>
  <si>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</si>
  <si>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</si>
  <si>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</si>
  <si>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</si>
  <si>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</si>
  <si>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</si>
  <si>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</si>
  <si>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</si>
  <si>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</si>
  <si>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</si>
  <si>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</si>
  <si>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</si>
  <si>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</si>
  <si>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</si>
  <si>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</si>
  <si>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</si>
  <si>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</si>
  <si>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</si>
  <si>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</si>
  <si>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</si>
  <si>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</si>
  <si>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</si>
  <si>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</si>
  <si>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</si>
  <si>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</si>
  <si>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</si>
  <si>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</si>
  <si>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</si>
  <si>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</si>
  <si>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</si>
  <si>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</si>
  <si>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</si>
  <si>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</si>
  <si>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</si>
  <si>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</si>
  <si>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</si>
  <si>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</si>
  <si>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</si>
  <si>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</si>
  <si>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</si>
  <si>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</si>
  <si>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</si>
  <si>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</si>
  <si>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</si>
  <si>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</si>
  <si>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</si>
  <si>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</si>
  <si>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</si>
  <si>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</si>
  <si>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</si>
  <si>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</si>
  <si>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</si>
  <si>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</si>
  <si>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</si>
  <si>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</si>
  <si>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</si>
  <si>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</si>
  <si>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</si>
  <si>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</si>
  <si>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</si>
  <si>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</si>
  <si>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</si>
  <si>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</si>
  <si>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</si>
  <si>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</si>
  <si>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</si>
  <si>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</si>
  <si>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</si>
  <si>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</si>
  <si>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</si>
  <si>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</si>
  <si>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</si>
  <si>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</si>
  <si>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</si>
  <si>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</si>
  <si>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</si>
  <si>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</si>
  <si>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</si>
  <si>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</si>
  <si>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</si>
  <si>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</si>
  <si>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</si>
  <si>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</si>
  <si>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</si>
  <si>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</si>
  <si>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</si>
  <si>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</si>
  <si>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</si>
  <si>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</si>
  <si>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</si>
  <si>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</si>
  <si>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</si>
  <si>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</si>
  <si>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</si>
  <si>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</si>
  <si>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</si>
  <si>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</si>
  <si>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</si>
  <si>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</si>
  <si>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</si>
  <si>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</si>
  <si>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</si>
  <si>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</si>
  <si>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</si>
  <si>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</si>
  <si>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</si>
  <si>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</si>
  <si>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</si>
  <si>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</si>
  <si>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</si>
  <si>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</si>
  <si>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</si>
  <si>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</si>
  <si>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</si>
  <si>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</si>
  <si>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</si>
  <si>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</si>
  <si>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</si>
  <si>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</si>
  <si>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</si>
  <si>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</si>
  <si>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</si>
  <si>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</si>
  <si>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</si>
  <si>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</si>
  <si>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</si>
  <si>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</si>
  <si>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</si>
  <si>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</si>
  <si>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</si>
  <si>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</si>
  <si>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</si>
  <si>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</si>
  <si>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</si>
  <si>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</si>
  <si>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</si>
  <si>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</si>
  <si>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</si>
  <si>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</si>
  <si>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</si>
  <si>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</si>
  <si>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</si>
  <si>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</si>
  <si>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</si>
  <si>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</si>
  <si>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</si>
  <si>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</si>
  <si>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</si>
  <si>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</si>
  <si>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</si>
  <si>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</si>
  <si>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</si>
  <si>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</si>
  <si>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</si>
  <si>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</si>
  <si>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</si>
  <si>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</si>
  <si>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</si>
  <si>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</si>
  <si>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</si>
  <si>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</si>
  <si>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</si>
  <si>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</si>
  <si>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</si>
  <si>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</si>
  <si>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</si>
  <si>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</si>
  <si>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</si>
  <si>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</si>
  <si>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</si>
  <si>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</si>
  <si>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</si>
  <si>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</si>
  <si>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</si>
  <si>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</si>
  <si>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</si>
  <si>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</si>
  <si>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</si>
  <si>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</si>
  <si>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</si>
  <si>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</si>
  <si>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</si>
  <si>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</si>
  <si>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</si>
  <si>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</si>
  <si>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</si>
  <si>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</si>
  <si>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</si>
  <si>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</si>
  <si>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</si>
  <si>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</si>
  <si>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</si>
  <si>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</si>
  <si>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</si>
  <si>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</si>
  <si>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</si>
  <si>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</si>
  <si>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</si>
  <si>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</si>
  <si>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</si>
  <si>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</si>
  <si>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</si>
  <si>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</si>
  <si>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</si>
  <si>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</si>
  <si>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</si>
  <si>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</si>
  <si>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</si>
  <si>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</si>
  <si>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</si>
  <si>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</si>
  <si>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</si>
  <si>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</si>
  <si>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</si>
  <si>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</si>
  <si>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</si>
  <si>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</si>
  <si>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</si>
  <si>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</si>
  <si>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</si>
  <si>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</si>
  <si>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</si>
  <si>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</si>
  <si>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</si>
  <si>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</si>
  <si>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</si>
  <si>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</si>
  <si>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</si>
  <si>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</si>
  <si>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</si>
  <si>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</si>
  <si>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</si>
  <si>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</si>
  <si>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</si>
  <si>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</si>
  <si>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</si>
  <si>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</si>
  <si>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</si>
  <si>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</si>
  <si>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</si>
  <si>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</si>
  <si>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</si>
  <si>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</si>
  <si>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</si>
  <si>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</si>
  <si>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</si>
  <si>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</si>
  <si>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</si>
  <si>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</si>
  <si>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</si>
  <si>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</si>
  <si>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</si>
  <si>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</si>
  <si>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</si>
  <si>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</si>
  <si>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</si>
  <si>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</si>
  <si>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</si>
  <si>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</si>
  <si>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</si>
  <si>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</si>
  <si>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</si>
  <si>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</si>
  <si>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</si>
  <si>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</si>
  <si>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</si>
  <si>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</si>
  <si>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</si>
  <si>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</si>
  <si>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</si>
  <si>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</si>
  <si>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</si>
  <si>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</si>
  <si>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</si>
  <si>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</si>
  <si>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</si>
  <si>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</si>
  <si>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</si>
  <si>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</si>
  <si>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</si>
  <si>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</si>
  <si>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</si>
  <si>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</si>
  <si>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</si>
  <si>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</si>
  <si>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</si>
  <si>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</si>
  <si>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</si>
  <si>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</si>
  <si>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</si>
  <si>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</si>
  <si>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</si>
  <si>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</si>
  <si>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</si>
  <si>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</si>
  <si>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</si>
  <si>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</si>
  <si>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</si>
  <si>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</si>
  <si>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</si>
  <si>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</si>
  <si>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</si>
  <si>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</si>
  <si>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</si>
  <si>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</si>
  <si>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</si>
  <si>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</si>
  <si>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</si>
  <si>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</si>
  <si>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</si>
  <si>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</si>
  <si>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</si>
  <si>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</si>
  <si>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</si>
  <si>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</si>
  <si>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</si>
  <si>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</si>
  <si>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</si>
  <si>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</si>
  <si>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</si>
  <si>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</si>
  <si>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</si>
  <si>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</si>
  <si>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</si>
  <si>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</si>
  <si>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</si>
  <si>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</si>
  <si>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</si>
  <si>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</si>
  <si>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</si>
  <si>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</si>
  <si>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</si>
  <si>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</si>
  <si>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</si>
  <si>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</si>
  <si>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</si>
  <si>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</si>
  <si>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</si>
  <si>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</si>
  <si>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</si>
  <si>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</si>
  <si>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</si>
  <si>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</si>
  <si>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</si>
  <si>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</si>
  <si>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</si>
  <si>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</si>
  <si>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</si>
  <si>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</si>
  <si>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</si>
  <si>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</si>
  <si>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</si>
  <si>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</si>
  <si>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</si>
  <si>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</si>
  <si>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</si>
  <si>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</si>
  <si>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</si>
  <si>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</si>
  <si>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</si>
  <si>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</si>
  <si>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</si>
  <si>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</si>
  <si>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</si>
  <si>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</si>
  <si>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</si>
  <si>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</si>
  <si>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</si>
  <si>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</si>
  <si>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</si>
  <si>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</si>
  <si>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</si>
  <si>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</si>
  <si>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</si>
  <si>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</si>
  <si>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</si>
  <si>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</si>
  <si>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</si>
  <si>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</si>
  <si>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</si>
  <si>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</si>
  <si>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</si>
  <si>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</si>
  <si>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</si>
  <si>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</si>
  <si>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</si>
  <si>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</si>
  <si>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</si>
  <si>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</si>
  <si>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</si>
  <si>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</si>
  <si>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</si>
  <si>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</si>
  <si>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</si>
  <si>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</si>
  <si>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</si>
  <si>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</si>
  <si>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</si>
  <si>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</si>
  <si>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</si>
  <si>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</si>
  <si>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</si>
  <si>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</si>
  <si>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</si>
  <si>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</si>
  <si>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</si>
  <si>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</si>
  <si>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</si>
  <si>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</si>
  <si>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</si>
  <si>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</si>
  <si>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</si>
  <si>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</si>
  <si>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</si>
  <si>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</si>
  <si>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</si>
  <si>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</si>
  <si>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</si>
  <si>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</si>
  <si>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</si>
  <si>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</si>
  <si>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</si>
  <si>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</si>
  <si>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</si>
  <si>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</si>
  <si>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</si>
  <si>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</si>
  <si>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</si>
  <si>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</si>
  <si>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</si>
  <si>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</si>
  <si>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</si>
  <si>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</si>
  <si>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</si>
  <si>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</si>
  <si>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</si>
  <si>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</si>
  <si>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</si>
  <si>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</si>
  <si>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</si>
  <si>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</si>
  <si>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</si>
  <si>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</si>
  <si>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</si>
  <si>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</si>
  <si>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</si>
  <si>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</si>
  <si>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</si>
  <si>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</si>
  <si>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</si>
  <si>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</si>
  <si>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</si>
  <si>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</si>
  <si>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</si>
  <si>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</si>
  <si>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</si>
  <si>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</si>
  <si>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</si>
  <si>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</si>
  <si>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</si>
  <si>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</si>
  <si>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</si>
  <si>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</si>
  <si>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</si>
  <si>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</si>
  <si>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</si>
  <si>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</si>
  <si>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</si>
  <si>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</si>
  <si>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</si>
  <si>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</si>
  <si>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</si>
  <si>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</si>
  <si>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</si>
  <si>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</si>
  <si>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</si>
  <si>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</si>
  <si>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</si>
  <si>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</si>
  <si>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</si>
  <si>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</si>
  <si>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</si>
  <si>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</si>
  <si>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</si>
  <si>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</si>
  <si>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</si>
  <si>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</si>
  <si>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</si>
  <si>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</si>
  <si>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</si>
  <si>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</si>
  <si>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</si>
  <si>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</si>
  <si>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</si>
  <si>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</si>
  <si>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</si>
  <si>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</si>
  <si>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</si>
  <si>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</si>
  <si>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</si>
  <si>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</si>
  <si>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</si>
  <si>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</si>
  <si>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</si>
  <si>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</si>
  <si>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</si>
  <si>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</si>
  <si>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</si>
  <si>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</si>
  <si>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</si>
  <si>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</si>
  <si>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</si>
  <si>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</si>
  <si>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</si>
  <si>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</si>
  <si>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</si>
  <si>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</si>
  <si>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</si>
  <si>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</si>
  <si>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</si>
  <si>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</si>
  <si>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</si>
  <si>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</si>
  <si>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</si>
  <si>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</si>
  <si>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</si>
  <si>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</si>
  <si>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</si>
  <si>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</si>
  <si>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</si>
  <si>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</si>
  <si>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</si>
  <si>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</si>
  <si>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</si>
  <si>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</si>
  <si>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</si>
  <si>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</si>
  <si>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</si>
  <si>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</si>
  <si>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</si>
  <si>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</si>
  <si>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</si>
  <si>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</si>
  <si>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</si>
  <si>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</si>
  <si>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</si>
  <si>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</si>
  <si>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</si>
  <si>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</si>
  <si>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</si>
  <si>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</si>
  <si>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</si>
  <si>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</si>
  <si>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</si>
  <si>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</si>
  <si>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</si>
  <si>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</si>
  <si>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</si>
  <si>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</si>
  <si>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</si>
  <si>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</si>
  <si>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</si>
  <si>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</si>
  <si>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</si>
  <si>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</si>
  <si>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</si>
  <si>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</si>
  <si>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</si>
  <si>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</si>
  <si>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</si>
  <si>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</si>
  <si>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</si>
  <si>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</si>
  <si>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</si>
  <si>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</si>
  <si>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</si>
  <si>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</si>
  <si>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</si>
  <si>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</si>
  <si>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</si>
  <si>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</si>
  <si>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</si>
  <si>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</si>
  <si>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</si>
  <si>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</si>
  <si>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</si>
  <si>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</si>
  <si>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</si>
  <si>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</si>
  <si>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</si>
  <si>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</si>
  <si>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</si>
  <si>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</si>
  <si>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</si>
  <si>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</si>
  <si>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</si>
  <si>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</si>
  <si>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</si>
  <si>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</si>
  <si>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</si>
  <si>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</si>
  <si>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</si>
  <si>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</si>
  <si>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</si>
  <si>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</si>
  <si>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</si>
  <si>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</si>
  <si>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</si>
  <si>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</si>
  <si>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</si>
  <si>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</si>
  <si>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</si>
  <si>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</si>
  <si>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</si>
  <si>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</si>
  <si>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</si>
  <si>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</si>
  <si>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</si>
  <si>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</si>
  <si>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</si>
  <si>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</si>
  <si>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</si>
  <si>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</si>
  <si>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</si>
  <si>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</si>
  <si>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</si>
  <si>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</si>
  <si>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</si>
  <si>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</si>
  <si>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</si>
  <si>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</si>
  <si>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</si>
  <si>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</si>
  <si>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</si>
  <si>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</si>
  <si>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</si>
  <si>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</si>
  <si>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</si>
  <si>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</si>
  <si>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</si>
  <si>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</si>
  <si>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</si>
  <si>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</si>
  <si>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</si>
  <si>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</si>
  <si>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</si>
  <si>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</si>
  <si>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</si>
  <si>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</si>
  <si>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</si>
  <si>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</si>
  <si>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</si>
  <si>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</si>
  <si>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</si>
  <si>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</si>
  <si>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</si>
  <si>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</si>
  <si>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</si>
  <si>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</si>
  <si>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</si>
  <si>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</si>
  <si>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</si>
  <si>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</si>
  <si>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</si>
  <si>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</si>
  <si>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</si>
  <si>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</si>
  <si>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</si>
  <si>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</si>
  <si>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</si>
  <si>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</si>
  <si>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</si>
  <si>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</si>
  <si>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</si>
  <si>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</si>
  <si>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</si>
  <si>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</si>
  <si>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</si>
  <si>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</si>
  <si>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</si>
  <si>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</si>
  <si>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</si>
  <si>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</si>
  <si>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</si>
  <si>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</si>
  <si>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</si>
  <si>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</si>
  <si>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</si>
  <si>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</si>
  <si>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</si>
  <si>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</si>
  <si>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</si>
  <si>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</si>
  <si>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</si>
  <si>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</si>
  <si>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</si>
  <si>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</si>
  <si>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</si>
  <si>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</si>
  <si>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</si>
  <si>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</si>
  <si>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</si>
  <si>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</si>
  <si>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</si>
  <si>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</si>
  <si>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</si>
  <si>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</si>
  <si>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</si>
  <si>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</si>
  <si>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</si>
  <si>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</si>
  <si>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</si>
  <si>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</si>
  <si>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</si>
  <si>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</si>
  <si>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</si>
  <si>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</si>
  <si>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</si>
  <si>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</si>
  <si>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</si>
  <si>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</si>
  <si>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</si>
  <si>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</si>
  <si>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</si>
  <si>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</si>
  <si>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</si>
  <si>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</si>
  <si>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</si>
  <si>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</si>
  <si>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</si>
  <si>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</si>
  <si>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</si>
  <si>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</si>
  <si>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</si>
  <si>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</si>
  <si>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</si>
  <si>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</si>
  <si>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</si>
  <si>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</si>
  <si>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</si>
  <si>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</si>
  <si>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</si>
  <si>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</si>
  <si>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</si>
  <si>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</si>
  <si>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</si>
  <si>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</si>
  <si>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</si>
  <si>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</si>
  <si>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</si>
  <si>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</si>
  <si>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</si>
  <si>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</si>
  <si>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</si>
  <si>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</si>
  <si>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</si>
  <si>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</si>
  <si>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</si>
  <si>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</si>
  <si>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</si>
  <si>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</si>
  <si>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</si>
  <si>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</si>
  <si>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</si>
  <si>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</si>
  <si>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</si>
  <si>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</si>
  <si>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</si>
  <si>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</si>
  <si>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</si>
  <si>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</si>
  <si>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</si>
  <si>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</si>
  <si>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</si>
  <si>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</si>
  <si>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</si>
  <si>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</si>
  <si>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</si>
  <si>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</si>
  <si>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</si>
  <si>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</si>
  <si>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</si>
  <si>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</si>
  <si>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</si>
  <si>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</si>
  <si>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</si>
  <si>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</si>
  <si>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</si>
  <si>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</si>
  <si>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</si>
  <si>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</si>
  <si>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</si>
  <si>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</si>
  <si>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</si>
  <si>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</si>
  <si>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</si>
  <si>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</si>
  <si>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</si>
  <si>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</si>
  <si>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</si>
  <si>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</si>
  <si>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</si>
  <si>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</si>
  <si>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</si>
  <si>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</si>
  <si>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</si>
  <si>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</si>
  <si>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</si>
  <si>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</si>
  <si>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</si>
  <si>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</si>
  <si>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</si>
  <si>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</si>
  <si>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</si>
  <si>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</si>
  <si>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</si>
  <si>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</si>
  <si>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</si>
  <si>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</si>
  <si>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</si>
  <si>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</si>
  <si>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</si>
  <si>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</si>
  <si>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</si>
  <si>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</si>
  <si>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</si>
  <si>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</si>
  <si>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</si>
  <si>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</si>
  <si>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</si>
  <si>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</si>
  <si>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</si>
  <si>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</si>
  <si>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</si>
  <si>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</si>
  <si>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</si>
  <si>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</si>
  <si>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</si>
  <si>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</si>
  <si>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</si>
  <si>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</si>
  <si>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</si>
  <si>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</si>
  <si>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</si>
  <si>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</si>
  <si>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</si>
  <si>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</si>
  <si>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</si>
  <si>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</si>
  <si>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</si>
  <si>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</si>
  <si>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</si>
  <si>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</si>
  <si>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</si>
  <si>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</si>
  <si>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</si>
  <si>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</si>
  <si>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</si>
  <si>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</si>
  <si>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</si>
  <si>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</si>
  <si>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</si>
  <si>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</si>
  <si>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</si>
  <si>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</si>
  <si>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</si>
  <si>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</si>
  <si>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</si>
  <si>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</si>
  <si>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</si>
  <si>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</si>
  <si>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</si>
  <si>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</si>
  <si>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</si>
  <si>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</si>
  <si>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</si>
  <si>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</si>
  <si>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</si>
  <si>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</si>
  <si>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</si>
  <si>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</si>
  <si>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</si>
  <si>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</si>
  <si>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</si>
  <si>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</si>
  <si>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</si>
  <si>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</si>
  <si>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</si>
  <si>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</si>
  <si>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</si>
  <si>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</si>
  <si>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</si>
  <si>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</si>
  <si>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</si>
  <si>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</si>
  <si>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</si>
  <si>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</si>
  <si>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</si>
  <si>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</si>
  <si>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</si>
  <si>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</si>
  <si>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</si>
  <si>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</si>
  <si>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</si>
  <si>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</si>
  <si>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</si>
  <si>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</si>
  <si>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</si>
  <si>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</si>
  <si>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</si>
  <si>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</si>
  <si>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</si>
  <si>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</si>
  <si>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</si>
  <si>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</si>
  <si>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</si>
  <si>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</si>
  <si>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</si>
  <si>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</si>
  <si>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</si>
  <si>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</si>
  <si>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</si>
  <si>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</si>
  <si>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</si>
  <si>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</si>
  <si>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</si>
  <si>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</si>
  <si>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</si>
  <si>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</si>
  <si>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</si>
  <si>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</si>
  <si>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</si>
  <si>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</si>
  <si>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</si>
  <si>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</si>
  <si>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</si>
  <si>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</si>
  <si>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</si>
  <si>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</si>
  <si>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</si>
  <si>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</si>
  <si>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</si>
  <si>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</si>
  <si>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</si>
  <si>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</si>
  <si>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</si>
  <si>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</si>
  <si>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</si>
  <si>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</si>
  <si>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</si>
  <si>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</si>
  <si>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</si>
  <si>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</si>
  <si>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</si>
  <si>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</si>
  <si>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</si>
  <si>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</si>
  <si>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</si>
  <si>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</si>
  <si>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</si>
  <si>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</si>
  <si>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</si>
  <si>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</si>
  <si>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</si>
  <si>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</si>
  <si>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</si>
  <si>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</si>
  <si>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</si>
  <si>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</si>
  <si>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</si>
  <si>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</si>
  <si>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</si>
  <si>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</si>
  <si>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</si>
  <si>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</si>
  <si>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</si>
  <si>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</si>
  <si>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</si>
  <si>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</si>
  <si>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</si>
  <si>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</si>
  <si>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</si>
  <si>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</si>
  <si>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</si>
  <si>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</si>
  <si>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</si>
  <si>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</si>
  <si>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</si>
  <si>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</si>
  <si>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</si>
  <si>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</si>
  <si>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</si>
  <si>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</si>
  <si>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</si>
  <si>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</si>
  <si>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</si>
  <si>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</si>
  <si>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</si>
  <si>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</si>
  <si>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</si>
  <si>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</si>
  <si>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</si>
  <si>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</si>
  <si>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</si>
  <si>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</si>
  <si>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</si>
  <si>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</si>
  <si>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</si>
  <si>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</si>
  <si>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</si>
  <si>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</si>
  <si>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</si>
  <si>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</si>
  <si>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</si>
  <si>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</si>
  <si>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</si>
  <si>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</si>
  <si>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</si>
  <si>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</si>
  <si>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</si>
  <si>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</si>
  <si>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</si>
  <si>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</si>
  <si>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</si>
  <si>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</si>
  <si>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</si>
  <si>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</si>
  <si>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</si>
  <si>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</si>
  <si>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</si>
  <si>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</si>
  <si>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</si>
  <si>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</si>
  <si>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</si>
  <si>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</si>
  <si>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</si>
  <si>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</si>
  <si>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</si>
  <si>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</si>
  <si>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</si>
  <si>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</si>
  <si>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</si>
  <si>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</si>
  <si>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</si>
  <si>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</si>
  <si>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</si>
  <si>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</si>
  <si>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</si>
  <si>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</si>
  <si>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</si>
  <si>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</si>
  <si>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</si>
  <si>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</si>
  <si>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</si>
  <si>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</si>
  <si>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</si>
  <si>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</si>
  <si>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</si>
  <si>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</si>
  <si>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</si>
  <si>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</si>
  <si>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</si>
  <si>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</si>
  <si>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</si>
  <si>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</si>
  <si>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</si>
  <si>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</si>
  <si>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</si>
  <si>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</si>
  <si>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</si>
  <si>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</si>
  <si>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</si>
  <si>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</si>
  <si>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</si>
  <si>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</si>
  <si>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</si>
  <si>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</si>
  <si>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</si>
  <si>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</si>
  <si>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</si>
  <si>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</si>
  <si>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</si>
  <si>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</si>
  <si>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</si>
  <si>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</si>
  <si>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</si>
  <si>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</si>
  <si>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</si>
  <si>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</si>
  <si>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</si>
  <si>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</si>
  <si>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</si>
  <si>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</si>
  <si>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</si>
  <si>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</si>
  <si>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</si>
  <si>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</si>
  <si>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</si>
  <si>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</si>
  <si>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</si>
  <si>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</si>
  <si>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</si>
  <si>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</si>
  <si>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</si>
  <si>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</si>
  <si>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</si>
  <si>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</si>
  <si>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</si>
  <si>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</si>
  <si>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</si>
  <si>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</si>
  <si>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</si>
  <si>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</si>
  <si>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</si>
  <si>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</si>
  <si>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</si>
  <si>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</si>
  <si>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</si>
  <si>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</si>
  <si>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</si>
  <si>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</si>
  <si>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</si>
  <si>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</si>
  <si>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</si>
  <si>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</si>
  <si>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</si>
  <si>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</si>
  <si>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</si>
  <si>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</si>
  <si>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</si>
  <si>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</si>
  <si>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</si>
  <si>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</si>
  <si>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</si>
  <si>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</si>
  <si>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</si>
  <si>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</si>
  <si>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</si>
  <si>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</si>
  <si>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</si>
  <si>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</si>
  <si>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</si>
  <si>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</si>
  <si>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</si>
  <si>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</si>
  <si>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</si>
  <si>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</si>
  <si>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</si>
  <si>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</si>
  <si>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</si>
  <si>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</si>
  <si>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</si>
  <si>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</si>
  <si>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</si>
  <si>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</si>
  <si>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</si>
  <si>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</si>
  <si>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</si>
  <si>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</si>
  <si>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</si>
  <si>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</si>
  <si>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</si>
  <si>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</si>
  <si>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</si>
  <si>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</si>
  <si>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</si>
  <si>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</si>
  <si>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</si>
  <si>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</si>
  <si>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</si>
  <si>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</si>
  <si>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</si>
  <si>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</si>
  <si>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</si>
  <si>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</si>
  <si>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</si>
  <si>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</si>
  <si>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</si>
  <si>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</si>
  <si>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</si>
  <si>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</si>
  <si>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</si>
  <si>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</si>
  <si>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</si>
  <si>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</si>
  <si>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</si>
  <si>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</si>
  <si>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</si>
  <si>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</si>
  <si>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</si>
  <si>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</si>
  <si>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</si>
  <si>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</si>
  <si>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</si>
  <si>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</si>
  <si>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</si>
  <si>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</si>
  <si>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</si>
  <si>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</si>
  <si>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</si>
  <si>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</si>
  <si>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</si>
  <si>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</si>
  <si>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</si>
  <si>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</si>
  <si>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</si>
  <si>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</si>
  <si>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</si>
  <si>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</si>
  <si>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</si>
  <si>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</si>
  <si>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</si>
  <si>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</si>
  <si>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</si>
  <si>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</si>
  <si>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</si>
  <si>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</si>
  <si>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</si>
  <si>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</si>
  <si>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Include non-fuel process emissions in ETS/CT? (legacy Dashboard!G20)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</si>
  <si>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</si>
  <si>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</si>
  <si>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</si>
  <si>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</si>
  <si>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</si>
  <si>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</si>
  <si>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</si>
  <si>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</si>
  <si>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</si>
  <si>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</si>
  <si>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</si>
  <si>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</si>
  <si>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</si>
  <si>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</si>
  <si>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</si>
  <si>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</si>
  <si>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</si>
  <si>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</si>
  <si>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</si>
  <si>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</si>
  <si>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</si>
  <si>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</si>
  <si>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</si>
  <si>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</si>
  <si>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</si>
  <si>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</si>
  <si>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</si>
  <si>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</si>
  <si>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</si>
  <si>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</si>
  <si>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</si>
  <si>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</si>
  <si>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</si>
  <si>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</si>
  <si>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</si>
  <si>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</si>
  <si>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</si>
  <si>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</si>
  <si>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</si>
  <si>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</si>
  <si>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</si>
  <si>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</si>
  <si>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</si>
  <si>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</si>
  <si>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</si>
  <si>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</si>
  <si>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</si>
  <si>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</si>
  <si>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</si>
  <si>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</si>
  <si>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</si>
  <si>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</si>
  <si>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</si>
  <si>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</si>
  <si>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</si>
  <si>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</si>
  <si>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</si>
  <si>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</si>
  <si>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</si>
  <si>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</si>
  <si>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</si>
  <si>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</si>
  <si>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</si>
  <si>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</si>
  <si>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</si>
  <si>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</si>
  <si>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</si>
  <si>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</si>
  <si>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</si>
  <si>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</si>
  <si>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</si>
  <si>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</si>
  <si>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</si>
  <si>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</si>
  <si>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</si>
  <si>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</si>
  <si>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</si>
  <si>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</si>
  <si>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</si>
  <si>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</si>
  <si>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</si>
  <si>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</si>
  <si>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</si>
  <si>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</si>
  <si>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</si>
  <si>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</si>
  <si>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</si>
  <si>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</si>
  <si>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</si>
  <si>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</si>
  <si>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</si>
  <si>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</si>
  <si>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</si>
  <si>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</si>
  <si>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</si>
  <si>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</si>
  <si>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</si>
  <si>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</si>
  <si>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</si>
  <si>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</si>
  <si>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</si>
  <si>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</si>
  <si>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</si>
  <si>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</si>
  <si>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</si>
  <si>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</si>
  <si>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</si>
  <si>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</si>
  <si>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</si>
  <si>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</si>
  <si>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</si>
  <si>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</si>
  <si>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</si>
  <si>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</si>
  <si>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</si>
  <si>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</si>
  <si>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</si>
  <si>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</si>
  <si>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</si>
  <si>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</si>
  <si>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</si>
  <si>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</si>
  <si>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</si>
  <si>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</si>
  <si>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</si>
  <si>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</si>
  <si>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</si>
  <si>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</si>
  <si>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</si>
  <si>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</si>
  <si>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</si>
  <si>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</si>
  <si>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</si>
  <si>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</si>
  <si>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</si>
  <si>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</si>
  <si>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</si>
  <si>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</si>
  <si>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</si>
  <si>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</si>
  <si>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</si>
  <si>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</si>
  <si>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</si>
  <si>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</si>
  <si>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</si>
  <si>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</si>
  <si>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</si>
  <si>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</si>
  <si>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</si>
  <si>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</si>
  <si>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</si>
  <si>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</si>
  <si>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</si>
  <si>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</si>
  <si>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</si>
  <si>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</si>
  <si>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</si>
  <si>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</si>
  <si>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</si>
  <si>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</si>
  <si>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</si>
  <si>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</si>
  <si>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</si>
  <si>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</si>
  <si>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</si>
  <si>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</si>
  <si>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</si>
  <si>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</si>
  <si>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</si>
  <si>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</si>
  <si>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</si>
  <si>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</si>
  <si>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</si>
  <si>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</si>
  <si>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</si>
  <si>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</si>
  <si>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</si>
  <si>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</si>
  <si>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</si>
  <si>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</si>
  <si>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</si>
  <si>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</si>
  <si>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</si>
  <si>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</si>
  <si>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</si>
  <si>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</si>
  <si>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</si>
  <si>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</si>
  <si>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</si>
  <si>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</si>
  <si>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</si>
  <si>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</si>
  <si>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</si>
  <si>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</si>
  <si>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</si>
  <si>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</si>
  <si>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</si>
  <si>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</si>
  <si>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</si>
  <si>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</si>
  <si>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</si>
  <si>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</si>
  <si>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</si>
  <si>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</si>
  <si>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</si>
  <si>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</si>
  <si>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</si>
  <si>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</si>
  <si>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</si>
  <si>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</si>
  <si>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</si>
  <si>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</si>
  <si>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</si>
  <si>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</si>
  <si>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</si>
  <si>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</si>
  <si>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</si>
  <si>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</si>
  <si>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</si>
  <si>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</si>
  <si>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</si>
  <si>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</si>
  <si>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</si>
  <si>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</si>
  <si>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</si>
  <si>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</si>
  <si>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</si>
  <si>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</si>
  <si>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</si>
  <si>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</si>
  <si>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</si>
  <si>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</si>
  <si>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</si>
  <si>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</si>
  <si>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</si>
  <si>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</si>
  <si>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</si>
  <si>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</si>
  <si>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</si>
  <si>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</si>
  <si>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</si>
  <si>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</si>
  <si>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</si>
  <si>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</si>
  <si>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</si>
  <si>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</si>
  <si>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</si>
  <si>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</si>
  <si>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</si>
  <si>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</si>
  <si>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</si>
  <si>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</si>
  <si>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</si>
  <si>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</si>
  <si>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</si>
  <si>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</si>
  <si>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</si>
  <si>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</si>
  <si>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</si>
  <si>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</si>
  <si>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</si>
  <si>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</si>
  <si>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</si>
  <si>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</si>
  <si>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</si>
  <si>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</si>
  <si>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</si>
  <si>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</si>
  <si>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</si>
  <si>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</si>
  <si>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</si>
  <si>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</si>
  <si>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</si>
  <si>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</si>
  <si>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</si>
  <si>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</si>
  <si>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</si>
  <si>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</si>
  <si>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</si>
  <si>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</si>
  <si>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</si>
  <si>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</si>
  <si>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</si>
  <si>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</si>
  <si>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</si>
  <si>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</si>
  <si>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</si>
  <si>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</si>
  <si>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</si>
  <si>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</si>
  <si>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</si>
  <si>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uses wired carbon tax (revenue base: see notes)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</si>
  <si>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</si>
  <si>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</si>
  <si>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</si>
  <si>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</si>
  <si>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</si>
  <si>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</si>
  <si>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</si>
  <si>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</si>
  <si>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</si>
  <si>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</si>
  <si>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CPAT industry kernel - Egypt prototype v0.3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</si>
  <si>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</si>
  <si>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</si>
  <si>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</si>
  <si>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</t>
  </si>
  <si>
    <t>Kernel output against the values stored in CPAT_1_0pre_456 for the same rows; max absolute and relative differences. v0.3: plus CBAM block rows vs legacy (rows from 583).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</si>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</sst>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 applyFill="1"/>
    <xf numFmtId="169" fontId="21" fillId="0" borderId="0" xfId="0" applyNumberFormat="1" applyFont="1" applyFill="1"/>
    <xf numFmtId="43" fontId="21" fillId="0" borderId="0" xfId="0" applyNumberFormat="1" applyFont="1" applyFill="1"/>
    <xf numFmtId="169" fontId="17" fillId="0" borderId="0" xfId="0" applyNumberFormat="1" applyFont="1" applyFill="1"/>
    <xf numFmtId="1" fontId="21" fillId="0" borderId="0" xfId="0" applyNumberFormat="1" applyFont="1" applyFill="1"/>
    <xf numFmtId="0" fontId="17" fillId="0" borderId="0" xfId="0" applyFont="1" applyFill="1"/>
    <xf numFmtId="174" fontId="21" fillId="0" borderId="0" xfId="0" applyNumberFormat="1" applyFont="1" applyFill="1"/>
    <xf numFmtId="166" fontId="21" fillId="0" borderId="0" xfId="0" applyNumberFormat="1" applyFont="1" applyFill="1"/>
    <xf numFmtId="170" fontId="21" fillId="0" borderId="0" xfId="0" applyNumberFormat="1" applyFont="1" applyFill="1"/>
    <xf numFmtId="9" fontId="21" fillId="0" borderId="0" xfId="0" applyNumberFormat="1" applyFont="1" applyFill="1"/>
    <xf numFmtId="171" fontId="21" fillId="0" borderId="0" xfId="0" applyNumberFormat="1" applyFont="1" applyFill="1"/>
    <xf numFmtId="3" fontId="21" fillId="0" borderId="0" xfId="0" applyNumberFormat="1" applyFont="1" applyFill="1"/>
    <xf numFmtId="176" fontId="21" fillId="0" borderId="0" xfId="0" applyNumberFormat="1" applyFont="1" applyFill="1"/>
    <xf numFmtId="172" fontId="21" fillId="0" borderId="0" xfId="0" applyNumberFormat="1" applyFont="1" applyFill="1"/>
    <xf numFmtId="177" fontId="21" fillId="0" borderId="0" xfId="0" applyNumberFormat="1" applyFont="1" applyFill="1"/>
    <xf numFmtId="10" fontId="21" fillId="0" borderId="0" xfId="0" applyNumberFormat="1" applyFont="1" applyFill="1"/>
    <xf numFmtId="173" fontId="21" fillId="7" borderId="0" xfId="0" applyNumberFormat="1" applyFont="1" applyFill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Fill="1" applyAlignment="1">
      <alignment wrapText="1"/>
    </xf>
    <xf numFmtId="0" fontId="0" fillId="14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Normal="100" workbookViewId="0">
      <selection activeCell="A29" sqref="A29:XFD29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1715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1716</v>
      </c>
      <c r="C17" t="s">
        <v>1717</v>
      </c>
    </row>
    <row r="18" spans="1:3" x14ac:dyDescent="0.45">
      <c r="A18" s="5" t="s">
        <v>21</v>
      </c>
      <c r="C18" s="3" t="s">
        <v>1718</v>
      </c>
    </row>
    <row r="19" spans="1:3" x14ac:dyDescent="0.45">
      <c r="A19" s="5" t="s">
        <v>22</v>
      </c>
      <c r="C19" s="3" t="s">
        <v>23</v>
      </c>
    </row>
    <row r="20" spans="1:3" x14ac:dyDescent="0.45">
      <c r="A20" s="5" t="s">
        <v>24</v>
      </c>
      <c r="C20" s="3" t="s">
        <v>25</v>
      </c>
    </row>
    <row r="21" spans="1:3" x14ac:dyDescent="0.45">
      <c r="A21" s="5" t="s">
        <v>26</v>
      </c>
      <c r="C21" s="3" t="s">
        <v>1719</v>
      </c>
    </row>
    <row r="22" spans="1:3" x14ac:dyDescent="0.45">
      <c r="A22" s="5" t="s">
        <v>27</v>
      </c>
      <c r="C22" s="3" t="s">
        <v>28</v>
      </c>
    </row>
    <row r="23" spans="1:3" x14ac:dyDescent="0.45">
      <c r="A23" s="5" t="s">
        <v>29</v>
      </c>
      <c r="C23" s="3" t="s">
        <v>30</v>
      </c>
    </row>
    <row r="24" spans="1:3" x14ac:dyDescent="0.45">
      <c r="A24" s="5" t="s">
        <v>31</v>
      </c>
      <c r="C24" s="3" t="s">
        <v>1720</v>
      </c>
    </row>
    <row r="26" spans="1:3" x14ac:dyDescent="0.45">
      <c r="A26" s="52" t="s">
        <v>1306</v>
      </c>
    </row>
    <row r="27" spans="1:3" x14ac:dyDescent="0.45">
      <c r="A27" t="s">
        <v>1307</v>
      </c>
      <c r="C27" t="s">
        <v>1308</v>
      </c>
    </row>
    <row r="28" spans="1:3" x14ac:dyDescent="0.45">
      <c r="A28" t="s">
        <v>1309</v>
      </c>
      <c r="C28" t="s">
        <v>1310</v>
      </c>
    </row>
    <row r="29" spans="1:3" x14ac:dyDescent="0.45">
      <c r="A29" t="s">
        <v>1721</v>
      </c>
      <c r="C29" s="95" t="s">
        <v>1722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1412</v>
      </c>
      <c r="E21" s="62" t="b">
        <f>FALSE()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>SUM(H30:K30)</f>
        <v>0.73003000000000007</v>
      </c>
      <c r="M30" s="65">
        <v>0</v>
      </c>
      <c r="N30" s="59">
        <f>L30+M30</f>
        <v>0.73003000000000007</v>
      </c>
      <c r="O30" s="65">
        <v>0.25</v>
      </c>
      <c r="P30" s="66">
        <v>0</v>
      </c>
      <c r="Q30" s="59">
        <f>N30+O30</f>
        <v>0.98003000000000007</v>
      </c>
      <c r="R30" s="60">
        <f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>W30*(1+X30)</f>
        <v>2.0020000000000002</v>
      </c>
      <c r="Z30" s="65">
        <v>0.48099999999999998</v>
      </c>
      <c r="AA30" s="61">
        <f>R30-Y30</f>
        <v>-1.27197</v>
      </c>
      <c r="AB30" s="61">
        <f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>SUM(H31:K31)</f>
        <v>0.15525</v>
      </c>
      <c r="M31" s="65">
        <v>0</v>
      </c>
      <c r="N31" s="59">
        <f>L31+M31</f>
        <v>0.15525</v>
      </c>
      <c r="O31" s="65">
        <v>0.25</v>
      </c>
      <c r="P31" s="66">
        <v>0</v>
      </c>
      <c r="Q31" s="59">
        <f>N31+O31</f>
        <v>0.40525</v>
      </c>
      <c r="R31" s="60">
        <f>N31+O31*P31</f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>W31*(1+X31)</f>
        <v>0.79200000000000004</v>
      </c>
      <c r="Z31" s="65">
        <v>7.1999999999999995E-2</v>
      </c>
      <c r="AA31" s="61">
        <f>R31-Y31</f>
        <v>-0.63675000000000004</v>
      </c>
      <c r="AB31" s="61">
        <f>R31-Z31</f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>SUM(H32:K32)</f>
        <v>2.1720000000000002</v>
      </c>
      <c r="M32" s="65">
        <v>0</v>
      </c>
      <c r="N32" s="59">
        <f>L32+M32</f>
        <v>2.1720000000000002</v>
      </c>
      <c r="O32" s="65">
        <v>0.1875</v>
      </c>
      <c r="P32" s="66">
        <v>0</v>
      </c>
      <c r="Q32" s="59">
        <f>N32+O32</f>
        <v>2.3595000000000002</v>
      </c>
      <c r="R32" s="60">
        <f>N32+O32*P32</f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>W32*(1+X32)</f>
        <v>3.08</v>
      </c>
      <c r="Z32" s="65">
        <v>1.37</v>
      </c>
      <c r="AA32" s="61">
        <f>R32-Y32</f>
        <v>-0.90799999999999992</v>
      </c>
      <c r="AB32" s="61">
        <f>R32-Z32</f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>SUM(H33:K33)</f>
        <v>0.81430000000000002</v>
      </c>
      <c r="M33" s="65">
        <v>0</v>
      </c>
      <c r="N33" s="59">
        <f>L33+M33</f>
        <v>0.81430000000000002</v>
      </c>
      <c r="O33" s="65">
        <v>5.6250000000000001E-2</v>
      </c>
      <c r="P33" s="66">
        <v>1</v>
      </c>
      <c r="Q33" s="59">
        <f>N33+O33</f>
        <v>0.87055000000000005</v>
      </c>
      <c r="R33" s="60">
        <f>N33+O33*P33</f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>W33*(1+X33)</f>
        <v>1.7380000000000002</v>
      </c>
      <c r="Z33" s="65">
        <v>0.66600000000000004</v>
      </c>
      <c r="AA33" s="61">
        <f>R33-Y33</f>
        <v>-0.86745000000000017</v>
      </c>
      <c r="AB33" s="61">
        <f>R33-Z33</f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>SUM(H34:K34)</f>
        <v>1.8512999999999999</v>
      </c>
      <c r="M34" s="65">
        <v>0</v>
      </c>
      <c r="N34" s="59">
        <f>L34+M34</f>
        <v>1.8512999999999999</v>
      </c>
      <c r="O34" s="65">
        <v>3.7499999999999999E-2</v>
      </c>
      <c r="P34" s="66">
        <v>1</v>
      </c>
      <c r="Q34" s="59">
        <f>N34+O34</f>
        <v>1.8888</v>
      </c>
      <c r="R34" s="60">
        <f>N34+O34*P34</f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>W34*(1+X34)</f>
        <v>2.0705</v>
      </c>
      <c r="Z34" s="65">
        <v>1.484</v>
      </c>
      <c r="AA34" s="61">
        <f>R34-Y34</f>
        <v>-0.18169999999999997</v>
      </c>
      <c r="AB34" s="61">
        <f>R34-Z34</f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>SUM(H35:K35)</f>
        <v>-0.62080000000000002</v>
      </c>
      <c r="M35" s="65">
        <v>1.0709496000000001</v>
      </c>
      <c r="N35" s="59">
        <f>L35+M35</f>
        <v>0.45014960000000004</v>
      </c>
      <c r="O35" s="65">
        <v>3.7499999999999999E-2</v>
      </c>
      <c r="P35" s="66">
        <v>1</v>
      </c>
      <c r="Q35" s="59">
        <f>N35+O35</f>
        <v>0.48764960000000002</v>
      </c>
      <c r="R35" s="60">
        <f>N35+O35*P35</f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>W35*(1+X35)</f>
        <v>1.4038999999999999</v>
      </c>
      <c r="Z35" s="65">
        <v>0.90200000000000002</v>
      </c>
      <c r="AA35" s="61">
        <f>R35-Y35</f>
        <v>-0.91625039999999991</v>
      </c>
      <c r="AB35" s="61">
        <f>R35-Z35</f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>SUM(H36:K36)</f>
        <v>1.0822000000000001</v>
      </c>
      <c r="M36" s="65">
        <v>0.40137</v>
      </c>
      <c r="N36" s="59">
        <f>L36+M36</f>
        <v>1.4835700000000001</v>
      </c>
      <c r="O36" s="65">
        <v>4.3749999999999997E-2</v>
      </c>
      <c r="P36" s="66">
        <v>1</v>
      </c>
      <c r="Q36" s="59">
        <f>N36+O36</f>
        <v>1.52732</v>
      </c>
      <c r="R36" s="60">
        <f>N36+O36*P36</f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>W36*(1+X36)</f>
        <v>2.6664000000000003</v>
      </c>
      <c r="Z36" s="65">
        <v>0.30199999999999999</v>
      </c>
      <c r="AA36" s="61">
        <f>R36-Y36</f>
        <v>-1.1390800000000003</v>
      </c>
      <c r="AB36" s="61">
        <f>R36-Z36</f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>SUM(H37:K37)</f>
        <v>2.5059999999999998</v>
      </c>
      <c r="M37" s="65">
        <v>0</v>
      </c>
      <c r="N37" s="59">
        <f>L37+M37</f>
        <v>2.5059999999999998</v>
      </c>
      <c r="O37" s="65">
        <v>6.75</v>
      </c>
      <c r="P37" s="66">
        <v>0</v>
      </c>
      <c r="Q37" s="59">
        <f>N37+O37</f>
        <v>9.2560000000000002</v>
      </c>
      <c r="R37" s="60">
        <f>N37+O37*P37</f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>W37*(1+X37)</f>
        <v>2.2660000000000005</v>
      </c>
      <c r="Z37" s="65">
        <v>1.423</v>
      </c>
      <c r="AA37" s="61">
        <f>R37-Y37</f>
        <v>0.23999999999999932</v>
      </c>
      <c r="AB37" s="61">
        <f>R37-Z37</f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28" activePane="bottomRight" state="frozen"/>
      <selection pane="topRight" activeCell="E1" sqref="E1"/>
      <selection pane="bottomLeft" activeCell="A2" sqref="A2"/>
      <selection pane="bottomRight" activeCell="A644" sqref="A644:XFD644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1423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75"/>
      <c r="C246" s="73" t="s">
        <v>1424</v>
      </c>
      <c r="D246" s="73"/>
      <c r="E246" s="70"/>
      <c r="F246" s="70"/>
      <c r="G246" s="70"/>
      <c r="H246" s="70"/>
      <c r="I246" s="71"/>
      <c r="J246" s="71"/>
      <c r="K246" s="72"/>
      <c r="L246" s="74">
        <f>L340</f>
        <v>2022</v>
      </c>
      <c r="M246" s="74">
        <f>M340</f>
        <v>2023</v>
      </c>
      <c r="N246" s="74">
        <f>N340</f>
        <v>2024</v>
      </c>
      <c r="O246" s="74">
        <f>O340</f>
        <v>2025</v>
      </c>
      <c r="P246" s="74">
        <f>P340</f>
        <v>2026</v>
      </c>
      <c r="Q246" s="74">
        <f>Q340</f>
        <v>2027</v>
      </c>
      <c r="R246" s="74">
        <f>R340</f>
        <v>2028</v>
      </c>
      <c r="S246" s="74">
        <f>S340</f>
        <v>2029</v>
      </c>
      <c r="T246" s="74">
        <f>T340</f>
        <v>2030</v>
      </c>
      <c r="U246" s="74">
        <f>U340</f>
        <v>2031</v>
      </c>
      <c r="V246" s="74">
        <f>V340</f>
        <v>2032</v>
      </c>
      <c r="W246" s="74">
        <f>W340</f>
        <v>2033</v>
      </c>
      <c r="X246" s="74">
        <f>X340</f>
        <v>2034</v>
      </c>
      <c r="Y246" s="74">
        <f>Y340</f>
        <v>2035</v>
      </c>
      <c r="Z246" s="74">
        <f>Z340</f>
        <v>2036</v>
      </c>
      <c r="AA246" s="74">
        <f>AA340</f>
        <v>2037</v>
      </c>
      <c r="AB246" s="74">
        <f>AB340</f>
        <v>2038</v>
      </c>
      <c r="AC246" s="74">
        <f>AC340</f>
        <v>2039</v>
      </c>
      <c r="AD246" s="74">
        <f>AD340</f>
        <v>2040</v>
      </c>
      <c r="AE246" s="74">
        <f>AE340</f>
        <v>2041</v>
      </c>
      <c r="AF246" s="74"/>
      <c r="AG246" s="70"/>
      <c r="AH246" s="70"/>
      <c r="AI246" s="70"/>
    </row>
    <row r="247" spans="1:35" x14ac:dyDescent="0.45">
      <c r="A247" s="71"/>
      <c r="B247" s="75"/>
      <c r="C247" s="70"/>
      <c r="D247" s="73" t="s">
        <v>1425</v>
      </c>
      <c r="E247" s="71" t="s">
        <v>1416</v>
      </c>
      <c r="F247" s="71" t="s">
        <v>26</v>
      </c>
      <c r="G247" s="88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75"/>
      <c r="C248" s="70"/>
      <c r="D248" s="73" t="s">
        <v>1426</v>
      </c>
      <c r="E248" s="70" t="s">
        <v>1416</v>
      </c>
      <c r="F248" s="70" t="s">
        <v>26</v>
      </c>
      <c r="G248" s="89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75"/>
      <c r="C249" s="70"/>
      <c r="D249" s="73" t="s">
        <v>1427</v>
      </c>
      <c r="E249" s="70" t="s">
        <v>1428</v>
      </c>
      <c r="F249" s="70"/>
      <c r="G249" s="70"/>
      <c r="H249" s="70"/>
      <c r="I249" s="70"/>
      <c r="J249" s="70"/>
      <c r="K249" s="70"/>
      <c r="L249" s="86">
        <v>0</v>
      </c>
      <c r="M249" s="86">
        <v>0</v>
      </c>
      <c r="N249" s="86">
        <v>0</v>
      </c>
      <c r="O249" s="86">
        <v>0</v>
      </c>
      <c r="P249" s="86">
        <v>0</v>
      </c>
      <c r="Q249" s="86">
        <v>0</v>
      </c>
      <c r="R249" s="86">
        <v>0</v>
      </c>
      <c r="S249" s="86">
        <v>0</v>
      </c>
      <c r="T249" s="86">
        <v>0</v>
      </c>
      <c r="U249" s="86">
        <v>0</v>
      </c>
      <c r="V249" s="86">
        <v>0</v>
      </c>
      <c r="W249" s="86">
        <v>0</v>
      </c>
      <c r="X249" s="86">
        <v>0</v>
      </c>
      <c r="Y249" s="86">
        <v>0</v>
      </c>
      <c r="Z249" s="86">
        <v>0</v>
      </c>
      <c r="AA249" s="86">
        <v>0</v>
      </c>
      <c r="AB249" s="86">
        <v>0</v>
      </c>
      <c r="AC249" s="86">
        <v>0</v>
      </c>
      <c r="AD249" s="86">
        <v>0</v>
      </c>
      <c r="AE249" s="86">
        <v>0</v>
      </c>
      <c r="AF249" s="70"/>
      <c r="AG249" s="70"/>
      <c r="AH249" s="70"/>
      <c r="AI249" s="70"/>
    </row>
    <row r="250" spans="1:35" x14ac:dyDescent="0.45">
      <c r="A250" s="70"/>
      <c r="B250" s="75"/>
      <c r="C250" s="70"/>
      <c r="D250" s="73" t="s">
        <v>1429</v>
      </c>
      <c r="E250" s="70"/>
      <c r="F250" s="70"/>
      <c r="G250" s="70"/>
      <c r="H250" s="70"/>
      <c r="I250" s="70"/>
      <c r="J250" s="70"/>
      <c r="K250" s="87">
        <v>0</v>
      </c>
      <c r="L250" s="87">
        <v>0</v>
      </c>
      <c r="M250" s="87">
        <v>0</v>
      </c>
      <c r="N250" s="87">
        <v>0</v>
      </c>
      <c r="O250" s="87">
        <v>0</v>
      </c>
      <c r="P250" s="87">
        <v>0</v>
      </c>
      <c r="Q250" s="87">
        <v>0</v>
      </c>
      <c r="R250" s="87">
        <v>0</v>
      </c>
      <c r="S250" s="87">
        <v>0</v>
      </c>
      <c r="T250" s="87">
        <v>0</v>
      </c>
      <c r="U250" s="87">
        <v>0</v>
      </c>
      <c r="V250" s="87">
        <v>0</v>
      </c>
      <c r="W250" s="87">
        <v>0</v>
      </c>
      <c r="X250" s="87">
        <v>0</v>
      </c>
      <c r="Y250" s="87">
        <v>0</v>
      </c>
      <c r="Z250" s="87">
        <v>0</v>
      </c>
      <c r="AA250" s="87">
        <v>0</v>
      </c>
      <c r="AB250" s="87">
        <v>0</v>
      </c>
      <c r="AC250" s="87">
        <v>0</v>
      </c>
      <c r="AD250" s="87">
        <v>0</v>
      </c>
      <c r="AE250" s="87">
        <v>0</v>
      </c>
      <c r="AF250" s="70"/>
      <c r="AG250" s="70"/>
      <c r="AH250" s="70"/>
      <c r="AI250" s="70"/>
    </row>
    <row r="251" spans="1:35" x14ac:dyDescent="0.45">
      <c r="A251" s="70"/>
      <c r="B251" s="75"/>
      <c r="C251" s="70"/>
      <c r="D251" s="73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</row>
    <row r="252" spans="1:35" x14ac:dyDescent="0.45">
      <c r="A252" s="70"/>
      <c r="B252" s="70"/>
      <c r="C252" s="73" t="s">
        <v>1430</v>
      </c>
      <c r="D252" s="73"/>
      <c r="E252" s="71" t="s">
        <v>1431</v>
      </c>
      <c r="F252" s="71" t="s">
        <v>1432</v>
      </c>
      <c r="G252" s="71" t="s">
        <v>1405</v>
      </c>
      <c r="H252" s="71" t="s">
        <v>1433</v>
      </c>
      <c r="I252" s="71" t="s">
        <v>1434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6">
        <f>IF(AND($J$5&gt;1,INDEX(MTInputs!$F$8:$F$415,MATCH("MCovMch",MTInputs!$H$8:$H$415,0))),1,0)</f>
        <v>0</v>
      </c>
      <c r="F253" s="76">
        <f>IF(AND($J$5&gt;1,INDEX(MTInputs!$F$8:$F$415,MATCH("D_NewETS",MTInputs!$H$8:$H$415,0))="Yes"),IF(MTInputs!$F$107,1,0),0)</f>
        <v>0</v>
      </c>
      <c r="G253" s="76">
        <f>IF(MTInputs!$F$117,1,0)</f>
        <v>0</v>
      </c>
      <c r="H253" s="76">
        <f>G253*E253</f>
        <v>0</v>
      </c>
      <c r="I253" s="76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6">
        <f>IF(AND($J$5&gt;1,INDEX(MTInputs!$F$8:$F$415,MATCH("MCovIrn",MTInputs!$H$8:$H$415,0))),1,0)</f>
        <v>0</v>
      </c>
      <c r="F254" s="76">
        <f>IF(AND($J$5&gt;1,INDEX(MTInputs!$F$8:$F$415,MATCH("D_NewETS",MTInputs!$H$8:$H$415,0))="Yes"),IF(MTInputs!$F$108,1,0),0)</f>
        <v>0</v>
      </c>
      <c r="G254" s="76">
        <f>IF(MTInputs!$F$118,1,0)</f>
        <v>0</v>
      </c>
      <c r="H254" s="76">
        <f>G254*E254</f>
        <v>0</v>
      </c>
      <c r="I254" s="76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6">
        <f>IF(AND($J$5&gt;1,INDEX(MTInputs!$F$8:$F$415,MATCH("MCovNfm",MTInputs!$H$8:$H$415,0))),1,0)</f>
        <v>0</v>
      </c>
      <c r="F255" s="76">
        <f>IF(AND($J$5&gt;1,INDEX(MTInputs!$F$8:$F$415,MATCH("D_NewETS",MTInputs!$H$8:$H$415,0))="Yes"),IF(MTInputs!$F$109,1,0),0)</f>
        <v>0</v>
      </c>
      <c r="G255" s="76">
        <f>IF(MTInputs!$F$119,1,0)</f>
        <v>0</v>
      </c>
      <c r="H255" s="76">
        <f>G255*E255</f>
        <v>0</v>
      </c>
      <c r="I255" s="76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6">
        <f>IF(AND($J$5&gt;1,INDEX(MTInputs!$F$8:$F$415,MATCH("MCovMac",MTInputs!$H$8:$H$415,0))),1,0)</f>
        <v>0</v>
      </c>
      <c r="F256" s="76">
        <f>IF(AND($J$5&gt;1,INDEX(MTInputs!$F$8:$F$415,MATCH("D_NewETS",MTInputs!$H$8:$H$415,0))="Yes"),IF(MTInputs!$F$110,1,0),0)</f>
        <v>0</v>
      </c>
      <c r="G256" s="76">
        <f>IF(MTInputs!$F$120,1,0)</f>
        <v>0</v>
      </c>
      <c r="H256" s="76">
        <f>G256*E256</f>
        <v>0</v>
      </c>
      <c r="I256" s="76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6">
        <f>IF(AND($J$5&gt;1,INDEX(MTInputs!$F$8:$F$415,MATCH("MCovCem",MTInputs!$H$8:$H$415,0))),1,0)</f>
        <v>0</v>
      </c>
      <c r="F257" s="76">
        <f>IF(AND($J$5&gt;1,INDEX(MTInputs!$F$8:$F$415,MATCH("D_NewETS",MTInputs!$H$8:$H$415,0))="Yes"),IF(MTInputs!$F$111,1,0),0)</f>
        <v>0</v>
      </c>
      <c r="G257" s="76">
        <f>IF(MTInputs!$F$121,1,0)</f>
        <v>0</v>
      </c>
      <c r="H257" s="76">
        <f>G257*E257</f>
        <v>0</v>
      </c>
      <c r="I257" s="76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73"/>
      <c r="C258" s="73"/>
      <c r="D258" s="73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0"/>
      <c r="AH258" s="70"/>
      <c r="AI258" s="70"/>
    </row>
    <row r="259" spans="1:35" x14ac:dyDescent="0.45">
      <c r="A259" s="70"/>
      <c r="B259" s="73"/>
      <c r="C259" s="73"/>
      <c r="D259" s="73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0"/>
      <c r="AH259" s="70"/>
      <c r="AI259" s="70"/>
    </row>
    <row r="260" spans="1:35" x14ac:dyDescent="0.45">
      <c r="A260" s="70"/>
      <c r="B260" s="73"/>
      <c r="C260" s="73"/>
      <c r="D260" s="73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0"/>
      <c r="AH260" s="70"/>
      <c r="AI260" s="70"/>
    </row>
    <row r="261" spans="1:35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2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75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75"/>
      <c r="C263" s="75"/>
      <c r="D263" s="75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3" t="s">
        <v>1331</v>
      </c>
      <c r="N263" s="93" t="s">
        <v>1332</v>
      </c>
      <c r="O263" s="70" t="s">
        <v>1333</v>
      </c>
      <c r="P263" s="93" t="s">
        <v>1334</v>
      </c>
      <c r="Q263" s="93" t="s">
        <v>1335</v>
      </c>
      <c r="R263" s="93" t="s">
        <v>1336</v>
      </c>
      <c r="S263" s="93" t="s">
        <v>1337</v>
      </c>
      <c r="T263" s="93" t="s">
        <v>1338</v>
      </c>
      <c r="U263" s="93" t="s">
        <v>1339</v>
      </c>
      <c r="V263" s="93" t="s">
        <v>1340</v>
      </c>
      <c r="W263" s="93" t="s">
        <v>1341</v>
      </c>
      <c r="X263" s="93" t="s">
        <v>1342</v>
      </c>
      <c r="Y263" s="93" t="s">
        <v>1343</v>
      </c>
      <c r="Z263" s="93" t="s">
        <v>1344</v>
      </c>
      <c r="AA263" s="93" t="s">
        <v>1345</v>
      </c>
      <c r="AB263" s="93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75"/>
      <c r="C264" s="75"/>
      <c r="D264" s="75" t="s">
        <v>1350</v>
      </c>
      <c r="E264" s="70" t="s">
        <v>1351</v>
      </c>
      <c r="F264" s="70" t="s">
        <v>1352</v>
      </c>
      <c r="G264" s="70" t="s">
        <v>1353</v>
      </c>
      <c r="H264" s="77">
        <f>'Manual inputs'!H$30</f>
        <v>0.12903000000000001</v>
      </c>
      <c r="I264" s="77">
        <f>'Manual inputs'!I$30</f>
        <v>0.56100000000000005</v>
      </c>
      <c r="J264" s="77">
        <f>'Manual inputs'!J$30</f>
        <v>0.04</v>
      </c>
      <c r="K264" s="77">
        <f>'Manual inputs'!K$30</f>
        <v>0</v>
      </c>
      <c r="L264" s="77">
        <f>SUM(H264:K264)</f>
        <v>0.73003000000000007</v>
      </c>
      <c r="M264" s="77">
        <f>'Manual inputs'!M$30</f>
        <v>0</v>
      </c>
      <c r="N264" s="77">
        <f>'Manual inputs'!N$30</f>
        <v>0.73003000000000007</v>
      </c>
      <c r="O264" s="77">
        <f>'Manual inputs'!O$30</f>
        <v>0.25</v>
      </c>
      <c r="P264" s="70">
        <f>'Manual inputs'!P$30</f>
        <v>0</v>
      </c>
      <c r="Q264" s="77">
        <f>N264+O264</f>
        <v>0.98003000000000007</v>
      </c>
      <c r="R264" s="77">
        <f>N264+O264*P264</f>
        <v>0.73003000000000007</v>
      </c>
      <c r="S264" s="78">
        <f>'Manual inputs'!S$30</f>
        <v>5</v>
      </c>
      <c r="T264" s="78">
        <f>'Manual inputs'!T$30</f>
        <v>56.1</v>
      </c>
      <c r="U264" s="78">
        <f>'Manual inputs'!U$30</f>
        <v>24</v>
      </c>
      <c r="V264" s="78">
        <f>'Manual inputs'!V$30</f>
        <v>56.1</v>
      </c>
      <c r="W264" s="77">
        <f>'Manual inputs'!W$30</f>
        <v>1.82</v>
      </c>
      <c r="X264" s="79">
        <f>'Manual inputs'!X$30</f>
        <v>0.1</v>
      </c>
      <c r="Y264" s="77">
        <f>'Manual inputs'!Y$30</f>
        <v>2.0020000000000002</v>
      </c>
      <c r="Z264" s="77">
        <f>'Manual inputs'!Z$30</f>
        <v>0.48099999999999998</v>
      </c>
      <c r="AA264" s="80">
        <f>'Manual inputs'!AA$30</f>
        <v>-1.27197</v>
      </c>
      <c r="AB264" s="80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75"/>
      <c r="C265" s="75"/>
      <c r="D265" s="75" t="s">
        <v>1357</v>
      </c>
      <c r="E265" s="70" t="s">
        <v>1351</v>
      </c>
      <c r="F265" s="70" t="s">
        <v>1358</v>
      </c>
      <c r="G265" s="70" t="s">
        <v>1359</v>
      </c>
      <c r="H265" s="77">
        <f>'Manual inputs'!H$31</f>
        <v>0.14025000000000001</v>
      </c>
      <c r="I265" s="77">
        <f>'Manual inputs'!I$31</f>
        <v>0</v>
      </c>
      <c r="J265" s="77">
        <f>'Manual inputs'!J$31</f>
        <v>1.4999999999999999E-2</v>
      </c>
      <c r="K265" s="77">
        <f>'Manual inputs'!K$31</f>
        <v>0</v>
      </c>
      <c r="L265" s="77">
        <f>SUM(H265:K265)</f>
        <v>0.15525</v>
      </c>
      <c r="M265" s="77">
        <f>'Manual inputs'!M$31</f>
        <v>0</v>
      </c>
      <c r="N265" s="77">
        <f>'Manual inputs'!N$31</f>
        <v>0.15525</v>
      </c>
      <c r="O265" s="77">
        <f>'Manual inputs'!O$31</f>
        <v>0.25</v>
      </c>
      <c r="P265" s="70">
        <f>'Manual inputs'!P$31</f>
        <v>0</v>
      </c>
      <c r="Q265" s="77">
        <f>N265+O265</f>
        <v>0.40525</v>
      </c>
      <c r="R265" s="77">
        <f>N265+O265*P265</f>
        <v>0.15525</v>
      </c>
      <c r="S265" s="78">
        <f>'Manual inputs'!S$31</f>
        <v>2.5</v>
      </c>
      <c r="T265" s="78">
        <f>'Manual inputs'!T$31</f>
        <v>56.1</v>
      </c>
      <c r="U265" s="78">
        <f>'Manual inputs'!U$31</f>
        <v>0</v>
      </c>
      <c r="V265" s="78">
        <f>'Manual inputs'!V$31</f>
        <v>0</v>
      </c>
      <c r="W265" s="77">
        <f>'Manual inputs'!W$31</f>
        <v>0.72</v>
      </c>
      <c r="X265" s="79">
        <f>'Manual inputs'!X$31</f>
        <v>0.1</v>
      </c>
      <c r="Y265" s="77">
        <f>'Manual inputs'!Y$31</f>
        <v>0.79200000000000004</v>
      </c>
      <c r="Z265" s="77">
        <f>'Manual inputs'!Z$31</f>
        <v>7.1999999999999995E-2</v>
      </c>
      <c r="AA265" s="80">
        <f>'Manual inputs'!AA$31</f>
        <v>-0.63675000000000004</v>
      </c>
      <c r="AB265" s="80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75"/>
      <c r="C266" s="75"/>
      <c r="D266" s="75" t="s">
        <v>1363</v>
      </c>
      <c r="E266" s="70" t="s">
        <v>1351</v>
      </c>
      <c r="F266" s="70" t="s">
        <v>1364</v>
      </c>
      <c r="G266" s="70" t="s">
        <v>1365</v>
      </c>
      <c r="H266" s="77">
        <f>'Manual inputs'!H$32</f>
        <v>0.38440000000000002</v>
      </c>
      <c r="I266" s="77">
        <f>'Manual inputs'!I$32</f>
        <v>1.5376000000000001</v>
      </c>
      <c r="J266" s="77">
        <f>'Manual inputs'!J$32</f>
        <v>0.25</v>
      </c>
      <c r="K266" s="77">
        <f>'Manual inputs'!K$32</f>
        <v>0</v>
      </c>
      <c r="L266" s="77">
        <f>SUM(H266:K266)</f>
        <v>2.1720000000000002</v>
      </c>
      <c r="M266" s="77">
        <f>'Manual inputs'!M$32</f>
        <v>0</v>
      </c>
      <c r="N266" s="77">
        <f>'Manual inputs'!N$32</f>
        <v>2.1720000000000002</v>
      </c>
      <c r="O266" s="77">
        <f>'Manual inputs'!O$32</f>
        <v>0.1875</v>
      </c>
      <c r="P266" s="70">
        <f>'Manual inputs'!P$32</f>
        <v>0</v>
      </c>
      <c r="Q266" s="77">
        <f>N266+O266</f>
        <v>2.3595000000000002</v>
      </c>
      <c r="R266" s="77">
        <f>N266+O266*P266</f>
        <v>2.1720000000000002</v>
      </c>
      <c r="S266" s="78">
        <f>'Manual inputs'!S$32</f>
        <v>4</v>
      </c>
      <c r="T266" s="78">
        <f>'Manual inputs'!T$32</f>
        <v>96.1</v>
      </c>
      <c r="U266" s="78">
        <f>'Manual inputs'!U$32</f>
        <v>16</v>
      </c>
      <c r="V266" s="78">
        <f>'Manual inputs'!V$32</f>
        <v>96.1</v>
      </c>
      <c r="W266" s="77">
        <f>'Manual inputs'!W$32</f>
        <v>2.8</v>
      </c>
      <c r="X266" s="79">
        <f>'Manual inputs'!X$32</f>
        <v>0.1</v>
      </c>
      <c r="Y266" s="77">
        <f>'Manual inputs'!Y$32</f>
        <v>3.08</v>
      </c>
      <c r="Z266" s="77">
        <f>'Manual inputs'!Z$32</f>
        <v>1.37</v>
      </c>
      <c r="AA266" s="80">
        <f>'Manual inputs'!AA$32</f>
        <v>-0.90799999999999992</v>
      </c>
      <c r="AB266" s="80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75"/>
      <c r="C267" s="75"/>
      <c r="D267" s="75" t="s">
        <v>1369</v>
      </c>
      <c r="E267" s="70" t="s">
        <v>1370</v>
      </c>
      <c r="F267" s="70" t="s">
        <v>1371</v>
      </c>
      <c r="G267" s="70" t="s">
        <v>1372</v>
      </c>
      <c r="H267" s="77">
        <f>'Manual inputs'!H$33</f>
        <v>0.2883</v>
      </c>
      <c r="I267" s="77">
        <f>'Manual inputs'!I$33</f>
        <v>0</v>
      </c>
      <c r="J267" s="77">
        <f>'Manual inputs'!J$33</f>
        <v>0.52600000000000002</v>
      </c>
      <c r="K267" s="77">
        <f>'Manual inputs'!K$33</f>
        <v>0</v>
      </c>
      <c r="L267" s="77">
        <f>SUM(H267:K267)</f>
        <v>0.81430000000000002</v>
      </c>
      <c r="M267" s="77">
        <f>'Manual inputs'!M$33</f>
        <v>0</v>
      </c>
      <c r="N267" s="77">
        <f>'Manual inputs'!N$33</f>
        <v>0.81430000000000002</v>
      </c>
      <c r="O267" s="77">
        <f>'Manual inputs'!O$33</f>
        <v>5.6250000000000001E-2</v>
      </c>
      <c r="P267" s="70">
        <f>'Manual inputs'!P$33</f>
        <v>1</v>
      </c>
      <c r="Q267" s="77">
        <f>N267+O267</f>
        <v>0.87055000000000005</v>
      </c>
      <c r="R267" s="77">
        <f>N267+O267*P267</f>
        <v>0.87055000000000005</v>
      </c>
      <c r="S267" s="78">
        <f>'Manual inputs'!S$33</f>
        <v>3</v>
      </c>
      <c r="T267" s="78">
        <f>'Manual inputs'!T$33</f>
        <v>96.1</v>
      </c>
      <c r="U267" s="78">
        <f>'Manual inputs'!U$33</f>
        <v>0</v>
      </c>
      <c r="V267" s="78">
        <f>'Manual inputs'!V$33</f>
        <v>0</v>
      </c>
      <c r="W267" s="77">
        <f>'Manual inputs'!W$33</f>
        <v>1.58</v>
      </c>
      <c r="X267" s="79">
        <f>'Manual inputs'!X$33</f>
        <v>0.1</v>
      </c>
      <c r="Y267" s="77">
        <f>'Manual inputs'!Y$33</f>
        <v>1.7380000000000002</v>
      </c>
      <c r="Z267" s="77">
        <f>'Manual inputs'!Z$33</f>
        <v>0.66600000000000004</v>
      </c>
      <c r="AA267" s="80">
        <f>'Manual inputs'!AA$33</f>
        <v>-0.86745000000000017</v>
      </c>
      <c r="AB267" s="80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75"/>
      <c r="C268" s="75"/>
      <c r="D268" s="75" t="s">
        <v>1376</v>
      </c>
      <c r="E268" s="70" t="s">
        <v>1377</v>
      </c>
      <c r="F268" s="70" t="s">
        <v>1378</v>
      </c>
      <c r="G268" s="70" t="s">
        <v>1379</v>
      </c>
      <c r="H268" s="77">
        <f>'Manual inputs'!H$34</f>
        <v>0.39269999999999999</v>
      </c>
      <c r="I268" s="77">
        <f>'Manual inputs'!I$34</f>
        <v>1.4585999999999999</v>
      </c>
      <c r="J268" s="77">
        <f>'Manual inputs'!J$34</f>
        <v>0</v>
      </c>
      <c r="K268" s="77">
        <f>'Manual inputs'!K$34</f>
        <v>0</v>
      </c>
      <c r="L268" s="77">
        <f>SUM(H268:K268)</f>
        <v>1.8512999999999999</v>
      </c>
      <c r="M268" s="77">
        <f>'Manual inputs'!M$34</f>
        <v>0</v>
      </c>
      <c r="N268" s="77">
        <f>'Manual inputs'!N$34</f>
        <v>1.8512999999999999</v>
      </c>
      <c r="O268" s="77">
        <f>'Manual inputs'!O$34</f>
        <v>3.7499999999999999E-2</v>
      </c>
      <c r="P268" s="70">
        <f>'Manual inputs'!P$34</f>
        <v>1</v>
      </c>
      <c r="Q268" s="77">
        <f>N268+O268</f>
        <v>1.8888</v>
      </c>
      <c r="R268" s="77">
        <f>N268+O268*P268</f>
        <v>1.8888</v>
      </c>
      <c r="S268" s="78">
        <f>'Manual inputs'!S$34</f>
        <v>7</v>
      </c>
      <c r="T268" s="78">
        <f>'Manual inputs'!T$34</f>
        <v>56.1</v>
      </c>
      <c r="U268" s="78">
        <f>'Manual inputs'!U$34</f>
        <v>26</v>
      </c>
      <c r="V268" s="78">
        <f>'Manual inputs'!V$34</f>
        <v>56.1</v>
      </c>
      <c r="W268" s="77">
        <f>'Manual inputs'!W$34</f>
        <v>2.0499999999999998</v>
      </c>
      <c r="X268" s="79">
        <f>'Manual inputs'!X$34</f>
        <v>0.01</v>
      </c>
      <c r="Y268" s="77">
        <f>'Manual inputs'!Y$34</f>
        <v>2.0705</v>
      </c>
      <c r="Z268" s="77">
        <f>'Manual inputs'!Z$34</f>
        <v>1.484</v>
      </c>
      <c r="AA268" s="80">
        <f>'Manual inputs'!AA$34</f>
        <v>-0.18169999999999997</v>
      </c>
      <c r="AB268" s="80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75"/>
      <c r="C269" s="75"/>
      <c r="D269" s="75" t="s">
        <v>1383</v>
      </c>
      <c r="E269" s="70" t="s">
        <v>1384</v>
      </c>
      <c r="F269" s="70" t="s">
        <v>1385</v>
      </c>
      <c r="G269" s="70" t="s">
        <v>1386</v>
      </c>
      <c r="H269" s="77">
        <f>'Manual inputs'!H$35</f>
        <v>0.11219999999999999</v>
      </c>
      <c r="I269" s="77">
        <f>'Manual inputs'!I$35</f>
        <v>0</v>
      </c>
      <c r="J269" s="77">
        <f>'Manual inputs'!J$35</f>
        <v>-0.73299999999999998</v>
      </c>
      <c r="K269" s="77">
        <f>'Manual inputs'!K$35</f>
        <v>0</v>
      </c>
      <c r="L269" s="77">
        <f>SUM(H269:K269)</f>
        <v>-0.62080000000000002</v>
      </c>
      <c r="M269" s="77">
        <f>'Manual inputs'!M$35</f>
        <v>1.0709496000000001</v>
      </c>
      <c r="N269" s="77">
        <f>'Manual inputs'!N$35</f>
        <v>0.45014960000000004</v>
      </c>
      <c r="O269" s="77">
        <f>'Manual inputs'!O$35</f>
        <v>3.7499999999999999E-2</v>
      </c>
      <c r="P269" s="70">
        <f>'Manual inputs'!P$35</f>
        <v>1</v>
      </c>
      <c r="Q269" s="77">
        <f>N269+O269</f>
        <v>0.48764960000000002</v>
      </c>
      <c r="R269" s="77">
        <f>N269+O269*P269</f>
        <v>0.48764960000000002</v>
      </c>
      <c r="S269" s="78">
        <f>'Manual inputs'!S$35</f>
        <v>2</v>
      </c>
      <c r="T269" s="78">
        <f>'Manual inputs'!T$35</f>
        <v>56.1</v>
      </c>
      <c r="U269" s="78">
        <f>'Manual inputs'!U$35</f>
        <v>0</v>
      </c>
      <c r="V269" s="78">
        <f>'Manual inputs'!V$35</f>
        <v>0</v>
      </c>
      <c r="W269" s="77">
        <f>'Manual inputs'!W$35</f>
        <v>1.39</v>
      </c>
      <c r="X269" s="79">
        <f>'Manual inputs'!X$35</f>
        <v>0.01</v>
      </c>
      <c r="Y269" s="77">
        <f>'Manual inputs'!Y$35</f>
        <v>1.4038999999999999</v>
      </c>
      <c r="Z269" s="77">
        <f>'Manual inputs'!Z$35</f>
        <v>0.90200000000000002</v>
      </c>
      <c r="AA269" s="80">
        <f>'Manual inputs'!AA$35</f>
        <v>-0.91625039999999991</v>
      </c>
      <c r="AB269" s="80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75"/>
      <c r="C270" s="75"/>
      <c r="D270" s="75" t="s">
        <v>1390</v>
      </c>
      <c r="E270" s="70" t="s">
        <v>1391</v>
      </c>
      <c r="F270" s="70" t="s">
        <v>1392</v>
      </c>
      <c r="G270" s="70" t="s">
        <v>1393</v>
      </c>
      <c r="H270" s="77">
        <f>'Manual inputs'!H$36</f>
        <v>0.11219999999999999</v>
      </c>
      <c r="I270" s="77">
        <f>'Manual inputs'!I$36</f>
        <v>0</v>
      </c>
      <c r="J270" s="77">
        <f>'Manual inputs'!J$36</f>
        <v>0</v>
      </c>
      <c r="K270" s="77">
        <f>'Manual inputs'!K$36</f>
        <v>0.97</v>
      </c>
      <c r="L270" s="77">
        <f>SUM(H270:K270)</f>
        <v>1.0822000000000001</v>
      </c>
      <c r="M270" s="77">
        <f>'Manual inputs'!M$36</f>
        <v>0.40137</v>
      </c>
      <c r="N270" s="77">
        <f>'Manual inputs'!N$36</f>
        <v>1.4835700000000001</v>
      </c>
      <c r="O270" s="77">
        <f>'Manual inputs'!O$36</f>
        <v>4.3749999999999997E-2</v>
      </c>
      <c r="P270" s="70">
        <f>'Manual inputs'!P$36</f>
        <v>1</v>
      </c>
      <c r="Q270" s="77">
        <f>N270+O270</f>
        <v>1.52732</v>
      </c>
      <c r="R270" s="77">
        <f>N270+O270*P270</f>
        <v>1.52732</v>
      </c>
      <c r="S270" s="78">
        <f>'Manual inputs'!S$36</f>
        <v>2</v>
      </c>
      <c r="T270" s="78">
        <f>'Manual inputs'!T$36</f>
        <v>56.1</v>
      </c>
      <c r="U270" s="78">
        <f>'Manual inputs'!U$36</f>
        <v>0</v>
      </c>
      <c r="V270" s="78">
        <f>'Manual inputs'!V$36</f>
        <v>0</v>
      </c>
      <c r="W270" s="77">
        <f>'Manual inputs'!W$36</f>
        <v>2.64</v>
      </c>
      <c r="X270" s="79">
        <f>'Manual inputs'!X$36</f>
        <v>0.01</v>
      </c>
      <c r="Y270" s="77">
        <f>'Manual inputs'!Y$36</f>
        <v>2.6664000000000003</v>
      </c>
      <c r="Z270" s="77">
        <f>'Manual inputs'!Z$36</f>
        <v>0.30199999999999999</v>
      </c>
      <c r="AA270" s="80">
        <f>'Manual inputs'!AA$36</f>
        <v>-1.1390800000000003</v>
      </c>
      <c r="AB270" s="80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75"/>
      <c r="C271" s="75"/>
      <c r="D271" s="75" t="s">
        <v>1397</v>
      </c>
      <c r="E271" s="70" t="s">
        <v>1398</v>
      </c>
      <c r="F271" s="70" t="s">
        <v>1399</v>
      </c>
      <c r="G271" s="70" t="s">
        <v>1400</v>
      </c>
      <c r="H271" s="77">
        <f>'Manual inputs'!H$37</f>
        <v>0.156</v>
      </c>
      <c r="I271" s="77">
        <f>'Manual inputs'!I$37</f>
        <v>0</v>
      </c>
      <c r="J271" s="77">
        <f>'Manual inputs'!J$37</f>
        <v>1.5</v>
      </c>
      <c r="K271" s="77">
        <f>'Manual inputs'!K$37</f>
        <v>0.85</v>
      </c>
      <c r="L271" s="77">
        <f>SUM(H271:K271)</f>
        <v>2.5059999999999998</v>
      </c>
      <c r="M271" s="77">
        <f>'Manual inputs'!M$37</f>
        <v>0</v>
      </c>
      <c r="N271" s="77">
        <f>'Manual inputs'!N$37</f>
        <v>2.5059999999999998</v>
      </c>
      <c r="O271" s="77">
        <f>'Manual inputs'!O$37</f>
        <v>6.75</v>
      </c>
      <c r="P271" s="70">
        <f>'Manual inputs'!P$37</f>
        <v>0</v>
      </c>
      <c r="Q271" s="77">
        <f>N271+O271</f>
        <v>9.2560000000000002</v>
      </c>
      <c r="R271" s="77">
        <f>N271+O271*P271</f>
        <v>2.5059999999999998</v>
      </c>
      <c r="S271" s="78">
        <f>'Manual inputs'!S$37</f>
        <v>2</v>
      </c>
      <c r="T271" s="78">
        <f>'Manual inputs'!T$37</f>
        <v>78</v>
      </c>
      <c r="U271" s="78">
        <f>'Manual inputs'!U$37</f>
        <v>0</v>
      </c>
      <c r="V271" s="78">
        <f>'Manual inputs'!V$37</f>
        <v>0</v>
      </c>
      <c r="W271" s="77">
        <f>'Manual inputs'!W$37</f>
        <v>2.06</v>
      </c>
      <c r="X271" s="79">
        <f>'Manual inputs'!X$37</f>
        <v>0.1</v>
      </c>
      <c r="Y271" s="77">
        <f>'Manual inputs'!Y$37</f>
        <v>2.2660000000000005</v>
      </c>
      <c r="Z271" s="77">
        <f>'Manual inputs'!Z$37</f>
        <v>1.423</v>
      </c>
      <c r="AA271" s="80">
        <f>'Manual inputs'!AA$37</f>
        <v>0.23999999999999932</v>
      </c>
      <c r="AB271" s="80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5"/>
      <c r="C272" s="75"/>
      <c r="D272" s="70"/>
      <c r="E272" s="70"/>
      <c r="F272" s="70"/>
      <c r="G272" s="70"/>
      <c r="H272" s="70"/>
      <c r="I272" s="70"/>
      <c r="J272" s="70"/>
      <c r="K272" s="72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</row>
    <row r="273" spans="1:35" x14ac:dyDescent="0.45">
      <c r="A273" s="70"/>
      <c r="B273" s="75"/>
      <c r="C273" s="75"/>
      <c r="D273" s="70"/>
      <c r="E273" s="70"/>
      <c r="F273" s="70"/>
      <c r="G273" s="70"/>
      <c r="H273" s="70"/>
      <c r="I273" s="70"/>
      <c r="J273" s="70"/>
      <c r="K273" s="72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75"/>
      <c r="C274" s="73" t="s">
        <v>1435</v>
      </c>
      <c r="D274" s="73"/>
      <c r="E274" s="70"/>
      <c r="F274" s="70" t="s">
        <v>1436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75"/>
      <c r="C275" s="71"/>
      <c r="D275" s="73"/>
      <c r="E275" s="71"/>
      <c r="F275" s="70" t="s">
        <v>1437</v>
      </c>
      <c r="G275" s="70" t="s">
        <v>1438</v>
      </c>
      <c r="H275" s="70" t="s">
        <v>1439</v>
      </c>
      <c r="I275" s="70" t="s">
        <v>1440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75"/>
      <c r="C276" s="71"/>
      <c r="D276" s="75" t="s">
        <v>1350</v>
      </c>
      <c r="E276" s="70" t="s">
        <v>1441</v>
      </c>
      <c r="F276" s="90">
        <v>5100</v>
      </c>
      <c r="G276" s="91">
        <v>4.3999999999999997E-2</v>
      </c>
      <c r="H276" s="81"/>
      <c r="I276" s="90">
        <v>580</v>
      </c>
      <c r="J276" s="71"/>
      <c r="K276" s="72"/>
      <c r="L276" s="72">
        <f>M276/(1+G276)</f>
        <v>4679.1738230501605</v>
      </c>
      <c r="M276" s="72">
        <f>N276/(1+G276)</f>
        <v>4885.0574712643675</v>
      </c>
      <c r="N276" s="92">
        <f>IF(UPPER(Settings!$B$3)="EGY",F276,0)</f>
        <v>5100</v>
      </c>
      <c r="O276" s="72">
        <f>N276*(1+G276)</f>
        <v>5324.4000000000005</v>
      </c>
      <c r="P276" s="72">
        <f>O276*(1+G276)</f>
        <v>5558.673600000001</v>
      </c>
      <c r="Q276" s="72">
        <f>P276*(1+G276)</f>
        <v>5803.255238400001</v>
      </c>
      <c r="R276" s="72">
        <f>Q276*(1+G276)</f>
        <v>6058.5984688896015</v>
      </c>
      <c r="S276" s="72">
        <f>R276*(1+G276)</f>
        <v>6325.1768015207444</v>
      </c>
      <c r="T276" s="72">
        <f>S276*(1+G276)</f>
        <v>6603.4845807876573</v>
      </c>
      <c r="U276" s="72">
        <f>T276*(1+G276)</f>
        <v>6894.0379023423147</v>
      </c>
      <c r="V276" s="72">
        <f>U276*(1+G276)</f>
        <v>7197.3755700453767</v>
      </c>
      <c r="W276" s="72">
        <f>V276*(1+G276)</f>
        <v>7514.0600951273736</v>
      </c>
      <c r="X276" s="72">
        <f>W276*(1+G276)</f>
        <v>7844.678739312978</v>
      </c>
      <c r="Y276" s="72">
        <f>X276*(1+G276)</f>
        <v>8189.8446038427492</v>
      </c>
      <c r="Z276" s="72">
        <f>Y276*(1+G276)</f>
        <v>8550.1977664118313</v>
      </c>
      <c r="AA276" s="72">
        <f>Z276*(1+G276)</f>
        <v>8926.4064681339514</v>
      </c>
      <c r="AB276" s="72">
        <f>AA276*(1+G276)</f>
        <v>9319.1683527318455</v>
      </c>
      <c r="AC276" s="72">
        <f>AB276*(1+G276)</f>
        <v>9729.2117602520466</v>
      </c>
      <c r="AD276" s="72">
        <f>AC276*(1+G276)</f>
        <v>10157.297077703137</v>
      </c>
      <c r="AE276" s="72">
        <f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75"/>
      <c r="C277" s="71"/>
      <c r="D277" s="75" t="s">
        <v>1357</v>
      </c>
      <c r="E277" s="70" t="s">
        <v>1441</v>
      </c>
      <c r="F277" s="90">
        <v>4800</v>
      </c>
      <c r="G277" s="91">
        <v>4.3999999999999997E-2</v>
      </c>
      <c r="H277" s="81"/>
      <c r="I277" s="90">
        <v>300</v>
      </c>
      <c r="J277" s="71"/>
      <c r="K277" s="72"/>
      <c r="L277" s="72">
        <f>M277/(1+G277)</f>
        <v>4403.9283040472101</v>
      </c>
      <c r="M277" s="72">
        <f>N277/(1+G277)</f>
        <v>4597.7011494252874</v>
      </c>
      <c r="N277" s="92">
        <f>IF(UPPER(Settings!$B$3)="EGY",F277,0)</f>
        <v>4800</v>
      </c>
      <c r="O277" s="72">
        <f>N277*(1+G277)</f>
        <v>5011.2</v>
      </c>
      <c r="P277" s="72">
        <f>O277*(1+G277)</f>
        <v>5231.6927999999998</v>
      </c>
      <c r="Q277" s="72">
        <f>P277*(1+G277)</f>
        <v>5461.8872831999997</v>
      </c>
      <c r="R277" s="72">
        <f>Q277*(1+G277)</f>
        <v>5702.2103236608</v>
      </c>
      <c r="S277" s="72">
        <f>R277*(1+G277)</f>
        <v>5953.1075779018756</v>
      </c>
      <c r="T277" s="72">
        <f>S277*(1+G277)</f>
        <v>6215.0443113295587</v>
      </c>
      <c r="U277" s="72">
        <f>T277*(1+G277)</f>
        <v>6488.5062610280593</v>
      </c>
      <c r="V277" s="72">
        <f>U277*(1+G277)</f>
        <v>6774.0005365132938</v>
      </c>
      <c r="W277" s="72">
        <f>V277*(1+G277)</f>
        <v>7072.0565601198787</v>
      </c>
      <c r="X277" s="72">
        <f>W277*(1+G277)</f>
        <v>7383.227048765154</v>
      </c>
      <c r="Y277" s="72">
        <f>X277*(1+G277)</f>
        <v>7708.0890389108208</v>
      </c>
      <c r="Z277" s="72">
        <f>Y277*(1+G277)</f>
        <v>8047.244956622897</v>
      </c>
      <c r="AA277" s="72">
        <f>Z277*(1+G277)</f>
        <v>8401.323734714304</v>
      </c>
      <c r="AB277" s="72">
        <f>AA277*(1+G277)</f>
        <v>8770.9819790417332</v>
      </c>
      <c r="AC277" s="72">
        <f>AB277*(1+G277)</f>
        <v>9156.9051861195694</v>
      </c>
      <c r="AD277" s="72">
        <f>AC277*(1+G277)</f>
        <v>9559.8090143088302</v>
      </c>
      <c r="AE277" s="72">
        <f>AD277*(1+G277)</f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75" t="s">
        <v>1363</v>
      </c>
      <c r="E278" s="70" t="s">
        <v>1441</v>
      </c>
      <c r="F278" s="90">
        <v>0</v>
      </c>
      <c r="G278" s="91">
        <v>0</v>
      </c>
      <c r="H278" s="81"/>
      <c r="I278" s="90">
        <v>0</v>
      </c>
      <c r="J278" s="71"/>
      <c r="K278" s="72"/>
      <c r="L278" s="72">
        <f>M278/(1+G278)</f>
        <v>0</v>
      </c>
      <c r="M278" s="72">
        <f>N278/(1+G278)</f>
        <v>0</v>
      </c>
      <c r="N278" s="92">
        <f>IF(UPPER(Settings!$B$3)="EGY",F278,0)</f>
        <v>0</v>
      </c>
      <c r="O278" s="72">
        <f>N278*(1+G278)</f>
        <v>0</v>
      </c>
      <c r="P278" s="72">
        <f>O278*(1+G278)</f>
        <v>0</v>
      </c>
      <c r="Q278" s="72">
        <f>P278*(1+G278)</f>
        <v>0</v>
      </c>
      <c r="R278" s="72">
        <f>Q278*(1+G278)</f>
        <v>0</v>
      </c>
      <c r="S278" s="72">
        <f>R278*(1+G278)</f>
        <v>0</v>
      </c>
      <c r="T278" s="72">
        <f>S278*(1+G278)</f>
        <v>0</v>
      </c>
      <c r="U278" s="72">
        <f>T278*(1+G278)</f>
        <v>0</v>
      </c>
      <c r="V278" s="72">
        <f>U278*(1+G278)</f>
        <v>0</v>
      </c>
      <c r="W278" s="72">
        <f>V278*(1+G278)</f>
        <v>0</v>
      </c>
      <c r="X278" s="72">
        <f>W278*(1+G278)</f>
        <v>0</v>
      </c>
      <c r="Y278" s="72">
        <f>X278*(1+G278)</f>
        <v>0</v>
      </c>
      <c r="Z278" s="72">
        <f>Y278*(1+G278)</f>
        <v>0</v>
      </c>
      <c r="AA278" s="72">
        <f>Z278*(1+G278)</f>
        <v>0</v>
      </c>
      <c r="AB278" s="72">
        <f>AA278*(1+G278)</f>
        <v>0</v>
      </c>
      <c r="AC278" s="72">
        <f>AB278*(1+G278)</f>
        <v>0</v>
      </c>
      <c r="AD278" s="72">
        <f>AC278*(1+G278)</f>
        <v>0</v>
      </c>
      <c r="AE278" s="72">
        <f>AD278*(1+G278)</f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75" t="s">
        <v>1369</v>
      </c>
      <c r="E279" s="70" t="s">
        <v>1442</v>
      </c>
      <c r="F279" s="90">
        <v>50000</v>
      </c>
      <c r="G279" s="91">
        <v>3.3000000000000002E-2</v>
      </c>
      <c r="H279" s="81"/>
      <c r="I279" s="90">
        <v>800</v>
      </c>
      <c r="J279" s="71"/>
      <c r="K279" s="72"/>
      <c r="L279" s="72">
        <f>M279/(1+G279)</f>
        <v>46856.447775209017</v>
      </c>
      <c r="M279" s="72">
        <f>N279/(1+G279)</f>
        <v>48402.710551790908</v>
      </c>
      <c r="N279" s="92">
        <f>IF(UPPER(Settings!$B$3)="EGY",F279,0)</f>
        <v>50000</v>
      </c>
      <c r="O279" s="72">
        <f>N279*(1+G279)</f>
        <v>51649.999999999993</v>
      </c>
      <c r="P279" s="72">
        <f>O279*(1+G279)</f>
        <v>53354.44999999999</v>
      </c>
      <c r="Q279" s="72">
        <f>P279*(1+G279)</f>
        <v>55115.146849999983</v>
      </c>
      <c r="R279" s="72">
        <f>Q279*(1+G279)</f>
        <v>56933.946696049978</v>
      </c>
      <c r="S279" s="72">
        <f>R279*(1+G279)</f>
        <v>58812.766937019624</v>
      </c>
      <c r="T279" s="72">
        <f>S279*(1+G279)</f>
        <v>60753.588245941268</v>
      </c>
      <c r="U279" s="72">
        <f>T279*(1+G279)</f>
        <v>62758.456658057323</v>
      </c>
      <c r="V279" s="72">
        <f>U279*(1+G279)</f>
        <v>64829.485727773208</v>
      </c>
      <c r="W279" s="72">
        <f>V279*(1+G279)</f>
        <v>66968.858756789719</v>
      </c>
      <c r="X279" s="72">
        <f>W279*(1+G279)</f>
        <v>69178.831095763773</v>
      </c>
      <c r="Y279" s="72">
        <f>X279*(1+G279)</f>
        <v>71461.732521923972</v>
      </c>
      <c r="Z279" s="72">
        <f>Y279*(1+G279)</f>
        <v>73819.969695147462</v>
      </c>
      <c r="AA279" s="72">
        <f>Z279*(1+G279)</f>
        <v>76256.028695087327</v>
      </c>
      <c r="AB279" s="72">
        <f>AA279*(1+G279)</f>
        <v>78772.477642025202</v>
      </c>
      <c r="AC279" s="72">
        <f>AB279*(1+G279)</f>
        <v>81371.969404212025</v>
      </c>
      <c r="AD279" s="72">
        <f>AC279*(1+G279)</f>
        <v>84057.244394551017</v>
      </c>
      <c r="AE279" s="72">
        <f>AD279*(1+G279)</f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75" t="s">
        <v>1443</v>
      </c>
      <c r="E280" s="70" t="s">
        <v>1444</v>
      </c>
      <c r="F280" s="90">
        <v>1785</v>
      </c>
      <c r="G280" s="91">
        <v>2.1999999999999999E-2</v>
      </c>
      <c r="H280" s="81"/>
      <c r="I280" s="90">
        <v>120</v>
      </c>
      <c r="J280" s="71"/>
      <c r="K280" s="72"/>
      <c r="L280" s="72">
        <f>M280/(1+G280)</f>
        <v>1708.9778302013242</v>
      </c>
      <c r="M280" s="72">
        <f>N280/(1+G280)</f>
        <v>1746.5753424657535</v>
      </c>
      <c r="N280" s="92">
        <f>IF(UPPER(Settings!$B$3)="EGY",F280,0)</f>
        <v>1785</v>
      </c>
      <c r="O280" s="72">
        <f>N280*(1+G280)</f>
        <v>1824.27</v>
      </c>
      <c r="P280" s="72">
        <f>O280*(1+G280)</f>
        <v>1864.4039399999999</v>
      </c>
      <c r="Q280" s="72">
        <f>P280*(1+G280)</f>
        <v>1905.4208266799999</v>
      </c>
      <c r="R280" s="72">
        <f>Q280*(1+G280)</f>
        <v>1947.3400848669598</v>
      </c>
      <c r="S280" s="72">
        <f>R280*(1+G280)</f>
        <v>1990.1815667340329</v>
      </c>
      <c r="T280" s="72">
        <f>S280*(1+G280)</f>
        <v>2033.9655612021818</v>
      </c>
      <c r="U280" s="72">
        <f>T280*(1+G280)</f>
        <v>2078.7128035486298</v>
      </c>
      <c r="V280" s="72">
        <f>U280*(1+G280)</f>
        <v>2124.4444852266997</v>
      </c>
      <c r="W280" s="72">
        <f>V280*(1+G280)</f>
        <v>2171.1822639016873</v>
      </c>
      <c r="X280" s="72">
        <f>W280*(1+G280)</f>
        <v>2218.9482737075245</v>
      </c>
      <c r="Y280" s="72">
        <f>X280*(1+G280)</f>
        <v>2267.7651357290902</v>
      </c>
      <c r="Z280" s="72">
        <f>Y280*(1+G280)</f>
        <v>2317.6559687151303</v>
      </c>
      <c r="AA280" s="72">
        <f>Z280*(1+G280)</f>
        <v>2368.644400026863</v>
      </c>
      <c r="AB280" s="72">
        <f>AA280*(1+G280)</f>
        <v>2420.754576827454</v>
      </c>
      <c r="AC280" s="72">
        <f>AB280*(1+G280)</f>
        <v>2474.0111775176579</v>
      </c>
      <c r="AD280" s="72">
        <f>AC280*(1+G280)</f>
        <v>2528.4394234230463</v>
      </c>
      <c r="AE280" s="72">
        <f>AD280*(1+G280)</f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75" t="s">
        <v>1383</v>
      </c>
      <c r="E281" s="70" t="s">
        <v>1445</v>
      </c>
      <c r="F281" s="90">
        <v>2800</v>
      </c>
      <c r="G281" s="91">
        <v>2.1999999999999999E-2</v>
      </c>
      <c r="H281" s="81"/>
      <c r="I281" s="90">
        <v>1600</v>
      </c>
      <c r="J281" s="71"/>
      <c r="K281" s="72"/>
      <c r="L281" s="72">
        <f>M281/(1+G281)</f>
        <v>2680.7495375707044</v>
      </c>
      <c r="M281" s="72">
        <f>N281/(1+G281)</f>
        <v>2739.7260273972602</v>
      </c>
      <c r="N281" s="92">
        <f>IF(UPPER(Settings!$B$3)="EGY",F281,0)</f>
        <v>2800</v>
      </c>
      <c r="O281" s="72">
        <f>N281*(1+G281)</f>
        <v>2861.6</v>
      </c>
      <c r="P281" s="72">
        <f>O281*(1+G281)</f>
        <v>2924.5551999999998</v>
      </c>
      <c r="Q281" s="72">
        <f>P281*(1+G281)</f>
        <v>2988.8954143999999</v>
      </c>
      <c r="R281" s="72">
        <f>Q281*(1+G281)</f>
        <v>3054.6511135167998</v>
      </c>
      <c r="S281" s="72">
        <f>R281*(1+G281)</f>
        <v>3121.8534380141696</v>
      </c>
      <c r="T281" s="72">
        <f>S281*(1+G281)</f>
        <v>3190.5342136504814</v>
      </c>
      <c r="U281" s="72">
        <f>T281*(1+G281)</f>
        <v>3260.7259663507921</v>
      </c>
      <c r="V281" s="72">
        <f>U281*(1+G281)</f>
        <v>3332.4619376105097</v>
      </c>
      <c r="W281" s="72">
        <f>V281*(1+G281)</f>
        <v>3405.7761002379411</v>
      </c>
      <c r="X281" s="72">
        <f>W281*(1+G281)</f>
        <v>3480.7031744431761</v>
      </c>
      <c r="Y281" s="72">
        <f>X281*(1+G281)</f>
        <v>3557.2786442809261</v>
      </c>
      <c r="Z281" s="72">
        <f>Y281*(1+G281)</f>
        <v>3635.5387744551067</v>
      </c>
      <c r="AA281" s="72">
        <f>Z281*(1+G281)</f>
        <v>3715.5206274931193</v>
      </c>
      <c r="AB281" s="72">
        <f>AA281*(1+G281)</f>
        <v>3797.2620812979681</v>
      </c>
      <c r="AC281" s="72">
        <f>AB281*(1+G281)</f>
        <v>3880.8018470865236</v>
      </c>
      <c r="AD281" s="72">
        <f>AC281*(1+G281)</f>
        <v>3966.179487722427</v>
      </c>
      <c r="AE281" s="72">
        <f>AD281*(1+G281)</f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75" t="s">
        <v>1390</v>
      </c>
      <c r="E282" s="70" t="s">
        <v>1446</v>
      </c>
      <c r="F282" s="90">
        <v>600</v>
      </c>
      <c r="G282" s="91">
        <v>2.1999999999999999E-2</v>
      </c>
      <c r="H282" s="81"/>
      <c r="I282" s="90">
        <v>80</v>
      </c>
      <c r="J282" s="71"/>
      <c r="K282" s="72"/>
      <c r="L282" s="72">
        <f>M282/(1+G282)</f>
        <v>574.44632947943671</v>
      </c>
      <c r="M282" s="72">
        <f>N282/(1+G282)</f>
        <v>587.08414872798437</v>
      </c>
      <c r="N282" s="92">
        <f>IF(UPPER(Settings!$B$3)="EGY",F282,0)</f>
        <v>600</v>
      </c>
      <c r="O282" s="72">
        <f>N282*(1+G282)</f>
        <v>613.20000000000005</v>
      </c>
      <c r="P282" s="72">
        <f>O282*(1+G282)</f>
        <v>626.69040000000007</v>
      </c>
      <c r="Q282" s="72">
        <f>P282*(1+G282)</f>
        <v>640.47758880000004</v>
      </c>
      <c r="R282" s="72">
        <f>Q282*(1+G282)</f>
        <v>654.56809575360001</v>
      </c>
      <c r="S282" s="72">
        <f>R282*(1+G282)</f>
        <v>668.96859386017923</v>
      </c>
      <c r="T282" s="72">
        <f>S282*(1+G282)</f>
        <v>683.68590292510316</v>
      </c>
      <c r="U282" s="72">
        <f>T282*(1+G282)</f>
        <v>698.72699278945549</v>
      </c>
      <c r="V282" s="72">
        <f>U282*(1+G282)</f>
        <v>714.09898663082356</v>
      </c>
      <c r="W282" s="72">
        <f>V282*(1+G282)</f>
        <v>729.80916433670166</v>
      </c>
      <c r="X282" s="72">
        <f>W282*(1+G282)</f>
        <v>745.86496595210906</v>
      </c>
      <c r="Y282" s="72">
        <f>X282*(1+G282)</f>
        <v>762.27399520305551</v>
      </c>
      <c r="Z282" s="72">
        <f>Y282*(1+G282)</f>
        <v>779.04402309752277</v>
      </c>
      <c r="AA282" s="72">
        <f>Z282*(1+G282)</f>
        <v>796.18299160566824</v>
      </c>
      <c r="AB282" s="72">
        <f>AA282*(1+G282)</f>
        <v>813.69901742099296</v>
      </c>
      <c r="AC282" s="72">
        <f>AB282*(1+G282)</f>
        <v>831.60039580425484</v>
      </c>
      <c r="AD282" s="72">
        <f>AC282*(1+G282)</f>
        <v>849.89560451194848</v>
      </c>
      <c r="AE282" s="72">
        <f>AD282*(1+G282)</f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75" t="s">
        <v>1397</v>
      </c>
      <c r="E283" s="70" t="s">
        <v>1447</v>
      </c>
      <c r="F283" s="90">
        <v>300</v>
      </c>
      <c r="G283" s="91">
        <v>5.5E-2</v>
      </c>
      <c r="H283" s="81"/>
      <c r="I283" s="90">
        <v>167</v>
      </c>
      <c r="J283" s="71"/>
      <c r="K283" s="72"/>
      <c r="L283" s="72">
        <f>M283/(1+G283)</f>
        <v>269.53572471417982</v>
      </c>
      <c r="M283" s="72">
        <f>N283/(1+G283)</f>
        <v>284.36018957345971</v>
      </c>
      <c r="N283" s="92">
        <f>IF(UPPER(Settings!$B$3)="EGY",F283,0)</f>
        <v>300</v>
      </c>
      <c r="O283" s="72">
        <f>N283*(1+G283)</f>
        <v>316.5</v>
      </c>
      <c r="P283" s="72">
        <f>O283*(1+G283)</f>
        <v>333.90749999999997</v>
      </c>
      <c r="Q283" s="72">
        <f>P283*(1+G283)</f>
        <v>352.27241249999997</v>
      </c>
      <c r="R283" s="72">
        <f>Q283*(1+G283)</f>
        <v>371.64739518749997</v>
      </c>
      <c r="S283" s="72">
        <f>R283*(1+G283)</f>
        <v>392.08800192281245</v>
      </c>
      <c r="T283" s="72">
        <f>S283*(1+G283)</f>
        <v>413.65284202856714</v>
      </c>
      <c r="U283" s="72">
        <f>T283*(1+G283)</f>
        <v>436.40374834013829</v>
      </c>
      <c r="V283" s="72">
        <f>U283*(1+G283)</f>
        <v>460.40595449884586</v>
      </c>
      <c r="W283" s="72">
        <f>V283*(1+G283)</f>
        <v>485.72828199628236</v>
      </c>
      <c r="X283" s="72">
        <f>W283*(1+G283)</f>
        <v>512.44333750607791</v>
      </c>
      <c r="Y283" s="72">
        <f>X283*(1+G283)</f>
        <v>540.62772106891214</v>
      </c>
      <c r="Z283" s="72">
        <f>Y283*(1+G283)</f>
        <v>570.36224572770232</v>
      </c>
      <c r="AA283" s="72">
        <f>Z283*(1+G283)</f>
        <v>601.73216924272594</v>
      </c>
      <c r="AB283" s="72">
        <f>AA283*(1+G283)</f>
        <v>634.82743855107583</v>
      </c>
      <c r="AC283" s="72">
        <f>AB283*(1+G283)</f>
        <v>669.74294767138497</v>
      </c>
      <c r="AD283" s="72">
        <f>AC283*(1+G283)</f>
        <v>706.57880979331105</v>
      </c>
      <c r="AE283" s="72">
        <f>AD283*(1+G283)</f>
        <v>745.44064433194308</v>
      </c>
      <c r="AF283" s="72"/>
      <c r="AG283" s="70"/>
      <c r="AH283" s="70"/>
      <c r="AI283" s="70"/>
    </row>
    <row r="284" spans="1:35" x14ac:dyDescent="0.45">
      <c r="A284" s="70"/>
      <c r="B284" s="75"/>
      <c r="C284" s="75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75"/>
      <c r="C285" s="75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75"/>
      <c r="C286" s="75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75"/>
      <c r="C287" s="73" t="s">
        <v>1448</v>
      </c>
      <c r="D287" s="73" t="s">
        <v>1323</v>
      </c>
      <c r="E287" s="70" t="s">
        <v>1449</v>
      </c>
      <c r="F287" s="70" t="s">
        <v>1323</v>
      </c>
      <c r="G287" s="70" t="s">
        <v>1450</v>
      </c>
      <c r="H287" s="70"/>
      <c r="I287" s="71"/>
      <c r="J287" s="71"/>
      <c r="K287" s="72"/>
      <c r="L287" s="74">
        <f>L274</f>
        <v>2022</v>
      </c>
      <c r="M287" s="74">
        <f>M274</f>
        <v>2023</v>
      </c>
      <c r="N287" s="74">
        <f>N274</f>
        <v>2024</v>
      </c>
      <c r="O287" s="74">
        <f>O274</f>
        <v>2025</v>
      </c>
      <c r="P287" s="74">
        <f>P274</f>
        <v>2026</v>
      </c>
      <c r="Q287" s="74">
        <f>Q274</f>
        <v>2027</v>
      </c>
      <c r="R287" s="74">
        <f>R274</f>
        <v>2028</v>
      </c>
      <c r="S287" s="74">
        <f>S274</f>
        <v>2029</v>
      </c>
      <c r="T287" s="74">
        <f>T274</f>
        <v>2030</v>
      </c>
      <c r="U287" s="74">
        <f>U274</f>
        <v>2031</v>
      </c>
      <c r="V287" s="74">
        <f>V274</f>
        <v>2032</v>
      </c>
      <c r="W287" s="74">
        <f>W274</f>
        <v>2033</v>
      </c>
      <c r="X287" s="74">
        <f>X274</f>
        <v>2034</v>
      </c>
      <c r="Y287" s="74">
        <f>Y274</f>
        <v>2035</v>
      </c>
      <c r="Z287" s="74">
        <f>Z274</f>
        <v>2036</v>
      </c>
      <c r="AA287" s="74">
        <f>AA274</f>
        <v>2037</v>
      </c>
      <c r="AB287" s="74">
        <f>AB274</f>
        <v>2038</v>
      </c>
      <c r="AC287" s="74">
        <f>AC274</f>
        <v>2039</v>
      </c>
      <c r="AD287" s="74">
        <f>AD274</f>
        <v>2040</v>
      </c>
      <c r="AE287" s="74">
        <f>AE274</f>
        <v>2041</v>
      </c>
      <c r="AF287" s="74"/>
      <c r="AG287" s="70"/>
      <c r="AH287" s="70"/>
      <c r="AI287" s="70"/>
    </row>
    <row r="288" spans="1:35" x14ac:dyDescent="0.45">
      <c r="A288" s="70"/>
      <c r="B288" s="75"/>
      <c r="C288" s="75"/>
      <c r="D288" s="75" t="s">
        <v>1451</v>
      </c>
      <c r="E288" s="89" t="s">
        <v>1452</v>
      </c>
      <c r="F288" s="70" t="s">
        <v>1453</v>
      </c>
      <c r="G288" s="87">
        <v>750</v>
      </c>
      <c r="H288" s="72"/>
      <c r="I288" s="70"/>
      <c r="J288" s="70"/>
      <c r="K288" s="72"/>
      <c r="L288" s="72">
        <f>G288</f>
        <v>750</v>
      </c>
      <c r="M288" s="72">
        <f>G288</f>
        <v>750</v>
      </c>
      <c r="N288" s="72">
        <f>G288</f>
        <v>750</v>
      </c>
      <c r="O288" s="72">
        <f>G288</f>
        <v>750</v>
      </c>
      <c r="P288" s="72">
        <f>G288</f>
        <v>750</v>
      </c>
      <c r="Q288" s="72">
        <f>G288</f>
        <v>750</v>
      </c>
      <c r="R288" s="72">
        <f>G288</f>
        <v>750</v>
      </c>
      <c r="S288" s="72">
        <f>G288</f>
        <v>750</v>
      </c>
      <c r="T288" s="72">
        <f>G288</f>
        <v>750</v>
      </c>
      <c r="U288" s="72">
        <f>G288</f>
        <v>750</v>
      </c>
      <c r="V288" s="72">
        <f>G288</f>
        <v>750</v>
      </c>
      <c r="W288" s="72">
        <f>G288</f>
        <v>750</v>
      </c>
      <c r="X288" s="72">
        <f>G288</f>
        <v>750</v>
      </c>
      <c r="Y288" s="72">
        <f>G288</f>
        <v>750</v>
      </c>
      <c r="Z288" s="72">
        <f>G288</f>
        <v>750</v>
      </c>
      <c r="AA288" s="72">
        <f>G288</f>
        <v>750</v>
      </c>
      <c r="AB288" s="72">
        <f>G288</f>
        <v>750</v>
      </c>
      <c r="AC288" s="72">
        <f>G288</f>
        <v>750</v>
      </c>
      <c r="AD288" s="72">
        <f>G288</f>
        <v>750</v>
      </c>
      <c r="AE288" s="72">
        <f>G288</f>
        <v>750</v>
      </c>
      <c r="AF288" s="70"/>
      <c r="AG288" s="70"/>
      <c r="AH288" s="70"/>
      <c r="AI288" s="70"/>
    </row>
    <row r="289" spans="1:35" x14ac:dyDescent="0.45">
      <c r="A289" s="70"/>
      <c r="B289" s="75"/>
      <c r="C289" s="75"/>
      <c r="D289" s="75" t="s">
        <v>1454</v>
      </c>
      <c r="E289" s="89" t="s">
        <v>1455</v>
      </c>
      <c r="F289" s="70" t="s">
        <v>1456</v>
      </c>
      <c r="G289" s="87">
        <v>680</v>
      </c>
      <c r="H289" s="70"/>
      <c r="I289" s="70"/>
      <c r="J289" s="70"/>
      <c r="K289" s="72"/>
      <c r="L289" s="72">
        <f>G289</f>
        <v>680</v>
      </c>
      <c r="M289" s="72">
        <f>G289</f>
        <v>680</v>
      </c>
      <c r="N289" s="72">
        <f>G289</f>
        <v>680</v>
      </c>
      <c r="O289" s="72">
        <f>G289</f>
        <v>680</v>
      </c>
      <c r="P289" s="72">
        <f>G289</f>
        <v>680</v>
      </c>
      <c r="Q289" s="72">
        <f>G289</f>
        <v>680</v>
      </c>
      <c r="R289" s="72">
        <f>G289</f>
        <v>680</v>
      </c>
      <c r="S289" s="72">
        <f>G289</f>
        <v>680</v>
      </c>
      <c r="T289" s="72">
        <f>G289</f>
        <v>680</v>
      </c>
      <c r="U289" s="72">
        <f>G289</f>
        <v>680</v>
      </c>
      <c r="V289" s="72">
        <f>G289</f>
        <v>680</v>
      </c>
      <c r="W289" s="72">
        <f>G289</f>
        <v>680</v>
      </c>
      <c r="X289" s="72">
        <f>G289</f>
        <v>680</v>
      </c>
      <c r="Y289" s="72">
        <f>G289</f>
        <v>680</v>
      </c>
      <c r="Z289" s="72">
        <f>G289</f>
        <v>680</v>
      </c>
      <c r="AA289" s="72">
        <f>G289</f>
        <v>680</v>
      </c>
      <c r="AB289" s="72">
        <f>G289</f>
        <v>680</v>
      </c>
      <c r="AC289" s="72">
        <f>G289</f>
        <v>680</v>
      </c>
      <c r="AD289" s="72">
        <f>G289</f>
        <v>680</v>
      </c>
      <c r="AE289" s="72">
        <f>G289</f>
        <v>680</v>
      </c>
      <c r="AF289" s="70"/>
      <c r="AG289" s="70"/>
      <c r="AH289" s="70"/>
      <c r="AI289" s="70"/>
    </row>
    <row r="290" spans="1:35" x14ac:dyDescent="0.45">
      <c r="A290" s="70"/>
      <c r="B290" s="75"/>
      <c r="C290" s="75"/>
      <c r="D290" s="75" t="s">
        <v>1457</v>
      </c>
      <c r="E290" s="89" t="s">
        <v>1458</v>
      </c>
      <c r="F290" s="70" t="s">
        <v>1459</v>
      </c>
      <c r="G290" s="87">
        <v>620</v>
      </c>
      <c r="H290" s="70"/>
      <c r="I290" s="70"/>
      <c r="J290" s="70"/>
      <c r="K290" s="72"/>
      <c r="L290" s="72">
        <f>G290</f>
        <v>620</v>
      </c>
      <c r="M290" s="72">
        <f>G290</f>
        <v>620</v>
      </c>
      <c r="N290" s="72">
        <f>G290</f>
        <v>620</v>
      </c>
      <c r="O290" s="72">
        <f>G290</f>
        <v>620</v>
      </c>
      <c r="P290" s="72">
        <f>G290</f>
        <v>620</v>
      </c>
      <c r="Q290" s="72">
        <f>G290</f>
        <v>620</v>
      </c>
      <c r="R290" s="72">
        <f>G290</f>
        <v>620</v>
      </c>
      <c r="S290" s="72">
        <f>G290</f>
        <v>620</v>
      </c>
      <c r="T290" s="72">
        <f>G290</f>
        <v>620</v>
      </c>
      <c r="U290" s="72">
        <f>G290</f>
        <v>620</v>
      </c>
      <c r="V290" s="72">
        <f>G290</f>
        <v>620</v>
      </c>
      <c r="W290" s="72">
        <f>G290</f>
        <v>620</v>
      </c>
      <c r="X290" s="72">
        <f>G290</f>
        <v>620</v>
      </c>
      <c r="Y290" s="72">
        <f>G290</f>
        <v>620</v>
      </c>
      <c r="Z290" s="72">
        <f>G290</f>
        <v>620</v>
      </c>
      <c r="AA290" s="72">
        <f>G290</f>
        <v>620</v>
      </c>
      <c r="AB290" s="72">
        <f>G290</f>
        <v>620</v>
      </c>
      <c r="AC290" s="72">
        <f>G290</f>
        <v>620</v>
      </c>
      <c r="AD290" s="72">
        <f>G290</f>
        <v>620</v>
      </c>
      <c r="AE290" s="72">
        <f>G290</f>
        <v>620</v>
      </c>
      <c r="AF290" s="70"/>
      <c r="AG290" s="70"/>
      <c r="AH290" s="70"/>
      <c r="AI290" s="70"/>
    </row>
    <row r="291" spans="1:35" x14ac:dyDescent="0.45">
      <c r="A291" s="70"/>
      <c r="B291" s="75"/>
      <c r="C291" s="75"/>
      <c r="D291" s="75" t="s">
        <v>1460</v>
      </c>
      <c r="E291" s="89" t="s">
        <v>1461</v>
      </c>
      <c r="F291" s="70" t="s">
        <v>1462</v>
      </c>
      <c r="G291" s="87">
        <v>110</v>
      </c>
      <c r="H291" s="70"/>
      <c r="I291" s="70"/>
      <c r="J291" s="70"/>
      <c r="K291" s="72"/>
      <c r="L291" s="72">
        <f>G291</f>
        <v>110</v>
      </c>
      <c r="M291" s="72">
        <f>G291</f>
        <v>110</v>
      </c>
      <c r="N291" s="72">
        <f>G291</f>
        <v>110</v>
      </c>
      <c r="O291" s="72">
        <f>G291</f>
        <v>110</v>
      </c>
      <c r="P291" s="72">
        <f>G291</f>
        <v>110</v>
      </c>
      <c r="Q291" s="72">
        <f>G291</f>
        <v>110</v>
      </c>
      <c r="R291" s="72">
        <f>G291</f>
        <v>110</v>
      </c>
      <c r="S291" s="72">
        <f>G291</f>
        <v>110</v>
      </c>
      <c r="T291" s="72">
        <f>G291</f>
        <v>110</v>
      </c>
      <c r="U291" s="72">
        <f>G291</f>
        <v>110</v>
      </c>
      <c r="V291" s="72">
        <f>G291</f>
        <v>110</v>
      </c>
      <c r="W291" s="72">
        <f>G291</f>
        <v>110</v>
      </c>
      <c r="X291" s="72">
        <f>G291</f>
        <v>110</v>
      </c>
      <c r="Y291" s="72">
        <f>G291</f>
        <v>110</v>
      </c>
      <c r="Z291" s="72">
        <f>G291</f>
        <v>110</v>
      </c>
      <c r="AA291" s="72">
        <f>G291</f>
        <v>110</v>
      </c>
      <c r="AB291" s="72">
        <f>G291</f>
        <v>110</v>
      </c>
      <c r="AC291" s="72">
        <f>G291</f>
        <v>110</v>
      </c>
      <c r="AD291" s="72">
        <f>G291</f>
        <v>110</v>
      </c>
      <c r="AE291" s="72">
        <f>G291</f>
        <v>110</v>
      </c>
      <c r="AF291" s="70"/>
      <c r="AG291" s="70"/>
      <c r="AH291" s="70"/>
      <c r="AI291" s="70"/>
    </row>
    <row r="292" spans="1:35" x14ac:dyDescent="0.45">
      <c r="A292" s="70"/>
      <c r="B292" s="75"/>
      <c r="C292" s="75"/>
      <c r="D292" s="75" t="s">
        <v>1463</v>
      </c>
      <c r="E292" s="89" t="s">
        <v>1464</v>
      </c>
      <c r="F292" s="70" t="s">
        <v>1465</v>
      </c>
      <c r="G292" s="87">
        <v>450</v>
      </c>
      <c r="H292" s="70"/>
      <c r="I292" s="70"/>
      <c r="J292" s="70"/>
      <c r="K292" s="72"/>
      <c r="L292" s="72">
        <f>G292</f>
        <v>450</v>
      </c>
      <c r="M292" s="72">
        <f>G292</f>
        <v>450</v>
      </c>
      <c r="N292" s="72">
        <f>G292</f>
        <v>450</v>
      </c>
      <c r="O292" s="72">
        <f>G292</f>
        <v>450</v>
      </c>
      <c r="P292" s="72">
        <f>G292</f>
        <v>450</v>
      </c>
      <c r="Q292" s="72">
        <f>G292</f>
        <v>450</v>
      </c>
      <c r="R292" s="72">
        <f>G292</f>
        <v>450</v>
      </c>
      <c r="S292" s="72">
        <f>G292</f>
        <v>450</v>
      </c>
      <c r="T292" s="72">
        <f>G292</f>
        <v>450</v>
      </c>
      <c r="U292" s="72">
        <f>G292</f>
        <v>450</v>
      </c>
      <c r="V292" s="72">
        <f>G292</f>
        <v>450</v>
      </c>
      <c r="W292" s="72">
        <f>G292</f>
        <v>450</v>
      </c>
      <c r="X292" s="72">
        <f>G292</f>
        <v>450</v>
      </c>
      <c r="Y292" s="72">
        <f>G292</f>
        <v>450</v>
      </c>
      <c r="Z292" s="72">
        <f>G292</f>
        <v>450</v>
      </c>
      <c r="AA292" s="72">
        <f>G292</f>
        <v>450</v>
      </c>
      <c r="AB292" s="72">
        <f>G292</f>
        <v>450</v>
      </c>
      <c r="AC292" s="72">
        <f>G292</f>
        <v>450</v>
      </c>
      <c r="AD292" s="72">
        <f>G292</f>
        <v>450</v>
      </c>
      <c r="AE292" s="72">
        <f>G292</f>
        <v>450</v>
      </c>
      <c r="AF292" s="70"/>
      <c r="AG292" s="70"/>
      <c r="AH292" s="70"/>
      <c r="AI292" s="70"/>
    </row>
    <row r="293" spans="1:35" x14ac:dyDescent="0.45">
      <c r="A293" s="70"/>
      <c r="B293" s="75"/>
      <c r="C293" s="75"/>
      <c r="D293" s="75" t="s">
        <v>1466</v>
      </c>
      <c r="E293" s="89" t="s">
        <v>1467</v>
      </c>
      <c r="F293" s="70" t="s">
        <v>1468</v>
      </c>
      <c r="G293" s="87">
        <v>380</v>
      </c>
      <c r="H293" s="70"/>
      <c r="I293" s="70"/>
      <c r="J293" s="70"/>
      <c r="K293" s="72"/>
      <c r="L293" s="72">
        <f>G293</f>
        <v>380</v>
      </c>
      <c r="M293" s="72">
        <f>G293</f>
        <v>380</v>
      </c>
      <c r="N293" s="72">
        <f>G293</f>
        <v>380</v>
      </c>
      <c r="O293" s="72">
        <f>G293</f>
        <v>380</v>
      </c>
      <c r="P293" s="72">
        <f>G293</f>
        <v>380</v>
      </c>
      <c r="Q293" s="72">
        <f>G293</f>
        <v>380</v>
      </c>
      <c r="R293" s="72">
        <f>G293</f>
        <v>380</v>
      </c>
      <c r="S293" s="72">
        <f>G293</f>
        <v>380</v>
      </c>
      <c r="T293" s="72">
        <f>G293</f>
        <v>380</v>
      </c>
      <c r="U293" s="72">
        <f>G293</f>
        <v>380</v>
      </c>
      <c r="V293" s="72">
        <f>G293</f>
        <v>380</v>
      </c>
      <c r="W293" s="72">
        <f>G293</f>
        <v>380</v>
      </c>
      <c r="X293" s="72">
        <f>G293</f>
        <v>380</v>
      </c>
      <c r="Y293" s="72">
        <f>G293</f>
        <v>380</v>
      </c>
      <c r="Z293" s="72">
        <f>G293</f>
        <v>380</v>
      </c>
      <c r="AA293" s="72">
        <f>G293</f>
        <v>380</v>
      </c>
      <c r="AB293" s="72">
        <f>G293</f>
        <v>380</v>
      </c>
      <c r="AC293" s="72">
        <f>G293</f>
        <v>380</v>
      </c>
      <c r="AD293" s="72">
        <f>G293</f>
        <v>380</v>
      </c>
      <c r="AE293" s="72">
        <f>G293</f>
        <v>380</v>
      </c>
      <c r="AF293" s="70"/>
      <c r="AG293" s="70"/>
      <c r="AH293" s="70"/>
      <c r="AI293" s="70"/>
    </row>
    <row r="294" spans="1:35" x14ac:dyDescent="0.45">
      <c r="A294" s="70"/>
      <c r="B294" s="75"/>
      <c r="C294" s="75"/>
      <c r="D294" s="75" t="s">
        <v>1469</v>
      </c>
      <c r="E294" s="89" t="s">
        <v>1470</v>
      </c>
      <c r="F294" s="70" t="s">
        <v>1471</v>
      </c>
      <c r="G294" s="87">
        <v>320</v>
      </c>
      <c r="H294" s="70"/>
      <c r="I294" s="70"/>
      <c r="J294" s="70"/>
      <c r="K294" s="72"/>
      <c r="L294" s="72">
        <f>G294</f>
        <v>320</v>
      </c>
      <c r="M294" s="72">
        <f>G294</f>
        <v>320</v>
      </c>
      <c r="N294" s="72">
        <f>G294</f>
        <v>320</v>
      </c>
      <c r="O294" s="72">
        <f>G294</f>
        <v>320</v>
      </c>
      <c r="P294" s="72">
        <f>G294</f>
        <v>320</v>
      </c>
      <c r="Q294" s="72">
        <f>G294</f>
        <v>320</v>
      </c>
      <c r="R294" s="72">
        <f>G294</f>
        <v>320</v>
      </c>
      <c r="S294" s="72">
        <f>G294</f>
        <v>320</v>
      </c>
      <c r="T294" s="72">
        <f>G294</f>
        <v>320</v>
      </c>
      <c r="U294" s="72">
        <f>G294</f>
        <v>320</v>
      </c>
      <c r="V294" s="72">
        <f>G294</f>
        <v>320</v>
      </c>
      <c r="W294" s="72">
        <f>G294</f>
        <v>320</v>
      </c>
      <c r="X294" s="72">
        <f>G294</f>
        <v>320</v>
      </c>
      <c r="Y294" s="72">
        <f>G294</f>
        <v>320</v>
      </c>
      <c r="Z294" s="72">
        <f>G294</f>
        <v>320</v>
      </c>
      <c r="AA294" s="72">
        <f>G294</f>
        <v>320</v>
      </c>
      <c r="AB294" s="72">
        <f>G294</f>
        <v>320</v>
      </c>
      <c r="AC294" s="72">
        <f>G294</f>
        <v>320</v>
      </c>
      <c r="AD294" s="72">
        <f>G294</f>
        <v>320</v>
      </c>
      <c r="AE294" s="72">
        <f>G294</f>
        <v>320</v>
      </c>
      <c r="AF294" s="70"/>
      <c r="AG294" s="70"/>
      <c r="AH294" s="70"/>
      <c r="AI294" s="70"/>
    </row>
    <row r="295" spans="1:35" x14ac:dyDescent="0.45">
      <c r="A295" s="70"/>
      <c r="B295" s="75"/>
      <c r="C295" s="75"/>
      <c r="D295" s="75" t="s">
        <v>1472</v>
      </c>
      <c r="E295" s="89" t="s">
        <v>1473</v>
      </c>
      <c r="F295" s="70" t="s">
        <v>1474</v>
      </c>
      <c r="G295" s="87">
        <v>2400</v>
      </c>
      <c r="H295" s="70"/>
      <c r="I295" s="70"/>
      <c r="J295" s="70"/>
      <c r="K295" s="72"/>
      <c r="L295" s="72">
        <f>G295</f>
        <v>2400</v>
      </c>
      <c r="M295" s="72">
        <f>G295</f>
        <v>2400</v>
      </c>
      <c r="N295" s="72">
        <f>G295</f>
        <v>2400</v>
      </c>
      <c r="O295" s="72">
        <f>G295</f>
        <v>2400</v>
      </c>
      <c r="P295" s="72">
        <f>G295</f>
        <v>2400</v>
      </c>
      <c r="Q295" s="72">
        <f>G295</f>
        <v>2400</v>
      </c>
      <c r="R295" s="72">
        <f>G295</f>
        <v>2400</v>
      </c>
      <c r="S295" s="72">
        <f>G295</f>
        <v>2400</v>
      </c>
      <c r="T295" s="72">
        <f>G295</f>
        <v>2400</v>
      </c>
      <c r="U295" s="72">
        <f>G295</f>
        <v>2400</v>
      </c>
      <c r="V295" s="72">
        <f>G295</f>
        <v>2400</v>
      </c>
      <c r="W295" s="72">
        <f>G295</f>
        <v>2400</v>
      </c>
      <c r="X295" s="72">
        <f>G295</f>
        <v>2400</v>
      </c>
      <c r="Y295" s="72">
        <f>G295</f>
        <v>2400</v>
      </c>
      <c r="Z295" s="72">
        <f>G295</f>
        <v>2400</v>
      </c>
      <c r="AA295" s="72">
        <f>G295</f>
        <v>2400</v>
      </c>
      <c r="AB295" s="72">
        <f>G295</f>
        <v>2400</v>
      </c>
      <c r="AC295" s="72">
        <f>G295</f>
        <v>2400</v>
      </c>
      <c r="AD295" s="72">
        <f>G295</f>
        <v>2400</v>
      </c>
      <c r="AE295" s="72">
        <f>G295</f>
        <v>2400</v>
      </c>
      <c r="AF295" s="70"/>
      <c r="AG295" s="70"/>
      <c r="AH295" s="70"/>
      <c r="AI295" s="70"/>
    </row>
    <row r="296" spans="1:35" x14ac:dyDescent="0.45">
      <c r="A296" s="70"/>
      <c r="B296" s="75"/>
      <c r="C296" s="75"/>
      <c r="D296" s="75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75"/>
      <c r="C297" s="75"/>
      <c r="D297" s="75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75"/>
      <c r="C298" s="73" t="s">
        <v>1475</v>
      </c>
      <c r="D298" s="73"/>
      <c r="E298" s="72" t="str">
        <f>F329</f>
        <v>EF Fuel CO2</v>
      </c>
      <c r="F298" s="70" t="s">
        <v>1476</v>
      </c>
      <c r="G298" s="70" t="s">
        <v>1477</v>
      </c>
      <c r="H298" s="71"/>
      <c r="I298" s="71"/>
      <c r="J298" s="71"/>
      <c r="K298" s="72"/>
      <c r="L298" s="74">
        <f>L246</f>
        <v>2022</v>
      </c>
      <c r="M298" s="74">
        <f>M246</f>
        <v>2023</v>
      </c>
      <c r="N298" s="74">
        <f>N246</f>
        <v>2024</v>
      </c>
      <c r="O298" s="74">
        <f>O246</f>
        <v>2025</v>
      </c>
      <c r="P298" s="74">
        <f>P246</f>
        <v>2026</v>
      </c>
      <c r="Q298" s="74">
        <f>Q246</f>
        <v>2027</v>
      </c>
      <c r="R298" s="74">
        <f>R246</f>
        <v>2028</v>
      </c>
      <c r="S298" s="74">
        <f>S246</f>
        <v>2029</v>
      </c>
      <c r="T298" s="74">
        <f>T246</f>
        <v>2030</v>
      </c>
      <c r="U298" s="74">
        <f>U246</f>
        <v>2031</v>
      </c>
      <c r="V298" s="74">
        <f>V246</f>
        <v>2032</v>
      </c>
      <c r="W298" s="74">
        <f>W246</f>
        <v>2033</v>
      </c>
      <c r="X298" s="74">
        <f>X246</f>
        <v>2034</v>
      </c>
      <c r="Y298" s="74">
        <f>Y246</f>
        <v>2035</v>
      </c>
      <c r="Z298" s="74">
        <f>Z246</f>
        <v>2036</v>
      </c>
      <c r="AA298" s="74">
        <f>AA246</f>
        <v>2037</v>
      </c>
      <c r="AB298" s="74">
        <f>AB246</f>
        <v>2038</v>
      </c>
      <c r="AC298" s="74">
        <f>AC246</f>
        <v>2039</v>
      </c>
      <c r="AD298" s="74">
        <f>AD246</f>
        <v>2040</v>
      </c>
      <c r="AE298" s="74">
        <f>AE246</f>
        <v>2041</v>
      </c>
      <c r="AF298" s="74"/>
      <c r="AG298" s="70"/>
      <c r="AH298" s="70"/>
      <c r="AI298" s="70"/>
    </row>
    <row r="299" spans="1:35" x14ac:dyDescent="0.45">
      <c r="A299" s="70"/>
      <c r="B299" s="75"/>
      <c r="C299" s="75"/>
      <c r="D299" s="75" t="s">
        <v>1451</v>
      </c>
      <c r="E299" s="72">
        <f>F330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75"/>
      <c r="C300" s="75"/>
      <c r="D300" s="75" t="s">
        <v>1454</v>
      </c>
      <c r="E300" s="72">
        <f>F331</f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75"/>
      <c r="C301" s="75"/>
      <c r="D301" s="75" t="s">
        <v>1457</v>
      </c>
      <c r="E301" s="72">
        <f>F332</f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75"/>
      <c r="C302" s="75"/>
      <c r="D302" s="75" t="s">
        <v>1460</v>
      </c>
      <c r="E302" s="72">
        <f>F333</f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75"/>
      <c r="C303" s="75"/>
      <c r="D303" s="75" t="s">
        <v>1463</v>
      </c>
      <c r="E303" s="72">
        <f>F334</f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75"/>
      <c r="C304" s="75"/>
      <c r="D304" s="75" t="s">
        <v>1466</v>
      </c>
      <c r="E304" s="72">
        <f>F335</f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75"/>
      <c r="C305" s="75"/>
      <c r="D305" s="75" t="s">
        <v>1469</v>
      </c>
      <c r="E305" s="72">
        <f>F336</f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75"/>
      <c r="C306" s="75"/>
      <c r="D306" s="75" t="s">
        <v>1472</v>
      </c>
      <c r="E306" s="72">
        <f>F337</f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75"/>
      <c r="C307" s="75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0"/>
      <c r="B308" s="75"/>
      <c r="C308" s="75"/>
      <c r="D308" s="70"/>
      <c r="E308" s="70"/>
      <c r="F308" s="70"/>
      <c r="G308" s="70"/>
      <c r="H308" s="70"/>
      <c r="I308" s="70"/>
      <c r="J308" s="70"/>
      <c r="K308" s="72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</row>
    <row r="309" spans="1:35" x14ac:dyDescent="0.45">
      <c r="A309" s="70"/>
      <c r="B309" s="75"/>
      <c r="C309" s="73" t="s">
        <v>1478</v>
      </c>
      <c r="D309" s="73"/>
      <c r="E309" s="72" t="str">
        <f>G329</f>
        <v>EF, Process non-ff co2 + all non-co2</v>
      </c>
      <c r="F309" s="70" t="s">
        <v>1479</v>
      </c>
      <c r="G309" s="70" t="s">
        <v>1480</v>
      </c>
      <c r="H309" s="71"/>
      <c r="I309" s="71"/>
      <c r="J309" s="71"/>
      <c r="K309" s="72"/>
      <c r="L309" s="74">
        <f>L298</f>
        <v>2022</v>
      </c>
      <c r="M309" s="74">
        <f>M298</f>
        <v>2023</v>
      </c>
      <c r="N309" s="74">
        <f>N298</f>
        <v>2024</v>
      </c>
      <c r="O309" s="74">
        <f>O298</f>
        <v>2025</v>
      </c>
      <c r="P309" s="74">
        <f>P298</f>
        <v>2026</v>
      </c>
      <c r="Q309" s="74">
        <f>Q298</f>
        <v>2027</v>
      </c>
      <c r="R309" s="74">
        <f>R298</f>
        <v>2028</v>
      </c>
      <c r="S309" s="74">
        <f>S298</f>
        <v>2029</v>
      </c>
      <c r="T309" s="74">
        <f>T298</f>
        <v>2030</v>
      </c>
      <c r="U309" s="74">
        <f>U298</f>
        <v>2031</v>
      </c>
      <c r="V309" s="74">
        <f>V298</f>
        <v>2032</v>
      </c>
      <c r="W309" s="74">
        <f>W298</f>
        <v>2033</v>
      </c>
      <c r="X309" s="74">
        <f>X298</f>
        <v>2034</v>
      </c>
      <c r="Y309" s="74">
        <f>Y298</f>
        <v>2035</v>
      </c>
      <c r="Z309" s="74">
        <f>Z298</f>
        <v>2036</v>
      </c>
      <c r="AA309" s="74">
        <f>AA298</f>
        <v>2037</v>
      </c>
      <c r="AB309" s="74">
        <f>AB298</f>
        <v>2038</v>
      </c>
      <c r="AC309" s="74">
        <f>AC298</f>
        <v>2039</v>
      </c>
      <c r="AD309" s="74">
        <f>AD298</f>
        <v>2040</v>
      </c>
      <c r="AE309" s="74">
        <f>AE298</f>
        <v>2041</v>
      </c>
      <c r="AF309" s="74"/>
      <c r="AG309" s="70"/>
      <c r="AH309" s="70"/>
      <c r="AI309" s="70"/>
    </row>
    <row r="310" spans="1:35" x14ac:dyDescent="0.45">
      <c r="A310" s="70"/>
      <c r="B310" s="75"/>
      <c r="C310" s="75"/>
      <c r="D310" s="75" t="s">
        <v>1451</v>
      </c>
      <c r="E310" s="72">
        <f>G330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2">
        <f>(F310*L247+G310*L248)*E310</f>
        <v>0</v>
      </c>
      <c r="M310" s="82">
        <f>(F310*M247+G310*M248)*E310</f>
        <v>0</v>
      </c>
      <c r="N310" s="82">
        <f>(F310*N247+G310*N248)*E310</f>
        <v>0</v>
      </c>
      <c r="O310" s="82">
        <f>(F310*O247+G310*O248)*E310</f>
        <v>0</v>
      </c>
      <c r="P310" s="82">
        <f>(F310*P247+G310*P248)*E310</f>
        <v>0</v>
      </c>
      <c r="Q310" s="82">
        <f>(F310*Q247+G310*Q248)*E310</f>
        <v>0</v>
      </c>
      <c r="R310" s="82">
        <f>(F310*R247+G310*R248)*E310</f>
        <v>0</v>
      </c>
      <c r="S310" s="82">
        <f>(F310*S247+G310*S248)*E310</f>
        <v>0</v>
      </c>
      <c r="T310" s="82">
        <f>(F310*T247+G310*T248)*E310</f>
        <v>0</v>
      </c>
      <c r="U310" s="82">
        <f>(F310*U247+G310*U248)*E310</f>
        <v>0</v>
      </c>
      <c r="V310" s="82">
        <f>(F310*V247+G310*V248)*E310</f>
        <v>0</v>
      </c>
      <c r="W310" s="82">
        <f>(F310*W247+G310*W248)*E310</f>
        <v>0</v>
      </c>
      <c r="X310" s="82">
        <f>(F310*X247+G310*X248)*E310</f>
        <v>0</v>
      </c>
      <c r="Y310" s="82">
        <f>(F310*Y247+G310*Y248)*E310</f>
        <v>0</v>
      </c>
      <c r="Z310" s="82">
        <f>(F310*Z247+G310*Z248)*E310</f>
        <v>0</v>
      </c>
      <c r="AA310" s="82">
        <f>(F310*AA247+G310*AA248)*E310</f>
        <v>0</v>
      </c>
      <c r="AB310" s="82">
        <f>(F310*AB247+G310*AB248)*E310</f>
        <v>0</v>
      </c>
      <c r="AC310" s="82">
        <f>(F310*AC247+G310*AC248)*E310</f>
        <v>0</v>
      </c>
      <c r="AD310" s="82">
        <f>(F310*AD247+G310*AD248)*E310</f>
        <v>0</v>
      </c>
      <c r="AE310" s="82">
        <f>(F310*AE247+G310*AE248)*E310</f>
        <v>0</v>
      </c>
      <c r="AF310" s="70"/>
      <c r="AG310" s="70"/>
      <c r="AH310" s="70"/>
      <c r="AI310" s="70"/>
    </row>
    <row r="311" spans="1:35" x14ac:dyDescent="0.45">
      <c r="A311" s="70"/>
      <c r="B311" s="75"/>
      <c r="C311" s="75"/>
      <c r="D311" s="75" t="s">
        <v>1454</v>
      </c>
      <c r="E311" s="72">
        <f>G331</f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2">
        <f>(F311*L247+G311*L248)*E311</f>
        <v>0</v>
      </c>
      <c r="M311" s="82">
        <f>(F311*M247+G311*M248)*E311</f>
        <v>0</v>
      </c>
      <c r="N311" s="82">
        <f>(F311*N247+G311*N248)*E311</f>
        <v>0</v>
      </c>
      <c r="O311" s="82">
        <f>(F311*O247+G311*O248)*E311</f>
        <v>0</v>
      </c>
      <c r="P311" s="82">
        <f>(F311*P247+G311*P248)*E311</f>
        <v>0</v>
      </c>
      <c r="Q311" s="82">
        <f>(F311*Q247+G311*Q248)*E311</f>
        <v>0</v>
      </c>
      <c r="R311" s="82">
        <f>(F311*R247+G311*R248)*E311</f>
        <v>0</v>
      </c>
      <c r="S311" s="82">
        <f>(F311*S247+G311*S248)*E311</f>
        <v>0</v>
      </c>
      <c r="T311" s="82">
        <f>(F311*T247+G311*T248)*E311</f>
        <v>0</v>
      </c>
      <c r="U311" s="82">
        <f>(F311*U247+G311*U248)*E311</f>
        <v>0</v>
      </c>
      <c r="V311" s="82">
        <f>(F311*V247+G311*V248)*E311</f>
        <v>0</v>
      </c>
      <c r="W311" s="82">
        <f>(F311*W247+G311*W248)*E311</f>
        <v>0</v>
      </c>
      <c r="X311" s="82">
        <f>(F311*X247+G311*X248)*E311</f>
        <v>0</v>
      </c>
      <c r="Y311" s="82">
        <f>(F311*Y247+G311*Y248)*E311</f>
        <v>0</v>
      </c>
      <c r="Z311" s="82">
        <f>(F311*Z247+G311*Z248)*E311</f>
        <v>0</v>
      </c>
      <c r="AA311" s="82">
        <f>(F311*AA247+G311*AA248)*E311</f>
        <v>0</v>
      </c>
      <c r="AB311" s="82">
        <f>(F311*AB247+G311*AB248)*E311</f>
        <v>0</v>
      </c>
      <c r="AC311" s="82">
        <f>(F311*AC247+G311*AC248)*E311</f>
        <v>0</v>
      </c>
      <c r="AD311" s="82">
        <f>(F311*AD247+G311*AD248)*E311</f>
        <v>0</v>
      </c>
      <c r="AE311" s="82">
        <f>(F311*AE247+G311*AE248)*E311</f>
        <v>0</v>
      </c>
      <c r="AF311" s="70"/>
      <c r="AG311" s="70"/>
      <c r="AH311" s="70"/>
      <c r="AI311" s="70"/>
    </row>
    <row r="312" spans="1:35" x14ac:dyDescent="0.45">
      <c r="A312" s="70"/>
      <c r="B312" s="75"/>
      <c r="C312" s="75"/>
      <c r="D312" s="75" t="s">
        <v>1457</v>
      </c>
      <c r="E312" s="72">
        <f>G332</f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2">
        <f>(F312*L247+G312*L248)*E312</f>
        <v>0</v>
      </c>
      <c r="M312" s="82">
        <f>(F312*M247+G312*M248)*E312</f>
        <v>0</v>
      </c>
      <c r="N312" s="82">
        <f>(F312*N247+G312*N248)*E312</f>
        <v>0</v>
      </c>
      <c r="O312" s="82">
        <f>(F312*O247+G312*O248)*E312</f>
        <v>0</v>
      </c>
      <c r="P312" s="82">
        <f>(F312*P247+G312*P248)*E312</f>
        <v>0</v>
      </c>
      <c r="Q312" s="82">
        <f>(F312*Q247+G312*Q248)*E312</f>
        <v>0</v>
      </c>
      <c r="R312" s="82">
        <f>(F312*R247+G312*R248)*E312</f>
        <v>0</v>
      </c>
      <c r="S312" s="82">
        <f>(F312*S247+G312*S248)*E312</f>
        <v>0</v>
      </c>
      <c r="T312" s="82">
        <f>(F312*T247+G312*T248)*E312</f>
        <v>0</v>
      </c>
      <c r="U312" s="82">
        <f>(F312*U247+G312*U248)*E312</f>
        <v>0</v>
      </c>
      <c r="V312" s="82">
        <f>(F312*V247+G312*V248)*E312</f>
        <v>0</v>
      </c>
      <c r="W312" s="82">
        <f>(F312*W247+G312*W248)*E312</f>
        <v>0</v>
      </c>
      <c r="X312" s="82">
        <f>(F312*X247+G312*X248)*E312</f>
        <v>0</v>
      </c>
      <c r="Y312" s="82">
        <f>(F312*Y247+G312*Y248)*E312</f>
        <v>0</v>
      </c>
      <c r="Z312" s="82">
        <f>(F312*Z247+G312*Z248)*E312</f>
        <v>0</v>
      </c>
      <c r="AA312" s="82">
        <f>(F312*AA247+G312*AA248)*E312</f>
        <v>0</v>
      </c>
      <c r="AB312" s="82">
        <f>(F312*AB247+G312*AB248)*E312</f>
        <v>0</v>
      </c>
      <c r="AC312" s="82">
        <f>(F312*AC247+G312*AC248)*E312</f>
        <v>0</v>
      </c>
      <c r="AD312" s="82">
        <f>(F312*AD247+G312*AD248)*E312</f>
        <v>0</v>
      </c>
      <c r="AE312" s="82">
        <f>(F312*AE247+G312*AE248)*E312</f>
        <v>0</v>
      </c>
      <c r="AF312" s="70"/>
      <c r="AG312" s="70"/>
      <c r="AH312" s="70"/>
      <c r="AI312" s="70"/>
    </row>
    <row r="313" spans="1:35" x14ac:dyDescent="0.45">
      <c r="A313" s="70"/>
      <c r="B313" s="75"/>
      <c r="C313" s="75"/>
      <c r="D313" s="75" t="s">
        <v>1460</v>
      </c>
      <c r="E313" s="72">
        <f>G333</f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2">
        <f>(F313*L247+G313*L248)*E313</f>
        <v>0</v>
      </c>
      <c r="M313" s="82">
        <f>(F313*M247+G313*M248)*E313</f>
        <v>0</v>
      </c>
      <c r="N313" s="82">
        <f>(F313*N247+G313*N248)*E313</f>
        <v>0</v>
      </c>
      <c r="O313" s="82">
        <f>(F313*O247+G313*O248)*E313</f>
        <v>0</v>
      </c>
      <c r="P313" s="82">
        <f>(F313*P247+G313*P248)*E313</f>
        <v>0</v>
      </c>
      <c r="Q313" s="82">
        <f>(F313*Q247+G313*Q248)*E313</f>
        <v>0</v>
      </c>
      <c r="R313" s="82">
        <f>(F313*R247+G313*R248)*E313</f>
        <v>0</v>
      </c>
      <c r="S313" s="82">
        <f>(F313*S247+G313*S248)*E313</f>
        <v>0</v>
      </c>
      <c r="T313" s="82">
        <f>(F313*T247+G313*T248)*E313</f>
        <v>0</v>
      </c>
      <c r="U313" s="82">
        <f>(F313*U247+G313*U248)*E313</f>
        <v>0</v>
      </c>
      <c r="V313" s="82">
        <f>(F313*V247+G313*V248)*E313</f>
        <v>0</v>
      </c>
      <c r="W313" s="82">
        <f>(F313*W247+G313*W248)*E313</f>
        <v>0</v>
      </c>
      <c r="X313" s="82">
        <f>(F313*X247+G313*X248)*E313</f>
        <v>0</v>
      </c>
      <c r="Y313" s="82">
        <f>(F313*Y247+G313*Y248)*E313</f>
        <v>0</v>
      </c>
      <c r="Z313" s="82">
        <f>(F313*Z247+G313*Z248)*E313</f>
        <v>0</v>
      </c>
      <c r="AA313" s="82">
        <f>(F313*AA247+G313*AA248)*E313</f>
        <v>0</v>
      </c>
      <c r="AB313" s="82">
        <f>(F313*AB247+G313*AB248)*E313</f>
        <v>0</v>
      </c>
      <c r="AC313" s="82">
        <f>(F313*AC247+G313*AC248)*E313</f>
        <v>0</v>
      </c>
      <c r="AD313" s="82">
        <f>(F313*AD247+G313*AD248)*E313</f>
        <v>0</v>
      </c>
      <c r="AE313" s="82">
        <f>(F313*AE247+G313*AE248)*E313</f>
        <v>0</v>
      </c>
      <c r="AF313" s="70"/>
      <c r="AG313" s="70"/>
      <c r="AH313" s="70"/>
      <c r="AI313" s="70"/>
    </row>
    <row r="314" spans="1:35" x14ac:dyDescent="0.45">
      <c r="A314" s="70"/>
      <c r="B314" s="75"/>
      <c r="C314" s="75"/>
      <c r="D314" s="75" t="s">
        <v>1463</v>
      </c>
      <c r="E314" s="72">
        <f>G334</f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2">
        <f>(F314*L247+G314*L248)*E314</f>
        <v>0</v>
      </c>
      <c r="M314" s="82">
        <f>(F314*M247+G314*M248)*E314</f>
        <v>0</v>
      </c>
      <c r="N314" s="82">
        <f>(F314*N247+G314*N248)*E314</f>
        <v>0</v>
      </c>
      <c r="O314" s="82">
        <f>(F314*O247+G314*O248)*E314</f>
        <v>0</v>
      </c>
      <c r="P314" s="82">
        <f>(F314*P247+G314*P248)*E314</f>
        <v>0</v>
      </c>
      <c r="Q314" s="82">
        <f>(F314*Q247+G314*Q248)*E314</f>
        <v>0</v>
      </c>
      <c r="R314" s="82">
        <f>(F314*R247+G314*R248)*E314</f>
        <v>0</v>
      </c>
      <c r="S314" s="82">
        <f>(F314*S247+G314*S248)*E314</f>
        <v>0</v>
      </c>
      <c r="T314" s="82">
        <f>(F314*T247+G314*T248)*E314</f>
        <v>0</v>
      </c>
      <c r="U314" s="82">
        <f>(F314*U247+G314*U248)*E314</f>
        <v>0</v>
      </c>
      <c r="V314" s="82">
        <f>(F314*V247+G314*V248)*E314</f>
        <v>0</v>
      </c>
      <c r="W314" s="82">
        <f>(F314*W247+G314*W248)*E314</f>
        <v>0</v>
      </c>
      <c r="X314" s="82">
        <f>(F314*X247+G314*X248)*E314</f>
        <v>0</v>
      </c>
      <c r="Y314" s="82">
        <f>(F314*Y247+G314*Y248)*E314</f>
        <v>0</v>
      </c>
      <c r="Z314" s="82">
        <f>(F314*Z247+G314*Z248)*E314</f>
        <v>0</v>
      </c>
      <c r="AA314" s="82">
        <f>(F314*AA247+G314*AA248)*E314</f>
        <v>0</v>
      </c>
      <c r="AB314" s="82">
        <f>(F314*AB247+G314*AB248)*E314</f>
        <v>0</v>
      </c>
      <c r="AC314" s="82">
        <f>(F314*AC247+G314*AC248)*E314</f>
        <v>0</v>
      </c>
      <c r="AD314" s="82">
        <f>(F314*AD247+G314*AD248)*E314</f>
        <v>0</v>
      </c>
      <c r="AE314" s="82">
        <f>(F314*AE247+G314*AE248)*E314</f>
        <v>0</v>
      </c>
      <c r="AF314" s="70"/>
      <c r="AG314" s="70"/>
      <c r="AH314" s="70"/>
      <c r="AI314" s="70"/>
    </row>
    <row r="315" spans="1:35" x14ac:dyDescent="0.45">
      <c r="A315" s="70"/>
      <c r="B315" s="75"/>
      <c r="C315" s="75"/>
      <c r="D315" s="75" t="s">
        <v>1466</v>
      </c>
      <c r="E315" s="72">
        <f>G335</f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2">
        <f>(F315*L247+G315*L248)*E315</f>
        <v>0</v>
      </c>
      <c r="M315" s="82">
        <f>(F315*M247+G315*M248)*E315</f>
        <v>0</v>
      </c>
      <c r="N315" s="82">
        <f>(F315*N247+G315*N248)*E315</f>
        <v>0</v>
      </c>
      <c r="O315" s="82">
        <f>(F315*O247+G315*O248)*E315</f>
        <v>0</v>
      </c>
      <c r="P315" s="82">
        <f>(F315*P247+G315*P248)*E315</f>
        <v>0</v>
      </c>
      <c r="Q315" s="82">
        <f>(F315*Q247+G315*Q248)*E315</f>
        <v>0</v>
      </c>
      <c r="R315" s="82">
        <f>(F315*R247+G315*R248)*E315</f>
        <v>0</v>
      </c>
      <c r="S315" s="82">
        <f>(F315*S247+G315*S248)*E315</f>
        <v>0</v>
      </c>
      <c r="T315" s="82">
        <f>(F315*T247+G315*T248)*E315</f>
        <v>0</v>
      </c>
      <c r="U315" s="82">
        <f>(F315*U247+G315*U248)*E315</f>
        <v>0</v>
      </c>
      <c r="V315" s="82">
        <f>(F315*V247+G315*V248)*E315</f>
        <v>0</v>
      </c>
      <c r="W315" s="82">
        <f>(F315*W247+G315*W248)*E315</f>
        <v>0</v>
      </c>
      <c r="X315" s="82">
        <f>(F315*X247+G315*X248)*E315</f>
        <v>0</v>
      </c>
      <c r="Y315" s="82">
        <f>(F315*Y247+G315*Y248)*E315</f>
        <v>0</v>
      </c>
      <c r="Z315" s="82">
        <f>(F315*Z247+G315*Z248)*E315</f>
        <v>0</v>
      </c>
      <c r="AA315" s="82">
        <f>(F315*AA247+G315*AA248)*E315</f>
        <v>0</v>
      </c>
      <c r="AB315" s="82">
        <f>(F315*AB247+G315*AB248)*E315</f>
        <v>0</v>
      </c>
      <c r="AC315" s="82">
        <f>(F315*AC247+G315*AC248)*E315</f>
        <v>0</v>
      </c>
      <c r="AD315" s="82">
        <f>(F315*AD247+G315*AD248)*E315</f>
        <v>0</v>
      </c>
      <c r="AE315" s="82">
        <f>(F315*AE247+G315*AE248)*E315</f>
        <v>0</v>
      </c>
      <c r="AF315" s="70"/>
      <c r="AG315" s="70"/>
      <c r="AH315" s="70"/>
      <c r="AI315" s="70"/>
    </row>
    <row r="316" spans="1:35" x14ac:dyDescent="0.45">
      <c r="A316" s="70"/>
      <c r="B316" s="75"/>
      <c r="C316" s="75"/>
      <c r="D316" s="75" t="s">
        <v>1469</v>
      </c>
      <c r="E316" s="72">
        <f>G336</f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2">
        <f>(F316*L247+G316*L248)*E316</f>
        <v>0</v>
      </c>
      <c r="M316" s="82">
        <f>(F316*M247+G316*M248)*E316</f>
        <v>0</v>
      </c>
      <c r="N316" s="82">
        <f>(F316*N247+G316*N248)*E316</f>
        <v>0</v>
      </c>
      <c r="O316" s="82">
        <f>(F316*O247+G316*O248)*E316</f>
        <v>0</v>
      </c>
      <c r="P316" s="82">
        <f>(F316*P247+G316*P248)*E316</f>
        <v>0</v>
      </c>
      <c r="Q316" s="82">
        <f>(F316*Q247+G316*Q248)*E316</f>
        <v>0</v>
      </c>
      <c r="R316" s="82">
        <f>(F316*R247+G316*R248)*E316</f>
        <v>0</v>
      </c>
      <c r="S316" s="82">
        <f>(F316*S247+G316*S248)*E316</f>
        <v>0</v>
      </c>
      <c r="T316" s="82">
        <f>(F316*T247+G316*T248)*E316</f>
        <v>0</v>
      </c>
      <c r="U316" s="82">
        <f>(F316*U247+G316*U248)*E316</f>
        <v>0</v>
      </c>
      <c r="V316" s="82">
        <f>(F316*V247+G316*V248)*E316</f>
        <v>0</v>
      </c>
      <c r="W316" s="82">
        <f>(F316*W247+G316*W248)*E316</f>
        <v>0</v>
      </c>
      <c r="X316" s="82">
        <f>(F316*X247+G316*X248)*E316</f>
        <v>0</v>
      </c>
      <c r="Y316" s="82">
        <f>(F316*Y247+G316*Y248)*E316</f>
        <v>0</v>
      </c>
      <c r="Z316" s="82">
        <f>(F316*Z247+G316*Z248)*E316</f>
        <v>0</v>
      </c>
      <c r="AA316" s="82">
        <f>(F316*AA247+G316*AA248)*E316</f>
        <v>0</v>
      </c>
      <c r="AB316" s="82">
        <f>(F316*AB247+G316*AB248)*E316</f>
        <v>0</v>
      </c>
      <c r="AC316" s="82">
        <f>(F316*AC247+G316*AC248)*E316</f>
        <v>0</v>
      </c>
      <c r="AD316" s="82">
        <f>(F316*AD247+G316*AD248)*E316</f>
        <v>0</v>
      </c>
      <c r="AE316" s="82">
        <f>(F316*AE247+G316*AE248)*E316</f>
        <v>0</v>
      </c>
      <c r="AF316" s="70"/>
      <c r="AG316" s="70"/>
      <c r="AH316" s="70"/>
      <c r="AI316" s="70"/>
    </row>
    <row r="317" spans="1:35" x14ac:dyDescent="0.45">
      <c r="A317" s="70"/>
      <c r="B317" s="75"/>
      <c r="C317" s="75"/>
      <c r="D317" s="75" t="s">
        <v>1472</v>
      </c>
      <c r="E317" s="72">
        <f>G337</f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2">
        <f>(F317*L247+G317*L248)*E317</f>
        <v>0</v>
      </c>
      <c r="M317" s="82">
        <f>(F317*M247+G317*M248)*E317</f>
        <v>0</v>
      </c>
      <c r="N317" s="82">
        <f>(F317*N247+G317*N248)*E317</f>
        <v>0</v>
      </c>
      <c r="O317" s="82">
        <f>(F317*O247+G317*O248)*E317</f>
        <v>0</v>
      </c>
      <c r="P317" s="82">
        <f>(F317*P247+G317*P248)*E317</f>
        <v>0</v>
      </c>
      <c r="Q317" s="82">
        <f>(F317*Q247+G317*Q248)*E317</f>
        <v>0</v>
      </c>
      <c r="R317" s="82">
        <f>(F317*R247+G317*R248)*E317</f>
        <v>0</v>
      </c>
      <c r="S317" s="82">
        <f>(F317*S247+G317*S248)*E317</f>
        <v>0</v>
      </c>
      <c r="T317" s="82">
        <f>(F317*T247+G317*T248)*E317</f>
        <v>0</v>
      </c>
      <c r="U317" s="82">
        <f>(F317*U247+G317*U248)*E317</f>
        <v>0</v>
      </c>
      <c r="V317" s="82">
        <f>(F317*V247+G317*V248)*E317</f>
        <v>0</v>
      </c>
      <c r="W317" s="82">
        <f>(F317*W247+G317*W248)*E317</f>
        <v>0</v>
      </c>
      <c r="X317" s="82">
        <f>(F317*X247+G317*X248)*E317</f>
        <v>0</v>
      </c>
      <c r="Y317" s="82">
        <f>(F317*Y247+G317*Y248)*E317</f>
        <v>0</v>
      </c>
      <c r="Z317" s="82">
        <f>(F317*Z247+G317*Z248)*E317</f>
        <v>0</v>
      </c>
      <c r="AA317" s="82">
        <f>(F317*AA247+G317*AA248)*E317</f>
        <v>0</v>
      </c>
      <c r="AB317" s="82">
        <f>(F317*AB247+G317*AB248)*E317</f>
        <v>0</v>
      </c>
      <c r="AC317" s="82">
        <f>(F317*AC247+G317*AC248)*E317</f>
        <v>0</v>
      </c>
      <c r="AD317" s="82">
        <f>(F317*AD247+G317*AD248)*E317</f>
        <v>0</v>
      </c>
      <c r="AE317" s="82">
        <f>(F317*AE247+G317*AE248)*E317</f>
        <v>0</v>
      </c>
      <c r="AF317" s="70"/>
      <c r="AG317" s="70"/>
      <c r="AH317" s="70"/>
      <c r="AI317" s="70"/>
    </row>
    <row r="318" spans="1:35" x14ac:dyDescent="0.45">
      <c r="A318" s="70"/>
      <c r="B318" s="75"/>
      <c r="C318" s="75"/>
      <c r="D318" s="75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75"/>
      <c r="C319" s="73" t="s">
        <v>1481</v>
      </c>
      <c r="D319" s="73"/>
      <c r="E319" s="71"/>
      <c r="F319" s="71"/>
      <c r="G319" s="71"/>
      <c r="H319" s="71"/>
      <c r="I319" s="71"/>
      <c r="J319" s="71"/>
      <c r="K319" s="72"/>
      <c r="L319" s="74">
        <f>L309</f>
        <v>2022</v>
      </c>
      <c r="M319" s="74">
        <f>M309</f>
        <v>2023</v>
      </c>
      <c r="N319" s="74">
        <f>N309</f>
        <v>2024</v>
      </c>
      <c r="O319" s="74">
        <f>O309</f>
        <v>2025</v>
      </c>
      <c r="P319" s="74">
        <f>P309</f>
        <v>2026</v>
      </c>
      <c r="Q319" s="74">
        <f>Q309</f>
        <v>2027</v>
      </c>
      <c r="R319" s="74">
        <f>R309</f>
        <v>2028</v>
      </c>
      <c r="S319" s="74">
        <f>S309</f>
        <v>2029</v>
      </c>
      <c r="T319" s="74">
        <f>T309</f>
        <v>2030</v>
      </c>
      <c r="U319" s="74">
        <f>U309</f>
        <v>2031</v>
      </c>
      <c r="V319" s="74">
        <f>V309</f>
        <v>2032</v>
      </c>
      <c r="W319" s="74">
        <f>W309</f>
        <v>2033</v>
      </c>
      <c r="X319" s="74">
        <f>X309</f>
        <v>2034</v>
      </c>
      <c r="Y319" s="74">
        <f>Y309</f>
        <v>2035</v>
      </c>
      <c r="Z319" s="74">
        <f>Z309</f>
        <v>2036</v>
      </c>
      <c r="AA319" s="74">
        <f>AA309</f>
        <v>2037</v>
      </c>
      <c r="AB319" s="74">
        <f>AB309</f>
        <v>2038</v>
      </c>
      <c r="AC319" s="74">
        <f>AC309</f>
        <v>2039</v>
      </c>
      <c r="AD319" s="74">
        <f>AD309</f>
        <v>2040</v>
      </c>
      <c r="AE319" s="74">
        <f>AE309</f>
        <v>2041</v>
      </c>
      <c r="AF319" s="74"/>
      <c r="AG319" s="70"/>
      <c r="AH319" s="70"/>
      <c r="AI319" s="70"/>
    </row>
    <row r="320" spans="1:35" x14ac:dyDescent="0.45">
      <c r="A320" s="70"/>
      <c r="B320" s="75"/>
      <c r="C320" s="75"/>
      <c r="D320" s="75" t="s">
        <v>1451</v>
      </c>
      <c r="E320" s="70"/>
      <c r="F320" s="70"/>
      <c r="G320" s="70"/>
      <c r="H320" s="70"/>
      <c r="I320" s="70"/>
      <c r="J320" s="70"/>
      <c r="K320" s="72"/>
      <c r="L320" s="79">
        <f>(L310+L299)/L288</f>
        <v>0</v>
      </c>
      <c r="M320" s="79">
        <f>(M310+M299)/M288</f>
        <v>0</v>
      </c>
      <c r="N320" s="79">
        <f>(N310+N299)/N288</f>
        <v>0</v>
      </c>
      <c r="O320" s="79">
        <f>(O310+O299)/O288</f>
        <v>0</v>
      </c>
      <c r="P320" s="79">
        <f>(P310+P299)/P288</f>
        <v>0</v>
      </c>
      <c r="Q320" s="79">
        <f>(Q310+Q299)/Q288</f>
        <v>0</v>
      </c>
      <c r="R320" s="79">
        <f>(R310+R299)/R288</f>
        <v>0</v>
      </c>
      <c r="S320" s="79">
        <f>(S310+S299)/S288</f>
        <v>0</v>
      </c>
      <c r="T320" s="79">
        <f>(T310+T299)/T288</f>
        <v>0</v>
      </c>
      <c r="U320" s="79">
        <f>(U310+U299)/U288</f>
        <v>0</v>
      </c>
      <c r="V320" s="79">
        <f>(V310+V299)/V288</f>
        <v>0</v>
      </c>
      <c r="W320" s="79">
        <f>(W310+W299)/W288</f>
        <v>0</v>
      </c>
      <c r="X320" s="79">
        <f>(X310+X299)/X288</f>
        <v>0</v>
      </c>
      <c r="Y320" s="79">
        <f>(Y310+Y299)/Y288</f>
        <v>0</v>
      </c>
      <c r="Z320" s="79">
        <f>(Z310+Z299)/Z288</f>
        <v>0</v>
      </c>
      <c r="AA320" s="79">
        <f>(AA310+AA299)/AA288</f>
        <v>0</v>
      </c>
      <c r="AB320" s="79">
        <f>(AB310+AB299)/AB288</f>
        <v>0</v>
      </c>
      <c r="AC320" s="79">
        <f>(AC310+AC299)/AC288</f>
        <v>0</v>
      </c>
      <c r="AD320" s="79">
        <f>(AD310+AD299)/AD288</f>
        <v>0</v>
      </c>
      <c r="AE320" s="79">
        <f>(AE310+AE299)/AE288</f>
        <v>0</v>
      </c>
      <c r="AF320" s="70"/>
      <c r="AG320" s="70"/>
      <c r="AH320" s="70"/>
      <c r="AI320" s="70"/>
    </row>
    <row r="321" spans="1:35" x14ac:dyDescent="0.45">
      <c r="A321" s="70"/>
      <c r="B321" s="75"/>
      <c r="C321" s="75"/>
      <c r="D321" s="75" t="s">
        <v>1454</v>
      </c>
      <c r="E321" s="70"/>
      <c r="F321" s="70"/>
      <c r="G321" s="70"/>
      <c r="H321" s="70"/>
      <c r="I321" s="70"/>
      <c r="J321" s="70"/>
      <c r="K321" s="72"/>
      <c r="L321" s="79">
        <f>(L311+L300)/L289</f>
        <v>0</v>
      </c>
      <c r="M321" s="79">
        <f>(M311+M300)/M289</f>
        <v>0</v>
      </c>
      <c r="N321" s="79">
        <f>(N311+N300)/N289</f>
        <v>0</v>
      </c>
      <c r="O321" s="79">
        <f>(O311+O300)/O289</f>
        <v>0</v>
      </c>
      <c r="P321" s="79">
        <f>(P311+P300)/P289</f>
        <v>0</v>
      </c>
      <c r="Q321" s="79">
        <f>(Q311+Q300)/Q289</f>
        <v>0</v>
      </c>
      <c r="R321" s="79">
        <f>(R311+R300)/R289</f>
        <v>0</v>
      </c>
      <c r="S321" s="79">
        <f>(S311+S300)/S289</f>
        <v>0</v>
      </c>
      <c r="T321" s="79">
        <f>(T311+T300)/T289</f>
        <v>0</v>
      </c>
      <c r="U321" s="79">
        <f>(U311+U300)/U289</f>
        <v>0</v>
      </c>
      <c r="V321" s="79">
        <f>(V311+V300)/V289</f>
        <v>0</v>
      </c>
      <c r="W321" s="79">
        <f>(W311+W300)/W289</f>
        <v>0</v>
      </c>
      <c r="X321" s="79">
        <f>(X311+X300)/X289</f>
        <v>0</v>
      </c>
      <c r="Y321" s="79">
        <f>(Y311+Y300)/Y289</f>
        <v>0</v>
      </c>
      <c r="Z321" s="79">
        <f>(Z311+Z300)/Z289</f>
        <v>0</v>
      </c>
      <c r="AA321" s="79">
        <f>(AA311+AA300)/AA289</f>
        <v>0</v>
      </c>
      <c r="AB321" s="79">
        <f>(AB311+AB300)/AB289</f>
        <v>0</v>
      </c>
      <c r="AC321" s="79">
        <f>(AC311+AC300)/AC289</f>
        <v>0</v>
      </c>
      <c r="AD321" s="79">
        <f>(AD311+AD300)/AD289</f>
        <v>0</v>
      </c>
      <c r="AE321" s="79">
        <f>(AE311+AE300)/AE289</f>
        <v>0</v>
      </c>
      <c r="AF321" s="70"/>
      <c r="AG321" s="70"/>
      <c r="AH321" s="70"/>
      <c r="AI321" s="70"/>
    </row>
    <row r="322" spans="1:35" x14ac:dyDescent="0.45">
      <c r="A322" s="70"/>
      <c r="B322" s="75"/>
      <c r="C322" s="75"/>
      <c r="D322" s="75" t="s">
        <v>1457</v>
      </c>
      <c r="E322" s="70"/>
      <c r="F322" s="70"/>
      <c r="G322" s="70"/>
      <c r="H322" s="70"/>
      <c r="I322" s="70"/>
      <c r="J322" s="70"/>
      <c r="K322" s="72"/>
      <c r="L322" s="79">
        <f>(L312+L301)/L290</f>
        <v>0</v>
      </c>
      <c r="M322" s="79">
        <f>(M312+M301)/M290</f>
        <v>0</v>
      </c>
      <c r="N322" s="79">
        <f>(N312+N301)/N290</f>
        <v>0</v>
      </c>
      <c r="O322" s="79">
        <f>(O312+O301)/O290</f>
        <v>0</v>
      </c>
      <c r="P322" s="79">
        <f>(P312+P301)/P290</f>
        <v>0</v>
      </c>
      <c r="Q322" s="79">
        <f>(Q312+Q301)/Q290</f>
        <v>0</v>
      </c>
      <c r="R322" s="79">
        <f>(R312+R301)/R290</f>
        <v>0</v>
      </c>
      <c r="S322" s="79">
        <f>(S312+S301)/S290</f>
        <v>0</v>
      </c>
      <c r="T322" s="79">
        <f>(T312+T301)/T290</f>
        <v>0</v>
      </c>
      <c r="U322" s="79">
        <f>(U312+U301)/U290</f>
        <v>0</v>
      </c>
      <c r="V322" s="79">
        <f>(V312+V301)/V290</f>
        <v>0</v>
      </c>
      <c r="W322" s="79">
        <f>(W312+W301)/W290</f>
        <v>0</v>
      </c>
      <c r="X322" s="79">
        <f>(X312+X301)/X290</f>
        <v>0</v>
      </c>
      <c r="Y322" s="79">
        <f>(Y312+Y301)/Y290</f>
        <v>0</v>
      </c>
      <c r="Z322" s="79">
        <f>(Z312+Z301)/Z290</f>
        <v>0</v>
      </c>
      <c r="AA322" s="79">
        <f>(AA312+AA301)/AA290</f>
        <v>0</v>
      </c>
      <c r="AB322" s="79">
        <f>(AB312+AB301)/AB290</f>
        <v>0</v>
      </c>
      <c r="AC322" s="79">
        <f>(AC312+AC301)/AC290</f>
        <v>0</v>
      </c>
      <c r="AD322" s="79">
        <f>(AD312+AD301)/AD290</f>
        <v>0</v>
      </c>
      <c r="AE322" s="79">
        <f>(AE312+AE301)/AE290</f>
        <v>0</v>
      </c>
      <c r="AF322" s="70"/>
      <c r="AG322" s="70"/>
      <c r="AH322" s="70"/>
      <c r="AI322" s="70"/>
    </row>
    <row r="323" spans="1:35" x14ac:dyDescent="0.45">
      <c r="A323" s="70"/>
      <c r="B323" s="75"/>
      <c r="C323" s="75"/>
      <c r="D323" s="75" t="s">
        <v>1460</v>
      </c>
      <c r="E323" s="70"/>
      <c r="F323" s="70"/>
      <c r="G323" s="70"/>
      <c r="H323" s="70"/>
      <c r="I323" s="70"/>
      <c r="J323" s="70"/>
      <c r="K323" s="72"/>
      <c r="L323" s="79">
        <f>(L313+L302)/L291</f>
        <v>0</v>
      </c>
      <c r="M323" s="79">
        <f>(M313+M302)/M291</f>
        <v>0</v>
      </c>
      <c r="N323" s="79">
        <f>(N313+N302)/N291</f>
        <v>0</v>
      </c>
      <c r="O323" s="79">
        <f>(O313+O302)/O291</f>
        <v>0</v>
      </c>
      <c r="P323" s="79">
        <f>(P313+P302)/P291</f>
        <v>0</v>
      </c>
      <c r="Q323" s="79">
        <f>(Q313+Q302)/Q291</f>
        <v>0</v>
      </c>
      <c r="R323" s="79">
        <f>(R313+R302)/R291</f>
        <v>0</v>
      </c>
      <c r="S323" s="79">
        <f>(S313+S302)/S291</f>
        <v>0</v>
      </c>
      <c r="T323" s="79">
        <f>(T313+T302)/T291</f>
        <v>0</v>
      </c>
      <c r="U323" s="79">
        <f>(U313+U302)/U291</f>
        <v>0</v>
      </c>
      <c r="V323" s="79">
        <f>(V313+V302)/V291</f>
        <v>0</v>
      </c>
      <c r="W323" s="79">
        <f>(W313+W302)/W291</f>
        <v>0</v>
      </c>
      <c r="X323" s="79">
        <f>(X313+X302)/X291</f>
        <v>0</v>
      </c>
      <c r="Y323" s="79">
        <f>(Y313+Y302)/Y291</f>
        <v>0</v>
      </c>
      <c r="Z323" s="79">
        <f>(Z313+Z302)/Z291</f>
        <v>0</v>
      </c>
      <c r="AA323" s="79">
        <f>(AA313+AA302)/AA291</f>
        <v>0</v>
      </c>
      <c r="AB323" s="79">
        <f>(AB313+AB302)/AB291</f>
        <v>0</v>
      </c>
      <c r="AC323" s="79">
        <f>(AC313+AC302)/AC291</f>
        <v>0</v>
      </c>
      <c r="AD323" s="79">
        <f>(AD313+AD302)/AD291</f>
        <v>0</v>
      </c>
      <c r="AE323" s="79">
        <f>(AE313+AE302)/AE291</f>
        <v>0</v>
      </c>
      <c r="AF323" s="70"/>
      <c r="AG323" s="70"/>
      <c r="AH323" s="70"/>
      <c r="AI323" s="70"/>
    </row>
    <row r="324" spans="1:35" x14ac:dyDescent="0.45">
      <c r="A324" s="70"/>
      <c r="B324" s="75"/>
      <c r="C324" s="75"/>
      <c r="D324" s="75" t="s">
        <v>1463</v>
      </c>
      <c r="E324" s="70"/>
      <c r="F324" s="70"/>
      <c r="G324" s="70"/>
      <c r="H324" s="70"/>
      <c r="I324" s="70"/>
      <c r="J324" s="70"/>
      <c r="K324" s="72"/>
      <c r="L324" s="79">
        <f>(L314+L303)/L292</f>
        <v>0</v>
      </c>
      <c r="M324" s="79">
        <f>(M314+M303)/M292</f>
        <v>0</v>
      </c>
      <c r="N324" s="79">
        <f>(N314+N303)/N292</f>
        <v>0</v>
      </c>
      <c r="O324" s="79">
        <f>(O314+O303)/O292</f>
        <v>0</v>
      </c>
      <c r="P324" s="79">
        <f>(P314+P303)/P292</f>
        <v>0</v>
      </c>
      <c r="Q324" s="79">
        <f>(Q314+Q303)/Q292</f>
        <v>0</v>
      </c>
      <c r="R324" s="79">
        <f>(R314+R303)/R292</f>
        <v>0</v>
      </c>
      <c r="S324" s="79">
        <f>(S314+S303)/S292</f>
        <v>0</v>
      </c>
      <c r="T324" s="79">
        <f>(T314+T303)/T292</f>
        <v>0</v>
      </c>
      <c r="U324" s="79">
        <f>(U314+U303)/U292</f>
        <v>0</v>
      </c>
      <c r="V324" s="79">
        <f>(V314+V303)/V292</f>
        <v>0</v>
      </c>
      <c r="W324" s="79">
        <f>(W314+W303)/W292</f>
        <v>0</v>
      </c>
      <c r="X324" s="79">
        <f>(X314+X303)/X292</f>
        <v>0</v>
      </c>
      <c r="Y324" s="79">
        <f>(Y314+Y303)/Y292</f>
        <v>0</v>
      </c>
      <c r="Z324" s="79">
        <f>(Z314+Z303)/Z292</f>
        <v>0</v>
      </c>
      <c r="AA324" s="79">
        <f>(AA314+AA303)/AA292</f>
        <v>0</v>
      </c>
      <c r="AB324" s="79">
        <f>(AB314+AB303)/AB292</f>
        <v>0</v>
      </c>
      <c r="AC324" s="79">
        <f>(AC314+AC303)/AC292</f>
        <v>0</v>
      </c>
      <c r="AD324" s="79">
        <f>(AD314+AD303)/AD292</f>
        <v>0</v>
      </c>
      <c r="AE324" s="79">
        <f>(AE314+AE303)/AE292</f>
        <v>0</v>
      </c>
      <c r="AF324" s="70"/>
      <c r="AG324" s="70"/>
      <c r="AH324" s="70"/>
      <c r="AI324" s="70"/>
    </row>
    <row r="325" spans="1:35" x14ac:dyDescent="0.45">
      <c r="A325" s="70"/>
      <c r="B325" s="75"/>
      <c r="C325" s="75"/>
      <c r="D325" s="75" t="s">
        <v>1466</v>
      </c>
      <c r="E325" s="70"/>
      <c r="F325" s="70"/>
      <c r="G325" s="70"/>
      <c r="H325" s="70"/>
      <c r="I325" s="70"/>
      <c r="J325" s="70"/>
      <c r="K325" s="72"/>
      <c r="L325" s="79">
        <f>(L315+L304)/L293</f>
        <v>0</v>
      </c>
      <c r="M325" s="79">
        <f>(M315+M304)/M293</f>
        <v>0</v>
      </c>
      <c r="N325" s="79">
        <f>(N315+N304)/N293</f>
        <v>0</v>
      </c>
      <c r="O325" s="79">
        <f>(O315+O304)/O293</f>
        <v>0</v>
      </c>
      <c r="P325" s="79">
        <f>(P315+P304)/P293</f>
        <v>0</v>
      </c>
      <c r="Q325" s="79">
        <f>(Q315+Q304)/Q293</f>
        <v>0</v>
      </c>
      <c r="R325" s="79">
        <f>(R315+R304)/R293</f>
        <v>0</v>
      </c>
      <c r="S325" s="79">
        <f>(S315+S304)/S293</f>
        <v>0</v>
      </c>
      <c r="T325" s="79">
        <f>(T315+T304)/T293</f>
        <v>0</v>
      </c>
      <c r="U325" s="79">
        <f>(U315+U304)/U293</f>
        <v>0</v>
      </c>
      <c r="V325" s="79">
        <f>(V315+V304)/V293</f>
        <v>0</v>
      </c>
      <c r="W325" s="79">
        <f>(W315+W304)/W293</f>
        <v>0</v>
      </c>
      <c r="X325" s="79">
        <f>(X315+X304)/X293</f>
        <v>0</v>
      </c>
      <c r="Y325" s="79">
        <f>(Y315+Y304)/Y293</f>
        <v>0</v>
      </c>
      <c r="Z325" s="79">
        <f>(Z315+Z304)/Z293</f>
        <v>0</v>
      </c>
      <c r="AA325" s="79">
        <f>(AA315+AA304)/AA293</f>
        <v>0</v>
      </c>
      <c r="AB325" s="79">
        <f>(AB315+AB304)/AB293</f>
        <v>0</v>
      </c>
      <c r="AC325" s="79">
        <f>(AC315+AC304)/AC293</f>
        <v>0</v>
      </c>
      <c r="AD325" s="79">
        <f>(AD315+AD304)/AD293</f>
        <v>0</v>
      </c>
      <c r="AE325" s="79">
        <f>(AE315+AE304)/AE293</f>
        <v>0</v>
      </c>
      <c r="AF325" s="70"/>
      <c r="AG325" s="70"/>
      <c r="AH325" s="70"/>
      <c r="AI325" s="70"/>
    </row>
    <row r="326" spans="1:35" x14ac:dyDescent="0.45">
      <c r="A326" s="70"/>
      <c r="B326" s="75"/>
      <c r="C326" s="75"/>
      <c r="D326" s="75" t="s">
        <v>1469</v>
      </c>
      <c r="E326" s="70"/>
      <c r="F326" s="70"/>
      <c r="G326" s="70"/>
      <c r="H326" s="70"/>
      <c r="I326" s="70"/>
      <c r="J326" s="70"/>
      <c r="K326" s="72"/>
      <c r="L326" s="79">
        <f>(L316+L305)/L294</f>
        <v>0</v>
      </c>
      <c r="M326" s="79">
        <f>(M316+M305)/M294</f>
        <v>0</v>
      </c>
      <c r="N326" s="79">
        <f>(N316+N305)/N294</f>
        <v>0</v>
      </c>
      <c r="O326" s="79">
        <f>(O316+O305)/O294</f>
        <v>0</v>
      </c>
      <c r="P326" s="79">
        <f>(P316+P305)/P294</f>
        <v>0</v>
      </c>
      <c r="Q326" s="79">
        <f>(Q316+Q305)/Q294</f>
        <v>0</v>
      </c>
      <c r="R326" s="79">
        <f>(R316+R305)/R294</f>
        <v>0</v>
      </c>
      <c r="S326" s="79">
        <f>(S316+S305)/S294</f>
        <v>0</v>
      </c>
      <c r="T326" s="79">
        <f>(T316+T305)/T294</f>
        <v>0</v>
      </c>
      <c r="U326" s="79">
        <f>(U316+U305)/U294</f>
        <v>0</v>
      </c>
      <c r="V326" s="79">
        <f>(V316+V305)/V294</f>
        <v>0</v>
      </c>
      <c r="W326" s="79">
        <f>(W316+W305)/W294</f>
        <v>0</v>
      </c>
      <c r="X326" s="79">
        <f>(X316+X305)/X294</f>
        <v>0</v>
      </c>
      <c r="Y326" s="79">
        <f>(Y316+Y305)/Y294</f>
        <v>0</v>
      </c>
      <c r="Z326" s="79">
        <f>(Z316+Z305)/Z294</f>
        <v>0</v>
      </c>
      <c r="AA326" s="79">
        <f>(AA316+AA305)/AA294</f>
        <v>0</v>
      </c>
      <c r="AB326" s="79">
        <f>(AB316+AB305)/AB294</f>
        <v>0</v>
      </c>
      <c r="AC326" s="79">
        <f>(AC316+AC305)/AC294</f>
        <v>0</v>
      </c>
      <c r="AD326" s="79">
        <f>(AD316+AD305)/AD294</f>
        <v>0</v>
      </c>
      <c r="AE326" s="79">
        <f>(AE316+AE305)/AE294</f>
        <v>0</v>
      </c>
      <c r="AF326" s="70"/>
      <c r="AG326" s="70"/>
      <c r="AH326" s="70"/>
      <c r="AI326" s="70"/>
    </row>
    <row r="327" spans="1:35" x14ac:dyDescent="0.45">
      <c r="A327" s="70"/>
      <c r="B327" s="75"/>
      <c r="C327" s="75"/>
      <c r="D327" s="75" t="s">
        <v>1472</v>
      </c>
      <c r="E327" s="70"/>
      <c r="F327" s="70"/>
      <c r="G327" s="70"/>
      <c r="H327" s="70"/>
      <c r="I327" s="70"/>
      <c r="J327" s="70"/>
      <c r="K327" s="72"/>
      <c r="L327" s="79">
        <f>(L317+L306)/L295</f>
        <v>0</v>
      </c>
      <c r="M327" s="79">
        <f>(M317+M306)/M295</f>
        <v>0</v>
      </c>
      <c r="N327" s="79">
        <f>(N317+N306)/N295</f>
        <v>0</v>
      </c>
      <c r="O327" s="79">
        <f>(O317+O306)/O295</f>
        <v>0</v>
      </c>
      <c r="P327" s="79">
        <f>(P317+P306)/P295</f>
        <v>0</v>
      </c>
      <c r="Q327" s="79">
        <f>(Q317+Q306)/Q295</f>
        <v>0</v>
      </c>
      <c r="R327" s="79">
        <f>(R317+R306)/R295</f>
        <v>0</v>
      </c>
      <c r="S327" s="79">
        <f>(S317+S306)/S295</f>
        <v>0</v>
      </c>
      <c r="T327" s="79">
        <f>(T317+T306)/T295</f>
        <v>0</v>
      </c>
      <c r="U327" s="79">
        <f>(U317+U306)/U295</f>
        <v>0</v>
      </c>
      <c r="V327" s="79">
        <f>(V317+V306)/V295</f>
        <v>0</v>
      </c>
      <c r="W327" s="79">
        <f>(W317+W306)/W295</f>
        <v>0</v>
      </c>
      <c r="X327" s="79">
        <f>(X317+X306)/X295</f>
        <v>0</v>
      </c>
      <c r="Y327" s="79">
        <f>(Y317+Y306)/Y295</f>
        <v>0</v>
      </c>
      <c r="Z327" s="79">
        <f>(Z317+Z306)/Z295</f>
        <v>0</v>
      </c>
      <c r="AA327" s="79">
        <f>(AA317+AA306)/AA295</f>
        <v>0</v>
      </c>
      <c r="AB327" s="79">
        <f>(AB317+AB306)/AB295</f>
        <v>0</v>
      </c>
      <c r="AC327" s="79">
        <f>(AC317+AC306)/AC295</f>
        <v>0</v>
      </c>
      <c r="AD327" s="79">
        <f>(AD317+AD306)/AD295</f>
        <v>0</v>
      </c>
      <c r="AE327" s="79">
        <f>(AE317+AE306)/AE295</f>
        <v>0</v>
      </c>
      <c r="AF327" s="70"/>
      <c r="AG327" s="70"/>
      <c r="AH327" s="70"/>
      <c r="AI327" s="70"/>
    </row>
    <row r="328" spans="1:35" x14ac:dyDescent="0.45">
      <c r="A328" s="70"/>
      <c r="B328" s="75"/>
      <c r="C328" s="75"/>
      <c r="D328" s="75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75"/>
      <c r="C329" s="73" t="s">
        <v>1482</v>
      </c>
      <c r="D329" s="73"/>
      <c r="E329" s="70"/>
      <c r="F329" s="72" t="s">
        <v>1483</v>
      </c>
      <c r="G329" s="72" t="s">
        <v>1484</v>
      </c>
      <c r="H329" s="72" t="s">
        <v>1485</v>
      </c>
      <c r="I329" s="72"/>
      <c r="J329" s="72"/>
      <c r="K329" s="72"/>
      <c r="L329" s="74">
        <f>L340</f>
        <v>2022</v>
      </c>
      <c r="M329" s="74">
        <f>M340</f>
        <v>2023</v>
      </c>
      <c r="N329" s="74">
        <f>N340</f>
        <v>2024</v>
      </c>
      <c r="O329" s="74">
        <f>O340</f>
        <v>2025</v>
      </c>
      <c r="P329" s="74">
        <f>P340</f>
        <v>2026</v>
      </c>
      <c r="Q329" s="74">
        <f>Q340</f>
        <v>2027</v>
      </c>
      <c r="R329" s="74">
        <f>R340</f>
        <v>2028</v>
      </c>
      <c r="S329" s="74">
        <f>S340</f>
        <v>2029</v>
      </c>
      <c r="T329" s="74">
        <f>T340</f>
        <v>2030</v>
      </c>
      <c r="U329" s="74">
        <f>U340</f>
        <v>2031</v>
      </c>
      <c r="V329" s="74">
        <f>V340</f>
        <v>2032</v>
      </c>
      <c r="W329" s="74">
        <f>W340</f>
        <v>2033</v>
      </c>
      <c r="X329" s="74">
        <f>X340</f>
        <v>2034</v>
      </c>
      <c r="Y329" s="74">
        <f>Y340</f>
        <v>2035</v>
      </c>
      <c r="Z329" s="74">
        <f>Z340</f>
        <v>2036</v>
      </c>
      <c r="AA329" s="74">
        <f>AA340</f>
        <v>2037</v>
      </c>
      <c r="AB329" s="74">
        <f>AB340</f>
        <v>2038</v>
      </c>
      <c r="AC329" s="74">
        <f>AC340</f>
        <v>2039</v>
      </c>
      <c r="AD329" s="74">
        <f>AD340</f>
        <v>2040</v>
      </c>
      <c r="AE329" s="74">
        <f>AE340</f>
        <v>2041</v>
      </c>
      <c r="AF329" s="74"/>
      <c r="AG329" s="70"/>
      <c r="AH329" s="70"/>
      <c r="AI329" s="70"/>
    </row>
    <row r="330" spans="1:35" x14ac:dyDescent="0.45">
      <c r="A330" s="71"/>
      <c r="B330" s="75"/>
      <c r="C330" s="71"/>
      <c r="D330" s="75" t="s">
        <v>1350</v>
      </c>
      <c r="E330" s="71" t="s">
        <v>1486</v>
      </c>
      <c r="F330" s="72">
        <f>H264+I264</f>
        <v>0.69003000000000003</v>
      </c>
      <c r="G330" s="72">
        <f>MAX(J264+K264,0)</f>
        <v>0.04</v>
      </c>
      <c r="H330" s="72">
        <f>G330/F330</f>
        <v>5.7968494123443903E-2</v>
      </c>
      <c r="I330" s="70"/>
      <c r="J330" s="70"/>
      <c r="K330" s="72"/>
      <c r="L330" s="72">
        <f>L276*$F330/1000</f>
        <v>3.2287703131193024</v>
      </c>
      <c r="M330" s="72">
        <f>M276*$F330/1000</f>
        <v>3.3708362068965516</v>
      </c>
      <c r="N330" s="72">
        <f>N276*$F330/1000</f>
        <v>3.5191530000000002</v>
      </c>
      <c r="O330" s="72">
        <f>O276*$F330/1000</f>
        <v>3.6739957320000007</v>
      </c>
      <c r="P330" s="72">
        <f>P276*$F330/1000</f>
        <v>3.8356515442080008</v>
      </c>
      <c r="Q330" s="72">
        <f>Q276*$F330/1000</f>
        <v>4.0044202121531534</v>
      </c>
      <c r="R330" s="72">
        <f>R276*$F330/1000</f>
        <v>4.1806147014878912</v>
      </c>
      <c r="S330" s="72">
        <f>S276*$F330/1000</f>
        <v>4.3645617483533599</v>
      </c>
      <c r="T330" s="72">
        <f>T276*$F330/1000</f>
        <v>4.556602465280907</v>
      </c>
      <c r="U330" s="72">
        <f>U276*$F330/1000</f>
        <v>4.7570929737532675</v>
      </c>
      <c r="V330" s="72">
        <f>V276*$F330/1000</f>
        <v>4.9664050645984119</v>
      </c>
      <c r="W330" s="72">
        <f>W276*$F330/1000</f>
        <v>5.1849268874407413</v>
      </c>
      <c r="X330" s="72">
        <f>X276*$F330/1000</f>
        <v>5.4130636704881345</v>
      </c>
      <c r="Y330" s="72">
        <f>Y276*$F330/1000</f>
        <v>5.6512384719896129</v>
      </c>
      <c r="Z330" s="72">
        <f>Z276*$F330/1000</f>
        <v>5.8998929647571554</v>
      </c>
      <c r="AA330" s="72">
        <f>AA276*$F330/1000</f>
        <v>6.1594882552064707</v>
      </c>
      <c r="AB330" s="72">
        <f>AB276*$F330/1000</f>
        <v>6.4305057384355555</v>
      </c>
      <c r="AC330" s="72">
        <f>AC276*$F330/1000</f>
        <v>6.7134479909267206</v>
      </c>
      <c r="AD330" s="72">
        <f>AD276*$F330/1000</f>
        <v>7.0088397025274967</v>
      </c>
      <c r="AE330" s="72">
        <f>AE276*$F330/1000</f>
        <v>7.3172286494387055</v>
      </c>
      <c r="AF330" s="72"/>
      <c r="AG330" s="70"/>
      <c r="AH330" s="70"/>
      <c r="AI330" s="70"/>
    </row>
    <row r="331" spans="1:35" x14ac:dyDescent="0.45">
      <c r="A331" s="71"/>
      <c r="B331" s="75"/>
      <c r="C331" s="71"/>
      <c r="D331" s="75" t="s">
        <v>1357</v>
      </c>
      <c r="E331" s="71" t="s">
        <v>1486</v>
      </c>
      <c r="F331" s="72">
        <f>H265+I265</f>
        <v>0.14025000000000001</v>
      </c>
      <c r="G331" s="72">
        <f>MAX(J265+K265,0)</f>
        <v>1.4999999999999999E-2</v>
      </c>
      <c r="H331" s="72">
        <f>G331/F331</f>
        <v>0.10695187165775399</v>
      </c>
      <c r="I331" s="70"/>
      <c r="J331" s="70"/>
      <c r="K331" s="72"/>
      <c r="L331" s="72">
        <f>L277*$F331/1000</f>
        <v>0.61765094464262127</v>
      </c>
      <c r="M331" s="72">
        <f>M277*$F331/1000</f>
        <v>0.64482758620689662</v>
      </c>
      <c r="N331" s="72">
        <f>N277*$F331/1000</f>
        <v>0.67320000000000002</v>
      </c>
      <c r="O331" s="72">
        <f>O277*$F331/1000</f>
        <v>0.70282080000000002</v>
      </c>
      <c r="P331" s="72">
        <f>P277*$F331/1000</f>
        <v>0.73374491520000007</v>
      </c>
      <c r="Q331" s="72">
        <f>Q277*$F331/1000</f>
        <v>0.76602969146880007</v>
      </c>
      <c r="R331" s="72">
        <f>R277*$F331/1000</f>
        <v>0.79973499789342728</v>
      </c>
      <c r="S331" s="72">
        <f>S277*$F331/1000</f>
        <v>0.83492333780073813</v>
      </c>
      <c r="T331" s="72">
        <f>T277*$F331/1000</f>
        <v>0.87165996466397067</v>
      </c>
      <c r="U331" s="72">
        <f>U277*$F331/1000</f>
        <v>0.91001300310918543</v>
      </c>
      <c r="V331" s="72">
        <f>V277*$F331/1000</f>
        <v>0.95005357524598955</v>
      </c>
      <c r="W331" s="72">
        <f>W277*$F331/1000</f>
        <v>0.99185593255681304</v>
      </c>
      <c r="X331" s="72">
        <f>X277*$F331/1000</f>
        <v>1.0354975935893131</v>
      </c>
      <c r="Y331" s="72">
        <f>Y277*$F331/1000</f>
        <v>1.0810594877072426</v>
      </c>
      <c r="Z331" s="72">
        <f>Z277*$F331/1000</f>
        <v>1.1286261051663613</v>
      </c>
      <c r="AA331" s="72">
        <f>AA277*$F331/1000</f>
        <v>1.1782856537936812</v>
      </c>
      <c r="AB331" s="72">
        <f>AB277*$F331/1000</f>
        <v>1.2301302225606032</v>
      </c>
      <c r="AC331" s="72">
        <f>AC277*$F331/1000</f>
        <v>1.2842559523532697</v>
      </c>
      <c r="AD331" s="72">
        <f>AD277*$F331/1000</f>
        <v>1.3407632142568136</v>
      </c>
      <c r="AE331" s="72">
        <f>AE277*$F331/1000</f>
        <v>1.3997567956841135</v>
      </c>
      <c r="AF331" s="72"/>
      <c r="AG331" s="70"/>
      <c r="AH331" s="70"/>
      <c r="AI331" s="70"/>
    </row>
    <row r="332" spans="1:35" x14ac:dyDescent="0.45">
      <c r="A332" s="71"/>
      <c r="B332" s="75"/>
      <c r="C332" s="71"/>
      <c r="D332" s="75" t="s">
        <v>1363</v>
      </c>
      <c r="E332" s="71" t="s">
        <v>1486</v>
      </c>
      <c r="F332" s="72">
        <f>H266+I266</f>
        <v>1.9220000000000002</v>
      </c>
      <c r="G332" s="72">
        <f>MAX(J266+K266,0)</f>
        <v>0.25</v>
      </c>
      <c r="H332" s="72">
        <f>G332/F332</f>
        <v>0.13007284079084286</v>
      </c>
      <c r="I332" s="70"/>
      <c r="J332" s="70"/>
      <c r="K332" s="72"/>
      <c r="L332" s="72">
        <f>L278*$F332/1000</f>
        <v>0</v>
      </c>
      <c r="M332" s="72">
        <f>M278*$F332/1000</f>
        <v>0</v>
      </c>
      <c r="N332" s="72">
        <f>N278*$F332/1000</f>
        <v>0</v>
      </c>
      <c r="O332" s="72">
        <f>O278*$F332/1000</f>
        <v>0</v>
      </c>
      <c r="P332" s="72">
        <f>P278*$F332/1000</f>
        <v>0</v>
      </c>
      <c r="Q332" s="72">
        <f>Q278*$F332/1000</f>
        <v>0</v>
      </c>
      <c r="R332" s="72">
        <f>R278*$F332/1000</f>
        <v>0</v>
      </c>
      <c r="S332" s="72">
        <f>S278*$F332/1000</f>
        <v>0</v>
      </c>
      <c r="T332" s="72">
        <f>T278*$F332/1000</f>
        <v>0</v>
      </c>
      <c r="U332" s="72">
        <f>U278*$F332/1000</f>
        <v>0</v>
      </c>
      <c r="V332" s="72">
        <f>V278*$F332/1000</f>
        <v>0</v>
      </c>
      <c r="W332" s="72">
        <f>W278*$F332/1000</f>
        <v>0</v>
      </c>
      <c r="X332" s="72">
        <f>X278*$F332/1000</f>
        <v>0</v>
      </c>
      <c r="Y332" s="72">
        <f>Y278*$F332/1000</f>
        <v>0</v>
      </c>
      <c r="Z332" s="72">
        <f>Z278*$F332/1000</f>
        <v>0</v>
      </c>
      <c r="AA332" s="72">
        <f>AA278*$F332/1000</f>
        <v>0</v>
      </c>
      <c r="AB332" s="72">
        <f>AB278*$F332/1000</f>
        <v>0</v>
      </c>
      <c r="AC332" s="72">
        <f>AC278*$F332/1000</f>
        <v>0</v>
      </c>
      <c r="AD332" s="72">
        <f>AD278*$F332/1000</f>
        <v>0</v>
      </c>
      <c r="AE332" s="72">
        <f>AE278*$F332/1000</f>
        <v>0</v>
      </c>
      <c r="AF332" s="72"/>
      <c r="AG332" s="70"/>
      <c r="AH332" s="70"/>
      <c r="AI332" s="70"/>
    </row>
    <row r="333" spans="1:35" x14ac:dyDescent="0.45">
      <c r="A333" s="71"/>
      <c r="B333" s="75"/>
      <c r="C333" s="71"/>
      <c r="D333" s="75" t="s">
        <v>1369</v>
      </c>
      <c r="E333" s="71" t="s">
        <v>1486</v>
      </c>
      <c r="F333" s="72">
        <f>H267+I267</f>
        <v>0.2883</v>
      </c>
      <c r="G333" s="72">
        <f>MAX(J267+K267,0)</f>
        <v>0.52600000000000002</v>
      </c>
      <c r="H333" s="72">
        <f>G333/F333</f>
        <v>1.8244883801595562</v>
      </c>
      <c r="I333" s="70"/>
      <c r="J333" s="70"/>
      <c r="K333" s="72"/>
      <c r="L333" s="72">
        <f>L279*$F333/1000</f>
        <v>13.508713893592759</v>
      </c>
      <c r="M333" s="72">
        <f>M279*$F333/1000</f>
        <v>13.954501452081319</v>
      </c>
      <c r="N333" s="72">
        <f>N279*$F333/1000</f>
        <v>14.414999999999999</v>
      </c>
      <c r="O333" s="72">
        <f>O279*$F333/1000</f>
        <v>14.890694999999997</v>
      </c>
      <c r="P333" s="72">
        <f>P279*$F333/1000</f>
        <v>15.382087934999998</v>
      </c>
      <c r="Q333" s="72">
        <f>Q279*$F333/1000</f>
        <v>15.889696836854995</v>
      </c>
      <c r="R333" s="72">
        <f>R279*$F333/1000</f>
        <v>16.414056832471207</v>
      </c>
      <c r="S333" s="72">
        <f>S279*$F333/1000</f>
        <v>16.955720707942756</v>
      </c>
      <c r="T333" s="72">
        <f>T279*$F333/1000</f>
        <v>17.515259491304867</v>
      </c>
      <c r="U333" s="72">
        <f>U279*$F333/1000</f>
        <v>18.093263054517926</v>
      </c>
      <c r="V333" s="72">
        <f>V279*$F333/1000</f>
        <v>18.690340735317015</v>
      </c>
      <c r="W333" s="72">
        <f>W279*$F333/1000</f>
        <v>19.307121979582476</v>
      </c>
      <c r="X333" s="72">
        <f>X279*$F333/1000</f>
        <v>19.944257004908696</v>
      </c>
      <c r="Y333" s="72">
        <f>Y279*$F333/1000</f>
        <v>20.602417486070681</v>
      </c>
      <c r="Z333" s="72">
        <f>Z279*$F333/1000</f>
        <v>21.282297263111012</v>
      </c>
      <c r="AA333" s="72">
        <f>AA279*$F333/1000</f>
        <v>21.984613072793675</v>
      </c>
      <c r="AB333" s="72">
        <f>AB279*$F333/1000</f>
        <v>22.710105304195867</v>
      </c>
      <c r="AC333" s="72">
        <f>AC279*$F333/1000</f>
        <v>23.459538779234329</v>
      </c>
      <c r="AD333" s="72">
        <f>AD279*$F333/1000</f>
        <v>24.23370355894906</v>
      </c>
      <c r="AE333" s="72">
        <f>AE279*$F333/1000</f>
        <v>25.033415776394378</v>
      </c>
      <c r="AF333" s="72"/>
      <c r="AG333" s="70"/>
      <c r="AH333" s="70"/>
      <c r="AI333" s="70"/>
    </row>
    <row r="334" spans="1:35" x14ac:dyDescent="0.45">
      <c r="A334" s="71"/>
      <c r="B334" s="75"/>
      <c r="C334" s="71"/>
      <c r="D334" s="75" t="s">
        <v>1443</v>
      </c>
      <c r="E334" s="71" t="s">
        <v>1486</v>
      </c>
      <c r="F334" s="72">
        <f>H268+I268</f>
        <v>1.8512999999999999</v>
      </c>
      <c r="G334" s="72">
        <f>MAX(J268+K268,0)</f>
        <v>0</v>
      </c>
      <c r="H334" s="72">
        <f>G334/F334</f>
        <v>0</v>
      </c>
      <c r="I334" s="70"/>
      <c r="J334" s="70"/>
      <c r="K334" s="72"/>
      <c r="L334" s="72">
        <f>L280*$F334/1000</f>
        <v>3.1638306570517116</v>
      </c>
      <c r="M334" s="72">
        <f>M280*$F334/1000</f>
        <v>3.2334349315068494</v>
      </c>
      <c r="N334" s="72">
        <f>N280*$F334/1000</f>
        <v>3.3045704999999996</v>
      </c>
      <c r="O334" s="72">
        <f>O280*$F334/1000</f>
        <v>3.3772710509999997</v>
      </c>
      <c r="P334" s="72">
        <f>P280*$F334/1000</f>
        <v>3.4515710141219995</v>
      </c>
      <c r="Q334" s="72">
        <f>Q280*$F334/1000</f>
        <v>3.5275055764326835</v>
      </c>
      <c r="R334" s="72">
        <f>R280*$F334/1000</f>
        <v>3.6051106991142028</v>
      </c>
      <c r="S334" s="72">
        <f>S280*$F334/1000</f>
        <v>3.6844231344947151</v>
      </c>
      <c r="T334" s="72">
        <f>T280*$F334/1000</f>
        <v>3.7654804434535989</v>
      </c>
      <c r="U334" s="72">
        <f>U280*$F334/1000</f>
        <v>3.8483210132095782</v>
      </c>
      <c r="V334" s="72">
        <f>V280*$F334/1000</f>
        <v>3.932984075500189</v>
      </c>
      <c r="W334" s="72">
        <f>W280*$F334/1000</f>
        <v>4.0195097251611935</v>
      </c>
      <c r="X334" s="72">
        <f>X280*$F334/1000</f>
        <v>4.1079389391147396</v>
      </c>
      <c r="Y334" s="72">
        <f>Y280*$F334/1000</f>
        <v>4.1983135957752644</v>
      </c>
      <c r="Z334" s="72">
        <f>Z280*$F334/1000</f>
        <v>4.2906764948823204</v>
      </c>
      <c r="AA334" s="72">
        <f>AA280*$F334/1000</f>
        <v>4.385071377769731</v>
      </c>
      <c r="AB334" s="72">
        <f>AB280*$F334/1000</f>
        <v>4.4815429480806648</v>
      </c>
      <c r="AC334" s="72">
        <f>AC280*$F334/1000</f>
        <v>4.5801368929384401</v>
      </c>
      <c r="AD334" s="72">
        <f>AD280*$F334/1000</f>
        <v>4.680899904583085</v>
      </c>
      <c r="AE334" s="72">
        <f>AE280*$F334/1000</f>
        <v>4.7838797024839135</v>
      </c>
      <c r="AF334" s="72"/>
      <c r="AG334" s="70"/>
      <c r="AH334" s="70"/>
      <c r="AI334" s="70"/>
    </row>
    <row r="335" spans="1:35" x14ac:dyDescent="0.45">
      <c r="A335" s="71"/>
      <c r="B335" s="75"/>
      <c r="C335" s="71"/>
      <c r="D335" s="75" t="s">
        <v>1383</v>
      </c>
      <c r="E335" s="71" t="s">
        <v>1486</v>
      </c>
      <c r="F335" s="72">
        <f>H269+I269</f>
        <v>0.11219999999999999</v>
      </c>
      <c r="G335" s="72">
        <f>MAX(J269+K269,0)</f>
        <v>0</v>
      </c>
      <c r="H335" s="72">
        <f>G335/F335</f>
        <v>0</v>
      </c>
      <c r="I335" s="70"/>
      <c r="J335" s="70"/>
      <c r="K335" s="72"/>
      <c r="L335" s="72">
        <f>L281*$F335/1000</f>
        <v>0.30078009811543305</v>
      </c>
      <c r="M335" s="72">
        <f>M281*$F335/1000</f>
        <v>0.30739726027397257</v>
      </c>
      <c r="N335" s="72">
        <f>N281*$F335/1000</f>
        <v>0.31415999999999999</v>
      </c>
      <c r="O335" s="72">
        <f>O281*$F335/1000</f>
        <v>0.32107151999999994</v>
      </c>
      <c r="P335" s="72">
        <f>P281*$F335/1000</f>
        <v>0.32813509343999991</v>
      </c>
      <c r="Q335" s="72">
        <f>Q281*$F335/1000</f>
        <v>0.33535406549567992</v>
      </c>
      <c r="R335" s="72">
        <f>R281*$F335/1000</f>
        <v>0.34273185493658492</v>
      </c>
      <c r="S335" s="72">
        <f>S281*$F335/1000</f>
        <v>0.35027195574518982</v>
      </c>
      <c r="T335" s="72">
        <f>T281*$F335/1000</f>
        <v>0.35797793877158396</v>
      </c>
      <c r="U335" s="72">
        <f>U281*$F335/1000</f>
        <v>0.36585345342455883</v>
      </c>
      <c r="V335" s="72">
        <f>V281*$F335/1000</f>
        <v>0.37390222939989914</v>
      </c>
      <c r="W335" s="72">
        <f>W281*$F335/1000</f>
        <v>0.38212807844669699</v>
      </c>
      <c r="X335" s="72">
        <f>X281*$F335/1000</f>
        <v>0.39053489617252435</v>
      </c>
      <c r="Y335" s="72">
        <f>Y281*$F335/1000</f>
        <v>0.39912666388831991</v>
      </c>
      <c r="Z335" s="72">
        <f>Z281*$F335/1000</f>
        <v>0.40790745049386296</v>
      </c>
      <c r="AA335" s="72">
        <f>AA281*$F335/1000</f>
        <v>0.41688141440472792</v>
      </c>
      <c r="AB335" s="72">
        <f>AB281*$F335/1000</f>
        <v>0.42605280552163199</v>
      </c>
      <c r="AC335" s="72">
        <f>AC281*$F335/1000</f>
        <v>0.43542596724310795</v>
      </c>
      <c r="AD335" s="72">
        <f>AD281*$F335/1000</f>
        <v>0.44500533852245627</v>
      </c>
      <c r="AE335" s="72">
        <f>AE281*$F335/1000</f>
        <v>0.45479545596995036</v>
      </c>
      <c r="AF335" s="72"/>
      <c r="AG335" s="70"/>
      <c r="AH335" s="70"/>
      <c r="AI335" s="70"/>
    </row>
    <row r="336" spans="1:35" x14ac:dyDescent="0.45">
      <c r="A336" s="71"/>
      <c r="B336" s="75"/>
      <c r="C336" s="71"/>
      <c r="D336" s="75" t="s">
        <v>1390</v>
      </c>
      <c r="E336" s="71" t="s">
        <v>1486</v>
      </c>
      <c r="F336" s="72">
        <f>H270+I270</f>
        <v>0.11219999999999999</v>
      </c>
      <c r="G336" s="72">
        <f>MAX(J270+K270,0)</f>
        <v>0.97</v>
      </c>
      <c r="H336" s="72">
        <f>G336/F336</f>
        <v>8.6452762923351152</v>
      </c>
      <c r="I336" s="70"/>
      <c r="J336" s="70"/>
      <c r="K336" s="72"/>
      <c r="L336" s="72">
        <f>L282*$F336/1000</f>
        <v>6.4452878167592806E-2</v>
      </c>
      <c r="M336" s="72">
        <f>M282*$F336/1000</f>
        <v>6.5870841487279841E-2</v>
      </c>
      <c r="N336" s="72">
        <f>N282*$F336/1000</f>
        <v>6.7319999999999991E-2</v>
      </c>
      <c r="O336" s="72">
        <f>O282*$F336/1000</f>
        <v>6.8801039999999994E-2</v>
      </c>
      <c r="P336" s="72">
        <f>P282*$F336/1000</f>
        <v>7.0314662880000003E-2</v>
      </c>
      <c r="Q336" s="72">
        <f>Q282*$F336/1000</f>
        <v>7.1861585463359995E-2</v>
      </c>
      <c r="R336" s="72">
        <f>R282*$F336/1000</f>
        <v>7.3442540343553922E-2</v>
      </c>
      <c r="S336" s="72">
        <f>S282*$F336/1000</f>
        <v>7.5058276231112109E-2</v>
      </c>
      <c r="T336" s="72">
        <f>T282*$F336/1000</f>
        <v>7.6709558308196577E-2</v>
      </c>
      <c r="U336" s="72">
        <f>U282*$F336/1000</f>
        <v>7.8397168590976909E-2</v>
      </c>
      <c r="V336" s="72">
        <f>V282*$F336/1000</f>
        <v>8.012190629997841E-2</v>
      </c>
      <c r="W336" s="72">
        <f>W282*$F336/1000</f>
        <v>8.1884588238577916E-2</v>
      </c>
      <c r="X336" s="72">
        <f>X282*$F336/1000</f>
        <v>8.3686049179826624E-2</v>
      </c>
      <c r="Y336" s="72">
        <f>Y282*$F336/1000</f>
        <v>8.5527142261782832E-2</v>
      </c>
      <c r="Z336" s="72">
        <f>Z282*$F336/1000</f>
        <v>8.7408739391542062E-2</v>
      </c>
      <c r="AA336" s="72">
        <f>AA282*$F336/1000</f>
        <v>8.9331731658155972E-2</v>
      </c>
      <c r="AB336" s="72">
        <f>AB282*$F336/1000</f>
        <v>9.1297029754635398E-2</v>
      </c>
      <c r="AC336" s="72">
        <f>AC282*$F336/1000</f>
        <v>9.3305564409237388E-2</v>
      </c>
      <c r="AD336" s="72">
        <f>AD282*$F336/1000</f>
        <v>9.5358286826240618E-2</v>
      </c>
      <c r="AE336" s="72">
        <f>AE282*$F336/1000</f>
        <v>9.7456169136417914E-2</v>
      </c>
      <c r="AF336" s="72"/>
      <c r="AG336" s="70"/>
      <c r="AH336" s="70"/>
      <c r="AI336" s="70"/>
    </row>
    <row r="337" spans="1:35" x14ac:dyDescent="0.45">
      <c r="A337" s="71"/>
      <c r="B337" s="75"/>
      <c r="C337" s="71"/>
      <c r="D337" s="75" t="s">
        <v>1397</v>
      </c>
      <c r="E337" s="71" t="s">
        <v>1486</v>
      </c>
      <c r="F337" s="72">
        <f>H271+I271</f>
        <v>0.156</v>
      </c>
      <c r="G337" s="72">
        <f>MAX(J271+K271,0)</f>
        <v>2.35</v>
      </c>
      <c r="H337" s="72">
        <f>G337/F337</f>
        <v>15.064102564102564</v>
      </c>
      <c r="I337" s="70"/>
      <c r="J337" s="70"/>
      <c r="K337" s="72"/>
      <c r="L337" s="72">
        <f>L283*$F337/1000</f>
        <v>4.2047573055412055E-2</v>
      </c>
      <c r="M337" s="72">
        <f>M283*$F337/1000</f>
        <v>4.4360189573459712E-2</v>
      </c>
      <c r="N337" s="72">
        <f>N283*$F337/1000</f>
        <v>4.6799999999999994E-2</v>
      </c>
      <c r="O337" s="72">
        <f>O283*$F337/1000</f>
        <v>4.9374000000000001E-2</v>
      </c>
      <c r="P337" s="72">
        <f>P283*$F337/1000</f>
        <v>5.2089569999999995E-2</v>
      </c>
      <c r="Q337" s="72">
        <f>Q283*$F337/1000</f>
        <v>5.4954496349999993E-2</v>
      </c>
      <c r="R337" s="72">
        <f>R283*$F337/1000</f>
        <v>5.7976993649249998E-2</v>
      </c>
      <c r="S337" s="72">
        <f>S283*$F337/1000</f>
        <v>6.1165728299958741E-2</v>
      </c>
      <c r="T337" s="72">
        <f>T283*$F337/1000</f>
        <v>6.4529843356456465E-2</v>
      </c>
      <c r="U337" s="72">
        <f>U283*$F337/1000</f>
        <v>6.8078984741061568E-2</v>
      </c>
      <c r="V337" s="72">
        <f>V283*$F337/1000</f>
        <v>7.1823328901819944E-2</v>
      </c>
      <c r="W337" s="72">
        <f>W283*$F337/1000</f>
        <v>7.5773611991420048E-2</v>
      </c>
      <c r="X337" s="72">
        <f>X283*$F337/1000</f>
        <v>7.9941160650948154E-2</v>
      </c>
      <c r="Y337" s="72">
        <f>Y283*$F337/1000</f>
        <v>8.4337924486750301E-2</v>
      </c>
      <c r="Z337" s="72">
        <f>Z283*$F337/1000</f>
        <v>8.8976510333521566E-2</v>
      </c>
      <c r="AA337" s="72">
        <f>AA283*$F337/1000</f>
        <v>9.3870218401865241E-2</v>
      </c>
      <c r="AB337" s="72">
        <f>AB283*$F337/1000</f>
        <v>9.9033080413967828E-2</v>
      </c>
      <c r="AC337" s="72">
        <f>AC283*$F337/1000</f>
        <v>0.10447989983673606</v>
      </c>
      <c r="AD337" s="72">
        <f>AD283*$F337/1000</f>
        <v>0.11022629432775652</v>
      </c>
      <c r="AE337" s="72">
        <f>AE283*$F337/1000</f>
        <v>0.11628874051578311</v>
      </c>
      <c r="AF337" s="72"/>
      <c r="AG337" s="70"/>
      <c r="AH337" s="70"/>
      <c r="AI337" s="70"/>
    </row>
    <row r="338" spans="1:35" x14ac:dyDescent="0.45">
      <c r="A338" s="70"/>
      <c r="B338" s="75"/>
      <c r="C338" s="75"/>
      <c r="D338" s="75" t="s">
        <v>1487</v>
      </c>
      <c r="E338" s="70"/>
      <c r="F338" s="70"/>
      <c r="G338" s="70"/>
      <c r="H338" s="70"/>
      <c r="I338" s="70"/>
      <c r="J338" s="70"/>
      <c r="K338" s="72"/>
      <c r="L338" s="72">
        <f>SUM(L330:L337)</f>
        <v>20.926246357744834</v>
      </c>
      <c r="M338" s="72">
        <f>SUM(M330:M337)</f>
        <v>21.621228468026327</v>
      </c>
      <c r="N338" s="72">
        <f>SUM(N330:N337)</f>
        <v>22.340203500000001</v>
      </c>
      <c r="O338" s="72">
        <f>SUM(O330:O337)</f>
        <v>23.084029143000002</v>
      </c>
      <c r="P338" s="72">
        <f>SUM(P330:P337)</f>
        <v>23.853594734849999</v>
      </c>
      <c r="Q338" s="72">
        <f>SUM(Q330:Q337)</f>
        <v>24.649822464218669</v>
      </c>
      <c r="R338" s="72">
        <f>SUM(R330:R337)</f>
        <v>25.473668619896113</v>
      </c>
      <c r="S338" s="72">
        <f>SUM(S330:S337)</f>
        <v>26.326124888867827</v>
      </c>
      <c r="T338" s="72">
        <f>SUM(T330:T337)</f>
        <v>27.20821970513958</v>
      </c>
      <c r="U338" s="72">
        <f>SUM(U330:U337)</f>
        <v>28.121019651346554</v>
      </c>
      <c r="V338" s="72">
        <f>SUM(V330:V337)</f>
        <v>29.065630915263306</v>
      </c>
      <c r="W338" s="72">
        <f>SUM(W330:W337)</f>
        <v>30.043200803417918</v>
      </c>
      <c r="X338" s="72">
        <f>SUM(X330:X337)</f>
        <v>31.054919314104183</v>
      </c>
      <c r="Y338" s="72">
        <f>SUM(Y330:Y337)</f>
        <v>32.102020772179657</v>
      </c>
      <c r="Z338" s="72">
        <f>SUM(Z330:Z337)</f>
        <v>33.185785528135781</v>
      </c>
      <c r="AA338" s="72">
        <f>SUM(AA330:AA337)</f>
        <v>34.307541724028312</v>
      </c>
      <c r="AB338" s="72">
        <f>SUM(AB330:AB337)</f>
        <v>35.468667128962927</v>
      </c>
      <c r="AC338" s="72">
        <f>SUM(AC330:AC337)</f>
        <v>36.67059104694183</v>
      </c>
      <c r="AD338" s="72">
        <f>SUM(AD330:AD337)</f>
        <v>37.914796299992908</v>
      </c>
      <c r="AE338" s="72">
        <f>SUM(AE330:AE337)</f>
        <v>39.202821289623259</v>
      </c>
      <c r="AF338" s="70"/>
      <c r="AG338" s="70"/>
      <c r="AH338" s="70"/>
      <c r="AI338" s="70"/>
    </row>
    <row r="339" spans="1:35" x14ac:dyDescent="0.45">
      <c r="A339" s="70"/>
      <c r="B339" s="75"/>
      <c r="C339" s="75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75"/>
      <c r="C340" s="73" t="s">
        <v>1488</v>
      </c>
      <c r="D340" s="73"/>
      <c r="E340" s="70"/>
      <c r="F340" s="70"/>
      <c r="G340" s="70"/>
      <c r="H340" s="70"/>
      <c r="I340" s="72"/>
      <c r="J340" s="72"/>
      <c r="K340" s="72"/>
      <c r="L340" s="74">
        <f>L274</f>
        <v>2022</v>
      </c>
      <c r="M340" s="74">
        <f>M274</f>
        <v>2023</v>
      </c>
      <c r="N340" s="74">
        <f>N274</f>
        <v>2024</v>
      </c>
      <c r="O340" s="74">
        <f>O274</f>
        <v>2025</v>
      </c>
      <c r="P340" s="74">
        <f>P274</f>
        <v>2026</v>
      </c>
      <c r="Q340" s="74">
        <f>Q274</f>
        <v>2027</v>
      </c>
      <c r="R340" s="74">
        <f>R274</f>
        <v>2028</v>
      </c>
      <c r="S340" s="74">
        <f>S274</f>
        <v>2029</v>
      </c>
      <c r="T340" s="74">
        <f>T274</f>
        <v>2030</v>
      </c>
      <c r="U340" s="74">
        <f>U274</f>
        <v>2031</v>
      </c>
      <c r="V340" s="74">
        <f>V274</f>
        <v>2032</v>
      </c>
      <c r="W340" s="74">
        <f>W274</f>
        <v>2033</v>
      </c>
      <c r="X340" s="74">
        <f>X274</f>
        <v>2034</v>
      </c>
      <c r="Y340" s="74">
        <f>Y274</f>
        <v>2035</v>
      </c>
      <c r="Z340" s="74">
        <f>Z274</f>
        <v>2036</v>
      </c>
      <c r="AA340" s="74">
        <f>AA274</f>
        <v>2037</v>
      </c>
      <c r="AB340" s="74">
        <f>AB274</f>
        <v>2038</v>
      </c>
      <c r="AC340" s="74">
        <f>AC274</f>
        <v>2039</v>
      </c>
      <c r="AD340" s="74">
        <f>AD274</f>
        <v>2040</v>
      </c>
      <c r="AE340" s="74">
        <f>AE274</f>
        <v>2041</v>
      </c>
      <c r="AF340" s="74"/>
      <c r="AG340" s="70"/>
      <c r="AH340" s="70"/>
      <c r="AI340" s="70"/>
    </row>
    <row r="341" spans="1:35" x14ac:dyDescent="0.45">
      <c r="A341" s="71"/>
      <c r="B341" s="75"/>
      <c r="C341" s="71"/>
      <c r="D341" s="75" t="s">
        <v>1350</v>
      </c>
      <c r="E341" s="71" t="s">
        <v>1486</v>
      </c>
      <c r="F341" s="70"/>
      <c r="G341" s="70"/>
      <c r="H341" s="70"/>
      <c r="I341" s="70"/>
      <c r="J341" s="70"/>
      <c r="K341" s="72"/>
      <c r="L341" s="72">
        <f>L276*G330/1000</f>
        <v>0.18716695292200644</v>
      </c>
      <c r="M341" s="72">
        <f>M276*G330/1000</f>
        <v>0.1954022988505747</v>
      </c>
      <c r="N341" s="72">
        <f>N276*G330/1000</f>
        <v>0.20399999999999999</v>
      </c>
      <c r="O341" s="72">
        <f>O276*G330/1000</f>
        <v>0.21297600000000003</v>
      </c>
      <c r="P341" s="72">
        <f>P276*G330/1000</f>
        <v>0.22234694400000005</v>
      </c>
      <c r="Q341" s="72">
        <f>Q276*G330/1000</f>
        <v>0.23213020953600005</v>
      </c>
      <c r="R341" s="72">
        <f>R276*G330/1000</f>
        <v>0.24234393875558408</v>
      </c>
      <c r="S341" s="72">
        <f>S276*G330/1000</f>
        <v>0.25300707206082979</v>
      </c>
      <c r="T341" s="72">
        <f>T276*G330/1000</f>
        <v>0.26413938323150632</v>
      </c>
      <c r="U341" s="72">
        <f>U276*G330/1000</f>
        <v>0.27576151609369259</v>
      </c>
      <c r="V341" s="72">
        <f>V276*G330/1000</f>
        <v>0.28789502280181506</v>
      </c>
      <c r="W341" s="72">
        <f>W276*G330/1000</f>
        <v>0.30056240380509497</v>
      </c>
      <c r="X341" s="72">
        <f>X276*G330/1000</f>
        <v>0.31378714957251913</v>
      </c>
      <c r="Y341" s="72">
        <f>Y276*G330/1000</f>
        <v>0.32759378415370999</v>
      </c>
      <c r="Z341" s="72">
        <f>Z276*G330/1000</f>
        <v>0.34200791065647324</v>
      </c>
      <c r="AA341" s="72">
        <f>AA276*G330/1000</f>
        <v>0.35705625872535807</v>
      </c>
      <c r="AB341" s="72">
        <f>AB276*G330/1000</f>
        <v>0.37276673410927386</v>
      </c>
      <c r="AC341" s="72">
        <f>AC276*G330/1000</f>
        <v>0.38916847041008185</v>
      </c>
      <c r="AD341" s="72">
        <f>AD276*G330/1000</f>
        <v>0.40629188310812547</v>
      </c>
      <c r="AE341" s="72">
        <f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75"/>
      <c r="C342" s="71"/>
      <c r="D342" s="75" t="s">
        <v>1357</v>
      </c>
      <c r="E342" s="71" t="s">
        <v>1486</v>
      </c>
      <c r="F342" s="70"/>
      <c r="G342" s="70"/>
      <c r="H342" s="70"/>
      <c r="I342" s="70"/>
      <c r="J342" s="70"/>
      <c r="K342" s="72"/>
      <c r="L342" s="72">
        <f>L277*G331/1000</f>
        <v>6.6058924560708152E-2</v>
      </c>
      <c r="M342" s="72">
        <f>M277*G331/1000</f>
        <v>6.8965517241379309E-2</v>
      </c>
      <c r="N342" s="72">
        <f>N277*G331/1000</f>
        <v>7.1999999999999995E-2</v>
      </c>
      <c r="O342" s="72">
        <f>O277*G331/1000</f>
        <v>7.5167999999999999E-2</v>
      </c>
      <c r="P342" s="72">
        <f>P277*G331/1000</f>
        <v>7.8475392000000005E-2</v>
      </c>
      <c r="Q342" s="72">
        <f>Q277*G331/1000</f>
        <v>8.1928309247999986E-2</v>
      </c>
      <c r="R342" s="72">
        <f>R277*G331/1000</f>
        <v>8.5533154854912002E-2</v>
      </c>
      <c r="S342" s="72">
        <f>S277*G331/1000</f>
        <v>8.9296613668528119E-2</v>
      </c>
      <c r="T342" s="72">
        <f>T277*G331/1000</f>
        <v>9.3225664669943364E-2</v>
      </c>
      <c r="U342" s="72">
        <f>U277*G331/1000</f>
        <v>9.7327593915420896E-2</v>
      </c>
      <c r="V342" s="72">
        <f>V277*G331/1000</f>
        <v>0.10161000804769942</v>
      </c>
      <c r="W342" s="72">
        <f>W277*G331/1000</f>
        <v>0.10608084840179818</v>
      </c>
      <c r="X342" s="72">
        <f>X277*G331/1000</f>
        <v>0.1107484057314773</v>
      </c>
      <c r="Y342" s="72">
        <f>Y277*G331/1000</f>
        <v>0.1156213355836623</v>
      </c>
      <c r="Z342" s="72">
        <f>Z277*G331/1000</f>
        <v>0.12070867434934346</v>
      </c>
      <c r="AA342" s="72">
        <f>AA277*G331/1000</f>
        <v>0.12601985602071455</v>
      </c>
      <c r="AB342" s="72">
        <f>AB277*G331/1000</f>
        <v>0.13156472968562599</v>
      </c>
      <c r="AC342" s="72">
        <f>AC277*G331/1000</f>
        <v>0.13735357779179352</v>
      </c>
      <c r="AD342" s="72">
        <f>AD277*G331/1000</f>
        <v>0.14339713521463243</v>
      </c>
      <c r="AE342" s="72">
        <f>AE277*G331/1000</f>
        <v>0.1497066091640763</v>
      </c>
      <c r="AF342" s="72"/>
      <c r="AG342" s="70"/>
      <c r="AH342" s="70"/>
      <c r="AI342" s="70"/>
    </row>
    <row r="343" spans="1:35" x14ac:dyDescent="0.45">
      <c r="A343" s="71"/>
      <c r="B343" s="75"/>
      <c r="C343" s="71"/>
      <c r="D343" s="75" t="s">
        <v>1363</v>
      </c>
      <c r="E343" s="71" t="s">
        <v>1486</v>
      </c>
      <c r="F343" s="70"/>
      <c r="G343" s="70"/>
      <c r="H343" s="70"/>
      <c r="I343" s="70"/>
      <c r="J343" s="70"/>
      <c r="K343" s="72"/>
      <c r="L343" s="72">
        <f>L278*G332/1000</f>
        <v>0</v>
      </c>
      <c r="M343" s="72">
        <f>M278*G332/1000</f>
        <v>0</v>
      </c>
      <c r="N343" s="72">
        <f>N278*G332/1000</f>
        <v>0</v>
      </c>
      <c r="O343" s="72">
        <f>O278*G332/1000</f>
        <v>0</v>
      </c>
      <c r="P343" s="72">
        <f>P278*G332/1000</f>
        <v>0</v>
      </c>
      <c r="Q343" s="72">
        <f>Q278*G332/1000</f>
        <v>0</v>
      </c>
      <c r="R343" s="72">
        <f>R278*G332/1000</f>
        <v>0</v>
      </c>
      <c r="S343" s="72">
        <f>S278*G332/1000</f>
        <v>0</v>
      </c>
      <c r="T343" s="72">
        <f>T278*G332/1000</f>
        <v>0</v>
      </c>
      <c r="U343" s="72">
        <f>U278*G332/1000</f>
        <v>0</v>
      </c>
      <c r="V343" s="72">
        <f>V278*G332/1000</f>
        <v>0</v>
      </c>
      <c r="W343" s="72">
        <f>W278*G332/1000</f>
        <v>0</v>
      </c>
      <c r="X343" s="72">
        <f>X278*G332/1000</f>
        <v>0</v>
      </c>
      <c r="Y343" s="72">
        <f>Y278*G332/1000</f>
        <v>0</v>
      </c>
      <c r="Z343" s="72">
        <f>Z278*G332/1000</f>
        <v>0</v>
      </c>
      <c r="AA343" s="72">
        <f>AA278*G332/1000</f>
        <v>0</v>
      </c>
      <c r="AB343" s="72">
        <f>AB278*G332/1000</f>
        <v>0</v>
      </c>
      <c r="AC343" s="72">
        <f>AC278*G332/1000</f>
        <v>0</v>
      </c>
      <c r="AD343" s="72">
        <f>AD278*G332/1000</f>
        <v>0</v>
      </c>
      <c r="AE343" s="72">
        <f>AE278*G332/1000</f>
        <v>0</v>
      </c>
      <c r="AF343" s="72"/>
      <c r="AG343" s="70"/>
      <c r="AH343" s="70"/>
      <c r="AI343" s="70"/>
    </row>
    <row r="344" spans="1:35" x14ac:dyDescent="0.45">
      <c r="A344" s="71"/>
      <c r="B344" s="75"/>
      <c r="C344" s="71"/>
      <c r="D344" s="75" t="s">
        <v>1369</v>
      </c>
      <c r="E344" s="71" t="s">
        <v>1486</v>
      </c>
      <c r="F344" s="70"/>
      <c r="G344" s="70"/>
      <c r="H344" s="70"/>
      <c r="I344" s="70"/>
      <c r="J344" s="70"/>
      <c r="K344" s="72"/>
      <c r="L344" s="72">
        <f>L279*G333/1000</f>
        <v>24.646491529759945</v>
      </c>
      <c r="M344" s="72">
        <f>M279*G333/1000</f>
        <v>25.459825750242022</v>
      </c>
      <c r="N344" s="72">
        <f>N279*G333/1000</f>
        <v>26.3</v>
      </c>
      <c r="O344" s="72">
        <f>O279*G333/1000</f>
        <v>27.167899999999999</v>
      </c>
      <c r="P344" s="72">
        <f>P279*G333/1000</f>
        <v>28.064440699999995</v>
      </c>
      <c r="Q344" s="72">
        <f>Q279*G333/1000</f>
        <v>28.990567243099992</v>
      </c>
      <c r="R344" s="72">
        <f>R279*G333/1000</f>
        <v>29.947255962122291</v>
      </c>
      <c r="S344" s="72">
        <f>S279*G333/1000</f>
        <v>30.935515408872323</v>
      </c>
      <c r="T344" s="72">
        <f>T279*G333/1000</f>
        <v>31.956387417365111</v>
      </c>
      <c r="U344" s="72">
        <f>U279*G333/1000</f>
        <v>33.010948202138152</v>
      </c>
      <c r="V344" s="72">
        <f>V279*G333/1000</f>
        <v>34.100309492808705</v>
      </c>
      <c r="W344" s="72">
        <f>W279*G333/1000</f>
        <v>35.225619706071399</v>
      </c>
      <c r="X344" s="72">
        <f>X279*G333/1000</f>
        <v>36.388065156371745</v>
      </c>
      <c r="Y344" s="72">
        <f>Y279*G333/1000</f>
        <v>37.588871306532013</v>
      </c>
      <c r="Z344" s="72">
        <f>Z279*G333/1000</f>
        <v>38.829304059647569</v>
      </c>
      <c r="AA344" s="72">
        <f>AA279*G333/1000</f>
        <v>40.110671093615935</v>
      </c>
      <c r="AB344" s="72">
        <f>AB279*G333/1000</f>
        <v>41.434323239705257</v>
      </c>
      <c r="AC344" s="72">
        <f>AC279*G333/1000</f>
        <v>42.801655906615522</v>
      </c>
      <c r="AD344" s="72">
        <f>AD279*G333/1000</f>
        <v>44.214110551533835</v>
      </c>
      <c r="AE344" s="72">
        <f>AE279*G333/1000</f>
        <v>45.673176199734449</v>
      </c>
      <c r="AF344" s="72"/>
      <c r="AG344" s="70"/>
      <c r="AH344" s="70"/>
      <c r="AI344" s="70"/>
    </row>
    <row r="345" spans="1:35" x14ac:dyDescent="0.45">
      <c r="A345" s="71"/>
      <c r="B345" s="75"/>
      <c r="C345" s="71"/>
      <c r="D345" s="75" t="s">
        <v>1443</v>
      </c>
      <c r="E345" s="71" t="s">
        <v>1486</v>
      </c>
      <c r="F345" s="70"/>
      <c r="G345" s="70"/>
      <c r="H345" s="70"/>
      <c r="I345" s="70"/>
      <c r="J345" s="70"/>
      <c r="K345" s="72"/>
      <c r="L345" s="72">
        <f>L280*G334/1000</f>
        <v>0</v>
      </c>
      <c r="M345" s="72">
        <f>M280*G334/1000</f>
        <v>0</v>
      </c>
      <c r="N345" s="72">
        <f>N280*G334/1000</f>
        <v>0</v>
      </c>
      <c r="O345" s="72">
        <f>O280*G334/1000</f>
        <v>0</v>
      </c>
      <c r="P345" s="72">
        <f>P280*G334/1000</f>
        <v>0</v>
      </c>
      <c r="Q345" s="72">
        <f>Q280*G334/1000</f>
        <v>0</v>
      </c>
      <c r="R345" s="72">
        <f>R280*G334/1000</f>
        <v>0</v>
      </c>
      <c r="S345" s="72">
        <f>S280*G334/1000</f>
        <v>0</v>
      </c>
      <c r="T345" s="72">
        <f>T280*G334/1000</f>
        <v>0</v>
      </c>
      <c r="U345" s="72">
        <f>U280*G334/1000</f>
        <v>0</v>
      </c>
      <c r="V345" s="72">
        <f>V280*G334/1000</f>
        <v>0</v>
      </c>
      <c r="W345" s="72">
        <f>W280*G334/1000</f>
        <v>0</v>
      </c>
      <c r="X345" s="72">
        <f>X280*G334/1000</f>
        <v>0</v>
      </c>
      <c r="Y345" s="72">
        <f>Y280*G334/1000</f>
        <v>0</v>
      </c>
      <c r="Z345" s="72">
        <f>Z280*G334/1000</f>
        <v>0</v>
      </c>
      <c r="AA345" s="72">
        <f>AA280*G334/1000</f>
        <v>0</v>
      </c>
      <c r="AB345" s="72">
        <f>AB280*G334/1000</f>
        <v>0</v>
      </c>
      <c r="AC345" s="72">
        <f>AC280*G334/1000</f>
        <v>0</v>
      </c>
      <c r="AD345" s="72">
        <f>AD280*G334/1000</f>
        <v>0</v>
      </c>
      <c r="AE345" s="72">
        <f>AE280*G334/1000</f>
        <v>0</v>
      </c>
      <c r="AF345" s="72"/>
      <c r="AG345" s="70"/>
      <c r="AH345" s="70"/>
      <c r="AI345" s="70"/>
    </row>
    <row r="346" spans="1:35" x14ac:dyDescent="0.45">
      <c r="A346" s="71"/>
      <c r="B346" s="75"/>
      <c r="C346" s="71"/>
      <c r="D346" s="75" t="s">
        <v>1383</v>
      </c>
      <c r="E346" s="71" t="s">
        <v>1486</v>
      </c>
      <c r="F346" s="70"/>
      <c r="G346" s="70"/>
      <c r="H346" s="70"/>
      <c r="I346" s="70"/>
      <c r="J346" s="70"/>
      <c r="K346" s="72"/>
      <c r="L346" s="72">
        <f>L281*G335/1000</f>
        <v>0</v>
      </c>
      <c r="M346" s="72">
        <f>M281*G335/1000</f>
        <v>0</v>
      </c>
      <c r="N346" s="72">
        <f>N281*G335/1000</f>
        <v>0</v>
      </c>
      <c r="O346" s="72">
        <f>O281*G335/1000</f>
        <v>0</v>
      </c>
      <c r="P346" s="72">
        <f>P281*G335/1000</f>
        <v>0</v>
      </c>
      <c r="Q346" s="72">
        <f>Q281*G335/1000</f>
        <v>0</v>
      </c>
      <c r="R346" s="72">
        <f>R281*G335/1000</f>
        <v>0</v>
      </c>
      <c r="S346" s="72">
        <f>S281*G335/1000</f>
        <v>0</v>
      </c>
      <c r="T346" s="72">
        <f>T281*G335/1000</f>
        <v>0</v>
      </c>
      <c r="U346" s="72">
        <f>U281*G335/1000</f>
        <v>0</v>
      </c>
      <c r="V346" s="72">
        <f>V281*G335/1000</f>
        <v>0</v>
      </c>
      <c r="W346" s="72">
        <f>W281*G335/1000</f>
        <v>0</v>
      </c>
      <c r="X346" s="72">
        <f>X281*G335/1000</f>
        <v>0</v>
      </c>
      <c r="Y346" s="72">
        <f>Y281*G335/1000</f>
        <v>0</v>
      </c>
      <c r="Z346" s="72">
        <f>Z281*G335/1000</f>
        <v>0</v>
      </c>
      <c r="AA346" s="72">
        <f>AA281*G335/1000</f>
        <v>0</v>
      </c>
      <c r="AB346" s="72">
        <f>AB281*G335/1000</f>
        <v>0</v>
      </c>
      <c r="AC346" s="72">
        <f>AC281*G335/1000</f>
        <v>0</v>
      </c>
      <c r="AD346" s="72">
        <f>AD281*G335/1000</f>
        <v>0</v>
      </c>
      <c r="AE346" s="72">
        <f>AE281*G335/1000</f>
        <v>0</v>
      </c>
      <c r="AF346" s="72"/>
      <c r="AG346" s="70"/>
      <c r="AH346" s="70"/>
      <c r="AI346" s="70"/>
    </row>
    <row r="347" spans="1:35" x14ac:dyDescent="0.45">
      <c r="A347" s="71"/>
      <c r="B347" s="75"/>
      <c r="C347" s="71"/>
      <c r="D347" s="75" t="s">
        <v>1390</v>
      </c>
      <c r="E347" s="71" t="s">
        <v>1486</v>
      </c>
      <c r="F347" s="70"/>
      <c r="G347" s="70"/>
      <c r="H347" s="70"/>
      <c r="I347" s="70"/>
      <c r="J347" s="70"/>
      <c r="K347" s="72"/>
      <c r="L347" s="72">
        <f>L282*G336/1000</f>
        <v>0.55721293959505358</v>
      </c>
      <c r="M347" s="72">
        <f>M282*G336/1000</f>
        <v>0.56947162426614473</v>
      </c>
      <c r="N347" s="72">
        <f>N282*G336/1000</f>
        <v>0.58199999999999996</v>
      </c>
      <c r="O347" s="72">
        <f>O282*G336/1000</f>
        <v>0.594804</v>
      </c>
      <c r="P347" s="72">
        <f>P282*G336/1000</f>
        <v>0.60788968800000009</v>
      </c>
      <c r="Q347" s="72">
        <f>Q282*G336/1000</f>
        <v>0.62126326113599994</v>
      </c>
      <c r="R347" s="72">
        <f>R282*G336/1000</f>
        <v>0.63493105288099194</v>
      </c>
      <c r="S347" s="72">
        <f>S282*G336/1000</f>
        <v>0.64889953604437378</v>
      </c>
      <c r="T347" s="72">
        <f>T282*G336/1000</f>
        <v>0.66317532583735006</v>
      </c>
      <c r="U347" s="72">
        <f>U282*G336/1000</f>
        <v>0.67776518300577182</v>
      </c>
      <c r="V347" s="72">
        <f>V282*G336/1000</f>
        <v>0.69267601703189885</v>
      </c>
      <c r="W347" s="72">
        <f>W282*G336/1000</f>
        <v>0.70791488940660052</v>
      </c>
      <c r="X347" s="72">
        <f>X282*G336/1000</f>
        <v>0.72348901697354573</v>
      </c>
      <c r="Y347" s="72">
        <f>Y282*G336/1000</f>
        <v>0.73940577534696372</v>
      </c>
      <c r="Z347" s="72">
        <f>Z282*G336/1000</f>
        <v>0.75567270240459705</v>
      </c>
      <c r="AA347" s="72">
        <f>AA282*G336/1000</f>
        <v>0.77229750185749824</v>
      </c>
      <c r="AB347" s="72">
        <f>AB282*G336/1000</f>
        <v>0.78928804689836318</v>
      </c>
      <c r="AC347" s="72">
        <f>AC282*G336/1000</f>
        <v>0.80665238393012717</v>
      </c>
      <c r="AD347" s="72">
        <f>AD282*G336/1000</f>
        <v>0.82439873637659</v>
      </c>
      <c r="AE347" s="72">
        <f>AE282*G336/1000</f>
        <v>0.84253550857687498</v>
      </c>
      <c r="AF347" s="72"/>
      <c r="AG347" s="70"/>
      <c r="AH347" s="70"/>
      <c r="AI347" s="70"/>
    </row>
    <row r="348" spans="1:35" x14ac:dyDescent="0.45">
      <c r="A348" s="71"/>
      <c r="B348" s="75"/>
      <c r="C348" s="71"/>
      <c r="D348" s="75" t="s">
        <v>1397</v>
      </c>
      <c r="E348" s="71" t="s">
        <v>1486</v>
      </c>
      <c r="F348" s="70"/>
      <c r="G348" s="70"/>
      <c r="H348" s="70"/>
      <c r="I348" s="70"/>
      <c r="J348" s="70"/>
      <c r="K348" s="72"/>
      <c r="L348" s="72">
        <f>L283*G337/1000</f>
        <v>0.63340895307832257</v>
      </c>
      <c r="M348" s="72">
        <f>M283*G337/1000</f>
        <v>0.66824644549763035</v>
      </c>
      <c r="N348" s="72">
        <f>N283*G337/1000</f>
        <v>0.70499999999999996</v>
      </c>
      <c r="O348" s="72">
        <f>O283*G337/1000</f>
        <v>0.74377499999999996</v>
      </c>
      <c r="P348" s="72">
        <f>P283*G337/1000</f>
        <v>0.78468262499999997</v>
      </c>
      <c r="Q348" s="72">
        <f>Q283*G337/1000</f>
        <v>0.82784016937499993</v>
      </c>
      <c r="R348" s="72">
        <f>R283*G337/1000</f>
        <v>0.87337137869062498</v>
      </c>
      <c r="S348" s="72">
        <f>S283*G337/1000</f>
        <v>0.92140680451860935</v>
      </c>
      <c r="T348" s="72">
        <f>T283*G337/1000</f>
        <v>0.97208417876713282</v>
      </c>
      <c r="U348" s="72">
        <f>U283*G337/1000</f>
        <v>1.025548808599325</v>
      </c>
      <c r="V348" s="72">
        <f>V283*G337/1000</f>
        <v>1.0819539930722879</v>
      </c>
      <c r="W348" s="72">
        <f>W283*G337/1000</f>
        <v>1.1414614626912638</v>
      </c>
      <c r="X348" s="72">
        <f>X283*G337/1000</f>
        <v>1.2042418431392832</v>
      </c>
      <c r="Y348" s="72">
        <f>Y283*G337/1000</f>
        <v>1.2704751445119435</v>
      </c>
      <c r="Z348" s="72">
        <f>Z283*G337/1000</f>
        <v>1.3403512774601003</v>
      </c>
      <c r="AA348" s="72">
        <f>AA283*G337/1000</f>
        <v>1.4140705977204062</v>
      </c>
      <c r="AB348" s="72">
        <f>AB283*G337/1000</f>
        <v>1.4918444805950282</v>
      </c>
      <c r="AC348" s="72">
        <f>AC283*G337/1000</f>
        <v>1.5738959270277546</v>
      </c>
      <c r="AD348" s="72">
        <f>AD283*G337/1000</f>
        <v>1.660460203014281</v>
      </c>
      <c r="AE348" s="72">
        <f>AE283*G337/1000</f>
        <v>1.7517855141800662</v>
      </c>
      <c r="AF348" s="72"/>
      <c r="AG348" s="70"/>
      <c r="AH348" s="70"/>
      <c r="AI348" s="70"/>
    </row>
    <row r="349" spans="1:35" x14ac:dyDescent="0.45">
      <c r="A349" s="70"/>
      <c r="B349" s="75"/>
      <c r="C349" s="75"/>
      <c r="D349" s="75" t="s">
        <v>1487</v>
      </c>
      <c r="E349" s="70"/>
      <c r="F349" s="70"/>
      <c r="G349" s="70"/>
      <c r="H349" s="70"/>
      <c r="I349" s="70"/>
      <c r="J349" s="70"/>
      <c r="K349" s="72"/>
      <c r="L349" s="72">
        <f>SUM(L341:L348)</f>
        <v>26.090339299916039</v>
      </c>
      <c r="M349" s="72">
        <f>SUM(M341:M348)</f>
        <v>26.961911636097753</v>
      </c>
      <c r="N349" s="72">
        <f>SUM(N341:N348)</f>
        <v>27.863</v>
      </c>
      <c r="O349" s="72">
        <f>SUM(O341:O348)</f>
        <v>28.794622999999998</v>
      </c>
      <c r="P349" s="72">
        <f>SUM(P341:P348)</f>
        <v>29.757835348999993</v>
      </c>
      <c r="Q349" s="72">
        <f>SUM(Q341:Q348)</f>
        <v>30.753729192394996</v>
      </c>
      <c r="R349" s="72">
        <f>SUM(R341:R348)</f>
        <v>31.783435487304406</v>
      </c>
      <c r="S349" s="72">
        <f>SUM(S341:S348)</f>
        <v>32.848125435164668</v>
      </c>
      <c r="T349" s="72">
        <f>SUM(T341:T348)</f>
        <v>33.949011969871044</v>
      </c>
      <c r="U349" s="72">
        <f>SUM(U341:U348)</f>
        <v>35.087351303752364</v>
      </c>
      <c r="V349" s="72">
        <f>SUM(V341:V348)</f>
        <v>36.264444533762408</v>
      </c>
      <c r="W349" s="72">
        <f>SUM(W341:W348)</f>
        <v>37.481639310376153</v>
      </c>
      <c r="X349" s="72">
        <f>SUM(X341:X348)</f>
        <v>38.740331571788573</v>
      </c>
      <c r="Y349" s="72">
        <f>SUM(Y341:Y348)</f>
        <v>40.041967346128295</v>
      </c>
      <c r="Z349" s="72">
        <f>SUM(Z341:Z348)</f>
        <v>41.388044624518081</v>
      </c>
      <c r="AA349" s="72">
        <f>SUM(AA341:AA348)</f>
        <v>42.780115307939909</v>
      </c>
      <c r="AB349" s="72">
        <f>SUM(AB341:AB348)</f>
        <v>44.219787230993546</v>
      </c>
      <c r="AC349" s="72">
        <f>SUM(AC341:AC348)</f>
        <v>45.708726265775283</v>
      </c>
      <c r="AD349" s="72">
        <f>SUM(AD341:AD348)</f>
        <v>47.248658509247463</v>
      </c>
      <c r="AE349" s="72">
        <f>SUM(AE341:AE348)</f>
        <v>48.841372557620346</v>
      </c>
      <c r="AF349" s="70"/>
      <c r="AG349" s="70"/>
      <c r="AH349" s="70"/>
      <c r="AI349" s="70"/>
    </row>
    <row r="350" spans="1:35" x14ac:dyDescent="0.45">
      <c r="A350" s="70"/>
      <c r="B350" s="75"/>
      <c r="C350" s="75"/>
      <c r="D350" s="75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75"/>
      <c r="C351" s="73" t="s">
        <v>1489</v>
      </c>
      <c r="D351" s="73"/>
      <c r="E351" s="72" t="s">
        <v>1490</v>
      </c>
      <c r="F351" s="72" t="s">
        <v>1407</v>
      </c>
      <c r="G351" s="72" t="s">
        <v>1491</v>
      </c>
      <c r="H351" s="74"/>
      <c r="I351" s="74"/>
      <c r="J351" s="74"/>
      <c r="K351" s="74"/>
      <c r="L351" s="74">
        <f>L298</f>
        <v>2022</v>
      </c>
      <c r="M351" s="74">
        <f>M298</f>
        <v>2023</v>
      </c>
      <c r="N351" s="74">
        <f>N298</f>
        <v>2024</v>
      </c>
      <c r="O351" s="74">
        <f>O298</f>
        <v>2025</v>
      </c>
      <c r="P351" s="74">
        <f>P298</f>
        <v>2026</v>
      </c>
      <c r="Q351" s="74">
        <f>Q298</f>
        <v>2027</v>
      </c>
      <c r="R351" s="74">
        <f>R298</f>
        <v>2028</v>
      </c>
      <c r="S351" s="74">
        <f>S298</f>
        <v>2029</v>
      </c>
      <c r="T351" s="74">
        <f>T298</f>
        <v>2030</v>
      </c>
      <c r="U351" s="74">
        <f>U298</f>
        <v>2031</v>
      </c>
      <c r="V351" s="74">
        <f>V298</f>
        <v>2032</v>
      </c>
      <c r="W351" s="74">
        <f>W298</f>
        <v>2033</v>
      </c>
      <c r="X351" s="74">
        <f>X298</f>
        <v>2034</v>
      </c>
      <c r="Y351" s="74">
        <f>Y298</f>
        <v>2035</v>
      </c>
      <c r="Z351" s="74">
        <f>Z298</f>
        <v>2036</v>
      </c>
      <c r="AA351" s="74">
        <f>AA298</f>
        <v>2037</v>
      </c>
      <c r="AB351" s="74">
        <f>AB298</f>
        <v>2038</v>
      </c>
      <c r="AC351" s="74">
        <f>AC298</f>
        <v>2039</v>
      </c>
      <c r="AD351" s="74">
        <f>AD298</f>
        <v>2040</v>
      </c>
      <c r="AE351" s="74">
        <f>AE298</f>
        <v>2041</v>
      </c>
      <c r="AF351" s="70"/>
      <c r="AG351" s="70"/>
      <c r="AH351" s="70"/>
      <c r="AI351" s="70"/>
    </row>
    <row r="352" spans="1:35" x14ac:dyDescent="0.45">
      <c r="A352" s="70"/>
      <c r="B352" s="75"/>
      <c r="C352" s="75"/>
      <c r="D352" s="75" t="s">
        <v>1350</v>
      </c>
      <c r="E352" s="83">
        <f>'Manual inputs'!E$40</f>
        <v>1.0536051565782599E-3</v>
      </c>
      <c r="F352" s="79">
        <f>'Manual inputs'!F$40</f>
        <v>0.1</v>
      </c>
      <c r="G352" s="72"/>
      <c r="H352" s="70"/>
      <c r="I352" s="70"/>
      <c r="J352" s="70"/>
      <c r="K352" s="70"/>
      <c r="L352" s="72">
        <f>L330*(EXP(-($E352)*(L250))-1)</f>
        <v>0</v>
      </c>
      <c r="M352" s="72">
        <f>M330*(EXP(-($E352)*(M250))-1)</f>
        <v>0</v>
      </c>
      <c r="N352" s="72">
        <f>N330*(EXP(-($E352)*(N250))-1)</f>
        <v>0</v>
      </c>
      <c r="O352" s="72">
        <f>O330*(EXP(-($E352)*(O250))-1)</f>
        <v>0</v>
      </c>
      <c r="P352" s="72">
        <f>P330*(EXP(-($E352)*(P250))-1)</f>
        <v>0</v>
      </c>
      <c r="Q352" s="72">
        <f>Q330*(EXP(-($E352)*(Q250))-1)</f>
        <v>0</v>
      </c>
      <c r="R352" s="72">
        <f>R330*(EXP(-($E352)*(R250))-1)</f>
        <v>0</v>
      </c>
      <c r="S352" s="72">
        <f>S330*(EXP(-($E352)*(S250))-1)</f>
        <v>0</v>
      </c>
      <c r="T352" s="72">
        <f>T330*(EXP(-($E352)*(T250))-1)</f>
        <v>0</v>
      </c>
      <c r="U352" s="72">
        <f>U330*(EXP(-($E352)*(U250))-1)</f>
        <v>0</v>
      </c>
      <c r="V352" s="72">
        <f>V330*(EXP(-($E352)*(V250))-1)</f>
        <v>0</v>
      </c>
      <c r="W352" s="72">
        <f>W330*(EXP(-($E352)*(W250))-1)</f>
        <v>0</v>
      </c>
      <c r="X352" s="72">
        <f>X330*(EXP(-($E352)*(X250))-1)</f>
        <v>0</v>
      </c>
      <c r="Y352" s="72">
        <f>Y330*(EXP(-($E352)*(Y250))-1)</f>
        <v>0</v>
      </c>
      <c r="Z352" s="72">
        <f>Z330*(EXP(-($E352)*(Z250))-1)</f>
        <v>0</v>
      </c>
      <c r="AA352" s="72">
        <f>AA330*(EXP(-($E352)*(AA250))-1)</f>
        <v>0</v>
      </c>
      <c r="AB352" s="72">
        <f>AB330*(EXP(-($E352)*(AB250))-1)</f>
        <v>0</v>
      </c>
      <c r="AC352" s="72">
        <f>AC330*(EXP(-($E352)*(AC250))-1)</f>
        <v>0</v>
      </c>
      <c r="AD352" s="72">
        <f>AD330*(EXP(-($E352)*(AD250))-1)</f>
        <v>0</v>
      </c>
      <c r="AE352" s="72">
        <f>AE330*(EXP(-($E352)*(AE250))-1)</f>
        <v>0</v>
      </c>
      <c r="AF352" s="70"/>
      <c r="AG352" s="70"/>
      <c r="AH352" s="70"/>
      <c r="AI352" s="70"/>
    </row>
    <row r="353" spans="1:35" x14ac:dyDescent="0.45">
      <c r="A353" s="70"/>
      <c r="B353" s="75"/>
      <c r="C353" s="75"/>
      <c r="D353" s="75" t="s">
        <v>1357</v>
      </c>
      <c r="E353" s="83">
        <f>'Manual inputs'!E$41</f>
        <v>2.0202707317519501E-4</v>
      </c>
      <c r="F353" s="79">
        <f>'Manual inputs'!F$41</f>
        <v>0.02</v>
      </c>
      <c r="G353" s="72"/>
      <c r="H353" s="70"/>
      <c r="I353" s="70"/>
      <c r="J353" s="70"/>
      <c r="K353" s="70"/>
      <c r="L353" s="72">
        <f>L331*(EXP(-($E353)*(L250))-1)</f>
        <v>0</v>
      </c>
      <c r="M353" s="72">
        <f>M331*(EXP(-($E353)*(M250))-1)</f>
        <v>0</v>
      </c>
      <c r="N353" s="72">
        <f>N331*(EXP(-($E353)*(N250))-1)</f>
        <v>0</v>
      </c>
      <c r="O353" s="72">
        <f>O331*(EXP(-($E353)*(O250))-1)</f>
        <v>0</v>
      </c>
      <c r="P353" s="72">
        <f>P331*(EXP(-($E353)*(P250))-1)</f>
        <v>0</v>
      </c>
      <c r="Q353" s="72">
        <f>Q331*(EXP(-($E353)*(Q250))-1)</f>
        <v>0</v>
      </c>
      <c r="R353" s="72">
        <f>R331*(EXP(-($E353)*(R250))-1)</f>
        <v>0</v>
      </c>
      <c r="S353" s="72">
        <f>S331*(EXP(-($E353)*(S250))-1)</f>
        <v>0</v>
      </c>
      <c r="T353" s="72">
        <f>T331*(EXP(-($E353)*(T250))-1)</f>
        <v>0</v>
      </c>
      <c r="U353" s="72">
        <f>U331*(EXP(-($E353)*(U250))-1)</f>
        <v>0</v>
      </c>
      <c r="V353" s="72">
        <f>V331*(EXP(-($E353)*(V250))-1)</f>
        <v>0</v>
      </c>
      <c r="W353" s="72">
        <f>W331*(EXP(-($E353)*(W250))-1)</f>
        <v>0</v>
      </c>
      <c r="X353" s="72">
        <f>X331*(EXP(-($E353)*(X250))-1)</f>
        <v>0</v>
      </c>
      <c r="Y353" s="72">
        <f>Y331*(EXP(-($E353)*(Y250))-1)</f>
        <v>0</v>
      </c>
      <c r="Z353" s="72">
        <f>Z331*(EXP(-($E353)*(Z250))-1)</f>
        <v>0</v>
      </c>
      <c r="AA353" s="72">
        <f>AA331*(EXP(-($E353)*(AA250))-1)</f>
        <v>0</v>
      </c>
      <c r="AB353" s="72">
        <f>AB331*(EXP(-($E353)*(AB250))-1)</f>
        <v>0</v>
      </c>
      <c r="AC353" s="72">
        <f>AC331*(EXP(-($E353)*(AC250))-1)</f>
        <v>0</v>
      </c>
      <c r="AD353" s="72">
        <f>AD331*(EXP(-($E353)*(AD250))-1)</f>
        <v>0</v>
      </c>
      <c r="AE353" s="72">
        <f>AE331*(EXP(-($E353)*(AE250))-1)</f>
        <v>0</v>
      </c>
      <c r="AF353" s="70"/>
      <c r="AG353" s="70"/>
      <c r="AH353" s="70"/>
      <c r="AI353" s="70"/>
    </row>
    <row r="354" spans="1:35" x14ac:dyDescent="0.45">
      <c r="A354" s="70"/>
      <c r="B354" s="75"/>
      <c r="C354" s="75"/>
      <c r="D354" s="75" t="s">
        <v>1408</v>
      </c>
      <c r="E354" s="83">
        <f>'Manual inputs'!E$42</f>
        <v>5.1293294387550598E-4</v>
      </c>
      <c r="F354" s="79">
        <f>'Manual inputs'!F$42</f>
        <v>0.05</v>
      </c>
      <c r="G354" s="72"/>
      <c r="H354" s="70"/>
      <c r="I354" s="70"/>
      <c r="J354" s="70"/>
      <c r="K354" s="70"/>
      <c r="L354" s="72">
        <f>L332*(EXP(-($E354)*(L250))-1)</f>
        <v>0</v>
      </c>
      <c r="M354" s="72">
        <f>M332*(EXP(-($E354)*(M250))-1)</f>
        <v>0</v>
      </c>
      <c r="N354" s="72">
        <f>N332*(EXP(-($E354)*(N250))-1)</f>
        <v>0</v>
      </c>
      <c r="O354" s="72">
        <f>O332*(EXP(-($E354)*(O250))-1)</f>
        <v>0</v>
      </c>
      <c r="P354" s="72">
        <f>P332*(EXP(-($E354)*(P250))-1)</f>
        <v>0</v>
      </c>
      <c r="Q354" s="72">
        <f>Q332*(EXP(-($E354)*(Q250))-1)</f>
        <v>0</v>
      </c>
      <c r="R354" s="72">
        <f>R332*(EXP(-($E354)*(R250))-1)</f>
        <v>0</v>
      </c>
      <c r="S354" s="72">
        <f>S332*(EXP(-($E354)*(S250))-1)</f>
        <v>0</v>
      </c>
      <c r="T354" s="72">
        <f>T332*(EXP(-($E354)*(T250))-1)</f>
        <v>0</v>
      </c>
      <c r="U354" s="72">
        <f>U332*(EXP(-($E354)*(U250))-1)</f>
        <v>0</v>
      </c>
      <c r="V354" s="72">
        <f>V332*(EXP(-($E354)*(V250))-1)</f>
        <v>0</v>
      </c>
      <c r="W354" s="72">
        <f>W332*(EXP(-($E354)*(W250))-1)</f>
        <v>0</v>
      </c>
      <c r="X354" s="72">
        <f>X332*(EXP(-($E354)*(X250))-1)</f>
        <v>0</v>
      </c>
      <c r="Y354" s="72">
        <f>Y332*(EXP(-($E354)*(Y250))-1)</f>
        <v>0</v>
      </c>
      <c r="Z354" s="72">
        <f>Z332*(EXP(-($E354)*(Z250))-1)</f>
        <v>0</v>
      </c>
      <c r="AA354" s="72">
        <f>AA332*(EXP(-($E354)*(AA250))-1)</f>
        <v>0</v>
      </c>
      <c r="AB354" s="72">
        <f>AB332*(EXP(-($E354)*(AB250))-1)</f>
        <v>0</v>
      </c>
      <c r="AC354" s="72">
        <f>AC332*(EXP(-($E354)*(AC250))-1)</f>
        <v>0</v>
      </c>
      <c r="AD354" s="72">
        <f>AD332*(EXP(-($E354)*(AD250))-1)</f>
        <v>0</v>
      </c>
      <c r="AE354" s="72">
        <f>AE332*(EXP(-($E354)*(AE250))-1)</f>
        <v>0</v>
      </c>
      <c r="AF354" s="70"/>
      <c r="AG354" s="70"/>
      <c r="AH354" s="70"/>
      <c r="AI354" s="70"/>
    </row>
    <row r="355" spans="1:35" x14ac:dyDescent="0.45">
      <c r="A355" s="70"/>
      <c r="B355" s="75"/>
      <c r="C355" s="75"/>
      <c r="D355" s="75" t="s">
        <v>1409</v>
      </c>
      <c r="E355" s="83">
        <f>'Manual inputs'!E$43</f>
        <v>8.3381608939051E-4</v>
      </c>
      <c r="F355" s="79">
        <f>'Manual inputs'!F$43</f>
        <v>0.08</v>
      </c>
      <c r="G355" s="72"/>
      <c r="H355" s="70"/>
      <c r="I355" s="70"/>
      <c r="J355" s="70"/>
      <c r="K355" s="70"/>
      <c r="L355" s="72">
        <f>L333*(EXP(-($E355)*(L250))-1)</f>
        <v>0</v>
      </c>
      <c r="M355" s="72">
        <f>M333*(EXP(-($E355)*(M250))-1)</f>
        <v>0</v>
      </c>
      <c r="N355" s="72">
        <f>N333*(EXP(-($E355)*(N250))-1)</f>
        <v>0</v>
      </c>
      <c r="O355" s="72">
        <f>O333*(EXP(-($E355)*(O250))-1)</f>
        <v>0</v>
      </c>
      <c r="P355" s="72">
        <f>P333*(EXP(-($E355)*(P250))-1)</f>
        <v>0</v>
      </c>
      <c r="Q355" s="72">
        <f>Q333*(EXP(-($E355)*(Q250))-1)</f>
        <v>0</v>
      </c>
      <c r="R355" s="72">
        <f>R333*(EXP(-($E355)*(R250))-1)</f>
        <v>0</v>
      </c>
      <c r="S355" s="72">
        <f>S333*(EXP(-($E355)*(S250))-1)</f>
        <v>0</v>
      </c>
      <c r="T355" s="72">
        <f>T333*(EXP(-($E355)*(T250))-1)</f>
        <v>0</v>
      </c>
      <c r="U355" s="72">
        <f>U333*(EXP(-($E355)*(U250))-1)</f>
        <v>0</v>
      </c>
      <c r="V355" s="72">
        <f>V333*(EXP(-($E355)*(V250))-1)</f>
        <v>0</v>
      </c>
      <c r="W355" s="72">
        <f>W333*(EXP(-($E355)*(W250))-1)</f>
        <v>0</v>
      </c>
      <c r="X355" s="72">
        <f>X333*(EXP(-($E355)*(X250))-1)</f>
        <v>0</v>
      </c>
      <c r="Y355" s="72">
        <f>Y333*(EXP(-($E355)*(Y250))-1)</f>
        <v>0</v>
      </c>
      <c r="Z355" s="72">
        <f>Z333*(EXP(-($E355)*(Z250))-1)</f>
        <v>0</v>
      </c>
      <c r="AA355" s="72">
        <f>AA333*(EXP(-($E355)*(AA250))-1)</f>
        <v>0</v>
      </c>
      <c r="AB355" s="72">
        <f>AB333*(EXP(-($E355)*(AB250))-1)</f>
        <v>0</v>
      </c>
      <c r="AC355" s="72">
        <f>AC333*(EXP(-($E355)*(AC250))-1)</f>
        <v>0</v>
      </c>
      <c r="AD355" s="72">
        <f>AD333*(EXP(-($E355)*(AD250))-1)</f>
        <v>0</v>
      </c>
      <c r="AE355" s="72">
        <f>AE333*(EXP(-($E355)*(AE250))-1)</f>
        <v>0</v>
      </c>
      <c r="AF355" s="70"/>
      <c r="AG355" s="70"/>
      <c r="AH355" s="70"/>
      <c r="AI355" s="70"/>
    </row>
    <row r="356" spans="1:35" x14ac:dyDescent="0.45">
      <c r="A356" s="70"/>
      <c r="B356" s="75"/>
      <c r="C356" s="75"/>
      <c r="D356" s="75" t="s">
        <v>1410</v>
      </c>
      <c r="E356" s="83">
        <f>'Manual inputs'!E$44</f>
        <v>1.98450938723838E-3</v>
      </c>
      <c r="F356" s="79">
        <f>'Manual inputs'!F$44</f>
        <v>0.18</v>
      </c>
      <c r="G356" s="72"/>
      <c r="H356" s="70"/>
      <c r="I356" s="70"/>
      <c r="J356" s="70"/>
      <c r="K356" s="70"/>
      <c r="L356" s="72">
        <f>L334*(EXP(-($E356)*(L250))-1)</f>
        <v>0</v>
      </c>
      <c r="M356" s="72">
        <f>M334*(EXP(-($E356)*(M250))-1)</f>
        <v>0</v>
      </c>
      <c r="N356" s="72">
        <f>N334*(EXP(-($E356)*(N250))-1)</f>
        <v>0</v>
      </c>
      <c r="O356" s="72">
        <f>O334*(EXP(-($E356)*(O250))-1)</f>
        <v>0</v>
      </c>
      <c r="P356" s="72">
        <f>P334*(EXP(-($E356)*(P250))-1)</f>
        <v>0</v>
      </c>
      <c r="Q356" s="72">
        <f>Q334*(EXP(-($E356)*(Q250))-1)</f>
        <v>0</v>
      </c>
      <c r="R356" s="72">
        <f>R334*(EXP(-($E356)*(R250))-1)</f>
        <v>0</v>
      </c>
      <c r="S356" s="72">
        <f>S334*(EXP(-($E356)*(S250))-1)</f>
        <v>0</v>
      </c>
      <c r="T356" s="72">
        <f>T334*(EXP(-($E356)*(T250))-1)</f>
        <v>0</v>
      </c>
      <c r="U356" s="72">
        <f>U334*(EXP(-($E356)*(U250))-1)</f>
        <v>0</v>
      </c>
      <c r="V356" s="72">
        <f>V334*(EXP(-($E356)*(V250))-1)</f>
        <v>0</v>
      </c>
      <c r="W356" s="72">
        <f>W334*(EXP(-($E356)*(W250))-1)</f>
        <v>0</v>
      </c>
      <c r="X356" s="72">
        <f>X334*(EXP(-($E356)*(X250))-1)</f>
        <v>0</v>
      </c>
      <c r="Y356" s="72">
        <f>Y334*(EXP(-($E356)*(Y250))-1)</f>
        <v>0</v>
      </c>
      <c r="Z356" s="72">
        <f>Z334*(EXP(-($E356)*(Z250))-1)</f>
        <v>0</v>
      </c>
      <c r="AA356" s="72">
        <f>AA334*(EXP(-($E356)*(AA250))-1)</f>
        <v>0</v>
      </c>
      <c r="AB356" s="72">
        <f>AB334*(EXP(-($E356)*(AB250))-1)</f>
        <v>0</v>
      </c>
      <c r="AC356" s="72">
        <f>AC334*(EXP(-($E356)*(AC250))-1)</f>
        <v>0</v>
      </c>
      <c r="AD356" s="72">
        <f>AD334*(EXP(-($E356)*(AD250))-1)</f>
        <v>0</v>
      </c>
      <c r="AE356" s="72">
        <f>AE334*(EXP(-($E356)*(AE250))-1)</f>
        <v>0</v>
      </c>
      <c r="AF356" s="70"/>
      <c r="AG356" s="70"/>
      <c r="AH356" s="70"/>
      <c r="AI356" s="70"/>
    </row>
    <row r="357" spans="1:35" x14ac:dyDescent="0.45">
      <c r="A357" s="70"/>
      <c r="B357" s="75"/>
      <c r="C357" s="75"/>
      <c r="D357" s="75" t="s">
        <v>1383</v>
      </c>
      <c r="E357" s="83">
        <f>'Manual inputs'!E$45</f>
        <v>0</v>
      </c>
      <c r="F357" s="79">
        <f>'Manual inputs'!F$45</f>
        <v>0</v>
      </c>
      <c r="G357" s="72"/>
      <c r="H357" s="70"/>
      <c r="I357" s="70"/>
      <c r="J357" s="70"/>
      <c r="K357" s="70"/>
      <c r="L357" s="72">
        <f>L335*(EXP(-($E357)*(L250))-1)</f>
        <v>0</v>
      </c>
      <c r="M357" s="72">
        <f>M335*(EXP(-($E357)*(M250))-1)</f>
        <v>0</v>
      </c>
      <c r="N357" s="72">
        <f>N335*(EXP(-($E357)*(N250))-1)</f>
        <v>0</v>
      </c>
      <c r="O357" s="72">
        <f>O335*(EXP(-($E357)*(O250))-1)</f>
        <v>0</v>
      </c>
      <c r="P357" s="72">
        <f>P335*(EXP(-($E357)*(P250))-1)</f>
        <v>0</v>
      </c>
      <c r="Q357" s="72">
        <f>Q335*(EXP(-($E357)*(Q250))-1)</f>
        <v>0</v>
      </c>
      <c r="R357" s="72">
        <f>R335*(EXP(-($E357)*(R250))-1)</f>
        <v>0</v>
      </c>
      <c r="S357" s="72">
        <f>S335*(EXP(-($E357)*(S250))-1)</f>
        <v>0</v>
      </c>
      <c r="T357" s="72">
        <f>T335*(EXP(-($E357)*(T250))-1)</f>
        <v>0</v>
      </c>
      <c r="U357" s="72">
        <f>U335*(EXP(-($E357)*(U250))-1)</f>
        <v>0</v>
      </c>
      <c r="V357" s="72">
        <f>V335*(EXP(-($E357)*(V250))-1)</f>
        <v>0</v>
      </c>
      <c r="W357" s="72">
        <f>W335*(EXP(-($E357)*(W250))-1)</f>
        <v>0</v>
      </c>
      <c r="X357" s="72">
        <f>X335*(EXP(-($E357)*(X250))-1)</f>
        <v>0</v>
      </c>
      <c r="Y357" s="72">
        <f>Y335*(EXP(-($E357)*(Y250))-1)</f>
        <v>0</v>
      </c>
      <c r="Z357" s="72">
        <f>Z335*(EXP(-($E357)*(Z250))-1)</f>
        <v>0</v>
      </c>
      <c r="AA357" s="72">
        <f>AA335*(EXP(-($E357)*(AA250))-1)</f>
        <v>0</v>
      </c>
      <c r="AB357" s="72">
        <f>AB335*(EXP(-($E357)*(AB250))-1)</f>
        <v>0</v>
      </c>
      <c r="AC357" s="72">
        <f>AC335*(EXP(-($E357)*(AC250))-1)</f>
        <v>0</v>
      </c>
      <c r="AD357" s="72">
        <f>AD335*(EXP(-($E357)*(AD250))-1)</f>
        <v>0</v>
      </c>
      <c r="AE357" s="72">
        <f>AE335*(EXP(-($E357)*(AE250))-1)</f>
        <v>0</v>
      </c>
      <c r="AF357" s="70"/>
      <c r="AG357" s="70"/>
      <c r="AH357" s="70"/>
      <c r="AI357" s="70"/>
    </row>
    <row r="358" spans="1:35" x14ac:dyDescent="0.45">
      <c r="A358" s="70"/>
      <c r="B358" s="75"/>
      <c r="C358" s="75"/>
      <c r="D358" s="75" t="s">
        <v>1411</v>
      </c>
      <c r="E358" s="83">
        <f>'Manual inputs'!E$46</f>
        <v>1.04982212449868E-2</v>
      </c>
      <c r="F358" s="79">
        <f>'Manual inputs'!F$46</f>
        <v>0.65</v>
      </c>
      <c r="G358" s="72"/>
      <c r="H358" s="70"/>
      <c r="I358" s="70"/>
      <c r="J358" s="70"/>
      <c r="K358" s="70"/>
      <c r="L358" s="72">
        <f>L336*(EXP(-($E358)*(L250))-1)</f>
        <v>0</v>
      </c>
      <c r="M358" s="72">
        <f>M336*(EXP(-($E358)*(M250))-1)</f>
        <v>0</v>
      </c>
      <c r="N358" s="72">
        <f>N336*(EXP(-($E358)*(N250))-1)</f>
        <v>0</v>
      </c>
      <c r="O358" s="72">
        <f>O336*(EXP(-($E358)*(O250))-1)</f>
        <v>0</v>
      </c>
      <c r="P358" s="72">
        <f>P336*(EXP(-($E358)*(P250))-1)</f>
        <v>0</v>
      </c>
      <c r="Q358" s="72">
        <f>Q336*(EXP(-($E358)*(Q250))-1)</f>
        <v>0</v>
      </c>
      <c r="R358" s="72">
        <f>R336*(EXP(-($E358)*(R250))-1)</f>
        <v>0</v>
      </c>
      <c r="S358" s="72">
        <f>S336*(EXP(-($E358)*(S250))-1)</f>
        <v>0</v>
      </c>
      <c r="T358" s="72">
        <f>T336*(EXP(-($E358)*(T250))-1)</f>
        <v>0</v>
      </c>
      <c r="U358" s="72">
        <f>U336*(EXP(-($E358)*(U250))-1)</f>
        <v>0</v>
      </c>
      <c r="V358" s="72">
        <f>V336*(EXP(-($E358)*(V250))-1)</f>
        <v>0</v>
      </c>
      <c r="W358" s="72">
        <f>W336*(EXP(-($E358)*(W250))-1)</f>
        <v>0</v>
      </c>
      <c r="X358" s="72">
        <f>X336*(EXP(-($E358)*(X250))-1)</f>
        <v>0</v>
      </c>
      <c r="Y358" s="72">
        <f>Y336*(EXP(-($E358)*(Y250))-1)</f>
        <v>0</v>
      </c>
      <c r="Z358" s="72">
        <f>Z336*(EXP(-($E358)*(Z250))-1)</f>
        <v>0</v>
      </c>
      <c r="AA358" s="72">
        <f>AA336*(EXP(-($E358)*(AA250))-1)</f>
        <v>0</v>
      </c>
      <c r="AB358" s="72">
        <f>AB336*(EXP(-($E358)*(AB250))-1)</f>
        <v>0</v>
      </c>
      <c r="AC358" s="72">
        <f>AC336*(EXP(-($E358)*(AC250))-1)</f>
        <v>0</v>
      </c>
      <c r="AD358" s="72">
        <f>AD336*(EXP(-($E358)*(AD250))-1)</f>
        <v>0</v>
      </c>
      <c r="AE358" s="72">
        <f>AE336*(EXP(-($E358)*(AE250))-1)</f>
        <v>0</v>
      </c>
      <c r="AF358" s="70"/>
      <c r="AG358" s="70"/>
      <c r="AH358" s="70"/>
      <c r="AI358" s="70"/>
    </row>
    <row r="359" spans="1:35" x14ac:dyDescent="0.45">
      <c r="A359" s="70"/>
      <c r="B359" s="75"/>
      <c r="C359" s="75"/>
      <c r="D359" s="75" t="s">
        <v>1397</v>
      </c>
      <c r="E359" s="83">
        <f>'Manual inputs'!E$47</f>
        <v>8.3381608939051E-4</v>
      </c>
      <c r="F359" s="79">
        <f>'Manual inputs'!F$47</f>
        <v>0.08</v>
      </c>
      <c r="G359" s="72"/>
      <c r="H359" s="72"/>
      <c r="I359" s="72"/>
      <c r="J359" s="72"/>
      <c r="K359" s="72"/>
      <c r="L359" s="72">
        <f>L337*(EXP(-($E359)*(L250))-1)</f>
        <v>0</v>
      </c>
      <c r="M359" s="72">
        <f>M337*(EXP(-($E359)*(M250))-1)</f>
        <v>0</v>
      </c>
      <c r="N359" s="72">
        <f>N337*(EXP(-($E359)*(N250))-1)</f>
        <v>0</v>
      </c>
      <c r="O359" s="72">
        <f>O337*(EXP(-($E359)*(O250))-1)</f>
        <v>0</v>
      </c>
      <c r="P359" s="72">
        <f>P337*(EXP(-($E359)*(P250))-1)</f>
        <v>0</v>
      </c>
      <c r="Q359" s="72">
        <f>Q337*(EXP(-($E359)*(Q250))-1)</f>
        <v>0</v>
      </c>
      <c r="R359" s="72">
        <f>R337*(EXP(-($E359)*(R250))-1)</f>
        <v>0</v>
      </c>
      <c r="S359" s="72">
        <f>S337*(EXP(-($E359)*(S250))-1)</f>
        <v>0</v>
      </c>
      <c r="T359" s="72">
        <f>T337*(EXP(-($E359)*(T250))-1)</f>
        <v>0</v>
      </c>
      <c r="U359" s="72">
        <f>U337*(EXP(-($E359)*(U250))-1)</f>
        <v>0</v>
      </c>
      <c r="V359" s="72">
        <f>V337*(EXP(-($E359)*(V250))-1)</f>
        <v>0</v>
      </c>
      <c r="W359" s="72">
        <f>W337*(EXP(-($E359)*(W250))-1)</f>
        <v>0</v>
      </c>
      <c r="X359" s="72">
        <f>X337*(EXP(-($E359)*(X250))-1)</f>
        <v>0</v>
      </c>
      <c r="Y359" s="72">
        <f>Y337*(EXP(-($E359)*(Y250))-1)</f>
        <v>0</v>
      </c>
      <c r="Z359" s="72">
        <f>Z337*(EXP(-($E359)*(Z250))-1)</f>
        <v>0</v>
      </c>
      <c r="AA359" s="72">
        <f>AA337*(EXP(-($E359)*(AA250))-1)</f>
        <v>0</v>
      </c>
      <c r="AB359" s="72">
        <f>AB337*(EXP(-($E359)*(AB250))-1)</f>
        <v>0</v>
      </c>
      <c r="AC359" s="72">
        <f>AC337*(EXP(-($E359)*(AC250))-1)</f>
        <v>0</v>
      </c>
      <c r="AD359" s="72">
        <f>AD337*(EXP(-($E359)*(AD250))-1)</f>
        <v>0</v>
      </c>
      <c r="AE359" s="72">
        <f>AE337*(EXP(-($E359)*(AE250))-1)</f>
        <v>0</v>
      </c>
      <c r="AF359" s="70"/>
      <c r="AG359" s="70"/>
      <c r="AH359" s="70"/>
      <c r="AI359" s="70"/>
    </row>
    <row r="360" spans="1:35" x14ac:dyDescent="0.45">
      <c r="A360" s="70"/>
      <c r="B360" s="75"/>
      <c r="C360" s="75"/>
      <c r="D360" s="72"/>
      <c r="E360" s="72"/>
      <c r="F360" s="72"/>
      <c r="G360" s="70"/>
      <c r="H360" s="70"/>
      <c r="I360" s="72"/>
      <c r="J360" s="72"/>
      <c r="K360" s="72"/>
      <c r="L360" s="72">
        <f>SUM(L352:L359)</f>
        <v>0</v>
      </c>
      <c r="M360" s="72">
        <f>SUM(M352:M359)</f>
        <v>0</v>
      </c>
      <c r="N360" s="72">
        <f>SUM(N352:N359)</f>
        <v>0</v>
      </c>
      <c r="O360" s="72">
        <f>SUM(O352:O359)</f>
        <v>0</v>
      </c>
      <c r="P360" s="72">
        <f>SUM(P352:P359)</f>
        <v>0</v>
      </c>
      <c r="Q360" s="72">
        <f>SUM(Q352:Q359)</f>
        <v>0</v>
      </c>
      <c r="R360" s="72">
        <f>SUM(R352:R359)</f>
        <v>0</v>
      </c>
      <c r="S360" s="72">
        <f>SUM(S352:S359)</f>
        <v>0</v>
      </c>
      <c r="T360" s="72">
        <f>SUM(T352:T359)</f>
        <v>0</v>
      </c>
      <c r="U360" s="72">
        <f>SUM(U352:U359)</f>
        <v>0</v>
      </c>
      <c r="V360" s="72">
        <f>SUM(V352:V359)</f>
        <v>0</v>
      </c>
      <c r="W360" s="72">
        <f>SUM(W352:W359)</f>
        <v>0</v>
      </c>
      <c r="X360" s="72">
        <f>SUM(X352:X359)</f>
        <v>0</v>
      </c>
      <c r="Y360" s="72">
        <f>SUM(Y352:Y359)</f>
        <v>0</v>
      </c>
      <c r="Z360" s="72">
        <f>SUM(Z352:Z359)</f>
        <v>0</v>
      </c>
      <c r="AA360" s="72">
        <f>SUM(AA352:AA359)</f>
        <v>0</v>
      </c>
      <c r="AB360" s="72">
        <f>SUM(AB352:AB359)</f>
        <v>0</v>
      </c>
      <c r="AC360" s="72">
        <f>SUM(AC352:AC359)</f>
        <v>0</v>
      </c>
      <c r="AD360" s="72">
        <f>SUM(AD352:AD359)</f>
        <v>0</v>
      </c>
      <c r="AE360" s="72">
        <f>SUM(AE352:AE359)</f>
        <v>0</v>
      </c>
      <c r="AF360" s="70"/>
      <c r="AG360" s="70"/>
      <c r="AH360" s="70"/>
      <c r="AI360" s="70"/>
    </row>
    <row r="361" spans="1:35" x14ac:dyDescent="0.45">
      <c r="A361" s="70"/>
      <c r="B361" s="75"/>
      <c r="C361" s="75"/>
      <c r="D361" s="75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75"/>
      <c r="C362" s="73" t="s">
        <v>1492</v>
      </c>
      <c r="D362" s="73"/>
      <c r="E362" s="72" t="s">
        <v>1490</v>
      </c>
      <c r="F362" s="72" t="s">
        <v>1407</v>
      </c>
      <c r="G362" s="72" t="s">
        <v>1491</v>
      </c>
      <c r="H362" s="74"/>
      <c r="I362" s="74"/>
      <c r="J362" s="74"/>
      <c r="K362" s="74"/>
      <c r="L362" s="74">
        <f>L309</f>
        <v>2022</v>
      </c>
      <c r="M362" s="74">
        <f>M309</f>
        <v>2023</v>
      </c>
      <c r="N362" s="74">
        <f>N309</f>
        <v>2024</v>
      </c>
      <c r="O362" s="74">
        <f>O309</f>
        <v>2025</v>
      </c>
      <c r="P362" s="74">
        <f>P309</f>
        <v>2026</v>
      </c>
      <c r="Q362" s="74">
        <f>Q309</f>
        <v>2027</v>
      </c>
      <c r="R362" s="74">
        <f>R309</f>
        <v>2028</v>
      </c>
      <c r="S362" s="74">
        <f>S309</f>
        <v>2029</v>
      </c>
      <c r="T362" s="74">
        <f>T309</f>
        <v>2030</v>
      </c>
      <c r="U362" s="74">
        <f>U309</f>
        <v>2031</v>
      </c>
      <c r="V362" s="74">
        <f>V309</f>
        <v>2032</v>
      </c>
      <c r="W362" s="74">
        <f>W309</f>
        <v>2033</v>
      </c>
      <c r="X362" s="74">
        <f>X309</f>
        <v>2034</v>
      </c>
      <c r="Y362" s="74">
        <f>Y309</f>
        <v>2035</v>
      </c>
      <c r="Z362" s="74">
        <f>Z309</f>
        <v>2036</v>
      </c>
      <c r="AA362" s="74">
        <f>AA309</f>
        <v>2037</v>
      </c>
      <c r="AB362" s="74">
        <f>AB309</f>
        <v>2038</v>
      </c>
      <c r="AC362" s="74">
        <f>AC309</f>
        <v>2039</v>
      </c>
      <c r="AD362" s="74">
        <f>AD309</f>
        <v>2040</v>
      </c>
      <c r="AE362" s="74">
        <f>AE309</f>
        <v>2041</v>
      </c>
      <c r="AF362" s="70"/>
      <c r="AG362" s="70"/>
      <c r="AH362" s="70"/>
      <c r="AI362" s="70"/>
    </row>
    <row r="363" spans="1:35" x14ac:dyDescent="0.45">
      <c r="A363" s="70"/>
      <c r="B363" s="75"/>
      <c r="C363" s="75"/>
      <c r="D363" s="75" t="s">
        <v>1350</v>
      </c>
      <c r="E363" s="83">
        <f>'Manual inputs'!E$40</f>
        <v>1.0536051565782599E-3</v>
      </c>
      <c r="F363" s="79">
        <f>'Manual inputs'!F$40</f>
        <v>0.1</v>
      </c>
      <c r="G363" s="72"/>
      <c r="H363" s="70"/>
      <c r="I363" s="70"/>
      <c r="J363" s="70"/>
      <c r="K363" s="70"/>
      <c r="L363" s="72">
        <f>L341*(EXP(-(E363)*(F310*L247+G310*L248))-1)</f>
        <v>0</v>
      </c>
      <c r="M363" s="72">
        <f>M341*(EXP(-(E363)*(F310*M247+G310*M248))-1)</f>
        <v>0</v>
      </c>
      <c r="N363" s="72">
        <f>N341*(EXP(-(E363)*(F310*N247+G310*N248))-1)</f>
        <v>0</v>
      </c>
      <c r="O363" s="72">
        <f>O341*(EXP(-(E363)*(F310*O247+G310*O248))-1)</f>
        <v>0</v>
      </c>
      <c r="P363" s="72">
        <f>P341*(EXP(-(E363)*(F310*P247+G310*P248))-1)</f>
        <v>0</v>
      </c>
      <c r="Q363" s="72">
        <f>Q341*(EXP(-(E363)*(F310*Q247+G310*Q248))-1)</f>
        <v>0</v>
      </c>
      <c r="R363" s="72">
        <f>R341*(EXP(-(E363)*(F310*R247+G310*R248))-1)</f>
        <v>0</v>
      </c>
      <c r="S363" s="72">
        <f>S341*(EXP(-(E363)*(F310*S247+G310*S248))-1)</f>
        <v>0</v>
      </c>
      <c r="T363" s="72">
        <f>T341*(EXP(-(E363)*(F310*T247+G310*T248))-1)</f>
        <v>0</v>
      </c>
      <c r="U363" s="72">
        <f>U341*(EXP(-(E363)*(F310*U247+G310*U248))-1)</f>
        <v>0</v>
      </c>
      <c r="V363" s="72">
        <f>V341*(EXP(-(E363)*(F310*V247+G310*V248))-1)</f>
        <v>0</v>
      </c>
      <c r="W363" s="72">
        <f>W341*(EXP(-(E363)*(F310*W247+G310*W248))-1)</f>
        <v>0</v>
      </c>
      <c r="X363" s="72">
        <f>X341*(EXP(-(E363)*(F310*X247+G310*X248))-1)</f>
        <v>0</v>
      </c>
      <c r="Y363" s="72">
        <f>Y341*(EXP(-(E363)*(F310*Y247+G310*Y248))-1)</f>
        <v>0</v>
      </c>
      <c r="Z363" s="72">
        <f>Z341*(EXP(-(E363)*(F310*Z247+G310*Z248))-1)</f>
        <v>0</v>
      </c>
      <c r="AA363" s="72">
        <f>AA341*(EXP(-(E363)*(F310*AA247+G310*AA248))-1)</f>
        <v>0</v>
      </c>
      <c r="AB363" s="72">
        <f>AB341*(EXP(-(E363)*(F310*AB247+G310*AB248))-1)</f>
        <v>0</v>
      </c>
      <c r="AC363" s="72">
        <f>AC341*(EXP(-(E363)*(F310*AC247+G310*AC248))-1)</f>
        <v>0</v>
      </c>
      <c r="AD363" s="72">
        <f>AD341*(EXP(-(E363)*(F310*AD247+G310*AD248))-1)</f>
        <v>0</v>
      </c>
      <c r="AE363" s="72">
        <f>AE341*(EXP(-(E363)*(F310*AE247+G310*AE248))-1)</f>
        <v>0</v>
      </c>
      <c r="AF363" s="70"/>
      <c r="AG363" s="70"/>
      <c r="AH363" s="70"/>
      <c r="AI363" s="70"/>
    </row>
    <row r="364" spans="1:35" x14ac:dyDescent="0.45">
      <c r="A364" s="70"/>
      <c r="B364" s="75"/>
      <c r="C364" s="75"/>
      <c r="D364" s="75" t="s">
        <v>1357</v>
      </c>
      <c r="E364" s="83">
        <f>'Manual inputs'!E$41</f>
        <v>2.0202707317519501E-4</v>
      </c>
      <c r="F364" s="79">
        <f>'Manual inputs'!F$41</f>
        <v>0.02</v>
      </c>
      <c r="G364" s="72"/>
      <c r="H364" s="70"/>
      <c r="I364" s="70"/>
      <c r="J364" s="70"/>
      <c r="K364" s="70"/>
      <c r="L364" s="72">
        <f>L342*(EXP(-(E364)*(F311*L247+G311*L248))-1)</f>
        <v>0</v>
      </c>
      <c r="M364" s="72">
        <f>M342*(EXP(-(E364)*(F311*M247+G311*M248))-1)</f>
        <v>0</v>
      </c>
      <c r="N364" s="72">
        <f>N342*(EXP(-(E364)*(F311*N247+G311*N248))-1)</f>
        <v>0</v>
      </c>
      <c r="O364" s="72">
        <f>O342*(EXP(-(E364)*(F311*O247+G311*O248))-1)</f>
        <v>0</v>
      </c>
      <c r="P364" s="72">
        <f>P342*(EXP(-(E364)*(F311*P247+G311*P248))-1)</f>
        <v>0</v>
      </c>
      <c r="Q364" s="72">
        <f>Q342*(EXP(-(E364)*(F311*Q247+G311*Q248))-1)</f>
        <v>0</v>
      </c>
      <c r="R364" s="72">
        <f>R342*(EXP(-(E364)*(F311*R247+G311*R248))-1)</f>
        <v>0</v>
      </c>
      <c r="S364" s="72">
        <f>S342*(EXP(-(E364)*(F311*S247+G311*S248))-1)</f>
        <v>0</v>
      </c>
      <c r="T364" s="72">
        <f>T342*(EXP(-(E364)*(F311*T247+G311*T248))-1)</f>
        <v>0</v>
      </c>
      <c r="U364" s="72">
        <f>U342*(EXP(-(E364)*(F311*U247+G311*U248))-1)</f>
        <v>0</v>
      </c>
      <c r="V364" s="72">
        <f>V342*(EXP(-(E364)*(F311*V247+G311*V248))-1)</f>
        <v>0</v>
      </c>
      <c r="W364" s="72">
        <f>W342*(EXP(-(E364)*(F311*W247+G311*W248))-1)</f>
        <v>0</v>
      </c>
      <c r="X364" s="72">
        <f>X342*(EXP(-(E364)*(F311*X247+G311*X248))-1)</f>
        <v>0</v>
      </c>
      <c r="Y364" s="72">
        <f>Y342*(EXP(-(E364)*(F311*Y247+G311*Y248))-1)</f>
        <v>0</v>
      </c>
      <c r="Z364" s="72">
        <f>Z342*(EXP(-(E364)*(F311*Z247+G311*Z248))-1)</f>
        <v>0</v>
      </c>
      <c r="AA364" s="72">
        <f>AA342*(EXP(-(E364)*(F311*AA247+G311*AA248))-1)</f>
        <v>0</v>
      </c>
      <c r="AB364" s="72">
        <f>AB342*(EXP(-(E364)*(F311*AB247+G311*AB248))-1)</f>
        <v>0</v>
      </c>
      <c r="AC364" s="72">
        <f>AC342*(EXP(-(E364)*(F311*AC247+G311*AC248))-1)</f>
        <v>0</v>
      </c>
      <c r="AD364" s="72">
        <f>AD342*(EXP(-(E364)*(F311*AD247+G311*AD248))-1)</f>
        <v>0</v>
      </c>
      <c r="AE364" s="72">
        <f>AE342*(EXP(-(E364)*(F311*AE247+G311*AE248))-1)</f>
        <v>0</v>
      </c>
      <c r="AF364" s="70"/>
      <c r="AG364" s="70"/>
      <c r="AH364" s="70"/>
      <c r="AI364" s="70"/>
    </row>
    <row r="365" spans="1:35" x14ac:dyDescent="0.45">
      <c r="A365" s="70"/>
      <c r="B365" s="75"/>
      <c r="C365" s="75"/>
      <c r="D365" s="75" t="s">
        <v>1408</v>
      </c>
      <c r="E365" s="83">
        <f>'Manual inputs'!E$42</f>
        <v>5.1293294387550598E-4</v>
      </c>
      <c r="F365" s="79">
        <f>'Manual inputs'!F$42</f>
        <v>0.05</v>
      </c>
      <c r="G365" s="72"/>
      <c r="H365" s="70"/>
      <c r="I365" s="70"/>
      <c r="J365" s="70"/>
      <c r="K365" s="70"/>
      <c r="L365" s="72">
        <f>L343*(EXP(-(E365)*(F312*L247+G312*L248))-1)</f>
        <v>0</v>
      </c>
      <c r="M365" s="72">
        <f>M343*(EXP(-(E365)*(F312*M247+G312*M248))-1)</f>
        <v>0</v>
      </c>
      <c r="N365" s="72">
        <f>N343*(EXP(-(E365)*(F312*N247+G312*N248))-1)</f>
        <v>0</v>
      </c>
      <c r="O365" s="72">
        <f>O343*(EXP(-(E365)*(F312*O247+G312*O248))-1)</f>
        <v>0</v>
      </c>
      <c r="P365" s="72">
        <f>P343*(EXP(-(E365)*(F312*P247+G312*P248))-1)</f>
        <v>0</v>
      </c>
      <c r="Q365" s="72">
        <f>Q343*(EXP(-(E365)*(F312*Q247+G312*Q248))-1)</f>
        <v>0</v>
      </c>
      <c r="R365" s="72">
        <f>R343*(EXP(-(E365)*(F312*R247+G312*R248))-1)</f>
        <v>0</v>
      </c>
      <c r="S365" s="72">
        <f>S343*(EXP(-(E365)*(F312*S247+G312*S248))-1)</f>
        <v>0</v>
      </c>
      <c r="T365" s="72">
        <f>T343*(EXP(-(E365)*(F312*T247+G312*T248))-1)</f>
        <v>0</v>
      </c>
      <c r="U365" s="72">
        <f>U343*(EXP(-(E365)*(F312*U247+G312*U248))-1)</f>
        <v>0</v>
      </c>
      <c r="V365" s="72">
        <f>V343*(EXP(-(E365)*(F312*V247+G312*V248))-1)</f>
        <v>0</v>
      </c>
      <c r="W365" s="72">
        <f>W343*(EXP(-(E365)*(F312*W247+G312*W248))-1)</f>
        <v>0</v>
      </c>
      <c r="X365" s="72">
        <f>X343*(EXP(-(E365)*(F312*X247+G312*X248))-1)</f>
        <v>0</v>
      </c>
      <c r="Y365" s="72">
        <f>Y343*(EXP(-(E365)*(F312*Y247+G312*Y248))-1)</f>
        <v>0</v>
      </c>
      <c r="Z365" s="72">
        <f>Z343*(EXP(-(E365)*(F312*Z247+G312*Z248))-1)</f>
        <v>0</v>
      </c>
      <c r="AA365" s="72">
        <f>AA343*(EXP(-(E365)*(F312*AA247+G312*AA248))-1)</f>
        <v>0</v>
      </c>
      <c r="AB365" s="72">
        <f>AB343*(EXP(-(E365)*(F312*AB247+G312*AB248))-1)</f>
        <v>0</v>
      </c>
      <c r="AC365" s="72">
        <f>AC343*(EXP(-(E365)*(F312*AC247+G312*AC248))-1)</f>
        <v>0</v>
      </c>
      <c r="AD365" s="72">
        <f>AD343*(EXP(-(E365)*(F312*AD247+G312*AD248))-1)</f>
        <v>0</v>
      </c>
      <c r="AE365" s="72">
        <f>AE343*(EXP(-(E365)*(F312*AE247+G312*AE248))-1)</f>
        <v>0</v>
      </c>
      <c r="AF365" s="70"/>
      <c r="AG365" s="70"/>
      <c r="AH365" s="70"/>
      <c r="AI365" s="70"/>
    </row>
    <row r="366" spans="1:35" x14ac:dyDescent="0.45">
      <c r="A366" s="70"/>
      <c r="B366" s="75"/>
      <c r="C366" s="75"/>
      <c r="D366" s="75" t="s">
        <v>1409</v>
      </c>
      <c r="E366" s="83">
        <f>'Manual inputs'!E$43</f>
        <v>8.3381608939051E-4</v>
      </c>
      <c r="F366" s="79">
        <f>'Manual inputs'!F$43</f>
        <v>0.08</v>
      </c>
      <c r="G366" s="72"/>
      <c r="H366" s="70"/>
      <c r="I366" s="70"/>
      <c r="J366" s="70"/>
      <c r="K366" s="70"/>
      <c r="L366" s="72">
        <f>L344*(EXP(-(E366)*(F313*L247+G313*L248))-1)</f>
        <v>0</v>
      </c>
      <c r="M366" s="72">
        <f>M344*(EXP(-(E366)*(F313*M247+G313*M248))-1)</f>
        <v>0</v>
      </c>
      <c r="N366" s="72">
        <f>N344*(EXP(-(E366)*(F313*N247+G313*N248))-1)</f>
        <v>0</v>
      </c>
      <c r="O366" s="72">
        <f>O344*(EXP(-(E366)*(F313*O247+G313*O248))-1)</f>
        <v>0</v>
      </c>
      <c r="P366" s="72">
        <f>P344*(EXP(-(E366)*(F313*P247+G313*P248))-1)</f>
        <v>0</v>
      </c>
      <c r="Q366" s="72">
        <f>Q344*(EXP(-(E366)*(F313*Q247+G313*Q248))-1)</f>
        <v>0</v>
      </c>
      <c r="R366" s="72">
        <f>R344*(EXP(-(E366)*(F313*R247+G313*R248))-1)</f>
        <v>0</v>
      </c>
      <c r="S366" s="72">
        <f>S344*(EXP(-(E366)*(F313*S247+G313*S248))-1)</f>
        <v>0</v>
      </c>
      <c r="T366" s="72">
        <f>T344*(EXP(-(E366)*(F313*T247+G313*T248))-1)</f>
        <v>0</v>
      </c>
      <c r="U366" s="72">
        <f>U344*(EXP(-(E366)*(F313*U247+G313*U248))-1)</f>
        <v>0</v>
      </c>
      <c r="V366" s="72">
        <f>V344*(EXP(-(E366)*(F313*V247+G313*V248))-1)</f>
        <v>0</v>
      </c>
      <c r="W366" s="72">
        <f>W344*(EXP(-(E366)*(F313*W247+G313*W248))-1)</f>
        <v>0</v>
      </c>
      <c r="X366" s="72">
        <f>X344*(EXP(-(E366)*(F313*X247+G313*X248))-1)</f>
        <v>0</v>
      </c>
      <c r="Y366" s="72">
        <f>Y344*(EXP(-(E366)*(F313*Y247+G313*Y248))-1)</f>
        <v>0</v>
      </c>
      <c r="Z366" s="72">
        <f>Z344*(EXP(-(E366)*(F313*Z247+G313*Z248))-1)</f>
        <v>0</v>
      </c>
      <c r="AA366" s="72">
        <f>AA344*(EXP(-(E366)*(F313*AA247+G313*AA248))-1)</f>
        <v>0</v>
      </c>
      <c r="AB366" s="72">
        <f>AB344*(EXP(-(E366)*(F313*AB247+G313*AB248))-1)</f>
        <v>0</v>
      </c>
      <c r="AC366" s="72">
        <f>AC344*(EXP(-(E366)*(F313*AC247+G313*AC248))-1)</f>
        <v>0</v>
      </c>
      <c r="AD366" s="72">
        <f>AD344*(EXP(-(E366)*(F313*AD247+G313*AD248))-1)</f>
        <v>0</v>
      </c>
      <c r="AE366" s="72">
        <f>AE344*(EXP(-(E366)*(F313*AE247+G313*AE248))-1)</f>
        <v>0</v>
      </c>
      <c r="AF366" s="70"/>
      <c r="AG366" s="70"/>
      <c r="AH366" s="70"/>
      <c r="AI366" s="70"/>
    </row>
    <row r="367" spans="1:35" x14ac:dyDescent="0.45">
      <c r="A367" s="70"/>
      <c r="B367" s="75"/>
      <c r="C367" s="75"/>
      <c r="D367" s="75" t="s">
        <v>1410</v>
      </c>
      <c r="E367" s="83">
        <f>'Manual inputs'!E$44</f>
        <v>1.98450938723838E-3</v>
      </c>
      <c r="F367" s="79">
        <f>'Manual inputs'!F$44</f>
        <v>0.18</v>
      </c>
      <c r="G367" s="72"/>
      <c r="H367" s="70"/>
      <c r="I367" s="70"/>
      <c r="J367" s="70"/>
      <c r="K367" s="70"/>
      <c r="L367" s="72">
        <f>L345*(EXP(-(E367)*(F314*L247+G314*L248))-1)</f>
        <v>0</v>
      </c>
      <c r="M367" s="72">
        <f>M345*(EXP(-(E367)*(F314*M247+G314*M248))-1)</f>
        <v>0</v>
      </c>
      <c r="N367" s="72">
        <f>N345*(EXP(-(E367)*(F314*N247+G314*N248))-1)</f>
        <v>0</v>
      </c>
      <c r="O367" s="72">
        <f>O345*(EXP(-(E367)*(F314*O247+G314*O248))-1)</f>
        <v>0</v>
      </c>
      <c r="P367" s="72">
        <f>P345*(EXP(-(E367)*(F314*P247+G314*P248))-1)</f>
        <v>0</v>
      </c>
      <c r="Q367" s="72">
        <f>Q345*(EXP(-(E367)*(F314*Q247+G314*Q248))-1)</f>
        <v>0</v>
      </c>
      <c r="R367" s="72">
        <f>R345*(EXP(-(E367)*(F314*R247+G314*R248))-1)</f>
        <v>0</v>
      </c>
      <c r="S367" s="72">
        <f>S345*(EXP(-(E367)*(F314*S247+G314*S248))-1)</f>
        <v>0</v>
      </c>
      <c r="T367" s="72">
        <f>T345*(EXP(-(E367)*(F314*T247+G314*T248))-1)</f>
        <v>0</v>
      </c>
      <c r="U367" s="72">
        <f>U345*(EXP(-(E367)*(F314*U247+G314*U248))-1)</f>
        <v>0</v>
      </c>
      <c r="V367" s="72">
        <f>V345*(EXP(-(E367)*(F314*V247+G314*V248))-1)</f>
        <v>0</v>
      </c>
      <c r="W367" s="72">
        <f>W345*(EXP(-(E367)*(F314*W247+G314*W248))-1)</f>
        <v>0</v>
      </c>
      <c r="X367" s="72">
        <f>X345*(EXP(-(E367)*(F314*X247+G314*X248))-1)</f>
        <v>0</v>
      </c>
      <c r="Y367" s="72">
        <f>Y345*(EXP(-(E367)*(F314*Y247+G314*Y248))-1)</f>
        <v>0</v>
      </c>
      <c r="Z367" s="72">
        <f>Z345*(EXP(-(E367)*(F314*Z247+G314*Z248))-1)</f>
        <v>0</v>
      </c>
      <c r="AA367" s="72">
        <f>AA345*(EXP(-(E367)*(F314*AA247+G314*AA248))-1)</f>
        <v>0</v>
      </c>
      <c r="AB367" s="72">
        <f>AB345*(EXP(-(E367)*(F314*AB247+G314*AB248))-1)</f>
        <v>0</v>
      </c>
      <c r="AC367" s="72">
        <f>AC345*(EXP(-(E367)*(F314*AC247+G314*AC248))-1)</f>
        <v>0</v>
      </c>
      <c r="AD367" s="72">
        <f>AD345*(EXP(-(E367)*(F314*AD247+G314*AD248))-1)</f>
        <v>0</v>
      </c>
      <c r="AE367" s="72">
        <f>AE345*(EXP(-(E367)*(F314*AE247+G314*AE248))-1)</f>
        <v>0</v>
      </c>
      <c r="AF367" s="70"/>
      <c r="AG367" s="70"/>
      <c r="AH367" s="70"/>
      <c r="AI367" s="70"/>
    </row>
    <row r="368" spans="1:35" x14ac:dyDescent="0.45">
      <c r="A368" s="70"/>
      <c r="B368" s="75"/>
      <c r="C368" s="75"/>
      <c r="D368" s="75" t="s">
        <v>1383</v>
      </c>
      <c r="E368" s="83">
        <f>'Manual inputs'!E$45</f>
        <v>0</v>
      </c>
      <c r="F368" s="79">
        <f>'Manual inputs'!F$45</f>
        <v>0</v>
      </c>
      <c r="G368" s="72"/>
      <c r="H368" s="70"/>
      <c r="I368" s="70"/>
      <c r="J368" s="70"/>
      <c r="K368" s="70"/>
      <c r="L368" s="72">
        <f>L346*(EXP(-(E368)*(F315*L247+G315*L248))-1)</f>
        <v>0</v>
      </c>
      <c r="M368" s="72">
        <f>M346*(EXP(-(E368)*(F315*M247+G315*M248))-1)</f>
        <v>0</v>
      </c>
      <c r="N368" s="72">
        <f>N346*(EXP(-(E368)*(F315*N247+G315*N248))-1)</f>
        <v>0</v>
      </c>
      <c r="O368" s="72">
        <f>O346*(EXP(-(E368)*(F315*O247+G315*O248))-1)</f>
        <v>0</v>
      </c>
      <c r="P368" s="72">
        <f>P346*(EXP(-(E368)*(F315*P247+G315*P248))-1)</f>
        <v>0</v>
      </c>
      <c r="Q368" s="72">
        <f>Q346*(EXP(-(E368)*(F315*Q247+G315*Q248))-1)</f>
        <v>0</v>
      </c>
      <c r="R368" s="72">
        <f>R346*(EXP(-(E368)*(F315*R247+G315*R248))-1)</f>
        <v>0</v>
      </c>
      <c r="S368" s="72">
        <f>S346*(EXP(-(E368)*(F315*S247+G315*S248))-1)</f>
        <v>0</v>
      </c>
      <c r="T368" s="72">
        <f>T346*(EXP(-(E368)*(F315*T247+G315*T248))-1)</f>
        <v>0</v>
      </c>
      <c r="U368" s="72">
        <f>U346*(EXP(-(E368)*(F315*U247+G315*U248))-1)</f>
        <v>0</v>
      </c>
      <c r="V368" s="72">
        <f>V346*(EXP(-(E368)*(F315*V247+G315*V248))-1)</f>
        <v>0</v>
      </c>
      <c r="W368" s="72">
        <f>W346*(EXP(-(E368)*(F315*W247+G315*W248))-1)</f>
        <v>0</v>
      </c>
      <c r="X368" s="72">
        <f>X346*(EXP(-(E368)*(F315*X247+G315*X248))-1)</f>
        <v>0</v>
      </c>
      <c r="Y368" s="72">
        <f>Y346*(EXP(-(E368)*(F315*Y247+G315*Y248))-1)</f>
        <v>0</v>
      </c>
      <c r="Z368" s="72">
        <f>Z346*(EXP(-(E368)*(F315*Z247+G315*Z248))-1)</f>
        <v>0</v>
      </c>
      <c r="AA368" s="72">
        <f>AA346*(EXP(-(E368)*(F315*AA247+G315*AA248))-1)</f>
        <v>0</v>
      </c>
      <c r="AB368" s="72">
        <f>AB346*(EXP(-(E368)*(F315*AB247+G315*AB248))-1)</f>
        <v>0</v>
      </c>
      <c r="AC368" s="72">
        <f>AC346*(EXP(-(E368)*(F315*AC247+G315*AC248))-1)</f>
        <v>0</v>
      </c>
      <c r="AD368" s="72">
        <f>AD346*(EXP(-(E368)*(F315*AD247+G315*AD248))-1)</f>
        <v>0</v>
      </c>
      <c r="AE368" s="72">
        <f>AE346*(EXP(-(E368)*(F315*AE247+G315*AE248))-1)</f>
        <v>0</v>
      </c>
      <c r="AF368" s="70"/>
      <c r="AG368" s="70"/>
      <c r="AH368" s="70"/>
      <c r="AI368" s="70"/>
    </row>
    <row r="369" spans="1:35" x14ac:dyDescent="0.45">
      <c r="A369" s="70"/>
      <c r="B369" s="75"/>
      <c r="C369" s="75"/>
      <c r="D369" s="75" t="s">
        <v>1411</v>
      </c>
      <c r="E369" s="83">
        <f>'Manual inputs'!E$46</f>
        <v>1.04982212449868E-2</v>
      </c>
      <c r="F369" s="79">
        <f>'Manual inputs'!F$46</f>
        <v>0.65</v>
      </c>
      <c r="G369" s="72"/>
      <c r="H369" s="70"/>
      <c r="I369" s="70"/>
      <c r="J369" s="70"/>
      <c r="K369" s="70"/>
      <c r="L369" s="72">
        <f>L347*(EXP(-(E369)*(F316*L247+G316*L248))-1)</f>
        <v>0</v>
      </c>
      <c r="M369" s="72">
        <f>M347*(EXP(-(E369)*(F316*M247+G316*M248))-1)</f>
        <v>0</v>
      </c>
      <c r="N369" s="72">
        <f>N347*(EXP(-(E369)*(F316*N247+G316*N248))-1)</f>
        <v>0</v>
      </c>
      <c r="O369" s="72">
        <f>O347*(EXP(-(E369)*(F316*O247+G316*O248))-1)</f>
        <v>0</v>
      </c>
      <c r="P369" s="72">
        <f>P347*(EXP(-(E369)*(F316*P247+G316*P248))-1)</f>
        <v>0</v>
      </c>
      <c r="Q369" s="72">
        <f>Q347*(EXP(-(E369)*(F316*Q247+G316*Q248))-1)</f>
        <v>0</v>
      </c>
      <c r="R369" s="72">
        <f>R347*(EXP(-(E369)*(F316*R247+G316*R248))-1)</f>
        <v>0</v>
      </c>
      <c r="S369" s="72">
        <f>S347*(EXP(-(E369)*(F316*S247+G316*S248))-1)</f>
        <v>0</v>
      </c>
      <c r="T369" s="72">
        <f>T347*(EXP(-(E369)*(F316*T247+G316*T248))-1)</f>
        <v>0</v>
      </c>
      <c r="U369" s="72">
        <f>U347*(EXP(-(E369)*(F316*U247+G316*U248))-1)</f>
        <v>0</v>
      </c>
      <c r="V369" s="72">
        <f>V347*(EXP(-(E369)*(F316*V247+G316*V248))-1)</f>
        <v>0</v>
      </c>
      <c r="W369" s="72">
        <f>W347*(EXP(-(E369)*(F316*W247+G316*W248))-1)</f>
        <v>0</v>
      </c>
      <c r="X369" s="72">
        <f>X347*(EXP(-(E369)*(F316*X247+G316*X248))-1)</f>
        <v>0</v>
      </c>
      <c r="Y369" s="72">
        <f>Y347*(EXP(-(E369)*(F316*Y247+G316*Y248))-1)</f>
        <v>0</v>
      </c>
      <c r="Z369" s="72">
        <f>Z347*(EXP(-(E369)*(F316*Z247+G316*Z248))-1)</f>
        <v>0</v>
      </c>
      <c r="AA369" s="72">
        <f>AA347*(EXP(-(E369)*(F316*AA247+G316*AA248))-1)</f>
        <v>0</v>
      </c>
      <c r="AB369" s="72">
        <f>AB347*(EXP(-(E369)*(F316*AB247+G316*AB248))-1)</f>
        <v>0</v>
      </c>
      <c r="AC369" s="72">
        <f>AC347*(EXP(-(E369)*(F316*AC247+G316*AC248))-1)</f>
        <v>0</v>
      </c>
      <c r="AD369" s="72">
        <f>AD347*(EXP(-(E369)*(F316*AD247+G316*AD248))-1)</f>
        <v>0</v>
      </c>
      <c r="AE369" s="72">
        <f>AE347*(EXP(-(E369)*(F316*AE247+G316*AE248))-1)</f>
        <v>0</v>
      </c>
      <c r="AF369" s="70"/>
      <c r="AG369" s="70"/>
      <c r="AH369" s="70"/>
      <c r="AI369" s="70"/>
    </row>
    <row r="370" spans="1:35" x14ac:dyDescent="0.45">
      <c r="A370" s="70"/>
      <c r="B370" s="75"/>
      <c r="C370" s="75"/>
      <c r="D370" s="75" t="s">
        <v>1397</v>
      </c>
      <c r="E370" s="83">
        <f>'Manual inputs'!E$47</f>
        <v>8.3381608939051E-4</v>
      </c>
      <c r="F370" s="79">
        <f>'Manual inputs'!F$47</f>
        <v>0.08</v>
      </c>
      <c r="G370" s="72"/>
      <c r="H370" s="72"/>
      <c r="I370" s="72"/>
      <c r="J370" s="72"/>
      <c r="K370" s="72"/>
      <c r="L370" s="72">
        <f>L348*(EXP(-(E370)*(F317*L247+G317*L248))-1)</f>
        <v>0</v>
      </c>
      <c r="M370" s="72">
        <f>M348*(EXP(-(E370)*(F317*M247+G317*M248))-1)</f>
        <v>0</v>
      </c>
      <c r="N370" s="72">
        <f>N348*(EXP(-(E370)*(F317*N247+G317*N248))-1)</f>
        <v>0</v>
      </c>
      <c r="O370" s="72">
        <f>O348*(EXP(-(E370)*(F317*O247+G317*O248))-1)</f>
        <v>0</v>
      </c>
      <c r="P370" s="72">
        <f>P348*(EXP(-(E370)*(F317*P247+G317*P248))-1)</f>
        <v>0</v>
      </c>
      <c r="Q370" s="72">
        <f>Q348*(EXP(-(E370)*(F317*Q247+G317*Q248))-1)</f>
        <v>0</v>
      </c>
      <c r="R370" s="72">
        <f>R348*(EXP(-(E370)*(F317*R247+G317*R248))-1)</f>
        <v>0</v>
      </c>
      <c r="S370" s="72">
        <f>S348*(EXP(-(E370)*(F317*S247+G317*S248))-1)</f>
        <v>0</v>
      </c>
      <c r="T370" s="72">
        <f>T348*(EXP(-(E370)*(F317*T247+G317*T248))-1)</f>
        <v>0</v>
      </c>
      <c r="U370" s="72">
        <f>U348*(EXP(-(E370)*(F317*U247+G317*U248))-1)</f>
        <v>0</v>
      </c>
      <c r="V370" s="72">
        <f>V348*(EXP(-(E370)*(F317*V247+G317*V248))-1)</f>
        <v>0</v>
      </c>
      <c r="W370" s="72">
        <f>W348*(EXP(-(E370)*(F317*W247+G317*W248))-1)</f>
        <v>0</v>
      </c>
      <c r="X370" s="72">
        <f>X348*(EXP(-(E370)*(F317*X247+G317*X248))-1)</f>
        <v>0</v>
      </c>
      <c r="Y370" s="72">
        <f>Y348*(EXP(-(E370)*(F317*Y247+G317*Y248))-1)</f>
        <v>0</v>
      </c>
      <c r="Z370" s="72">
        <f>Z348*(EXP(-(E370)*(F317*Z247+G317*Z248))-1)</f>
        <v>0</v>
      </c>
      <c r="AA370" s="72">
        <f>AA348*(EXP(-(E370)*(F317*AA247+G317*AA248))-1)</f>
        <v>0</v>
      </c>
      <c r="AB370" s="72">
        <f>AB348*(EXP(-(E370)*(F317*AB247+G317*AB248))-1)</f>
        <v>0</v>
      </c>
      <c r="AC370" s="72">
        <f>AC348*(EXP(-(E370)*(F317*AC247+G317*AC248))-1)</f>
        <v>0</v>
      </c>
      <c r="AD370" s="72">
        <f>AD348*(EXP(-(E370)*(F317*AD247+G317*AD248))-1)</f>
        <v>0</v>
      </c>
      <c r="AE370" s="72">
        <f>AE348*(EXP(-(E370)*(F317*AE247+G317*AE248))-1)</f>
        <v>0</v>
      </c>
      <c r="AF370" s="70"/>
      <c r="AG370" s="70"/>
      <c r="AH370" s="70"/>
      <c r="AI370" s="70"/>
    </row>
    <row r="371" spans="1:35" x14ac:dyDescent="0.45">
      <c r="A371" s="70"/>
      <c r="B371" s="75"/>
      <c r="C371" s="75"/>
      <c r="D371" s="72"/>
      <c r="E371" s="72"/>
      <c r="F371" s="72"/>
      <c r="G371" s="70" t="s">
        <v>1493</v>
      </c>
      <c r="H371" s="89" t="str">
        <f>Settings!$B$3&amp;".mit.emr."&amp;G371&amp;"."&amp;$J$5</f>
        <v>egy.mit.emr.cbam.tot.1</v>
      </c>
      <c r="I371" s="72"/>
      <c r="J371" s="72"/>
      <c r="K371" s="72"/>
      <c r="L371" s="72">
        <f>SUM(L363:L370)</f>
        <v>0</v>
      </c>
      <c r="M371" s="72">
        <f>SUM(M363:M370)</f>
        <v>0</v>
      </c>
      <c r="N371" s="72">
        <f>SUM(N363:N370)</f>
        <v>0</v>
      </c>
      <c r="O371" s="72">
        <f>SUM(O363:O370)</f>
        <v>0</v>
      </c>
      <c r="P371" s="72">
        <f>SUM(P363:P370)</f>
        <v>0</v>
      </c>
      <c r="Q371" s="72">
        <f>SUM(Q363:Q370)</f>
        <v>0</v>
      </c>
      <c r="R371" s="72">
        <f>SUM(R363:R370)</f>
        <v>0</v>
      </c>
      <c r="S371" s="72">
        <f>SUM(S363:S370)</f>
        <v>0</v>
      </c>
      <c r="T371" s="72">
        <f>SUM(T363:T370)</f>
        <v>0</v>
      </c>
      <c r="U371" s="72">
        <f>SUM(U363:U370)</f>
        <v>0</v>
      </c>
      <c r="V371" s="72">
        <f>SUM(V363:V370)</f>
        <v>0</v>
      </c>
      <c r="W371" s="72">
        <f>SUM(W363:W370)</f>
        <v>0</v>
      </c>
      <c r="X371" s="72">
        <f>SUM(X363:X370)</f>
        <v>0</v>
      </c>
      <c r="Y371" s="72">
        <f>SUM(Y363:Y370)</f>
        <v>0</v>
      </c>
      <c r="Z371" s="72">
        <f>SUM(Z363:Z370)</f>
        <v>0</v>
      </c>
      <c r="AA371" s="72">
        <f>SUM(AA363:AA370)</f>
        <v>0</v>
      </c>
      <c r="AB371" s="72">
        <f>SUM(AB363:AB370)</f>
        <v>0</v>
      </c>
      <c r="AC371" s="72">
        <f>SUM(AC363:AC370)</f>
        <v>0</v>
      </c>
      <c r="AD371" s="72">
        <f>SUM(AD363:AD370)</f>
        <v>0</v>
      </c>
      <c r="AE371" s="72">
        <f>SUM(AE363:AE370)</f>
        <v>0</v>
      </c>
      <c r="AF371" s="70"/>
      <c r="AG371" s="70"/>
      <c r="AH371" s="70"/>
      <c r="AI371" s="70"/>
    </row>
    <row r="372" spans="1:35" x14ac:dyDescent="0.45">
      <c r="A372" s="70"/>
      <c r="B372" s="75"/>
      <c r="C372" s="75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75"/>
      <c r="C373" s="73" t="s">
        <v>1494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75"/>
      <c r="C374" s="70"/>
      <c r="D374" s="75" t="s">
        <v>283</v>
      </c>
      <c r="E374" s="70"/>
      <c r="F374" s="70"/>
      <c r="G374" s="70" t="s">
        <v>1495</v>
      </c>
      <c r="H374" s="89" t="str">
        <f>Settings!$B$3&amp;".mit.cpe.ind.mch."&amp;$J$5</f>
        <v>egy.mit.cpe.ind.mch.1</v>
      </c>
      <c r="I374" s="70"/>
      <c r="J374" s="70"/>
      <c r="K374" s="72"/>
      <c r="L374" s="72">
        <f>SUM(L334:L336)+SUM(L356:L358)</f>
        <v>3.5290636333347374</v>
      </c>
      <c r="M374" s="72">
        <f>SUM(M334:M336)+SUM(M356:M358)</f>
        <v>3.6067030332681016</v>
      </c>
      <c r="N374" s="72">
        <f>SUM(N334:N336)+SUM(N356:N358)</f>
        <v>3.6860504999999999</v>
      </c>
      <c r="O374" s="72">
        <f>SUM(O334:O336)+SUM(O356:O358)</f>
        <v>3.7671436109999994</v>
      </c>
      <c r="P374" s="72">
        <f>SUM(P334:P336)+SUM(P356:P358)</f>
        <v>3.8500207704419993</v>
      </c>
      <c r="Q374" s="72">
        <f>SUM(Q334:Q336)+SUM(Q356:Q358)</f>
        <v>3.9347212273917234</v>
      </c>
      <c r="R374" s="72">
        <f>SUM(R334:R336)+SUM(R356:R358)</f>
        <v>4.0212850943943419</v>
      </c>
      <c r="S374" s="72">
        <f>SUM(S334:S336)+SUM(S356:S358)</f>
        <v>4.1097533664710166</v>
      </c>
      <c r="T374" s="72">
        <f>SUM(T334:T336)+SUM(T356:T358)</f>
        <v>4.2001679405333787</v>
      </c>
      <c r="U374" s="72">
        <f>SUM(U334:U336)+SUM(U356:U358)</f>
        <v>4.292571635225114</v>
      </c>
      <c r="V374" s="72">
        <f>SUM(V334:V336)+SUM(V356:V358)</f>
        <v>4.3870082112000661</v>
      </c>
      <c r="W374" s="72">
        <f>SUM(W334:W336)+SUM(W356:W358)</f>
        <v>4.4835223918464688</v>
      </c>
      <c r="X374" s="72">
        <f>SUM(X334:X336)+SUM(X356:X358)</f>
        <v>4.5821598844670905</v>
      </c>
      <c r="Y374" s="72">
        <f>SUM(Y334:Y336)+SUM(Y356:Y358)</f>
        <v>4.6829674019253673</v>
      </c>
      <c r="Z374" s="72">
        <f>SUM(Z334:Z336)+SUM(Z356:Z358)</f>
        <v>4.7859926847677254</v>
      </c>
      <c r="AA374" s="72">
        <f>SUM(AA334:AA336)+SUM(AA356:AA358)</f>
        <v>4.8912845238326152</v>
      </c>
      <c r="AB374" s="72">
        <f>SUM(AB334:AB336)+SUM(AB356:AB358)</f>
        <v>4.9988927833569319</v>
      </c>
      <c r="AC374" s="72">
        <f>SUM(AC334:AC336)+SUM(AC356:AC358)</f>
        <v>5.1088684245907858</v>
      </c>
      <c r="AD374" s="72">
        <f>SUM(AD334:AD336)+SUM(AD356:AD358)</f>
        <v>5.2212635299317824</v>
      </c>
      <c r="AE374" s="72">
        <f>SUM(AE334:AE336)+SUM(AE356:AE358)</f>
        <v>5.336131327590282</v>
      </c>
      <c r="AF374" s="70"/>
      <c r="AG374" s="70"/>
      <c r="AH374" s="70"/>
      <c r="AI374" s="70"/>
    </row>
    <row r="375" spans="1:35" x14ac:dyDescent="0.45">
      <c r="A375" s="70"/>
      <c r="B375" s="75"/>
      <c r="C375" s="70"/>
      <c r="D375" s="75" t="s">
        <v>284</v>
      </c>
      <c r="E375" s="70"/>
      <c r="F375" s="70"/>
      <c r="G375" s="70" t="s">
        <v>1496</v>
      </c>
      <c r="H375" s="89" t="str">
        <f>Settings!$B$3&amp;".mit.cpe.ind.irn."&amp;$J$5</f>
        <v>egy.mit.cpe.ind.irn.1</v>
      </c>
      <c r="I375" s="70"/>
      <c r="J375" s="70"/>
      <c r="K375" s="72"/>
      <c r="L375" s="72">
        <f>SUM(L330:L332)+SUM(L352:L354)</f>
        <v>3.8464212577619237</v>
      </c>
      <c r="M375" s="72">
        <f>SUM(M330:M332)+SUM(M352:M354)</f>
        <v>4.0156637931034478</v>
      </c>
      <c r="N375" s="72">
        <f>SUM(N330:N332)+SUM(N352:N354)</f>
        <v>4.1923530000000007</v>
      </c>
      <c r="O375" s="72">
        <f>SUM(O330:O332)+SUM(O352:O354)</f>
        <v>4.3768165320000012</v>
      </c>
      <c r="P375" s="72">
        <f>SUM(P330:P332)+SUM(P352:P354)</f>
        <v>4.5693964594080008</v>
      </c>
      <c r="Q375" s="72">
        <f>SUM(Q330:Q332)+SUM(Q352:Q354)</f>
        <v>4.7704499036219534</v>
      </c>
      <c r="R375" s="72">
        <f>SUM(R330:R332)+SUM(R352:R354)</f>
        <v>4.9803496993813186</v>
      </c>
      <c r="S375" s="72">
        <f>SUM(S330:S332)+SUM(S352:S354)</f>
        <v>5.1994850861540982</v>
      </c>
      <c r="T375" s="72">
        <f>SUM(T330:T332)+SUM(T352:T354)</f>
        <v>5.4282624299448781</v>
      </c>
      <c r="U375" s="72">
        <f>SUM(U330:U332)+SUM(U352:U354)</f>
        <v>5.6671059768624525</v>
      </c>
      <c r="V375" s="72">
        <f>SUM(V330:V332)+SUM(V352:V354)</f>
        <v>5.9164586398444019</v>
      </c>
      <c r="W375" s="72">
        <f>SUM(W330:W332)+SUM(W352:W354)</f>
        <v>6.1767828199975545</v>
      </c>
      <c r="X375" s="72">
        <f>SUM(X330:X332)+SUM(X352:X354)</f>
        <v>6.4485612640774477</v>
      </c>
      <c r="Y375" s="72">
        <f>SUM(Y330:Y332)+SUM(Y352:Y354)</f>
        <v>6.7322979596968553</v>
      </c>
      <c r="Z375" s="72">
        <f>SUM(Z330:Z332)+SUM(Z352:Z354)</f>
        <v>7.0285190699235169</v>
      </c>
      <c r="AA375" s="72">
        <f>SUM(AA330:AA332)+SUM(AA352:AA354)</f>
        <v>7.3377739090001519</v>
      </c>
      <c r="AB375" s="72">
        <f>SUM(AB330:AB332)+SUM(AB352:AB354)</f>
        <v>7.6606359609961583</v>
      </c>
      <c r="AC375" s="72">
        <f>SUM(AC330:AC332)+SUM(AC352:AC354)</f>
        <v>7.9977039432799906</v>
      </c>
      <c r="AD375" s="72">
        <f>SUM(AD330:AD332)+SUM(AD352:AD354)</f>
        <v>8.3496029167843098</v>
      </c>
      <c r="AE375" s="72">
        <f>SUM(AE330:AE332)+SUM(AE352:AE354)</f>
        <v>8.7169854451228197</v>
      </c>
      <c r="AF375" s="70"/>
      <c r="AG375" s="70"/>
      <c r="AH375" s="70"/>
      <c r="AI375" s="70"/>
    </row>
    <row r="376" spans="1:35" x14ac:dyDescent="0.45">
      <c r="A376" s="70"/>
      <c r="B376" s="75"/>
      <c r="C376" s="70"/>
      <c r="D376" s="75" t="s">
        <v>285</v>
      </c>
      <c r="E376" s="70"/>
      <c r="F376" s="70"/>
      <c r="G376" s="70" t="s">
        <v>1497</v>
      </c>
      <c r="H376" s="89" t="str">
        <f>Settings!$B$3&amp;".mit.cpe.ind.nfm."&amp;$J$5</f>
        <v>egy.mit.cpe.ind.nfm.1</v>
      </c>
      <c r="I376" s="70"/>
      <c r="J376" s="70"/>
      <c r="K376" s="72"/>
      <c r="L376" s="72">
        <f>L337+L359</f>
        <v>4.2047573055412055E-2</v>
      </c>
      <c r="M376" s="72">
        <f>M337+M359</f>
        <v>4.4360189573459712E-2</v>
      </c>
      <c r="N376" s="72">
        <f>N337+N359</f>
        <v>4.6799999999999994E-2</v>
      </c>
      <c r="O376" s="72">
        <f>O337+O359</f>
        <v>4.9374000000000001E-2</v>
      </c>
      <c r="P376" s="72">
        <f>P337+P359</f>
        <v>5.2089569999999995E-2</v>
      </c>
      <c r="Q376" s="72">
        <f>Q337+Q359</f>
        <v>5.4954496349999993E-2</v>
      </c>
      <c r="R376" s="72">
        <f>R337+R359</f>
        <v>5.7976993649249998E-2</v>
      </c>
      <c r="S376" s="72">
        <f>S337+S359</f>
        <v>6.1165728299958741E-2</v>
      </c>
      <c r="T376" s="72">
        <f>T337+T359</f>
        <v>6.4529843356456465E-2</v>
      </c>
      <c r="U376" s="72">
        <f>U337+U359</f>
        <v>6.8078984741061568E-2</v>
      </c>
      <c r="V376" s="72">
        <f>V337+V359</f>
        <v>7.1823328901819944E-2</v>
      </c>
      <c r="W376" s="72">
        <f>W337+W359</f>
        <v>7.5773611991420048E-2</v>
      </c>
      <c r="X376" s="72">
        <f>X337+X359</f>
        <v>7.9941160650948154E-2</v>
      </c>
      <c r="Y376" s="72">
        <f>Y337+Y359</f>
        <v>8.4337924486750301E-2</v>
      </c>
      <c r="Z376" s="72">
        <f>Z337+Z359</f>
        <v>8.8976510333521566E-2</v>
      </c>
      <c r="AA376" s="72">
        <f>AA337+AA359</f>
        <v>9.3870218401865241E-2</v>
      </c>
      <c r="AB376" s="72">
        <f>AB337+AB359</f>
        <v>9.9033080413967828E-2</v>
      </c>
      <c r="AC376" s="72">
        <f>AC337+AC359</f>
        <v>0.10447989983673606</v>
      </c>
      <c r="AD376" s="72">
        <f>AD337+AD359</f>
        <v>0.11022629432775652</v>
      </c>
      <c r="AE376" s="72">
        <f>AE337+AE359</f>
        <v>0.11628874051578311</v>
      </c>
      <c r="AF376" s="70"/>
      <c r="AG376" s="70"/>
      <c r="AH376" s="70"/>
      <c r="AI376" s="70"/>
    </row>
    <row r="377" spans="1:35" x14ac:dyDescent="0.45">
      <c r="A377" s="70"/>
      <c r="B377" s="75"/>
      <c r="C377" s="70"/>
      <c r="D377" s="75" t="s">
        <v>286</v>
      </c>
      <c r="E377" s="70"/>
      <c r="F377" s="70"/>
      <c r="G377" s="70" t="s">
        <v>1498</v>
      </c>
      <c r="H377" s="89" t="str">
        <f>Settings!$B$3&amp;".mit.cpe.ind.mac."&amp;$J$5</f>
        <v>egy.mit.cpe.ind.mac.1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75"/>
      <c r="C378" s="70"/>
      <c r="D378" s="75" t="s">
        <v>287</v>
      </c>
      <c r="E378" s="70"/>
      <c r="F378" s="70"/>
      <c r="G378" s="70" t="s">
        <v>1499</v>
      </c>
      <c r="H378" s="89" t="str">
        <f>Settings!$B$3&amp;".mit.cpe.ind.cem."&amp;$J$5</f>
        <v>egy.mit.cpe.ind.cem.1</v>
      </c>
      <c r="I378" s="70"/>
      <c r="J378" s="70"/>
      <c r="K378" s="72"/>
      <c r="L378" s="72">
        <f>L333+L355</f>
        <v>13.508713893592759</v>
      </c>
      <c r="M378" s="72">
        <f>M333+M355</f>
        <v>13.954501452081319</v>
      </c>
      <c r="N378" s="72">
        <f>N333+N355</f>
        <v>14.414999999999999</v>
      </c>
      <c r="O378" s="72">
        <f>O333+O355</f>
        <v>14.890694999999997</v>
      </c>
      <c r="P378" s="72">
        <f>P333+P355</f>
        <v>15.382087934999998</v>
      </c>
      <c r="Q378" s="72">
        <f>Q333+Q355</f>
        <v>15.889696836854995</v>
      </c>
      <c r="R378" s="72">
        <f>R333+R355</f>
        <v>16.414056832471207</v>
      </c>
      <c r="S378" s="72">
        <f>S333+S355</f>
        <v>16.955720707942756</v>
      </c>
      <c r="T378" s="72">
        <f>T333+T355</f>
        <v>17.515259491304867</v>
      </c>
      <c r="U378" s="72">
        <f>U333+U355</f>
        <v>18.093263054517926</v>
      </c>
      <c r="V378" s="72">
        <f>V333+V355</f>
        <v>18.690340735317015</v>
      </c>
      <c r="W378" s="72">
        <f>W333+W355</f>
        <v>19.307121979582476</v>
      </c>
      <c r="X378" s="72">
        <f>X333+X355</f>
        <v>19.944257004908696</v>
      </c>
      <c r="Y378" s="72">
        <f>Y333+Y355</f>
        <v>20.602417486070681</v>
      </c>
      <c r="Z378" s="72">
        <f>Z333+Z355</f>
        <v>21.282297263111012</v>
      </c>
      <c r="AA378" s="72">
        <f>AA333+AA355</f>
        <v>21.984613072793675</v>
      </c>
      <c r="AB378" s="72">
        <f>AB333+AB355</f>
        <v>22.710105304195867</v>
      </c>
      <c r="AC378" s="72">
        <f>AC333+AC355</f>
        <v>23.459538779234329</v>
      </c>
      <c r="AD378" s="72">
        <f>AD333+AD355</f>
        <v>24.23370355894906</v>
      </c>
      <c r="AE378" s="72">
        <f>AE333+AE355</f>
        <v>25.033415776394378</v>
      </c>
      <c r="AF378" s="70"/>
      <c r="AG378" s="70"/>
      <c r="AH378" s="70"/>
      <c r="AI378" s="70"/>
    </row>
    <row r="379" spans="1:35" x14ac:dyDescent="0.45">
      <c r="A379" s="70"/>
      <c r="B379" s="75"/>
      <c r="C379" s="75"/>
      <c r="D379" s="72" t="s">
        <v>111</v>
      </c>
      <c r="E379" s="72"/>
      <c r="F379" s="72"/>
      <c r="G379" s="70" t="s">
        <v>1493</v>
      </c>
      <c r="H379" s="89" t="str">
        <f>Settings!$B$3&amp;".mit.emis.cbam.tot."&amp;$J$5</f>
        <v>egy.mit.emis.cbam.tot.1</v>
      </c>
      <c r="I379" s="72"/>
      <c r="J379" s="72"/>
      <c r="K379" s="72"/>
      <c r="L379" s="72">
        <f>SUM(L374:L378)</f>
        <v>20.926246357744834</v>
      </c>
      <c r="M379" s="72">
        <f>SUM(M374:M378)</f>
        <v>21.621228468026327</v>
      </c>
      <c r="N379" s="72">
        <f>SUM(N374:N378)</f>
        <v>22.340203500000001</v>
      </c>
      <c r="O379" s="72">
        <f>SUM(O374:O378)</f>
        <v>23.084029142999999</v>
      </c>
      <c r="P379" s="72">
        <f>SUM(P374:P378)</f>
        <v>23.853594734849999</v>
      </c>
      <c r="Q379" s="72">
        <f>SUM(Q374:Q378)</f>
        <v>24.649822464218673</v>
      </c>
      <c r="R379" s="72">
        <f>SUM(R374:R378)</f>
        <v>25.473668619896117</v>
      </c>
      <c r="S379" s="72">
        <f>SUM(S374:S378)</f>
        <v>26.326124888867831</v>
      </c>
      <c r="T379" s="72">
        <f>SUM(T374:T378)</f>
        <v>27.20821970513958</v>
      </c>
      <c r="U379" s="72">
        <f>SUM(U374:U378)</f>
        <v>28.121019651346558</v>
      </c>
      <c r="V379" s="72">
        <f>SUM(V374:V378)</f>
        <v>29.065630915263306</v>
      </c>
      <c r="W379" s="72">
        <f>SUM(W374:W378)</f>
        <v>30.043200803417918</v>
      </c>
      <c r="X379" s="72">
        <f>SUM(X374:X378)</f>
        <v>31.054919314104183</v>
      </c>
      <c r="Y379" s="72">
        <f>SUM(Y374:Y378)</f>
        <v>32.102020772179657</v>
      </c>
      <c r="Z379" s="72">
        <f>SUM(Z374:Z378)</f>
        <v>33.185785528135774</v>
      </c>
      <c r="AA379" s="72">
        <f>SUM(AA374:AA378)</f>
        <v>34.307541724028304</v>
      </c>
      <c r="AB379" s="72">
        <f>SUM(AB374:AB378)</f>
        <v>35.46866712896292</v>
      </c>
      <c r="AC379" s="72">
        <f>SUM(AC374:AC378)</f>
        <v>36.670591046941837</v>
      </c>
      <c r="AD379" s="72">
        <f>SUM(AD374:AD378)</f>
        <v>37.914796299992908</v>
      </c>
      <c r="AE379" s="72">
        <f>SUM(AE374:AE378)</f>
        <v>39.202821289623259</v>
      </c>
      <c r="AF379" s="70"/>
      <c r="AG379" s="70"/>
      <c r="AH379" s="70"/>
      <c r="AI379" s="70"/>
    </row>
    <row r="380" spans="1:35" x14ac:dyDescent="0.45">
      <c r="A380" s="70"/>
      <c r="B380" s="75"/>
      <c r="C380" s="70"/>
      <c r="D380" s="75"/>
      <c r="E380" s="70"/>
      <c r="F380" s="70"/>
      <c r="G380" s="70"/>
      <c r="H380" s="70"/>
      <c r="I380" s="70"/>
      <c r="J380" s="70"/>
      <c r="K380" s="72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</row>
    <row r="381" spans="1:35" x14ac:dyDescent="0.45">
      <c r="A381" s="70"/>
      <c r="B381" s="75"/>
      <c r="C381" s="70"/>
      <c r="D381" s="75"/>
      <c r="E381" s="70"/>
      <c r="F381" s="70"/>
      <c r="G381" s="70"/>
      <c r="H381" s="70"/>
      <c r="I381" s="70"/>
      <c r="J381" s="70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0"/>
      <c r="AG381" s="70"/>
      <c r="AH381" s="70"/>
      <c r="AI381" s="70"/>
    </row>
    <row r="382" spans="1:35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</row>
    <row r="383" spans="1:35" x14ac:dyDescent="0.45">
      <c r="A383" s="70"/>
      <c r="B383" s="75"/>
      <c r="C383" s="75"/>
      <c r="D383" s="70"/>
      <c r="E383" s="70"/>
      <c r="F383" s="70"/>
      <c r="G383" s="70"/>
      <c r="H383" s="70"/>
      <c r="I383" s="70"/>
      <c r="J383" s="70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0"/>
      <c r="AG383" s="70"/>
      <c r="AH383" s="70"/>
      <c r="AI383" s="70"/>
    </row>
    <row r="384" spans="1:35" x14ac:dyDescent="0.45">
      <c r="A384" s="70"/>
      <c r="B384" s="75"/>
      <c r="C384" s="73" t="s">
        <v>1500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75"/>
      <c r="C385" s="70"/>
      <c r="D385" s="75" t="s">
        <v>283</v>
      </c>
      <c r="E385" s="70"/>
      <c r="F385" s="70"/>
      <c r="G385" s="70" t="s">
        <v>1495</v>
      </c>
      <c r="H385" s="89" t="str">
        <f>Settings!$B$3&amp;".mit.cpe."&amp;G385&amp;"."&amp;$J$5</f>
        <v>egy.mit.cpe.ind.mch.1</v>
      </c>
      <c r="I385" s="70"/>
      <c r="J385" s="70"/>
      <c r="K385" s="72"/>
      <c r="L385" s="72">
        <f>SUM(L345:L347)+SUM(L367:L369)</f>
        <v>0.55721293959505358</v>
      </c>
      <c r="M385" s="72">
        <f>SUM(M345:M347)+SUM(M367:M369)</f>
        <v>0.56947162426614473</v>
      </c>
      <c r="N385" s="72">
        <f>SUM(N345:N347)+SUM(N367:N369)</f>
        <v>0.58199999999999996</v>
      </c>
      <c r="O385" s="72">
        <f>SUM(O345:O347)+SUM(O367:O369)</f>
        <v>0.594804</v>
      </c>
      <c r="P385" s="72">
        <f>SUM(P345:P347)+SUM(P367:P369)</f>
        <v>0.60788968800000009</v>
      </c>
      <c r="Q385" s="72">
        <f>SUM(Q345:Q347)+SUM(Q367:Q369)</f>
        <v>0.62126326113599994</v>
      </c>
      <c r="R385" s="72">
        <f>SUM(R345:R347)+SUM(R367:R369)</f>
        <v>0.63493105288099194</v>
      </c>
      <c r="S385" s="72">
        <f>SUM(S345:S347)+SUM(S367:S369)</f>
        <v>0.64889953604437378</v>
      </c>
      <c r="T385" s="72">
        <f>SUM(T345:T347)+SUM(T367:T369)</f>
        <v>0.66317532583735006</v>
      </c>
      <c r="U385" s="72">
        <f>SUM(U345:U347)+SUM(U367:U369)</f>
        <v>0.67776518300577182</v>
      </c>
      <c r="V385" s="72">
        <f>SUM(V345:V347)+SUM(V367:V369)</f>
        <v>0.69267601703189885</v>
      </c>
      <c r="W385" s="72">
        <f>SUM(W345:W347)+SUM(W367:W369)</f>
        <v>0.70791488940660052</v>
      </c>
      <c r="X385" s="72">
        <f>SUM(X345:X347)+SUM(X367:X369)</f>
        <v>0.72348901697354573</v>
      </c>
      <c r="Y385" s="72">
        <f>SUM(Y345:Y347)+SUM(Y367:Y369)</f>
        <v>0.73940577534696372</v>
      </c>
      <c r="Z385" s="72">
        <f>SUM(Z345:Z347)+SUM(Z367:Z369)</f>
        <v>0.75567270240459705</v>
      </c>
      <c r="AA385" s="72">
        <f>SUM(AA345:AA347)+SUM(AA367:AA369)</f>
        <v>0.77229750185749824</v>
      </c>
      <c r="AB385" s="72">
        <f>SUM(AB345:AB347)+SUM(AB367:AB369)</f>
        <v>0.78928804689836318</v>
      </c>
      <c r="AC385" s="72">
        <f>SUM(AC345:AC347)+SUM(AC367:AC369)</f>
        <v>0.80665238393012717</v>
      </c>
      <c r="AD385" s="72">
        <f>SUM(AD345:AD347)+SUM(AD367:AD369)</f>
        <v>0.82439873637659</v>
      </c>
      <c r="AE385" s="72">
        <f>SUM(AE345:AE347)+SUM(AE367:AE369)</f>
        <v>0.84253550857687498</v>
      </c>
      <c r="AF385" s="70"/>
      <c r="AG385" s="70"/>
      <c r="AH385" s="70"/>
      <c r="AI385" s="70"/>
    </row>
    <row r="386" spans="1:35" x14ac:dyDescent="0.45">
      <c r="A386" s="70"/>
      <c r="B386" s="75"/>
      <c r="C386" s="70"/>
      <c r="D386" s="75" t="s">
        <v>284</v>
      </c>
      <c r="E386" s="70"/>
      <c r="F386" s="70"/>
      <c r="G386" s="70" t="s">
        <v>1496</v>
      </c>
      <c r="H386" s="89" t="str">
        <f>Settings!$B$3&amp;".mit.cpe."&amp;G386&amp;"."&amp;$J$5</f>
        <v>egy.mit.cpe.ind.irn.1</v>
      </c>
      <c r="I386" s="70"/>
      <c r="J386" s="70"/>
      <c r="K386" s="72"/>
      <c r="L386" s="72">
        <f>SUM(L341:L343)+SUM(L363:L365)</f>
        <v>0.25322587748271458</v>
      </c>
      <c r="M386" s="72">
        <f>SUM(M341:M343)+SUM(M363:M365)</f>
        <v>0.26436781609195403</v>
      </c>
      <c r="N386" s="72">
        <f>SUM(N341:N343)+SUM(N363:N365)</f>
        <v>0.27599999999999997</v>
      </c>
      <c r="O386" s="72">
        <f>SUM(O341:O343)+SUM(O363:O365)</f>
        <v>0.28814400000000001</v>
      </c>
      <c r="P386" s="72">
        <f>SUM(P341:P343)+SUM(P363:P365)</f>
        <v>0.30082233600000008</v>
      </c>
      <c r="Q386" s="72">
        <f>SUM(Q341:Q343)+SUM(Q363:Q365)</f>
        <v>0.31405851878400004</v>
      </c>
      <c r="R386" s="72">
        <f>SUM(R341:R343)+SUM(R363:R365)</f>
        <v>0.32787709361049611</v>
      </c>
      <c r="S386" s="72">
        <f>SUM(S341:S343)+SUM(S363:S365)</f>
        <v>0.34230368572935788</v>
      </c>
      <c r="T386" s="72">
        <f>SUM(T341:T343)+SUM(T363:T365)</f>
        <v>0.35736504790144968</v>
      </c>
      <c r="U386" s="72">
        <f>SUM(U341:U343)+SUM(U363:U365)</f>
        <v>0.37308911000911349</v>
      </c>
      <c r="V386" s="72">
        <f>SUM(V341:V343)+SUM(V363:V365)</f>
        <v>0.38950503084951449</v>
      </c>
      <c r="W386" s="72">
        <f>SUM(W341:W343)+SUM(W363:W365)</f>
        <v>0.40664325220689312</v>
      </c>
      <c r="X386" s="72">
        <f>SUM(X341:X343)+SUM(X363:X365)</f>
        <v>0.42453555530399645</v>
      </c>
      <c r="Y386" s="72">
        <f>SUM(Y341:Y343)+SUM(Y363:Y365)</f>
        <v>0.44321511973737227</v>
      </c>
      <c r="Z386" s="72">
        <f>SUM(Z341:Z343)+SUM(Z363:Z365)</f>
        <v>0.46271658500581669</v>
      </c>
      <c r="AA386" s="72">
        <f>SUM(AA341:AA343)+SUM(AA363:AA365)</f>
        <v>0.48307611474607259</v>
      </c>
      <c r="AB386" s="72">
        <f>SUM(AB341:AB343)+SUM(AB363:AB365)</f>
        <v>0.5043314637948999</v>
      </c>
      <c r="AC386" s="72">
        <f>SUM(AC341:AC343)+SUM(AC363:AC365)</f>
        <v>0.52652204820187531</v>
      </c>
      <c r="AD386" s="72">
        <f>SUM(AD341:AD343)+SUM(AD363:AD365)</f>
        <v>0.54968901832275785</v>
      </c>
      <c r="AE386" s="72">
        <f>SUM(AE341:AE343)+SUM(AE363:AE365)</f>
        <v>0.57387533512895927</v>
      </c>
      <c r="AF386" s="70"/>
      <c r="AG386" s="70"/>
      <c r="AH386" s="70"/>
      <c r="AI386" s="70"/>
    </row>
    <row r="387" spans="1:35" x14ac:dyDescent="0.45">
      <c r="A387" s="70"/>
      <c r="B387" s="75"/>
      <c r="C387" s="70"/>
      <c r="D387" s="75" t="s">
        <v>285</v>
      </c>
      <c r="E387" s="70"/>
      <c r="F387" s="70"/>
      <c r="G387" s="70" t="s">
        <v>1497</v>
      </c>
      <c r="H387" s="89" t="str">
        <f>Settings!$B$3&amp;".mit.cpe."&amp;G387&amp;"."&amp;$J$5</f>
        <v>egy.mit.cpe.ind.nfm.1</v>
      </c>
      <c r="I387" s="70"/>
      <c r="J387" s="70"/>
      <c r="K387" s="72"/>
      <c r="L387" s="72">
        <f>L348+L370</f>
        <v>0.63340895307832257</v>
      </c>
      <c r="M387" s="72">
        <f>M348+M370</f>
        <v>0.66824644549763035</v>
      </c>
      <c r="N387" s="72">
        <f>N348+N370</f>
        <v>0.70499999999999996</v>
      </c>
      <c r="O387" s="72">
        <f>O348+O370</f>
        <v>0.74377499999999996</v>
      </c>
      <c r="P387" s="72">
        <f>P348+P370</f>
        <v>0.78468262499999997</v>
      </c>
      <c r="Q387" s="72">
        <f>Q348+Q370</f>
        <v>0.82784016937499993</v>
      </c>
      <c r="R387" s="72">
        <f>R348+R370</f>
        <v>0.87337137869062498</v>
      </c>
      <c r="S387" s="72">
        <f>S348+S370</f>
        <v>0.92140680451860935</v>
      </c>
      <c r="T387" s="72">
        <f>T348+T370</f>
        <v>0.97208417876713282</v>
      </c>
      <c r="U387" s="72">
        <f>U348+U370</f>
        <v>1.025548808599325</v>
      </c>
      <c r="V387" s="72">
        <f>V348+V370</f>
        <v>1.0819539930722879</v>
      </c>
      <c r="W387" s="72">
        <f>W348+W370</f>
        <v>1.1414614626912638</v>
      </c>
      <c r="X387" s="72">
        <f>X348+X370</f>
        <v>1.2042418431392832</v>
      </c>
      <c r="Y387" s="72">
        <f>Y348+Y370</f>
        <v>1.2704751445119435</v>
      </c>
      <c r="Z387" s="72">
        <f>Z348+Z370</f>
        <v>1.3403512774601003</v>
      </c>
      <c r="AA387" s="72">
        <f>AA348+AA370</f>
        <v>1.4140705977204062</v>
      </c>
      <c r="AB387" s="72">
        <f>AB348+AB370</f>
        <v>1.4918444805950282</v>
      </c>
      <c r="AC387" s="72">
        <f>AC348+AC370</f>
        <v>1.5738959270277546</v>
      </c>
      <c r="AD387" s="72">
        <f>AD348+AD370</f>
        <v>1.660460203014281</v>
      </c>
      <c r="AE387" s="72">
        <f>AE348+AE370</f>
        <v>1.7517855141800662</v>
      </c>
      <c r="AF387" s="70"/>
      <c r="AG387" s="70"/>
      <c r="AH387" s="70"/>
      <c r="AI387" s="70"/>
    </row>
    <row r="388" spans="1:35" x14ac:dyDescent="0.45">
      <c r="A388" s="70"/>
      <c r="B388" s="75"/>
      <c r="C388" s="70"/>
      <c r="D388" s="75" t="s">
        <v>286</v>
      </c>
      <c r="E388" s="70"/>
      <c r="F388" s="70"/>
      <c r="G388" s="70" t="s">
        <v>1498</v>
      </c>
      <c r="H388" s="89" t="str">
        <f>Settings!$B$3&amp;".mit.cpe."&amp;G388&amp;"."&amp;$J$5</f>
        <v>egy.mit.cpe.ind.mac.1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75"/>
      <c r="C389" s="70"/>
      <c r="D389" s="75" t="s">
        <v>287</v>
      </c>
      <c r="E389" s="70"/>
      <c r="F389" s="70"/>
      <c r="G389" s="70" t="s">
        <v>1499</v>
      </c>
      <c r="H389" s="89" t="str">
        <f>Settings!$B$3&amp;".mit.cpe."&amp;G389&amp;"."&amp;$J$5</f>
        <v>egy.mit.cpe.ind.cem.1</v>
      </c>
      <c r="I389" s="70"/>
      <c r="J389" s="70"/>
      <c r="K389" s="72"/>
      <c r="L389" s="72">
        <f>L344+L366</f>
        <v>24.646491529759945</v>
      </c>
      <c r="M389" s="72">
        <f>M344+M366</f>
        <v>25.459825750242022</v>
      </c>
      <c r="N389" s="72">
        <f>N344+N366</f>
        <v>26.3</v>
      </c>
      <c r="O389" s="72">
        <f>O344+O366</f>
        <v>27.167899999999999</v>
      </c>
      <c r="P389" s="72">
        <f>P344+P366</f>
        <v>28.064440699999995</v>
      </c>
      <c r="Q389" s="72">
        <f>Q344+Q366</f>
        <v>28.990567243099992</v>
      </c>
      <c r="R389" s="72">
        <f>R344+R366</f>
        <v>29.947255962122291</v>
      </c>
      <c r="S389" s="72">
        <f>S344+S366</f>
        <v>30.935515408872323</v>
      </c>
      <c r="T389" s="72">
        <f>T344+T366</f>
        <v>31.956387417365111</v>
      </c>
      <c r="U389" s="72">
        <f>U344+U366</f>
        <v>33.010948202138152</v>
      </c>
      <c r="V389" s="72">
        <f>V344+V366</f>
        <v>34.100309492808705</v>
      </c>
      <c r="W389" s="72">
        <f>W344+W366</f>
        <v>35.225619706071399</v>
      </c>
      <c r="X389" s="72">
        <f>X344+X366</f>
        <v>36.388065156371745</v>
      </c>
      <c r="Y389" s="72">
        <f>Y344+Y366</f>
        <v>37.588871306532013</v>
      </c>
      <c r="Z389" s="72">
        <f>Z344+Z366</f>
        <v>38.829304059647569</v>
      </c>
      <c r="AA389" s="72">
        <f>AA344+AA366</f>
        <v>40.110671093615935</v>
      </c>
      <c r="AB389" s="72">
        <f>AB344+AB366</f>
        <v>41.434323239705257</v>
      </c>
      <c r="AC389" s="72">
        <f>AC344+AC366</f>
        <v>42.801655906615522</v>
      </c>
      <c r="AD389" s="72">
        <f>AD344+AD366</f>
        <v>44.214110551533835</v>
      </c>
      <c r="AE389" s="72">
        <f>AE344+AE366</f>
        <v>45.673176199734449</v>
      </c>
      <c r="AF389" s="70"/>
      <c r="AG389" s="70"/>
      <c r="AH389" s="70"/>
      <c r="AI389" s="70"/>
    </row>
    <row r="390" spans="1:35" x14ac:dyDescent="0.45">
      <c r="A390" s="70"/>
      <c r="B390" s="75"/>
      <c r="C390" s="75"/>
      <c r="D390" s="72" t="s">
        <v>111</v>
      </c>
      <c r="E390" s="72"/>
      <c r="F390" s="72"/>
      <c r="G390" s="70" t="s">
        <v>1493</v>
      </c>
      <c r="H390" s="89" t="str">
        <f>Settings!$B$3&amp;".mit.emis."&amp;G390&amp;"."&amp;$J$5</f>
        <v>egy.mit.emis.cbam.tot.1</v>
      </c>
      <c r="I390" s="72"/>
      <c r="J390" s="72"/>
      <c r="K390" s="72"/>
      <c r="L390" s="72">
        <f>SUM(L385:L389)</f>
        <v>26.090339299916035</v>
      </c>
      <c r="M390" s="72">
        <f>SUM(M385:M389)</f>
        <v>26.961911636097749</v>
      </c>
      <c r="N390" s="72">
        <f>SUM(N385:N389)</f>
        <v>27.863</v>
      </c>
      <c r="O390" s="72">
        <f>SUM(O385:O389)</f>
        <v>28.794623000000001</v>
      </c>
      <c r="P390" s="72">
        <f>SUM(P385:P389)</f>
        <v>29.757835348999997</v>
      </c>
      <c r="Q390" s="72">
        <f>SUM(Q385:Q389)</f>
        <v>30.753729192394992</v>
      </c>
      <c r="R390" s="72">
        <f>SUM(R385:R389)</f>
        <v>31.783435487304406</v>
      </c>
      <c r="S390" s="72">
        <f>SUM(S385:S389)</f>
        <v>32.848125435164661</v>
      </c>
      <c r="T390" s="72">
        <f>SUM(T385:T389)</f>
        <v>33.949011969871044</v>
      </c>
      <c r="U390" s="72">
        <f>SUM(U385:U389)</f>
        <v>35.087351303752364</v>
      </c>
      <c r="V390" s="72">
        <f>SUM(V385:V389)</f>
        <v>36.264444533762408</v>
      </c>
      <c r="W390" s="72">
        <f>SUM(W385:W389)</f>
        <v>37.481639310376153</v>
      </c>
      <c r="X390" s="72">
        <f>SUM(X385:X389)</f>
        <v>38.740331571788573</v>
      </c>
      <c r="Y390" s="72">
        <f>SUM(Y385:Y389)</f>
        <v>40.041967346128295</v>
      </c>
      <c r="Z390" s="72">
        <f>SUM(Z385:Z389)</f>
        <v>41.388044624518081</v>
      </c>
      <c r="AA390" s="72">
        <f>SUM(AA385:AA389)</f>
        <v>42.780115307939909</v>
      </c>
      <c r="AB390" s="72">
        <f>SUM(AB385:AB389)</f>
        <v>44.219787230993546</v>
      </c>
      <c r="AC390" s="72">
        <f>SUM(AC385:AC389)</f>
        <v>45.708726265775283</v>
      </c>
      <c r="AD390" s="72">
        <f>SUM(AD385:AD389)</f>
        <v>47.248658509247463</v>
      </c>
      <c r="AE390" s="72">
        <f>SUM(AE385:AE389)</f>
        <v>48.841372557620346</v>
      </c>
      <c r="AF390" s="70"/>
      <c r="AG390" s="70"/>
      <c r="AH390" s="70"/>
      <c r="AI390" s="70"/>
    </row>
    <row r="391" spans="1:35" x14ac:dyDescent="0.45">
      <c r="A391" s="70"/>
      <c r="B391" s="75"/>
      <c r="C391" s="73" t="s">
        <v>1501</v>
      </c>
      <c r="D391" s="73"/>
      <c r="E391" s="70"/>
      <c r="F391" s="70"/>
      <c r="G391" s="70"/>
      <c r="H391" s="70"/>
      <c r="I391" s="70"/>
      <c r="J391" s="71"/>
      <c r="K391" s="72"/>
      <c r="L391" s="74">
        <f>L362</f>
        <v>2022</v>
      </c>
      <c r="M391" s="74">
        <f>M362</f>
        <v>2023</v>
      </c>
      <c r="N391" s="74">
        <f>N362</f>
        <v>2024</v>
      </c>
      <c r="O391" s="74">
        <f>O362</f>
        <v>2025</v>
      </c>
      <c r="P391" s="74">
        <f>P362</f>
        <v>2026</v>
      </c>
      <c r="Q391" s="74">
        <f>Q362</f>
        <v>2027</v>
      </c>
      <c r="R391" s="74">
        <f>R362</f>
        <v>2028</v>
      </c>
      <c r="S391" s="74">
        <f>S362</f>
        <v>2029</v>
      </c>
      <c r="T391" s="74">
        <f>T362</f>
        <v>2030</v>
      </c>
      <c r="U391" s="74">
        <f>U362</f>
        <v>2031</v>
      </c>
      <c r="V391" s="74">
        <f>V362</f>
        <v>2032</v>
      </c>
      <c r="W391" s="74">
        <f>W362</f>
        <v>2033</v>
      </c>
      <c r="X391" s="74">
        <f>X362</f>
        <v>2034</v>
      </c>
      <c r="Y391" s="74">
        <f>Y362</f>
        <v>2035</v>
      </c>
      <c r="Z391" s="74">
        <f>Z362</f>
        <v>2036</v>
      </c>
      <c r="AA391" s="74">
        <f>AA362</f>
        <v>2037</v>
      </c>
      <c r="AB391" s="74">
        <f>AB362</f>
        <v>2038</v>
      </c>
      <c r="AC391" s="74">
        <f>AC362</f>
        <v>2039</v>
      </c>
      <c r="AD391" s="74">
        <f>AD362</f>
        <v>2040</v>
      </c>
      <c r="AE391" s="74">
        <f>AE362</f>
        <v>2041</v>
      </c>
      <c r="AF391" s="74"/>
      <c r="AG391" s="70"/>
      <c r="AH391" s="70"/>
      <c r="AI391" s="70"/>
    </row>
    <row r="392" spans="1:35" x14ac:dyDescent="0.45">
      <c r="A392" s="70"/>
      <c r="B392" s="75"/>
      <c r="C392" s="75"/>
      <c r="D392" s="75" t="s">
        <v>1350</v>
      </c>
      <c r="E392" s="70"/>
      <c r="F392" s="70"/>
      <c r="G392" s="70"/>
      <c r="H392" s="70"/>
      <c r="I392" s="70"/>
      <c r="J392" s="70"/>
      <c r="K392" s="72"/>
      <c r="L392" s="72">
        <f>L341*(L247*F299+L248*G299)</f>
        <v>0</v>
      </c>
      <c r="M392" s="72">
        <f>M341*(M247*F299+M248*G299)</f>
        <v>0</v>
      </c>
      <c r="N392" s="72">
        <f>N341*(N247*F299+N248*G299)</f>
        <v>0</v>
      </c>
      <c r="O392" s="72">
        <f>O341*(O247*F299+O248*G299)</f>
        <v>0</v>
      </c>
      <c r="P392" s="72">
        <f>P341*(P247*F299+P248*G299)</f>
        <v>0</v>
      </c>
      <c r="Q392" s="72">
        <f>Q341*(Q247*F299+Q248*G299)</f>
        <v>0</v>
      </c>
      <c r="R392" s="72">
        <f>R341*(R247*F299+R248*G299)</f>
        <v>0</v>
      </c>
      <c r="S392" s="72">
        <f>S341*(S247*F299+S248*G299)</f>
        <v>0</v>
      </c>
      <c r="T392" s="72">
        <f>T341*(T247*F299+T248*G299)</f>
        <v>0</v>
      </c>
      <c r="U392" s="72">
        <f>U341*(U247*F299+U248*G299)</f>
        <v>0</v>
      </c>
      <c r="V392" s="72">
        <f>V341*(V247*F299+V248*G299)</f>
        <v>0</v>
      </c>
      <c r="W392" s="72">
        <f>W341*(W247*F299+W248*G299)</f>
        <v>0</v>
      </c>
      <c r="X392" s="72">
        <f>X341*(X247*F299+X248*G299)</f>
        <v>0</v>
      </c>
      <c r="Y392" s="72">
        <f>Y341*(Y247*F299+Y248*G299)</f>
        <v>0</v>
      </c>
      <c r="Z392" s="72">
        <f>Z341*(Z247*F299+Z248*G299)</f>
        <v>0</v>
      </c>
      <c r="AA392" s="72">
        <f>AA341*(AA247*F299+AA248*G299)</f>
        <v>0</v>
      </c>
      <c r="AB392" s="72">
        <f>AB341*(AB247*F299+AB248*G299)</f>
        <v>0</v>
      </c>
      <c r="AC392" s="72">
        <f>AC341*(AC247*F299+AC248*G299)</f>
        <v>0</v>
      </c>
      <c r="AD392" s="72">
        <f>AD341*(AD247*F299+AD248*G299)</f>
        <v>0</v>
      </c>
      <c r="AE392" s="72">
        <f>AE341*(AE247*F299+AE248*G299)</f>
        <v>0</v>
      </c>
      <c r="AF392" s="70"/>
      <c r="AG392" s="70"/>
      <c r="AH392" s="70"/>
      <c r="AI392" s="70"/>
    </row>
    <row r="393" spans="1:35" x14ac:dyDescent="0.45">
      <c r="A393" s="70"/>
      <c r="B393" s="75"/>
      <c r="C393" s="75"/>
      <c r="D393" s="75" t="s">
        <v>1357</v>
      </c>
      <c r="E393" s="70"/>
      <c r="F393" s="70"/>
      <c r="G393" s="70"/>
      <c r="H393" s="70"/>
      <c r="I393" s="70"/>
      <c r="J393" s="70"/>
      <c r="K393" s="72"/>
      <c r="L393" s="72">
        <f>L342*(L247*F300+L248*G300)</f>
        <v>0</v>
      </c>
      <c r="M393" s="72">
        <f>M342*(M247*F300+M248*G300)</f>
        <v>0</v>
      </c>
      <c r="N393" s="72">
        <f>N342*(N247*F300+N248*G300)</f>
        <v>0</v>
      </c>
      <c r="O393" s="72">
        <f>O342*(O247*F300+O248*G300)</f>
        <v>0</v>
      </c>
      <c r="P393" s="72">
        <f>P342*(P247*F300+P248*G300)</f>
        <v>0</v>
      </c>
      <c r="Q393" s="72">
        <f>Q342*(Q247*F300+Q248*G300)</f>
        <v>0</v>
      </c>
      <c r="R393" s="72">
        <f>R342*(R247*F300+R248*G300)</f>
        <v>0</v>
      </c>
      <c r="S393" s="72">
        <f>S342*(S247*F300+S248*G300)</f>
        <v>0</v>
      </c>
      <c r="T393" s="72">
        <f>T342*(T247*F300+T248*G300)</f>
        <v>0</v>
      </c>
      <c r="U393" s="72">
        <f>U342*(U247*F300+U248*G300)</f>
        <v>0</v>
      </c>
      <c r="V393" s="72">
        <f>V342*(V247*F300+V248*G300)</f>
        <v>0</v>
      </c>
      <c r="W393" s="72">
        <f>W342*(W247*F300+W248*G300)</f>
        <v>0</v>
      </c>
      <c r="X393" s="72">
        <f>X342*(X247*F300+X248*G300)</f>
        <v>0</v>
      </c>
      <c r="Y393" s="72">
        <f>Y342*(Y247*F300+Y248*G300)</f>
        <v>0</v>
      </c>
      <c r="Z393" s="72">
        <f>Z342*(Z247*F300+Z248*G300)</f>
        <v>0</v>
      </c>
      <c r="AA393" s="72">
        <f>AA342*(AA247*F300+AA248*G300)</f>
        <v>0</v>
      </c>
      <c r="AB393" s="72">
        <f>AB342*(AB247*F300+AB248*G300)</f>
        <v>0</v>
      </c>
      <c r="AC393" s="72">
        <f>AC342*(AC247*F300+AC248*G300)</f>
        <v>0</v>
      </c>
      <c r="AD393" s="72">
        <f>AD342*(AD247*F300+AD248*G300)</f>
        <v>0</v>
      </c>
      <c r="AE393" s="72">
        <f>AE342*(AE247*F300+AE248*G300)</f>
        <v>0</v>
      </c>
      <c r="AF393" s="70"/>
      <c r="AG393" s="70"/>
      <c r="AH393" s="70"/>
      <c r="AI393" s="70"/>
    </row>
    <row r="394" spans="1:35" x14ac:dyDescent="0.45">
      <c r="A394" s="70"/>
      <c r="B394" s="75"/>
      <c r="C394" s="75"/>
      <c r="D394" s="75" t="s">
        <v>1363</v>
      </c>
      <c r="E394" s="70"/>
      <c r="F394" s="70"/>
      <c r="G394" s="70"/>
      <c r="H394" s="70"/>
      <c r="I394" s="70"/>
      <c r="J394" s="70"/>
      <c r="K394" s="72"/>
      <c r="L394" s="72">
        <f>L343*(L247*F301+L248*G301)</f>
        <v>0</v>
      </c>
      <c r="M394" s="72">
        <f>M343*(M247*F301+M248*G301)</f>
        <v>0</v>
      </c>
      <c r="N394" s="72">
        <f>N343*(N247*F301+N248*G301)</f>
        <v>0</v>
      </c>
      <c r="O394" s="72">
        <f>O343*(O247*F301+O248*G301)</f>
        <v>0</v>
      </c>
      <c r="P394" s="72">
        <f>P343*(P247*F301+P248*G301)</f>
        <v>0</v>
      </c>
      <c r="Q394" s="72">
        <f>Q343*(Q247*F301+Q248*G301)</f>
        <v>0</v>
      </c>
      <c r="R394" s="72">
        <f>R343*(R247*F301+R248*G301)</f>
        <v>0</v>
      </c>
      <c r="S394" s="72">
        <f>S343*(S247*F301+S248*G301)</f>
        <v>0</v>
      </c>
      <c r="T394" s="72">
        <f>T343*(T247*F301+T248*G301)</f>
        <v>0</v>
      </c>
      <c r="U394" s="72">
        <f>U343*(U247*F301+U248*G301)</f>
        <v>0</v>
      </c>
      <c r="V394" s="72">
        <f>V343*(V247*F301+V248*G301)</f>
        <v>0</v>
      </c>
      <c r="W394" s="72">
        <f>W343*(W247*F301+W248*G301)</f>
        <v>0</v>
      </c>
      <c r="X394" s="72">
        <f>X343*(X247*F301+X248*G301)</f>
        <v>0</v>
      </c>
      <c r="Y394" s="72">
        <f>Y343*(Y247*F301+Y248*G301)</f>
        <v>0</v>
      </c>
      <c r="Z394" s="72">
        <f>Z343*(Z247*F301+Z248*G301)</f>
        <v>0</v>
      </c>
      <c r="AA394" s="72">
        <f>AA343*(AA247*F301+AA248*G301)</f>
        <v>0</v>
      </c>
      <c r="AB394" s="72">
        <f>AB343*(AB247*F301+AB248*G301)</f>
        <v>0</v>
      </c>
      <c r="AC394" s="72">
        <f>AC343*(AC247*F301+AC248*G301)</f>
        <v>0</v>
      </c>
      <c r="AD394" s="72">
        <f>AD343*(AD247*F301+AD248*G301)</f>
        <v>0</v>
      </c>
      <c r="AE394" s="72">
        <f>AE343*(AE247*F301+AE248*G301)</f>
        <v>0</v>
      </c>
      <c r="AF394" s="70"/>
      <c r="AG394" s="70"/>
      <c r="AH394" s="70"/>
      <c r="AI394" s="70"/>
    </row>
    <row r="395" spans="1:35" x14ac:dyDescent="0.45">
      <c r="A395" s="70"/>
      <c r="B395" s="75"/>
      <c r="C395" s="75"/>
      <c r="D395" s="75" t="s">
        <v>1369</v>
      </c>
      <c r="E395" s="70"/>
      <c r="F395" s="70"/>
      <c r="G395" s="70"/>
      <c r="H395" s="70"/>
      <c r="I395" s="70"/>
      <c r="J395" s="70"/>
      <c r="K395" s="72"/>
      <c r="L395" s="72">
        <f>L344*(L247*F302+L248*G302)</f>
        <v>0</v>
      </c>
      <c r="M395" s="72">
        <f>M344*(M247*F302+M248*G302)</f>
        <v>0</v>
      </c>
      <c r="N395" s="72">
        <f>N344*(N247*F302+N248*G302)</f>
        <v>0</v>
      </c>
      <c r="O395" s="72">
        <f>O344*(O247*F302+O248*G302)</f>
        <v>0</v>
      </c>
      <c r="P395" s="72">
        <f>P344*(P247*F302+P248*G302)</f>
        <v>0</v>
      </c>
      <c r="Q395" s="72">
        <f>Q344*(Q247*F302+Q248*G302)</f>
        <v>0</v>
      </c>
      <c r="R395" s="72">
        <f>R344*(R247*F302+R248*G302)</f>
        <v>0</v>
      </c>
      <c r="S395" s="72">
        <f>S344*(S247*F302+S248*G302)</f>
        <v>0</v>
      </c>
      <c r="T395" s="72">
        <f>T344*(T247*F302+T248*G302)</f>
        <v>0</v>
      </c>
      <c r="U395" s="72">
        <f>U344*(U247*F302+U248*G302)</f>
        <v>0</v>
      </c>
      <c r="V395" s="72">
        <f>V344*(V247*F302+V248*G302)</f>
        <v>0</v>
      </c>
      <c r="W395" s="72">
        <f>W344*(W247*F302+W248*G302)</f>
        <v>0</v>
      </c>
      <c r="X395" s="72">
        <f>X344*(X247*F302+X248*G302)</f>
        <v>0</v>
      </c>
      <c r="Y395" s="72">
        <f>Y344*(Y247*F302+Y248*G302)</f>
        <v>0</v>
      </c>
      <c r="Z395" s="72">
        <f>Z344*(Z247*F302+Z248*G302)</f>
        <v>0</v>
      </c>
      <c r="AA395" s="72">
        <f>AA344*(AA247*F302+AA248*G302)</f>
        <v>0</v>
      </c>
      <c r="AB395" s="72">
        <f>AB344*(AB247*F302+AB248*G302)</f>
        <v>0</v>
      </c>
      <c r="AC395" s="72">
        <f>AC344*(AC247*F302+AC248*G302)</f>
        <v>0</v>
      </c>
      <c r="AD395" s="72">
        <f>AD344*(AD247*F302+AD248*G302)</f>
        <v>0</v>
      </c>
      <c r="AE395" s="72">
        <f>AE344*(AE247*F302+AE248*G302)</f>
        <v>0</v>
      </c>
      <c r="AF395" s="70"/>
      <c r="AG395" s="70"/>
      <c r="AH395" s="70"/>
      <c r="AI395" s="70"/>
    </row>
    <row r="396" spans="1:35" x14ac:dyDescent="0.45">
      <c r="A396" s="70"/>
      <c r="B396" s="75"/>
      <c r="C396" s="75"/>
      <c r="D396" s="75" t="s">
        <v>1443</v>
      </c>
      <c r="E396" s="70"/>
      <c r="F396" s="70"/>
      <c r="G396" s="70"/>
      <c r="H396" s="70"/>
      <c r="I396" s="70"/>
      <c r="J396" s="70"/>
      <c r="K396" s="72"/>
      <c r="L396" s="72">
        <f>L345*(L247*F303+L248*G303)</f>
        <v>0</v>
      </c>
      <c r="M396" s="72">
        <f>M345*(M247*F303+M248*G303)</f>
        <v>0</v>
      </c>
      <c r="N396" s="72">
        <f>N345*(N247*F303+N248*G303)</f>
        <v>0</v>
      </c>
      <c r="O396" s="72">
        <f>O345*(O247*F303+O248*G303)</f>
        <v>0</v>
      </c>
      <c r="P396" s="72">
        <f>P345*(P247*F303+P248*G303)</f>
        <v>0</v>
      </c>
      <c r="Q396" s="72">
        <f>Q345*(Q247*F303+Q248*G303)</f>
        <v>0</v>
      </c>
      <c r="R396" s="72">
        <f>R345*(R247*F303+R248*G303)</f>
        <v>0</v>
      </c>
      <c r="S396" s="72">
        <f>S345*(S247*F303+S248*G303)</f>
        <v>0</v>
      </c>
      <c r="T396" s="72">
        <f>T345*(T247*F303+T248*G303)</f>
        <v>0</v>
      </c>
      <c r="U396" s="72">
        <f>U345*(U247*F303+U248*G303)</f>
        <v>0</v>
      </c>
      <c r="V396" s="72">
        <f>V345*(V247*F303+V248*G303)</f>
        <v>0</v>
      </c>
      <c r="W396" s="72">
        <f>W345*(W247*F303+W248*G303)</f>
        <v>0</v>
      </c>
      <c r="X396" s="72">
        <f>X345*(X247*F303+X248*G303)</f>
        <v>0</v>
      </c>
      <c r="Y396" s="72">
        <f>Y345*(Y247*F303+Y248*G303)</f>
        <v>0</v>
      </c>
      <c r="Z396" s="72">
        <f>Z345*(Z247*F303+Z248*G303)</f>
        <v>0</v>
      </c>
      <c r="AA396" s="72">
        <f>AA345*(AA247*F303+AA248*G303)</f>
        <v>0</v>
      </c>
      <c r="AB396" s="72">
        <f>AB345*(AB247*F303+AB248*G303)</f>
        <v>0</v>
      </c>
      <c r="AC396" s="72">
        <f>AC345*(AC247*F303+AC248*G303)</f>
        <v>0</v>
      </c>
      <c r="AD396" s="72">
        <f>AD345*(AD247*F303+AD248*G303)</f>
        <v>0</v>
      </c>
      <c r="AE396" s="72">
        <f>AE345*(AE247*F303+AE248*G303)</f>
        <v>0</v>
      </c>
      <c r="AF396" s="70"/>
      <c r="AG396" s="70"/>
      <c r="AH396" s="70"/>
      <c r="AI396" s="70"/>
    </row>
    <row r="397" spans="1:35" x14ac:dyDescent="0.45">
      <c r="A397" s="70"/>
      <c r="B397" s="75"/>
      <c r="C397" s="75"/>
      <c r="D397" s="75" t="s">
        <v>1383</v>
      </c>
      <c r="E397" s="70"/>
      <c r="F397" s="70"/>
      <c r="G397" s="70"/>
      <c r="H397" s="70"/>
      <c r="I397" s="70"/>
      <c r="J397" s="70"/>
      <c r="K397" s="72"/>
      <c r="L397" s="72">
        <f>L346*(L247*F304+L248*G304)</f>
        <v>0</v>
      </c>
      <c r="M397" s="72">
        <f>M346*(M247*F304+M248*G304)</f>
        <v>0</v>
      </c>
      <c r="N397" s="72">
        <f>N346*(N247*F304+N248*G304)</f>
        <v>0</v>
      </c>
      <c r="O397" s="72">
        <f>O346*(O247*F304+O248*G304)</f>
        <v>0</v>
      </c>
      <c r="P397" s="72">
        <f>P346*(P247*F304+P248*G304)</f>
        <v>0</v>
      </c>
      <c r="Q397" s="72">
        <f>Q346*(Q247*F304+Q248*G304)</f>
        <v>0</v>
      </c>
      <c r="R397" s="72">
        <f>R346*(R247*F304+R248*G304)</f>
        <v>0</v>
      </c>
      <c r="S397" s="72">
        <f>S346*(S247*F304+S248*G304)</f>
        <v>0</v>
      </c>
      <c r="T397" s="72">
        <f>T346*(T247*F304+T248*G304)</f>
        <v>0</v>
      </c>
      <c r="U397" s="72">
        <f>U346*(U247*F304+U248*G304)</f>
        <v>0</v>
      </c>
      <c r="V397" s="72">
        <f>V346*(V247*F304+V248*G304)</f>
        <v>0</v>
      </c>
      <c r="W397" s="72">
        <f>W346*(W247*F304+W248*G304)</f>
        <v>0</v>
      </c>
      <c r="X397" s="72">
        <f>X346*(X247*F304+X248*G304)</f>
        <v>0</v>
      </c>
      <c r="Y397" s="72">
        <f>Y346*(Y247*F304+Y248*G304)</f>
        <v>0</v>
      </c>
      <c r="Z397" s="72">
        <f>Z346*(Z247*F304+Z248*G304)</f>
        <v>0</v>
      </c>
      <c r="AA397" s="72">
        <f>AA346*(AA247*F304+AA248*G304)</f>
        <v>0</v>
      </c>
      <c r="AB397" s="72">
        <f>AB346*(AB247*F304+AB248*G304)</f>
        <v>0</v>
      </c>
      <c r="AC397" s="72">
        <f>AC346*(AC247*F304+AC248*G304)</f>
        <v>0</v>
      </c>
      <c r="AD397" s="72">
        <f>AD346*(AD247*F304+AD248*G304)</f>
        <v>0</v>
      </c>
      <c r="AE397" s="72">
        <f>AE346*(AE247*F304+AE248*G304)</f>
        <v>0</v>
      </c>
      <c r="AF397" s="70"/>
      <c r="AG397" s="70"/>
      <c r="AH397" s="70"/>
      <c r="AI397" s="70"/>
    </row>
    <row r="398" spans="1:35" x14ac:dyDescent="0.45">
      <c r="A398" s="70"/>
      <c r="B398" s="75"/>
      <c r="C398" s="75"/>
      <c r="D398" s="75" t="s">
        <v>1390</v>
      </c>
      <c r="E398" s="70"/>
      <c r="F398" s="70"/>
      <c r="G398" s="70"/>
      <c r="H398" s="70"/>
      <c r="I398" s="70"/>
      <c r="J398" s="70"/>
      <c r="K398" s="72"/>
      <c r="L398" s="72">
        <f>L347*(L247*F305+L248*G305)</f>
        <v>0</v>
      </c>
      <c r="M398" s="72">
        <f>M347*(M247*F305+M248*G305)</f>
        <v>0</v>
      </c>
      <c r="N398" s="72">
        <f>N347*(N247*F305+N248*G305)</f>
        <v>0</v>
      </c>
      <c r="O398" s="72">
        <f>O347*(O247*F305+O248*G305)</f>
        <v>0</v>
      </c>
      <c r="P398" s="72">
        <f>P347*(P247*F305+P248*G305)</f>
        <v>0</v>
      </c>
      <c r="Q398" s="72">
        <f>Q347*(Q247*F305+Q248*G305)</f>
        <v>0</v>
      </c>
      <c r="R398" s="72">
        <f>R347*(R247*F305+R248*G305)</f>
        <v>0</v>
      </c>
      <c r="S398" s="72">
        <f>S347*(S247*F305+S248*G305)</f>
        <v>0</v>
      </c>
      <c r="T398" s="72">
        <f>T347*(T247*F305+T248*G305)</f>
        <v>0</v>
      </c>
      <c r="U398" s="72">
        <f>U347*(U247*F305+U248*G305)</f>
        <v>0</v>
      </c>
      <c r="V398" s="72">
        <f>V347*(V247*F305+V248*G305)</f>
        <v>0</v>
      </c>
      <c r="W398" s="72">
        <f>W347*(W247*F305+W248*G305)</f>
        <v>0</v>
      </c>
      <c r="X398" s="72">
        <f>X347*(X247*F305+X248*G305)</f>
        <v>0</v>
      </c>
      <c r="Y398" s="72">
        <f>Y347*(Y247*F305+Y248*G305)</f>
        <v>0</v>
      </c>
      <c r="Z398" s="72">
        <f>Z347*(Z247*F305+Z248*G305)</f>
        <v>0</v>
      </c>
      <c r="AA398" s="72">
        <f>AA347*(AA247*F305+AA248*G305)</f>
        <v>0</v>
      </c>
      <c r="AB398" s="72">
        <f>AB347*(AB247*F305+AB248*G305)</f>
        <v>0</v>
      </c>
      <c r="AC398" s="72">
        <f>AC347*(AC247*F305+AC248*G305)</f>
        <v>0</v>
      </c>
      <c r="AD398" s="72">
        <f>AD347*(AD247*F305+AD248*G305)</f>
        <v>0</v>
      </c>
      <c r="AE398" s="72">
        <f>AE347*(AE247*F305+AE248*G305)</f>
        <v>0</v>
      </c>
      <c r="AF398" s="70"/>
      <c r="AG398" s="70"/>
      <c r="AH398" s="70"/>
      <c r="AI398" s="70"/>
    </row>
    <row r="399" spans="1:35" x14ac:dyDescent="0.45">
      <c r="A399" s="70"/>
      <c r="B399" s="75"/>
      <c r="C399" s="75"/>
      <c r="D399" s="75" t="s">
        <v>1397</v>
      </c>
      <c r="E399" s="84"/>
      <c r="F399" s="85"/>
      <c r="G399" s="70"/>
      <c r="H399" s="70"/>
      <c r="I399" s="70"/>
      <c r="J399" s="70"/>
      <c r="K399" s="72"/>
      <c r="L399" s="72">
        <f>L348*(L247*F306+L248*G306)</f>
        <v>0</v>
      </c>
      <c r="M399" s="72">
        <f>M348*(M247*F306+M248*G306)</f>
        <v>0</v>
      </c>
      <c r="N399" s="72">
        <f>N348*(N247*F306+N248*G306)</f>
        <v>0</v>
      </c>
      <c r="O399" s="72">
        <f>O348*(O247*F306+O248*G306)</f>
        <v>0</v>
      </c>
      <c r="P399" s="72">
        <f>P348*(P247*F306+P248*G306)</f>
        <v>0</v>
      </c>
      <c r="Q399" s="72">
        <f>Q348*(Q247*F306+Q248*G306)</f>
        <v>0</v>
      </c>
      <c r="R399" s="72">
        <f>R348*(R247*F306+R248*G306)</f>
        <v>0</v>
      </c>
      <c r="S399" s="72">
        <f>S348*(S247*F306+S248*G306)</f>
        <v>0</v>
      </c>
      <c r="T399" s="72">
        <f>T348*(T247*F306+T248*G306)</f>
        <v>0</v>
      </c>
      <c r="U399" s="72">
        <f>U348*(U247*F306+U248*G306)</f>
        <v>0</v>
      </c>
      <c r="V399" s="72">
        <f>V348*(V247*F306+V248*G306)</f>
        <v>0</v>
      </c>
      <c r="W399" s="72">
        <f>W348*(W247*F306+W248*G306)</f>
        <v>0</v>
      </c>
      <c r="X399" s="72">
        <f>X348*(X247*F306+X248*G306)</f>
        <v>0</v>
      </c>
      <c r="Y399" s="72">
        <f>Y348*(Y247*F306+Y248*G306)</f>
        <v>0</v>
      </c>
      <c r="Z399" s="72">
        <f>Z348*(Z247*F306+Z248*G306)</f>
        <v>0</v>
      </c>
      <c r="AA399" s="72">
        <f>AA348*(AA247*F306+AA248*G306)</f>
        <v>0</v>
      </c>
      <c r="AB399" s="72">
        <f>AB348*(AB247*F306+AB248*G306)</f>
        <v>0</v>
      </c>
      <c r="AC399" s="72">
        <f>AC348*(AC247*F306+AC248*G306)</f>
        <v>0</v>
      </c>
      <c r="AD399" s="72">
        <f>AD348*(AD247*F306+AD248*G306)</f>
        <v>0</v>
      </c>
      <c r="AE399" s="72">
        <f>AE348*(AE247*F306+AE248*G306)</f>
        <v>0</v>
      </c>
      <c r="AF399" s="70"/>
      <c r="AG399" s="70"/>
      <c r="AH399" s="70"/>
      <c r="AI399" s="70"/>
    </row>
    <row r="400" spans="1:35" x14ac:dyDescent="0.45">
      <c r="A400" s="70"/>
      <c r="B400" s="75"/>
      <c r="C400" s="75"/>
      <c r="D400" s="75" t="s">
        <v>1502</v>
      </c>
      <c r="E400" s="70"/>
      <c r="F400" s="70"/>
      <c r="G400" s="70" t="s">
        <v>110</v>
      </c>
      <c r="H400" s="89" t="str">
        <f>Settings!$B$3&amp;".mit.rev.cbam."&amp;G400&amp;"."&amp;$J$5</f>
        <v>egy.mit.rev.cbam.tot.1</v>
      </c>
      <c r="I400" s="70"/>
      <c r="J400" s="70"/>
      <c r="K400" s="72"/>
      <c r="L400" s="72">
        <f>SUM(L392:L399)</f>
        <v>0</v>
      </c>
      <c r="M400" s="72">
        <f>SUM(M392:M399)</f>
        <v>0</v>
      </c>
      <c r="N400" s="72">
        <f>SUM(N392:N399)</f>
        <v>0</v>
      </c>
      <c r="O400" s="72">
        <f>SUM(O392:O399)</f>
        <v>0</v>
      </c>
      <c r="P400" s="72">
        <f>SUM(P392:P399)</f>
        <v>0</v>
      </c>
      <c r="Q400" s="72">
        <f>SUM(Q392:Q399)</f>
        <v>0</v>
      </c>
      <c r="R400" s="72">
        <f>SUM(R392:R399)</f>
        <v>0</v>
      </c>
      <c r="S400" s="72">
        <f>SUM(S392:S399)</f>
        <v>0</v>
      </c>
      <c r="T400" s="72">
        <f>SUM(T392:T399)</f>
        <v>0</v>
      </c>
      <c r="U400" s="72">
        <f>SUM(U392:U399)</f>
        <v>0</v>
      </c>
      <c r="V400" s="72">
        <f>SUM(V392:V399)</f>
        <v>0</v>
      </c>
      <c r="W400" s="72">
        <f>SUM(W392:W399)</f>
        <v>0</v>
      </c>
      <c r="X400" s="72">
        <f>SUM(X392:X399)</f>
        <v>0</v>
      </c>
      <c r="Y400" s="72">
        <f>SUM(Y392:Y399)</f>
        <v>0</v>
      </c>
      <c r="Z400" s="72">
        <f>SUM(Z392:Z399)</f>
        <v>0</v>
      </c>
      <c r="AA400" s="72">
        <f>SUM(AA392:AA399)</f>
        <v>0</v>
      </c>
      <c r="AB400" s="72">
        <f>SUM(AB392:AB399)</f>
        <v>0</v>
      </c>
      <c r="AC400" s="72">
        <f>SUM(AC392:AC399)</f>
        <v>0</v>
      </c>
      <c r="AD400" s="72">
        <f>SUM(AD392:AD399)</f>
        <v>0</v>
      </c>
      <c r="AE400" s="72">
        <f>SUM(AE392:AE399)</f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60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60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60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60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60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60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60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60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60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61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61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7.1746845864040694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8.5696845864040689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13.452184586404069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61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0.77715015920690589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0.95071721823590594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1.0375007477504059</v>
      </c>
    </row>
    <row r="419" spans="2:31" x14ac:dyDescent="0.45">
      <c r="B419" s="14" t="s">
        <v>58</v>
      </c>
      <c r="C419" s="14" t="str">
        <f t="shared" si="61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61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0.17281516073434472</v>
      </c>
      <c r="R420" s="18">
        <f>R410+INDEX(Data_Prices!R:R,MATCH($G420,Data_Prices!$A:$A,0))*R$436</f>
        <v>0.1949212436616404</v>
      </c>
      <c r="S420" s="18">
        <f>S410+INDEX(Data_Prices!S:S,MATCH($G420,Data_Prices!$A:$A,0))*S$436</f>
        <v>0.21702732658893611</v>
      </c>
      <c r="T420" s="18">
        <f>T410+INDEX(Data_Prices!T:T,MATCH($G420,Data_Prices!$A:$A,0))*T$436</f>
        <v>0.2391334095162318</v>
      </c>
      <c r="U420" s="18">
        <f>U410+INDEX(Data_Prices!U:U,MATCH($G420,Data_Prices!$A:$A,0))*U$436</f>
        <v>0.26123949244352801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0.30545165829811904</v>
      </c>
      <c r="X420" s="18">
        <f>X410+INDEX(Data_Prices!X:X,MATCH($G420,Data_Prices!$A:$A,0))*X$436</f>
        <v>0.32755774122541503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0.37176990708000601</v>
      </c>
      <c r="AA420" s="18">
        <f>AA410+INDEX(Data_Prices!AA:AA,MATCH($G420,Data_Prices!$A:$A,0))*AA$436</f>
        <v>0.393875990007302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0.43808815586189298</v>
      </c>
      <c r="AD420" s="18">
        <f>AD410+INDEX(Data_Prices!AD:AD,MATCH($G420,Data_Prices!$A:$A,0))*AD$436</f>
        <v>0.46019423878918903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61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0.45706441406607851</v>
      </c>
      <c r="R421" s="18">
        <f>R411+INDEX(Data_Prices!R:R,MATCH($G421,Data_Prices!$A:$A,0))*R$436</f>
        <v>0.48905324417618701</v>
      </c>
      <c r="S421" s="18">
        <f>S411+INDEX(Data_Prices!S:S,MATCH($G421,Data_Prices!$A:$A,0))*S$436</f>
        <v>0.52104207428629556</v>
      </c>
      <c r="T421" s="18">
        <f>T411+INDEX(Data_Prices!T:T,MATCH($G421,Data_Prices!$A:$A,0))*T$436</f>
        <v>0.55303090439640401</v>
      </c>
      <c r="U421" s="18">
        <f>U411+INDEX(Data_Prices!U:U,MATCH($G421,Data_Prices!$A:$A,0))*U$436</f>
        <v>0.58501973450651301</v>
      </c>
      <c r="V421" s="18">
        <f>V411+INDEX(Data_Prices!V:V,MATCH($G421,Data_Prices!$A:$A,0))*V$436</f>
        <v>0.61700856461662101</v>
      </c>
      <c r="W421" s="18">
        <f>W411+INDEX(Data_Prices!W:W,MATCH($G421,Data_Prices!$A:$A,0))*W$436</f>
        <v>0.64899739472673001</v>
      </c>
      <c r="X421" s="18">
        <f>X411+INDEX(Data_Prices!X:X,MATCH($G421,Data_Prices!$A:$A,0))*X$436</f>
        <v>0.68098622483683802</v>
      </c>
      <c r="Y421" s="18">
        <f>Y411+INDEX(Data_Prices!Y:Y,MATCH($G421,Data_Prices!$A:$A,0))*Y$436</f>
        <v>0.71297505494694702</v>
      </c>
      <c r="Z421" s="18">
        <f>Z411+INDEX(Data_Prices!Z:Z,MATCH($G421,Data_Prices!$A:$A,0))*Z$436</f>
        <v>0.74496388505705502</v>
      </c>
      <c r="AA421" s="18">
        <f>AA411+INDEX(Data_Prices!AA:AA,MATCH($G421,Data_Prices!$A:$A,0))*AA$436</f>
        <v>0.77695271516716302</v>
      </c>
      <c r="AB421" s="18">
        <f>AB411+INDEX(Data_Prices!AB:AB,MATCH($G421,Data_Prices!$A:$A,0))*AB$436</f>
        <v>0.80894154527727202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0.87291920549748903</v>
      </c>
      <c r="AE421" s="18">
        <f>AE411+INDEX(Data_Prices!AE:AE,MATCH($G421,Data_Prices!$A:$A,0))*AE$436</f>
        <v>0.90490803560759703</v>
      </c>
    </row>
    <row r="422" spans="2:31" x14ac:dyDescent="0.45">
      <c r="B422" s="14" t="s">
        <v>64</v>
      </c>
      <c r="C422" s="14" t="str">
        <f t="shared" si="61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46.725609739410061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87.798459739410063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61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61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62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62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7.1746845864040694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8.5696845864040689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13.452184586404069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62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0.77715015920690589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0.95071721823590594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1.0375007477504059</v>
      </c>
    </row>
    <row r="429" spans="2:31" x14ac:dyDescent="0.45">
      <c r="B429" s="14" t="s">
        <v>58</v>
      </c>
      <c r="C429" s="14" t="str">
        <f t="shared" si="62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62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0.17281516073434472</v>
      </c>
      <c r="R430" s="19">
        <f>R420+INDEX(Data_Prices!R:R,MATCH($G430,Data_Prices!$A:$A,0))*R$437</f>
        <v>0.1949212436616404</v>
      </c>
      <c r="S430" s="19">
        <f>S420+INDEX(Data_Prices!S:S,MATCH($G430,Data_Prices!$A:$A,0))*S$437</f>
        <v>0.21702732658893611</v>
      </c>
      <c r="T430" s="19">
        <f>T420+INDEX(Data_Prices!T:T,MATCH($G430,Data_Prices!$A:$A,0))*T$437</f>
        <v>0.2391334095162318</v>
      </c>
      <c r="U430" s="19">
        <f>U420+INDEX(Data_Prices!U:U,MATCH($G430,Data_Prices!$A:$A,0))*U$437</f>
        <v>0.26123949244352801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0.30545165829811904</v>
      </c>
      <c r="X430" s="19">
        <f>X420+INDEX(Data_Prices!X:X,MATCH($G430,Data_Prices!$A:$A,0))*X$437</f>
        <v>0.32755774122541503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0.37176990708000601</v>
      </c>
      <c r="AA430" s="19">
        <f>AA420+INDEX(Data_Prices!AA:AA,MATCH($G430,Data_Prices!$A:$A,0))*AA$437</f>
        <v>0.393875990007302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0.43808815586189298</v>
      </c>
      <c r="AD430" s="19">
        <f>AD420+INDEX(Data_Prices!AD:AD,MATCH($G430,Data_Prices!$A:$A,0))*AD$437</f>
        <v>0.46019423878918903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62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0.45706441406607851</v>
      </c>
      <c r="R431" s="19">
        <f>R421+INDEX(Data_Prices!R:R,MATCH($G431,Data_Prices!$A:$A,0))*R$437</f>
        <v>0.48905324417618701</v>
      </c>
      <c r="S431" s="19">
        <f>S421+INDEX(Data_Prices!S:S,MATCH($G431,Data_Prices!$A:$A,0))*S$437</f>
        <v>0.52104207428629556</v>
      </c>
      <c r="T431" s="19">
        <f>T421+INDEX(Data_Prices!T:T,MATCH($G431,Data_Prices!$A:$A,0))*T$437</f>
        <v>0.55303090439640401</v>
      </c>
      <c r="U431" s="19">
        <f>U421+INDEX(Data_Prices!U:U,MATCH($G431,Data_Prices!$A:$A,0))*U$437</f>
        <v>0.58501973450651301</v>
      </c>
      <c r="V431" s="19">
        <f>V421+INDEX(Data_Prices!V:V,MATCH($G431,Data_Prices!$A:$A,0))*V$437</f>
        <v>0.61700856461662101</v>
      </c>
      <c r="W431" s="19">
        <f>W421+INDEX(Data_Prices!W:W,MATCH($G431,Data_Prices!$A:$A,0))*W$437</f>
        <v>0.64899739472673001</v>
      </c>
      <c r="X431" s="19">
        <f>X421+INDEX(Data_Prices!X:X,MATCH($G431,Data_Prices!$A:$A,0))*X$437</f>
        <v>0.68098622483683802</v>
      </c>
      <c r="Y431" s="19">
        <f>Y421+INDEX(Data_Prices!Y:Y,MATCH($G431,Data_Prices!$A:$A,0))*Y$437</f>
        <v>0.71297505494694702</v>
      </c>
      <c r="Z431" s="19">
        <f>Z421+INDEX(Data_Prices!Z:Z,MATCH($G431,Data_Prices!$A:$A,0))*Z$437</f>
        <v>0.74496388505705502</v>
      </c>
      <c r="AA431" s="19">
        <f>AA421+INDEX(Data_Prices!AA:AA,MATCH($G431,Data_Prices!$A:$A,0))*AA$437</f>
        <v>0.77695271516716302</v>
      </c>
      <c r="AB431" s="19">
        <f>AB421+INDEX(Data_Prices!AB:AB,MATCH($G431,Data_Prices!$A:$A,0))*AB$437</f>
        <v>0.80894154527727202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0.87291920549748903</v>
      </c>
      <c r="AE431" s="19">
        <f>AE421+INDEX(Data_Prices!AE:AE,MATCH($G431,Data_Prices!$A:$A,0))*AE$437</f>
        <v>0.90490803560759703</v>
      </c>
    </row>
    <row r="432" spans="2:31" x14ac:dyDescent="0.45">
      <c r="B432" s="14" t="s">
        <v>64</v>
      </c>
      <c r="C432" s="14" t="str">
        <f t="shared" si="62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46.725609739410061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87.798459739410063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62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62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63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63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63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63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63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63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63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63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63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64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65">L453*(1+M$438)^($E443*M$439)*(1+M$440)*IF(L416&lt;=0,1,M416/L416)^$F443*(IF(L426&lt;=0,1,M426/L426)^$G443/(1+$H443+$I443))^(1+$F443)</f>
        <v>189.45265610688699</v>
      </c>
      <c r="N453" s="24">
        <f t="shared" si="65"/>
        <v>217.72883870914094</v>
      </c>
      <c r="O453" s="24">
        <f t="shared" si="65"/>
        <v>237.89793015048883</v>
      </c>
      <c r="P453" s="24">
        <f t="shared" si="65"/>
        <v>232.65006903124424</v>
      </c>
      <c r="Q453" s="24">
        <f t="shared" si="65"/>
        <v>218.61847136811463</v>
      </c>
      <c r="R453" s="24">
        <f t="shared" si="65"/>
        <v>210.28498690349488</v>
      </c>
      <c r="S453" s="24">
        <f t="shared" si="65"/>
        <v>203.14643963897521</v>
      </c>
      <c r="T453" s="24">
        <f t="shared" si="65"/>
        <v>196.84230886321788</v>
      </c>
      <c r="U453" s="24">
        <f t="shared" si="65"/>
        <v>191.39075749537983</v>
      </c>
      <c r="V453" s="24">
        <f t="shared" si="65"/>
        <v>186.2178811492559</v>
      </c>
      <c r="W453" s="24">
        <f t="shared" si="65"/>
        <v>181.78008799508211</v>
      </c>
      <c r="X453" s="24">
        <f t="shared" si="65"/>
        <v>177.97349187208462</v>
      </c>
      <c r="Y453" s="24">
        <f t="shared" si="65"/>
        <v>174.72635256308322</v>
      </c>
      <c r="Z453" s="24">
        <f t="shared" si="65"/>
        <v>171.99928670368777</v>
      </c>
      <c r="AA453" s="24">
        <f t="shared" si="65"/>
        <v>169.74391219112042</v>
      </c>
      <c r="AB453" s="24">
        <f t="shared" si="65"/>
        <v>167.91465652501745</v>
      </c>
      <c r="AC453" s="24">
        <f t="shared" si="65"/>
        <v>166.45600964782685</v>
      </c>
      <c r="AD453" s="24">
        <f t="shared" si="65"/>
        <v>165.32123471166477</v>
      </c>
      <c r="AE453" s="24">
        <f t="shared" si="65"/>
        <v>164.47316873515103</v>
      </c>
    </row>
    <row r="454" spans="1:35" x14ac:dyDescent="0.45">
      <c r="B454" s="14" t="s">
        <v>53</v>
      </c>
      <c r="C454" s="14" t="str">
        <f t="shared" si="64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66">L454*(1+M$438)^($E444*M$439)*(1+M$440)*IF(L417&lt;=0,1,M417/L417)^$F444*(IF(L427&lt;=0,1,M427/L427)^$G444/(1+$H444+$I444))^(1+$F444)</f>
        <v>1431.7775208824874</v>
      </c>
      <c r="N454" s="24">
        <f t="shared" si="66"/>
        <v>1603.1180815212331</v>
      </c>
      <c r="O454" s="24">
        <f t="shared" si="66"/>
        <v>1666.4691074748598</v>
      </c>
      <c r="P454" s="24">
        <f t="shared" si="66"/>
        <v>1729.0519522219979</v>
      </c>
      <c r="Q454" s="24">
        <f t="shared" si="66"/>
        <v>1637.7863258003924</v>
      </c>
      <c r="R454" s="24">
        <f t="shared" si="66"/>
        <v>1578.6642302926864</v>
      </c>
      <c r="S454" s="24">
        <f t="shared" si="66"/>
        <v>1529.186426457856</v>
      </c>
      <c r="T454" s="24">
        <f t="shared" si="66"/>
        <v>1485.5462441642114</v>
      </c>
      <c r="U454" s="24">
        <f t="shared" si="66"/>
        <v>1450.0773513762756</v>
      </c>
      <c r="V454" s="24">
        <f t="shared" si="66"/>
        <v>1421.6889075958395</v>
      </c>
      <c r="W454" s="24">
        <f t="shared" si="66"/>
        <v>1399.5811578972728</v>
      </c>
      <c r="X454" s="24">
        <f t="shared" si="66"/>
        <v>1383.0540457815332</v>
      </c>
      <c r="Y454" s="24">
        <f t="shared" si="66"/>
        <v>1371.7254363432976</v>
      </c>
      <c r="Z454" s="24">
        <f t="shared" si="66"/>
        <v>1365.5951108489828</v>
      </c>
      <c r="AA454" s="24">
        <f t="shared" si="66"/>
        <v>1364.4341895239875</v>
      </c>
      <c r="AB454" s="24">
        <f t="shared" si="66"/>
        <v>1367.9863527047883</v>
      </c>
      <c r="AC454" s="24">
        <f t="shared" si="66"/>
        <v>1375.7703000424297</v>
      </c>
      <c r="AD454" s="24">
        <f t="shared" si="66"/>
        <v>1387.3865840128028</v>
      </c>
      <c r="AE454" s="24">
        <f t="shared" si="66"/>
        <v>1402.5434936424012</v>
      </c>
    </row>
    <row r="455" spans="1:35" x14ac:dyDescent="0.45">
      <c r="B455" s="14" t="s">
        <v>55</v>
      </c>
      <c r="C455" s="14" t="str">
        <f t="shared" si="64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67">L455*(1+M$438)^($E445*M$439)*(1+M$440)*IF(L418&lt;=0,1,M418/L418)^$F445*(IF(L428&lt;=0,1,M428/L428)^$G445/(1+$H445+$I445))^(1+$F445)</f>
        <v>0</v>
      </c>
      <c r="N455" s="24">
        <f t="shared" si="67"/>
        <v>0</v>
      </c>
      <c r="O455" s="24">
        <f t="shared" si="67"/>
        <v>0</v>
      </c>
      <c r="P455" s="24">
        <f t="shared" si="67"/>
        <v>0</v>
      </c>
      <c r="Q455" s="24">
        <f t="shared" si="67"/>
        <v>0</v>
      </c>
      <c r="R455" s="24">
        <f t="shared" si="67"/>
        <v>0</v>
      </c>
      <c r="S455" s="24">
        <f t="shared" si="67"/>
        <v>0</v>
      </c>
      <c r="T455" s="24">
        <f t="shared" si="67"/>
        <v>0</v>
      </c>
      <c r="U455" s="24">
        <f t="shared" si="67"/>
        <v>0</v>
      </c>
      <c r="V455" s="24">
        <f t="shared" si="67"/>
        <v>0</v>
      </c>
      <c r="W455" s="24">
        <f t="shared" si="67"/>
        <v>0</v>
      </c>
      <c r="X455" s="24">
        <f t="shared" si="67"/>
        <v>0</v>
      </c>
      <c r="Y455" s="24">
        <f t="shared" si="67"/>
        <v>0</v>
      </c>
      <c r="Z455" s="24">
        <f t="shared" si="67"/>
        <v>0</v>
      </c>
      <c r="AA455" s="24">
        <f t="shared" si="67"/>
        <v>0</v>
      </c>
      <c r="AB455" s="24">
        <f t="shared" si="67"/>
        <v>0</v>
      </c>
      <c r="AC455" s="24">
        <f t="shared" si="67"/>
        <v>0</v>
      </c>
      <c r="AD455" s="24">
        <f t="shared" si="67"/>
        <v>0</v>
      </c>
      <c r="AE455" s="24">
        <f t="shared" si="67"/>
        <v>0</v>
      </c>
    </row>
    <row r="456" spans="1:35" x14ac:dyDescent="0.45">
      <c r="B456" s="14" t="s">
        <v>58</v>
      </c>
      <c r="C456" s="14" t="str">
        <f t="shared" si="64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68">L456*(1+M$438)^($E446*M$439)*(1+M$440)*IF(L419&lt;=0,1,M419/L419)^$F446*(IF(L429&lt;=0,1,M429/L429)^$G446/(1+$H446+$I446))^(1+$F446)</f>
        <v>0</v>
      </c>
      <c r="N456" s="24">
        <f t="shared" si="68"/>
        <v>0</v>
      </c>
      <c r="O456" s="24">
        <f t="shared" si="68"/>
        <v>0</v>
      </c>
      <c r="P456" s="24">
        <f t="shared" si="68"/>
        <v>0</v>
      </c>
      <c r="Q456" s="24">
        <f t="shared" si="68"/>
        <v>0</v>
      </c>
      <c r="R456" s="24">
        <f t="shared" si="68"/>
        <v>0</v>
      </c>
      <c r="S456" s="24">
        <f t="shared" si="68"/>
        <v>0</v>
      </c>
      <c r="T456" s="24">
        <f t="shared" si="68"/>
        <v>0</v>
      </c>
      <c r="U456" s="24">
        <f t="shared" si="68"/>
        <v>0</v>
      </c>
      <c r="V456" s="24">
        <f t="shared" si="68"/>
        <v>0</v>
      </c>
      <c r="W456" s="24">
        <f t="shared" si="68"/>
        <v>0</v>
      </c>
      <c r="X456" s="24">
        <f t="shared" si="68"/>
        <v>0</v>
      </c>
      <c r="Y456" s="24">
        <f t="shared" si="68"/>
        <v>0</v>
      </c>
      <c r="Z456" s="24">
        <f t="shared" si="68"/>
        <v>0</v>
      </c>
      <c r="AA456" s="24">
        <f t="shared" si="68"/>
        <v>0</v>
      </c>
      <c r="AB456" s="24">
        <f t="shared" si="68"/>
        <v>0</v>
      </c>
      <c r="AC456" s="24">
        <f t="shared" si="68"/>
        <v>0</v>
      </c>
      <c r="AD456" s="24">
        <f t="shared" si="68"/>
        <v>0</v>
      </c>
      <c r="AE456" s="24">
        <f t="shared" si="68"/>
        <v>0</v>
      </c>
    </row>
    <row r="457" spans="1:35" x14ac:dyDescent="0.45">
      <c r="B457" s="14" t="s">
        <v>60</v>
      </c>
      <c r="C457" s="14" t="str">
        <f t="shared" si="64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69">L457*(1+M$438)^($E447*M$439)*(1+M$440)*IF(L420&lt;=0,1,M420/L420)^$F447*(IF(L430&lt;=0,1,M430/L430)^$G447/(1+$H447+$I447))^(1+$F447)</f>
        <v>0</v>
      </c>
      <c r="N457" s="24">
        <f t="shared" si="69"/>
        <v>0</v>
      </c>
      <c r="O457" s="24">
        <f t="shared" si="69"/>
        <v>0</v>
      </c>
      <c r="P457" s="24">
        <f t="shared" si="69"/>
        <v>0</v>
      </c>
      <c r="Q457" s="24">
        <f t="shared" si="69"/>
        <v>0</v>
      </c>
      <c r="R457" s="24">
        <f t="shared" si="69"/>
        <v>0</v>
      </c>
      <c r="S457" s="24">
        <f t="shared" si="69"/>
        <v>0</v>
      </c>
      <c r="T457" s="24">
        <f t="shared" si="69"/>
        <v>0</v>
      </c>
      <c r="U457" s="24">
        <f t="shared" si="69"/>
        <v>0</v>
      </c>
      <c r="V457" s="24">
        <f t="shared" si="69"/>
        <v>0</v>
      </c>
      <c r="W457" s="24">
        <f t="shared" si="69"/>
        <v>0</v>
      </c>
      <c r="X457" s="24">
        <f t="shared" si="69"/>
        <v>0</v>
      </c>
      <c r="Y457" s="24">
        <f t="shared" si="69"/>
        <v>0</v>
      </c>
      <c r="Z457" s="24">
        <f t="shared" si="69"/>
        <v>0</v>
      </c>
      <c r="AA457" s="24">
        <f t="shared" si="69"/>
        <v>0</v>
      </c>
      <c r="AB457" s="24">
        <f t="shared" si="69"/>
        <v>0</v>
      </c>
      <c r="AC457" s="24">
        <f t="shared" si="69"/>
        <v>0</v>
      </c>
      <c r="AD457" s="24">
        <f t="shared" si="69"/>
        <v>0</v>
      </c>
      <c r="AE457" s="24">
        <f t="shared" si="69"/>
        <v>0</v>
      </c>
    </row>
    <row r="458" spans="1:35" x14ac:dyDescent="0.45">
      <c r="B458" s="14" t="s">
        <v>62</v>
      </c>
      <c r="C458" s="14" t="str">
        <f t="shared" si="64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70">L458*(1+M$438)^($E448*M$439)*(1+M$440)*IF(L421&lt;=0,1,M421/L421)^$F448*(IF(L431&lt;=0,1,M431/L431)^$G448/(1+$H448+$I448))^(1+$F448)</f>
        <v>0</v>
      </c>
      <c r="N458" s="24">
        <f t="shared" si="70"/>
        <v>0</v>
      </c>
      <c r="O458" s="24">
        <f t="shared" si="70"/>
        <v>0</v>
      </c>
      <c r="P458" s="24">
        <f t="shared" si="70"/>
        <v>0</v>
      </c>
      <c r="Q458" s="24">
        <f t="shared" si="70"/>
        <v>0</v>
      </c>
      <c r="R458" s="24">
        <f t="shared" si="70"/>
        <v>0</v>
      </c>
      <c r="S458" s="24">
        <f t="shared" si="70"/>
        <v>0</v>
      </c>
      <c r="T458" s="24">
        <f t="shared" si="70"/>
        <v>0</v>
      </c>
      <c r="U458" s="24">
        <f t="shared" si="70"/>
        <v>0</v>
      </c>
      <c r="V458" s="24">
        <f t="shared" si="70"/>
        <v>0</v>
      </c>
      <c r="W458" s="24">
        <f t="shared" si="70"/>
        <v>0</v>
      </c>
      <c r="X458" s="24">
        <f t="shared" si="70"/>
        <v>0</v>
      </c>
      <c r="Y458" s="24">
        <f t="shared" si="70"/>
        <v>0</v>
      </c>
      <c r="Z458" s="24">
        <f t="shared" si="70"/>
        <v>0</v>
      </c>
      <c r="AA458" s="24">
        <f t="shared" si="70"/>
        <v>0</v>
      </c>
      <c r="AB458" s="24">
        <f t="shared" si="70"/>
        <v>0</v>
      </c>
      <c r="AC458" s="24">
        <f t="shared" si="70"/>
        <v>0</v>
      </c>
      <c r="AD458" s="24">
        <f t="shared" si="70"/>
        <v>0</v>
      </c>
      <c r="AE458" s="24">
        <f t="shared" si="70"/>
        <v>0</v>
      </c>
    </row>
    <row r="459" spans="1:35" x14ac:dyDescent="0.45">
      <c r="B459" s="14" t="s">
        <v>64</v>
      </c>
      <c r="C459" s="14" t="str">
        <f t="shared" si="64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71">L459*(1+M$438)^($E449*M$439)*(1+M$440)*IF(L422&lt;=0,1,M422/L422)^$F449*(IF(L432&lt;=0,1,M432/L432)^$G449/(1+$H449+$I449))^(1+$F449)</f>
        <v>0</v>
      </c>
      <c r="N459" s="24">
        <f t="shared" si="71"/>
        <v>0</v>
      </c>
      <c r="O459" s="24">
        <f t="shared" si="71"/>
        <v>0</v>
      </c>
      <c r="P459" s="24">
        <f t="shared" si="71"/>
        <v>0</v>
      </c>
      <c r="Q459" s="24">
        <f t="shared" si="71"/>
        <v>0</v>
      </c>
      <c r="R459" s="24">
        <f t="shared" si="71"/>
        <v>0</v>
      </c>
      <c r="S459" s="24">
        <f t="shared" si="71"/>
        <v>0</v>
      </c>
      <c r="T459" s="24">
        <f t="shared" si="71"/>
        <v>0</v>
      </c>
      <c r="U459" s="24">
        <f t="shared" si="71"/>
        <v>0</v>
      </c>
      <c r="V459" s="24">
        <f t="shared" si="71"/>
        <v>0</v>
      </c>
      <c r="W459" s="24">
        <f t="shared" si="71"/>
        <v>0</v>
      </c>
      <c r="X459" s="24">
        <f t="shared" si="71"/>
        <v>0</v>
      </c>
      <c r="Y459" s="24">
        <f t="shared" si="71"/>
        <v>0</v>
      </c>
      <c r="Z459" s="24">
        <f t="shared" si="71"/>
        <v>0</v>
      </c>
      <c r="AA459" s="24">
        <f t="shared" si="71"/>
        <v>0</v>
      </c>
      <c r="AB459" s="24">
        <f t="shared" si="71"/>
        <v>0</v>
      </c>
      <c r="AC459" s="24">
        <f t="shared" si="71"/>
        <v>0</v>
      </c>
      <c r="AD459" s="24">
        <f t="shared" si="71"/>
        <v>0</v>
      </c>
      <c r="AE459" s="24">
        <f t="shared" si="71"/>
        <v>0</v>
      </c>
    </row>
    <row r="460" spans="1:35" x14ac:dyDescent="0.45">
      <c r="B460" s="14" t="s">
        <v>67</v>
      </c>
      <c r="C460" s="14" t="str">
        <f t="shared" si="64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72">L460*(1+M$438)^($E450*M$439)*(1+M$440)*IF(L423&lt;=0,1,M423/L423)^$F450*(IF(L433&lt;=0,1,M433/L433)^$G450/(1+$H450+$I450))^(1+$F450)</f>
        <v>0</v>
      </c>
      <c r="N460" s="24">
        <f t="shared" si="72"/>
        <v>0</v>
      </c>
      <c r="O460" s="24">
        <f t="shared" si="72"/>
        <v>0</v>
      </c>
      <c r="P460" s="24">
        <f t="shared" si="72"/>
        <v>0</v>
      </c>
      <c r="Q460" s="24">
        <f t="shared" si="72"/>
        <v>0</v>
      </c>
      <c r="R460" s="24">
        <f t="shared" si="72"/>
        <v>0</v>
      </c>
      <c r="S460" s="24">
        <f t="shared" si="72"/>
        <v>0</v>
      </c>
      <c r="T460" s="24">
        <f t="shared" si="72"/>
        <v>0</v>
      </c>
      <c r="U460" s="24">
        <f t="shared" si="72"/>
        <v>0</v>
      </c>
      <c r="V460" s="24">
        <f t="shared" si="72"/>
        <v>0</v>
      </c>
      <c r="W460" s="24">
        <f t="shared" si="72"/>
        <v>0</v>
      </c>
      <c r="X460" s="24">
        <f t="shared" si="72"/>
        <v>0</v>
      </c>
      <c r="Y460" s="24">
        <f t="shared" si="72"/>
        <v>0</v>
      </c>
      <c r="Z460" s="24">
        <f t="shared" si="72"/>
        <v>0</v>
      </c>
      <c r="AA460" s="24">
        <f t="shared" si="72"/>
        <v>0</v>
      </c>
      <c r="AB460" s="24">
        <f t="shared" si="72"/>
        <v>0</v>
      </c>
      <c r="AC460" s="24">
        <f t="shared" si="72"/>
        <v>0</v>
      </c>
      <c r="AD460" s="24">
        <f t="shared" si="72"/>
        <v>0</v>
      </c>
      <c r="AE460" s="24">
        <f t="shared" si="72"/>
        <v>0</v>
      </c>
    </row>
    <row r="461" spans="1:35" x14ac:dyDescent="0.45">
      <c r="B461" s="14" t="s">
        <v>69</v>
      </c>
      <c r="C461" s="14" t="str">
        <f t="shared" si="64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73">L461*(1+M$438)^($E451*M$439)*(1+M$440)*IF(L424&lt;=0,1,M424/L424)^$F451*(IF(L434&lt;=0,1,M434/L434)^$G451/(1+$H451+$I451))^(1+$F451)</f>
        <v>0</v>
      </c>
      <c r="N461" s="24">
        <f t="shared" si="73"/>
        <v>0</v>
      </c>
      <c r="O461" s="24">
        <f t="shared" si="73"/>
        <v>0</v>
      </c>
      <c r="P461" s="24">
        <f t="shared" si="73"/>
        <v>0</v>
      </c>
      <c r="Q461" s="24">
        <f t="shared" si="73"/>
        <v>0</v>
      </c>
      <c r="R461" s="24">
        <f t="shared" si="73"/>
        <v>0</v>
      </c>
      <c r="S461" s="24">
        <f t="shared" si="73"/>
        <v>0</v>
      </c>
      <c r="T461" s="24">
        <f t="shared" si="73"/>
        <v>0</v>
      </c>
      <c r="U461" s="24">
        <f t="shared" si="73"/>
        <v>0</v>
      </c>
      <c r="V461" s="24">
        <f t="shared" si="73"/>
        <v>0</v>
      </c>
      <c r="W461" s="24">
        <f t="shared" si="73"/>
        <v>0</v>
      </c>
      <c r="X461" s="24">
        <f t="shared" si="73"/>
        <v>0</v>
      </c>
      <c r="Y461" s="24">
        <f t="shared" si="73"/>
        <v>0</v>
      </c>
      <c r="Z461" s="24">
        <f t="shared" si="73"/>
        <v>0</v>
      </c>
      <c r="AA461" s="24">
        <f t="shared" si="73"/>
        <v>0</v>
      </c>
      <c r="AB461" s="24">
        <f t="shared" si="73"/>
        <v>0</v>
      </c>
      <c r="AC461" s="24">
        <f t="shared" si="73"/>
        <v>0</v>
      </c>
      <c r="AD461" s="24">
        <f t="shared" si="73"/>
        <v>0</v>
      </c>
      <c r="AE461" s="24">
        <f t="shared" si="73"/>
        <v>0</v>
      </c>
    </row>
    <row r="462" spans="1:35" x14ac:dyDescent="0.45">
      <c r="B462" s="14" t="s">
        <v>110</v>
      </c>
      <c r="C462" s="14" t="str">
        <f t="shared" si="64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74">SUM(L453:L461)</f>
        <v>1901.7140738122609</v>
      </c>
      <c r="M462" s="26">
        <f t="shared" si="74"/>
        <v>1621.2301769893743</v>
      </c>
      <c r="N462" s="26">
        <f t="shared" si="74"/>
        <v>1820.8469202303741</v>
      </c>
      <c r="O462" s="26">
        <f t="shared" si="74"/>
        <v>1904.3670376253485</v>
      </c>
      <c r="P462" s="26">
        <f t="shared" si="74"/>
        <v>1961.702021253242</v>
      </c>
      <c r="Q462" s="26">
        <f t="shared" si="74"/>
        <v>1856.404797168507</v>
      </c>
      <c r="R462" s="26">
        <f t="shared" si="74"/>
        <v>1788.9492171961813</v>
      </c>
      <c r="S462" s="26">
        <f t="shared" si="74"/>
        <v>1732.3328660968311</v>
      </c>
      <c r="T462" s="26">
        <f t="shared" si="74"/>
        <v>1682.3885530274292</v>
      </c>
      <c r="U462" s="26">
        <f t="shared" si="74"/>
        <v>1641.4681088716554</v>
      </c>
      <c r="V462" s="26">
        <f t="shared" si="74"/>
        <v>1607.9067887450954</v>
      </c>
      <c r="W462" s="26">
        <f t="shared" si="74"/>
        <v>1581.3612458923549</v>
      </c>
      <c r="X462" s="26">
        <f t="shared" si="74"/>
        <v>1561.0275376536179</v>
      </c>
      <c r="Y462" s="26">
        <f t="shared" si="74"/>
        <v>1546.4517889063809</v>
      </c>
      <c r="Z462" s="26">
        <f t="shared" si="74"/>
        <v>1537.5943975526707</v>
      </c>
      <c r="AA462" s="26">
        <f t="shared" si="74"/>
        <v>1534.1781017151079</v>
      </c>
      <c r="AB462" s="26">
        <f t="shared" si="74"/>
        <v>1535.9010092298058</v>
      </c>
      <c r="AC462" s="26">
        <f t="shared" si="74"/>
        <v>1542.2263096902566</v>
      </c>
      <c r="AD462" s="26">
        <f t="shared" si="74"/>
        <v>1552.7078187244676</v>
      </c>
      <c r="AE462" s="26">
        <f t="shared" si="74"/>
        <v>1567.0166623775522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75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75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75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75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75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75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75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75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75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76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76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7.1746845864040694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8.5696845864040689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13.452184586404069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76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0.77715015920690589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0.95071721823590594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1.0375007477504059</v>
      </c>
    </row>
    <row r="479" spans="2:31" x14ac:dyDescent="0.45">
      <c r="B479" s="14" t="s">
        <v>58</v>
      </c>
      <c r="C479" s="14" t="str">
        <f t="shared" si="76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76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0.17281516073434472</v>
      </c>
      <c r="R480" s="18">
        <f>R470+INDEX(Data_Prices!R:R,MATCH($G480,Data_Prices!$A:$A,0))*R$496</f>
        <v>0.1949212436616404</v>
      </c>
      <c r="S480" s="18">
        <f>S470+INDEX(Data_Prices!S:S,MATCH($G480,Data_Prices!$A:$A,0))*S$496</f>
        <v>0.21702732658893611</v>
      </c>
      <c r="T480" s="18">
        <f>T470+INDEX(Data_Prices!T:T,MATCH($G480,Data_Prices!$A:$A,0))*T$496</f>
        <v>0.2391334095162318</v>
      </c>
      <c r="U480" s="18">
        <f>U470+INDEX(Data_Prices!U:U,MATCH($G480,Data_Prices!$A:$A,0))*U$496</f>
        <v>0.26123949244352801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0.30545165829811904</v>
      </c>
      <c r="X480" s="18">
        <f>X470+INDEX(Data_Prices!X:X,MATCH($G480,Data_Prices!$A:$A,0))*X$496</f>
        <v>0.32755774122541503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0.37176990708000601</v>
      </c>
      <c r="AA480" s="18">
        <f>AA470+INDEX(Data_Prices!AA:AA,MATCH($G480,Data_Prices!$A:$A,0))*AA$496</f>
        <v>0.393875990007302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0.43808815586189298</v>
      </c>
      <c r="AD480" s="18">
        <f>AD470+INDEX(Data_Prices!AD:AD,MATCH($G480,Data_Prices!$A:$A,0))*AD$496</f>
        <v>0.46019423878918903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76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0.45706441406607851</v>
      </c>
      <c r="R481" s="18">
        <f>R471+INDEX(Data_Prices!R:R,MATCH($G481,Data_Prices!$A:$A,0))*R$496</f>
        <v>0.48905324417618701</v>
      </c>
      <c r="S481" s="18">
        <f>S471+INDEX(Data_Prices!S:S,MATCH($G481,Data_Prices!$A:$A,0))*S$496</f>
        <v>0.52104207428629556</v>
      </c>
      <c r="T481" s="18">
        <f>T471+INDEX(Data_Prices!T:T,MATCH($G481,Data_Prices!$A:$A,0))*T$496</f>
        <v>0.55303090439640401</v>
      </c>
      <c r="U481" s="18">
        <f>U471+INDEX(Data_Prices!U:U,MATCH($G481,Data_Prices!$A:$A,0))*U$496</f>
        <v>0.58501973450651301</v>
      </c>
      <c r="V481" s="18">
        <f>V471+INDEX(Data_Prices!V:V,MATCH($G481,Data_Prices!$A:$A,0))*V$496</f>
        <v>0.61700856461662101</v>
      </c>
      <c r="W481" s="18">
        <f>W471+INDEX(Data_Prices!W:W,MATCH($G481,Data_Prices!$A:$A,0))*W$496</f>
        <v>0.64899739472673001</v>
      </c>
      <c r="X481" s="18">
        <f>X471+INDEX(Data_Prices!X:X,MATCH($G481,Data_Prices!$A:$A,0))*X$496</f>
        <v>0.68098622483683802</v>
      </c>
      <c r="Y481" s="18">
        <f>Y471+INDEX(Data_Prices!Y:Y,MATCH($G481,Data_Prices!$A:$A,0))*Y$496</f>
        <v>0.71297505494694702</v>
      </c>
      <c r="Z481" s="18">
        <f>Z471+INDEX(Data_Prices!Z:Z,MATCH($G481,Data_Prices!$A:$A,0))*Z$496</f>
        <v>0.74496388505705502</v>
      </c>
      <c r="AA481" s="18">
        <f>AA471+INDEX(Data_Prices!AA:AA,MATCH($G481,Data_Prices!$A:$A,0))*AA$496</f>
        <v>0.77695271516716302</v>
      </c>
      <c r="AB481" s="18">
        <f>AB471+INDEX(Data_Prices!AB:AB,MATCH($G481,Data_Prices!$A:$A,0))*AB$496</f>
        <v>0.80894154527727202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0.87291920549748903</v>
      </c>
      <c r="AE481" s="18">
        <f>AE471+INDEX(Data_Prices!AE:AE,MATCH($G481,Data_Prices!$A:$A,0))*AE$496</f>
        <v>0.90490803560759703</v>
      </c>
    </row>
    <row r="482" spans="2:31" x14ac:dyDescent="0.45">
      <c r="B482" s="14" t="s">
        <v>64</v>
      </c>
      <c r="C482" s="14" t="str">
        <f t="shared" si="76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46.725609739410061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87.798459739410063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76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76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77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77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7.1746845864040694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8.5696845864040689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13.452184586404069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77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0.77715015920690589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0.95071721823590594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1.0375007477504059</v>
      </c>
    </row>
    <row r="489" spans="2:31" x14ac:dyDescent="0.45">
      <c r="B489" s="14" t="s">
        <v>58</v>
      </c>
      <c r="C489" s="14" t="str">
        <f t="shared" si="77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77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0.17281516073434472</v>
      </c>
      <c r="R490" s="19">
        <f>R480+INDEX(Data_Prices!R:R,MATCH($G490,Data_Prices!$A:$A,0))*R$497</f>
        <v>0.1949212436616404</v>
      </c>
      <c r="S490" s="19">
        <f>S480+INDEX(Data_Prices!S:S,MATCH($G490,Data_Prices!$A:$A,0))*S$497</f>
        <v>0.21702732658893611</v>
      </c>
      <c r="T490" s="19">
        <f>T480+INDEX(Data_Prices!T:T,MATCH($G490,Data_Prices!$A:$A,0))*T$497</f>
        <v>0.2391334095162318</v>
      </c>
      <c r="U490" s="19">
        <f>U480+INDEX(Data_Prices!U:U,MATCH($G490,Data_Prices!$A:$A,0))*U$497</f>
        <v>0.26123949244352801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0.30545165829811904</v>
      </c>
      <c r="X490" s="19">
        <f>X480+INDEX(Data_Prices!X:X,MATCH($G490,Data_Prices!$A:$A,0))*X$497</f>
        <v>0.32755774122541503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0.37176990708000601</v>
      </c>
      <c r="AA490" s="19">
        <f>AA480+INDEX(Data_Prices!AA:AA,MATCH($G490,Data_Prices!$A:$A,0))*AA$497</f>
        <v>0.393875990007302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0.43808815586189298</v>
      </c>
      <c r="AD490" s="19">
        <f>AD480+INDEX(Data_Prices!AD:AD,MATCH($G490,Data_Prices!$A:$A,0))*AD$497</f>
        <v>0.46019423878918903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77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0.45706441406607851</v>
      </c>
      <c r="R491" s="19">
        <f>R481+INDEX(Data_Prices!R:R,MATCH($G491,Data_Prices!$A:$A,0))*R$497</f>
        <v>0.48905324417618701</v>
      </c>
      <c r="S491" s="19">
        <f>S481+INDEX(Data_Prices!S:S,MATCH($G491,Data_Prices!$A:$A,0))*S$497</f>
        <v>0.52104207428629556</v>
      </c>
      <c r="T491" s="19">
        <f>T481+INDEX(Data_Prices!T:T,MATCH($G491,Data_Prices!$A:$A,0))*T$497</f>
        <v>0.55303090439640401</v>
      </c>
      <c r="U491" s="19">
        <f>U481+INDEX(Data_Prices!U:U,MATCH($G491,Data_Prices!$A:$A,0))*U$497</f>
        <v>0.58501973450651301</v>
      </c>
      <c r="V491" s="19">
        <f>V481+INDEX(Data_Prices!V:V,MATCH($G491,Data_Prices!$A:$A,0))*V$497</f>
        <v>0.61700856461662101</v>
      </c>
      <c r="W491" s="19">
        <f>W481+INDEX(Data_Prices!W:W,MATCH($G491,Data_Prices!$A:$A,0))*W$497</f>
        <v>0.64899739472673001</v>
      </c>
      <c r="X491" s="19">
        <f>X481+INDEX(Data_Prices!X:X,MATCH($G491,Data_Prices!$A:$A,0))*X$497</f>
        <v>0.68098622483683802</v>
      </c>
      <c r="Y491" s="19">
        <f>Y481+INDEX(Data_Prices!Y:Y,MATCH($G491,Data_Prices!$A:$A,0))*Y$497</f>
        <v>0.71297505494694702</v>
      </c>
      <c r="Z491" s="19">
        <f>Z481+INDEX(Data_Prices!Z:Z,MATCH($G491,Data_Prices!$A:$A,0))*Z$497</f>
        <v>0.74496388505705502</v>
      </c>
      <c r="AA491" s="19">
        <f>AA481+INDEX(Data_Prices!AA:AA,MATCH($G491,Data_Prices!$A:$A,0))*AA$497</f>
        <v>0.77695271516716302</v>
      </c>
      <c r="AB491" s="19">
        <f>AB481+INDEX(Data_Prices!AB:AB,MATCH($G491,Data_Prices!$A:$A,0))*AB$497</f>
        <v>0.80894154527727202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0.87291920549748903</v>
      </c>
      <c r="AE491" s="19">
        <f>AE481+INDEX(Data_Prices!AE:AE,MATCH($G491,Data_Prices!$A:$A,0))*AE$497</f>
        <v>0.90490803560759703</v>
      </c>
    </row>
    <row r="492" spans="2:31" x14ac:dyDescent="0.45">
      <c r="B492" s="14" t="s">
        <v>64</v>
      </c>
      <c r="C492" s="14" t="str">
        <f t="shared" si="77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46.725609739410061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87.798459739410063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77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77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78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78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78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78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78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78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78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78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78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79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80">L513*(1+M$498)^($E503*M$499)*(1+M$500)*IF(L476&lt;=0,1,M476/L476)^$F503*(IF(L486&lt;=0,1,M486/L486)^$G503/(1+$H503+$I503))^(1+$F503)</f>
        <v>1191.3644362517186</v>
      </c>
      <c r="N513" s="24">
        <f t="shared" si="80"/>
        <v>1369.1779282213379</v>
      </c>
      <c r="O513" s="24">
        <f t="shared" si="80"/>
        <v>1496.0103450821184</v>
      </c>
      <c r="P513" s="24">
        <f t="shared" si="80"/>
        <v>1463.0094084242087</v>
      </c>
      <c r="Q513" s="24">
        <f t="shared" si="80"/>
        <v>1374.7723428524598</v>
      </c>
      <c r="R513" s="24">
        <f t="shared" si="80"/>
        <v>1322.3676037201524</v>
      </c>
      <c r="S513" s="24">
        <f t="shared" si="80"/>
        <v>1277.4771729802817</v>
      </c>
      <c r="T513" s="24">
        <f t="shared" si="80"/>
        <v>1237.8339324892117</v>
      </c>
      <c r="U513" s="24">
        <f t="shared" si="80"/>
        <v>1203.5520989403735</v>
      </c>
      <c r="V513" s="24">
        <f t="shared" si="80"/>
        <v>1171.0227006276741</v>
      </c>
      <c r="W513" s="24">
        <f t="shared" si="80"/>
        <v>1143.1158396315363</v>
      </c>
      <c r="X513" s="24">
        <f t="shared" si="80"/>
        <v>1119.1782325411702</v>
      </c>
      <c r="Y513" s="24">
        <f t="shared" si="80"/>
        <v>1098.7587442542565</v>
      </c>
      <c r="Z513" s="24">
        <f t="shared" si="80"/>
        <v>1081.6097142698629</v>
      </c>
      <c r="AA513" s="24">
        <f t="shared" si="80"/>
        <v>1067.4268939287992</v>
      </c>
      <c r="AB513" s="24">
        <f t="shared" si="80"/>
        <v>1055.9237026292408</v>
      </c>
      <c r="AC513" s="24">
        <f t="shared" si="80"/>
        <v>1046.7510678916517</v>
      </c>
      <c r="AD513" s="24">
        <f t="shared" si="80"/>
        <v>1039.6150871676307</v>
      </c>
      <c r="AE513" s="24">
        <f t="shared" si="80"/>
        <v>1034.2820627341093</v>
      </c>
    </row>
    <row r="514" spans="1:35" x14ac:dyDescent="0.45">
      <c r="B514" s="14" t="s">
        <v>53</v>
      </c>
      <c r="C514" s="14" t="str">
        <f t="shared" si="79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81">L514*(1+M$498)^($E504*M$499)*(1+M$500)*IF(L477&lt;=0,1,M477/L477)^$F504*(IF(L487&lt;=0,1,M487/L487)^$G504/(1+$H504+$I504))^(1+$F504)</f>
        <v>1498.9759731403976</v>
      </c>
      <c r="N514" s="24">
        <f t="shared" si="81"/>
        <v>1678.358160579395</v>
      </c>
      <c r="O514" s="24">
        <f t="shared" si="81"/>
        <v>1744.6824773068638</v>
      </c>
      <c r="P514" s="24">
        <f t="shared" si="81"/>
        <v>1810.2025593297435</v>
      </c>
      <c r="Q514" s="24">
        <f t="shared" si="81"/>
        <v>1714.6535098550225</v>
      </c>
      <c r="R514" s="24">
        <f t="shared" si="81"/>
        <v>1652.7566024408457</v>
      </c>
      <c r="S514" s="24">
        <f t="shared" si="81"/>
        <v>1600.9566278844272</v>
      </c>
      <c r="T514" s="24">
        <f t="shared" si="81"/>
        <v>1555.2682553771394</v>
      </c>
      <c r="U514" s="24">
        <f t="shared" si="81"/>
        <v>1518.1346802877367</v>
      </c>
      <c r="V514" s="24">
        <f t="shared" si="81"/>
        <v>1488.4138650625523</v>
      </c>
      <c r="W514" s="24">
        <f t="shared" si="81"/>
        <v>1465.2685194100186</v>
      </c>
      <c r="X514" s="24">
        <f t="shared" si="81"/>
        <v>1447.9657306697532</v>
      </c>
      <c r="Y514" s="24">
        <f t="shared" si="81"/>
        <v>1436.1054289752967</v>
      </c>
      <c r="Z514" s="24">
        <f t="shared" si="81"/>
        <v>1429.6873853271161</v>
      </c>
      <c r="AA514" s="24">
        <f t="shared" si="81"/>
        <v>1428.4719778022084</v>
      </c>
      <c r="AB514" s="24">
        <f t="shared" si="81"/>
        <v>1432.1908567362852</v>
      </c>
      <c r="AC514" s="24">
        <f t="shared" si="81"/>
        <v>1440.3401326294581</v>
      </c>
      <c r="AD514" s="24">
        <f t="shared" si="81"/>
        <v>1452.5016104532147</v>
      </c>
      <c r="AE514" s="24">
        <f t="shared" si="81"/>
        <v>1468.3698881922207</v>
      </c>
    </row>
    <row r="515" spans="1:35" x14ac:dyDescent="0.45">
      <c r="B515" s="14" t="s">
        <v>55</v>
      </c>
      <c r="C515" s="14" t="str">
        <f t="shared" si="79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82">L515*(1+M$498)^($E505*M$499)*(1+M$500)*IF(L478&lt;=0,1,M478/L478)^$F505*(IF(L488&lt;=0,1,M488/L488)^$G505/(1+$H505+$I505))^(1+$F505)</f>
        <v>0</v>
      </c>
      <c r="N515" s="24">
        <f t="shared" si="82"/>
        <v>0</v>
      </c>
      <c r="O515" s="24">
        <f t="shared" si="82"/>
        <v>0</v>
      </c>
      <c r="P515" s="24">
        <f t="shared" si="82"/>
        <v>0</v>
      </c>
      <c r="Q515" s="24">
        <f t="shared" si="82"/>
        <v>0</v>
      </c>
      <c r="R515" s="24">
        <f t="shared" si="82"/>
        <v>0</v>
      </c>
      <c r="S515" s="24">
        <f t="shared" si="82"/>
        <v>0</v>
      </c>
      <c r="T515" s="24">
        <f t="shared" si="82"/>
        <v>0</v>
      </c>
      <c r="U515" s="24">
        <f t="shared" si="82"/>
        <v>0</v>
      </c>
      <c r="V515" s="24">
        <f t="shared" si="82"/>
        <v>0</v>
      </c>
      <c r="W515" s="24">
        <f t="shared" si="82"/>
        <v>0</v>
      </c>
      <c r="X515" s="24">
        <f t="shared" si="82"/>
        <v>0</v>
      </c>
      <c r="Y515" s="24">
        <f t="shared" si="82"/>
        <v>0</v>
      </c>
      <c r="Z515" s="24">
        <f t="shared" si="82"/>
        <v>0</v>
      </c>
      <c r="AA515" s="24">
        <f t="shared" si="82"/>
        <v>0</v>
      </c>
      <c r="AB515" s="24">
        <f t="shared" si="82"/>
        <v>0</v>
      </c>
      <c r="AC515" s="24">
        <f t="shared" si="82"/>
        <v>0</v>
      </c>
      <c r="AD515" s="24">
        <f t="shared" si="82"/>
        <v>0</v>
      </c>
      <c r="AE515" s="24">
        <f t="shared" si="82"/>
        <v>0</v>
      </c>
    </row>
    <row r="516" spans="1:35" x14ac:dyDescent="0.45">
      <c r="B516" s="14" t="s">
        <v>58</v>
      </c>
      <c r="C516" s="14" t="str">
        <f t="shared" si="79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83">L516*(1+M$498)^($E506*M$499)*(1+M$500)*IF(L479&lt;=0,1,M479/L479)^$F506*(IF(L489&lt;=0,1,M489/L489)^$G506/(1+$H506+$I506))^(1+$F506)</f>
        <v>0</v>
      </c>
      <c r="N516" s="24">
        <f t="shared" si="83"/>
        <v>0</v>
      </c>
      <c r="O516" s="24">
        <f t="shared" si="83"/>
        <v>0</v>
      </c>
      <c r="P516" s="24">
        <f t="shared" si="83"/>
        <v>0</v>
      </c>
      <c r="Q516" s="24">
        <f t="shared" si="83"/>
        <v>0</v>
      </c>
      <c r="R516" s="24">
        <f t="shared" si="83"/>
        <v>0</v>
      </c>
      <c r="S516" s="24">
        <f t="shared" si="83"/>
        <v>0</v>
      </c>
      <c r="T516" s="24">
        <f t="shared" si="83"/>
        <v>0</v>
      </c>
      <c r="U516" s="24">
        <f t="shared" si="83"/>
        <v>0</v>
      </c>
      <c r="V516" s="24">
        <f t="shared" si="83"/>
        <v>0</v>
      </c>
      <c r="W516" s="24">
        <f t="shared" si="83"/>
        <v>0</v>
      </c>
      <c r="X516" s="24">
        <f t="shared" si="83"/>
        <v>0</v>
      </c>
      <c r="Y516" s="24">
        <f t="shared" si="83"/>
        <v>0</v>
      </c>
      <c r="Z516" s="24">
        <f t="shared" si="83"/>
        <v>0</v>
      </c>
      <c r="AA516" s="24">
        <f t="shared" si="83"/>
        <v>0</v>
      </c>
      <c r="AB516" s="24">
        <f t="shared" si="83"/>
        <v>0</v>
      </c>
      <c r="AC516" s="24">
        <f t="shared" si="83"/>
        <v>0</v>
      </c>
      <c r="AD516" s="24">
        <f t="shared" si="83"/>
        <v>0</v>
      </c>
      <c r="AE516" s="24">
        <f t="shared" si="83"/>
        <v>0</v>
      </c>
    </row>
    <row r="517" spans="1:35" x14ac:dyDescent="0.45">
      <c r="B517" s="14" t="s">
        <v>60</v>
      </c>
      <c r="C517" s="14" t="str">
        <f t="shared" si="79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84">L517*(1+M$498)^($E507*M$499)*(1+M$500)*IF(L480&lt;=0,1,M480/L480)^$F507*(IF(L490&lt;=0,1,M490/L490)^$G507/(1+$H507+$I507))^(1+$F507)</f>
        <v>0</v>
      </c>
      <c r="N517" s="24">
        <f t="shared" si="84"/>
        <v>0</v>
      </c>
      <c r="O517" s="24">
        <f t="shared" si="84"/>
        <v>0</v>
      </c>
      <c r="P517" s="24">
        <f t="shared" si="84"/>
        <v>0</v>
      </c>
      <c r="Q517" s="24">
        <f t="shared" si="84"/>
        <v>0</v>
      </c>
      <c r="R517" s="24">
        <f t="shared" si="84"/>
        <v>0</v>
      </c>
      <c r="S517" s="24">
        <f t="shared" si="84"/>
        <v>0</v>
      </c>
      <c r="T517" s="24">
        <f t="shared" si="84"/>
        <v>0</v>
      </c>
      <c r="U517" s="24">
        <f t="shared" si="84"/>
        <v>0</v>
      </c>
      <c r="V517" s="24">
        <f t="shared" si="84"/>
        <v>0</v>
      </c>
      <c r="W517" s="24">
        <f t="shared" si="84"/>
        <v>0</v>
      </c>
      <c r="X517" s="24">
        <f t="shared" si="84"/>
        <v>0</v>
      </c>
      <c r="Y517" s="24">
        <f t="shared" si="84"/>
        <v>0</v>
      </c>
      <c r="Z517" s="24">
        <f t="shared" si="84"/>
        <v>0</v>
      </c>
      <c r="AA517" s="24">
        <f t="shared" si="84"/>
        <v>0</v>
      </c>
      <c r="AB517" s="24">
        <f t="shared" si="84"/>
        <v>0</v>
      </c>
      <c r="AC517" s="24">
        <f t="shared" si="84"/>
        <v>0</v>
      </c>
      <c r="AD517" s="24">
        <f t="shared" si="84"/>
        <v>0</v>
      </c>
      <c r="AE517" s="24">
        <f t="shared" si="84"/>
        <v>0</v>
      </c>
    </row>
    <row r="518" spans="1:35" x14ac:dyDescent="0.45">
      <c r="B518" s="14" t="s">
        <v>62</v>
      </c>
      <c r="C518" s="14" t="str">
        <f t="shared" si="79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85">L518*(1+M$498)^($E508*M$499)*(1+M$500)*IF(L481&lt;=0,1,M481/L481)^$F508*(IF(L491&lt;=0,1,M491/L491)^$G508/(1+$H508+$I508))^(1+$F508)</f>
        <v>0</v>
      </c>
      <c r="N518" s="24">
        <f t="shared" si="85"/>
        <v>0</v>
      </c>
      <c r="O518" s="24">
        <f t="shared" si="85"/>
        <v>0</v>
      </c>
      <c r="P518" s="24">
        <f t="shared" si="85"/>
        <v>0</v>
      </c>
      <c r="Q518" s="24">
        <f t="shared" si="85"/>
        <v>0</v>
      </c>
      <c r="R518" s="24">
        <f t="shared" si="85"/>
        <v>0</v>
      </c>
      <c r="S518" s="24">
        <f t="shared" si="85"/>
        <v>0</v>
      </c>
      <c r="T518" s="24">
        <f t="shared" si="85"/>
        <v>0</v>
      </c>
      <c r="U518" s="24">
        <f t="shared" si="85"/>
        <v>0</v>
      </c>
      <c r="V518" s="24">
        <f t="shared" si="85"/>
        <v>0</v>
      </c>
      <c r="W518" s="24">
        <f t="shared" si="85"/>
        <v>0</v>
      </c>
      <c r="X518" s="24">
        <f t="shared" si="85"/>
        <v>0</v>
      </c>
      <c r="Y518" s="24">
        <f t="shared" si="85"/>
        <v>0</v>
      </c>
      <c r="Z518" s="24">
        <f t="shared" si="85"/>
        <v>0</v>
      </c>
      <c r="AA518" s="24">
        <f t="shared" si="85"/>
        <v>0</v>
      </c>
      <c r="AB518" s="24">
        <f t="shared" si="85"/>
        <v>0</v>
      </c>
      <c r="AC518" s="24">
        <f t="shared" si="85"/>
        <v>0</v>
      </c>
      <c r="AD518" s="24">
        <f t="shared" si="85"/>
        <v>0</v>
      </c>
      <c r="AE518" s="24">
        <f t="shared" si="85"/>
        <v>0</v>
      </c>
    </row>
    <row r="519" spans="1:35" x14ac:dyDescent="0.45">
      <c r="B519" s="14" t="s">
        <v>64</v>
      </c>
      <c r="C519" s="14" t="str">
        <f t="shared" si="79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86">L519*(1+M$498)^($E509*M$499)*(1+M$500)*IF(L482&lt;=0,1,M482/L482)^$F509*(IF(L492&lt;=0,1,M492/L492)^$G509/(1+$H509+$I509))^(1+$F509)</f>
        <v>0</v>
      </c>
      <c r="N519" s="24">
        <f t="shared" si="86"/>
        <v>0</v>
      </c>
      <c r="O519" s="24">
        <f t="shared" si="86"/>
        <v>0</v>
      </c>
      <c r="P519" s="24">
        <f t="shared" si="86"/>
        <v>0</v>
      </c>
      <c r="Q519" s="24">
        <f t="shared" si="86"/>
        <v>0</v>
      </c>
      <c r="R519" s="24">
        <f t="shared" si="86"/>
        <v>0</v>
      </c>
      <c r="S519" s="24">
        <f t="shared" si="86"/>
        <v>0</v>
      </c>
      <c r="T519" s="24">
        <f t="shared" si="86"/>
        <v>0</v>
      </c>
      <c r="U519" s="24">
        <f t="shared" si="86"/>
        <v>0</v>
      </c>
      <c r="V519" s="24">
        <f t="shared" si="86"/>
        <v>0</v>
      </c>
      <c r="W519" s="24">
        <f t="shared" si="86"/>
        <v>0</v>
      </c>
      <c r="X519" s="24">
        <f t="shared" si="86"/>
        <v>0</v>
      </c>
      <c r="Y519" s="24">
        <f t="shared" si="86"/>
        <v>0</v>
      </c>
      <c r="Z519" s="24">
        <f t="shared" si="86"/>
        <v>0</v>
      </c>
      <c r="AA519" s="24">
        <f t="shared" si="86"/>
        <v>0</v>
      </c>
      <c r="AB519" s="24">
        <f t="shared" si="86"/>
        <v>0</v>
      </c>
      <c r="AC519" s="24">
        <f t="shared" si="86"/>
        <v>0</v>
      </c>
      <c r="AD519" s="24">
        <f t="shared" si="86"/>
        <v>0</v>
      </c>
      <c r="AE519" s="24">
        <f t="shared" si="86"/>
        <v>0</v>
      </c>
    </row>
    <row r="520" spans="1:35" x14ac:dyDescent="0.45">
      <c r="B520" s="14" t="s">
        <v>67</v>
      </c>
      <c r="C520" s="14" t="str">
        <f t="shared" si="79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87">L520*(1+M$498)^($E510*M$499)*(1+M$500)*IF(L483&lt;=0,1,M483/L483)^$F510*(IF(L493&lt;=0,1,M493/L493)^$G510/(1+$H510+$I510))^(1+$F510)</f>
        <v>0</v>
      </c>
      <c r="N520" s="24">
        <f t="shared" si="87"/>
        <v>0</v>
      </c>
      <c r="O520" s="24">
        <f t="shared" si="87"/>
        <v>0</v>
      </c>
      <c r="P520" s="24">
        <f t="shared" si="87"/>
        <v>0</v>
      </c>
      <c r="Q520" s="24">
        <f t="shared" si="87"/>
        <v>0</v>
      </c>
      <c r="R520" s="24">
        <f t="shared" si="87"/>
        <v>0</v>
      </c>
      <c r="S520" s="24">
        <f t="shared" si="87"/>
        <v>0</v>
      </c>
      <c r="T520" s="24">
        <f t="shared" si="87"/>
        <v>0</v>
      </c>
      <c r="U520" s="24">
        <f t="shared" si="87"/>
        <v>0</v>
      </c>
      <c r="V520" s="24">
        <f t="shared" si="87"/>
        <v>0</v>
      </c>
      <c r="W520" s="24">
        <f t="shared" si="87"/>
        <v>0</v>
      </c>
      <c r="X520" s="24">
        <f t="shared" si="87"/>
        <v>0</v>
      </c>
      <c r="Y520" s="24">
        <f t="shared" si="87"/>
        <v>0</v>
      </c>
      <c r="Z520" s="24">
        <f t="shared" si="87"/>
        <v>0</v>
      </c>
      <c r="AA520" s="24">
        <f t="shared" si="87"/>
        <v>0</v>
      </c>
      <c r="AB520" s="24">
        <f t="shared" si="87"/>
        <v>0</v>
      </c>
      <c r="AC520" s="24">
        <f t="shared" si="87"/>
        <v>0</v>
      </c>
      <c r="AD520" s="24">
        <f t="shared" si="87"/>
        <v>0</v>
      </c>
      <c r="AE520" s="24">
        <f t="shared" si="87"/>
        <v>0</v>
      </c>
    </row>
    <row r="521" spans="1:35" x14ac:dyDescent="0.45">
      <c r="B521" s="14" t="s">
        <v>69</v>
      </c>
      <c r="C521" s="14" t="str">
        <f t="shared" si="79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88">L521*(1+M$498)^($E511*M$499)*(1+M$500)*IF(L484&lt;=0,1,M484/L484)^$F511*(IF(L494&lt;=0,1,M494/L494)^$G511/(1+$H511+$I511))^(1+$F511)</f>
        <v>0</v>
      </c>
      <c r="N521" s="24">
        <f t="shared" si="88"/>
        <v>0</v>
      </c>
      <c r="O521" s="24">
        <f t="shared" si="88"/>
        <v>0</v>
      </c>
      <c r="P521" s="24">
        <f t="shared" si="88"/>
        <v>0</v>
      </c>
      <c r="Q521" s="24">
        <f t="shared" si="88"/>
        <v>0</v>
      </c>
      <c r="R521" s="24">
        <f t="shared" si="88"/>
        <v>0</v>
      </c>
      <c r="S521" s="24">
        <f t="shared" si="88"/>
        <v>0</v>
      </c>
      <c r="T521" s="24">
        <f t="shared" si="88"/>
        <v>0</v>
      </c>
      <c r="U521" s="24">
        <f t="shared" si="88"/>
        <v>0</v>
      </c>
      <c r="V521" s="24">
        <f t="shared" si="88"/>
        <v>0</v>
      </c>
      <c r="W521" s="24">
        <f t="shared" si="88"/>
        <v>0</v>
      </c>
      <c r="X521" s="24">
        <f t="shared" si="88"/>
        <v>0</v>
      </c>
      <c r="Y521" s="24">
        <f t="shared" si="88"/>
        <v>0</v>
      </c>
      <c r="Z521" s="24">
        <f t="shared" si="88"/>
        <v>0</v>
      </c>
      <c r="AA521" s="24">
        <f t="shared" si="88"/>
        <v>0</v>
      </c>
      <c r="AB521" s="24">
        <f t="shared" si="88"/>
        <v>0</v>
      </c>
      <c r="AC521" s="24">
        <f t="shared" si="88"/>
        <v>0</v>
      </c>
      <c r="AD521" s="24">
        <f t="shared" si="88"/>
        <v>0</v>
      </c>
      <c r="AE521" s="24">
        <f t="shared" si="88"/>
        <v>0</v>
      </c>
    </row>
    <row r="522" spans="1:35" x14ac:dyDescent="0.45">
      <c r="B522" s="14" t="s">
        <v>110</v>
      </c>
      <c r="C522" s="14" t="str">
        <f t="shared" si="79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89">SUM(L513:L521)</f>
        <v>3210.4467592248702</v>
      </c>
      <c r="M522" s="26">
        <f t="shared" si="89"/>
        <v>2690.3404093921163</v>
      </c>
      <c r="N522" s="26">
        <f t="shared" si="89"/>
        <v>3047.5360888007326</v>
      </c>
      <c r="O522" s="26">
        <f t="shared" si="89"/>
        <v>3240.6928223889822</v>
      </c>
      <c r="P522" s="26">
        <f t="shared" si="89"/>
        <v>3273.2119677539522</v>
      </c>
      <c r="Q522" s="26">
        <f t="shared" si="89"/>
        <v>3089.4258527074826</v>
      </c>
      <c r="R522" s="26">
        <f t="shared" si="89"/>
        <v>2975.1242061609983</v>
      </c>
      <c r="S522" s="26">
        <f t="shared" si="89"/>
        <v>2878.4338008647092</v>
      </c>
      <c r="T522" s="26">
        <f t="shared" si="89"/>
        <v>2793.1021878663514</v>
      </c>
      <c r="U522" s="26">
        <f t="shared" si="89"/>
        <v>2721.68677922811</v>
      </c>
      <c r="V522" s="26">
        <f t="shared" si="89"/>
        <v>2659.4365656902264</v>
      </c>
      <c r="W522" s="26">
        <f t="shared" si="89"/>
        <v>2608.3843590415549</v>
      </c>
      <c r="X522" s="26">
        <f t="shared" si="89"/>
        <v>2567.1439632109232</v>
      </c>
      <c r="Y522" s="26">
        <f t="shared" si="89"/>
        <v>2534.8641732295532</v>
      </c>
      <c r="Z522" s="26">
        <f t="shared" si="89"/>
        <v>2511.297099596979</v>
      </c>
      <c r="AA522" s="26">
        <f t="shared" si="89"/>
        <v>2495.8988717310076</v>
      </c>
      <c r="AB522" s="26">
        <f t="shared" si="89"/>
        <v>2488.114559365526</v>
      </c>
      <c r="AC522" s="26">
        <f t="shared" si="89"/>
        <v>2487.0912005211098</v>
      </c>
      <c r="AD522" s="26">
        <f t="shared" si="89"/>
        <v>2492.1166976208451</v>
      </c>
      <c r="AE522" s="26">
        <f t="shared" si="89"/>
        <v>2502.6519509263298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9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9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9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9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9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9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9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9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9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9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9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7.1746845864040694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8.5696845864040689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13.452184586404069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9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0.77715015920690589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0.95071721823590594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1.0375007477504059</v>
      </c>
    </row>
    <row r="539" spans="2:31" x14ac:dyDescent="0.45">
      <c r="B539" s="14" t="s">
        <v>58</v>
      </c>
      <c r="C539" s="14" t="str">
        <f t="shared" si="9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9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0.17281516073434472</v>
      </c>
      <c r="R540" s="18">
        <f>R530+INDEX(Data_Prices!R:R,MATCH($G540,Data_Prices!$A:$A,0))*R$556</f>
        <v>0.1949212436616404</v>
      </c>
      <c r="S540" s="18">
        <f>S530+INDEX(Data_Prices!S:S,MATCH($G540,Data_Prices!$A:$A,0))*S$556</f>
        <v>0.21702732658893611</v>
      </c>
      <c r="T540" s="18">
        <f>T530+INDEX(Data_Prices!T:T,MATCH($G540,Data_Prices!$A:$A,0))*T$556</f>
        <v>0.2391334095162318</v>
      </c>
      <c r="U540" s="18">
        <f>U530+INDEX(Data_Prices!U:U,MATCH($G540,Data_Prices!$A:$A,0))*U$556</f>
        <v>0.26123949244352801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0.30545165829811904</v>
      </c>
      <c r="X540" s="18">
        <f>X530+INDEX(Data_Prices!X:X,MATCH($G540,Data_Prices!$A:$A,0))*X$556</f>
        <v>0.32755774122541503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0.37176990708000601</v>
      </c>
      <c r="AA540" s="18">
        <f>AA530+INDEX(Data_Prices!AA:AA,MATCH($G540,Data_Prices!$A:$A,0))*AA$556</f>
        <v>0.393875990007302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0.43808815586189298</v>
      </c>
      <c r="AD540" s="18">
        <f>AD530+INDEX(Data_Prices!AD:AD,MATCH($G540,Data_Prices!$A:$A,0))*AD$556</f>
        <v>0.46019423878918903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9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0.45706441406607851</v>
      </c>
      <c r="R541" s="18">
        <f>R531+INDEX(Data_Prices!R:R,MATCH($G541,Data_Prices!$A:$A,0))*R$556</f>
        <v>0.48905324417618701</v>
      </c>
      <c r="S541" s="18">
        <f>S531+INDEX(Data_Prices!S:S,MATCH($G541,Data_Prices!$A:$A,0))*S$556</f>
        <v>0.52104207428629556</v>
      </c>
      <c r="T541" s="18">
        <f>T531+INDEX(Data_Prices!T:T,MATCH($G541,Data_Prices!$A:$A,0))*T$556</f>
        <v>0.55303090439640401</v>
      </c>
      <c r="U541" s="18">
        <f>U531+INDEX(Data_Prices!U:U,MATCH($G541,Data_Prices!$A:$A,0))*U$556</f>
        <v>0.58501973450651301</v>
      </c>
      <c r="V541" s="18">
        <f>V531+INDEX(Data_Prices!V:V,MATCH($G541,Data_Prices!$A:$A,0))*V$556</f>
        <v>0.61700856461662101</v>
      </c>
      <c r="W541" s="18">
        <f>W531+INDEX(Data_Prices!W:W,MATCH($G541,Data_Prices!$A:$A,0))*W$556</f>
        <v>0.64899739472673001</v>
      </c>
      <c r="X541" s="18">
        <f>X531+INDEX(Data_Prices!X:X,MATCH($G541,Data_Prices!$A:$A,0))*X$556</f>
        <v>0.68098622483683802</v>
      </c>
      <c r="Y541" s="18">
        <f>Y531+INDEX(Data_Prices!Y:Y,MATCH($G541,Data_Prices!$A:$A,0))*Y$556</f>
        <v>0.71297505494694702</v>
      </c>
      <c r="Z541" s="18">
        <f>Z531+INDEX(Data_Prices!Z:Z,MATCH($G541,Data_Prices!$A:$A,0))*Z$556</f>
        <v>0.74496388505705502</v>
      </c>
      <c r="AA541" s="18">
        <f>AA531+INDEX(Data_Prices!AA:AA,MATCH($G541,Data_Prices!$A:$A,0))*AA$556</f>
        <v>0.77695271516716302</v>
      </c>
      <c r="AB541" s="18">
        <f>AB531+INDEX(Data_Prices!AB:AB,MATCH($G541,Data_Prices!$A:$A,0))*AB$556</f>
        <v>0.80894154527727202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0.87291920549748903</v>
      </c>
      <c r="AE541" s="18">
        <f>AE531+INDEX(Data_Prices!AE:AE,MATCH($G541,Data_Prices!$A:$A,0))*AE$556</f>
        <v>0.90490803560759703</v>
      </c>
    </row>
    <row r="542" spans="2:31" x14ac:dyDescent="0.45">
      <c r="B542" s="14" t="s">
        <v>64</v>
      </c>
      <c r="C542" s="14" t="str">
        <f t="shared" si="9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46.725609739410061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87.798459739410063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9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9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9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9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7.1746845864040694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8.5696845864040689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13.452184586404069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9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0.77715015920690589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0.95071721823590594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1.0375007477504059</v>
      </c>
    </row>
    <row r="549" spans="2:31" x14ac:dyDescent="0.45">
      <c r="B549" s="14" t="s">
        <v>58</v>
      </c>
      <c r="C549" s="14" t="str">
        <f t="shared" si="9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9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0.17281516073434472</v>
      </c>
      <c r="R550" s="19">
        <f>R540+INDEX(Data_Prices!R:R,MATCH($G550,Data_Prices!$A:$A,0))*R$557</f>
        <v>0.1949212436616404</v>
      </c>
      <c r="S550" s="19">
        <f>S540+INDEX(Data_Prices!S:S,MATCH($G550,Data_Prices!$A:$A,0))*S$557</f>
        <v>0.21702732658893611</v>
      </c>
      <c r="T550" s="19">
        <f>T540+INDEX(Data_Prices!T:T,MATCH($G550,Data_Prices!$A:$A,0))*T$557</f>
        <v>0.2391334095162318</v>
      </c>
      <c r="U550" s="19">
        <f>U540+INDEX(Data_Prices!U:U,MATCH($G550,Data_Prices!$A:$A,0))*U$557</f>
        <v>0.26123949244352801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0.30545165829811904</v>
      </c>
      <c r="X550" s="19">
        <f>X540+INDEX(Data_Prices!X:X,MATCH($G550,Data_Prices!$A:$A,0))*X$557</f>
        <v>0.32755774122541503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0.37176990708000601</v>
      </c>
      <c r="AA550" s="19">
        <f>AA540+INDEX(Data_Prices!AA:AA,MATCH($G550,Data_Prices!$A:$A,0))*AA$557</f>
        <v>0.393875990007302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0.43808815586189298</v>
      </c>
      <c r="AD550" s="19">
        <f>AD540+INDEX(Data_Prices!AD:AD,MATCH($G550,Data_Prices!$A:$A,0))*AD$557</f>
        <v>0.46019423878918903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9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0.45706441406607851</v>
      </c>
      <c r="R551" s="19">
        <f>R541+INDEX(Data_Prices!R:R,MATCH($G551,Data_Prices!$A:$A,0))*R$557</f>
        <v>0.48905324417618701</v>
      </c>
      <c r="S551" s="19">
        <f>S541+INDEX(Data_Prices!S:S,MATCH($G551,Data_Prices!$A:$A,0))*S$557</f>
        <v>0.52104207428629556</v>
      </c>
      <c r="T551" s="19">
        <f>T541+INDEX(Data_Prices!T:T,MATCH($G551,Data_Prices!$A:$A,0))*T$557</f>
        <v>0.55303090439640401</v>
      </c>
      <c r="U551" s="19">
        <f>U541+INDEX(Data_Prices!U:U,MATCH($G551,Data_Prices!$A:$A,0))*U$557</f>
        <v>0.58501973450651301</v>
      </c>
      <c r="V551" s="19">
        <f>V541+INDEX(Data_Prices!V:V,MATCH($G551,Data_Prices!$A:$A,0))*V$557</f>
        <v>0.61700856461662101</v>
      </c>
      <c r="W551" s="19">
        <f>W541+INDEX(Data_Prices!W:W,MATCH($G551,Data_Prices!$A:$A,0))*W$557</f>
        <v>0.64899739472673001</v>
      </c>
      <c r="X551" s="19">
        <f>X541+INDEX(Data_Prices!X:X,MATCH($G551,Data_Prices!$A:$A,0))*X$557</f>
        <v>0.68098622483683802</v>
      </c>
      <c r="Y551" s="19">
        <f>Y541+INDEX(Data_Prices!Y:Y,MATCH($G551,Data_Prices!$A:$A,0))*Y$557</f>
        <v>0.71297505494694702</v>
      </c>
      <c r="Z551" s="19">
        <f>Z541+INDEX(Data_Prices!Z:Z,MATCH($G551,Data_Prices!$A:$A,0))*Z$557</f>
        <v>0.74496388505705502</v>
      </c>
      <c r="AA551" s="19">
        <f>AA541+INDEX(Data_Prices!AA:AA,MATCH($G551,Data_Prices!$A:$A,0))*AA$557</f>
        <v>0.77695271516716302</v>
      </c>
      <c r="AB551" s="19">
        <f>AB541+INDEX(Data_Prices!AB:AB,MATCH($G551,Data_Prices!$A:$A,0))*AB$557</f>
        <v>0.80894154527727202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0.87291920549748903</v>
      </c>
      <c r="AE551" s="19">
        <f>AE541+INDEX(Data_Prices!AE:AE,MATCH($G551,Data_Prices!$A:$A,0))*AE$557</f>
        <v>0.90490803560759703</v>
      </c>
    </row>
    <row r="552" spans="2:31" x14ac:dyDescent="0.45">
      <c r="B552" s="14" t="s">
        <v>64</v>
      </c>
      <c r="C552" s="14" t="str">
        <f t="shared" si="9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46.725609739410061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87.798459739410063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9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9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9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9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9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9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9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9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9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9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9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9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95">L573*(1+M$558)^($E563*M$559)*(1+M$560)*IF(L536&lt;=0,1,M536/L536)^$F563*(IF(L546&lt;=0,1,M546/L546)^$G563/(1+$H563+$I563))^(1+$F563)</f>
        <v>0</v>
      </c>
      <c r="N573" s="24">
        <f t="shared" si="95"/>
        <v>0</v>
      </c>
      <c r="O573" s="24">
        <f t="shared" si="95"/>
        <v>0</v>
      </c>
      <c r="P573" s="24">
        <f t="shared" si="95"/>
        <v>0</v>
      </c>
      <c r="Q573" s="24">
        <f t="shared" si="95"/>
        <v>0</v>
      </c>
      <c r="R573" s="24">
        <f t="shared" si="95"/>
        <v>0</v>
      </c>
      <c r="S573" s="24">
        <f t="shared" si="95"/>
        <v>0</v>
      </c>
      <c r="T573" s="24">
        <f t="shared" si="95"/>
        <v>0</v>
      </c>
      <c r="U573" s="24">
        <f t="shared" si="95"/>
        <v>0</v>
      </c>
      <c r="V573" s="24">
        <f t="shared" si="95"/>
        <v>0</v>
      </c>
      <c r="W573" s="24">
        <f t="shared" si="95"/>
        <v>0</v>
      </c>
      <c r="X573" s="24">
        <f t="shared" si="95"/>
        <v>0</v>
      </c>
      <c r="Y573" s="24">
        <f t="shared" si="95"/>
        <v>0</v>
      </c>
      <c r="Z573" s="24">
        <f t="shared" si="95"/>
        <v>0</v>
      </c>
      <c r="AA573" s="24">
        <f t="shared" si="95"/>
        <v>0</v>
      </c>
      <c r="AB573" s="24">
        <f t="shared" si="95"/>
        <v>0</v>
      </c>
      <c r="AC573" s="24">
        <f t="shared" si="95"/>
        <v>0</v>
      </c>
      <c r="AD573" s="24">
        <f t="shared" si="95"/>
        <v>0</v>
      </c>
      <c r="AE573" s="24">
        <f t="shared" si="95"/>
        <v>0</v>
      </c>
    </row>
    <row r="574" spans="2:31" x14ac:dyDescent="0.45">
      <c r="B574" s="14" t="s">
        <v>53</v>
      </c>
      <c r="C574" s="14" t="str">
        <f t="shared" si="9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96">L574*(1+M$558)^($E564*M$559)*(1+M$560)*IF(L537&lt;=0,1,M537/L537)^$F564*(IF(L547&lt;=0,1,M547/L547)^$G564/(1+$H564+$I564))^(1+$F564)</f>
        <v>0</v>
      </c>
      <c r="N574" s="24">
        <f t="shared" si="96"/>
        <v>0</v>
      </c>
      <c r="O574" s="24">
        <f t="shared" si="96"/>
        <v>0</v>
      </c>
      <c r="P574" s="24">
        <f t="shared" si="96"/>
        <v>0</v>
      </c>
      <c r="Q574" s="24">
        <f t="shared" si="96"/>
        <v>0</v>
      </c>
      <c r="R574" s="24">
        <f t="shared" si="96"/>
        <v>0</v>
      </c>
      <c r="S574" s="24">
        <f t="shared" si="96"/>
        <v>0</v>
      </c>
      <c r="T574" s="24">
        <f t="shared" si="96"/>
        <v>0</v>
      </c>
      <c r="U574" s="24">
        <f t="shared" si="96"/>
        <v>0</v>
      </c>
      <c r="V574" s="24">
        <f t="shared" si="96"/>
        <v>0</v>
      </c>
      <c r="W574" s="24">
        <f t="shared" si="96"/>
        <v>0</v>
      </c>
      <c r="X574" s="24">
        <f t="shared" si="96"/>
        <v>0</v>
      </c>
      <c r="Y574" s="24">
        <f t="shared" si="96"/>
        <v>0</v>
      </c>
      <c r="Z574" s="24">
        <f t="shared" si="96"/>
        <v>0</v>
      </c>
      <c r="AA574" s="24">
        <f t="shared" si="96"/>
        <v>0</v>
      </c>
      <c r="AB574" s="24">
        <f t="shared" si="96"/>
        <v>0</v>
      </c>
      <c r="AC574" s="24">
        <f t="shared" si="96"/>
        <v>0</v>
      </c>
      <c r="AD574" s="24">
        <f t="shared" si="96"/>
        <v>0</v>
      </c>
      <c r="AE574" s="24">
        <f t="shared" si="96"/>
        <v>0</v>
      </c>
    </row>
    <row r="575" spans="2:31" x14ac:dyDescent="0.45">
      <c r="B575" s="14" t="s">
        <v>55</v>
      </c>
      <c r="C575" s="14" t="str">
        <f t="shared" si="9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97">L575*(1+M$558)^($E565*M$559)*(1+M$560)*IF(L538&lt;=0,1,M538/L538)^$F565*(IF(L548&lt;=0,1,M548/L548)^$G565/(1+$H565+$I565))^(1+$F565)</f>
        <v>0</v>
      </c>
      <c r="N575" s="24">
        <f t="shared" si="97"/>
        <v>0</v>
      </c>
      <c r="O575" s="24">
        <f t="shared" si="97"/>
        <v>0</v>
      </c>
      <c r="P575" s="24">
        <f t="shared" si="97"/>
        <v>0</v>
      </c>
      <c r="Q575" s="24">
        <f t="shared" si="97"/>
        <v>0</v>
      </c>
      <c r="R575" s="24">
        <f t="shared" si="97"/>
        <v>0</v>
      </c>
      <c r="S575" s="24">
        <f t="shared" si="97"/>
        <v>0</v>
      </c>
      <c r="T575" s="24">
        <f t="shared" si="97"/>
        <v>0</v>
      </c>
      <c r="U575" s="24">
        <f t="shared" si="97"/>
        <v>0</v>
      </c>
      <c r="V575" s="24">
        <f t="shared" si="97"/>
        <v>0</v>
      </c>
      <c r="W575" s="24">
        <f t="shared" si="97"/>
        <v>0</v>
      </c>
      <c r="X575" s="24">
        <f t="shared" si="97"/>
        <v>0</v>
      </c>
      <c r="Y575" s="24">
        <f t="shared" si="97"/>
        <v>0</v>
      </c>
      <c r="Z575" s="24">
        <f t="shared" si="97"/>
        <v>0</v>
      </c>
      <c r="AA575" s="24">
        <f t="shared" si="97"/>
        <v>0</v>
      </c>
      <c r="AB575" s="24">
        <f t="shared" si="97"/>
        <v>0</v>
      </c>
      <c r="AC575" s="24">
        <f t="shared" si="97"/>
        <v>0</v>
      </c>
      <c r="AD575" s="24">
        <f t="shared" si="97"/>
        <v>0</v>
      </c>
      <c r="AE575" s="24">
        <f t="shared" si="97"/>
        <v>0</v>
      </c>
    </row>
    <row r="576" spans="2:31" x14ac:dyDescent="0.45">
      <c r="B576" s="14" t="s">
        <v>58</v>
      </c>
      <c r="C576" s="14" t="str">
        <f t="shared" si="9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98">L576*(1+M$558)^($E566*M$559)*(1+M$560)*IF(L539&lt;=0,1,M539/L539)^$F566*(IF(L549&lt;=0,1,M549/L549)^$G566/(1+$H566+$I566))^(1+$F566)</f>
        <v>0</v>
      </c>
      <c r="N576" s="24">
        <f t="shared" si="98"/>
        <v>0</v>
      </c>
      <c r="O576" s="24">
        <f t="shared" si="98"/>
        <v>0</v>
      </c>
      <c r="P576" s="24">
        <f t="shared" si="98"/>
        <v>0</v>
      </c>
      <c r="Q576" s="24">
        <f t="shared" si="98"/>
        <v>0</v>
      </c>
      <c r="R576" s="24">
        <f t="shared" si="98"/>
        <v>0</v>
      </c>
      <c r="S576" s="24">
        <f t="shared" si="98"/>
        <v>0</v>
      </c>
      <c r="T576" s="24">
        <f t="shared" si="98"/>
        <v>0</v>
      </c>
      <c r="U576" s="24">
        <f t="shared" si="98"/>
        <v>0</v>
      </c>
      <c r="V576" s="24">
        <f t="shared" si="98"/>
        <v>0</v>
      </c>
      <c r="W576" s="24">
        <f t="shared" si="98"/>
        <v>0</v>
      </c>
      <c r="X576" s="24">
        <f t="shared" si="98"/>
        <v>0</v>
      </c>
      <c r="Y576" s="24">
        <f t="shared" si="98"/>
        <v>0</v>
      </c>
      <c r="Z576" s="24">
        <f t="shared" si="98"/>
        <v>0</v>
      </c>
      <c r="AA576" s="24">
        <f t="shared" si="98"/>
        <v>0</v>
      </c>
      <c r="AB576" s="24">
        <f t="shared" si="98"/>
        <v>0</v>
      </c>
      <c r="AC576" s="24">
        <f t="shared" si="98"/>
        <v>0</v>
      </c>
      <c r="AD576" s="24">
        <f t="shared" si="98"/>
        <v>0</v>
      </c>
      <c r="AE576" s="24">
        <f t="shared" si="98"/>
        <v>0</v>
      </c>
    </row>
    <row r="577" spans="1:35" x14ac:dyDescent="0.45">
      <c r="B577" s="14" t="s">
        <v>60</v>
      </c>
      <c r="C577" s="14" t="str">
        <f t="shared" si="9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99">L577*(1+M$558)^($E567*M$559)*(1+M$560)*IF(L540&lt;=0,1,M540/L540)^$F567*(IF(L550&lt;=0,1,M550/L550)^$G567/(1+$H567+$I567))^(1+$F567)</f>
        <v>0</v>
      </c>
      <c r="N577" s="24">
        <f t="shared" si="99"/>
        <v>0</v>
      </c>
      <c r="O577" s="24">
        <f t="shared" si="99"/>
        <v>0</v>
      </c>
      <c r="P577" s="24">
        <f t="shared" si="99"/>
        <v>0</v>
      </c>
      <c r="Q577" s="24">
        <f t="shared" si="99"/>
        <v>0</v>
      </c>
      <c r="R577" s="24">
        <f t="shared" si="99"/>
        <v>0</v>
      </c>
      <c r="S577" s="24">
        <f t="shared" si="99"/>
        <v>0</v>
      </c>
      <c r="T577" s="24">
        <f t="shared" si="99"/>
        <v>0</v>
      </c>
      <c r="U577" s="24">
        <f t="shared" si="99"/>
        <v>0</v>
      </c>
      <c r="V577" s="24">
        <f t="shared" si="99"/>
        <v>0</v>
      </c>
      <c r="W577" s="24">
        <f t="shared" si="99"/>
        <v>0</v>
      </c>
      <c r="X577" s="24">
        <f t="shared" si="99"/>
        <v>0</v>
      </c>
      <c r="Y577" s="24">
        <f t="shared" si="99"/>
        <v>0</v>
      </c>
      <c r="Z577" s="24">
        <f t="shared" si="99"/>
        <v>0</v>
      </c>
      <c r="AA577" s="24">
        <f t="shared" si="99"/>
        <v>0</v>
      </c>
      <c r="AB577" s="24">
        <f t="shared" si="99"/>
        <v>0</v>
      </c>
      <c r="AC577" s="24">
        <f t="shared" si="99"/>
        <v>0</v>
      </c>
      <c r="AD577" s="24">
        <f t="shared" si="99"/>
        <v>0</v>
      </c>
      <c r="AE577" s="24">
        <f t="shared" si="99"/>
        <v>0</v>
      </c>
    </row>
    <row r="578" spans="1:35" x14ac:dyDescent="0.45">
      <c r="B578" s="14" t="s">
        <v>62</v>
      </c>
      <c r="C578" s="14" t="str">
        <f t="shared" si="9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100">L578*(1+M$558)^($E568*M$559)*(1+M$560)*IF(L541&lt;=0,1,M541/L541)^$F568*(IF(L551&lt;=0,1,M551/L551)^$G568/(1+$H568+$I568))^(1+$F568)</f>
        <v>0</v>
      </c>
      <c r="N578" s="24">
        <f t="shared" si="100"/>
        <v>0</v>
      </c>
      <c r="O578" s="24">
        <f t="shared" si="100"/>
        <v>0</v>
      </c>
      <c r="P578" s="24">
        <f t="shared" si="100"/>
        <v>0</v>
      </c>
      <c r="Q578" s="24">
        <f t="shared" si="100"/>
        <v>0</v>
      </c>
      <c r="R578" s="24">
        <f t="shared" si="100"/>
        <v>0</v>
      </c>
      <c r="S578" s="24">
        <f t="shared" si="100"/>
        <v>0</v>
      </c>
      <c r="T578" s="24">
        <f t="shared" si="100"/>
        <v>0</v>
      </c>
      <c r="U578" s="24">
        <f t="shared" si="100"/>
        <v>0</v>
      </c>
      <c r="V578" s="24">
        <f t="shared" si="100"/>
        <v>0</v>
      </c>
      <c r="W578" s="24">
        <f t="shared" si="100"/>
        <v>0</v>
      </c>
      <c r="X578" s="24">
        <f t="shared" si="100"/>
        <v>0</v>
      </c>
      <c r="Y578" s="24">
        <f t="shared" si="100"/>
        <v>0</v>
      </c>
      <c r="Z578" s="24">
        <f t="shared" si="100"/>
        <v>0</v>
      </c>
      <c r="AA578" s="24">
        <f t="shared" si="100"/>
        <v>0</v>
      </c>
      <c r="AB578" s="24">
        <f t="shared" si="100"/>
        <v>0</v>
      </c>
      <c r="AC578" s="24">
        <f t="shared" si="100"/>
        <v>0</v>
      </c>
      <c r="AD578" s="24">
        <f t="shared" si="100"/>
        <v>0</v>
      </c>
      <c r="AE578" s="24">
        <f t="shared" si="100"/>
        <v>0</v>
      </c>
    </row>
    <row r="579" spans="1:35" x14ac:dyDescent="0.45">
      <c r="B579" s="14" t="s">
        <v>64</v>
      </c>
      <c r="C579" s="14" t="str">
        <f t="shared" si="9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101">L579*(1+M$558)^($E569*M$559)*(1+M$560)*IF(L542&lt;=0,1,M542/L542)^$F569*(IF(L552&lt;=0,1,M552/L552)^$G569/(1+$H569+$I569))^(1+$F569)</f>
        <v>0</v>
      </c>
      <c r="N579" s="24">
        <f t="shared" si="101"/>
        <v>0</v>
      </c>
      <c r="O579" s="24">
        <f t="shared" si="101"/>
        <v>0</v>
      </c>
      <c r="P579" s="24">
        <f t="shared" si="101"/>
        <v>0</v>
      </c>
      <c r="Q579" s="24">
        <f t="shared" si="101"/>
        <v>0</v>
      </c>
      <c r="R579" s="24">
        <f t="shared" si="101"/>
        <v>0</v>
      </c>
      <c r="S579" s="24">
        <f t="shared" si="101"/>
        <v>0</v>
      </c>
      <c r="T579" s="24">
        <f t="shared" si="101"/>
        <v>0</v>
      </c>
      <c r="U579" s="24">
        <f t="shared" si="101"/>
        <v>0</v>
      </c>
      <c r="V579" s="24">
        <f t="shared" si="101"/>
        <v>0</v>
      </c>
      <c r="W579" s="24">
        <f t="shared" si="101"/>
        <v>0</v>
      </c>
      <c r="X579" s="24">
        <f t="shared" si="101"/>
        <v>0</v>
      </c>
      <c r="Y579" s="24">
        <f t="shared" si="101"/>
        <v>0</v>
      </c>
      <c r="Z579" s="24">
        <f t="shared" si="101"/>
        <v>0</v>
      </c>
      <c r="AA579" s="24">
        <f t="shared" si="101"/>
        <v>0</v>
      </c>
      <c r="AB579" s="24">
        <f t="shared" si="101"/>
        <v>0</v>
      </c>
      <c r="AC579" s="24">
        <f t="shared" si="101"/>
        <v>0</v>
      </c>
      <c r="AD579" s="24">
        <f t="shared" si="101"/>
        <v>0</v>
      </c>
      <c r="AE579" s="24">
        <f t="shared" si="101"/>
        <v>0</v>
      </c>
    </row>
    <row r="580" spans="1:35" x14ac:dyDescent="0.45">
      <c r="B580" s="14" t="s">
        <v>67</v>
      </c>
      <c r="C580" s="14" t="str">
        <f t="shared" si="9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102">L580*(1+M$558)^($E570*M$559)*(1+M$560)*IF(L543&lt;=0,1,M543/L543)^$F570*(IF(L553&lt;=0,1,M553/L553)^$G570/(1+$H570+$I570))^(1+$F570)</f>
        <v>0</v>
      </c>
      <c r="N580" s="24">
        <f t="shared" si="102"/>
        <v>0</v>
      </c>
      <c r="O580" s="24">
        <f t="shared" si="102"/>
        <v>0</v>
      </c>
      <c r="P580" s="24">
        <f t="shared" si="102"/>
        <v>0</v>
      </c>
      <c r="Q580" s="24">
        <f t="shared" si="102"/>
        <v>0</v>
      </c>
      <c r="R580" s="24">
        <f t="shared" si="102"/>
        <v>0</v>
      </c>
      <c r="S580" s="24">
        <f t="shared" si="102"/>
        <v>0</v>
      </c>
      <c r="T580" s="24">
        <f t="shared" si="102"/>
        <v>0</v>
      </c>
      <c r="U580" s="24">
        <f t="shared" si="102"/>
        <v>0</v>
      </c>
      <c r="V580" s="24">
        <f t="shared" si="102"/>
        <v>0</v>
      </c>
      <c r="W580" s="24">
        <f t="shared" si="102"/>
        <v>0</v>
      </c>
      <c r="X580" s="24">
        <f t="shared" si="102"/>
        <v>0</v>
      </c>
      <c r="Y580" s="24">
        <f t="shared" si="102"/>
        <v>0</v>
      </c>
      <c r="Z580" s="24">
        <f t="shared" si="102"/>
        <v>0</v>
      </c>
      <c r="AA580" s="24">
        <f t="shared" si="102"/>
        <v>0</v>
      </c>
      <c r="AB580" s="24">
        <f t="shared" si="102"/>
        <v>0</v>
      </c>
      <c r="AC580" s="24">
        <f t="shared" si="102"/>
        <v>0</v>
      </c>
      <c r="AD580" s="24">
        <f t="shared" si="102"/>
        <v>0</v>
      </c>
      <c r="AE580" s="24">
        <f t="shared" si="102"/>
        <v>0</v>
      </c>
    </row>
    <row r="581" spans="1:35" x14ac:dyDescent="0.45">
      <c r="B581" s="14" t="s">
        <v>69</v>
      </c>
      <c r="C581" s="14" t="str">
        <f t="shared" si="9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103">L581*(1+M$558)^($E571*M$559)*(1+M$560)*IF(L544&lt;=0,1,M544/L544)^$F571*(IF(L554&lt;=0,1,M554/L554)^$G571/(1+$H571+$I571))^(1+$F571)</f>
        <v>0</v>
      </c>
      <c r="N581" s="24">
        <f t="shared" si="103"/>
        <v>0</v>
      </c>
      <c r="O581" s="24">
        <f t="shared" si="103"/>
        <v>0</v>
      </c>
      <c r="P581" s="24">
        <f t="shared" si="103"/>
        <v>0</v>
      </c>
      <c r="Q581" s="24">
        <f t="shared" si="103"/>
        <v>0</v>
      </c>
      <c r="R581" s="24">
        <f t="shared" si="103"/>
        <v>0</v>
      </c>
      <c r="S581" s="24">
        <f t="shared" si="103"/>
        <v>0</v>
      </c>
      <c r="T581" s="24">
        <f t="shared" si="103"/>
        <v>0</v>
      </c>
      <c r="U581" s="24">
        <f t="shared" si="103"/>
        <v>0</v>
      </c>
      <c r="V581" s="24">
        <f t="shared" si="103"/>
        <v>0</v>
      </c>
      <c r="W581" s="24">
        <f t="shared" si="103"/>
        <v>0</v>
      </c>
      <c r="X581" s="24">
        <f t="shared" si="103"/>
        <v>0</v>
      </c>
      <c r="Y581" s="24">
        <f t="shared" si="103"/>
        <v>0</v>
      </c>
      <c r="Z581" s="24">
        <f t="shared" si="103"/>
        <v>0</v>
      </c>
      <c r="AA581" s="24">
        <f t="shared" si="103"/>
        <v>0</v>
      </c>
      <c r="AB581" s="24">
        <f t="shared" si="103"/>
        <v>0</v>
      </c>
      <c r="AC581" s="24">
        <f t="shared" si="103"/>
        <v>0</v>
      </c>
      <c r="AD581" s="24">
        <f t="shared" si="103"/>
        <v>0</v>
      </c>
      <c r="AE581" s="24">
        <f t="shared" si="103"/>
        <v>0</v>
      </c>
    </row>
    <row r="582" spans="1:35" x14ac:dyDescent="0.45">
      <c r="B582" s="14" t="s">
        <v>110</v>
      </c>
      <c r="C582" s="14" t="str">
        <f t="shared" si="9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04">SUM(L573:L581)</f>
        <v>0</v>
      </c>
      <c r="M582" s="26">
        <f t="shared" si="104"/>
        <v>0</v>
      </c>
      <c r="N582" s="26">
        <f t="shared" si="104"/>
        <v>0</v>
      </c>
      <c r="O582" s="26">
        <f t="shared" si="104"/>
        <v>0</v>
      </c>
      <c r="P582" s="26">
        <f t="shared" si="104"/>
        <v>0</v>
      </c>
      <c r="Q582" s="26">
        <f t="shared" si="104"/>
        <v>0</v>
      </c>
      <c r="R582" s="26">
        <f t="shared" si="104"/>
        <v>0</v>
      </c>
      <c r="S582" s="26">
        <f t="shared" si="104"/>
        <v>0</v>
      </c>
      <c r="T582" s="26">
        <f t="shared" si="104"/>
        <v>0</v>
      </c>
      <c r="U582" s="26">
        <f t="shared" si="104"/>
        <v>0</v>
      </c>
      <c r="V582" s="26">
        <f t="shared" si="104"/>
        <v>0</v>
      </c>
      <c r="W582" s="26">
        <f t="shared" si="104"/>
        <v>0</v>
      </c>
      <c r="X582" s="26">
        <f t="shared" si="104"/>
        <v>0</v>
      </c>
      <c r="Y582" s="26">
        <f t="shared" si="104"/>
        <v>0</v>
      </c>
      <c r="Z582" s="26">
        <f t="shared" si="104"/>
        <v>0</v>
      </c>
      <c r="AA582" s="26">
        <f t="shared" si="104"/>
        <v>0</v>
      </c>
      <c r="AB582" s="26">
        <f t="shared" si="104"/>
        <v>0</v>
      </c>
      <c r="AC582" s="26">
        <f t="shared" si="104"/>
        <v>0</v>
      </c>
      <c r="AD582" s="26">
        <f t="shared" si="104"/>
        <v>0</v>
      </c>
      <c r="AE582" s="26">
        <f t="shared" si="104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05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05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05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05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05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05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05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05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05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06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06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7.1746845864040694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8.5696845864040689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13.452184586404069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06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0.77715015920690589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0.95071721823590594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1.0375007477504059</v>
      </c>
    </row>
    <row r="599" spans="2:31" x14ac:dyDescent="0.45">
      <c r="B599" s="14" t="s">
        <v>58</v>
      </c>
      <c r="C599" s="14" t="str">
        <f t="shared" si="106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06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0.17281516073434472</v>
      </c>
      <c r="R600" s="18">
        <f>R590+INDEX(Data_Prices!R:R,MATCH($G600,Data_Prices!$A:$A,0))*R$616</f>
        <v>0.1949212436616404</v>
      </c>
      <c r="S600" s="18">
        <f>S590+INDEX(Data_Prices!S:S,MATCH($G600,Data_Prices!$A:$A,0))*S$616</f>
        <v>0.21702732658893611</v>
      </c>
      <c r="T600" s="18">
        <f>T590+INDEX(Data_Prices!T:T,MATCH($G600,Data_Prices!$A:$A,0))*T$616</f>
        <v>0.2391334095162318</v>
      </c>
      <c r="U600" s="18">
        <f>U590+INDEX(Data_Prices!U:U,MATCH($G600,Data_Prices!$A:$A,0))*U$616</f>
        <v>0.26123949244352801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0.30545165829811904</v>
      </c>
      <c r="X600" s="18">
        <f>X590+INDEX(Data_Prices!X:X,MATCH($G600,Data_Prices!$A:$A,0))*X$616</f>
        <v>0.32755774122541503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0.37176990708000601</v>
      </c>
      <c r="AA600" s="18">
        <f>AA590+INDEX(Data_Prices!AA:AA,MATCH($G600,Data_Prices!$A:$A,0))*AA$616</f>
        <v>0.393875990007302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0.43808815586189298</v>
      </c>
      <c r="AD600" s="18">
        <f>AD590+INDEX(Data_Prices!AD:AD,MATCH($G600,Data_Prices!$A:$A,0))*AD$616</f>
        <v>0.46019423878918903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06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0.45706441406607851</v>
      </c>
      <c r="R601" s="18">
        <f>R591+INDEX(Data_Prices!R:R,MATCH($G601,Data_Prices!$A:$A,0))*R$616</f>
        <v>0.48905324417618701</v>
      </c>
      <c r="S601" s="18">
        <f>S591+INDEX(Data_Prices!S:S,MATCH($G601,Data_Prices!$A:$A,0))*S$616</f>
        <v>0.52104207428629556</v>
      </c>
      <c r="T601" s="18">
        <f>T591+INDEX(Data_Prices!T:T,MATCH($G601,Data_Prices!$A:$A,0))*T$616</f>
        <v>0.55303090439640401</v>
      </c>
      <c r="U601" s="18">
        <f>U591+INDEX(Data_Prices!U:U,MATCH($G601,Data_Prices!$A:$A,0))*U$616</f>
        <v>0.58501973450651301</v>
      </c>
      <c r="V601" s="18">
        <f>V591+INDEX(Data_Prices!V:V,MATCH($G601,Data_Prices!$A:$A,0))*V$616</f>
        <v>0.61700856461662101</v>
      </c>
      <c r="W601" s="18">
        <f>W591+INDEX(Data_Prices!W:W,MATCH($G601,Data_Prices!$A:$A,0))*W$616</f>
        <v>0.64899739472673001</v>
      </c>
      <c r="X601" s="18">
        <f>X591+INDEX(Data_Prices!X:X,MATCH($G601,Data_Prices!$A:$A,0))*X$616</f>
        <v>0.68098622483683802</v>
      </c>
      <c r="Y601" s="18">
        <f>Y591+INDEX(Data_Prices!Y:Y,MATCH($G601,Data_Prices!$A:$A,0))*Y$616</f>
        <v>0.71297505494694702</v>
      </c>
      <c r="Z601" s="18">
        <f>Z591+INDEX(Data_Prices!Z:Z,MATCH($G601,Data_Prices!$A:$A,0))*Z$616</f>
        <v>0.74496388505705502</v>
      </c>
      <c r="AA601" s="18">
        <f>AA591+INDEX(Data_Prices!AA:AA,MATCH($G601,Data_Prices!$A:$A,0))*AA$616</f>
        <v>0.77695271516716302</v>
      </c>
      <c r="AB601" s="18">
        <f>AB591+INDEX(Data_Prices!AB:AB,MATCH($G601,Data_Prices!$A:$A,0))*AB$616</f>
        <v>0.80894154527727202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0.87291920549748903</v>
      </c>
      <c r="AE601" s="18">
        <f>AE591+INDEX(Data_Prices!AE:AE,MATCH($G601,Data_Prices!$A:$A,0))*AE$616</f>
        <v>0.90490803560759703</v>
      </c>
    </row>
    <row r="602" spans="2:31" x14ac:dyDescent="0.45">
      <c r="B602" s="14" t="s">
        <v>64</v>
      </c>
      <c r="C602" s="14" t="str">
        <f t="shared" si="106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46.725609739410061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87.798459739410063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06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06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07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07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7.1746845864040694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8.5696845864040689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13.452184586404069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07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0.77715015920690589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0.95071721823590594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1.0375007477504059</v>
      </c>
    </row>
    <row r="609" spans="2:31" x14ac:dyDescent="0.45">
      <c r="B609" s="14" t="s">
        <v>58</v>
      </c>
      <c r="C609" s="14" t="str">
        <f t="shared" si="107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07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0.17281516073434472</v>
      </c>
      <c r="R610" s="19">
        <f>R600+INDEX(Data_Prices!R:R,MATCH($G610,Data_Prices!$A:$A,0))*R$617</f>
        <v>0.1949212436616404</v>
      </c>
      <c r="S610" s="19">
        <f>S600+INDEX(Data_Prices!S:S,MATCH($G610,Data_Prices!$A:$A,0))*S$617</f>
        <v>0.21702732658893611</v>
      </c>
      <c r="T610" s="19">
        <f>T600+INDEX(Data_Prices!T:T,MATCH($G610,Data_Prices!$A:$A,0))*T$617</f>
        <v>0.2391334095162318</v>
      </c>
      <c r="U610" s="19">
        <f>U600+INDEX(Data_Prices!U:U,MATCH($G610,Data_Prices!$A:$A,0))*U$617</f>
        <v>0.26123949244352801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0.30545165829811904</v>
      </c>
      <c r="X610" s="19">
        <f>X600+INDEX(Data_Prices!X:X,MATCH($G610,Data_Prices!$A:$A,0))*X$617</f>
        <v>0.32755774122541503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0.37176990708000601</v>
      </c>
      <c r="AA610" s="19">
        <f>AA600+INDEX(Data_Prices!AA:AA,MATCH($G610,Data_Prices!$A:$A,0))*AA$617</f>
        <v>0.393875990007302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0.43808815586189298</v>
      </c>
      <c r="AD610" s="19">
        <f>AD600+INDEX(Data_Prices!AD:AD,MATCH($G610,Data_Prices!$A:$A,0))*AD$617</f>
        <v>0.46019423878918903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07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0.45706441406607851</v>
      </c>
      <c r="R611" s="19">
        <f>R601+INDEX(Data_Prices!R:R,MATCH($G611,Data_Prices!$A:$A,0))*R$617</f>
        <v>0.48905324417618701</v>
      </c>
      <c r="S611" s="19">
        <f>S601+INDEX(Data_Prices!S:S,MATCH($G611,Data_Prices!$A:$A,0))*S$617</f>
        <v>0.52104207428629556</v>
      </c>
      <c r="T611" s="19">
        <f>T601+INDEX(Data_Prices!T:T,MATCH($G611,Data_Prices!$A:$A,0))*T$617</f>
        <v>0.55303090439640401</v>
      </c>
      <c r="U611" s="19">
        <f>U601+INDEX(Data_Prices!U:U,MATCH($G611,Data_Prices!$A:$A,0))*U$617</f>
        <v>0.58501973450651301</v>
      </c>
      <c r="V611" s="19">
        <f>V601+INDEX(Data_Prices!V:V,MATCH($G611,Data_Prices!$A:$A,0))*V$617</f>
        <v>0.61700856461662101</v>
      </c>
      <c r="W611" s="19">
        <f>W601+INDEX(Data_Prices!W:W,MATCH($G611,Data_Prices!$A:$A,0))*W$617</f>
        <v>0.64899739472673001</v>
      </c>
      <c r="X611" s="19">
        <f>X601+INDEX(Data_Prices!X:X,MATCH($G611,Data_Prices!$A:$A,0))*X$617</f>
        <v>0.68098622483683802</v>
      </c>
      <c r="Y611" s="19">
        <f>Y601+INDEX(Data_Prices!Y:Y,MATCH($G611,Data_Prices!$A:$A,0))*Y$617</f>
        <v>0.71297505494694702</v>
      </c>
      <c r="Z611" s="19">
        <f>Z601+INDEX(Data_Prices!Z:Z,MATCH($G611,Data_Prices!$A:$A,0))*Z$617</f>
        <v>0.74496388505705502</v>
      </c>
      <c r="AA611" s="19">
        <f>AA601+INDEX(Data_Prices!AA:AA,MATCH($G611,Data_Prices!$A:$A,0))*AA$617</f>
        <v>0.77695271516716302</v>
      </c>
      <c r="AB611" s="19">
        <f>AB601+INDEX(Data_Prices!AB:AB,MATCH($G611,Data_Prices!$A:$A,0))*AB$617</f>
        <v>0.80894154527727202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0.87291920549748903</v>
      </c>
      <c r="AE611" s="19">
        <f>AE601+INDEX(Data_Prices!AE:AE,MATCH($G611,Data_Prices!$A:$A,0))*AE$617</f>
        <v>0.90490803560759703</v>
      </c>
    </row>
    <row r="612" spans="2:31" x14ac:dyDescent="0.45">
      <c r="B612" s="14" t="s">
        <v>64</v>
      </c>
      <c r="C612" s="14" t="str">
        <f t="shared" si="107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46.725609739410061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87.798459739410063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07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07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08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08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08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08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08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08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08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08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08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09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110">L633*(1+M$618)^($E623*M$619)*(1+M$620)*IF(L596&lt;=0,1,M596/L596)^$F623*(IF(L606&lt;=0,1,M606/L606)^$G623/(1+$H623+$I623))^(1+$F623)</f>
        <v>0</v>
      </c>
      <c r="N633" s="24">
        <f t="shared" si="110"/>
        <v>0</v>
      </c>
      <c r="O633" s="24">
        <f t="shared" si="110"/>
        <v>0</v>
      </c>
      <c r="P633" s="24">
        <f t="shared" si="110"/>
        <v>0</v>
      </c>
      <c r="Q633" s="24">
        <f t="shared" si="110"/>
        <v>0</v>
      </c>
      <c r="R633" s="24">
        <f t="shared" si="110"/>
        <v>0</v>
      </c>
      <c r="S633" s="24">
        <f t="shared" si="110"/>
        <v>0</v>
      </c>
      <c r="T633" s="24">
        <f t="shared" si="110"/>
        <v>0</v>
      </c>
      <c r="U633" s="24">
        <f t="shared" si="110"/>
        <v>0</v>
      </c>
      <c r="V633" s="24">
        <f t="shared" si="110"/>
        <v>0</v>
      </c>
      <c r="W633" s="24">
        <f t="shared" si="110"/>
        <v>0</v>
      </c>
      <c r="X633" s="24">
        <f t="shared" si="110"/>
        <v>0</v>
      </c>
      <c r="Y633" s="24">
        <f t="shared" si="110"/>
        <v>0</v>
      </c>
      <c r="Z633" s="24">
        <f t="shared" si="110"/>
        <v>0</v>
      </c>
      <c r="AA633" s="24">
        <f t="shared" si="110"/>
        <v>0</v>
      </c>
      <c r="AB633" s="24">
        <f t="shared" si="110"/>
        <v>0</v>
      </c>
      <c r="AC633" s="24">
        <f t="shared" si="110"/>
        <v>0</v>
      </c>
      <c r="AD633" s="24">
        <f t="shared" si="110"/>
        <v>0</v>
      </c>
      <c r="AE633" s="24">
        <f t="shared" si="110"/>
        <v>0</v>
      </c>
    </row>
    <row r="634" spans="2:31" x14ac:dyDescent="0.45">
      <c r="B634" s="14" t="s">
        <v>53</v>
      </c>
      <c r="C634" s="14" t="str">
        <f t="shared" si="109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111">L634*(1+M$618)^($E624*M$619)*(1+M$620)*IF(L597&lt;=0,1,M597/L597)^$F624*(IF(L607&lt;=0,1,M607/L607)^$G624/(1+$H624+$I624))^(1+$F624)</f>
        <v>0</v>
      </c>
      <c r="N634" s="24">
        <f t="shared" si="111"/>
        <v>0</v>
      </c>
      <c r="O634" s="24">
        <f t="shared" si="111"/>
        <v>0</v>
      </c>
      <c r="P634" s="24">
        <f t="shared" si="111"/>
        <v>0</v>
      </c>
      <c r="Q634" s="24">
        <f t="shared" si="111"/>
        <v>0</v>
      </c>
      <c r="R634" s="24">
        <f t="shared" si="111"/>
        <v>0</v>
      </c>
      <c r="S634" s="24">
        <f t="shared" si="111"/>
        <v>0</v>
      </c>
      <c r="T634" s="24">
        <f t="shared" si="111"/>
        <v>0</v>
      </c>
      <c r="U634" s="24">
        <f t="shared" si="111"/>
        <v>0</v>
      </c>
      <c r="V634" s="24">
        <f t="shared" si="111"/>
        <v>0</v>
      </c>
      <c r="W634" s="24">
        <f t="shared" si="111"/>
        <v>0</v>
      </c>
      <c r="X634" s="24">
        <f t="shared" si="111"/>
        <v>0</v>
      </c>
      <c r="Y634" s="24">
        <f t="shared" si="111"/>
        <v>0</v>
      </c>
      <c r="Z634" s="24">
        <f t="shared" si="111"/>
        <v>0</v>
      </c>
      <c r="AA634" s="24">
        <f t="shared" si="111"/>
        <v>0</v>
      </c>
      <c r="AB634" s="24">
        <f t="shared" si="111"/>
        <v>0</v>
      </c>
      <c r="AC634" s="24">
        <f t="shared" si="111"/>
        <v>0</v>
      </c>
      <c r="AD634" s="24">
        <f t="shared" si="111"/>
        <v>0</v>
      </c>
      <c r="AE634" s="24">
        <f t="shared" si="111"/>
        <v>0</v>
      </c>
    </row>
    <row r="635" spans="2:31" x14ac:dyDescent="0.45">
      <c r="B635" s="14" t="s">
        <v>55</v>
      </c>
      <c r="C635" s="14" t="str">
        <f t="shared" si="109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112">L635*(1+M$618)^($E625*M$619)*(1+M$620)*IF(L598&lt;=0,1,M598/L598)^$F625*(IF(L608&lt;=0,1,M608/L608)^$G625/(1+$H625+$I625))^(1+$F625)</f>
        <v>0</v>
      </c>
      <c r="N635" s="24">
        <f t="shared" si="112"/>
        <v>0</v>
      </c>
      <c r="O635" s="24">
        <f t="shared" si="112"/>
        <v>0</v>
      </c>
      <c r="P635" s="24">
        <f t="shared" si="112"/>
        <v>0</v>
      </c>
      <c r="Q635" s="24">
        <f t="shared" si="112"/>
        <v>0</v>
      </c>
      <c r="R635" s="24">
        <f t="shared" si="112"/>
        <v>0</v>
      </c>
      <c r="S635" s="24">
        <f t="shared" si="112"/>
        <v>0</v>
      </c>
      <c r="T635" s="24">
        <f t="shared" si="112"/>
        <v>0</v>
      </c>
      <c r="U635" s="24">
        <f t="shared" si="112"/>
        <v>0</v>
      </c>
      <c r="V635" s="24">
        <f t="shared" si="112"/>
        <v>0</v>
      </c>
      <c r="W635" s="24">
        <f t="shared" si="112"/>
        <v>0</v>
      </c>
      <c r="X635" s="24">
        <f t="shared" si="112"/>
        <v>0</v>
      </c>
      <c r="Y635" s="24">
        <f t="shared" si="112"/>
        <v>0</v>
      </c>
      <c r="Z635" s="24">
        <f t="shared" si="112"/>
        <v>0</v>
      </c>
      <c r="AA635" s="24">
        <f t="shared" si="112"/>
        <v>0</v>
      </c>
      <c r="AB635" s="24">
        <f t="shared" si="112"/>
        <v>0</v>
      </c>
      <c r="AC635" s="24">
        <f t="shared" si="112"/>
        <v>0</v>
      </c>
      <c r="AD635" s="24">
        <f t="shared" si="112"/>
        <v>0</v>
      </c>
      <c r="AE635" s="24">
        <f t="shared" si="112"/>
        <v>0</v>
      </c>
    </row>
    <row r="636" spans="2:31" x14ac:dyDescent="0.45">
      <c r="B636" s="14" t="s">
        <v>58</v>
      </c>
      <c r="C636" s="14" t="str">
        <f t="shared" si="109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113">L636*(1+M$618)^($E626*M$619)*(1+M$620)*IF(L599&lt;=0,1,M599/L599)^$F626*(IF(L609&lt;=0,1,M609/L609)^$G626/(1+$H626+$I626))^(1+$F626)</f>
        <v>0</v>
      </c>
      <c r="N636" s="24">
        <f t="shared" si="113"/>
        <v>0</v>
      </c>
      <c r="O636" s="24">
        <f t="shared" si="113"/>
        <v>0</v>
      </c>
      <c r="P636" s="24">
        <f t="shared" si="113"/>
        <v>0</v>
      </c>
      <c r="Q636" s="24">
        <f t="shared" si="113"/>
        <v>0</v>
      </c>
      <c r="R636" s="24">
        <f t="shared" si="113"/>
        <v>0</v>
      </c>
      <c r="S636" s="24">
        <f t="shared" si="113"/>
        <v>0</v>
      </c>
      <c r="T636" s="24">
        <f t="shared" si="113"/>
        <v>0</v>
      </c>
      <c r="U636" s="24">
        <f t="shared" si="113"/>
        <v>0</v>
      </c>
      <c r="V636" s="24">
        <f t="shared" si="113"/>
        <v>0</v>
      </c>
      <c r="W636" s="24">
        <f t="shared" si="113"/>
        <v>0</v>
      </c>
      <c r="X636" s="24">
        <f t="shared" si="113"/>
        <v>0</v>
      </c>
      <c r="Y636" s="24">
        <f t="shared" si="113"/>
        <v>0</v>
      </c>
      <c r="Z636" s="24">
        <f t="shared" si="113"/>
        <v>0</v>
      </c>
      <c r="AA636" s="24">
        <f t="shared" si="113"/>
        <v>0</v>
      </c>
      <c r="AB636" s="24">
        <f t="shared" si="113"/>
        <v>0</v>
      </c>
      <c r="AC636" s="24">
        <f t="shared" si="113"/>
        <v>0</v>
      </c>
      <c r="AD636" s="24">
        <f t="shared" si="113"/>
        <v>0</v>
      </c>
      <c r="AE636" s="24">
        <f t="shared" si="113"/>
        <v>0</v>
      </c>
    </row>
    <row r="637" spans="2:31" x14ac:dyDescent="0.45">
      <c r="B637" s="14" t="s">
        <v>60</v>
      </c>
      <c r="C637" s="14" t="str">
        <f t="shared" si="109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114">L637*(1+M$618)^($E627*M$619)*(1+M$620)*IF(L600&lt;=0,1,M600/L600)^$F627*(IF(L610&lt;=0,1,M610/L610)^$G627/(1+$H627+$I627))^(1+$F627)</f>
        <v>0</v>
      </c>
      <c r="N637" s="24">
        <f t="shared" si="114"/>
        <v>0</v>
      </c>
      <c r="O637" s="24">
        <f t="shared" si="114"/>
        <v>0</v>
      </c>
      <c r="P637" s="24">
        <f t="shared" si="114"/>
        <v>0</v>
      </c>
      <c r="Q637" s="24">
        <f t="shared" si="114"/>
        <v>0</v>
      </c>
      <c r="R637" s="24">
        <f t="shared" si="114"/>
        <v>0</v>
      </c>
      <c r="S637" s="24">
        <f t="shared" si="114"/>
        <v>0</v>
      </c>
      <c r="T637" s="24">
        <f t="shared" si="114"/>
        <v>0</v>
      </c>
      <c r="U637" s="24">
        <f t="shared" si="114"/>
        <v>0</v>
      </c>
      <c r="V637" s="24">
        <f t="shared" si="114"/>
        <v>0</v>
      </c>
      <c r="W637" s="24">
        <f t="shared" si="114"/>
        <v>0</v>
      </c>
      <c r="X637" s="24">
        <f t="shared" si="114"/>
        <v>0</v>
      </c>
      <c r="Y637" s="24">
        <f t="shared" si="114"/>
        <v>0</v>
      </c>
      <c r="Z637" s="24">
        <f t="shared" si="114"/>
        <v>0</v>
      </c>
      <c r="AA637" s="24">
        <f t="shared" si="114"/>
        <v>0</v>
      </c>
      <c r="AB637" s="24">
        <f t="shared" si="114"/>
        <v>0</v>
      </c>
      <c r="AC637" s="24">
        <f t="shared" si="114"/>
        <v>0</v>
      </c>
      <c r="AD637" s="24">
        <f t="shared" si="114"/>
        <v>0</v>
      </c>
      <c r="AE637" s="24">
        <f t="shared" si="114"/>
        <v>0</v>
      </c>
    </row>
    <row r="638" spans="2:31" x14ac:dyDescent="0.45">
      <c r="B638" s="14" t="s">
        <v>62</v>
      </c>
      <c r="C638" s="14" t="str">
        <f t="shared" si="109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115">L638*(1+M$618)^($E628*M$619)*(1+M$620)*IF(L601&lt;=0,1,M601/L601)^$F628*(IF(L611&lt;=0,1,M611/L611)^$G628/(1+$H628+$I628))^(1+$F628)</f>
        <v>0</v>
      </c>
      <c r="N638" s="24">
        <f t="shared" si="115"/>
        <v>0</v>
      </c>
      <c r="O638" s="24">
        <f t="shared" si="115"/>
        <v>0</v>
      </c>
      <c r="P638" s="24">
        <f t="shared" si="115"/>
        <v>0</v>
      </c>
      <c r="Q638" s="24">
        <f t="shared" si="115"/>
        <v>0</v>
      </c>
      <c r="R638" s="24">
        <f t="shared" si="115"/>
        <v>0</v>
      </c>
      <c r="S638" s="24">
        <f t="shared" si="115"/>
        <v>0</v>
      </c>
      <c r="T638" s="24">
        <f t="shared" si="115"/>
        <v>0</v>
      </c>
      <c r="U638" s="24">
        <f t="shared" si="115"/>
        <v>0</v>
      </c>
      <c r="V638" s="24">
        <f t="shared" si="115"/>
        <v>0</v>
      </c>
      <c r="W638" s="24">
        <f t="shared" si="115"/>
        <v>0</v>
      </c>
      <c r="X638" s="24">
        <f t="shared" si="115"/>
        <v>0</v>
      </c>
      <c r="Y638" s="24">
        <f t="shared" si="115"/>
        <v>0</v>
      </c>
      <c r="Z638" s="24">
        <f t="shared" si="115"/>
        <v>0</v>
      </c>
      <c r="AA638" s="24">
        <f t="shared" si="115"/>
        <v>0</v>
      </c>
      <c r="AB638" s="24">
        <f t="shared" si="115"/>
        <v>0</v>
      </c>
      <c r="AC638" s="24">
        <f t="shared" si="115"/>
        <v>0</v>
      </c>
      <c r="AD638" s="24">
        <f t="shared" si="115"/>
        <v>0</v>
      </c>
      <c r="AE638" s="24">
        <f t="shared" si="115"/>
        <v>0</v>
      </c>
    </row>
    <row r="639" spans="2:31" x14ac:dyDescent="0.45">
      <c r="B639" s="14" t="s">
        <v>64</v>
      </c>
      <c r="C639" s="14" t="str">
        <f t="shared" si="109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116">L639*(1+M$618)^($E629*M$619)*(1+M$620)*IF(L602&lt;=0,1,M602/L602)^$F629*(IF(L612&lt;=0,1,M612/L612)^$G629/(1+$H629+$I629))^(1+$F629)</f>
        <v>0</v>
      </c>
      <c r="N639" s="24">
        <f t="shared" si="116"/>
        <v>0</v>
      </c>
      <c r="O639" s="24">
        <f t="shared" si="116"/>
        <v>0</v>
      </c>
      <c r="P639" s="24">
        <f t="shared" si="116"/>
        <v>0</v>
      </c>
      <c r="Q639" s="24">
        <f t="shared" si="116"/>
        <v>0</v>
      </c>
      <c r="R639" s="24">
        <f t="shared" si="116"/>
        <v>0</v>
      </c>
      <c r="S639" s="24">
        <f t="shared" si="116"/>
        <v>0</v>
      </c>
      <c r="T639" s="24">
        <f t="shared" si="116"/>
        <v>0</v>
      </c>
      <c r="U639" s="24">
        <f t="shared" si="116"/>
        <v>0</v>
      </c>
      <c r="V639" s="24">
        <f t="shared" si="116"/>
        <v>0</v>
      </c>
      <c r="W639" s="24">
        <f t="shared" si="116"/>
        <v>0</v>
      </c>
      <c r="X639" s="24">
        <f t="shared" si="116"/>
        <v>0</v>
      </c>
      <c r="Y639" s="24">
        <f t="shared" si="116"/>
        <v>0</v>
      </c>
      <c r="Z639" s="24">
        <f t="shared" si="116"/>
        <v>0</v>
      </c>
      <c r="AA639" s="24">
        <f t="shared" si="116"/>
        <v>0</v>
      </c>
      <c r="AB639" s="24">
        <f t="shared" si="116"/>
        <v>0</v>
      </c>
      <c r="AC639" s="24">
        <f t="shared" si="116"/>
        <v>0</v>
      </c>
      <c r="AD639" s="24">
        <f t="shared" si="116"/>
        <v>0</v>
      </c>
      <c r="AE639" s="24">
        <f t="shared" si="116"/>
        <v>0</v>
      </c>
    </row>
    <row r="640" spans="2:31" x14ac:dyDescent="0.45">
      <c r="B640" s="14" t="s">
        <v>67</v>
      </c>
      <c r="C640" s="14" t="str">
        <f t="shared" si="109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117">L640*(1+M$618)^($E630*M$619)*(1+M$620)*IF(L603&lt;=0,1,M603/L603)^$F630*(IF(L613&lt;=0,1,M613/L613)^$G630/(1+$H630+$I630))^(1+$F630)</f>
        <v>0</v>
      </c>
      <c r="N640" s="24">
        <f t="shared" si="117"/>
        <v>0</v>
      </c>
      <c r="O640" s="24">
        <f t="shared" si="117"/>
        <v>0</v>
      </c>
      <c r="P640" s="24">
        <f t="shared" si="117"/>
        <v>0</v>
      </c>
      <c r="Q640" s="24">
        <f t="shared" si="117"/>
        <v>0</v>
      </c>
      <c r="R640" s="24">
        <f t="shared" si="117"/>
        <v>0</v>
      </c>
      <c r="S640" s="24">
        <f t="shared" si="117"/>
        <v>0</v>
      </c>
      <c r="T640" s="24">
        <f t="shared" si="117"/>
        <v>0</v>
      </c>
      <c r="U640" s="24">
        <f t="shared" si="117"/>
        <v>0</v>
      </c>
      <c r="V640" s="24">
        <f t="shared" si="117"/>
        <v>0</v>
      </c>
      <c r="W640" s="24">
        <f t="shared" si="117"/>
        <v>0</v>
      </c>
      <c r="X640" s="24">
        <f t="shared" si="117"/>
        <v>0</v>
      </c>
      <c r="Y640" s="24">
        <f t="shared" si="117"/>
        <v>0</v>
      </c>
      <c r="Z640" s="24">
        <f t="shared" si="117"/>
        <v>0</v>
      </c>
      <c r="AA640" s="24">
        <f t="shared" si="117"/>
        <v>0</v>
      </c>
      <c r="AB640" s="24">
        <f t="shared" si="117"/>
        <v>0</v>
      </c>
      <c r="AC640" s="24">
        <f t="shared" si="117"/>
        <v>0</v>
      </c>
      <c r="AD640" s="24">
        <f t="shared" si="117"/>
        <v>0</v>
      </c>
      <c r="AE640" s="24">
        <f t="shared" si="117"/>
        <v>0</v>
      </c>
    </row>
    <row r="641" spans="1:35" x14ac:dyDescent="0.45">
      <c r="B641" s="14" t="s">
        <v>69</v>
      </c>
      <c r="C641" s="14" t="str">
        <f t="shared" si="109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118">L641*(1+M$618)^($E631*M$619)*(1+M$620)*IF(L604&lt;=0,1,M604/L604)^$F631*(IF(L614&lt;=0,1,M614/L614)^$G631/(1+$H631+$I631))^(1+$F631)</f>
        <v>0</v>
      </c>
      <c r="N641" s="24">
        <f t="shared" si="118"/>
        <v>0</v>
      </c>
      <c r="O641" s="24">
        <f t="shared" si="118"/>
        <v>0</v>
      </c>
      <c r="P641" s="24">
        <f t="shared" si="118"/>
        <v>0</v>
      </c>
      <c r="Q641" s="24">
        <f t="shared" si="118"/>
        <v>0</v>
      </c>
      <c r="R641" s="24">
        <f t="shared" si="118"/>
        <v>0</v>
      </c>
      <c r="S641" s="24">
        <f t="shared" si="118"/>
        <v>0</v>
      </c>
      <c r="T641" s="24">
        <f t="shared" si="118"/>
        <v>0</v>
      </c>
      <c r="U641" s="24">
        <f t="shared" si="118"/>
        <v>0</v>
      </c>
      <c r="V641" s="24">
        <f t="shared" si="118"/>
        <v>0</v>
      </c>
      <c r="W641" s="24">
        <f t="shared" si="118"/>
        <v>0</v>
      </c>
      <c r="X641" s="24">
        <f t="shared" si="118"/>
        <v>0</v>
      </c>
      <c r="Y641" s="24">
        <f t="shared" si="118"/>
        <v>0</v>
      </c>
      <c r="Z641" s="24">
        <f t="shared" si="118"/>
        <v>0</v>
      </c>
      <c r="AA641" s="24">
        <f t="shared" si="118"/>
        <v>0</v>
      </c>
      <c r="AB641" s="24">
        <f t="shared" si="118"/>
        <v>0</v>
      </c>
      <c r="AC641" s="24">
        <f t="shared" si="118"/>
        <v>0</v>
      </c>
      <c r="AD641" s="24">
        <f t="shared" si="118"/>
        <v>0</v>
      </c>
      <c r="AE641" s="24">
        <f t="shared" si="118"/>
        <v>0</v>
      </c>
    </row>
    <row r="642" spans="1:35" x14ac:dyDescent="0.45">
      <c r="B642" s="14" t="s">
        <v>110</v>
      </c>
      <c r="C642" s="14" t="str">
        <f t="shared" si="109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19">SUM(L633:L641)</f>
        <v>0</v>
      </c>
      <c r="M642" s="26">
        <f t="shared" si="119"/>
        <v>0</v>
      </c>
      <c r="N642" s="26">
        <f t="shared" si="119"/>
        <v>0</v>
      </c>
      <c r="O642" s="26">
        <f t="shared" si="119"/>
        <v>0</v>
      </c>
      <c r="P642" s="26">
        <f t="shared" si="119"/>
        <v>0</v>
      </c>
      <c r="Q642" s="26">
        <f t="shared" si="119"/>
        <v>0</v>
      </c>
      <c r="R642" s="26">
        <f t="shared" si="119"/>
        <v>0</v>
      </c>
      <c r="S642" s="26">
        <f t="shared" si="119"/>
        <v>0</v>
      </c>
      <c r="T642" s="26">
        <f t="shared" si="119"/>
        <v>0</v>
      </c>
      <c r="U642" s="26">
        <f t="shared" si="119"/>
        <v>0</v>
      </c>
      <c r="V642" s="26">
        <f t="shared" si="119"/>
        <v>0</v>
      </c>
      <c r="W642" s="26">
        <f t="shared" si="119"/>
        <v>0</v>
      </c>
      <c r="X642" s="26">
        <f t="shared" si="119"/>
        <v>0</v>
      </c>
      <c r="Y642" s="26">
        <f t="shared" si="119"/>
        <v>0</v>
      </c>
      <c r="Z642" s="26">
        <f t="shared" si="119"/>
        <v>0</v>
      </c>
      <c r="AA642" s="26">
        <f t="shared" si="119"/>
        <v>0</v>
      </c>
      <c r="AB642" s="26">
        <f t="shared" si="119"/>
        <v>0</v>
      </c>
      <c r="AC642" s="26">
        <f t="shared" si="119"/>
        <v>0</v>
      </c>
      <c r="AD642" s="26">
        <f t="shared" si="119"/>
        <v>0</v>
      </c>
      <c r="AE642" s="26">
        <f t="shared" si="119"/>
        <v>0</v>
      </c>
    </row>
    <row r="644" spans="1:35" x14ac:dyDescent="0.45">
      <c r="A644" s="11"/>
      <c r="B644" s="6" t="s">
        <v>1423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75"/>
      <c r="C645" s="73" t="s">
        <v>1424</v>
      </c>
      <c r="D645" s="73"/>
      <c r="E645" s="70"/>
      <c r="F645" s="70"/>
      <c r="G645" s="70"/>
      <c r="H645" s="70"/>
      <c r="I645" s="71"/>
      <c r="J645" s="71"/>
      <c r="K645" s="72"/>
      <c r="L645" s="74">
        <f>L739</f>
        <v>2022</v>
      </c>
      <c r="M645" s="74">
        <f>M739</f>
        <v>2023</v>
      </c>
      <c r="N645" s="74">
        <f>N739</f>
        <v>2024</v>
      </c>
      <c r="O645" s="74">
        <f>O739</f>
        <v>2025</v>
      </c>
      <c r="P645" s="74">
        <f>P739</f>
        <v>2026</v>
      </c>
      <c r="Q645" s="74">
        <f>Q739</f>
        <v>2027</v>
      </c>
      <c r="R645" s="74">
        <f>R739</f>
        <v>2028</v>
      </c>
      <c r="S645" s="74">
        <f>S739</f>
        <v>2029</v>
      </c>
      <c r="T645" s="74">
        <f>T739</f>
        <v>2030</v>
      </c>
      <c r="U645" s="74">
        <f>U739</f>
        <v>2031</v>
      </c>
      <c r="V645" s="74">
        <f>V739</f>
        <v>2032</v>
      </c>
      <c r="W645" s="74">
        <f>W739</f>
        <v>2033</v>
      </c>
      <c r="X645" s="74">
        <f>X739</f>
        <v>2034</v>
      </c>
      <c r="Y645" s="74">
        <f>Y739</f>
        <v>2035</v>
      </c>
      <c r="Z645" s="74">
        <f>Z739</f>
        <v>2036</v>
      </c>
      <c r="AA645" s="74">
        <f>AA739</f>
        <v>2037</v>
      </c>
      <c r="AB645" s="74">
        <f>AB739</f>
        <v>2038</v>
      </c>
      <c r="AC645" s="74">
        <f>AC739</f>
        <v>2039</v>
      </c>
      <c r="AD645" s="74">
        <f>AD739</f>
        <v>2040</v>
      </c>
      <c r="AE645" s="74">
        <f>AE739</f>
        <v>2041</v>
      </c>
      <c r="AF645" s="74"/>
      <c r="AG645" s="70"/>
      <c r="AH645" s="70"/>
      <c r="AI645" s="70"/>
    </row>
    <row r="646" spans="1:35" x14ac:dyDescent="0.45">
      <c r="A646" s="71"/>
      <c r="B646" s="75"/>
      <c r="C646" s="70"/>
      <c r="D646" s="73" t="s">
        <v>1425</v>
      </c>
      <c r="E646" s="71" t="s">
        <v>1416</v>
      </c>
      <c r="F646" s="71" t="s">
        <v>26</v>
      </c>
      <c r="G646" s="88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75"/>
      <c r="C647" s="70"/>
      <c r="D647" s="73" t="s">
        <v>1426</v>
      </c>
      <c r="E647" s="70" t="s">
        <v>1416</v>
      </c>
      <c r="F647" s="70" t="s">
        <v>26</v>
      </c>
      <c r="G647" s="89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75"/>
      <c r="C648" s="70"/>
      <c r="D648" s="73" t="s">
        <v>1427</v>
      </c>
      <c r="E648" s="70" t="s">
        <v>1428</v>
      </c>
      <c r="F648" s="70"/>
      <c r="G648" s="70"/>
      <c r="H648" s="70"/>
      <c r="I648" s="70"/>
      <c r="J648" s="70"/>
      <c r="K648" s="70"/>
      <c r="L648" s="86">
        <v>0</v>
      </c>
      <c r="M648" s="86">
        <v>0</v>
      </c>
      <c r="N648" s="86">
        <v>0</v>
      </c>
      <c r="O648" s="86">
        <v>0</v>
      </c>
      <c r="P648" s="86">
        <v>0</v>
      </c>
      <c r="Q648" s="86">
        <v>0</v>
      </c>
      <c r="R648" s="86">
        <v>0</v>
      </c>
      <c r="S648" s="86">
        <v>0</v>
      </c>
      <c r="T648" s="86">
        <v>0</v>
      </c>
      <c r="U648" s="86">
        <v>0</v>
      </c>
      <c r="V648" s="86">
        <v>0</v>
      </c>
      <c r="W648" s="86">
        <v>0</v>
      </c>
      <c r="X648" s="86">
        <v>0</v>
      </c>
      <c r="Y648" s="86">
        <v>0</v>
      </c>
      <c r="Z648" s="86">
        <v>0</v>
      </c>
      <c r="AA648" s="86">
        <v>0</v>
      </c>
      <c r="AB648" s="86">
        <v>0</v>
      </c>
      <c r="AC648" s="86">
        <v>0</v>
      </c>
      <c r="AD648" s="86">
        <v>0</v>
      </c>
      <c r="AE648" s="86">
        <v>0</v>
      </c>
      <c r="AF648" s="70"/>
      <c r="AG648" s="70"/>
      <c r="AH648" s="70"/>
      <c r="AI648" s="70"/>
    </row>
    <row r="649" spans="1:35" x14ac:dyDescent="0.45">
      <c r="A649" s="70"/>
      <c r="B649" s="75"/>
      <c r="C649" s="70"/>
      <c r="D649" s="73" t="s">
        <v>1429</v>
      </c>
      <c r="E649" s="70"/>
      <c r="F649" s="70"/>
      <c r="G649" s="70"/>
      <c r="H649" s="70"/>
      <c r="I649" s="70"/>
      <c r="J649" s="70"/>
      <c r="K649" s="87">
        <v>0</v>
      </c>
      <c r="L649" s="87">
        <v>0</v>
      </c>
      <c r="M649" s="87">
        <v>0</v>
      </c>
      <c r="N649" s="87">
        <v>0</v>
      </c>
      <c r="O649" s="87">
        <v>0</v>
      </c>
      <c r="P649" s="87">
        <v>0</v>
      </c>
      <c r="Q649" s="87">
        <v>0</v>
      </c>
      <c r="R649" s="87">
        <v>0</v>
      </c>
      <c r="S649" s="87">
        <v>0</v>
      </c>
      <c r="T649" s="87">
        <v>0</v>
      </c>
      <c r="U649" s="87">
        <v>0</v>
      </c>
      <c r="V649" s="87">
        <v>0</v>
      </c>
      <c r="W649" s="87">
        <v>0</v>
      </c>
      <c r="X649" s="87">
        <v>0</v>
      </c>
      <c r="Y649" s="87">
        <v>0</v>
      </c>
      <c r="Z649" s="87">
        <v>0</v>
      </c>
      <c r="AA649" s="87">
        <v>0</v>
      </c>
      <c r="AB649" s="87">
        <v>0</v>
      </c>
      <c r="AC649" s="87">
        <v>0</v>
      </c>
      <c r="AD649" s="87">
        <v>0</v>
      </c>
      <c r="AE649" s="87">
        <v>0</v>
      </c>
      <c r="AF649" s="70"/>
      <c r="AG649" s="70"/>
      <c r="AH649" s="70"/>
      <c r="AI649" s="70"/>
    </row>
    <row r="650" spans="1:35" x14ac:dyDescent="0.45">
      <c r="A650" s="70"/>
      <c r="B650" s="75"/>
      <c r="C650" s="70"/>
      <c r="D650" s="73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</row>
    <row r="651" spans="1:35" x14ac:dyDescent="0.45">
      <c r="A651" s="70"/>
      <c r="B651" s="70"/>
      <c r="C651" s="73" t="s">
        <v>1430</v>
      </c>
      <c r="D651" s="73"/>
      <c r="E651" s="71" t="s">
        <v>1431</v>
      </c>
      <c r="F651" s="71" t="s">
        <v>1432</v>
      </c>
      <c r="G651" s="71" t="s">
        <v>1405</v>
      </c>
      <c r="H651" s="71" t="s">
        <v>1433</v>
      </c>
      <c r="I651" s="71" t="s">
        <v>1434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6">
        <f>IF(AND($J$404&gt;1,INDEX(MTInputs!$F$8:$F$415,MATCH("MCovMch",MTInputs!$H$8:$H$415,0))),1,0)</f>
        <v>1</v>
      </c>
      <c r="F652" s="76">
        <f>IF(AND($J$404&gt;1,INDEX(MTInputs!$F$8:$F$415,MATCH("D_NewETS",MTInputs!$H$8:$H$415,0))="Yes"),IF(MTInputs!$F$107,1,0),0)</f>
        <v>0</v>
      </c>
      <c r="G652" s="76">
        <f>IF(MTInputs!$F$117,1,0)</f>
        <v>0</v>
      </c>
      <c r="H652" s="76">
        <f>G652*E652</f>
        <v>0</v>
      </c>
      <c r="I652" s="76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6">
        <f>IF(AND($J$404&gt;1,INDEX(MTInputs!$F$8:$F$415,MATCH("MCovIrn",MTInputs!$H$8:$H$415,0))),1,0)</f>
        <v>1</v>
      </c>
      <c r="F653" s="76">
        <f>IF(AND($J$404&gt;1,INDEX(MTInputs!$F$8:$F$415,MATCH("D_NewETS",MTInputs!$H$8:$H$415,0))="Yes"),IF(MTInputs!$F$108,1,0),0)</f>
        <v>0</v>
      </c>
      <c r="G653" s="76">
        <f>IF(MTInputs!$F$118,1,0)</f>
        <v>0</v>
      </c>
      <c r="H653" s="76">
        <f>G653*E653</f>
        <v>0</v>
      </c>
      <c r="I653" s="76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6">
        <f>IF(AND($J$404&gt;1,INDEX(MTInputs!$F$8:$F$415,MATCH("MCovNfm",MTInputs!$H$8:$H$415,0))),1,0)</f>
        <v>1</v>
      </c>
      <c r="F654" s="76">
        <f>IF(AND($J$404&gt;1,INDEX(MTInputs!$F$8:$F$415,MATCH("D_NewETS",MTInputs!$H$8:$H$415,0))="Yes"),IF(MTInputs!$F$109,1,0),0)</f>
        <v>0</v>
      </c>
      <c r="G654" s="76">
        <f>IF(MTInputs!$F$119,1,0)</f>
        <v>0</v>
      </c>
      <c r="H654" s="76">
        <f>G654*E654</f>
        <v>0</v>
      </c>
      <c r="I654" s="76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6">
        <f>IF(AND($J$404&gt;1,INDEX(MTInputs!$F$8:$F$415,MATCH("MCovMac",MTInputs!$H$8:$H$415,0))),1,0)</f>
        <v>1</v>
      </c>
      <c r="F655" s="76">
        <f>IF(AND($J$404&gt;1,INDEX(MTInputs!$F$8:$F$415,MATCH("D_NewETS",MTInputs!$H$8:$H$415,0))="Yes"),IF(MTInputs!$F$110,1,0),0)</f>
        <v>0</v>
      </c>
      <c r="G655" s="76">
        <f>IF(MTInputs!$F$120,1,0)</f>
        <v>0</v>
      </c>
      <c r="H655" s="76">
        <f>G655*E655</f>
        <v>0</v>
      </c>
      <c r="I655" s="76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6">
        <f>IF(AND($J$404&gt;1,INDEX(MTInputs!$F$8:$F$415,MATCH("MCovCem",MTInputs!$H$8:$H$415,0))),1,0)</f>
        <v>1</v>
      </c>
      <c r="F656" s="76">
        <f>IF(AND($J$404&gt;1,INDEX(MTInputs!$F$8:$F$415,MATCH("D_NewETS",MTInputs!$H$8:$H$415,0))="Yes"),IF(MTInputs!$F$111,1,0),0)</f>
        <v>0</v>
      </c>
      <c r="G656" s="76">
        <f>IF(MTInputs!$F$121,1,0)</f>
        <v>0</v>
      </c>
      <c r="H656" s="76">
        <f>G656*E656</f>
        <v>0</v>
      </c>
      <c r="I656" s="76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73"/>
      <c r="C657" s="73"/>
      <c r="D657" s="7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0"/>
      <c r="AH657" s="70"/>
      <c r="AI657" s="70"/>
    </row>
    <row r="658" spans="1:35" x14ac:dyDescent="0.45">
      <c r="A658" s="70"/>
      <c r="B658" s="73"/>
      <c r="C658" s="73"/>
      <c r="D658" s="7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0"/>
      <c r="AH658" s="70"/>
      <c r="AI658" s="70"/>
    </row>
    <row r="659" spans="1:35" x14ac:dyDescent="0.45">
      <c r="A659" s="70"/>
      <c r="B659" s="73"/>
      <c r="C659" s="73"/>
      <c r="D659" s="7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0"/>
      <c r="AH659" s="70"/>
      <c r="AI659" s="70"/>
    </row>
    <row r="660" spans="1:35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2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75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75"/>
      <c r="C662" s="75"/>
      <c r="D662" s="75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3" t="s">
        <v>1331</v>
      </c>
      <c r="N662" s="93" t="s">
        <v>1332</v>
      </c>
      <c r="O662" s="70" t="s">
        <v>1333</v>
      </c>
      <c r="P662" s="93" t="s">
        <v>1334</v>
      </c>
      <c r="Q662" s="93" t="s">
        <v>1335</v>
      </c>
      <c r="R662" s="93" t="s">
        <v>1336</v>
      </c>
      <c r="S662" s="93" t="s">
        <v>1337</v>
      </c>
      <c r="T662" s="93" t="s">
        <v>1338</v>
      </c>
      <c r="U662" s="93" t="s">
        <v>1339</v>
      </c>
      <c r="V662" s="93" t="s">
        <v>1340</v>
      </c>
      <c r="W662" s="93" t="s">
        <v>1341</v>
      </c>
      <c r="X662" s="93" t="s">
        <v>1342</v>
      </c>
      <c r="Y662" s="93" t="s">
        <v>1343</v>
      </c>
      <c r="Z662" s="93" t="s">
        <v>1344</v>
      </c>
      <c r="AA662" s="93" t="s">
        <v>1345</v>
      </c>
      <c r="AB662" s="93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75"/>
      <c r="C663" s="75"/>
      <c r="D663" s="75" t="s">
        <v>1350</v>
      </c>
      <c r="E663" s="70" t="s">
        <v>1351</v>
      </c>
      <c r="F663" s="70" t="s">
        <v>1352</v>
      </c>
      <c r="G663" s="70" t="s">
        <v>1353</v>
      </c>
      <c r="H663" s="77">
        <f>'Manual inputs'!H$30</f>
        <v>0.12903000000000001</v>
      </c>
      <c r="I663" s="77">
        <f>'Manual inputs'!I$30</f>
        <v>0.56100000000000005</v>
      </c>
      <c r="J663" s="77">
        <f>'Manual inputs'!J$30</f>
        <v>0.04</v>
      </c>
      <c r="K663" s="77">
        <f>'Manual inputs'!K$30</f>
        <v>0</v>
      </c>
      <c r="L663" s="77">
        <f>SUM(H663:K663)</f>
        <v>0.73003000000000007</v>
      </c>
      <c r="M663" s="77">
        <f>'Manual inputs'!M$30</f>
        <v>0</v>
      </c>
      <c r="N663" s="77">
        <f>'Manual inputs'!N$30</f>
        <v>0.73003000000000007</v>
      </c>
      <c r="O663" s="77">
        <f>'Manual inputs'!O$30</f>
        <v>0.25</v>
      </c>
      <c r="P663" s="70">
        <f>'Manual inputs'!P$30</f>
        <v>0</v>
      </c>
      <c r="Q663" s="77">
        <f>N663+O663</f>
        <v>0.98003000000000007</v>
      </c>
      <c r="R663" s="77">
        <f>N663+O663*P663</f>
        <v>0.73003000000000007</v>
      </c>
      <c r="S663" s="78">
        <f>'Manual inputs'!S$30</f>
        <v>5</v>
      </c>
      <c r="T663" s="78">
        <f>'Manual inputs'!T$30</f>
        <v>56.1</v>
      </c>
      <c r="U663" s="78">
        <f>'Manual inputs'!U$30</f>
        <v>24</v>
      </c>
      <c r="V663" s="78">
        <f>'Manual inputs'!V$30</f>
        <v>56.1</v>
      </c>
      <c r="W663" s="77">
        <f>'Manual inputs'!W$30</f>
        <v>1.82</v>
      </c>
      <c r="X663" s="79">
        <f>'Manual inputs'!X$30</f>
        <v>0.1</v>
      </c>
      <c r="Y663" s="77">
        <f>'Manual inputs'!Y$30</f>
        <v>2.0020000000000002</v>
      </c>
      <c r="Z663" s="77">
        <f>'Manual inputs'!Z$30</f>
        <v>0.48099999999999998</v>
      </c>
      <c r="AA663" s="80">
        <f>'Manual inputs'!AA$30</f>
        <v>-1.27197</v>
      </c>
      <c r="AB663" s="80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75"/>
      <c r="C664" s="75"/>
      <c r="D664" s="75" t="s">
        <v>1357</v>
      </c>
      <c r="E664" s="70" t="s">
        <v>1351</v>
      </c>
      <c r="F664" s="70" t="s">
        <v>1358</v>
      </c>
      <c r="G664" s="70" t="s">
        <v>1359</v>
      </c>
      <c r="H664" s="77">
        <f>'Manual inputs'!H$31</f>
        <v>0.14025000000000001</v>
      </c>
      <c r="I664" s="77">
        <f>'Manual inputs'!I$31</f>
        <v>0</v>
      </c>
      <c r="J664" s="77">
        <f>'Manual inputs'!J$31</f>
        <v>1.4999999999999999E-2</v>
      </c>
      <c r="K664" s="77">
        <f>'Manual inputs'!K$31</f>
        <v>0</v>
      </c>
      <c r="L664" s="77">
        <f>SUM(H664:K664)</f>
        <v>0.15525</v>
      </c>
      <c r="M664" s="77">
        <f>'Manual inputs'!M$31</f>
        <v>0</v>
      </c>
      <c r="N664" s="77">
        <f>'Manual inputs'!N$31</f>
        <v>0.15525</v>
      </c>
      <c r="O664" s="77">
        <f>'Manual inputs'!O$31</f>
        <v>0.25</v>
      </c>
      <c r="P664" s="70">
        <f>'Manual inputs'!P$31</f>
        <v>0</v>
      </c>
      <c r="Q664" s="77">
        <f>N664+O664</f>
        <v>0.40525</v>
      </c>
      <c r="R664" s="77">
        <f>N664+O664*P664</f>
        <v>0.15525</v>
      </c>
      <c r="S664" s="78">
        <f>'Manual inputs'!S$31</f>
        <v>2.5</v>
      </c>
      <c r="T664" s="78">
        <f>'Manual inputs'!T$31</f>
        <v>56.1</v>
      </c>
      <c r="U664" s="78">
        <f>'Manual inputs'!U$31</f>
        <v>0</v>
      </c>
      <c r="V664" s="78">
        <f>'Manual inputs'!V$31</f>
        <v>0</v>
      </c>
      <c r="W664" s="77">
        <f>'Manual inputs'!W$31</f>
        <v>0.72</v>
      </c>
      <c r="X664" s="79">
        <f>'Manual inputs'!X$31</f>
        <v>0.1</v>
      </c>
      <c r="Y664" s="77">
        <f>'Manual inputs'!Y$31</f>
        <v>0.79200000000000004</v>
      </c>
      <c r="Z664" s="77">
        <f>'Manual inputs'!Z$31</f>
        <v>7.1999999999999995E-2</v>
      </c>
      <c r="AA664" s="80">
        <f>'Manual inputs'!AA$31</f>
        <v>-0.63675000000000004</v>
      </c>
      <c r="AB664" s="80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75"/>
      <c r="C665" s="75"/>
      <c r="D665" s="75" t="s">
        <v>1363</v>
      </c>
      <c r="E665" s="70" t="s">
        <v>1351</v>
      </c>
      <c r="F665" s="70" t="s">
        <v>1364</v>
      </c>
      <c r="G665" s="70" t="s">
        <v>1365</v>
      </c>
      <c r="H665" s="77">
        <f>'Manual inputs'!H$32</f>
        <v>0.38440000000000002</v>
      </c>
      <c r="I665" s="77">
        <f>'Manual inputs'!I$32</f>
        <v>1.5376000000000001</v>
      </c>
      <c r="J665" s="77">
        <f>'Manual inputs'!J$32</f>
        <v>0.25</v>
      </c>
      <c r="K665" s="77">
        <f>'Manual inputs'!K$32</f>
        <v>0</v>
      </c>
      <c r="L665" s="77">
        <f>SUM(H665:K665)</f>
        <v>2.1720000000000002</v>
      </c>
      <c r="M665" s="77">
        <f>'Manual inputs'!M$32</f>
        <v>0</v>
      </c>
      <c r="N665" s="77">
        <f>'Manual inputs'!N$32</f>
        <v>2.1720000000000002</v>
      </c>
      <c r="O665" s="77">
        <f>'Manual inputs'!O$32</f>
        <v>0.1875</v>
      </c>
      <c r="P665" s="70">
        <f>'Manual inputs'!P$32</f>
        <v>0</v>
      </c>
      <c r="Q665" s="77">
        <f>N665+O665</f>
        <v>2.3595000000000002</v>
      </c>
      <c r="R665" s="77">
        <f>N665+O665*P665</f>
        <v>2.1720000000000002</v>
      </c>
      <c r="S665" s="78">
        <f>'Manual inputs'!S$32</f>
        <v>4</v>
      </c>
      <c r="T665" s="78">
        <f>'Manual inputs'!T$32</f>
        <v>96.1</v>
      </c>
      <c r="U665" s="78">
        <f>'Manual inputs'!U$32</f>
        <v>16</v>
      </c>
      <c r="V665" s="78">
        <f>'Manual inputs'!V$32</f>
        <v>96.1</v>
      </c>
      <c r="W665" s="77">
        <f>'Manual inputs'!W$32</f>
        <v>2.8</v>
      </c>
      <c r="X665" s="79">
        <f>'Manual inputs'!X$32</f>
        <v>0.1</v>
      </c>
      <c r="Y665" s="77">
        <f>'Manual inputs'!Y$32</f>
        <v>3.08</v>
      </c>
      <c r="Z665" s="77">
        <f>'Manual inputs'!Z$32</f>
        <v>1.37</v>
      </c>
      <c r="AA665" s="80">
        <f>'Manual inputs'!AA$32</f>
        <v>-0.90799999999999992</v>
      </c>
      <c r="AB665" s="80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75"/>
      <c r="C666" s="75"/>
      <c r="D666" s="75" t="s">
        <v>1369</v>
      </c>
      <c r="E666" s="70" t="s">
        <v>1370</v>
      </c>
      <c r="F666" s="70" t="s">
        <v>1371</v>
      </c>
      <c r="G666" s="70" t="s">
        <v>1372</v>
      </c>
      <c r="H666" s="77">
        <f>'Manual inputs'!H$33</f>
        <v>0.2883</v>
      </c>
      <c r="I666" s="77">
        <f>'Manual inputs'!I$33</f>
        <v>0</v>
      </c>
      <c r="J666" s="77">
        <f>'Manual inputs'!J$33</f>
        <v>0.52600000000000002</v>
      </c>
      <c r="K666" s="77">
        <f>'Manual inputs'!K$33</f>
        <v>0</v>
      </c>
      <c r="L666" s="77">
        <f>SUM(H666:K666)</f>
        <v>0.81430000000000002</v>
      </c>
      <c r="M666" s="77">
        <f>'Manual inputs'!M$33</f>
        <v>0</v>
      </c>
      <c r="N666" s="77">
        <f>'Manual inputs'!N$33</f>
        <v>0.81430000000000002</v>
      </c>
      <c r="O666" s="77">
        <f>'Manual inputs'!O$33</f>
        <v>5.6250000000000001E-2</v>
      </c>
      <c r="P666" s="70">
        <f>'Manual inputs'!P$33</f>
        <v>1</v>
      </c>
      <c r="Q666" s="77">
        <f>N666+O666</f>
        <v>0.87055000000000005</v>
      </c>
      <c r="R666" s="77">
        <f>N666+O666*P666</f>
        <v>0.87055000000000005</v>
      </c>
      <c r="S666" s="78">
        <f>'Manual inputs'!S$33</f>
        <v>3</v>
      </c>
      <c r="T666" s="78">
        <f>'Manual inputs'!T$33</f>
        <v>96.1</v>
      </c>
      <c r="U666" s="78">
        <f>'Manual inputs'!U$33</f>
        <v>0</v>
      </c>
      <c r="V666" s="78">
        <f>'Manual inputs'!V$33</f>
        <v>0</v>
      </c>
      <c r="W666" s="77">
        <f>'Manual inputs'!W$33</f>
        <v>1.58</v>
      </c>
      <c r="X666" s="79">
        <f>'Manual inputs'!X$33</f>
        <v>0.1</v>
      </c>
      <c r="Y666" s="77">
        <f>'Manual inputs'!Y$33</f>
        <v>1.7380000000000002</v>
      </c>
      <c r="Z666" s="77">
        <f>'Manual inputs'!Z$33</f>
        <v>0.66600000000000004</v>
      </c>
      <c r="AA666" s="80">
        <f>'Manual inputs'!AA$33</f>
        <v>-0.86745000000000017</v>
      </c>
      <c r="AB666" s="80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75"/>
      <c r="C667" s="75"/>
      <c r="D667" s="75" t="s">
        <v>1376</v>
      </c>
      <c r="E667" s="70" t="s">
        <v>1377</v>
      </c>
      <c r="F667" s="70" t="s">
        <v>1378</v>
      </c>
      <c r="G667" s="70" t="s">
        <v>1379</v>
      </c>
      <c r="H667" s="77">
        <f>'Manual inputs'!H$34</f>
        <v>0.39269999999999999</v>
      </c>
      <c r="I667" s="77">
        <f>'Manual inputs'!I$34</f>
        <v>1.4585999999999999</v>
      </c>
      <c r="J667" s="77">
        <f>'Manual inputs'!J$34</f>
        <v>0</v>
      </c>
      <c r="K667" s="77">
        <f>'Manual inputs'!K$34</f>
        <v>0</v>
      </c>
      <c r="L667" s="77">
        <f>SUM(H667:K667)</f>
        <v>1.8512999999999999</v>
      </c>
      <c r="M667" s="77">
        <f>'Manual inputs'!M$34</f>
        <v>0</v>
      </c>
      <c r="N667" s="77">
        <f>'Manual inputs'!N$34</f>
        <v>1.8512999999999999</v>
      </c>
      <c r="O667" s="77">
        <f>'Manual inputs'!O$34</f>
        <v>3.7499999999999999E-2</v>
      </c>
      <c r="P667" s="70">
        <f>'Manual inputs'!P$34</f>
        <v>1</v>
      </c>
      <c r="Q667" s="77">
        <f>N667+O667</f>
        <v>1.8888</v>
      </c>
      <c r="R667" s="77">
        <f>N667+O667*P667</f>
        <v>1.8888</v>
      </c>
      <c r="S667" s="78">
        <f>'Manual inputs'!S$34</f>
        <v>7</v>
      </c>
      <c r="T667" s="78">
        <f>'Manual inputs'!T$34</f>
        <v>56.1</v>
      </c>
      <c r="U667" s="78">
        <f>'Manual inputs'!U$34</f>
        <v>26</v>
      </c>
      <c r="V667" s="78">
        <f>'Manual inputs'!V$34</f>
        <v>56.1</v>
      </c>
      <c r="W667" s="77">
        <f>'Manual inputs'!W$34</f>
        <v>2.0499999999999998</v>
      </c>
      <c r="X667" s="79">
        <f>'Manual inputs'!X$34</f>
        <v>0.01</v>
      </c>
      <c r="Y667" s="77">
        <f>'Manual inputs'!Y$34</f>
        <v>2.0705</v>
      </c>
      <c r="Z667" s="77">
        <f>'Manual inputs'!Z$34</f>
        <v>1.484</v>
      </c>
      <c r="AA667" s="80">
        <f>'Manual inputs'!AA$34</f>
        <v>-0.18169999999999997</v>
      </c>
      <c r="AB667" s="80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75"/>
      <c r="C668" s="75"/>
      <c r="D668" s="75" t="s">
        <v>1383</v>
      </c>
      <c r="E668" s="70" t="s">
        <v>1384</v>
      </c>
      <c r="F668" s="70" t="s">
        <v>1385</v>
      </c>
      <c r="G668" s="70" t="s">
        <v>1386</v>
      </c>
      <c r="H668" s="77">
        <f>'Manual inputs'!H$35</f>
        <v>0.11219999999999999</v>
      </c>
      <c r="I668" s="77">
        <f>'Manual inputs'!I$35</f>
        <v>0</v>
      </c>
      <c r="J668" s="77">
        <f>'Manual inputs'!J$35</f>
        <v>-0.73299999999999998</v>
      </c>
      <c r="K668" s="77">
        <f>'Manual inputs'!K$35</f>
        <v>0</v>
      </c>
      <c r="L668" s="77">
        <f>SUM(H668:K668)</f>
        <v>-0.62080000000000002</v>
      </c>
      <c r="M668" s="77">
        <f>'Manual inputs'!M$35</f>
        <v>1.0709496000000001</v>
      </c>
      <c r="N668" s="77">
        <f>'Manual inputs'!N$35</f>
        <v>0.45014960000000004</v>
      </c>
      <c r="O668" s="77">
        <f>'Manual inputs'!O$35</f>
        <v>3.7499999999999999E-2</v>
      </c>
      <c r="P668" s="70">
        <f>'Manual inputs'!P$35</f>
        <v>1</v>
      </c>
      <c r="Q668" s="77">
        <f>N668+O668</f>
        <v>0.48764960000000002</v>
      </c>
      <c r="R668" s="77">
        <f>N668+O668*P668</f>
        <v>0.48764960000000002</v>
      </c>
      <c r="S668" s="78">
        <f>'Manual inputs'!S$35</f>
        <v>2</v>
      </c>
      <c r="T668" s="78">
        <f>'Manual inputs'!T$35</f>
        <v>56.1</v>
      </c>
      <c r="U668" s="78">
        <f>'Manual inputs'!U$35</f>
        <v>0</v>
      </c>
      <c r="V668" s="78">
        <f>'Manual inputs'!V$35</f>
        <v>0</v>
      </c>
      <c r="W668" s="77">
        <f>'Manual inputs'!W$35</f>
        <v>1.39</v>
      </c>
      <c r="X668" s="79">
        <f>'Manual inputs'!X$35</f>
        <v>0.01</v>
      </c>
      <c r="Y668" s="77">
        <f>'Manual inputs'!Y$35</f>
        <v>1.4038999999999999</v>
      </c>
      <c r="Z668" s="77">
        <f>'Manual inputs'!Z$35</f>
        <v>0.90200000000000002</v>
      </c>
      <c r="AA668" s="80">
        <f>'Manual inputs'!AA$35</f>
        <v>-0.91625039999999991</v>
      </c>
      <c r="AB668" s="80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75"/>
      <c r="C669" s="75"/>
      <c r="D669" s="75" t="s">
        <v>1390</v>
      </c>
      <c r="E669" s="70" t="s">
        <v>1391</v>
      </c>
      <c r="F669" s="70" t="s">
        <v>1392</v>
      </c>
      <c r="G669" s="70" t="s">
        <v>1393</v>
      </c>
      <c r="H669" s="77">
        <f>'Manual inputs'!H$36</f>
        <v>0.11219999999999999</v>
      </c>
      <c r="I669" s="77">
        <f>'Manual inputs'!I$36</f>
        <v>0</v>
      </c>
      <c r="J669" s="77">
        <f>'Manual inputs'!J$36</f>
        <v>0</v>
      </c>
      <c r="K669" s="77">
        <f>'Manual inputs'!K$36</f>
        <v>0.97</v>
      </c>
      <c r="L669" s="77">
        <f>SUM(H669:K669)</f>
        <v>1.0822000000000001</v>
      </c>
      <c r="M669" s="77">
        <f>'Manual inputs'!M$36</f>
        <v>0.40137</v>
      </c>
      <c r="N669" s="77">
        <f>'Manual inputs'!N$36</f>
        <v>1.4835700000000001</v>
      </c>
      <c r="O669" s="77">
        <f>'Manual inputs'!O$36</f>
        <v>4.3749999999999997E-2</v>
      </c>
      <c r="P669" s="70">
        <f>'Manual inputs'!P$36</f>
        <v>1</v>
      </c>
      <c r="Q669" s="77">
        <f>N669+O669</f>
        <v>1.52732</v>
      </c>
      <c r="R669" s="77">
        <f>N669+O669*P669</f>
        <v>1.52732</v>
      </c>
      <c r="S669" s="78">
        <f>'Manual inputs'!S$36</f>
        <v>2</v>
      </c>
      <c r="T669" s="78">
        <f>'Manual inputs'!T$36</f>
        <v>56.1</v>
      </c>
      <c r="U669" s="78">
        <f>'Manual inputs'!U$36</f>
        <v>0</v>
      </c>
      <c r="V669" s="78">
        <f>'Manual inputs'!V$36</f>
        <v>0</v>
      </c>
      <c r="W669" s="77">
        <f>'Manual inputs'!W$36</f>
        <v>2.64</v>
      </c>
      <c r="X669" s="79">
        <f>'Manual inputs'!X$36</f>
        <v>0.01</v>
      </c>
      <c r="Y669" s="77">
        <f>'Manual inputs'!Y$36</f>
        <v>2.6664000000000003</v>
      </c>
      <c r="Z669" s="77">
        <f>'Manual inputs'!Z$36</f>
        <v>0.30199999999999999</v>
      </c>
      <c r="AA669" s="80">
        <f>'Manual inputs'!AA$36</f>
        <v>-1.1390800000000003</v>
      </c>
      <c r="AB669" s="80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75"/>
      <c r="C670" s="75"/>
      <c r="D670" s="75" t="s">
        <v>1397</v>
      </c>
      <c r="E670" s="70" t="s">
        <v>1398</v>
      </c>
      <c r="F670" s="70" t="s">
        <v>1399</v>
      </c>
      <c r="G670" s="70" t="s">
        <v>1400</v>
      </c>
      <c r="H670" s="77">
        <f>'Manual inputs'!H$37</f>
        <v>0.156</v>
      </c>
      <c r="I670" s="77">
        <f>'Manual inputs'!I$37</f>
        <v>0</v>
      </c>
      <c r="J670" s="77">
        <f>'Manual inputs'!J$37</f>
        <v>1.5</v>
      </c>
      <c r="K670" s="77">
        <f>'Manual inputs'!K$37</f>
        <v>0.85</v>
      </c>
      <c r="L670" s="77">
        <f>SUM(H670:K670)</f>
        <v>2.5059999999999998</v>
      </c>
      <c r="M670" s="77">
        <f>'Manual inputs'!M$37</f>
        <v>0</v>
      </c>
      <c r="N670" s="77">
        <f>'Manual inputs'!N$37</f>
        <v>2.5059999999999998</v>
      </c>
      <c r="O670" s="77">
        <f>'Manual inputs'!O$37</f>
        <v>6.75</v>
      </c>
      <c r="P670" s="70">
        <f>'Manual inputs'!P$37</f>
        <v>0</v>
      </c>
      <c r="Q670" s="77">
        <f>N670+O670</f>
        <v>9.2560000000000002</v>
      </c>
      <c r="R670" s="77">
        <f>N670+O670*P670</f>
        <v>2.5059999999999998</v>
      </c>
      <c r="S670" s="78">
        <f>'Manual inputs'!S$37</f>
        <v>2</v>
      </c>
      <c r="T670" s="78">
        <f>'Manual inputs'!T$37</f>
        <v>78</v>
      </c>
      <c r="U670" s="78">
        <f>'Manual inputs'!U$37</f>
        <v>0</v>
      </c>
      <c r="V670" s="78">
        <f>'Manual inputs'!V$37</f>
        <v>0</v>
      </c>
      <c r="W670" s="77">
        <f>'Manual inputs'!W$37</f>
        <v>2.06</v>
      </c>
      <c r="X670" s="79">
        <f>'Manual inputs'!X$37</f>
        <v>0.1</v>
      </c>
      <c r="Y670" s="77">
        <f>'Manual inputs'!Y$37</f>
        <v>2.2660000000000005</v>
      </c>
      <c r="Z670" s="77">
        <f>'Manual inputs'!Z$37</f>
        <v>1.423</v>
      </c>
      <c r="AA670" s="80">
        <f>'Manual inputs'!AA$37</f>
        <v>0.23999999999999932</v>
      </c>
      <c r="AB670" s="80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5"/>
      <c r="C671" s="75"/>
      <c r="D671" s="70"/>
      <c r="E671" s="70"/>
      <c r="F671" s="70"/>
      <c r="G671" s="70"/>
      <c r="H671" s="70"/>
      <c r="I671" s="70"/>
      <c r="J671" s="70"/>
      <c r="K671" s="72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</row>
    <row r="672" spans="1:35" x14ac:dyDescent="0.45">
      <c r="A672" s="70"/>
      <c r="B672" s="75"/>
      <c r="C672" s="75"/>
      <c r="D672" s="70"/>
      <c r="E672" s="70"/>
      <c r="F672" s="70"/>
      <c r="G672" s="70"/>
      <c r="H672" s="70"/>
      <c r="I672" s="70"/>
      <c r="J672" s="70"/>
      <c r="K672" s="72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75"/>
      <c r="C673" s="73" t="s">
        <v>1435</v>
      </c>
      <c r="D673" s="73"/>
      <c r="E673" s="70"/>
      <c r="F673" s="70" t="s">
        <v>1436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75"/>
      <c r="C674" s="71"/>
      <c r="D674" s="73"/>
      <c r="E674" s="71"/>
      <c r="F674" s="70" t="s">
        <v>1437</v>
      </c>
      <c r="G674" s="70" t="s">
        <v>1438</v>
      </c>
      <c r="H674" s="70" t="s">
        <v>1439</v>
      </c>
      <c r="I674" s="70" t="s">
        <v>1440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75"/>
      <c r="C675" s="71"/>
      <c r="D675" s="75" t="s">
        <v>1350</v>
      </c>
      <c r="E675" s="70" t="s">
        <v>1441</v>
      </c>
      <c r="F675" s="90">
        <v>5100</v>
      </c>
      <c r="G675" s="91">
        <v>4.3999999999999997E-2</v>
      </c>
      <c r="H675" s="81"/>
      <c r="I675" s="90">
        <v>580</v>
      </c>
      <c r="J675" s="71"/>
      <c r="K675" s="72"/>
      <c r="L675" s="72">
        <f>M675/(1+G675)</f>
        <v>4679.1738230501605</v>
      </c>
      <c r="M675" s="72">
        <f>N675/(1+G675)</f>
        <v>4885.0574712643675</v>
      </c>
      <c r="N675" s="92">
        <f>IF(UPPER(Settings!$B$3)="EGY",F675,0)</f>
        <v>5100</v>
      </c>
      <c r="O675" s="72">
        <f>N675*(1+G675)</f>
        <v>5324.4000000000005</v>
      </c>
      <c r="P675" s="72">
        <f>O675*(1+G675)</f>
        <v>5558.673600000001</v>
      </c>
      <c r="Q675" s="72">
        <f>P675*(1+G675)</f>
        <v>5803.255238400001</v>
      </c>
      <c r="R675" s="72">
        <f>Q675*(1+G675)</f>
        <v>6058.5984688896015</v>
      </c>
      <c r="S675" s="72">
        <f>R675*(1+G675)</f>
        <v>6325.1768015207444</v>
      </c>
      <c r="T675" s="72">
        <f>S675*(1+G675)</f>
        <v>6603.4845807876573</v>
      </c>
      <c r="U675" s="72">
        <f>T675*(1+G675)</f>
        <v>6894.0379023423147</v>
      </c>
      <c r="V675" s="72">
        <f>U675*(1+G675)</f>
        <v>7197.3755700453767</v>
      </c>
      <c r="W675" s="72">
        <f>V675*(1+G675)</f>
        <v>7514.0600951273736</v>
      </c>
      <c r="X675" s="72">
        <f>W675*(1+G675)</f>
        <v>7844.678739312978</v>
      </c>
      <c r="Y675" s="72">
        <f>X675*(1+G675)</f>
        <v>8189.8446038427492</v>
      </c>
      <c r="Z675" s="72">
        <f>Y675*(1+G675)</f>
        <v>8550.1977664118313</v>
      </c>
      <c r="AA675" s="72">
        <f>Z675*(1+G675)</f>
        <v>8926.4064681339514</v>
      </c>
      <c r="AB675" s="72">
        <f>AA675*(1+G675)</f>
        <v>9319.1683527318455</v>
      </c>
      <c r="AC675" s="72">
        <f>AB675*(1+G675)</f>
        <v>9729.2117602520466</v>
      </c>
      <c r="AD675" s="72">
        <f>AC675*(1+G675)</f>
        <v>10157.297077703137</v>
      </c>
      <c r="AE675" s="72">
        <f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75"/>
      <c r="C676" s="71"/>
      <c r="D676" s="75" t="s">
        <v>1357</v>
      </c>
      <c r="E676" s="70" t="s">
        <v>1441</v>
      </c>
      <c r="F676" s="90">
        <v>4800</v>
      </c>
      <c r="G676" s="91">
        <v>4.3999999999999997E-2</v>
      </c>
      <c r="H676" s="81"/>
      <c r="I676" s="90">
        <v>300</v>
      </c>
      <c r="J676" s="71"/>
      <c r="K676" s="72"/>
      <c r="L676" s="72">
        <f>M676/(1+G676)</f>
        <v>4403.9283040472101</v>
      </c>
      <c r="M676" s="72">
        <f>N676/(1+G676)</f>
        <v>4597.7011494252874</v>
      </c>
      <c r="N676" s="92">
        <f>IF(UPPER(Settings!$B$3)="EGY",F676,0)</f>
        <v>4800</v>
      </c>
      <c r="O676" s="72">
        <f>N676*(1+G676)</f>
        <v>5011.2</v>
      </c>
      <c r="P676" s="72">
        <f>O676*(1+G676)</f>
        <v>5231.6927999999998</v>
      </c>
      <c r="Q676" s="72">
        <f>P676*(1+G676)</f>
        <v>5461.8872831999997</v>
      </c>
      <c r="R676" s="72">
        <f>Q676*(1+G676)</f>
        <v>5702.2103236608</v>
      </c>
      <c r="S676" s="72">
        <f>R676*(1+G676)</f>
        <v>5953.1075779018756</v>
      </c>
      <c r="T676" s="72">
        <f>S676*(1+G676)</f>
        <v>6215.0443113295587</v>
      </c>
      <c r="U676" s="72">
        <f>T676*(1+G676)</f>
        <v>6488.5062610280593</v>
      </c>
      <c r="V676" s="72">
        <f>U676*(1+G676)</f>
        <v>6774.0005365132938</v>
      </c>
      <c r="W676" s="72">
        <f>V676*(1+G676)</f>
        <v>7072.0565601198787</v>
      </c>
      <c r="X676" s="72">
        <f>W676*(1+G676)</f>
        <v>7383.227048765154</v>
      </c>
      <c r="Y676" s="72">
        <f>X676*(1+G676)</f>
        <v>7708.0890389108208</v>
      </c>
      <c r="Z676" s="72">
        <f>Y676*(1+G676)</f>
        <v>8047.244956622897</v>
      </c>
      <c r="AA676" s="72">
        <f>Z676*(1+G676)</f>
        <v>8401.323734714304</v>
      </c>
      <c r="AB676" s="72">
        <f>AA676*(1+G676)</f>
        <v>8770.9819790417332</v>
      </c>
      <c r="AC676" s="72">
        <f>AB676*(1+G676)</f>
        <v>9156.9051861195694</v>
      </c>
      <c r="AD676" s="72">
        <f>AC676*(1+G676)</f>
        <v>9559.8090143088302</v>
      </c>
      <c r="AE676" s="72">
        <f>AD676*(1+G676)</f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75" t="s">
        <v>1363</v>
      </c>
      <c r="E677" s="70" t="s">
        <v>1441</v>
      </c>
      <c r="F677" s="90">
        <v>0</v>
      </c>
      <c r="G677" s="91">
        <v>0</v>
      </c>
      <c r="H677" s="81"/>
      <c r="I677" s="90">
        <v>0</v>
      </c>
      <c r="J677" s="71"/>
      <c r="K677" s="72"/>
      <c r="L677" s="72">
        <f>M677/(1+G677)</f>
        <v>0</v>
      </c>
      <c r="M677" s="72">
        <f>N677/(1+G677)</f>
        <v>0</v>
      </c>
      <c r="N677" s="92">
        <f>IF(UPPER(Settings!$B$3)="EGY",F677,0)</f>
        <v>0</v>
      </c>
      <c r="O677" s="72">
        <f>N677*(1+G677)</f>
        <v>0</v>
      </c>
      <c r="P677" s="72">
        <f>O677*(1+G677)</f>
        <v>0</v>
      </c>
      <c r="Q677" s="72">
        <f>P677*(1+G677)</f>
        <v>0</v>
      </c>
      <c r="R677" s="72">
        <f>Q677*(1+G677)</f>
        <v>0</v>
      </c>
      <c r="S677" s="72">
        <f>R677*(1+G677)</f>
        <v>0</v>
      </c>
      <c r="T677" s="72">
        <f>S677*(1+G677)</f>
        <v>0</v>
      </c>
      <c r="U677" s="72">
        <f>T677*(1+G677)</f>
        <v>0</v>
      </c>
      <c r="V677" s="72">
        <f>U677*(1+G677)</f>
        <v>0</v>
      </c>
      <c r="W677" s="72">
        <f>V677*(1+G677)</f>
        <v>0</v>
      </c>
      <c r="X677" s="72">
        <f>W677*(1+G677)</f>
        <v>0</v>
      </c>
      <c r="Y677" s="72">
        <f>X677*(1+G677)</f>
        <v>0</v>
      </c>
      <c r="Z677" s="72">
        <f>Y677*(1+G677)</f>
        <v>0</v>
      </c>
      <c r="AA677" s="72">
        <f>Z677*(1+G677)</f>
        <v>0</v>
      </c>
      <c r="AB677" s="72">
        <f>AA677*(1+G677)</f>
        <v>0</v>
      </c>
      <c r="AC677" s="72">
        <f>AB677*(1+G677)</f>
        <v>0</v>
      </c>
      <c r="AD677" s="72">
        <f>AC677*(1+G677)</f>
        <v>0</v>
      </c>
      <c r="AE677" s="72">
        <f>AD677*(1+G677)</f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75" t="s">
        <v>1369</v>
      </c>
      <c r="E678" s="70" t="s">
        <v>1442</v>
      </c>
      <c r="F678" s="90">
        <v>50000</v>
      </c>
      <c r="G678" s="91">
        <v>3.3000000000000002E-2</v>
      </c>
      <c r="H678" s="81"/>
      <c r="I678" s="90">
        <v>800</v>
      </c>
      <c r="J678" s="71"/>
      <c r="K678" s="72"/>
      <c r="L678" s="72">
        <f>M678/(1+G678)</f>
        <v>46856.447775209017</v>
      </c>
      <c r="M678" s="72">
        <f>N678/(1+G678)</f>
        <v>48402.710551790908</v>
      </c>
      <c r="N678" s="92">
        <f>IF(UPPER(Settings!$B$3)="EGY",F678,0)</f>
        <v>50000</v>
      </c>
      <c r="O678" s="72">
        <f>N678*(1+G678)</f>
        <v>51649.999999999993</v>
      </c>
      <c r="P678" s="72">
        <f>O678*(1+G678)</f>
        <v>53354.44999999999</v>
      </c>
      <c r="Q678" s="72">
        <f>P678*(1+G678)</f>
        <v>55115.146849999983</v>
      </c>
      <c r="R678" s="72">
        <f>Q678*(1+G678)</f>
        <v>56933.946696049978</v>
      </c>
      <c r="S678" s="72">
        <f>R678*(1+G678)</f>
        <v>58812.766937019624</v>
      </c>
      <c r="T678" s="72">
        <f>S678*(1+G678)</f>
        <v>60753.588245941268</v>
      </c>
      <c r="U678" s="72">
        <f>T678*(1+G678)</f>
        <v>62758.456658057323</v>
      </c>
      <c r="V678" s="72">
        <f>U678*(1+G678)</f>
        <v>64829.485727773208</v>
      </c>
      <c r="W678" s="72">
        <f>V678*(1+G678)</f>
        <v>66968.858756789719</v>
      </c>
      <c r="X678" s="72">
        <f>W678*(1+G678)</f>
        <v>69178.831095763773</v>
      </c>
      <c r="Y678" s="72">
        <f>X678*(1+G678)</f>
        <v>71461.732521923972</v>
      </c>
      <c r="Z678" s="72">
        <f>Y678*(1+G678)</f>
        <v>73819.969695147462</v>
      </c>
      <c r="AA678" s="72">
        <f>Z678*(1+G678)</f>
        <v>76256.028695087327</v>
      </c>
      <c r="AB678" s="72">
        <f>AA678*(1+G678)</f>
        <v>78772.477642025202</v>
      </c>
      <c r="AC678" s="72">
        <f>AB678*(1+G678)</f>
        <v>81371.969404212025</v>
      </c>
      <c r="AD678" s="72">
        <f>AC678*(1+G678)</f>
        <v>84057.244394551017</v>
      </c>
      <c r="AE678" s="72">
        <f>AD678*(1+G678)</f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75" t="s">
        <v>1443</v>
      </c>
      <c r="E679" s="70" t="s">
        <v>1444</v>
      </c>
      <c r="F679" s="90">
        <v>1785</v>
      </c>
      <c r="G679" s="91">
        <v>2.1999999999999999E-2</v>
      </c>
      <c r="H679" s="81"/>
      <c r="I679" s="90">
        <v>120</v>
      </c>
      <c r="J679" s="71"/>
      <c r="K679" s="72"/>
      <c r="L679" s="72">
        <f>M679/(1+G679)</f>
        <v>1708.9778302013242</v>
      </c>
      <c r="M679" s="72">
        <f>N679/(1+G679)</f>
        <v>1746.5753424657535</v>
      </c>
      <c r="N679" s="92">
        <f>IF(UPPER(Settings!$B$3)="EGY",F679,0)</f>
        <v>1785</v>
      </c>
      <c r="O679" s="72">
        <f>N679*(1+G679)</f>
        <v>1824.27</v>
      </c>
      <c r="P679" s="72">
        <f>O679*(1+G679)</f>
        <v>1864.4039399999999</v>
      </c>
      <c r="Q679" s="72">
        <f>P679*(1+G679)</f>
        <v>1905.4208266799999</v>
      </c>
      <c r="R679" s="72">
        <f>Q679*(1+G679)</f>
        <v>1947.3400848669598</v>
      </c>
      <c r="S679" s="72">
        <f>R679*(1+G679)</f>
        <v>1990.1815667340329</v>
      </c>
      <c r="T679" s="72">
        <f>S679*(1+G679)</f>
        <v>2033.9655612021818</v>
      </c>
      <c r="U679" s="72">
        <f>T679*(1+G679)</f>
        <v>2078.7128035486298</v>
      </c>
      <c r="V679" s="72">
        <f>U679*(1+G679)</f>
        <v>2124.4444852266997</v>
      </c>
      <c r="W679" s="72">
        <f>V679*(1+G679)</f>
        <v>2171.1822639016873</v>
      </c>
      <c r="X679" s="72">
        <f>W679*(1+G679)</f>
        <v>2218.9482737075245</v>
      </c>
      <c r="Y679" s="72">
        <f>X679*(1+G679)</f>
        <v>2267.7651357290902</v>
      </c>
      <c r="Z679" s="72">
        <f>Y679*(1+G679)</f>
        <v>2317.6559687151303</v>
      </c>
      <c r="AA679" s="72">
        <f>Z679*(1+G679)</f>
        <v>2368.644400026863</v>
      </c>
      <c r="AB679" s="72">
        <f>AA679*(1+G679)</f>
        <v>2420.754576827454</v>
      </c>
      <c r="AC679" s="72">
        <f>AB679*(1+G679)</f>
        <v>2474.0111775176579</v>
      </c>
      <c r="AD679" s="72">
        <f>AC679*(1+G679)</f>
        <v>2528.4394234230463</v>
      </c>
      <c r="AE679" s="72">
        <f>AD679*(1+G679)</f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75" t="s">
        <v>1383</v>
      </c>
      <c r="E680" s="70" t="s">
        <v>1445</v>
      </c>
      <c r="F680" s="90">
        <v>2800</v>
      </c>
      <c r="G680" s="91">
        <v>2.1999999999999999E-2</v>
      </c>
      <c r="H680" s="81"/>
      <c r="I680" s="90">
        <v>1600</v>
      </c>
      <c r="J680" s="71"/>
      <c r="K680" s="72"/>
      <c r="L680" s="72">
        <f>M680/(1+G680)</f>
        <v>2680.7495375707044</v>
      </c>
      <c r="M680" s="72">
        <f>N680/(1+G680)</f>
        <v>2739.7260273972602</v>
      </c>
      <c r="N680" s="92">
        <f>IF(UPPER(Settings!$B$3)="EGY",F680,0)</f>
        <v>2800</v>
      </c>
      <c r="O680" s="72">
        <f>N680*(1+G680)</f>
        <v>2861.6</v>
      </c>
      <c r="P680" s="72">
        <f>O680*(1+G680)</f>
        <v>2924.5551999999998</v>
      </c>
      <c r="Q680" s="72">
        <f>P680*(1+G680)</f>
        <v>2988.8954143999999</v>
      </c>
      <c r="R680" s="72">
        <f>Q680*(1+G680)</f>
        <v>3054.6511135167998</v>
      </c>
      <c r="S680" s="72">
        <f>R680*(1+G680)</f>
        <v>3121.8534380141696</v>
      </c>
      <c r="T680" s="72">
        <f>S680*(1+G680)</f>
        <v>3190.5342136504814</v>
      </c>
      <c r="U680" s="72">
        <f>T680*(1+G680)</f>
        <v>3260.7259663507921</v>
      </c>
      <c r="V680" s="72">
        <f>U680*(1+G680)</f>
        <v>3332.4619376105097</v>
      </c>
      <c r="W680" s="72">
        <f>V680*(1+G680)</f>
        <v>3405.7761002379411</v>
      </c>
      <c r="X680" s="72">
        <f>W680*(1+G680)</f>
        <v>3480.7031744431761</v>
      </c>
      <c r="Y680" s="72">
        <f>X680*(1+G680)</f>
        <v>3557.2786442809261</v>
      </c>
      <c r="Z680" s="72">
        <f>Y680*(1+G680)</f>
        <v>3635.5387744551067</v>
      </c>
      <c r="AA680" s="72">
        <f>Z680*(1+G680)</f>
        <v>3715.5206274931193</v>
      </c>
      <c r="AB680" s="72">
        <f>AA680*(1+G680)</f>
        <v>3797.2620812979681</v>
      </c>
      <c r="AC680" s="72">
        <f>AB680*(1+G680)</f>
        <v>3880.8018470865236</v>
      </c>
      <c r="AD680" s="72">
        <f>AC680*(1+G680)</f>
        <v>3966.179487722427</v>
      </c>
      <c r="AE680" s="72">
        <f>AD680*(1+G680)</f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75" t="s">
        <v>1390</v>
      </c>
      <c r="E681" s="70" t="s">
        <v>1446</v>
      </c>
      <c r="F681" s="90">
        <v>600</v>
      </c>
      <c r="G681" s="91">
        <v>2.1999999999999999E-2</v>
      </c>
      <c r="H681" s="81"/>
      <c r="I681" s="90">
        <v>80</v>
      </c>
      <c r="J681" s="71"/>
      <c r="K681" s="72"/>
      <c r="L681" s="72">
        <f>M681/(1+G681)</f>
        <v>574.44632947943671</v>
      </c>
      <c r="M681" s="72">
        <f>N681/(1+G681)</f>
        <v>587.08414872798437</v>
      </c>
      <c r="N681" s="92">
        <f>IF(UPPER(Settings!$B$3)="EGY",F681,0)</f>
        <v>600</v>
      </c>
      <c r="O681" s="72">
        <f>N681*(1+G681)</f>
        <v>613.20000000000005</v>
      </c>
      <c r="P681" s="72">
        <f>O681*(1+G681)</f>
        <v>626.69040000000007</v>
      </c>
      <c r="Q681" s="72">
        <f>P681*(1+G681)</f>
        <v>640.47758880000004</v>
      </c>
      <c r="R681" s="72">
        <f>Q681*(1+G681)</f>
        <v>654.56809575360001</v>
      </c>
      <c r="S681" s="72">
        <f>R681*(1+G681)</f>
        <v>668.96859386017923</v>
      </c>
      <c r="T681" s="72">
        <f>S681*(1+G681)</f>
        <v>683.68590292510316</v>
      </c>
      <c r="U681" s="72">
        <f>T681*(1+G681)</f>
        <v>698.72699278945549</v>
      </c>
      <c r="V681" s="72">
        <f>U681*(1+G681)</f>
        <v>714.09898663082356</v>
      </c>
      <c r="W681" s="72">
        <f>V681*(1+G681)</f>
        <v>729.80916433670166</v>
      </c>
      <c r="X681" s="72">
        <f>W681*(1+G681)</f>
        <v>745.86496595210906</v>
      </c>
      <c r="Y681" s="72">
        <f>X681*(1+G681)</f>
        <v>762.27399520305551</v>
      </c>
      <c r="Z681" s="72">
        <f>Y681*(1+G681)</f>
        <v>779.04402309752277</v>
      </c>
      <c r="AA681" s="72">
        <f>Z681*(1+G681)</f>
        <v>796.18299160566824</v>
      </c>
      <c r="AB681" s="72">
        <f>AA681*(1+G681)</f>
        <v>813.69901742099296</v>
      </c>
      <c r="AC681" s="72">
        <f>AB681*(1+G681)</f>
        <v>831.60039580425484</v>
      </c>
      <c r="AD681" s="72">
        <f>AC681*(1+G681)</f>
        <v>849.89560451194848</v>
      </c>
      <c r="AE681" s="72">
        <f>AD681*(1+G681)</f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75" t="s">
        <v>1397</v>
      </c>
      <c r="E682" s="70" t="s">
        <v>1447</v>
      </c>
      <c r="F682" s="90">
        <v>300</v>
      </c>
      <c r="G682" s="91">
        <v>5.5E-2</v>
      </c>
      <c r="H682" s="81"/>
      <c r="I682" s="90">
        <v>167</v>
      </c>
      <c r="J682" s="71"/>
      <c r="K682" s="72"/>
      <c r="L682" s="72">
        <f>M682/(1+G682)</f>
        <v>269.53572471417982</v>
      </c>
      <c r="M682" s="72">
        <f>N682/(1+G682)</f>
        <v>284.36018957345971</v>
      </c>
      <c r="N682" s="92">
        <f>IF(UPPER(Settings!$B$3)="EGY",F682,0)</f>
        <v>300</v>
      </c>
      <c r="O682" s="72">
        <f>N682*(1+G682)</f>
        <v>316.5</v>
      </c>
      <c r="P682" s="72">
        <f>O682*(1+G682)</f>
        <v>333.90749999999997</v>
      </c>
      <c r="Q682" s="72">
        <f>P682*(1+G682)</f>
        <v>352.27241249999997</v>
      </c>
      <c r="R682" s="72">
        <f>Q682*(1+G682)</f>
        <v>371.64739518749997</v>
      </c>
      <c r="S682" s="72">
        <f>R682*(1+G682)</f>
        <v>392.08800192281245</v>
      </c>
      <c r="T682" s="72">
        <f>S682*(1+G682)</f>
        <v>413.65284202856714</v>
      </c>
      <c r="U682" s="72">
        <f>T682*(1+G682)</f>
        <v>436.40374834013829</v>
      </c>
      <c r="V682" s="72">
        <f>U682*(1+G682)</f>
        <v>460.40595449884586</v>
      </c>
      <c r="W682" s="72">
        <f>V682*(1+G682)</f>
        <v>485.72828199628236</v>
      </c>
      <c r="X682" s="72">
        <f>W682*(1+G682)</f>
        <v>512.44333750607791</v>
      </c>
      <c r="Y682" s="72">
        <f>X682*(1+G682)</f>
        <v>540.62772106891214</v>
      </c>
      <c r="Z682" s="72">
        <f>Y682*(1+G682)</f>
        <v>570.36224572770232</v>
      </c>
      <c r="AA682" s="72">
        <f>Z682*(1+G682)</f>
        <v>601.73216924272594</v>
      </c>
      <c r="AB682" s="72">
        <f>AA682*(1+G682)</f>
        <v>634.82743855107583</v>
      </c>
      <c r="AC682" s="72">
        <f>AB682*(1+G682)</f>
        <v>669.74294767138497</v>
      </c>
      <c r="AD682" s="72">
        <f>AC682*(1+G682)</f>
        <v>706.57880979331105</v>
      </c>
      <c r="AE682" s="72">
        <f>AD682*(1+G682)</f>
        <v>745.44064433194308</v>
      </c>
      <c r="AF682" s="72"/>
      <c r="AG682" s="70"/>
      <c r="AH682" s="70"/>
      <c r="AI682" s="70"/>
    </row>
    <row r="683" spans="1:35" x14ac:dyDescent="0.45">
      <c r="A683" s="70"/>
      <c r="B683" s="75"/>
      <c r="C683" s="75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75"/>
      <c r="C684" s="75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75"/>
      <c r="C685" s="75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75"/>
      <c r="C686" s="73" t="s">
        <v>1448</v>
      </c>
      <c r="D686" s="73" t="s">
        <v>1323</v>
      </c>
      <c r="E686" s="70" t="s">
        <v>1449</v>
      </c>
      <c r="F686" s="70" t="s">
        <v>1323</v>
      </c>
      <c r="G686" s="70" t="s">
        <v>1450</v>
      </c>
      <c r="H686" s="70"/>
      <c r="I686" s="71"/>
      <c r="J686" s="71"/>
      <c r="K686" s="72"/>
      <c r="L686" s="74">
        <f>L673</f>
        <v>2022</v>
      </c>
      <c r="M686" s="74">
        <f>M673</f>
        <v>2023</v>
      </c>
      <c r="N686" s="74">
        <f>N673</f>
        <v>2024</v>
      </c>
      <c r="O686" s="74">
        <f>O673</f>
        <v>2025</v>
      </c>
      <c r="P686" s="74">
        <f>P673</f>
        <v>2026</v>
      </c>
      <c r="Q686" s="74">
        <f>Q673</f>
        <v>2027</v>
      </c>
      <c r="R686" s="74">
        <f>R673</f>
        <v>2028</v>
      </c>
      <c r="S686" s="74">
        <f>S673</f>
        <v>2029</v>
      </c>
      <c r="T686" s="74">
        <f>T673</f>
        <v>2030</v>
      </c>
      <c r="U686" s="74">
        <f>U673</f>
        <v>2031</v>
      </c>
      <c r="V686" s="74">
        <f>V673</f>
        <v>2032</v>
      </c>
      <c r="W686" s="74">
        <f>W673</f>
        <v>2033</v>
      </c>
      <c r="X686" s="74">
        <f>X673</f>
        <v>2034</v>
      </c>
      <c r="Y686" s="74">
        <f>Y673</f>
        <v>2035</v>
      </c>
      <c r="Z686" s="74">
        <f>Z673</f>
        <v>2036</v>
      </c>
      <c r="AA686" s="74">
        <f>AA673</f>
        <v>2037</v>
      </c>
      <c r="AB686" s="74">
        <f>AB673</f>
        <v>2038</v>
      </c>
      <c r="AC686" s="74">
        <f>AC673</f>
        <v>2039</v>
      </c>
      <c r="AD686" s="74">
        <f>AD673</f>
        <v>2040</v>
      </c>
      <c r="AE686" s="74">
        <f>AE673</f>
        <v>2041</v>
      </c>
      <c r="AF686" s="74"/>
      <c r="AG686" s="70"/>
      <c r="AH686" s="70"/>
      <c r="AI686" s="70"/>
    </row>
    <row r="687" spans="1:35" x14ac:dyDescent="0.45">
      <c r="A687" s="70"/>
      <c r="B687" s="75"/>
      <c r="C687" s="75"/>
      <c r="D687" s="75" t="s">
        <v>1451</v>
      </c>
      <c r="E687" s="89" t="s">
        <v>1452</v>
      </c>
      <c r="F687" s="70" t="s">
        <v>1453</v>
      </c>
      <c r="G687" s="87">
        <v>750</v>
      </c>
      <c r="H687" s="72"/>
      <c r="I687" s="70"/>
      <c r="J687" s="70"/>
      <c r="K687" s="72"/>
      <c r="L687" s="72">
        <f>G687</f>
        <v>750</v>
      </c>
      <c r="M687" s="72">
        <f>G687</f>
        <v>750</v>
      </c>
      <c r="N687" s="72">
        <f>G687</f>
        <v>750</v>
      </c>
      <c r="O687" s="72">
        <f>G687</f>
        <v>750</v>
      </c>
      <c r="P687" s="72">
        <f>G687</f>
        <v>750</v>
      </c>
      <c r="Q687" s="72">
        <f>G687</f>
        <v>750</v>
      </c>
      <c r="R687" s="72">
        <f>G687</f>
        <v>750</v>
      </c>
      <c r="S687" s="72">
        <f>G687</f>
        <v>750</v>
      </c>
      <c r="T687" s="72">
        <f>G687</f>
        <v>750</v>
      </c>
      <c r="U687" s="72">
        <f>G687</f>
        <v>750</v>
      </c>
      <c r="V687" s="72">
        <f>G687</f>
        <v>750</v>
      </c>
      <c r="W687" s="72">
        <f>G687</f>
        <v>750</v>
      </c>
      <c r="X687" s="72">
        <f>G687</f>
        <v>750</v>
      </c>
      <c r="Y687" s="72">
        <f>G687</f>
        <v>750</v>
      </c>
      <c r="Z687" s="72">
        <f>G687</f>
        <v>750</v>
      </c>
      <c r="AA687" s="72">
        <f>G687</f>
        <v>750</v>
      </c>
      <c r="AB687" s="72">
        <f>G687</f>
        <v>750</v>
      </c>
      <c r="AC687" s="72">
        <f>G687</f>
        <v>750</v>
      </c>
      <c r="AD687" s="72">
        <f>G687</f>
        <v>750</v>
      </c>
      <c r="AE687" s="72">
        <f>G687</f>
        <v>750</v>
      </c>
      <c r="AF687" s="70"/>
      <c r="AG687" s="70"/>
      <c r="AH687" s="70"/>
      <c r="AI687" s="70"/>
    </row>
    <row r="688" spans="1:35" x14ac:dyDescent="0.45">
      <c r="A688" s="70"/>
      <c r="B688" s="75"/>
      <c r="C688" s="75"/>
      <c r="D688" s="75" t="s">
        <v>1454</v>
      </c>
      <c r="E688" s="89" t="s">
        <v>1455</v>
      </c>
      <c r="F688" s="70" t="s">
        <v>1456</v>
      </c>
      <c r="G688" s="87">
        <v>680</v>
      </c>
      <c r="H688" s="70"/>
      <c r="I688" s="70"/>
      <c r="J688" s="70"/>
      <c r="K688" s="72"/>
      <c r="L688" s="72">
        <f>G688</f>
        <v>680</v>
      </c>
      <c r="M688" s="72">
        <f>G688</f>
        <v>680</v>
      </c>
      <c r="N688" s="72">
        <f>G688</f>
        <v>680</v>
      </c>
      <c r="O688" s="72">
        <f>G688</f>
        <v>680</v>
      </c>
      <c r="P688" s="72">
        <f>G688</f>
        <v>680</v>
      </c>
      <c r="Q688" s="72">
        <f>G688</f>
        <v>680</v>
      </c>
      <c r="R688" s="72">
        <f>G688</f>
        <v>680</v>
      </c>
      <c r="S688" s="72">
        <f>G688</f>
        <v>680</v>
      </c>
      <c r="T688" s="72">
        <f>G688</f>
        <v>680</v>
      </c>
      <c r="U688" s="72">
        <f>G688</f>
        <v>680</v>
      </c>
      <c r="V688" s="72">
        <f>G688</f>
        <v>680</v>
      </c>
      <c r="W688" s="72">
        <f>G688</f>
        <v>680</v>
      </c>
      <c r="X688" s="72">
        <f>G688</f>
        <v>680</v>
      </c>
      <c r="Y688" s="72">
        <f>G688</f>
        <v>680</v>
      </c>
      <c r="Z688" s="72">
        <f>G688</f>
        <v>680</v>
      </c>
      <c r="AA688" s="72">
        <f>G688</f>
        <v>680</v>
      </c>
      <c r="AB688" s="72">
        <f>G688</f>
        <v>680</v>
      </c>
      <c r="AC688" s="72">
        <f>G688</f>
        <v>680</v>
      </c>
      <c r="AD688" s="72">
        <f>G688</f>
        <v>680</v>
      </c>
      <c r="AE688" s="72">
        <f>G688</f>
        <v>680</v>
      </c>
      <c r="AF688" s="70"/>
      <c r="AG688" s="70"/>
      <c r="AH688" s="70"/>
      <c r="AI688" s="70"/>
    </row>
    <row r="689" spans="1:35" x14ac:dyDescent="0.45">
      <c r="A689" s="70"/>
      <c r="B689" s="75"/>
      <c r="C689" s="75"/>
      <c r="D689" s="75" t="s">
        <v>1457</v>
      </c>
      <c r="E689" s="89" t="s">
        <v>1458</v>
      </c>
      <c r="F689" s="70" t="s">
        <v>1459</v>
      </c>
      <c r="G689" s="87">
        <v>620</v>
      </c>
      <c r="H689" s="70"/>
      <c r="I689" s="70"/>
      <c r="J689" s="70"/>
      <c r="K689" s="72"/>
      <c r="L689" s="72">
        <f>G689</f>
        <v>620</v>
      </c>
      <c r="M689" s="72">
        <f>G689</f>
        <v>620</v>
      </c>
      <c r="N689" s="72">
        <f>G689</f>
        <v>620</v>
      </c>
      <c r="O689" s="72">
        <f>G689</f>
        <v>620</v>
      </c>
      <c r="P689" s="72">
        <f>G689</f>
        <v>620</v>
      </c>
      <c r="Q689" s="72">
        <f>G689</f>
        <v>620</v>
      </c>
      <c r="R689" s="72">
        <f>G689</f>
        <v>620</v>
      </c>
      <c r="S689" s="72">
        <f>G689</f>
        <v>620</v>
      </c>
      <c r="T689" s="72">
        <f>G689</f>
        <v>620</v>
      </c>
      <c r="U689" s="72">
        <f>G689</f>
        <v>620</v>
      </c>
      <c r="V689" s="72">
        <f>G689</f>
        <v>620</v>
      </c>
      <c r="W689" s="72">
        <f>G689</f>
        <v>620</v>
      </c>
      <c r="X689" s="72">
        <f>G689</f>
        <v>620</v>
      </c>
      <c r="Y689" s="72">
        <f>G689</f>
        <v>620</v>
      </c>
      <c r="Z689" s="72">
        <f>G689</f>
        <v>620</v>
      </c>
      <c r="AA689" s="72">
        <f>G689</f>
        <v>620</v>
      </c>
      <c r="AB689" s="72">
        <f>G689</f>
        <v>620</v>
      </c>
      <c r="AC689" s="72">
        <f>G689</f>
        <v>620</v>
      </c>
      <c r="AD689" s="72">
        <f>G689</f>
        <v>620</v>
      </c>
      <c r="AE689" s="72">
        <f>G689</f>
        <v>620</v>
      </c>
      <c r="AF689" s="70"/>
      <c r="AG689" s="70"/>
      <c r="AH689" s="70"/>
      <c r="AI689" s="70"/>
    </row>
    <row r="690" spans="1:35" x14ac:dyDescent="0.45">
      <c r="A690" s="70"/>
      <c r="B690" s="75"/>
      <c r="C690" s="75"/>
      <c r="D690" s="75" t="s">
        <v>1460</v>
      </c>
      <c r="E690" s="89" t="s">
        <v>1461</v>
      </c>
      <c r="F690" s="70" t="s">
        <v>1462</v>
      </c>
      <c r="G690" s="87">
        <v>110</v>
      </c>
      <c r="H690" s="70"/>
      <c r="I690" s="70"/>
      <c r="J690" s="70"/>
      <c r="K690" s="72"/>
      <c r="L690" s="72">
        <f>G690</f>
        <v>110</v>
      </c>
      <c r="M690" s="72">
        <f>G690</f>
        <v>110</v>
      </c>
      <c r="N690" s="72">
        <f>G690</f>
        <v>110</v>
      </c>
      <c r="O690" s="72">
        <f>G690</f>
        <v>110</v>
      </c>
      <c r="P690" s="72">
        <f>G690</f>
        <v>110</v>
      </c>
      <c r="Q690" s="72">
        <f>G690</f>
        <v>110</v>
      </c>
      <c r="R690" s="72">
        <f>G690</f>
        <v>110</v>
      </c>
      <c r="S690" s="72">
        <f>G690</f>
        <v>110</v>
      </c>
      <c r="T690" s="72">
        <f>G690</f>
        <v>110</v>
      </c>
      <c r="U690" s="72">
        <f>G690</f>
        <v>110</v>
      </c>
      <c r="V690" s="72">
        <f>G690</f>
        <v>110</v>
      </c>
      <c r="W690" s="72">
        <f>G690</f>
        <v>110</v>
      </c>
      <c r="X690" s="72">
        <f>G690</f>
        <v>110</v>
      </c>
      <c r="Y690" s="72">
        <f>G690</f>
        <v>110</v>
      </c>
      <c r="Z690" s="72">
        <f>G690</f>
        <v>110</v>
      </c>
      <c r="AA690" s="72">
        <f>G690</f>
        <v>110</v>
      </c>
      <c r="AB690" s="72">
        <f>G690</f>
        <v>110</v>
      </c>
      <c r="AC690" s="72">
        <f>G690</f>
        <v>110</v>
      </c>
      <c r="AD690" s="72">
        <f>G690</f>
        <v>110</v>
      </c>
      <c r="AE690" s="72">
        <f>G690</f>
        <v>110</v>
      </c>
      <c r="AF690" s="70"/>
      <c r="AG690" s="70"/>
      <c r="AH690" s="70"/>
      <c r="AI690" s="70"/>
    </row>
    <row r="691" spans="1:35" x14ac:dyDescent="0.45">
      <c r="A691" s="70"/>
      <c r="B691" s="75"/>
      <c r="C691" s="75"/>
      <c r="D691" s="75" t="s">
        <v>1463</v>
      </c>
      <c r="E691" s="89" t="s">
        <v>1464</v>
      </c>
      <c r="F691" s="70" t="s">
        <v>1465</v>
      </c>
      <c r="G691" s="87">
        <v>450</v>
      </c>
      <c r="H691" s="70"/>
      <c r="I691" s="70"/>
      <c r="J691" s="70"/>
      <c r="K691" s="72"/>
      <c r="L691" s="72">
        <f>G691</f>
        <v>450</v>
      </c>
      <c r="M691" s="72">
        <f>G691</f>
        <v>450</v>
      </c>
      <c r="N691" s="72">
        <f>G691</f>
        <v>450</v>
      </c>
      <c r="O691" s="72">
        <f>G691</f>
        <v>450</v>
      </c>
      <c r="P691" s="72">
        <f>G691</f>
        <v>450</v>
      </c>
      <c r="Q691" s="72">
        <f>G691</f>
        <v>450</v>
      </c>
      <c r="R691" s="72">
        <f>G691</f>
        <v>450</v>
      </c>
      <c r="S691" s="72">
        <f>G691</f>
        <v>450</v>
      </c>
      <c r="T691" s="72">
        <f>G691</f>
        <v>450</v>
      </c>
      <c r="U691" s="72">
        <f>G691</f>
        <v>450</v>
      </c>
      <c r="V691" s="72">
        <f>G691</f>
        <v>450</v>
      </c>
      <c r="W691" s="72">
        <f>G691</f>
        <v>450</v>
      </c>
      <c r="X691" s="72">
        <f>G691</f>
        <v>450</v>
      </c>
      <c r="Y691" s="72">
        <f>G691</f>
        <v>450</v>
      </c>
      <c r="Z691" s="72">
        <f>G691</f>
        <v>450</v>
      </c>
      <c r="AA691" s="72">
        <f>G691</f>
        <v>450</v>
      </c>
      <c r="AB691" s="72">
        <f>G691</f>
        <v>450</v>
      </c>
      <c r="AC691" s="72">
        <f>G691</f>
        <v>450</v>
      </c>
      <c r="AD691" s="72">
        <f>G691</f>
        <v>450</v>
      </c>
      <c r="AE691" s="72">
        <f>G691</f>
        <v>450</v>
      </c>
      <c r="AF691" s="70"/>
      <c r="AG691" s="70"/>
      <c r="AH691" s="70"/>
      <c r="AI691" s="70"/>
    </row>
    <row r="692" spans="1:35" x14ac:dyDescent="0.45">
      <c r="A692" s="70"/>
      <c r="B692" s="75"/>
      <c r="C692" s="75"/>
      <c r="D692" s="75" t="s">
        <v>1466</v>
      </c>
      <c r="E692" s="89" t="s">
        <v>1467</v>
      </c>
      <c r="F692" s="70" t="s">
        <v>1468</v>
      </c>
      <c r="G692" s="87">
        <v>380</v>
      </c>
      <c r="H692" s="70"/>
      <c r="I692" s="70"/>
      <c r="J692" s="70"/>
      <c r="K692" s="72"/>
      <c r="L692" s="72">
        <f>G692</f>
        <v>380</v>
      </c>
      <c r="M692" s="72">
        <f>G692</f>
        <v>380</v>
      </c>
      <c r="N692" s="72">
        <f>G692</f>
        <v>380</v>
      </c>
      <c r="O692" s="72">
        <f>G692</f>
        <v>380</v>
      </c>
      <c r="P692" s="72">
        <f>G692</f>
        <v>380</v>
      </c>
      <c r="Q692" s="72">
        <f>G692</f>
        <v>380</v>
      </c>
      <c r="R692" s="72">
        <f>G692</f>
        <v>380</v>
      </c>
      <c r="S692" s="72">
        <f>G692</f>
        <v>380</v>
      </c>
      <c r="T692" s="72">
        <f>G692</f>
        <v>380</v>
      </c>
      <c r="U692" s="72">
        <f>G692</f>
        <v>380</v>
      </c>
      <c r="V692" s="72">
        <f>G692</f>
        <v>380</v>
      </c>
      <c r="W692" s="72">
        <f>G692</f>
        <v>380</v>
      </c>
      <c r="X692" s="72">
        <f>G692</f>
        <v>380</v>
      </c>
      <c r="Y692" s="72">
        <f>G692</f>
        <v>380</v>
      </c>
      <c r="Z692" s="72">
        <f>G692</f>
        <v>380</v>
      </c>
      <c r="AA692" s="72">
        <f>G692</f>
        <v>380</v>
      </c>
      <c r="AB692" s="72">
        <f>G692</f>
        <v>380</v>
      </c>
      <c r="AC692" s="72">
        <f>G692</f>
        <v>380</v>
      </c>
      <c r="AD692" s="72">
        <f>G692</f>
        <v>380</v>
      </c>
      <c r="AE692" s="72">
        <f>G692</f>
        <v>380</v>
      </c>
      <c r="AF692" s="70"/>
      <c r="AG692" s="70"/>
      <c r="AH692" s="70"/>
      <c r="AI692" s="70"/>
    </row>
    <row r="693" spans="1:35" x14ac:dyDescent="0.45">
      <c r="A693" s="70"/>
      <c r="B693" s="75"/>
      <c r="C693" s="75"/>
      <c r="D693" s="75" t="s">
        <v>1469</v>
      </c>
      <c r="E693" s="89" t="s">
        <v>1470</v>
      </c>
      <c r="F693" s="70" t="s">
        <v>1471</v>
      </c>
      <c r="G693" s="87">
        <v>320</v>
      </c>
      <c r="H693" s="70"/>
      <c r="I693" s="70"/>
      <c r="J693" s="70"/>
      <c r="K693" s="72"/>
      <c r="L693" s="72">
        <f>G693</f>
        <v>320</v>
      </c>
      <c r="M693" s="72">
        <f>G693</f>
        <v>320</v>
      </c>
      <c r="N693" s="72">
        <f>G693</f>
        <v>320</v>
      </c>
      <c r="O693" s="72">
        <f>G693</f>
        <v>320</v>
      </c>
      <c r="P693" s="72">
        <f>G693</f>
        <v>320</v>
      </c>
      <c r="Q693" s="72">
        <f>G693</f>
        <v>320</v>
      </c>
      <c r="R693" s="72">
        <f>G693</f>
        <v>320</v>
      </c>
      <c r="S693" s="72">
        <f>G693</f>
        <v>320</v>
      </c>
      <c r="T693" s="72">
        <f>G693</f>
        <v>320</v>
      </c>
      <c r="U693" s="72">
        <f>G693</f>
        <v>320</v>
      </c>
      <c r="V693" s="72">
        <f>G693</f>
        <v>320</v>
      </c>
      <c r="W693" s="72">
        <f>G693</f>
        <v>320</v>
      </c>
      <c r="X693" s="72">
        <f>G693</f>
        <v>320</v>
      </c>
      <c r="Y693" s="72">
        <f>G693</f>
        <v>320</v>
      </c>
      <c r="Z693" s="72">
        <f>G693</f>
        <v>320</v>
      </c>
      <c r="AA693" s="72">
        <f>G693</f>
        <v>320</v>
      </c>
      <c r="AB693" s="72">
        <f>G693</f>
        <v>320</v>
      </c>
      <c r="AC693" s="72">
        <f>G693</f>
        <v>320</v>
      </c>
      <c r="AD693" s="72">
        <f>G693</f>
        <v>320</v>
      </c>
      <c r="AE693" s="72">
        <f>G693</f>
        <v>320</v>
      </c>
      <c r="AF693" s="70"/>
      <c r="AG693" s="70"/>
      <c r="AH693" s="70"/>
      <c r="AI693" s="70"/>
    </row>
    <row r="694" spans="1:35" x14ac:dyDescent="0.45">
      <c r="A694" s="70"/>
      <c r="B694" s="75"/>
      <c r="C694" s="75"/>
      <c r="D694" s="75" t="s">
        <v>1472</v>
      </c>
      <c r="E694" s="89" t="s">
        <v>1473</v>
      </c>
      <c r="F694" s="70" t="s">
        <v>1474</v>
      </c>
      <c r="G694" s="87">
        <v>2400</v>
      </c>
      <c r="H694" s="70"/>
      <c r="I694" s="70"/>
      <c r="J694" s="70"/>
      <c r="K694" s="72"/>
      <c r="L694" s="72">
        <f>G694</f>
        <v>2400</v>
      </c>
      <c r="M694" s="72">
        <f>G694</f>
        <v>2400</v>
      </c>
      <c r="N694" s="72">
        <f>G694</f>
        <v>2400</v>
      </c>
      <c r="O694" s="72">
        <f>G694</f>
        <v>2400</v>
      </c>
      <c r="P694" s="72">
        <f>G694</f>
        <v>2400</v>
      </c>
      <c r="Q694" s="72">
        <f>G694</f>
        <v>2400</v>
      </c>
      <c r="R694" s="72">
        <f>G694</f>
        <v>2400</v>
      </c>
      <c r="S694" s="72">
        <f>G694</f>
        <v>2400</v>
      </c>
      <c r="T694" s="72">
        <f>G694</f>
        <v>2400</v>
      </c>
      <c r="U694" s="72">
        <f>G694</f>
        <v>2400</v>
      </c>
      <c r="V694" s="72">
        <f>G694</f>
        <v>2400</v>
      </c>
      <c r="W694" s="72">
        <f>G694</f>
        <v>2400</v>
      </c>
      <c r="X694" s="72">
        <f>G694</f>
        <v>2400</v>
      </c>
      <c r="Y694" s="72">
        <f>G694</f>
        <v>2400</v>
      </c>
      <c r="Z694" s="72">
        <f>G694</f>
        <v>2400</v>
      </c>
      <c r="AA694" s="72">
        <f>G694</f>
        <v>2400</v>
      </c>
      <c r="AB694" s="72">
        <f>G694</f>
        <v>2400</v>
      </c>
      <c r="AC694" s="72">
        <f>G694</f>
        <v>2400</v>
      </c>
      <c r="AD694" s="72">
        <f>G694</f>
        <v>2400</v>
      </c>
      <c r="AE694" s="72">
        <f>G694</f>
        <v>2400</v>
      </c>
      <c r="AF694" s="70"/>
      <c r="AG694" s="70"/>
      <c r="AH694" s="70"/>
      <c r="AI694" s="70"/>
    </row>
    <row r="695" spans="1:35" x14ac:dyDescent="0.45">
      <c r="A695" s="70"/>
      <c r="B695" s="75"/>
      <c r="C695" s="75"/>
      <c r="D695" s="75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75"/>
      <c r="C696" s="75"/>
      <c r="D696" s="75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75"/>
      <c r="C697" s="73" t="s">
        <v>1475</v>
      </c>
      <c r="D697" s="73"/>
      <c r="E697" s="72" t="str">
        <f>F728</f>
        <v>EF Fuel CO2</v>
      </c>
      <c r="F697" s="70" t="s">
        <v>1476</v>
      </c>
      <c r="G697" s="70" t="s">
        <v>1477</v>
      </c>
      <c r="H697" s="71"/>
      <c r="I697" s="71"/>
      <c r="J697" s="71"/>
      <c r="K697" s="72"/>
      <c r="L697" s="74">
        <f>L645</f>
        <v>2022</v>
      </c>
      <c r="M697" s="74">
        <f>M645</f>
        <v>2023</v>
      </c>
      <c r="N697" s="74">
        <f>N645</f>
        <v>2024</v>
      </c>
      <c r="O697" s="74">
        <f>O645</f>
        <v>2025</v>
      </c>
      <c r="P697" s="74">
        <f>P645</f>
        <v>2026</v>
      </c>
      <c r="Q697" s="74">
        <f>Q645</f>
        <v>2027</v>
      </c>
      <c r="R697" s="74">
        <f>R645</f>
        <v>2028</v>
      </c>
      <c r="S697" s="74">
        <f>S645</f>
        <v>2029</v>
      </c>
      <c r="T697" s="74">
        <f>T645</f>
        <v>2030</v>
      </c>
      <c r="U697" s="74">
        <f>U645</f>
        <v>2031</v>
      </c>
      <c r="V697" s="74">
        <f>V645</f>
        <v>2032</v>
      </c>
      <c r="W697" s="74">
        <f>W645</f>
        <v>2033</v>
      </c>
      <c r="X697" s="74">
        <f>X645</f>
        <v>2034</v>
      </c>
      <c r="Y697" s="74">
        <f>Y645</f>
        <v>2035</v>
      </c>
      <c r="Z697" s="74">
        <f>Z645</f>
        <v>2036</v>
      </c>
      <c r="AA697" s="74">
        <f>AA645</f>
        <v>2037</v>
      </c>
      <c r="AB697" s="74">
        <f>AB645</f>
        <v>2038</v>
      </c>
      <c r="AC697" s="74">
        <f>AC645</f>
        <v>2039</v>
      </c>
      <c r="AD697" s="74">
        <f>AD645</f>
        <v>2040</v>
      </c>
      <c r="AE697" s="74">
        <f>AE645</f>
        <v>2041</v>
      </c>
      <c r="AF697" s="74"/>
      <c r="AG697" s="70"/>
      <c r="AH697" s="70"/>
      <c r="AI697" s="70"/>
    </row>
    <row r="698" spans="1:35" x14ac:dyDescent="0.45">
      <c r="A698" s="70"/>
      <c r="B698" s="75"/>
      <c r="C698" s="75"/>
      <c r="D698" s="75" t="s">
        <v>1451</v>
      </c>
      <c r="E698" s="72">
        <f>F729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75"/>
      <c r="C699" s="75"/>
      <c r="D699" s="75" t="s">
        <v>1454</v>
      </c>
      <c r="E699" s="72">
        <f>F730</f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75"/>
      <c r="C700" s="75"/>
      <c r="D700" s="75" t="s">
        <v>1457</v>
      </c>
      <c r="E700" s="72">
        <f>F731</f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75"/>
      <c r="C701" s="75"/>
      <c r="D701" s="75" t="s">
        <v>1460</v>
      </c>
      <c r="E701" s="72">
        <f>F732</f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75"/>
      <c r="C702" s="75"/>
      <c r="D702" s="75" t="s">
        <v>1463</v>
      </c>
      <c r="E702" s="72">
        <f>F733</f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75"/>
      <c r="C703" s="75"/>
      <c r="D703" s="75" t="s">
        <v>1466</v>
      </c>
      <c r="E703" s="72">
        <f>F734</f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75"/>
      <c r="C704" s="75"/>
      <c r="D704" s="75" t="s">
        <v>1469</v>
      </c>
      <c r="E704" s="72">
        <f>F735</f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75"/>
      <c r="C705" s="75"/>
      <c r="D705" s="75" t="s">
        <v>1472</v>
      </c>
      <c r="E705" s="72">
        <f>F736</f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75"/>
      <c r="C706" s="75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0"/>
      <c r="B707" s="75"/>
      <c r="C707" s="75"/>
      <c r="D707" s="70"/>
      <c r="E707" s="70"/>
      <c r="F707" s="70"/>
      <c r="G707" s="70"/>
      <c r="H707" s="70"/>
      <c r="I707" s="70"/>
      <c r="J707" s="70"/>
      <c r="K707" s="72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</row>
    <row r="708" spans="1:35" x14ac:dyDescent="0.45">
      <c r="A708" s="70"/>
      <c r="B708" s="75"/>
      <c r="C708" s="73" t="s">
        <v>1478</v>
      </c>
      <c r="D708" s="73"/>
      <c r="E708" s="72" t="str">
        <f>G728</f>
        <v>EF, Process non-ff co2 + all non-co2</v>
      </c>
      <c r="F708" s="70" t="s">
        <v>1479</v>
      </c>
      <c r="G708" s="70" t="s">
        <v>1480</v>
      </c>
      <c r="H708" s="71"/>
      <c r="I708" s="71"/>
      <c r="J708" s="71"/>
      <c r="K708" s="72"/>
      <c r="L708" s="74">
        <f>L697</f>
        <v>2022</v>
      </c>
      <c r="M708" s="74">
        <f>M697</f>
        <v>2023</v>
      </c>
      <c r="N708" s="74">
        <f>N697</f>
        <v>2024</v>
      </c>
      <c r="O708" s="74">
        <f>O697</f>
        <v>2025</v>
      </c>
      <c r="P708" s="74">
        <f>P697</f>
        <v>2026</v>
      </c>
      <c r="Q708" s="74">
        <f>Q697</f>
        <v>2027</v>
      </c>
      <c r="R708" s="74">
        <f>R697</f>
        <v>2028</v>
      </c>
      <c r="S708" s="74">
        <f>S697</f>
        <v>2029</v>
      </c>
      <c r="T708" s="74">
        <f>T697</f>
        <v>2030</v>
      </c>
      <c r="U708" s="74">
        <f>U697</f>
        <v>2031</v>
      </c>
      <c r="V708" s="74">
        <f>V697</f>
        <v>2032</v>
      </c>
      <c r="W708" s="74">
        <f>W697</f>
        <v>2033</v>
      </c>
      <c r="X708" s="74">
        <f>X697</f>
        <v>2034</v>
      </c>
      <c r="Y708" s="74">
        <f>Y697</f>
        <v>2035</v>
      </c>
      <c r="Z708" s="74">
        <f>Z697</f>
        <v>2036</v>
      </c>
      <c r="AA708" s="74">
        <f>AA697</f>
        <v>2037</v>
      </c>
      <c r="AB708" s="74">
        <f>AB697</f>
        <v>2038</v>
      </c>
      <c r="AC708" s="74">
        <f>AC697</f>
        <v>2039</v>
      </c>
      <c r="AD708" s="74">
        <f>AD697</f>
        <v>2040</v>
      </c>
      <c r="AE708" s="74">
        <f>AE697</f>
        <v>2041</v>
      </c>
      <c r="AF708" s="74"/>
      <c r="AG708" s="70"/>
      <c r="AH708" s="70"/>
      <c r="AI708" s="70"/>
    </row>
    <row r="709" spans="1:35" x14ac:dyDescent="0.45">
      <c r="A709" s="70"/>
      <c r="B709" s="75"/>
      <c r="C709" s="75"/>
      <c r="D709" s="75" t="s">
        <v>1451</v>
      </c>
      <c r="E709" s="72">
        <f>G729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2">
        <f>(F709*L646+G709*L647)*E709</f>
        <v>0</v>
      </c>
      <c r="M709" s="82">
        <f>(F709*M646+G709*M647)*E709</f>
        <v>0</v>
      </c>
      <c r="N709" s="82">
        <f>(F709*N646+G709*N647)*E709</f>
        <v>0</v>
      </c>
      <c r="O709" s="82">
        <f>(F709*O646+G709*O647)*E709</f>
        <v>0</v>
      </c>
      <c r="P709" s="82">
        <f>(F709*P646+G709*P647)*E709</f>
        <v>0</v>
      </c>
      <c r="Q709" s="82">
        <f>(F709*Q646+G709*Q647)*E709</f>
        <v>0</v>
      </c>
      <c r="R709" s="82">
        <f>(F709*R646+G709*R647)*E709</f>
        <v>0</v>
      </c>
      <c r="S709" s="82">
        <f>(F709*S646+G709*S647)*E709</f>
        <v>0</v>
      </c>
      <c r="T709" s="82">
        <f>(F709*T646+G709*T647)*E709</f>
        <v>0</v>
      </c>
      <c r="U709" s="82">
        <f>(F709*U646+G709*U647)*E709</f>
        <v>0</v>
      </c>
      <c r="V709" s="82">
        <f>(F709*V646+G709*V647)*E709</f>
        <v>0</v>
      </c>
      <c r="W709" s="82">
        <f>(F709*W646+G709*W647)*E709</f>
        <v>0</v>
      </c>
      <c r="X709" s="82">
        <f>(F709*X646+G709*X647)*E709</f>
        <v>0</v>
      </c>
      <c r="Y709" s="82">
        <f>(F709*Y646+G709*Y647)*E709</f>
        <v>0</v>
      </c>
      <c r="Z709" s="82">
        <f>(F709*Z646+G709*Z647)*E709</f>
        <v>0</v>
      </c>
      <c r="AA709" s="82">
        <f>(F709*AA646+G709*AA647)*E709</f>
        <v>0</v>
      </c>
      <c r="AB709" s="82">
        <f>(F709*AB646+G709*AB647)*E709</f>
        <v>0</v>
      </c>
      <c r="AC709" s="82">
        <f>(F709*AC646+G709*AC647)*E709</f>
        <v>0</v>
      </c>
      <c r="AD709" s="82">
        <f>(F709*AD646+G709*AD647)*E709</f>
        <v>0</v>
      </c>
      <c r="AE709" s="82">
        <f>(F709*AE646+G709*AE647)*E709</f>
        <v>0</v>
      </c>
      <c r="AF709" s="70"/>
      <c r="AG709" s="70"/>
      <c r="AH709" s="70"/>
      <c r="AI709" s="70"/>
    </row>
    <row r="710" spans="1:35" x14ac:dyDescent="0.45">
      <c r="A710" s="70"/>
      <c r="B710" s="75"/>
      <c r="C710" s="75"/>
      <c r="D710" s="75" t="s">
        <v>1454</v>
      </c>
      <c r="E710" s="72">
        <f>G730</f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2">
        <f>(F710*L646+G710*L647)*E710</f>
        <v>0</v>
      </c>
      <c r="M710" s="82">
        <f>(F710*M646+G710*M647)*E710</f>
        <v>0</v>
      </c>
      <c r="N710" s="82">
        <f>(F710*N646+G710*N647)*E710</f>
        <v>0</v>
      </c>
      <c r="O710" s="82">
        <f>(F710*O646+G710*O647)*E710</f>
        <v>0</v>
      </c>
      <c r="P710" s="82">
        <f>(F710*P646+G710*P647)*E710</f>
        <v>0</v>
      </c>
      <c r="Q710" s="82">
        <f>(F710*Q646+G710*Q647)*E710</f>
        <v>0</v>
      </c>
      <c r="R710" s="82">
        <f>(F710*R646+G710*R647)*E710</f>
        <v>0</v>
      </c>
      <c r="S710" s="82">
        <f>(F710*S646+G710*S647)*E710</f>
        <v>0</v>
      </c>
      <c r="T710" s="82">
        <f>(F710*T646+G710*T647)*E710</f>
        <v>0</v>
      </c>
      <c r="U710" s="82">
        <f>(F710*U646+G710*U647)*E710</f>
        <v>0</v>
      </c>
      <c r="V710" s="82">
        <f>(F710*V646+G710*V647)*E710</f>
        <v>0</v>
      </c>
      <c r="W710" s="82">
        <f>(F710*W646+G710*W647)*E710</f>
        <v>0</v>
      </c>
      <c r="X710" s="82">
        <f>(F710*X646+G710*X647)*E710</f>
        <v>0</v>
      </c>
      <c r="Y710" s="82">
        <f>(F710*Y646+G710*Y647)*E710</f>
        <v>0</v>
      </c>
      <c r="Z710" s="82">
        <f>(F710*Z646+G710*Z647)*E710</f>
        <v>0</v>
      </c>
      <c r="AA710" s="82">
        <f>(F710*AA646+G710*AA647)*E710</f>
        <v>0</v>
      </c>
      <c r="AB710" s="82">
        <f>(F710*AB646+G710*AB647)*E710</f>
        <v>0</v>
      </c>
      <c r="AC710" s="82">
        <f>(F710*AC646+G710*AC647)*E710</f>
        <v>0</v>
      </c>
      <c r="AD710" s="82">
        <f>(F710*AD646+G710*AD647)*E710</f>
        <v>0</v>
      </c>
      <c r="AE710" s="82">
        <f>(F710*AE646+G710*AE647)*E710</f>
        <v>0</v>
      </c>
      <c r="AF710" s="70"/>
      <c r="AG710" s="70"/>
      <c r="AH710" s="70"/>
      <c r="AI710" s="70"/>
    </row>
    <row r="711" spans="1:35" x14ac:dyDescent="0.45">
      <c r="A711" s="70"/>
      <c r="B711" s="75"/>
      <c r="C711" s="75"/>
      <c r="D711" s="75" t="s">
        <v>1457</v>
      </c>
      <c r="E711" s="72">
        <f>G731</f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2">
        <f>(F711*L646+G711*L647)*E711</f>
        <v>0</v>
      </c>
      <c r="M711" s="82">
        <f>(F711*M646+G711*M647)*E711</f>
        <v>0</v>
      </c>
      <c r="N711" s="82">
        <f>(F711*N646+G711*N647)*E711</f>
        <v>0</v>
      </c>
      <c r="O711" s="82">
        <f>(F711*O646+G711*O647)*E711</f>
        <v>0</v>
      </c>
      <c r="P711" s="82">
        <f>(F711*P646+G711*P647)*E711</f>
        <v>0</v>
      </c>
      <c r="Q711" s="82">
        <f>(F711*Q646+G711*Q647)*E711</f>
        <v>0</v>
      </c>
      <c r="R711" s="82">
        <f>(F711*R646+G711*R647)*E711</f>
        <v>0</v>
      </c>
      <c r="S711" s="82">
        <f>(F711*S646+G711*S647)*E711</f>
        <v>0</v>
      </c>
      <c r="T711" s="82">
        <f>(F711*T646+G711*T647)*E711</f>
        <v>0</v>
      </c>
      <c r="U711" s="82">
        <f>(F711*U646+G711*U647)*E711</f>
        <v>0</v>
      </c>
      <c r="V711" s="82">
        <f>(F711*V646+G711*V647)*E711</f>
        <v>0</v>
      </c>
      <c r="W711" s="82">
        <f>(F711*W646+G711*W647)*E711</f>
        <v>0</v>
      </c>
      <c r="X711" s="82">
        <f>(F711*X646+G711*X647)*E711</f>
        <v>0</v>
      </c>
      <c r="Y711" s="82">
        <f>(F711*Y646+G711*Y647)*E711</f>
        <v>0</v>
      </c>
      <c r="Z711" s="82">
        <f>(F711*Z646+G711*Z647)*E711</f>
        <v>0</v>
      </c>
      <c r="AA711" s="82">
        <f>(F711*AA646+G711*AA647)*E711</f>
        <v>0</v>
      </c>
      <c r="AB711" s="82">
        <f>(F711*AB646+G711*AB647)*E711</f>
        <v>0</v>
      </c>
      <c r="AC711" s="82">
        <f>(F711*AC646+G711*AC647)*E711</f>
        <v>0</v>
      </c>
      <c r="AD711" s="82">
        <f>(F711*AD646+G711*AD647)*E711</f>
        <v>0</v>
      </c>
      <c r="AE711" s="82">
        <f>(F711*AE646+G711*AE647)*E711</f>
        <v>0</v>
      </c>
      <c r="AF711" s="70"/>
      <c r="AG711" s="70"/>
      <c r="AH711" s="70"/>
      <c r="AI711" s="70"/>
    </row>
    <row r="712" spans="1:35" x14ac:dyDescent="0.45">
      <c r="A712" s="70"/>
      <c r="B712" s="75"/>
      <c r="C712" s="75"/>
      <c r="D712" s="75" t="s">
        <v>1460</v>
      </c>
      <c r="E712" s="72">
        <f>G732</f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2">
        <f>(F712*L646+G712*L647)*E712</f>
        <v>0</v>
      </c>
      <c r="M712" s="82">
        <f>(F712*M646+G712*M647)*E712</f>
        <v>0</v>
      </c>
      <c r="N712" s="82">
        <f>(F712*N646+G712*N647)*E712</f>
        <v>0</v>
      </c>
      <c r="O712" s="82">
        <f>(F712*O646+G712*O647)*E712</f>
        <v>0</v>
      </c>
      <c r="P712" s="82">
        <f>(F712*P646+G712*P647)*E712</f>
        <v>0</v>
      </c>
      <c r="Q712" s="82">
        <f>(F712*Q646+G712*Q647)*E712</f>
        <v>0</v>
      </c>
      <c r="R712" s="82">
        <f>(F712*R646+G712*R647)*E712</f>
        <v>0</v>
      </c>
      <c r="S712" s="82">
        <f>(F712*S646+G712*S647)*E712</f>
        <v>0</v>
      </c>
      <c r="T712" s="82">
        <f>(F712*T646+G712*T647)*E712</f>
        <v>0</v>
      </c>
      <c r="U712" s="82">
        <f>(F712*U646+G712*U647)*E712</f>
        <v>0</v>
      </c>
      <c r="V712" s="82">
        <f>(F712*V646+G712*V647)*E712</f>
        <v>0</v>
      </c>
      <c r="W712" s="82">
        <f>(F712*W646+G712*W647)*E712</f>
        <v>0</v>
      </c>
      <c r="X712" s="82">
        <f>(F712*X646+G712*X647)*E712</f>
        <v>0</v>
      </c>
      <c r="Y712" s="82">
        <f>(F712*Y646+G712*Y647)*E712</f>
        <v>0</v>
      </c>
      <c r="Z712" s="82">
        <f>(F712*Z646+G712*Z647)*E712</f>
        <v>0</v>
      </c>
      <c r="AA712" s="82">
        <f>(F712*AA646+G712*AA647)*E712</f>
        <v>0</v>
      </c>
      <c r="AB712" s="82">
        <f>(F712*AB646+G712*AB647)*E712</f>
        <v>0</v>
      </c>
      <c r="AC712" s="82">
        <f>(F712*AC646+G712*AC647)*E712</f>
        <v>0</v>
      </c>
      <c r="AD712" s="82">
        <f>(F712*AD646+G712*AD647)*E712</f>
        <v>0</v>
      </c>
      <c r="AE712" s="82">
        <f>(F712*AE646+G712*AE647)*E712</f>
        <v>0</v>
      </c>
      <c r="AF712" s="70"/>
      <c r="AG712" s="70"/>
      <c r="AH712" s="70"/>
      <c r="AI712" s="70"/>
    </row>
    <row r="713" spans="1:35" x14ac:dyDescent="0.45">
      <c r="A713" s="70"/>
      <c r="B713" s="75"/>
      <c r="C713" s="75"/>
      <c r="D713" s="75" t="s">
        <v>1463</v>
      </c>
      <c r="E713" s="72">
        <f>G733</f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2">
        <f>(F713*L646+G713*L647)*E713</f>
        <v>0</v>
      </c>
      <c r="M713" s="82">
        <f>(F713*M646+G713*M647)*E713</f>
        <v>0</v>
      </c>
      <c r="N713" s="82">
        <f>(F713*N646+G713*N647)*E713</f>
        <v>0</v>
      </c>
      <c r="O713" s="82">
        <f>(F713*O646+G713*O647)*E713</f>
        <v>0</v>
      </c>
      <c r="P713" s="82">
        <f>(F713*P646+G713*P647)*E713</f>
        <v>0</v>
      </c>
      <c r="Q713" s="82">
        <f>(F713*Q646+G713*Q647)*E713</f>
        <v>0</v>
      </c>
      <c r="R713" s="82">
        <f>(F713*R646+G713*R647)*E713</f>
        <v>0</v>
      </c>
      <c r="S713" s="82">
        <f>(F713*S646+G713*S647)*E713</f>
        <v>0</v>
      </c>
      <c r="T713" s="82">
        <f>(F713*T646+G713*T647)*E713</f>
        <v>0</v>
      </c>
      <c r="U713" s="82">
        <f>(F713*U646+G713*U647)*E713</f>
        <v>0</v>
      </c>
      <c r="V713" s="82">
        <f>(F713*V646+G713*V647)*E713</f>
        <v>0</v>
      </c>
      <c r="W713" s="82">
        <f>(F713*W646+G713*W647)*E713</f>
        <v>0</v>
      </c>
      <c r="X713" s="82">
        <f>(F713*X646+G713*X647)*E713</f>
        <v>0</v>
      </c>
      <c r="Y713" s="82">
        <f>(F713*Y646+G713*Y647)*E713</f>
        <v>0</v>
      </c>
      <c r="Z713" s="82">
        <f>(F713*Z646+G713*Z647)*E713</f>
        <v>0</v>
      </c>
      <c r="AA713" s="82">
        <f>(F713*AA646+G713*AA647)*E713</f>
        <v>0</v>
      </c>
      <c r="AB713" s="82">
        <f>(F713*AB646+G713*AB647)*E713</f>
        <v>0</v>
      </c>
      <c r="AC713" s="82">
        <f>(F713*AC646+G713*AC647)*E713</f>
        <v>0</v>
      </c>
      <c r="AD713" s="82">
        <f>(F713*AD646+G713*AD647)*E713</f>
        <v>0</v>
      </c>
      <c r="AE713" s="82">
        <f>(F713*AE646+G713*AE647)*E713</f>
        <v>0</v>
      </c>
      <c r="AF713" s="70"/>
      <c r="AG713" s="70"/>
      <c r="AH713" s="70"/>
      <c r="AI713" s="70"/>
    </row>
    <row r="714" spans="1:35" x14ac:dyDescent="0.45">
      <c r="A714" s="70"/>
      <c r="B714" s="75"/>
      <c r="C714" s="75"/>
      <c r="D714" s="75" t="s">
        <v>1466</v>
      </c>
      <c r="E714" s="72">
        <f>G734</f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2">
        <f>(F714*L646+G714*L647)*E714</f>
        <v>0</v>
      </c>
      <c r="M714" s="82">
        <f>(F714*M646+G714*M647)*E714</f>
        <v>0</v>
      </c>
      <c r="N714" s="82">
        <f>(F714*N646+G714*N647)*E714</f>
        <v>0</v>
      </c>
      <c r="O714" s="82">
        <f>(F714*O646+G714*O647)*E714</f>
        <v>0</v>
      </c>
      <c r="P714" s="82">
        <f>(F714*P646+G714*P647)*E714</f>
        <v>0</v>
      </c>
      <c r="Q714" s="82">
        <f>(F714*Q646+G714*Q647)*E714</f>
        <v>0</v>
      </c>
      <c r="R714" s="82">
        <f>(F714*R646+G714*R647)*E714</f>
        <v>0</v>
      </c>
      <c r="S714" s="82">
        <f>(F714*S646+G714*S647)*E714</f>
        <v>0</v>
      </c>
      <c r="T714" s="82">
        <f>(F714*T646+G714*T647)*E714</f>
        <v>0</v>
      </c>
      <c r="U714" s="82">
        <f>(F714*U646+G714*U647)*E714</f>
        <v>0</v>
      </c>
      <c r="V714" s="82">
        <f>(F714*V646+G714*V647)*E714</f>
        <v>0</v>
      </c>
      <c r="W714" s="82">
        <f>(F714*W646+G714*W647)*E714</f>
        <v>0</v>
      </c>
      <c r="X714" s="82">
        <f>(F714*X646+G714*X647)*E714</f>
        <v>0</v>
      </c>
      <c r="Y714" s="82">
        <f>(F714*Y646+G714*Y647)*E714</f>
        <v>0</v>
      </c>
      <c r="Z714" s="82">
        <f>(F714*Z646+G714*Z647)*E714</f>
        <v>0</v>
      </c>
      <c r="AA714" s="82">
        <f>(F714*AA646+G714*AA647)*E714</f>
        <v>0</v>
      </c>
      <c r="AB714" s="82">
        <f>(F714*AB646+G714*AB647)*E714</f>
        <v>0</v>
      </c>
      <c r="AC714" s="82">
        <f>(F714*AC646+G714*AC647)*E714</f>
        <v>0</v>
      </c>
      <c r="AD714" s="82">
        <f>(F714*AD646+G714*AD647)*E714</f>
        <v>0</v>
      </c>
      <c r="AE714" s="82">
        <f>(F714*AE646+G714*AE647)*E714</f>
        <v>0</v>
      </c>
      <c r="AF714" s="70"/>
      <c r="AG714" s="70"/>
      <c r="AH714" s="70"/>
      <c r="AI714" s="70"/>
    </row>
    <row r="715" spans="1:35" x14ac:dyDescent="0.45">
      <c r="A715" s="70"/>
      <c r="B715" s="75"/>
      <c r="C715" s="75"/>
      <c r="D715" s="75" t="s">
        <v>1469</v>
      </c>
      <c r="E715" s="72">
        <f>G735</f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2">
        <f>(F715*L646+G715*L647)*E715</f>
        <v>0</v>
      </c>
      <c r="M715" s="82">
        <f>(F715*M646+G715*M647)*E715</f>
        <v>0</v>
      </c>
      <c r="N715" s="82">
        <f>(F715*N646+G715*N647)*E715</f>
        <v>0</v>
      </c>
      <c r="O715" s="82">
        <f>(F715*O646+G715*O647)*E715</f>
        <v>0</v>
      </c>
      <c r="P715" s="82">
        <f>(F715*P646+G715*P647)*E715</f>
        <v>0</v>
      </c>
      <c r="Q715" s="82">
        <f>(F715*Q646+G715*Q647)*E715</f>
        <v>0</v>
      </c>
      <c r="R715" s="82">
        <f>(F715*R646+G715*R647)*E715</f>
        <v>0</v>
      </c>
      <c r="S715" s="82">
        <f>(F715*S646+G715*S647)*E715</f>
        <v>0</v>
      </c>
      <c r="T715" s="82">
        <f>(F715*T646+G715*T647)*E715</f>
        <v>0</v>
      </c>
      <c r="U715" s="82">
        <f>(F715*U646+G715*U647)*E715</f>
        <v>0</v>
      </c>
      <c r="V715" s="82">
        <f>(F715*V646+G715*V647)*E715</f>
        <v>0</v>
      </c>
      <c r="W715" s="82">
        <f>(F715*W646+G715*W647)*E715</f>
        <v>0</v>
      </c>
      <c r="X715" s="82">
        <f>(F715*X646+G715*X647)*E715</f>
        <v>0</v>
      </c>
      <c r="Y715" s="82">
        <f>(F715*Y646+G715*Y647)*E715</f>
        <v>0</v>
      </c>
      <c r="Z715" s="82">
        <f>(F715*Z646+G715*Z647)*E715</f>
        <v>0</v>
      </c>
      <c r="AA715" s="82">
        <f>(F715*AA646+G715*AA647)*E715</f>
        <v>0</v>
      </c>
      <c r="AB715" s="82">
        <f>(F715*AB646+G715*AB647)*E715</f>
        <v>0</v>
      </c>
      <c r="AC715" s="82">
        <f>(F715*AC646+G715*AC647)*E715</f>
        <v>0</v>
      </c>
      <c r="AD715" s="82">
        <f>(F715*AD646+G715*AD647)*E715</f>
        <v>0</v>
      </c>
      <c r="AE715" s="82">
        <f>(F715*AE646+G715*AE647)*E715</f>
        <v>0</v>
      </c>
      <c r="AF715" s="70"/>
      <c r="AG715" s="70"/>
      <c r="AH715" s="70"/>
      <c r="AI715" s="70"/>
    </row>
    <row r="716" spans="1:35" x14ac:dyDescent="0.45">
      <c r="A716" s="70"/>
      <c r="B716" s="75"/>
      <c r="C716" s="75"/>
      <c r="D716" s="75" t="s">
        <v>1472</v>
      </c>
      <c r="E716" s="72">
        <f>G736</f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2">
        <f>(F716*L646+G716*L647)*E716</f>
        <v>0</v>
      </c>
      <c r="M716" s="82">
        <f>(F716*M646+G716*M647)*E716</f>
        <v>0</v>
      </c>
      <c r="N716" s="82">
        <f>(F716*N646+G716*N647)*E716</f>
        <v>0</v>
      </c>
      <c r="O716" s="82">
        <f>(F716*O646+G716*O647)*E716</f>
        <v>0</v>
      </c>
      <c r="P716" s="82">
        <f>(F716*P646+G716*P647)*E716</f>
        <v>0</v>
      </c>
      <c r="Q716" s="82">
        <f>(F716*Q646+G716*Q647)*E716</f>
        <v>0</v>
      </c>
      <c r="R716" s="82">
        <f>(F716*R646+G716*R647)*E716</f>
        <v>0</v>
      </c>
      <c r="S716" s="82">
        <f>(F716*S646+G716*S647)*E716</f>
        <v>0</v>
      </c>
      <c r="T716" s="82">
        <f>(F716*T646+G716*T647)*E716</f>
        <v>0</v>
      </c>
      <c r="U716" s="82">
        <f>(F716*U646+G716*U647)*E716</f>
        <v>0</v>
      </c>
      <c r="V716" s="82">
        <f>(F716*V646+G716*V647)*E716</f>
        <v>0</v>
      </c>
      <c r="W716" s="82">
        <f>(F716*W646+G716*W647)*E716</f>
        <v>0</v>
      </c>
      <c r="X716" s="82">
        <f>(F716*X646+G716*X647)*E716</f>
        <v>0</v>
      </c>
      <c r="Y716" s="82">
        <f>(F716*Y646+G716*Y647)*E716</f>
        <v>0</v>
      </c>
      <c r="Z716" s="82">
        <f>(F716*Z646+G716*Z647)*E716</f>
        <v>0</v>
      </c>
      <c r="AA716" s="82">
        <f>(F716*AA646+G716*AA647)*E716</f>
        <v>0</v>
      </c>
      <c r="AB716" s="82">
        <f>(F716*AB646+G716*AB647)*E716</f>
        <v>0</v>
      </c>
      <c r="AC716" s="82">
        <f>(F716*AC646+G716*AC647)*E716</f>
        <v>0</v>
      </c>
      <c r="AD716" s="82">
        <f>(F716*AD646+G716*AD647)*E716</f>
        <v>0</v>
      </c>
      <c r="AE716" s="82">
        <f>(F716*AE646+G716*AE647)*E716</f>
        <v>0</v>
      </c>
      <c r="AF716" s="70"/>
      <c r="AG716" s="70"/>
      <c r="AH716" s="70"/>
      <c r="AI716" s="70"/>
    </row>
    <row r="717" spans="1:35" x14ac:dyDescent="0.45">
      <c r="A717" s="70"/>
      <c r="B717" s="75"/>
      <c r="C717" s="75"/>
      <c r="D717" s="75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75"/>
      <c r="C718" s="73" t="s">
        <v>1481</v>
      </c>
      <c r="D718" s="73"/>
      <c r="E718" s="71"/>
      <c r="F718" s="71"/>
      <c r="G718" s="71"/>
      <c r="H718" s="71"/>
      <c r="I718" s="71"/>
      <c r="J718" s="71"/>
      <c r="K718" s="72"/>
      <c r="L718" s="74">
        <f>L708</f>
        <v>2022</v>
      </c>
      <c r="M718" s="74">
        <f>M708</f>
        <v>2023</v>
      </c>
      <c r="N718" s="74">
        <f>N708</f>
        <v>2024</v>
      </c>
      <c r="O718" s="74">
        <f>O708</f>
        <v>2025</v>
      </c>
      <c r="P718" s="74">
        <f>P708</f>
        <v>2026</v>
      </c>
      <c r="Q718" s="74">
        <f>Q708</f>
        <v>2027</v>
      </c>
      <c r="R718" s="74">
        <f>R708</f>
        <v>2028</v>
      </c>
      <c r="S718" s="74">
        <f>S708</f>
        <v>2029</v>
      </c>
      <c r="T718" s="74">
        <f>T708</f>
        <v>2030</v>
      </c>
      <c r="U718" s="74">
        <f>U708</f>
        <v>2031</v>
      </c>
      <c r="V718" s="74">
        <f>V708</f>
        <v>2032</v>
      </c>
      <c r="W718" s="74">
        <f>W708</f>
        <v>2033</v>
      </c>
      <c r="X718" s="74">
        <f>X708</f>
        <v>2034</v>
      </c>
      <c r="Y718" s="74">
        <f>Y708</f>
        <v>2035</v>
      </c>
      <c r="Z718" s="74">
        <f>Z708</f>
        <v>2036</v>
      </c>
      <c r="AA718" s="74">
        <f>AA708</f>
        <v>2037</v>
      </c>
      <c r="AB718" s="74">
        <f>AB708</f>
        <v>2038</v>
      </c>
      <c r="AC718" s="74">
        <f>AC708</f>
        <v>2039</v>
      </c>
      <c r="AD718" s="74">
        <f>AD708</f>
        <v>2040</v>
      </c>
      <c r="AE718" s="74">
        <f>AE708</f>
        <v>2041</v>
      </c>
      <c r="AF718" s="74"/>
      <c r="AG718" s="70"/>
      <c r="AH718" s="70"/>
      <c r="AI718" s="70"/>
    </row>
    <row r="719" spans="1:35" x14ac:dyDescent="0.45">
      <c r="A719" s="70"/>
      <c r="B719" s="75"/>
      <c r="C719" s="75"/>
      <c r="D719" s="75" t="s">
        <v>1451</v>
      </c>
      <c r="E719" s="70"/>
      <c r="F719" s="70"/>
      <c r="G719" s="70"/>
      <c r="H719" s="70"/>
      <c r="I719" s="70"/>
      <c r="J719" s="70"/>
      <c r="K719" s="72"/>
      <c r="L719" s="79">
        <f>(L709+L698)/L687</f>
        <v>0</v>
      </c>
      <c r="M719" s="79">
        <f>(M709+M698)/M687</f>
        <v>0</v>
      </c>
      <c r="N719" s="79">
        <f>(N709+N698)/N687</f>
        <v>0</v>
      </c>
      <c r="O719" s="79">
        <f>(O709+O698)/O687</f>
        <v>0</v>
      </c>
      <c r="P719" s="79">
        <f>(P709+P698)/P687</f>
        <v>0</v>
      </c>
      <c r="Q719" s="79">
        <f>(Q709+Q698)/Q687</f>
        <v>1.15005E-2</v>
      </c>
      <c r="R719" s="79">
        <f>(R709+R698)/R687</f>
        <v>2.3001000000000001E-2</v>
      </c>
      <c r="S719" s="79">
        <f>(S709+S698)/S687</f>
        <v>3.4501500000000004E-2</v>
      </c>
      <c r="T719" s="79">
        <f>(T709+T698)/T687</f>
        <v>4.6002000000000001E-2</v>
      </c>
      <c r="U719" s="79">
        <f>(U709+U698)/U687</f>
        <v>5.7502500000000005E-2</v>
      </c>
      <c r="V719" s="79">
        <f>(V709+V698)/V687</f>
        <v>6.9003000000000009E-2</v>
      </c>
      <c r="W719" s="79">
        <f>(W709+W698)/W687</f>
        <v>8.0503500000000006E-2</v>
      </c>
      <c r="X719" s="79">
        <f>(X709+X698)/X687</f>
        <v>9.2004000000000002E-2</v>
      </c>
      <c r="Y719" s="79">
        <f>(Y709+Y698)/Y687</f>
        <v>0.10350450000000001</v>
      </c>
      <c r="Z719" s="79">
        <f>(Z709+Z698)/Z687</f>
        <v>0.11500500000000001</v>
      </c>
      <c r="AA719" s="79">
        <f>(AA709+AA698)/AA687</f>
        <v>0.12650549999999999</v>
      </c>
      <c r="AB719" s="79">
        <f>(AB709+AB698)/AB687</f>
        <v>0.13800600000000002</v>
      </c>
      <c r="AC719" s="79">
        <f>(AC709+AC698)/AC687</f>
        <v>0.14950649999999999</v>
      </c>
      <c r="AD719" s="79">
        <f>(AD709+AD698)/AD687</f>
        <v>0.16100700000000001</v>
      </c>
      <c r="AE719" s="79">
        <f>(AE709+AE698)/AE687</f>
        <v>0.17250750000000001</v>
      </c>
      <c r="AF719" s="70"/>
      <c r="AG719" s="70"/>
      <c r="AH719" s="70"/>
      <c r="AI719" s="70"/>
    </row>
    <row r="720" spans="1:35" x14ac:dyDescent="0.45">
      <c r="A720" s="70"/>
      <c r="B720" s="75"/>
      <c r="C720" s="75"/>
      <c r="D720" s="75" t="s">
        <v>1454</v>
      </c>
      <c r="E720" s="70"/>
      <c r="F720" s="70"/>
      <c r="G720" s="70"/>
      <c r="H720" s="70"/>
      <c r="I720" s="70"/>
      <c r="J720" s="70"/>
      <c r="K720" s="72"/>
      <c r="L720" s="79">
        <f>(L710+L699)/L688</f>
        <v>0</v>
      </c>
      <c r="M720" s="79">
        <f>(M710+M699)/M688</f>
        <v>0</v>
      </c>
      <c r="N720" s="79">
        <f>(N710+N699)/N688</f>
        <v>0</v>
      </c>
      <c r="O720" s="79">
        <f>(O710+O699)/O688</f>
        <v>0</v>
      </c>
      <c r="P720" s="79">
        <f>(P710+P699)/P688</f>
        <v>0</v>
      </c>
      <c r="Q720" s="79">
        <f>(Q710+Q699)/Q688</f>
        <v>2.5781250000000006E-3</v>
      </c>
      <c r="R720" s="79">
        <f>(R710+R699)/R688</f>
        <v>5.1562500000000011E-3</v>
      </c>
      <c r="S720" s="79">
        <f>(S710+S699)/S688</f>
        <v>7.7343750000000008E-3</v>
      </c>
      <c r="T720" s="79">
        <f>(T710+T699)/T688</f>
        <v>1.0312500000000002E-2</v>
      </c>
      <c r="U720" s="79">
        <f>(U710+U699)/U688</f>
        <v>1.2890624999999999E-2</v>
      </c>
      <c r="V720" s="79">
        <f>(V710+V699)/V688</f>
        <v>1.5468750000000002E-2</v>
      </c>
      <c r="W720" s="79">
        <f>(W710+W699)/W688</f>
        <v>1.8046875E-2</v>
      </c>
      <c r="X720" s="79">
        <f>(X710+X699)/X688</f>
        <v>2.0625000000000004E-2</v>
      </c>
      <c r="Y720" s="79">
        <f>(Y710+Y699)/Y688</f>
        <v>2.3203125000000002E-2</v>
      </c>
      <c r="Z720" s="79">
        <f>(Z710+Z699)/Z688</f>
        <v>2.5781249999999999E-2</v>
      </c>
      <c r="AA720" s="79">
        <f>(AA710+AA699)/AA688</f>
        <v>2.8359375000000003E-2</v>
      </c>
      <c r="AB720" s="79">
        <f>(AB710+AB699)/AB688</f>
        <v>3.0937500000000003E-2</v>
      </c>
      <c r="AC720" s="79">
        <f>(AC710+AC699)/AC688</f>
        <v>3.3515625E-2</v>
      </c>
      <c r="AD720" s="79">
        <f>(AD710+AD699)/AD688</f>
        <v>3.6093750000000001E-2</v>
      </c>
      <c r="AE720" s="79">
        <f>(AE710+AE699)/AE688</f>
        <v>3.8671875000000008E-2</v>
      </c>
      <c r="AF720" s="70"/>
      <c r="AG720" s="70"/>
      <c r="AH720" s="70"/>
      <c r="AI720" s="70"/>
    </row>
    <row r="721" spans="1:35" x14ac:dyDescent="0.45">
      <c r="A721" s="70"/>
      <c r="B721" s="75"/>
      <c r="C721" s="75"/>
      <c r="D721" s="75" t="s">
        <v>1457</v>
      </c>
      <c r="E721" s="70"/>
      <c r="F721" s="70"/>
      <c r="G721" s="70"/>
      <c r="H721" s="70"/>
      <c r="I721" s="70"/>
      <c r="J721" s="70"/>
      <c r="K721" s="72"/>
      <c r="L721" s="79">
        <f>(L711+L700)/L689</f>
        <v>0</v>
      </c>
      <c r="M721" s="79">
        <f>(M711+M700)/M689</f>
        <v>0</v>
      </c>
      <c r="N721" s="79">
        <f>(N711+N700)/N689</f>
        <v>0</v>
      </c>
      <c r="O721" s="79">
        <f>(O711+O700)/O689</f>
        <v>0</v>
      </c>
      <c r="P721" s="79">
        <f>(P711+P700)/P689</f>
        <v>0</v>
      </c>
      <c r="Q721" s="79">
        <f>(Q711+Q700)/Q689</f>
        <v>3.8750000000000007E-2</v>
      </c>
      <c r="R721" s="79">
        <f>(R711+R700)/R689</f>
        <v>7.7500000000000013E-2</v>
      </c>
      <c r="S721" s="79">
        <f>(S711+S700)/S689</f>
        <v>0.11625000000000001</v>
      </c>
      <c r="T721" s="79">
        <f>(T711+T700)/T689</f>
        <v>0.15500000000000003</v>
      </c>
      <c r="U721" s="79">
        <f>(U711+U700)/U689</f>
        <v>0.19375000000000003</v>
      </c>
      <c r="V721" s="79">
        <f>(V711+V700)/V689</f>
        <v>0.23250000000000001</v>
      </c>
      <c r="W721" s="79">
        <f>(W711+W700)/W689</f>
        <v>0.27124999999999999</v>
      </c>
      <c r="X721" s="79">
        <f>(X711+X700)/X689</f>
        <v>0.31000000000000005</v>
      </c>
      <c r="Y721" s="79">
        <f>(Y711+Y700)/Y689</f>
        <v>0.34875000000000006</v>
      </c>
      <c r="Z721" s="79">
        <f>(Z711+Z700)/Z689</f>
        <v>0.38750000000000007</v>
      </c>
      <c r="AA721" s="79">
        <f>(AA711+AA700)/AA689</f>
        <v>0.42625000000000007</v>
      </c>
      <c r="AB721" s="79">
        <f>(AB711+AB700)/AB689</f>
        <v>0.46500000000000002</v>
      </c>
      <c r="AC721" s="79">
        <f>(AC711+AC700)/AC689</f>
        <v>0.50375000000000003</v>
      </c>
      <c r="AD721" s="79">
        <f>(AD711+AD700)/AD689</f>
        <v>0.54249999999999998</v>
      </c>
      <c r="AE721" s="79">
        <f>(AE711+AE700)/AE689</f>
        <v>0.58125000000000004</v>
      </c>
      <c r="AF721" s="70"/>
      <c r="AG721" s="70"/>
      <c r="AH721" s="70"/>
      <c r="AI721" s="70"/>
    </row>
    <row r="722" spans="1:35" x14ac:dyDescent="0.45">
      <c r="A722" s="70"/>
      <c r="B722" s="75"/>
      <c r="C722" s="75"/>
      <c r="D722" s="75" t="s">
        <v>1460</v>
      </c>
      <c r="E722" s="70"/>
      <c r="F722" s="70"/>
      <c r="G722" s="70"/>
      <c r="H722" s="70"/>
      <c r="I722" s="70"/>
      <c r="J722" s="70"/>
      <c r="K722" s="72"/>
      <c r="L722" s="79">
        <f>(L712+L701)/L690</f>
        <v>0</v>
      </c>
      <c r="M722" s="79">
        <f>(M712+M701)/M690</f>
        <v>0</v>
      </c>
      <c r="N722" s="79">
        <f>(N712+N701)/N690</f>
        <v>0</v>
      </c>
      <c r="O722" s="79">
        <f>(O712+O701)/O690</f>
        <v>0</v>
      </c>
      <c r="P722" s="79">
        <f>(P712+P701)/P690</f>
        <v>0</v>
      </c>
      <c r="Q722" s="79">
        <f>(Q712+Q701)/Q690</f>
        <v>3.2761363636363637E-2</v>
      </c>
      <c r="R722" s="79">
        <f>(R712+R701)/R690</f>
        <v>6.5522727272727274E-2</v>
      </c>
      <c r="S722" s="79">
        <f>(S712+S701)/S690</f>
        <v>9.8284090909090904E-2</v>
      </c>
      <c r="T722" s="79">
        <f>(T712+T701)/T690</f>
        <v>0.13104545454545455</v>
      </c>
      <c r="U722" s="79">
        <f>(U712+U701)/U690</f>
        <v>0.16380681818181819</v>
      </c>
      <c r="V722" s="79">
        <f>(V712+V701)/V690</f>
        <v>0.19656818181818181</v>
      </c>
      <c r="W722" s="79">
        <f>(W712+W701)/W690</f>
        <v>0.22932954545454545</v>
      </c>
      <c r="X722" s="79">
        <f>(X712+X701)/X690</f>
        <v>0.2620909090909091</v>
      </c>
      <c r="Y722" s="79">
        <f>(Y712+Y701)/Y690</f>
        <v>0.29485227272727277</v>
      </c>
      <c r="Z722" s="79">
        <f>(Z712+Z701)/Z690</f>
        <v>0.32761363636363638</v>
      </c>
      <c r="AA722" s="79">
        <f>(AA712+AA701)/AA690</f>
        <v>0.360375</v>
      </c>
      <c r="AB722" s="79">
        <f>(AB712+AB701)/AB690</f>
        <v>0.39313636363636362</v>
      </c>
      <c r="AC722" s="79">
        <f>(AC712+AC701)/AC690</f>
        <v>0.42589772727272729</v>
      </c>
      <c r="AD722" s="79">
        <f>(AD712+AD701)/AD690</f>
        <v>0.45865909090909091</v>
      </c>
      <c r="AE722" s="79">
        <f>(AE712+AE701)/AE690</f>
        <v>0.49142045454545452</v>
      </c>
      <c r="AF722" s="70"/>
      <c r="AG722" s="70"/>
      <c r="AH722" s="70"/>
      <c r="AI722" s="70"/>
    </row>
    <row r="723" spans="1:35" x14ac:dyDescent="0.45">
      <c r="A723" s="70"/>
      <c r="B723" s="75"/>
      <c r="C723" s="75"/>
      <c r="D723" s="75" t="s">
        <v>1463</v>
      </c>
      <c r="E723" s="70"/>
      <c r="F723" s="70"/>
      <c r="G723" s="70"/>
      <c r="H723" s="70"/>
      <c r="I723" s="70"/>
      <c r="J723" s="70"/>
      <c r="K723" s="72"/>
      <c r="L723" s="79">
        <f>(L713+L702)/L691</f>
        <v>0</v>
      </c>
      <c r="M723" s="79">
        <f>(M713+M702)/M691</f>
        <v>0</v>
      </c>
      <c r="N723" s="79">
        <f>(N713+N702)/N691</f>
        <v>0</v>
      </c>
      <c r="O723" s="79">
        <f>(O713+O702)/O691</f>
        <v>0</v>
      </c>
      <c r="P723" s="79">
        <f>(P713+P702)/P691</f>
        <v>0</v>
      </c>
      <c r="Q723" s="79">
        <f>(Q713+Q702)/Q691</f>
        <v>5.1424999999999998E-2</v>
      </c>
      <c r="R723" s="79">
        <f>(R713+R702)/R691</f>
        <v>0.10285</v>
      </c>
      <c r="S723" s="79">
        <f>(S713+S702)/S691</f>
        <v>0.154275</v>
      </c>
      <c r="T723" s="79">
        <f>(T713+T702)/T691</f>
        <v>0.20569999999999999</v>
      </c>
      <c r="U723" s="79">
        <f>(U713+U702)/U691</f>
        <v>0.25712499999999999</v>
      </c>
      <c r="V723" s="79">
        <f>(V713+V702)/V691</f>
        <v>0.30854999999999999</v>
      </c>
      <c r="W723" s="79">
        <f>(W713+W702)/W691</f>
        <v>0.35997499999999993</v>
      </c>
      <c r="X723" s="79">
        <f>(X713+X702)/X691</f>
        <v>0.41139999999999999</v>
      </c>
      <c r="Y723" s="79">
        <f>(Y713+Y702)/Y691</f>
        <v>0.46282499999999993</v>
      </c>
      <c r="Z723" s="79">
        <f>(Z713+Z702)/Z691</f>
        <v>0.51424999999999998</v>
      </c>
      <c r="AA723" s="79">
        <f>(AA713+AA702)/AA691</f>
        <v>0.56567499999999993</v>
      </c>
      <c r="AB723" s="79">
        <f>(AB713+AB702)/AB691</f>
        <v>0.61709999999999998</v>
      </c>
      <c r="AC723" s="79">
        <f>(AC713+AC702)/AC691</f>
        <v>0.66852500000000004</v>
      </c>
      <c r="AD723" s="79">
        <f>(AD713+AD702)/AD691</f>
        <v>0.71994999999999987</v>
      </c>
      <c r="AE723" s="79">
        <f>(AE713+AE702)/AE691</f>
        <v>0.77137499999999992</v>
      </c>
      <c r="AF723" s="70"/>
      <c r="AG723" s="70"/>
      <c r="AH723" s="70"/>
      <c r="AI723" s="70"/>
    </row>
    <row r="724" spans="1:35" x14ac:dyDescent="0.45">
      <c r="A724" s="70"/>
      <c r="B724" s="75"/>
      <c r="C724" s="75"/>
      <c r="D724" s="75" t="s">
        <v>1466</v>
      </c>
      <c r="E724" s="70"/>
      <c r="F724" s="70"/>
      <c r="G724" s="70"/>
      <c r="H724" s="70"/>
      <c r="I724" s="70"/>
      <c r="J724" s="70"/>
      <c r="K724" s="72"/>
      <c r="L724" s="79">
        <f>(L714+L703)/L692</f>
        <v>0</v>
      </c>
      <c r="M724" s="79">
        <f>(M714+M703)/M692</f>
        <v>0</v>
      </c>
      <c r="N724" s="79">
        <f>(N714+N703)/N692</f>
        <v>0</v>
      </c>
      <c r="O724" s="79">
        <f>(O714+O703)/O692</f>
        <v>0</v>
      </c>
      <c r="P724" s="79">
        <f>(P714+P703)/P692</f>
        <v>0</v>
      </c>
      <c r="Q724" s="79">
        <f>(Q714+Q703)/Q692</f>
        <v>3.6907894736842102E-3</v>
      </c>
      <c r="R724" s="79">
        <f>(R714+R703)/R692</f>
        <v>7.3815789473684204E-3</v>
      </c>
      <c r="S724" s="79">
        <f>(S714+S703)/S692</f>
        <v>1.1072368421052631E-2</v>
      </c>
      <c r="T724" s="79">
        <f>(T714+T703)/T692</f>
        <v>1.4763157894736841E-2</v>
      </c>
      <c r="U724" s="79">
        <f>(U714+U703)/U692</f>
        <v>1.8453947368421052E-2</v>
      </c>
      <c r="V724" s="79">
        <f>(V714+V703)/V692</f>
        <v>2.2144736842105262E-2</v>
      </c>
      <c r="W724" s="79">
        <f>(W714+W703)/W692</f>
        <v>2.5835526315789472E-2</v>
      </c>
      <c r="X724" s="79">
        <f>(X714+X703)/X692</f>
        <v>2.9526315789473682E-2</v>
      </c>
      <c r="Y724" s="79">
        <f>(Y714+Y703)/Y692</f>
        <v>3.3217105263157888E-2</v>
      </c>
      <c r="Z724" s="79">
        <f>(Z714+Z703)/Z692</f>
        <v>3.6907894736842105E-2</v>
      </c>
      <c r="AA724" s="79">
        <f>(AA714+AA703)/AA692</f>
        <v>4.0598684210526315E-2</v>
      </c>
      <c r="AB724" s="79">
        <f>(AB714+AB703)/AB692</f>
        <v>4.4289473684210524E-2</v>
      </c>
      <c r="AC724" s="79">
        <f>(AC714+AC703)/AC692</f>
        <v>4.7980263157894734E-2</v>
      </c>
      <c r="AD724" s="79">
        <f>(AD714+AD703)/AD692</f>
        <v>5.1671052631578944E-2</v>
      </c>
      <c r="AE724" s="79">
        <f>(AE714+AE703)/AE692</f>
        <v>5.5361842105263154E-2</v>
      </c>
      <c r="AF724" s="70"/>
      <c r="AG724" s="70"/>
      <c r="AH724" s="70"/>
      <c r="AI724" s="70"/>
    </row>
    <row r="725" spans="1:35" x14ac:dyDescent="0.45">
      <c r="A725" s="70"/>
      <c r="B725" s="75"/>
      <c r="C725" s="75"/>
      <c r="D725" s="75" t="s">
        <v>1469</v>
      </c>
      <c r="E725" s="70"/>
      <c r="F725" s="70"/>
      <c r="G725" s="70"/>
      <c r="H725" s="70"/>
      <c r="I725" s="70"/>
      <c r="J725" s="70"/>
      <c r="K725" s="72"/>
      <c r="L725" s="79">
        <f>(L715+L704)/L693</f>
        <v>0</v>
      </c>
      <c r="M725" s="79">
        <f>(M715+M704)/M693</f>
        <v>0</v>
      </c>
      <c r="N725" s="79">
        <f>(N715+N704)/N693</f>
        <v>0</v>
      </c>
      <c r="O725" s="79">
        <f>(O715+O704)/O693</f>
        <v>0</v>
      </c>
      <c r="P725" s="79">
        <f>(P715+P704)/P693</f>
        <v>0</v>
      </c>
      <c r="Q725" s="79">
        <f>(Q715+Q704)/Q693</f>
        <v>4.3828124999999996E-3</v>
      </c>
      <c r="R725" s="79">
        <f>(R715+R704)/R693</f>
        <v>8.7656249999999991E-3</v>
      </c>
      <c r="S725" s="79">
        <f>(S715+S704)/S693</f>
        <v>1.3148437499999999E-2</v>
      </c>
      <c r="T725" s="79">
        <f>(T715+T704)/T693</f>
        <v>1.7531249999999998E-2</v>
      </c>
      <c r="U725" s="79">
        <f>(U715+U704)/U693</f>
        <v>2.1914062499999998E-2</v>
      </c>
      <c r="V725" s="79">
        <f>(V715+V704)/V693</f>
        <v>2.6296874999999997E-2</v>
      </c>
      <c r="W725" s="79">
        <f>(W715+W704)/W693</f>
        <v>3.0679687499999997E-2</v>
      </c>
      <c r="X725" s="79">
        <f>(X715+X704)/X693</f>
        <v>3.5062499999999996E-2</v>
      </c>
      <c r="Y725" s="79">
        <f>(Y715+Y704)/Y693</f>
        <v>3.9445312499999996E-2</v>
      </c>
      <c r="Z725" s="79">
        <f>(Z715+Z704)/Z693</f>
        <v>4.3828124999999996E-2</v>
      </c>
      <c r="AA725" s="79">
        <f>(AA715+AA704)/AA693</f>
        <v>4.8210937499999995E-2</v>
      </c>
      <c r="AB725" s="79">
        <f>(AB715+AB704)/AB693</f>
        <v>5.2593749999999995E-2</v>
      </c>
      <c r="AC725" s="79">
        <f>(AC715+AC704)/AC693</f>
        <v>5.6976562499999994E-2</v>
      </c>
      <c r="AD725" s="79">
        <f>(AD715+AD704)/AD693</f>
        <v>6.1359374999999994E-2</v>
      </c>
      <c r="AE725" s="79">
        <f>(AE715+AE704)/AE693</f>
        <v>6.5742187499999993E-2</v>
      </c>
      <c r="AF725" s="70"/>
      <c r="AG725" s="70"/>
      <c r="AH725" s="70"/>
      <c r="AI725" s="70"/>
    </row>
    <row r="726" spans="1:35" x14ac:dyDescent="0.45">
      <c r="A726" s="70"/>
      <c r="B726" s="75"/>
      <c r="C726" s="75"/>
      <c r="D726" s="75" t="s">
        <v>1472</v>
      </c>
      <c r="E726" s="70"/>
      <c r="F726" s="70"/>
      <c r="G726" s="70"/>
      <c r="H726" s="70"/>
      <c r="I726" s="70"/>
      <c r="J726" s="70"/>
      <c r="K726" s="72"/>
      <c r="L726" s="79">
        <f>(L716+L705)/L694</f>
        <v>0</v>
      </c>
      <c r="M726" s="79">
        <f>(M716+M705)/M694</f>
        <v>0</v>
      </c>
      <c r="N726" s="79">
        <f>(N716+N705)/N694</f>
        <v>0</v>
      </c>
      <c r="O726" s="79">
        <f>(O716+O705)/O694</f>
        <v>0</v>
      </c>
      <c r="P726" s="79">
        <f>(P716+P705)/P694</f>
        <v>0</v>
      </c>
      <c r="Q726" s="79">
        <f>(Q716+Q705)/Q694</f>
        <v>8.1249999999999996E-4</v>
      </c>
      <c r="R726" s="79">
        <f>(R716+R705)/R694</f>
        <v>1.6249999999999999E-3</v>
      </c>
      <c r="S726" s="79">
        <f>(S716+S705)/S694</f>
        <v>2.4375E-3</v>
      </c>
      <c r="T726" s="79">
        <f>(T716+T705)/T694</f>
        <v>3.2499999999999999E-3</v>
      </c>
      <c r="U726" s="79">
        <f>(U716+U705)/U694</f>
        <v>4.0625000000000001E-3</v>
      </c>
      <c r="V726" s="79">
        <f>(V716+V705)/V694</f>
        <v>4.875E-3</v>
      </c>
      <c r="W726" s="79">
        <f>(W716+W705)/W694</f>
        <v>5.6874999999999998E-3</v>
      </c>
      <c r="X726" s="79">
        <f>(X716+X705)/X694</f>
        <v>6.4999999999999997E-3</v>
      </c>
      <c r="Y726" s="79">
        <f>(Y716+Y705)/Y694</f>
        <v>7.3125000000000004E-3</v>
      </c>
      <c r="Z726" s="79">
        <f>(Z716+Z705)/Z694</f>
        <v>8.1250000000000003E-3</v>
      </c>
      <c r="AA726" s="79">
        <f>(AA716+AA705)/AA694</f>
        <v>8.9374999999999993E-3</v>
      </c>
      <c r="AB726" s="79">
        <f>(AB716+AB705)/AB694</f>
        <v>9.75E-3</v>
      </c>
      <c r="AC726" s="79">
        <f>(AC716+AC705)/AC694</f>
        <v>1.0562500000000001E-2</v>
      </c>
      <c r="AD726" s="79">
        <f>(AD716+AD705)/AD694</f>
        <v>1.1375E-2</v>
      </c>
      <c r="AE726" s="79">
        <f>(AE716+AE705)/AE694</f>
        <v>1.21875E-2</v>
      </c>
      <c r="AF726" s="70"/>
      <c r="AG726" s="70"/>
      <c r="AH726" s="70"/>
      <c r="AI726" s="70"/>
    </row>
    <row r="727" spans="1:35" x14ac:dyDescent="0.45">
      <c r="A727" s="70"/>
      <c r="B727" s="75"/>
      <c r="C727" s="75"/>
      <c r="D727" s="75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75"/>
      <c r="C728" s="73" t="s">
        <v>1482</v>
      </c>
      <c r="D728" s="73"/>
      <c r="E728" s="70"/>
      <c r="F728" s="72" t="s">
        <v>1483</v>
      </c>
      <c r="G728" s="72" t="s">
        <v>1484</v>
      </c>
      <c r="H728" s="72" t="s">
        <v>1485</v>
      </c>
      <c r="I728" s="72"/>
      <c r="J728" s="72"/>
      <c r="K728" s="72"/>
      <c r="L728" s="74">
        <f>L739</f>
        <v>2022</v>
      </c>
      <c r="M728" s="74">
        <f>M739</f>
        <v>2023</v>
      </c>
      <c r="N728" s="74">
        <f>N739</f>
        <v>2024</v>
      </c>
      <c r="O728" s="74">
        <f>O739</f>
        <v>2025</v>
      </c>
      <c r="P728" s="74">
        <f>P739</f>
        <v>2026</v>
      </c>
      <c r="Q728" s="74">
        <f>Q739</f>
        <v>2027</v>
      </c>
      <c r="R728" s="74">
        <f>R739</f>
        <v>2028</v>
      </c>
      <c r="S728" s="74">
        <f>S739</f>
        <v>2029</v>
      </c>
      <c r="T728" s="74">
        <f>T739</f>
        <v>2030</v>
      </c>
      <c r="U728" s="74">
        <f>U739</f>
        <v>2031</v>
      </c>
      <c r="V728" s="74">
        <f>V739</f>
        <v>2032</v>
      </c>
      <c r="W728" s="74">
        <f>W739</f>
        <v>2033</v>
      </c>
      <c r="X728" s="74">
        <f>X739</f>
        <v>2034</v>
      </c>
      <c r="Y728" s="74">
        <f>Y739</f>
        <v>2035</v>
      </c>
      <c r="Z728" s="74">
        <f>Z739</f>
        <v>2036</v>
      </c>
      <c r="AA728" s="74">
        <f>AA739</f>
        <v>2037</v>
      </c>
      <c r="AB728" s="74">
        <f>AB739</f>
        <v>2038</v>
      </c>
      <c r="AC728" s="74">
        <f>AC739</f>
        <v>2039</v>
      </c>
      <c r="AD728" s="74">
        <f>AD739</f>
        <v>2040</v>
      </c>
      <c r="AE728" s="74">
        <f>AE739</f>
        <v>2041</v>
      </c>
      <c r="AF728" s="74"/>
      <c r="AG728" s="70"/>
      <c r="AH728" s="70"/>
      <c r="AI728" s="70"/>
    </row>
    <row r="729" spans="1:35" x14ac:dyDescent="0.45">
      <c r="A729" s="71"/>
      <c r="B729" s="75"/>
      <c r="C729" s="71"/>
      <c r="D729" s="75" t="s">
        <v>1350</v>
      </c>
      <c r="E729" s="71" t="s">
        <v>1486</v>
      </c>
      <c r="F729" s="72">
        <f>H663+I663</f>
        <v>0.69003000000000003</v>
      </c>
      <c r="G729" s="72">
        <f>MAX(J663+K663,0)</f>
        <v>0.04</v>
      </c>
      <c r="H729" s="72">
        <f>G729/F729</f>
        <v>5.7968494123443903E-2</v>
      </c>
      <c r="I729" s="70"/>
      <c r="J729" s="70"/>
      <c r="K729" s="72"/>
      <c r="L729" s="72">
        <f>L675*$F729/1000</f>
        <v>3.2287703131193024</v>
      </c>
      <c r="M729" s="72">
        <f>M675*$F729/1000</f>
        <v>3.3708362068965516</v>
      </c>
      <c r="N729" s="72">
        <f>N675*$F729/1000</f>
        <v>3.5191530000000002</v>
      </c>
      <c r="O729" s="72">
        <f>O675*$F729/1000</f>
        <v>3.6739957320000007</v>
      </c>
      <c r="P729" s="72">
        <f>P675*$F729/1000</f>
        <v>3.8356515442080008</v>
      </c>
      <c r="Q729" s="72">
        <f>Q675*$F729/1000</f>
        <v>4.0044202121531534</v>
      </c>
      <c r="R729" s="72">
        <f>R675*$F729/1000</f>
        <v>4.1806147014878912</v>
      </c>
      <c r="S729" s="72">
        <f>S675*$F729/1000</f>
        <v>4.3645617483533599</v>
      </c>
      <c r="T729" s="72">
        <f>T675*$F729/1000</f>
        <v>4.556602465280907</v>
      </c>
      <c r="U729" s="72">
        <f>U675*$F729/1000</f>
        <v>4.7570929737532675</v>
      </c>
      <c r="V729" s="72">
        <f>V675*$F729/1000</f>
        <v>4.9664050645984119</v>
      </c>
      <c r="W729" s="72">
        <f>W675*$F729/1000</f>
        <v>5.1849268874407413</v>
      </c>
      <c r="X729" s="72">
        <f>X675*$F729/1000</f>
        <v>5.4130636704881345</v>
      </c>
      <c r="Y729" s="72">
        <f>Y675*$F729/1000</f>
        <v>5.6512384719896129</v>
      </c>
      <c r="Z729" s="72">
        <f>Z675*$F729/1000</f>
        <v>5.8998929647571554</v>
      </c>
      <c r="AA729" s="72">
        <f>AA675*$F729/1000</f>
        <v>6.1594882552064707</v>
      </c>
      <c r="AB729" s="72">
        <f>AB675*$F729/1000</f>
        <v>6.4305057384355555</v>
      </c>
      <c r="AC729" s="72">
        <f>AC675*$F729/1000</f>
        <v>6.7134479909267206</v>
      </c>
      <c r="AD729" s="72">
        <f>AD675*$F729/1000</f>
        <v>7.0088397025274967</v>
      </c>
      <c r="AE729" s="72">
        <f>AE675*$F729/1000</f>
        <v>7.3172286494387055</v>
      </c>
      <c r="AF729" s="72"/>
      <c r="AG729" s="70"/>
      <c r="AH729" s="70"/>
      <c r="AI729" s="70"/>
    </row>
    <row r="730" spans="1:35" x14ac:dyDescent="0.45">
      <c r="A730" s="71"/>
      <c r="B730" s="75"/>
      <c r="C730" s="71"/>
      <c r="D730" s="75" t="s">
        <v>1357</v>
      </c>
      <c r="E730" s="71" t="s">
        <v>1486</v>
      </c>
      <c r="F730" s="72">
        <f>H664+I664</f>
        <v>0.14025000000000001</v>
      </c>
      <c r="G730" s="72">
        <f>MAX(J664+K664,0)</f>
        <v>1.4999999999999999E-2</v>
      </c>
      <c r="H730" s="72">
        <f>G730/F730</f>
        <v>0.10695187165775399</v>
      </c>
      <c r="I730" s="70"/>
      <c r="J730" s="70"/>
      <c r="K730" s="72"/>
      <c r="L730" s="72">
        <f>L676*$F730/1000</f>
        <v>0.61765094464262127</v>
      </c>
      <c r="M730" s="72">
        <f>M676*$F730/1000</f>
        <v>0.64482758620689662</v>
      </c>
      <c r="N730" s="72">
        <f>N676*$F730/1000</f>
        <v>0.67320000000000002</v>
      </c>
      <c r="O730" s="72">
        <f>O676*$F730/1000</f>
        <v>0.70282080000000002</v>
      </c>
      <c r="P730" s="72">
        <f>P676*$F730/1000</f>
        <v>0.73374491520000007</v>
      </c>
      <c r="Q730" s="72">
        <f>Q676*$F730/1000</f>
        <v>0.76602969146880007</v>
      </c>
      <c r="R730" s="72">
        <f>R676*$F730/1000</f>
        <v>0.79973499789342728</v>
      </c>
      <c r="S730" s="72">
        <f>S676*$F730/1000</f>
        <v>0.83492333780073813</v>
      </c>
      <c r="T730" s="72">
        <f>T676*$F730/1000</f>
        <v>0.87165996466397067</v>
      </c>
      <c r="U730" s="72">
        <f>U676*$F730/1000</f>
        <v>0.91001300310918543</v>
      </c>
      <c r="V730" s="72">
        <f>V676*$F730/1000</f>
        <v>0.95005357524598955</v>
      </c>
      <c r="W730" s="72">
        <f>W676*$F730/1000</f>
        <v>0.99185593255681304</v>
      </c>
      <c r="X730" s="72">
        <f>X676*$F730/1000</f>
        <v>1.0354975935893131</v>
      </c>
      <c r="Y730" s="72">
        <f>Y676*$F730/1000</f>
        <v>1.0810594877072426</v>
      </c>
      <c r="Z730" s="72">
        <f>Z676*$F730/1000</f>
        <v>1.1286261051663613</v>
      </c>
      <c r="AA730" s="72">
        <f>AA676*$F730/1000</f>
        <v>1.1782856537936812</v>
      </c>
      <c r="AB730" s="72">
        <f>AB676*$F730/1000</f>
        <v>1.2301302225606032</v>
      </c>
      <c r="AC730" s="72">
        <f>AC676*$F730/1000</f>
        <v>1.2842559523532697</v>
      </c>
      <c r="AD730" s="72">
        <f>AD676*$F730/1000</f>
        <v>1.3407632142568136</v>
      </c>
      <c r="AE730" s="72">
        <f>AE676*$F730/1000</f>
        <v>1.3997567956841135</v>
      </c>
      <c r="AF730" s="72"/>
      <c r="AG730" s="70"/>
      <c r="AH730" s="70"/>
      <c r="AI730" s="70"/>
    </row>
    <row r="731" spans="1:35" x14ac:dyDescent="0.45">
      <c r="A731" s="71"/>
      <c r="B731" s="75"/>
      <c r="C731" s="71"/>
      <c r="D731" s="75" t="s">
        <v>1363</v>
      </c>
      <c r="E731" s="71" t="s">
        <v>1486</v>
      </c>
      <c r="F731" s="72">
        <f>H665+I665</f>
        <v>1.9220000000000002</v>
      </c>
      <c r="G731" s="72">
        <f>MAX(J665+K665,0)</f>
        <v>0.25</v>
      </c>
      <c r="H731" s="72">
        <f>G731/F731</f>
        <v>0.13007284079084286</v>
      </c>
      <c r="I731" s="70"/>
      <c r="J731" s="70"/>
      <c r="K731" s="72"/>
      <c r="L731" s="72">
        <f>L677*$F731/1000</f>
        <v>0</v>
      </c>
      <c r="M731" s="72">
        <f>M677*$F731/1000</f>
        <v>0</v>
      </c>
      <c r="N731" s="72">
        <f>N677*$F731/1000</f>
        <v>0</v>
      </c>
      <c r="O731" s="72">
        <f>O677*$F731/1000</f>
        <v>0</v>
      </c>
      <c r="P731" s="72">
        <f>P677*$F731/1000</f>
        <v>0</v>
      </c>
      <c r="Q731" s="72">
        <f>Q677*$F731/1000</f>
        <v>0</v>
      </c>
      <c r="R731" s="72">
        <f>R677*$F731/1000</f>
        <v>0</v>
      </c>
      <c r="S731" s="72">
        <f>S677*$F731/1000</f>
        <v>0</v>
      </c>
      <c r="T731" s="72">
        <f>T677*$F731/1000</f>
        <v>0</v>
      </c>
      <c r="U731" s="72">
        <f>U677*$F731/1000</f>
        <v>0</v>
      </c>
      <c r="V731" s="72">
        <f>V677*$F731/1000</f>
        <v>0</v>
      </c>
      <c r="W731" s="72">
        <f>W677*$F731/1000</f>
        <v>0</v>
      </c>
      <c r="X731" s="72">
        <f>X677*$F731/1000</f>
        <v>0</v>
      </c>
      <c r="Y731" s="72">
        <f>Y677*$F731/1000</f>
        <v>0</v>
      </c>
      <c r="Z731" s="72">
        <f>Z677*$F731/1000</f>
        <v>0</v>
      </c>
      <c r="AA731" s="72">
        <f>AA677*$F731/1000</f>
        <v>0</v>
      </c>
      <c r="AB731" s="72">
        <f>AB677*$F731/1000</f>
        <v>0</v>
      </c>
      <c r="AC731" s="72">
        <f>AC677*$F731/1000</f>
        <v>0</v>
      </c>
      <c r="AD731" s="72">
        <f>AD677*$F731/1000</f>
        <v>0</v>
      </c>
      <c r="AE731" s="72">
        <f>AE677*$F731/1000</f>
        <v>0</v>
      </c>
      <c r="AF731" s="72"/>
      <c r="AG731" s="70"/>
      <c r="AH731" s="70"/>
      <c r="AI731" s="70"/>
    </row>
    <row r="732" spans="1:35" x14ac:dyDescent="0.45">
      <c r="A732" s="71"/>
      <c r="B732" s="75"/>
      <c r="C732" s="71"/>
      <c r="D732" s="75" t="s">
        <v>1369</v>
      </c>
      <c r="E732" s="71" t="s">
        <v>1486</v>
      </c>
      <c r="F732" s="72">
        <f>H666+I666</f>
        <v>0.2883</v>
      </c>
      <c r="G732" s="72">
        <f>MAX(J666+K666,0)</f>
        <v>0.52600000000000002</v>
      </c>
      <c r="H732" s="72">
        <f>G732/F732</f>
        <v>1.8244883801595562</v>
      </c>
      <c r="I732" s="70"/>
      <c r="J732" s="70"/>
      <c r="K732" s="72"/>
      <c r="L732" s="72">
        <f>L678*$F732/1000</f>
        <v>13.508713893592759</v>
      </c>
      <c r="M732" s="72">
        <f>M678*$F732/1000</f>
        <v>13.954501452081319</v>
      </c>
      <c r="N732" s="72">
        <f>N678*$F732/1000</f>
        <v>14.414999999999999</v>
      </c>
      <c r="O732" s="72">
        <f>O678*$F732/1000</f>
        <v>14.890694999999997</v>
      </c>
      <c r="P732" s="72">
        <f>P678*$F732/1000</f>
        <v>15.382087934999998</v>
      </c>
      <c r="Q732" s="72">
        <f>Q678*$F732/1000</f>
        <v>15.889696836854995</v>
      </c>
      <c r="R732" s="72">
        <f>R678*$F732/1000</f>
        <v>16.414056832471207</v>
      </c>
      <c r="S732" s="72">
        <f>S678*$F732/1000</f>
        <v>16.955720707942756</v>
      </c>
      <c r="T732" s="72">
        <f>T678*$F732/1000</f>
        <v>17.515259491304867</v>
      </c>
      <c r="U732" s="72">
        <f>U678*$F732/1000</f>
        <v>18.093263054517926</v>
      </c>
      <c r="V732" s="72">
        <f>V678*$F732/1000</f>
        <v>18.690340735317015</v>
      </c>
      <c r="W732" s="72">
        <f>W678*$F732/1000</f>
        <v>19.307121979582476</v>
      </c>
      <c r="X732" s="72">
        <f>X678*$F732/1000</f>
        <v>19.944257004908696</v>
      </c>
      <c r="Y732" s="72">
        <f>Y678*$F732/1000</f>
        <v>20.602417486070681</v>
      </c>
      <c r="Z732" s="72">
        <f>Z678*$F732/1000</f>
        <v>21.282297263111012</v>
      </c>
      <c r="AA732" s="72">
        <f>AA678*$F732/1000</f>
        <v>21.984613072793675</v>
      </c>
      <c r="AB732" s="72">
        <f>AB678*$F732/1000</f>
        <v>22.710105304195867</v>
      </c>
      <c r="AC732" s="72">
        <f>AC678*$F732/1000</f>
        <v>23.459538779234329</v>
      </c>
      <c r="AD732" s="72">
        <f>AD678*$F732/1000</f>
        <v>24.23370355894906</v>
      </c>
      <c r="AE732" s="72">
        <f>AE678*$F732/1000</f>
        <v>25.033415776394378</v>
      </c>
      <c r="AF732" s="72"/>
      <c r="AG732" s="70"/>
      <c r="AH732" s="70"/>
      <c r="AI732" s="70"/>
    </row>
    <row r="733" spans="1:35" x14ac:dyDescent="0.45">
      <c r="A733" s="71"/>
      <c r="B733" s="75"/>
      <c r="C733" s="71"/>
      <c r="D733" s="75" t="s">
        <v>1443</v>
      </c>
      <c r="E733" s="71" t="s">
        <v>1486</v>
      </c>
      <c r="F733" s="72">
        <f>H667+I667</f>
        <v>1.8512999999999999</v>
      </c>
      <c r="G733" s="72">
        <f>MAX(J667+K667,0)</f>
        <v>0</v>
      </c>
      <c r="H733" s="72">
        <f>G733/F733</f>
        <v>0</v>
      </c>
      <c r="I733" s="70"/>
      <c r="J733" s="70"/>
      <c r="K733" s="72"/>
      <c r="L733" s="72">
        <f>L679*$F733/1000</f>
        <v>3.1638306570517116</v>
      </c>
      <c r="M733" s="72">
        <f>M679*$F733/1000</f>
        <v>3.2334349315068494</v>
      </c>
      <c r="N733" s="72">
        <f>N679*$F733/1000</f>
        <v>3.3045704999999996</v>
      </c>
      <c r="O733" s="72">
        <f>O679*$F733/1000</f>
        <v>3.3772710509999997</v>
      </c>
      <c r="P733" s="72">
        <f>P679*$F733/1000</f>
        <v>3.4515710141219995</v>
      </c>
      <c r="Q733" s="72">
        <f>Q679*$F733/1000</f>
        <v>3.5275055764326835</v>
      </c>
      <c r="R733" s="72">
        <f>R679*$F733/1000</f>
        <v>3.6051106991142028</v>
      </c>
      <c r="S733" s="72">
        <f>S679*$F733/1000</f>
        <v>3.6844231344947151</v>
      </c>
      <c r="T733" s="72">
        <f>T679*$F733/1000</f>
        <v>3.7654804434535989</v>
      </c>
      <c r="U733" s="72">
        <f>U679*$F733/1000</f>
        <v>3.8483210132095782</v>
      </c>
      <c r="V733" s="72">
        <f>V679*$F733/1000</f>
        <v>3.932984075500189</v>
      </c>
      <c r="W733" s="72">
        <f>W679*$F733/1000</f>
        <v>4.0195097251611935</v>
      </c>
      <c r="X733" s="72">
        <f>X679*$F733/1000</f>
        <v>4.1079389391147396</v>
      </c>
      <c r="Y733" s="72">
        <f>Y679*$F733/1000</f>
        <v>4.1983135957752644</v>
      </c>
      <c r="Z733" s="72">
        <f>Z679*$F733/1000</f>
        <v>4.2906764948823204</v>
      </c>
      <c r="AA733" s="72">
        <f>AA679*$F733/1000</f>
        <v>4.385071377769731</v>
      </c>
      <c r="AB733" s="72">
        <f>AB679*$F733/1000</f>
        <v>4.4815429480806648</v>
      </c>
      <c r="AC733" s="72">
        <f>AC679*$F733/1000</f>
        <v>4.5801368929384401</v>
      </c>
      <c r="AD733" s="72">
        <f>AD679*$F733/1000</f>
        <v>4.680899904583085</v>
      </c>
      <c r="AE733" s="72">
        <f>AE679*$F733/1000</f>
        <v>4.7838797024839135</v>
      </c>
      <c r="AF733" s="72"/>
      <c r="AG733" s="70"/>
      <c r="AH733" s="70"/>
      <c r="AI733" s="70"/>
    </row>
    <row r="734" spans="1:35" x14ac:dyDescent="0.45">
      <c r="A734" s="71"/>
      <c r="B734" s="75"/>
      <c r="C734" s="71"/>
      <c r="D734" s="75" t="s">
        <v>1383</v>
      </c>
      <c r="E734" s="71" t="s">
        <v>1486</v>
      </c>
      <c r="F734" s="72">
        <f>H668+I668</f>
        <v>0.11219999999999999</v>
      </c>
      <c r="G734" s="72">
        <f>MAX(J668+K668,0)</f>
        <v>0</v>
      </c>
      <c r="H734" s="72">
        <f>G734/F734</f>
        <v>0</v>
      </c>
      <c r="I734" s="70"/>
      <c r="J734" s="70"/>
      <c r="K734" s="72"/>
      <c r="L734" s="72">
        <f>L680*$F734/1000</f>
        <v>0.30078009811543305</v>
      </c>
      <c r="M734" s="72">
        <f>M680*$F734/1000</f>
        <v>0.30739726027397257</v>
      </c>
      <c r="N734" s="72">
        <f>N680*$F734/1000</f>
        <v>0.31415999999999999</v>
      </c>
      <c r="O734" s="72">
        <f>O680*$F734/1000</f>
        <v>0.32107151999999994</v>
      </c>
      <c r="P734" s="72">
        <f>P680*$F734/1000</f>
        <v>0.32813509343999991</v>
      </c>
      <c r="Q734" s="72">
        <f>Q680*$F734/1000</f>
        <v>0.33535406549567992</v>
      </c>
      <c r="R734" s="72">
        <f>R680*$F734/1000</f>
        <v>0.34273185493658492</v>
      </c>
      <c r="S734" s="72">
        <f>S680*$F734/1000</f>
        <v>0.35027195574518982</v>
      </c>
      <c r="T734" s="72">
        <f>T680*$F734/1000</f>
        <v>0.35797793877158396</v>
      </c>
      <c r="U734" s="72">
        <f>U680*$F734/1000</f>
        <v>0.36585345342455883</v>
      </c>
      <c r="V734" s="72">
        <f>V680*$F734/1000</f>
        <v>0.37390222939989914</v>
      </c>
      <c r="W734" s="72">
        <f>W680*$F734/1000</f>
        <v>0.38212807844669699</v>
      </c>
      <c r="X734" s="72">
        <f>X680*$F734/1000</f>
        <v>0.39053489617252435</v>
      </c>
      <c r="Y734" s="72">
        <f>Y680*$F734/1000</f>
        <v>0.39912666388831991</v>
      </c>
      <c r="Z734" s="72">
        <f>Z680*$F734/1000</f>
        <v>0.40790745049386296</v>
      </c>
      <c r="AA734" s="72">
        <f>AA680*$F734/1000</f>
        <v>0.41688141440472792</v>
      </c>
      <c r="AB734" s="72">
        <f>AB680*$F734/1000</f>
        <v>0.42605280552163199</v>
      </c>
      <c r="AC734" s="72">
        <f>AC680*$F734/1000</f>
        <v>0.43542596724310795</v>
      </c>
      <c r="AD734" s="72">
        <f>AD680*$F734/1000</f>
        <v>0.44500533852245627</v>
      </c>
      <c r="AE734" s="72">
        <f>AE680*$F734/1000</f>
        <v>0.45479545596995036</v>
      </c>
      <c r="AF734" s="72"/>
      <c r="AG734" s="70"/>
      <c r="AH734" s="70"/>
      <c r="AI734" s="70"/>
    </row>
    <row r="735" spans="1:35" x14ac:dyDescent="0.45">
      <c r="A735" s="71"/>
      <c r="B735" s="75"/>
      <c r="C735" s="71"/>
      <c r="D735" s="75" t="s">
        <v>1390</v>
      </c>
      <c r="E735" s="71" t="s">
        <v>1486</v>
      </c>
      <c r="F735" s="72">
        <f>H669+I669</f>
        <v>0.11219999999999999</v>
      </c>
      <c r="G735" s="72">
        <f>MAX(J669+K669,0)</f>
        <v>0.97</v>
      </c>
      <c r="H735" s="72">
        <f>G735/F735</f>
        <v>8.6452762923351152</v>
      </c>
      <c r="I735" s="70"/>
      <c r="J735" s="70"/>
      <c r="K735" s="72"/>
      <c r="L735" s="72">
        <f>L681*$F735/1000</f>
        <v>6.4452878167592806E-2</v>
      </c>
      <c r="M735" s="72">
        <f>M681*$F735/1000</f>
        <v>6.5870841487279841E-2</v>
      </c>
      <c r="N735" s="72">
        <f>N681*$F735/1000</f>
        <v>6.7319999999999991E-2</v>
      </c>
      <c r="O735" s="72">
        <f>O681*$F735/1000</f>
        <v>6.8801039999999994E-2</v>
      </c>
      <c r="P735" s="72">
        <f>P681*$F735/1000</f>
        <v>7.0314662880000003E-2</v>
      </c>
      <c r="Q735" s="72">
        <f>Q681*$F735/1000</f>
        <v>7.1861585463359995E-2</v>
      </c>
      <c r="R735" s="72">
        <f>R681*$F735/1000</f>
        <v>7.3442540343553922E-2</v>
      </c>
      <c r="S735" s="72">
        <f>S681*$F735/1000</f>
        <v>7.5058276231112109E-2</v>
      </c>
      <c r="T735" s="72">
        <f>T681*$F735/1000</f>
        <v>7.6709558308196577E-2</v>
      </c>
      <c r="U735" s="72">
        <f>U681*$F735/1000</f>
        <v>7.8397168590976909E-2</v>
      </c>
      <c r="V735" s="72">
        <f>V681*$F735/1000</f>
        <v>8.012190629997841E-2</v>
      </c>
      <c r="W735" s="72">
        <f>W681*$F735/1000</f>
        <v>8.1884588238577916E-2</v>
      </c>
      <c r="X735" s="72">
        <f>X681*$F735/1000</f>
        <v>8.3686049179826624E-2</v>
      </c>
      <c r="Y735" s="72">
        <f>Y681*$F735/1000</f>
        <v>8.5527142261782832E-2</v>
      </c>
      <c r="Z735" s="72">
        <f>Z681*$F735/1000</f>
        <v>8.7408739391542062E-2</v>
      </c>
      <c r="AA735" s="72">
        <f>AA681*$F735/1000</f>
        <v>8.9331731658155972E-2</v>
      </c>
      <c r="AB735" s="72">
        <f>AB681*$F735/1000</f>
        <v>9.1297029754635398E-2</v>
      </c>
      <c r="AC735" s="72">
        <f>AC681*$F735/1000</f>
        <v>9.3305564409237388E-2</v>
      </c>
      <c r="AD735" s="72">
        <f>AD681*$F735/1000</f>
        <v>9.5358286826240618E-2</v>
      </c>
      <c r="AE735" s="72">
        <f>AE681*$F735/1000</f>
        <v>9.7456169136417914E-2</v>
      </c>
      <c r="AF735" s="72"/>
      <c r="AG735" s="70"/>
      <c r="AH735" s="70"/>
      <c r="AI735" s="70"/>
    </row>
    <row r="736" spans="1:35" x14ac:dyDescent="0.45">
      <c r="A736" s="71"/>
      <c r="B736" s="75"/>
      <c r="C736" s="71"/>
      <c r="D736" s="75" t="s">
        <v>1397</v>
      </c>
      <c r="E736" s="71" t="s">
        <v>1486</v>
      </c>
      <c r="F736" s="72">
        <f>H670+I670</f>
        <v>0.156</v>
      </c>
      <c r="G736" s="72">
        <f>MAX(J670+K670,0)</f>
        <v>2.35</v>
      </c>
      <c r="H736" s="72">
        <f>G736/F736</f>
        <v>15.064102564102564</v>
      </c>
      <c r="I736" s="70"/>
      <c r="J736" s="70"/>
      <c r="K736" s="72"/>
      <c r="L736" s="72">
        <f>L682*$F736/1000</f>
        <v>4.2047573055412055E-2</v>
      </c>
      <c r="M736" s="72">
        <f>M682*$F736/1000</f>
        <v>4.4360189573459712E-2</v>
      </c>
      <c r="N736" s="72">
        <f>N682*$F736/1000</f>
        <v>4.6799999999999994E-2</v>
      </c>
      <c r="O736" s="72">
        <f>O682*$F736/1000</f>
        <v>4.9374000000000001E-2</v>
      </c>
      <c r="P736" s="72">
        <f>P682*$F736/1000</f>
        <v>5.2089569999999995E-2</v>
      </c>
      <c r="Q736" s="72">
        <f>Q682*$F736/1000</f>
        <v>5.4954496349999993E-2</v>
      </c>
      <c r="R736" s="72">
        <f>R682*$F736/1000</f>
        <v>5.7976993649249998E-2</v>
      </c>
      <c r="S736" s="72">
        <f>S682*$F736/1000</f>
        <v>6.1165728299958741E-2</v>
      </c>
      <c r="T736" s="72">
        <f>T682*$F736/1000</f>
        <v>6.4529843356456465E-2</v>
      </c>
      <c r="U736" s="72">
        <f>U682*$F736/1000</f>
        <v>6.8078984741061568E-2</v>
      </c>
      <c r="V736" s="72">
        <f>V682*$F736/1000</f>
        <v>7.1823328901819944E-2</v>
      </c>
      <c r="W736" s="72">
        <f>W682*$F736/1000</f>
        <v>7.5773611991420048E-2</v>
      </c>
      <c r="X736" s="72">
        <f>X682*$F736/1000</f>
        <v>7.9941160650948154E-2</v>
      </c>
      <c r="Y736" s="72">
        <f>Y682*$F736/1000</f>
        <v>8.4337924486750301E-2</v>
      </c>
      <c r="Z736" s="72">
        <f>Z682*$F736/1000</f>
        <v>8.8976510333521566E-2</v>
      </c>
      <c r="AA736" s="72">
        <f>AA682*$F736/1000</f>
        <v>9.3870218401865241E-2</v>
      </c>
      <c r="AB736" s="72">
        <f>AB682*$F736/1000</f>
        <v>9.9033080413967828E-2</v>
      </c>
      <c r="AC736" s="72">
        <f>AC682*$F736/1000</f>
        <v>0.10447989983673606</v>
      </c>
      <c r="AD736" s="72">
        <f>AD682*$F736/1000</f>
        <v>0.11022629432775652</v>
      </c>
      <c r="AE736" s="72">
        <f>AE682*$F736/1000</f>
        <v>0.11628874051578311</v>
      </c>
      <c r="AF736" s="72"/>
      <c r="AG736" s="70"/>
      <c r="AH736" s="70"/>
      <c r="AI736" s="70"/>
    </row>
    <row r="737" spans="1:35" x14ac:dyDescent="0.45">
      <c r="A737" s="70"/>
      <c r="B737" s="75"/>
      <c r="C737" s="75"/>
      <c r="D737" s="75" t="s">
        <v>1487</v>
      </c>
      <c r="E737" s="70"/>
      <c r="F737" s="70"/>
      <c r="G737" s="70"/>
      <c r="H737" s="70"/>
      <c r="I737" s="70"/>
      <c r="J737" s="70"/>
      <c r="K737" s="72"/>
      <c r="L737" s="72">
        <f>SUM(L729:L736)</f>
        <v>20.926246357744834</v>
      </c>
      <c r="M737" s="72">
        <f>SUM(M729:M736)</f>
        <v>21.621228468026327</v>
      </c>
      <c r="N737" s="72">
        <f>SUM(N729:N736)</f>
        <v>22.340203500000001</v>
      </c>
      <c r="O737" s="72">
        <f>SUM(O729:O736)</f>
        <v>23.084029143000002</v>
      </c>
      <c r="P737" s="72">
        <f>SUM(P729:P736)</f>
        <v>23.853594734849999</v>
      </c>
      <c r="Q737" s="72">
        <f>SUM(Q729:Q736)</f>
        <v>24.649822464218669</v>
      </c>
      <c r="R737" s="72">
        <f>SUM(R729:R736)</f>
        <v>25.473668619896113</v>
      </c>
      <c r="S737" s="72">
        <f>SUM(S729:S736)</f>
        <v>26.326124888867827</v>
      </c>
      <c r="T737" s="72">
        <f>SUM(T729:T736)</f>
        <v>27.20821970513958</v>
      </c>
      <c r="U737" s="72">
        <f>SUM(U729:U736)</f>
        <v>28.121019651346554</v>
      </c>
      <c r="V737" s="72">
        <f>SUM(V729:V736)</f>
        <v>29.065630915263306</v>
      </c>
      <c r="W737" s="72">
        <f>SUM(W729:W736)</f>
        <v>30.043200803417918</v>
      </c>
      <c r="X737" s="72">
        <f>SUM(X729:X736)</f>
        <v>31.054919314104183</v>
      </c>
      <c r="Y737" s="72">
        <f>SUM(Y729:Y736)</f>
        <v>32.102020772179657</v>
      </c>
      <c r="Z737" s="72">
        <f>SUM(Z729:Z736)</f>
        <v>33.185785528135781</v>
      </c>
      <c r="AA737" s="72">
        <f>SUM(AA729:AA736)</f>
        <v>34.307541724028312</v>
      </c>
      <c r="AB737" s="72">
        <f>SUM(AB729:AB736)</f>
        <v>35.468667128962927</v>
      </c>
      <c r="AC737" s="72">
        <f>SUM(AC729:AC736)</f>
        <v>36.67059104694183</v>
      </c>
      <c r="AD737" s="72">
        <f>SUM(AD729:AD736)</f>
        <v>37.914796299992908</v>
      </c>
      <c r="AE737" s="72">
        <f>SUM(AE729:AE736)</f>
        <v>39.202821289623259</v>
      </c>
      <c r="AF737" s="70"/>
      <c r="AG737" s="70"/>
      <c r="AH737" s="70"/>
      <c r="AI737" s="70"/>
    </row>
    <row r="738" spans="1:35" x14ac:dyDescent="0.45">
      <c r="A738" s="70"/>
      <c r="B738" s="75"/>
      <c r="C738" s="75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75"/>
      <c r="C739" s="73" t="s">
        <v>1488</v>
      </c>
      <c r="D739" s="73"/>
      <c r="E739" s="70"/>
      <c r="F739" s="70"/>
      <c r="G739" s="70"/>
      <c r="H739" s="70"/>
      <c r="I739" s="72"/>
      <c r="J739" s="72"/>
      <c r="K739" s="72"/>
      <c r="L739" s="74">
        <f>L673</f>
        <v>2022</v>
      </c>
      <c r="M739" s="74">
        <f>M673</f>
        <v>2023</v>
      </c>
      <c r="N739" s="74">
        <f>N673</f>
        <v>2024</v>
      </c>
      <c r="O739" s="74">
        <f>O673</f>
        <v>2025</v>
      </c>
      <c r="P739" s="74">
        <f>P673</f>
        <v>2026</v>
      </c>
      <c r="Q739" s="74">
        <f>Q673</f>
        <v>2027</v>
      </c>
      <c r="R739" s="74">
        <f>R673</f>
        <v>2028</v>
      </c>
      <c r="S739" s="74">
        <f>S673</f>
        <v>2029</v>
      </c>
      <c r="T739" s="74">
        <f>T673</f>
        <v>2030</v>
      </c>
      <c r="U739" s="74">
        <f>U673</f>
        <v>2031</v>
      </c>
      <c r="V739" s="74">
        <f>V673</f>
        <v>2032</v>
      </c>
      <c r="W739" s="74">
        <f>W673</f>
        <v>2033</v>
      </c>
      <c r="X739" s="74">
        <f>X673</f>
        <v>2034</v>
      </c>
      <c r="Y739" s="74">
        <f>Y673</f>
        <v>2035</v>
      </c>
      <c r="Z739" s="74">
        <f>Z673</f>
        <v>2036</v>
      </c>
      <c r="AA739" s="74">
        <f>AA673</f>
        <v>2037</v>
      </c>
      <c r="AB739" s="74">
        <f>AB673</f>
        <v>2038</v>
      </c>
      <c r="AC739" s="74">
        <f>AC673</f>
        <v>2039</v>
      </c>
      <c r="AD739" s="74">
        <f>AD673</f>
        <v>2040</v>
      </c>
      <c r="AE739" s="74">
        <f>AE673</f>
        <v>2041</v>
      </c>
      <c r="AF739" s="74"/>
      <c r="AG739" s="70"/>
      <c r="AH739" s="70"/>
      <c r="AI739" s="70"/>
    </row>
    <row r="740" spans="1:35" x14ac:dyDescent="0.45">
      <c r="A740" s="71"/>
      <c r="B740" s="75"/>
      <c r="C740" s="71"/>
      <c r="D740" s="75" t="s">
        <v>1350</v>
      </c>
      <c r="E740" s="71" t="s">
        <v>1486</v>
      </c>
      <c r="F740" s="70"/>
      <c r="G740" s="70"/>
      <c r="H740" s="70"/>
      <c r="I740" s="70"/>
      <c r="J740" s="70"/>
      <c r="K740" s="72"/>
      <c r="L740" s="72">
        <f>L675*G729/1000</f>
        <v>0.18716695292200644</v>
      </c>
      <c r="M740" s="72">
        <f>M675*G729/1000</f>
        <v>0.1954022988505747</v>
      </c>
      <c r="N740" s="72">
        <f>N675*G729/1000</f>
        <v>0.20399999999999999</v>
      </c>
      <c r="O740" s="72">
        <f>O675*G729/1000</f>
        <v>0.21297600000000003</v>
      </c>
      <c r="P740" s="72">
        <f>P675*G729/1000</f>
        <v>0.22234694400000005</v>
      </c>
      <c r="Q740" s="72">
        <f>Q675*G729/1000</f>
        <v>0.23213020953600005</v>
      </c>
      <c r="R740" s="72">
        <f>R675*G729/1000</f>
        <v>0.24234393875558408</v>
      </c>
      <c r="S740" s="72">
        <f>S675*G729/1000</f>
        <v>0.25300707206082979</v>
      </c>
      <c r="T740" s="72">
        <f>T675*G729/1000</f>
        <v>0.26413938323150632</v>
      </c>
      <c r="U740" s="72">
        <f>U675*G729/1000</f>
        <v>0.27576151609369259</v>
      </c>
      <c r="V740" s="72">
        <f>V675*G729/1000</f>
        <v>0.28789502280181506</v>
      </c>
      <c r="W740" s="72">
        <f>W675*G729/1000</f>
        <v>0.30056240380509497</v>
      </c>
      <c r="X740" s="72">
        <f>X675*G729/1000</f>
        <v>0.31378714957251913</v>
      </c>
      <c r="Y740" s="72">
        <f>Y675*G729/1000</f>
        <v>0.32759378415370999</v>
      </c>
      <c r="Z740" s="72">
        <f>Z675*G729/1000</f>
        <v>0.34200791065647324</v>
      </c>
      <c r="AA740" s="72">
        <f>AA675*G729/1000</f>
        <v>0.35705625872535807</v>
      </c>
      <c r="AB740" s="72">
        <f>AB675*G729/1000</f>
        <v>0.37276673410927386</v>
      </c>
      <c r="AC740" s="72">
        <f>AC675*G729/1000</f>
        <v>0.38916847041008185</v>
      </c>
      <c r="AD740" s="72">
        <f>AD675*G729/1000</f>
        <v>0.40629188310812547</v>
      </c>
      <c r="AE740" s="72">
        <f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75"/>
      <c r="C741" s="71"/>
      <c r="D741" s="75" t="s">
        <v>1357</v>
      </c>
      <c r="E741" s="71" t="s">
        <v>1486</v>
      </c>
      <c r="F741" s="70"/>
      <c r="G741" s="70"/>
      <c r="H741" s="70"/>
      <c r="I741" s="70"/>
      <c r="J741" s="70"/>
      <c r="K741" s="72"/>
      <c r="L741" s="72">
        <f>L676*G730/1000</f>
        <v>6.6058924560708152E-2</v>
      </c>
      <c r="M741" s="72">
        <f>M676*G730/1000</f>
        <v>6.8965517241379309E-2</v>
      </c>
      <c r="N741" s="72">
        <f>N676*G730/1000</f>
        <v>7.1999999999999995E-2</v>
      </c>
      <c r="O741" s="72">
        <f>O676*G730/1000</f>
        <v>7.5167999999999999E-2</v>
      </c>
      <c r="P741" s="72">
        <f>P676*G730/1000</f>
        <v>7.8475392000000005E-2</v>
      </c>
      <c r="Q741" s="72">
        <f>Q676*G730/1000</f>
        <v>8.1928309247999986E-2</v>
      </c>
      <c r="R741" s="72">
        <f>R676*G730/1000</f>
        <v>8.5533154854912002E-2</v>
      </c>
      <c r="S741" s="72">
        <f>S676*G730/1000</f>
        <v>8.9296613668528119E-2</v>
      </c>
      <c r="T741" s="72">
        <f>T676*G730/1000</f>
        <v>9.3225664669943364E-2</v>
      </c>
      <c r="U741" s="72">
        <f>U676*G730/1000</f>
        <v>9.7327593915420896E-2</v>
      </c>
      <c r="V741" s="72">
        <f>V676*G730/1000</f>
        <v>0.10161000804769942</v>
      </c>
      <c r="W741" s="72">
        <f>W676*G730/1000</f>
        <v>0.10608084840179818</v>
      </c>
      <c r="X741" s="72">
        <f>X676*G730/1000</f>
        <v>0.1107484057314773</v>
      </c>
      <c r="Y741" s="72">
        <f>Y676*G730/1000</f>
        <v>0.1156213355836623</v>
      </c>
      <c r="Z741" s="72">
        <f>Z676*G730/1000</f>
        <v>0.12070867434934346</v>
      </c>
      <c r="AA741" s="72">
        <f>AA676*G730/1000</f>
        <v>0.12601985602071455</v>
      </c>
      <c r="AB741" s="72">
        <f>AB676*G730/1000</f>
        <v>0.13156472968562599</v>
      </c>
      <c r="AC741" s="72">
        <f>AC676*G730/1000</f>
        <v>0.13735357779179352</v>
      </c>
      <c r="AD741" s="72">
        <f>AD676*G730/1000</f>
        <v>0.14339713521463243</v>
      </c>
      <c r="AE741" s="72">
        <f>AE676*G730/1000</f>
        <v>0.1497066091640763</v>
      </c>
      <c r="AF741" s="72"/>
      <c r="AG741" s="70"/>
      <c r="AH741" s="70"/>
      <c r="AI741" s="70"/>
    </row>
    <row r="742" spans="1:35" x14ac:dyDescent="0.45">
      <c r="A742" s="71"/>
      <c r="B742" s="75"/>
      <c r="C742" s="71"/>
      <c r="D742" s="75" t="s">
        <v>1363</v>
      </c>
      <c r="E742" s="71" t="s">
        <v>1486</v>
      </c>
      <c r="F742" s="70"/>
      <c r="G742" s="70"/>
      <c r="H742" s="70"/>
      <c r="I742" s="70"/>
      <c r="J742" s="70"/>
      <c r="K742" s="72"/>
      <c r="L742" s="72">
        <f>L677*G731/1000</f>
        <v>0</v>
      </c>
      <c r="M742" s="72">
        <f>M677*G731/1000</f>
        <v>0</v>
      </c>
      <c r="N742" s="72">
        <f>N677*G731/1000</f>
        <v>0</v>
      </c>
      <c r="O742" s="72">
        <f>O677*G731/1000</f>
        <v>0</v>
      </c>
      <c r="P742" s="72">
        <f>P677*G731/1000</f>
        <v>0</v>
      </c>
      <c r="Q742" s="72">
        <f>Q677*G731/1000</f>
        <v>0</v>
      </c>
      <c r="R742" s="72">
        <f>R677*G731/1000</f>
        <v>0</v>
      </c>
      <c r="S742" s="72">
        <f>S677*G731/1000</f>
        <v>0</v>
      </c>
      <c r="T742" s="72">
        <f>T677*G731/1000</f>
        <v>0</v>
      </c>
      <c r="U742" s="72">
        <f>U677*G731/1000</f>
        <v>0</v>
      </c>
      <c r="V742" s="72">
        <f>V677*G731/1000</f>
        <v>0</v>
      </c>
      <c r="W742" s="72">
        <f>W677*G731/1000</f>
        <v>0</v>
      </c>
      <c r="X742" s="72">
        <f>X677*G731/1000</f>
        <v>0</v>
      </c>
      <c r="Y742" s="72">
        <f>Y677*G731/1000</f>
        <v>0</v>
      </c>
      <c r="Z742" s="72">
        <f>Z677*G731/1000</f>
        <v>0</v>
      </c>
      <c r="AA742" s="72">
        <f>AA677*G731/1000</f>
        <v>0</v>
      </c>
      <c r="AB742" s="72">
        <f>AB677*G731/1000</f>
        <v>0</v>
      </c>
      <c r="AC742" s="72">
        <f>AC677*G731/1000</f>
        <v>0</v>
      </c>
      <c r="AD742" s="72">
        <f>AD677*G731/1000</f>
        <v>0</v>
      </c>
      <c r="AE742" s="72">
        <f>AE677*G731/1000</f>
        <v>0</v>
      </c>
      <c r="AF742" s="72"/>
      <c r="AG742" s="70"/>
      <c r="AH742" s="70"/>
      <c r="AI742" s="70"/>
    </row>
    <row r="743" spans="1:35" x14ac:dyDescent="0.45">
      <c r="A743" s="71"/>
      <c r="B743" s="75"/>
      <c r="C743" s="71"/>
      <c r="D743" s="75" t="s">
        <v>1369</v>
      </c>
      <c r="E743" s="71" t="s">
        <v>1486</v>
      </c>
      <c r="F743" s="70"/>
      <c r="G743" s="70"/>
      <c r="H743" s="70"/>
      <c r="I743" s="70"/>
      <c r="J743" s="70"/>
      <c r="K743" s="72"/>
      <c r="L743" s="72">
        <f>L678*G732/1000</f>
        <v>24.646491529759945</v>
      </c>
      <c r="M743" s="72">
        <f>M678*G732/1000</f>
        <v>25.459825750242022</v>
      </c>
      <c r="N743" s="72">
        <f>N678*G732/1000</f>
        <v>26.3</v>
      </c>
      <c r="O743" s="72">
        <f>O678*G732/1000</f>
        <v>27.167899999999999</v>
      </c>
      <c r="P743" s="72">
        <f>P678*G732/1000</f>
        <v>28.064440699999995</v>
      </c>
      <c r="Q743" s="72">
        <f>Q678*G732/1000</f>
        <v>28.990567243099992</v>
      </c>
      <c r="R743" s="72">
        <f>R678*G732/1000</f>
        <v>29.947255962122291</v>
      </c>
      <c r="S743" s="72">
        <f>S678*G732/1000</f>
        <v>30.935515408872323</v>
      </c>
      <c r="T743" s="72">
        <f>T678*G732/1000</f>
        <v>31.956387417365111</v>
      </c>
      <c r="U743" s="72">
        <f>U678*G732/1000</f>
        <v>33.010948202138152</v>
      </c>
      <c r="V743" s="72">
        <f>V678*G732/1000</f>
        <v>34.100309492808705</v>
      </c>
      <c r="W743" s="72">
        <f>W678*G732/1000</f>
        <v>35.225619706071399</v>
      </c>
      <c r="X743" s="72">
        <f>X678*G732/1000</f>
        <v>36.388065156371745</v>
      </c>
      <c r="Y743" s="72">
        <f>Y678*G732/1000</f>
        <v>37.588871306532013</v>
      </c>
      <c r="Z743" s="72">
        <f>Z678*G732/1000</f>
        <v>38.829304059647569</v>
      </c>
      <c r="AA743" s="72">
        <f>AA678*G732/1000</f>
        <v>40.110671093615935</v>
      </c>
      <c r="AB743" s="72">
        <f>AB678*G732/1000</f>
        <v>41.434323239705257</v>
      </c>
      <c r="AC743" s="72">
        <f>AC678*G732/1000</f>
        <v>42.801655906615522</v>
      </c>
      <c r="AD743" s="72">
        <f>AD678*G732/1000</f>
        <v>44.214110551533835</v>
      </c>
      <c r="AE743" s="72">
        <f>AE678*G732/1000</f>
        <v>45.673176199734449</v>
      </c>
      <c r="AF743" s="72"/>
      <c r="AG743" s="70"/>
      <c r="AH743" s="70"/>
      <c r="AI743" s="70"/>
    </row>
    <row r="744" spans="1:35" x14ac:dyDescent="0.45">
      <c r="A744" s="71"/>
      <c r="B744" s="75"/>
      <c r="C744" s="71"/>
      <c r="D744" s="75" t="s">
        <v>1443</v>
      </c>
      <c r="E744" s="71" t="s">
        <v>1486</v>
      </c>
      <c r="F744" s="70"/>
      <c r="G744" s="70"/>
      <c r="H744" s="70"/>
      <c r="I744" s="70"/>
      <c r="J744" s="70"/>
      <c r="K744" s="72"/>
      <c r="L744" s="72">
        <f>L679*G733/1000</f>
        <v>0</v>
      </c>
      <c r="M744" s="72">
        <f>M679*G733/1000</f>
        <v>0</v>
      </c>
      <c r="N744" s="72">
        <f>N679*G733/1000</f>
        <v>0</v>
      </c>
      <c r="O744" s="72">
        <f>O679*G733/1000</f>
        <v>0</v>
      </c>
      <c r="P744" s="72">
        <f>P679*G733/1000</f>
        <v>0</v>
      </c>
      <c r="Q744" s="72">
        <f>Q679*G733/1000</f>
        <v>0</v>
      </c>
      <c r="R744" s="72">
        <f>R679*G733/1000</f>
        <v>0</v>
      </c>
      <c r="S744" s="72">
        <f>S679*G733/1000</f>
        <v>0</v>
      </c>
      <c r="T744" s="72">
        <f>T679*G733/1000</f>
        <v>0</v>
      </c>
      <c r="U744" s="72">
        <f>U679*G733/1000</f>
        <v>0</v>
      </c>
      <c r="V744" s="72">
        <f>V679*G733/1000</f>
        <v>0</v>
      </c>
      <c r="W744" s="72">
        <f>W679*G733/1000</f>
        <v>0</v>
      </c>
      <c r="X744" s="72">
        <f>X679*G733/1000</f>
        <v>0</v>
      </c>
      <c r="Y744" s="72">
        <f>Y679*G733/1000</f>
        <v>0</v>
      </c>
      <c r="Z744" s="72">
        <f>Z679*G733/1000</f>
        <v>0</v>
      </c>
      <c r="AA744" s="72">
        <f>AA679*G733/1000</f>
        <v>0</v>
      </c>
      <c r="AB744" s="72">
        <f>AB679*G733/1000</f>
        <v>0</v>
      </c>
      <c r="AC744" s="72">
        <f>AC679*G733/1000</f>
        <v>0</v>
      </c>
      <c r="AD744" s="72">
        <f>AD679*G733/1000</f>
        <v>0</v>
      </c>
      <c r="AE744" s="72">
        <f>AE679*G733/1000</f>
        <v>0</v>
      </c>
      <c r="AF744" s="72"/>
      <c r="AG744" s="70"/>
      <c r="AH744" s="70"/>
      <c r="AI744" s="70"/>
    </row>
    <row r="745" spans="1:35" x14ac:dyDescent="0.45">
      <c r="A745" s="71"/>
      <c r="B745" s="75"/>
      <c r="C745" s="71"/>
      <c r="D745" s="75" t="s">
        <v>1383</v>
      </c>
      <c r="E745" s="71" t="s">
        <v>1486</v>
      </c>
      <c r="F745" s="70"/>
      <c r="G745" s="70"/>
      <c r="H745" s="70"/>
      <c r="I745" s="70"/>
      <c r="J745" s="70"/>
      <c r="K745" s="72"/>
      <c r="L745" s="72">
        <f>L680*G734/1000</f>
        <v>0</v>
      </c>
      <c r="M745" s="72">
        <f>M680*G734/1000</f>
        <v>0</v>
      </c>
      <c r="N745" s="72">
        <f>N680*G734/1000</f>
        <v>0</v>
      </c>
      <c r="O745" s="72">
        <f>O680*G734/1000</f>
        <v>0</v>
      </c>
      <c r="P745" s="72">
        <f>P680*G734/1000</f>
        <v>0</v>
      </c>
      <c r="Q745" s="72">
        <f>Q680*G734/1000</f>
        <v>0</v>
      </c>
      <c r="R745" s="72">
        <f>R680*G734/1000</f>
        <v>0</v>
      </c>
      <c r="S745" s="72">
        <f>S680*G734/1000</f>
        <v>0</v>
      </c>
      <c r="T745" s="72">
        <f>T680*G734/1000</f>
        <v>0</v>
      </c>
      <c r="U745" s="72">
        <f>U680*G734/1000</f>
        <v>0</v>
      </c>
      <c r="V745" s="72">
        <f>V680*G734/1000</f>
        <v>0</v>
      </c>
      <c r="W745" s="72">
        <f>W680*G734/1000</f>
        <v>0</v>
      </c>
      <c r="X745" s="72">
        <f>X680*G734/1000</f>
        <v>0</v>
      </c>
      <c r="Y745" s="72">
        <f>Y680*G734/1000</f>
        <v>0</v>
      </c>
      <c r="Z745" s="72">
        <f>Z680*G734/1000</f>
        <v>0</v>
      </c>
      <c r="AA745" s="72">
        <f>AA680*G734/1000</f>
        <v>0</v>
      </c>
      <c r="AB745" s="72">
        <f>AB680*G734/1000</f>
        <v>0</v>
      </c>
      <c r="AC745" s="72">
        <f>AC680*G734/1000</f>
        <v>0</v>
      </c>
      <c r="AD745" s="72">
        <f>AD680*G734/1000</f>
        <v>0</v>
      </c>
      <c r="AE745" s="72">
        <f>AE680*G734/1000</f>
        <v>0</v>
      </c>
      <c r="AF745" s="72"/>
      <c r="AG745" s="70"/>
      <c r="AH745" s="70"/>
      <c r="AI745" s="70"/>
    </row>
    <row r="746" spans="1:35" x14ac:dyDescent="0.45">
      <c r="A746" s="71"/>
      <c r="B746" s="75"/>
      <c r="C746" s="71"/>
      <c r="D746" s="75" t="s">
        <v>1390</v>
      </c>
      <c r="E746" s="71" t="s">
        <v>1486</v>
      </c>
      <c r="F746" s="70"/>
      <c r="G746" s="70"/>
      <c r="H746" s="70"/>
      <c r="I746" s="70"/>
      <c r="J746" s="70"/>
      <c r="K746" s="72"/>
      <c r="L746" s="72">
        <f>L681*G735/1000</f>
        <v>0.55721293959505358</v>
      </c>
      <c r="M746" s="72">
        <f>M681*G735/1000</f>
        <v>0.56947162426614473</v>
      </c>
      <c r="N746" s="72">
        <f>N681*G735/1000</f>
        <v>0.58199999999999996</v>
      </c>
      <c r="O746" s="72">
        <f>O681*G735/1000</f>
        <v>0.594804</v>
      </c>
      <c r="P746" s="72">
        <f>P681*G735/1000</f>
        <v>0.60788968800000009</v>
      </c>
      <c r="Q746" s="72">
        <f>Q681*G735/1000</f>
        <v>0.62126326113599994</v>
      </c>
      <c r="R746" s="72">
        <f>R681*G735/1000</f>
        <v>0.63493105288099194</v>
      </c>
      <c r="S746" s="72">
        <f>S681*G735/1000</f>
        <v>0.64889953604437378</v>
      </c>
      <c r="T746" s="72">
        <f>T681*G735/1000</f>
        <v>0.66317532583735006</v>
      </c>
      <c r="U746" s="72">
        <f>U681*G735/1000</f>
        <v>0.67776518300577182</v>
      </c>
      <c r="V746" s="72">
        <f>V681*G735/1000</f>
        <v>0.69267601703189885</v>
      </c>
      <c r="W746" s="72">
        <f>W681*G735/1000</f>
        <v>0.70791488940660052</v>
      </c>
      <c r="X746" s="72">
        <f>X681*G735/1000</f>
        <v>0.72348901697354573</v>
      </c>
      <c r="Y746" s="72">
        <f>Y681*G735/1000</f>
        <v>0.73940577534696372</v>
      </c>
      <c r="Z746" s="72">
        <f>Z681*G735/1000</f>
        <v>0.75567270240459705</v>
      </c>
      <c r="AA746" s="72">
        <f>AA681*G735/1000</f>
        <v>0.77229750185749824</v>
      </c>
      <c r="AB746" s="72">
        <f>AB681*G735/1000</f>
        <v>0.78928804689836318</v>
      </c>
      <c r="AC746" s="72">
        <f>AC681*G735/1000</f>
        <v>0.80665238393012717</v>
      </c>
      <c r="AD746" s="72">
        <f>AD681*G735/1000</f>
        <v>0.82439873637659</v>
      </c>
      <c r="AE746" s="72">
        <f>AE681*G735/1000</f>
        <v>0.84253550857687498</v>
      </c>
      <c r="AF746" s="72"/>
      <c r="AG746" s="70"/>
      <c r="AH746" s="70"/>
      <c r="AI746" s="70"/>
    </row>
    <row r="747" spans="1:35" x14ac:dyDescent="0.45">
      <c r="A747" s="71"/>
      <c r="B747" s="75"/>
      <c r="C747" s="71"/>
      <c r="D747" s="75" t="s">
        <v>1397</v>
      </c>
      <c r="E747" s="71" t="s">
        <v>1486</v>
      </c>
      <c r="F747" s="70"/>
      <c r="G747" s="70"/>
      <c r="H747" s="70"/>
      <c r="I747" s="70"/>
      <c r="J747" s="70"/>
      <c r="K747" s="72"/>
      <c r="L747" s="72">
        <f>L682*G736/1000</f>
        <v>0.63340895307832257</v>
      </c>
      <c r="M747" s="72">
        <f>M682*G736/1000</f>
        <v>0.66824644549763035</v>
      </c>
      <c r="N747" s="72">
        <f>N682*G736/1000</f>
        <v>0.70499999999999996</v>
      </c>
      <c r="O747" s="72">
        <f>O682*G736/1000</f>
        <v>0.74377499999999996</v>
      </c>
      <c r="P747" s="72">
        <f>P682*G736/1000</f>
        <v>0.78468262499999997</v>
      </c>
      <c r="Q747" s="72">
        <f>Q682*G736/1000</f>
        <v>0.82784016937499993</v>
      </c>
      <c r="R747" s="72">
        <f>R682*G736/1000</f>
        <v>0.87337137869062498</v>
      </c>
      <c r="S747" s="72">
        <f>S682*G736/1000</f>
        <v>0.92140680451860935</v>
      </c>
      <c r="T747" s="72">
        <f>T682*G736/1000</f>
        <v>0.97208417876713282</v>
      </c>
      <c r="U747" s="72">
        <f>U682*G736/1000</f>
        <v>1.025548808599325</v>
      </c>
      <c r="V747" s="72">
        <f>V682*G736/1000</f>
        <v>1.0819539930722879</v>
      </c>
      <c r="W747" s="72">
        <f>W682*G736/1000</f>
        <v>1.1414614626912638</v>
      </c>
      <c r="X747" s="72">
        <f>X682*G736/1000</f>
        <v>1.2042418431392832</v>
      </c>
      <c r="Y747" s="72">
        <f>Y682*G736/1000</f>
        <v>1.2704751445119435</v>
      </c>
      <c r="Z747" s="72">
        <f>Z682*G736/1000</f>
        <v>1.3403512774601003</v>
      </c>
      <c r="AA747" s="72">
        <f>AA682*G736/1000</f>
        <v>1.4140705977204062</v>
      </c>
      <c r="AB747" s="72">
        <f>AB682*G736/1000</f>
        <v>1.4918444805950282</v>
      </c>
      <c r="AC747" s="72">
        <f>AC682*G736/1000</f>
        <v>1.5738959270277546</v>
      </c>
      <c r="AD747" s="72">
        <f>AD682*G736/1000</f>
        <v>1.660460203014281</v>
      </c>
      <c r="AE747" s="72">
        <f>AE682*G736/1000</f>
        <v>1.7517855141800662</v>
      </c>
      <c r="AF747" s="72"/>
      <c r="AG747" s="70"/>
      <c r="AH747" s="70"/>
      <c r="AI747" s="70"/>
    </row>
    <row r="748" spans="1:35" x14ac:dyDescent="0.45">
      <c r="A748" s="70"/>
      <c r="B748" s="75"/>
      <c r="C748" s="75"/>
      <c r="D748" s="75" t="s">
        <v>1487</v>
      </c>
      <c r="E748" s="70"/>
      <c r="F748" s="70"/>
      <c r="G748" s="70"/>
      <c r="H748" s="70"/>
      <c r="I748" s="70"/>
      <c r="J748" s="70"/>
      <c r="K748" s="72"/>
      <c r="L748" s="72">
        <f>SUM(L740:L747)</f>
        <v>26.090339299916039</v>
      </c>
      <c r="M748" s="72">
        <f>SUM(M740:M747)</f>
        <v>26.961911636097753</v>
      </c>
      <c r="N748" s="72">
        <f>SUM(N740:N747)</f>
        <v>27.863</v>
      </c>
      <c r="O748" s="72">
        <f>SUM(O740:O747)</f>
        <v>28.794622999999998</v>
      </c>
      <c r="P748" s="72">
        <f>SUM(P740:P747)</f>
        <v>29.757835348999993</v>
      </c>
      <c r="Q748" s="72">
        <f>SUM(Q740:Q747)</f>
        <v>30.753729192394996</v>
      </c>
      <c r="R748" s="72">
        <f>SUM(R740:R747)</f>
        <v>31.783435487304406</v>
      </c>
      <c r="S748" s="72">
        <f>SUM(S740:S747)</f>
        <v>32.848125435164668</v>
      </c>
      <c r="T748" s="72">
        <f>SUM(T740:T747)</f>
        <v>33.949011969871044</v>
      </c>
      <c r="U748" s="72">
        <f>SUM(U740:U747)</f>
        <v>35.087351303752364</v>
      </c>
      <c r="V748" s="72">
        <f>SUM(V740:V747)</f>
        <v>36.264444533762408</v>
      </c>
      <c r="W748" s="72">
        <f>SUM(W740:W747)</f>
        <v>37.481639310376153</v>
      </c>
      <c r="X748" s="72">
        <f>SUM(X740:X747)</f>
        <v>38.740331571788573</v>
      </c>
      <c r="Y748" s="72">
        <f>SUM(Y740:Y747)</f>
        <v>40.041967346128295</v>
      </c>
      <c r="Z748" s="72">
        <f>SUM(Z740:Z747)</f>
        <v>41.388044624518081</v>
      </c>
      <c r="AA748" s="72">
        <f>SUM(AA740:AA747)</f>
        <v>42.780115307939909</v>
      </c>
      <c r="AB748" s="72">
        <f>SUM(AB740:AB747)</f>
        <v>44.219787230993546</v>
      </c>
      <c r="AC748" s="72">
        <f>SUM(AC740:AC747)</f>
        <v>45.708726265775283</v>
      </c>
      <c r="AD748" s="72">
        <f>SUM(AD740:AD747)</f>
        <v>47.248658509247463</v>
      </c>
      <c r="AE748" s="72">
        <f>SUM(AE740:AE747)</f>
        <v>48.841372557620346</v>
      </c>
      <c r="AF748" s="70"/>
      <c r="AG748" s="70"/>
      <c r="AH748" s="70"/>
      <c r="AI748" s="70"/>
    </row>
    <row r="749" spans="1:35" x14ac:dyDescent="0.45">
      <c r="A749" s="70"/>
      <c r="B749" s="75"/>
      <c r="C749" s="75"/>
      <c r="D749" s="75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75"/>
      <c r="C750" s="73" t="s">
        <v>1489</v>
      </c>
      <c r="D750" s="73"/>
      <c r="E750" s="72" t="s">
        <v>1490</v>
      </c>
      <c r="F750" s="72" t="s">
        <v>1407</v>
      </c>
      <c r="G750" s="72" t="s">
        <v>1491</v>
      </c>
      <c r="H750" s="74"/>
      <c r="I750" s="74"/>
      <c r="J750" s="74"/>
      <c r="K750" s="74"/>
      <c r="L750" s="74">
        <f>L697</f>
        <v>2022</v>
      </c>
      <c r="M750" s="74">
        <f>M697</f>
        <v>2023</v>
      </c>
      <c r="N750" s="74">
        <f>N697</f>
        <v>2024</v>
      </c>
      <c r="O750" s="74">
        <f>O697</f>
        <v>2025</v>
      </c>
      <c r="P750" s="74">
        <f>P697</f>
        <v>2026</v>
      </c>
      <c r="Q750" s="74">
        <f>Q697</f>
        <v>2027</v>
      </c>
      <c r="R750" s="74">
        <f>R697</f>
        <v>2028</v>
      </c>
      <c r="S750" s="74">
        <f>S697</f>
        <v>2029</v>
      </c>
      <c r="T750" s="74">
        <f>T697</f>
        <v>2030</v>
      </c>
      <c r="U750" s="74">
        <f>U697</f>
        <v>2031</v>
      </c>
      <c r="V750" s="74">
        <f>V697</f>
        <v>2032</v>
      </c>
      <c r="W750" s="74">
        <f>W697</f>
        <v>2033</v>
      </c>
      <c r="X750" s="74">
        <f>X697</f>
        <v>2034</v>
      </c>
      <c r="Y750" s="74">
        <f>Y697</f>
        <v>2035</v>
      </c>
      <c r="Z750" s="74">
        <f>Z697</f>
        <v>2036</v>
      </c>
      <c r="AA750" s="74">
        <f>AA697</f>
        <v>2037</v>
      </c>
      <c r="AB750" s="74">
        <f>AB697</f>
        <v>2038</v>
      </c>
      <c r="AC750" s="74">
        <f>AC697</f>
        <v>2039</v>
      </c>
      <c r="AD750" s="74">
        <f>AD697</f>
        <v>2040</v>
      </c>
      <c r="AE750" s="74">
        <f>AE697</f>
        <v>2041</v>
      </c>
      <c r="AF750" s="70"/>
      <c r="AG750" s="70"/>
      <c r="AH750" s="70"/>
      <c r="AI750" s="70"/>
    </row>
    <row r="751" spans="1:35" x14ac:dyDescent="0.45">
      <c r="A751" s="70"/>
      <c r="B751" s="75"/>
      <c r="C751" s="75"/>
      <c r="D751" s="75" t="s">
        <v>1350</v>
      </c>
      <c r="E751" s="83">
        <f>'Manual inputs'!E$40</f>
        <v>1.0536051565782599E-3</v>
      </c>
      <c r="F751" s="79">
        <f>'Manual inputs'!F$40</f>
        <v>0.1</v>
      </c>
      <c r="G751" s="72"/>
      <c r="H751" s="70"/>
      <c r="I751" s="70"/>
      <c r="J751" s="70"/>
      <c r="K751" s="70"/>
      <c r="L751" s="72">
        <f>L729*(EXP(-($E751)*(L649))-1)</f>
        <v>0</v>
      </c>
      <c r="M751" s="72">
        <f>M729*(EXP(-($E751)*(M649))-1)</f>
        <v>0</v>
      </c>
      <c r="N751" s="72">
        <f>N729*(EXP(-($E751)*(N649))-1)</f>
        <v>0</v>
      </c>
      <c r="O751" s="72">
        <f>O729*(EXP(-($E751)*(O649))-1)</f>
        <v>0</v>
      </c>
      <c r="P751" s="72">
        <f>P729*(EXP(-($E751)*(P649))-1)</f>
        <v>0</v>
      </c>
      <c r="Q751" s="72">
        <f>Q729*(EXP(-($E751)*(Q649))-1)</f>
        <v>0</v>
      </c>
      <c r="R751" s="72">
        <f>R729*(EXP(-($E751)*(R649))-1)</f>
        <v>0</v>
      </c>
      <c r="S751" s="72">
        <f>S729*(EXP(-($E751)*(S649))-1)</f>
        <v>0</v>
      </c>
      <c r="T751" s="72">
        <f>T729*(EXP(-($E751)*(T649))-1)</f>
        <v>0</v>
      </c>
      <c r="U751" s="72">
        <f>U729*(EXP(-($E751)*(U649))-1)</f>
        <v>0</v>
      </c>
      <c r="V751" s="72">
        <f>V729*(EXP(-($E751)*(V649))-1)</f>
        <v>0</v>
      </c>
      <c r="W751" s="72">
        <f>W729*(EXP(-($E751)*(W649))-1)</f>
        <v>0</v>
      </c>
      <c r="X751" s="72">
        <f>X729*(EXP(-($E751)*(X649))-1)</f>
        <v>0</v>
      </c>
      <c r="Y751" s="72">
        <f>Y729*(EXP(-($E751)*(Y649))-1)</f>
        <v>0</v>
      </c>
      <c r="Z751" s="72">
        <f>Z729*(EXP(-($E751)*(Z649))-1)</f>
        <v>0</v>
      </c>
      <c r="AA751" s="72">
        <f>AA729*(EXP(-($E751)*(AA649))-1)</f>
        <v>0</v>
      </c>
      <c r="AB751" s="72">
        <f>AB729*(EXP(-($E751)*(AB649))-1)</f>
        <v>0</v>
      </c>
      <c r="AC751" s="72">
        <f>AC729*(EXP(-($E751)*(AC649))-1)</f>
        <v>0</v>
      </c>
      <c r="AD751" s="72">
        <f>AD729*(EXP(-($E751)*(AD649))-1)</f>
        <v>0</v>
      </c>
      <c r="AE751" s="72">
        <f>AE729*(EXP(-($E751)*(AE649))-1)</f>
        <v>0</v>
      </c>
      <c r="AF751" s="70"/>
      <c r="AG751" s="70"/>
      <c r="AH751" s="70"/>
      <c r="AI751" s="70"/>
    </row>
    <row r="752" spans="1:35" x14ac:dyDescent="0.45">
      <c r="A752" s="70"/>
      <c r="B752" s="75"/>
      <c r="C752" s="75"/>
      <c r="D752" s="75" t="s">
        <v>1357</v>
      </c>
      <c r="E752" s="83">
        <f>'Manual inputs'!E$41</f>
        <v>2.0202707317519501E-4</v>
      </c>
      <c r="F752" s="79">
        <f>'Manual inputs'!F$41</f>
        <v>0.02</v>
      </c>
      <c r="G752" s="72"/>
      <c r="H752" s="70"/>
      <c r="I752" s="70"/>
      <c r="J752" s="70"/>
      <c r="K752" s="70"/>
      <c r="L752" s="72">
        <f>L730*(EXP(-($E752)*(L649))-1)</f>
        <v>0</v>
      </c>
      <c r="M752" s="72">
        <f>M730*(EXP(-($E752)*(M649))-1)</f>
        <v>0</v>
      </c>
      <c r="N752" s="72">
        <f>N730*(EXP(-($E752)*(N649))-1)</f>
        <v>0</v>
      </c>
      <c r="O752" s="72">
        <f>O730*(EXP(-($E752)*(O649))-1)</f>
        <v>0</v>
      </c>
      <c r="P752" s="72">
        <f>P730*(EXP(-($E752)*(P649))-1)</f>
        <v>0</v>
      </c>
      <c r="Q752" s="72">
        <f>Q730*(EXP(-($E752)*(Q649))-1)</f>
        <v>0</v>
      </c>
      <c r="R752" s="72">
        <f>R730*(EXP(-($E752)*(R649))-1)</f>
        <v>0</v>
      </c>
      <c r="S752" s="72">
        <f>S730*(EXP(-($E752)*(S649))-1)</f>
        <v>0</v>
      </c>
      <c r="T752" s="72">
        <f>T730*(EXP(-($E752)*(T649))-1)</f>
        <v>0</v>
      </c>
      <c r="U752" s="72">
        <f>U730*(EXP(-($E752)*(U649))-1)</f>
        <v>0</v>
      </c>
      <c r="V752" s="72">
        <f>V730*(EXP(-($E752)*(V649))-1)</f>
        <v>0</v>
      </c>
      <c r="W752" s="72">
        <f>W730*(EXP(-($E752)*(W649))-1)</f>
        <v>0</v>
      </c>
      <c r="X752" s="72">
        <f>X730*(EXP(-($E752)*(X649))-1)</f>
        <v>0</v>
      </c>
      <c r="Y752" s="72">
        <f>Y730*(EXP(-($E752)*(Y649))-1)</f>
        <v>0</v>
      </c>
      <c r="Z752" s="72">
        <f>Z730*(EXP(-($E752)*(Z649))-1)</f>
        <v>0</v>
      </c>
      <c r="AA752" s="72">
        <f>AA730*(EXP(-($E752)*(AA649))-1)</f>
        <v>0</v>
      </c>
      <c r="AB752" s="72">
        <f>AB730*(EXP(-($E752)*(AB649))-1)</f>
        <v>0</v>
      </c>
      <c r="AC752" s="72">
        <f>AC730*(EXP(-($E752)*(AC649))-1)</f>
        <v>0</v>
      </c>
      <c r="AD752" s="72">
        <f>AD730*(EXP(-($E752)*(AD649))-1)</f>
        <v>0</v>
      </c>
      <c r="AE752" s="72">
        <f>AE730*(EXP(-($E752)*(AE649))-1)</f>
        <v>0</v>
      </c>
      <c r="AF752" s="70"/>
      <c r="AG752" s="70"/>
      <c r="AH752" s="70"/>
      <c r="AI752" s="70"/>
    </row>
    <row r="753" spans="1:35" x14ac:dyDescent="0.45">
      <c r="A753" s="70"/>
      <c r="B753" s="75"/>
      <c r="C753" s="75"/>
      <c r="D753" s="75" t="s">
        <v>1408</v>
      </c>
      <c r="E753" s="83">
        <f>'Manual inputs'!E$42</f>
        <v>5.1293294387550598E-4</v>
      </c>
      <c r="F753" s="79">
        <f>'Manual inputs'!F$42</f>
        <v>0.05</v>
      </c>
      <c r="G753" s="72"/>
      <c r="H753" s="70"/>
      <c r="I753" s="70"/>
      <c r="J753" s="70"/>
      <c r="K753" s="70"/>
      <c r="L753" s="72">
        <f>L731*(EXP(-($E753)*(L649))-1)</f>
        <v>0</v>
      </c>
      <c r="M753" s="72">
        <f>M731*(EXP(-($E753)*(M649))-1)</f>
        <v>0</v>
      </c>
      <c r="N753" s="72">
        <f>N731*(EXP(-($E753)*(N649))-1)</f>
        <v>0</v>
      </c>
      <c r="O753" s="72">
        <f>O731*(EXP(-($E753)*(O649))-1)</f>
        <v>0</v>
      </c>
      <c r="P753" s="72">
        <f>P731*(EXP(-($E753)*(P649))-1)</f>
        <v>0</v>
      </c>
      <c r="Q753" s="72">
        <f>Q731*(EXP(-($E753)*(Q649))-1)</f>
        <v>0</v>
      </c>
      <c r="R753" s="72">
        <f>R731*(EXP(-($E753)*(R649))-1)</f>
        <v>0</v>
      </c>
      <c r="S753" s="72">
        <f>S731*(EXP(-($E753)*(S649))-1)</f>
        <v>0</v>
      </c>
      <c r="T753" s="72">
        <f>T731*(EXP(-($E753)*(T649))-1)</f>
        <v>0</v>
      </c>
      <c r="U753" s="72">
        <f>U731*(EXP(-($E753)*(U649))-1)</f>
        <v>0</v>
      </c>
      <c r="V753" s="72">
        <f>V731*(EXP(-($E753)*(V649))-1)</f>
        <v>0</v>
      </c>
      <c r="W753" s="72">
        <f>W731*(EXP(-($E753)*(W649))-1)</f>
        <v>0</v>
      </c>
      <c r="X753" s="72">
        <f>X731*(EXP(-($E753)*(X649))-1)</f>
        <v>0</v>
      </c>
      <c r="Y753" s="72">
        <f>Y731*(EXP(-($E753)*(Y649))-1)</f>
        <v>0</v>
      </c>
      <c r="Z753" s="72">
        <f>Z731*(EXP(-($E753)*(Z649))-1)</f>
        <v>0</v>
      </c>
      <c r="AA753" s="72">
        <f>AA731*(EXP(-($E753)*(AA649))-1)</f>
        <v>0</v>
      </c>
      <c r="AB753" s="72">
        <f>AB731*(EXP(-($E753)*(AB649))-1)</f>
        <v>0</v>
      </c>
      <c r="AC753" s="72">
        <f>AC731*(EXP(-($E753)*(AC649))-1)</f>
        <v>0</v>
      </c>
      <c r="AD753" s="72">
        <f>AD731*(EXP(-($E753)*(AD649))-1)</f>
        <v>0</v>
      </c>
      <c r="AE753" s="72">
        <f>AE731*(EXP(-($E753)*(AE649))-1)</f>
        <v>0</v>
      </c>
      <c r="AF753" s="70"/>
      <c r="AG753" s="70"/>
      <c r="AH753" s="70"/>
      <c r="AI753" s="70"/>
    </row>
    <row r="754" spans="1:35" x14ac:dyDescent="0.45">
      <c r="A754" s="70"/>
      <c r="B754" s="75"/>
      <c r="C754" s="75"/>
      <c r="D754" s="75" t="s">
        <v>1409</v>
      </c>
      <c r="E754" s="83">
        <f>'Manual inputs'!E$43</f>
        <v>8.3381608939051E-4</v>
      </c>
      <c r="F754" s="79">
        <f>'Manual inputs'!F$43</f>
        <v>0.08</v>
      </c>
      <c r="G754" s="72"/>
      <c r="H754" s="70"/>
      <c r="I754" s="70"/>
      <c r="J754" s="70"/>
      <c r="K754" s="70"/>
      <c r="L754" s="72">
        <f>L732*(EXP(-($E754)*(L649))-1)</f>
        <v>0</v>
      </c>
      <c r="M754" s="72">
        <f>M732*(EXP(-($E754)*(M649))-1)</f>
        <v>0</v>
      </c>
      <c r="N754" s="72">
        <f>N732*(EXP(-($E754)*(N649))-1)</f>
        <v>0</v>
      </c>
      <c r="O754" s="72">
        <f>O732*(EXP(-($E754)*(O649))-1)</f>
        <v>0</v>
      </c>
      <c r="P754" s="72">
        <f>P732*(EXP(-($E754)*(P649))-1)</f>
        <v>0</v>
      </c>
      <c r="Q754" s="72">
        <f>Q732*(EXP(-($E754)*(Q649))-1)</f>
        <v>0</v>
      </c>
      <c r="R754" s="72">
        <f>R732*(EXP(-($E754)*(R649))-1)</f>
        <v>0</v>
      </c>
      <c r="S754" s="72">
        <f>S732*(EXP(-($E754)*(S649))-1)</f>
        <v>0</v>
      </c>
      <c r="T754" s="72">
        <f>T732*(EXP(-($E754)*(T649))-1)</f>
        <v>0</v>
      </c>
      <c r="U754" s="72">
        <f>U732*(EXP(-($E754)*(U649))-1)</f>
        <v>0</v>
      </c>
      <c r="V754" s="72">
        <f>V732*(EXP(-($E754)*(V649))-1)</f>
        <v>0</v>
      </c>
      <c r="W754" s="72">
        <f>W732*(EXP(-($E754)*(W649))-1)</f>
        <v>0</v>
      </c>
      <c r="X754" s="72">
        <f>X732*(EXP(-($E754)*(X649))-1)</f>
        <v>0</v>
      </c>
      <c r="Y754" s="72">
        <f>Y732*(EXP(-($E754)*(Y649))-1)</f>
        <v>0</v>
      </c>
      <c r="Z754" s="72">
        <f>Z732*(EXP(-($E754)*(Z649))-1)</f>
        <v>0</v>
      </c>
      <c r="AA754" s="72">
        <f>AA732*(EXP(-($E754)*(AA649))-1)</f>
        <v>0</v>
      </c>
      <c r="AB754" s="72">
        <f>AB732*(EXP(-($E754)*(AB649))-1)</f>
        <v>0</v>
      </c>
      <c r="AC754" s="72">
        <f>AC732*(EXP(-($E754)*(AC649))-1)</f>
        <v>0</v>
      </c>
      <c r="AD754" s="72">
        <f>AD732*(EXP(-($E754)*(AD649))-1)</f>
        <v>0</v>
      </c>
      <c r="AE754" s="72">
        <f>AE732*(EXP(-($E754)*(AE649))-1)</f>
        <v>0</v>
      </c>
      <c r="AF754" s="70"/>
      <c r="AG754" s="70"/>
      <c r="AH754" s="70"/>
      <c r="AI754" s="70"/>
    </row>
    <row r="755" spans="1:35" x14ac:dyDescent="0.45">
      <c r="A755" s="70"/>
      <c r="B755" s="75"/>
      <c r="C755" s="75"/>
      <c r="D755" s="75" t="s">
        <v>1410</v>
      </c>
      <c r="E755" s="83">
        <f>'Manual inputs'!E$44</f>
        <v>1.98450938723838E-3</v>
      </c>
      <c r="F755" s="79">
        <f>'Manual inputs'!F$44</f>
        <v>0.18</v>
      </c>
      <c r="G755" s="72"/>
      <c r="H755" s="70"/>
      <c r="I755" s="70"/>
      <c r="J755" s="70"/>
      <c r="K755" s="70"/>
      <c r="L755" s="72">
        <f>L733*(EXP(-($E755)*(L649))-1)</f>
        <v>0</v>
      </c>
      <c r="M755" s="72">
        <f>M733*(EXP(-($E755)*(M649))-1)</f>
        <v>0</v>
      </c>
      <c r="N755" s="72">
        <f>N733*(EXP(-($E755)*(N649))-1)</f>
        <v>0</v>
      </c>
      <c r="O755" s="72">
        <f>O733*(EXP(-($E755)*(O649))-1)</f>
        <v>0</v>
      </c>
      <c r="P755" s="72">
        <f>P733*(EXP(-($E755)*(P649))-1)</f>
        <v>0</v>
      </c>
      <c r="Q755" s="72">
        <f>Q733*(EXP(-($E755)*(Q649))-1)</f>
        <v>0</v>
      </c>
      <c r="R755" s="72">
        <f>R733*(EXP(-($E755)*(R649))-1)</f>
        <v>0</v>
      </c>
      <c r="S755" s="72">
        <f>S733*(EXP(-($E755)*(S649))-1)</f>
        <v>0</v>
      </c>
      <c r="T755" s="72">
        <f>T733*(EXP(-($E755)*(T649))-1)</f>
        <v>0</v>
      </c>
      <c r="U755" s="72">
        <f>U733*(EXP(-($E755)*(U649))-1)</f>
        <v>0</v>
      </c>
      <c r="V755" s="72">
        <f>V733*(EXP(-($E755)*(V649))-1)</f>
        <v>0</v>
      </c>
      <c r="W755" s="72">
        <f>W733*(EXP(-($E755)*(W649))-1)</f>
        <v>0</v>
      </c>
      <c r="X755" s="72">
        <f>X733*(EXP(-($E755)*(X649))-1)</f>
        <v>0</v>
      </c>
      <c r="Y755" s="72">
        <f>Y733*(EXP(-($E755)*(Y649))-1)</f>
        <v>0</v>
      </c>
      <c r="Z755" s="72">
        <f>Z733*(EXP(-($E755)*(Z649))-1)</f>
        <v>0</v>
      </c>
      <c r="AA755" s="72">
        <f>AA733*(EXP(-($E755)*(AA649))-1)</f>
        <v>0</v>
      </c>
      <c r="AB755" s="72">
        <f>AB733*(EXP(-($E755)*(AB649))-1)</f>
        <v>0</v>
      </c>
      <c r="AC755" s="72">
        <f>AC733*(EXP(-($E755)*(AC649))-1)</f>
        <v>0</v>
      </c>
      <c r="AD755" s="72">
        <f>AD733*(EXP(-($E755)*(AD649))-1)</f>
        <v>0</v>
      </c>
      <c r="AE755" s="72">
        <f>AE733*(EXP(-($E755)*(AE649))-1)</f>
        <v>0</v>
      </c>
      <c r="AF755" s="70"/>
      <c r="AG755" s="70"/>
      <c r="AH755" s="70"/>
      <c r="AI755" s="70"/>
    </row>
    <row r="756" spans="1:35" x14ac:dyDescent="0.45">
      <c r="A756" s="70"/>
      <c r="B756" s="75"/>
      <c r="C756" s="75"/>
      <c r="D756" s="75" t="s">
        <v>1383</v>
      </c>
      <c r="E756" s="83">
        <f>'Manual inputs'!E$45</f>
        <v>0</v>
      </c>
      <c r="F756" s="79">
        <f>'Manual inputs'!F$45</f>
        <v>0</v>
      </c>
      <c r="G756" s="72"/>
      <c r="H756" s="70"/>
      <c r="I756" s="70"/>
      <c r="J756" s="70"/>
      <c r="K756" s="70"/>
      <c r="L756" s="72">
        <f>L734*(EXP(-($E756)*(L649))-1)</f>
        <v>0</v>
      </c>
      <c r="M756" s="72">
        <f>M734*(EXP(-($E756)*(M649))-1)</f>
        <v>0</v>
      </c>
      <c r="N756" s="72">
        <f>N734*(EXP(-($E756)*(N649))-1)</f>
        <v>0</v>
      </c>
      <c r="O756" s="72">
        <f>O734*(EXP(-($E756)*(O649))-1)</f>
        <v>0</v>
      </c>
      <c r="P756" s="72">
        <f>P734*(EXP(-($E756)*(P649))-1)</f>
        <v>0</v>
      </c>
      <c r="Q756" s="72">
        <f>Q734*(EXP(-($E756)*(Q649))-1)</f>
        <v>0</v>
      </c>
      <c r="R756" s="72">
        <f>R734*(EXP(-($E756)*(R649))-1)</f>
        <v>0</v>
      </c>
      <c r="S756" s="72">
        <f>S734*(EXP(-($E756)*(S649))-1)</f>
        <v>0</v>
      </c>
      <c r="T756" s="72">
        <f>T734*(EXP(-($E756)*(T649))-1)</f>
        <v>0</v>
      </c>
      <c r="U756" s="72">
        <f>U734*(EXP(-($E756)*(U649))-1)</f>
        <v>0</v>
      </c>
      <c r="V756" s="72">
        <f>V734*(EXP(-($E756)*(V649))-1)</f>
        <v>0</v>
      </c>
      <c r="W756" s="72">
        <f>W734*(EXP(-($E756)*(W649))-1)</f>
        <v>0</v>
      </c>
      <c r="X756" s="72">
        <f>X734*(EXP(-($E756)*(X649))-1)</f>
        <v>0</v>
      </c>
      <c r="Y756" s="72">
        <f>Y734*(EXP(-($E756)*(Y649))-1)</f>
        <v>0</v>
      </c>
      <c r="Z756" s="72">
        <f>Z734*(EXP(-($E756)*(Z649))-1)</f>
        <v>0</v>
      </c>
      <c r="AA756" s="72">
        <f>AA734*(EXP(-($E756)*(AA649))-1)</f>
        <v>0</v>
      </c>
      <c r="AB756" s="72">
        <f>AB734*(EXP(-($E756)*(AB649))-1)</f>
        <v>0</v>
      </c>
      <c r="AC756" s="72">
        <f>AC734*(EXP(-($E756)*(AC649))-1)</f>
        <v>0</v>
      </c>
      <c r="AD756" s="72">
        <f>AD734*(EXP(-($E756)*(AD649))-1)</f>
        <v>0</v>
      </c>
      <c r="AE756" s="72">
        <f>AE734*(EXP(-($E756)*(AE649))-1)</f>
        <v>0</v>
      </c>
      <c r="AF756" s="70"/>
      <c r="AG756" s="70"/>
      <c r="AH756" s="70"/>
      <c r="AI756" s="70"/>
    </row>
    <row r="757" spans="1:35" x14ac:dyDescent="0.45">
      <c r="A757" s="70"/>
      <c r="B757" s="75"/>
      <c r="C757" s="75"/>
      <c r="D757" s="75" t="s">
        <v>1411</v>
      </c>
      <c r="E757" s="83">
        <f>'Manual inputs'!E$46</f>
        <v>1.04982212449868E-2</v>
      </c>
      <c r="F757" s="79">
        <f>'Manual inputs'!F$46</f>
        <v>0.65</v>
      </c>
      <c r="G757" s="72"/>
      <c r="H757" s="70"/>
      <c r="I757" s="70"/>
      <c r="J757" s="70"/>
      <c r="K757" s="70"/>
      <c r="L757" s="72">
        <f>L735*(EXP(-($E757)*(L649))-1)</f>
        <v>0</v>
      </c>
      <c r="M757" s="72">
        <f>M735*(EXP(-($E757)*(M649))-1)</f>
        <v>0</v>
      </c>
      <c r="N757" s="72">
        <f>N735*(EXP(-($E757)*(N649))-1)</f>
        <v>0</v>
      </c>
      <c r="O757" s="72">
        <f>O735*(EXP(-($E757)*(O649))-1)</f>
        <v>0</v>
      </c>
      <c r="P757" s="72">
        <f>P735*(EXP(-($E757)*(P649))-1)</f>
        <v>0</v>
      </c>
      <c r="Q757" s="72">
        <f>Q735*(EXP(-($E757)*(Q649))-1)</f>
        <v>0</v>
      </c>
      <c r="R757" s="72">
        <f>R735*(EXP(-($E757)*(R649))-1)</f>
        <v>0</v>
      </c>
      <c r="S757" s="72">
        <f>S735*(EXP(-($E757)*(S649))-1)</f>
        <v>0</v>
      </c>
      <c r="T757" s="72">
        <f>T735*(EXP(-($E757)*(T649))-1)</f>
        <v>0</v>
      </c>
      <c r="U757" s="72">
        <f>U735*(EXP(-($E757)*(U649))-1)</f>
        <v>0</v>
      </c>
      <c r="V757" s="72">
        <f>V735*(EXP(-($E757)*(V649))-1)</f>
        <v>0</v>
      </c>
      <c r="W757" s="72">
        <f>W735*(EXP(-($E757)*(W649))-1)</f>
        <v>0</v>
      </c>
      <c r="X757" s="72">
        <f>X735*(EXP(-($E757)*(X649))-1)</f>
        <v>0</v>
      </c>
      <c r="Y757" s="72">
        <f>Y735*(EXP(-($E757)*(Y649))-1)</f>
        <v>0</v>
      </c>
      <c r="Z757" s="72">
        <f>Z735*(EXP(-($E757)*(Z649))-1)</f>
        <v>0</v>
      </c>
      <c r="AA757" s="72">
        <f>AA735*(EXP(-($E757)*(AA649))-1)</f>
        <v>0</v>
      </c>
      <c r="AB757" s="72">
        <f>AB735*(EXP(-($E757)*(AB649))-1)</f>
        <v>0</v>
      </c>
      <c r="AC757" s="72">
        <f>AC735*(EXP(-($E757)*(AC649))-1)</f>
        <v>0</v>
      </c>
      <c r="AD757" s="72">
        <f>AD735*(EXP(-($E757)*(AD649))-1)</f>
        <v>0</v>
      </c>
      <c r="AE757" s="72">
        <f>AE735*(EXP(-($E757)*(AE649))-1)</f>
        <v>0</v>
      </c>
      <c r="AF757" s="70"/>
      <c r="AG757" s="70"/>
      <c r="AH757" s="70"/>
      <c r="AI757" s="70"/>
    </row>
    <row r="758" spans="1:35" x14ac:dyDescent="0.45">
      <c r="A758" s="70"/>
      <c r="B758" s="75"/>
      <c r="C758" s="75"/>
      <c r="D758" s="75" t="s">
        <v>1397</v>
      </c>
      <c r="E758" s="83">
        <f>'Manual inputs'!E$47</f>
        <v>8.3381608939051E-4</v>
      </c>
      <c r="F758" s="79">
        <f>'Manual inputs'!F$47</f>
        <v>0.08</v>
      </c>
      <c r="G758" s="72"/>
      <c r="H758" s="72"/>
      <c r="I758" s="72"/>
      <c r="J758" s="72"/>
      <c r="K758" s="72"/>
      <c r="L758" s="72">
        <f>L736*(EXP(-($E758)*(L649))-1)</f>
        <v>0</v>
      </c>
      <c r="M758" s="72">
        <f>M736*(EXP(-($E758)*(M649))-1)</f>
        <v>0</v>
      </c>
      <c r="N758" s="72">
        <f>N736*(EXP(-($E758)*(N649))-1)</f>
        <v>0</v>
      </c>
      <c r="O758" s="72">
        <f>O736*(EXP(-($E758)*(O649))-1)</f>
        <v>0</v>
      </c>
      <c r="P758" s="72">
        <f>P736*(EXP(-($E758)*(P649))-1)</f>
        <v>0</v>
      </c>
      <c r="Q758" s="72">
        <f>Q736*(EXP(-($E758)*(Q649))-1)</f>
        <v>0</v>
      </c>
      <c r="R758" s="72">
        <f>R736*(EXP(-($E758)*(R649))-1)</f>
        <v>0</v>
      </c>
      <c r="S758" s="72">
        <f>S736*(EXP(-($E758)*(S649))-1)</f>
        <v>0</v>
      </c>
      <c r="T758" s="72">
        <f>T736*(EXP(-($E758)*(T649))-1)</f>
        <v>0</v>
      </c>
      <c r="U758" s="72">
        <f>U736*(EXP(-($E758)*(U649))-1)</f>
        <v>0</v>
      </c>
      <c r="V758" s="72">
        <f>V736*(EXP(-($E758)*(V649))-1)</f>
        <v>0</v>
      </c>
      <c r="W758" s="72">
        <f>W736*(EXP(-($E758)*(W649))-1)</f>
        <v>0</v>
      </c>
      <c r="X758" s="72">
        <f>X736*(EXP(-($E758)*(X649))-1)</f>
        <v>0</v>
      </c>
      <c r="Y758" s="72">
        <f>Y736*(EXP(-($E758)*(Y649))-1)</f>
        <v>0</v>
      </c>
      <c r="Z758" s="72">
        <f>Z736*(EXP(-($E758)*(Z649))-1)</f>
        <v>0</v>
      </c>
      <c r="AA758" s="72">
        <f>AA736*(EXP(-($E758)*(AA649))-1)</f>
        <v>0</v>
      </c>
      <c r="AB758" s="72">
        <f>AB736*(EXP(-($E758)*(AB649))-1)</f>
        <v>0</v>
      </c>
      <c r="AC758" s="72">
        <f>AC736*(EXP(-($E758)*(AC649))-1)</f>
        <v>0</v>
      </c>
      <c r="AD758" s="72">
        <f>AD736*(EXP(-($E758)*(AD649))-1)</f>
        <v>0</v>
      </c>
      <c r="AE758" s="72">
        <f>AE736*(EXP(-($E758)*(AE649))-1)</f>
        <v>0</v>
      </c>
      <c r="AF758" s="70"/>
      <c r="AG758" s="70"/>
      <c r="AH758" s="70"/>
      <c r="AI758" s="70"/>
    </row>
    <row r="759" spans="1:35" x14ac:dyDescent="0.45">
      <c r="A759" s="70"/>
      <c r="B759" s="75"/>
      <c r="C759" s="75"/>
      <c r="D759" s="72"/>
      <c r="E759" s="72"/>
      <c r="F759" s="72"/>
      <c r="G759" s="70"/>
      <c r="H759" s="70"/>
      <c r="I759" s="72"/>
      <c r="J759" s="72"/>
      <c r="K759" s="72"/>
      <c r="L759" s="72">
        <f>SUM(L751:L758)</f>
        <v>0</v>
      </c>
      <c r="M759" s="72">
        <f>SUM(M751:M758)</f>
        <v>0</v>
      </c>
      <c r="N759" s="72">
        <f>SUM(N751:N758)</f>
        <v>0</v>
      </c>
      <c r="O759" s="72">
        <f>SUM(O751:O758)</f>
        <v>0</v>
      </c>
      <c r="P759" s="72">
        <f>SUM(P751:P758)</f>
        <v>0</v>
      </c>
      <c r="Q759" s="72">
        <f>SUM(Q751:Q758)</f>
        <v>0</v>
      </c>
      <c r="R759" s="72">
        <f>SUM(R751:R758)</f>
        <v>0</v>
      </c>
      <c r="S759" s="72">
        <f>SUM(S751:S758)</f>
        <v>0</v>
      </c>
      <c r="T759" s="72">
        <f>SUM(T751:T758)</f>
        <v>0</v>
      </c>
      <c r="U759" s="72">
        <f>SUM(U751:U758)</f>
        <v>0</v>
      </c>
      <c r="V759" s="72">
        <f>SUM(V751:V758)</f>
        <v>0</v>
      </c>
      <c r="W759" s="72">
        <f>SUM(W751:W758)</f>
        <v>0</v>
      </c>
      <c r="X759" s="72">
        <f>SUM(X751:X758)</f>
        <v>0</v>
      </c>
      <c r="Y759" s="72">
        <f>SUM(Y751:Y758)</f>
        <v>0</v>
      </c>
      <c r="Z759" s="72">
        <f>SUM(Z751:Z758)</f>
        <v>0</v>
      </c>
      <c r="AA759" s="72">
        <f>SUM(AA751:AA758)</f>
        <v>0</v>
      </c>
      <c r="AB759" s="72">
        <f>SUM(AB751:AB758)</f>
        <v>0</v>
      </c>
      <c r="AC759" s="72">
        <f>SUM(AC751:AC758)</f>
        <v>0</v>
      </c>
      <c r="AD759" s="72">
        <f>SUM(AD751:AD758)</f>
        <v>0</v>
      </c>
      <c r="AE759" s="72">
        <f>SUM(AE751:AE758)</f>
        <v>0</v>
      </c>
      <c r="AF759" s="70"/>
      <c r="AG759" s="70"/>
      <c r="AH759" s="70"/>
      <c r="AI759" s="70"/>
    </row>
    <row r="760" spans="1:35" x14ac:dyDescent="0.45">
      <c r="A760" s="70"/>
      <c r="B760" s="75"/>
      <c r="C760" s="75"/>
      <c r="D760" s="75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75"/>
      <c r="C761" s="73" t="s">
        <v>1492</v>
      </c>
      <c r="D761" s="73"/>
      <c r="E761" s="72" t="s">
        <v>1490</v>
      </c>
      <c r="F761" s="72" t="s">
        <v>1407</v>
      </c>
      <c r="G761" s="72" t="s">
        <v>1491</v>
      </c>
      <c r="H761" s="74"/>
      <c r="I761" s="74"/>
      <c r="J761" s="74"/>
      <c r="K761" s="74"/>
      <c r="L761" s="74">
        <f>L708</f>
        <v>2022</v>
      </c>
      <c r="M761" s="74">
        <f>M708</f>
        <v>2023</v>
      </c>
      <c r="N761" s="74">
        <f>N708</f>
        <v>2024</v>
      </c>
      <c r="O761" s="74">
        <f>O708</f>
        <v>2025</v>
      </c>
      <c r="P761" s="74">
        <f>P708</f>
        <v>2026</v>
      </c>
      <c r="Q761" s="74">
        <f>Q708</f>
        <v>2027</v>
      </c>
      <c r="R761" s="74">
        <f>R708</f>
        <v>2028</v>
      </c>
      <c r="S761" s="74">
        <f>S708</f>
        <v>2029</v>
      </c>
      <c r="T761" s="74">
        <f>T708</f>
        <v>2030</v>
      </c>
      <c r="U761" s="74">
        <f>U708</f>
        <v>2031</v>
      </c>
      <c r="V761" s="74">
        <f>V708</f>
        <v>2032</v>
      </c>
      <c r="W761" s="74">
        <f>W708</f>
        <v>2033</v>
      </c>
      <c r="X761" s="74">
        <f>X708</f>
        <v>2034</v>
      </c>
      <c r="Y761" s="74">
        <f>Y708</f>
        <v>2035</v>
      </c>
      <c r="Z761" s="74">
        <f>Z708</f>
        <v>2036</v>
      </c>
      <c r="AA761" s="74">
        <f>AA708</f>
        <v>2037</v>
      </c>
      <c r="AB761" s="74">
        <f>AB708</f>
        <v>2038</v>
      </c>
      <c r="AC761" s="74">
        <f>AC708</f>
        <v>2039</v>
      </c>
      <c r="AD761" s="74">
        <f>AD708</f>
        <v>2040</v>
      </c>
      <c r="AE761" s="74">
        <f>AE708</f>
        <v>2041</v>
      </c>
      <c r="AF761" s="70"/>
      <c r="AG761" s="70"/>
      <c r="AH761" s="70"/>
      <c r="AI761" s="70"/>
    </row>
    <row r="762" spans="1:35" x14ac:dyDescent="0.45">
      <c r="A762" s="70"/>
      <c r="B762" s="75"/>
      <c r="C762" s="75"/>
      <c r="D762" s="75" t="s">
        <v>1350</v>
      </c>
      <c r="E762" s="83">
        <f>'Manual inputs'!E$40</f>
        <v>1.0536051565782599E-3</v>
      </c>
      <c r="F762" s="79">
        <f>'Manual inputs'!F$40</f>
        <v>0.1</v>
      </c>
      <c r="G762" s="72"/>
      <c r="H762" s="70"/>
      <c r="I762" s="70"/>
      <c r="J762" s="70"/>
      <c r="K762" s="70"/>
      <c r="L762" s="72">
        <f>L740*(EXP(-(E762)*(F709*L646+G709*L647))-1)</f>
        <v>0</v>
      </c>
      <c r="M762" s="72">
        <f>M740*(EXP(-(E762)*(F709*M646+G709*M647))-1)</f>
        <v>0</v>
      </c>
      <c r="N762" s="72">
        <f>N740*(EXP(-(E762)*(F709*N646+G709*N647))-1)</f>
        <v>0</v>
      </c>
      <c r="O762" s="72">
        <f>O740*(EXP(-(E762)*(F709*O646+G709*O647))-1)</f>
        <v>0</v>
      </c>
      <c r="P762" s="72">
        <f>P740*(EXP(-(E762)*(F709*P646+G709*P647))-1)</f>
        <v>0</v>
      </c>
      <c r="Q762" s="72">
        <f>Q740*(EXP(-(E762)*(F709*Q646+G709*Q647))-1)</f>
        <v>0</v>
      </c>
      <c r="R762" s="72">
        <f>R740*(EXP(-(E762)*(F709*R646+G709*R647))-1)</f>
        <v>0</v>
      </c>
      <c r="S762" s="72">
        <f>S740*(EXP(-(E762)*(F709*S646+G709*S647))-1)</f>
        <v>0</v>
      </c>
      <c r="T762" s="72">
        <f>T740*(EXP(-(E762)*(F709*T646+G709*T647))-1)</f>
        <v>0</v>
      </c>
      <c r="U762" s="72">
        <f>U740*(EXP(-(E762)*(F709*U646+G709*U647))-1)</f>
        <v>0</v>
      </c>
      <c r="V762" s="72">
        <f>V740*(EXP(-(E762)*(F709*V646+G709*V647))-1)</f>
        <v>0</v>
      </c>
      <c r="W762" s="72">
        <f>W740*(EXP(-(E762)*(F709*W646+G709*W647))-1)</f>
        <v>0</v>
      </c>
      <c r="X762" s="72">
        <f>X740*(EXP(-(E762)*(F709*X646+G709*X647))-1)</f>
        <v>0</v>
      </c>
      <c r="Y762" s="72">
        <f>Y740*(EXP(-(E762)*(F709*Y646+G709*Y647))-1)</f>
        <v>0</v>
      </c>
      <c r="Z762" s="72">
        <f>Z740*(EXP(-(E762)*(F709*Z646+G709*Z647))-1)</f>
        <v>0</v>
      </c>
      <c r="AA762" s="72">
        <f>AA740*(EXP(-(E762)*(F709*AA646+G709*AA647))-1)</f>
        <v>0</v>
      </c>
      <c r="AB762" s="72">
        <f>AB740*(EXP(-(E762)*(F709*AB646+G709*AB647))-1)</f>
        <v>0</v>
      </c>
      <c r="AC762" s="72">
        <f>AC740*(EXP(-(E762)*(F709*AC646+G709*AC647))-1)</f>
        <v>0</v>
      </c>
      <c r="AD762" s="72">
        <f>AD740*(EXP(-(E762)*(F709*AD646+G709*AD647))-1)</f>
        <v>0</v>
      </c>
      <c r="AE762" s="72">
        <f>AE740*(EXP(-(E762)*(F709*AE646+G709*AE647))-1)</f>
        <v>0</v>
      </c>
      <c r="AF762" s="70"/>
      <c r="AG762" s="70"/>
      <c r="AH762" s="70"/>
      <c r="AI762" s="70"/>
    </row>
    <row r="763" spans="1:35" x14ac:dyDescent="0.45">
      <c r="A763" s="70"/>
      <c r="B763" s="75"/>
      <c r="C763" s="75"/>
      <c r="D763" s="75" t="s">
        <v>1357</v>
      </c>
      <c r="E763" s="83">
        <f>'Manual inputs'!E$41</f>
        <v>2.0202707317519501E-4</v>
      </c>
      <c r="F763" s="79">
        <f>'Manual inputs'!F$41</f>
        <v>0.02</v>
      </c>
      <c r="G763" s="72"/>
      <c r="H763" s="70"/>
      <c r="I763" s="70"/>
      <c r="J763" s="70"/>
      <c r="K763" s="70"/>
      <c r="L763" s="72">
        <f>L741*(EXP(-(E763)*(F710*L646+G710*L647))-1)</f>
        <v>0</v>
      </c>
      <c r="M763" s="72">
        <f>M741*(EXP(-(E763)*(F710*M646+G710*M647))-1)</f>
        <v>0</v>
      </c>
      <c r="N763" s="72">
        <f>N741*(EXP(-(E763)*(F710*N646+G710*N647))-1)</f>
        <v>0</v>
      </c>
      <c r="O763" s="72">
        <f>O741*(EXP(-(E763)*(F710*O646+G710*O647))-1)</f>
        <v>0</v>
      </c>
      <c r="P763" s="72">
        <f>P741*(EXP(-(E763)*(F710*P646+G710*P647))-1)</f>
        <v>0</v>
      </c>
      <c r="Q763" s="72">
        <f>Q741*(EXP(-(E763)*(F710*Q646+G710*Q647))-1)</f>
        <v>0</v>
      </c>
      <c r="R763" s="72">
        <f>R741*(EXP(-(E763)*(F710*R646+G710*R647))-1)</f>
        <v>0</v>
      </c>
      <c r="S763" s="72">
        <f>S741*(EXP(-(E763)*(F710*S646+G710*S647))-1)</f>
        <v>0</v>
      </c>
      <c r="T763" s="72">
        <f>T741*(EXP(-(E763)*(F710*T646+G710*T647))-1)</f>
        <v>0</v>
      </c>
      <c r="U763" s="72">
        <f>U741*(EXP(-(E763)*(F710*U646+G710*U647))-1)</f>
        <v>0</v>
      </c>
      <c r="V763" s="72">
        <f>V741*(EXP(-(E763)*(F710*V646+G710*V647))-1)</f>
        <v>0</v>
      </c>
      <c r="W763" s="72">
        <f>W741*(EXP(-(E763)*(F710*W646+G710*W647))-1)</f>
        <v>0</v>
      </c>
      <c r="X763" s="72">
        <f>X741*(EXP(-(E763)*(F710*X646+G710*X647))-1)</f>
        <v>0</v>
      </c>
      <c r="Y763" s="72">
        <f>Y741*(EXP(-(E763)*(F710*Y646+G710*Y647))-1)</f>
        <v>0</v>
      </c>
      <c r="Z763" s="72">
        <f>Z741*(EXP(-(E763)*(F710*Z646+G710*Z647))-1)</f>
        <v>0</v>
      </c>
      <c r="AA763" s="72">
        <f>AA741*(EXP(-(E763)*(F710*AA646+G710*AA647))-1)</f>
        <v>0</v>
      </c>
      <c r="AB763" s="72">
        <f>AB741*(EXP(-(E763)*(F710*AB646+G710*AB647))-1)</f>
        <v>0</v>
      </c>
      <c r="AC763" s="72">
        <f>AC741*(EXP(-(E763)*(F710*AC646+G710*AC647))-1)</f>
        <v>0</v>
      </c>
      <c r="AD763" s="72">
        <f>AD741*(EXP(-(E763)*(F710*AD646+G710*AD647))-1)</f>
        <v>0</v>
      </c>
      <c r="AE763" s="72">
        <f>AE741*(EXP(-(E763)*(F710*AE646+G710*AE647))-1)</f>
        <v>0</v>
      </c>
      <c r="AF763" s="70"/>
      <c r="AG763" s="70"/>
      <c r="AH763" s="70"/>
      <c r="AI763" s="70"/>
    </row>
    <row r="764" spans="1:35" x14ac:dyDescent="0.45">
      <c r="A764" s="70"/>
      <c r="B764" s="75"/>
      <c r="C764" s="75"/>
      <c r="D764" s="75" t="s">
        <v>1408</v>
      </c>
      <c r="E764" s="83">
        <f>'Manual inputs'!E$42</f>
        <v>5.1293294387550598E-4</v>
      </c>
      <c r="F764" s="79">
        <f>'Manual inputs'!F$42</f>
        <v>0.05</v>
      </c>
      <c r="G764" s="72"/>
      <c r="H764" s="70"/>
      <c r="I764" s="70"/>
      <c r="J764" s="70"/>
      <c r="K764" s="70"/>
      <c r="L764" s="72">
        <f>L742*(EXP(-(E764)*(F711*L646+G711*L647))-1)</f>
        <v>0</v>
      </c>
      <c r="M764" s="72">
        <f>M742*(EXP(-(E764)*(F711*M646+G711*M647))-1)</f>
        <v>0</v>
      </c>
      <c r="N764" s="72">
        <f>N742*(EXP(-(E764)*(F711*N646+G711*N647))-1)</f>
        <v>0</v>
      </c>
      <c r="O764" s="72">
        <f>O742*(EXP(-(E764)*(F711*O646+G711*O647))-1)</f>
        <v>0</v>
      </c>
      <c r="P764" s="72">
        <f>P742*(EXP(-(E764)*(F711*P646+G711*P647))-1)</f>
        <v>0</v>
      </c>
      <c r="Q764" s="72">
        <f>Q742*(EXP(-(E764)*(F711*Q646+G711*Q647))-1)</f>
        <v>0</v>
      </c>
      <c r="R764" s="72">
        <f>R742*(EXP(-(E764)*(F711*R646+G711*R647))-1)</f>
        <v>0</v>
      </c>
      <c r="S764" s="72">
        <f>S742*(EXP(-(E764)*(F711*S646+G711*S647))-1)</f>
        <v>0</v>
      </c>
      <c r="T764" s="72">
        <f>T742*(EXP(-(E764)*(F711*T646+G711*T647))-1)</f>
        <v>0</v>
      </c>
      <c r="U764" s="72">
        <f>U742*(EXP(-(E764)*(F711*U646+G711*U647))-1)</f>
        <v>0</v>
      </c>
      <c r="V764" s="72">
        <f>V742*(EXP(-(E764)*(F711*V646+G711*V647))-1)</f>
        <v>0</v>
      </c>
      <c r="W764" s="72">
        <f>W742*(EXP(-(E764)*(F711*W646+G711*W647))-1)</f>
        <v>0</v>
      </c>
      <c r="X764" s="72">
        <f>X742*(EXP(-(E764)*(F711*X646+G711*X647))-1)</f>
        <v>0</v>
      </c>
      <c r="Y764" s="72">
        <f>Y742*(EXP(-(E764)*(F711*Y646+G711*Y647))-1)</f>
        <v>0</v>
      </c>
      <c r="Z764" s="72">
        <f>Z742*(EXP(-(E764)*(F711*Z646+G711*Z647))-1)</f>
        <v>0</v>
      </c>
      <c r="AA764" s="72">
        <f>AA742*(EXP(-(E764)*(F711*AA646+G711*AA647))-1)</f>
        <v>0</v>
      </c>
      <c r="AB764" s="72">
        <f>AB742*(EXP(-(E764)*(F711*AB646+G711*AB647))-1)</f>
        <v>0</v>
      </c>
      <c r="AC764" s="72">
        <f>AC742*(EXP(-(E764)*(F711*AC646+G711*AC647))-1)</f>
        <v>0</v>
      </c>
      <c r="AD764" s="72">
        <f>AD742*(EXP(-(E764)*(F711*AD646+G711*AD647))-1)</f>
        <v>0</v>
      </c>
      <c r="AE764" s="72">
        <f>AE742*(EXP(-(E764)*(F711*AE646+G711*AE647))-1)</f>
        <v>0</v>
      </c>
      <c r="AF764" s="70"/>
      <c r="AG764" s="70"/>
      <c r="AH764" s="70"/>
      <c r="AI764" s="70"/>
    </row>
    <row r="765" spans="1:35" x14ac:dyDescent="0.45">
      <c r="A765" s="70"/>
      <c r="B765" s="75"/>
      <c r="C765" s="75"/>
      <c r="D765" s="75" t="s">
        <v>1409</v>
      </c>
      <c r="E765" s="83">
        <f>'Manual inputs'!E$43</f>
        <v>8.3381608939051E-4</v>
      </c>
      <c r="F765" s="79">
        <f>'Manual inputs'!F$43</f>
        <v>0.08</v>
      </c>
      <c r="G765" s="72"/>
      <c r="H765" s="70"/>
      <c r="I765" s="70"/>
      <c r="J765" s="70"/>
      <c r="K765" s="70"/>
      <c r="L765" s="72">
        <f>L743*(EXP(-(E765)*(F712*L646+G712*L647))-1)</f>
        <v>0</v>
      </c>
      <c r="M765" s="72">
        <f>M743*(EXP(-(E765)*(F712*M646+G712*M647))-1)</f>
        <v>0</v>
      </c>
      <c r="N765" s="72">
        <f>N743*(EXP(-(E765)*(F712*N646+G712*N647))-1)</f>
        <v>0</v>
      </c>
      <c r="O765" s="72">
        <f>O743*(EXP(-(E765)*(F712*O646+G712*O647))-1)</f>
        <v>0</v>
      </c>
      <c r="P765" s="72">
        <f>P743*(EXP(-(E765)*(F712*P646+G712*P647))-1)</f>
        <v>0</v>
      </c>
      <c r="Q765" s="72">
        <f>Q743*(EXP(-(E765)*(F712*Q646+G712*Q647))-1)</f>
        <v>0</v>
      </c>
      <c r="R765" s="72">
        <f>R743*(EXP(-(E765)*(F712*R646+G712*R647))-1)</f>
        <v>0</v>
      </c>
      <c r="S765" s="72">
        <f>S743*(EXP(-(E765)*(F712*S646+G712*S647))-1)</f>
        <v>0</v>
      </c>
      <c r="T765" s="72">
        <f>T743*(EXP(-(E765)*(F712*T646+G712*T647))-1)</f>
        <v>0</v>
      </c>
      <c r="U765" s="72">
        <f>U743*(EXP(-(E765)*(F712*U646+G712*U647))-1)</f>
        <v>0</v>
      </c>
      <c r="V765" s="72">
        <f>V743*(EXP(-(E765)*(F712*V646+G712*V647))-1)</f>
        <v>0</v>
      </c>
      <c r="W765" s="72">
        <f>W743*(EXP(-(E765)*(F712*W646+G712*W647))-1)</f>
        <v>0</v>
      </c>
      <c r="X765" s="72">
        <f>X743*(EXP(-(E765)*(F712*X646+G712*X647))-1)</f>
        <v>0</v>
      </c>
      <c r="Y765" s="72">
        <f>Y743*(EXP(-(E765)*(F712*Y646+G712*Y647))-1)</f>
        <v>0</v>
      </c>
      <c r="Z765" s="72">
        <f>Z743*(EXP(-(E765)*(F712*Z646+G712*Z647))-1)</f>
        <v>0</v>
      </c>
      <c r="AA765" s="72">
        <f>AA743*(EXP(-(E765)*(F712*AA646+G712*AA647))-1)</f>
        <v>0</v>
      </c>
      <c r="AB765" s="72">
        <f>AB743*(EXP(-(E765)*(F712*AB646+G712*AB647))-1)</f>
        <v>0</v>
      </c>
      <c r="AC765" s="72">
        <f>AC743*(EXP(-(E765)*(F712*AC646+G712*AC647))-1)</f>
        <v>0</v>
      </c>
      <c r="AD765" s="72">
        <f>AD743*(EXP(-(E765)*(F712*AD646+G712*AD647))-1)</f>
        <v>0</v>
      </c>
      <c r="AE765" s="72">
        <f>AE743*(EXP(-(E765)*(F712*AE646+G712*AE647))-1)</f>
        <v>0</v>
      </c>
      <c r="AF765" s="70"/>
      <c r="AG765" s="70"/>
      <c r="AH765" s="70"/>
      <c r="AI765" s="70"/>
    </row>
    <row r="766" spans="1:35" x14ac:dyDescent="0.45">
      <c r="A766" s="70"/>
      <c r="B766" s="75"/>
      <c r="C766" s="75"/>
      <c r="D766" s="75" t="s">
        <v>1410</v>
      </c>
      <c r="E766" s="83">
        <f>'Manual inputs'!E$44</f>
        <v>1.98450938723838E-3</v>
      </c>
      <c r="F766" s="79">
        <f>'Manual inputs'!F$44</f>
        <v>0.18</v>
      </c>
      <c r="G766" s="72"/>
      <c r="H766" s="70"/>
      <c r="I766" s="70"/>
      <c r="J766" s="70"/>
      <c r="K766" s="70"/>
      <c r="L766" s="72">
        <f>L744*(EXP(-(E766)*(F713*L646+G713*L647))-1)</f>
        <v>0</v>
      </c>
      <c r="M766" s="72">
        <f>M744*(EXP(-(E766)*(F713*M646+G713*M647))-1)</f>
        <v>0</v>
      </c>
      <c r="N766" s="72">
        <f>N744*(EXP(-(E766)*(F713*N646+G713*N647))-1)</f>
        <v>0</v>
      </c>
      <c r="O766" s="72">
        <f>O744*(EXP(-(E766)*(F713*O646+G713*O647))-1)</f>
        <v>0</v>
      </c>
      <c r="P766" s="72">
        <f>P744*(EXP(-(E766)*(F713*P646+G713*P647))-1)</f>
        <v>0</v>
      </c>
      <c r="Q766" s="72">
        <f>Q744*(EXP(-(E766)*(F713*Q646+G713*Q647))-1)</f>
        <v>0</v>
      </c>
      <c r="R766" s="72">
        <f>R744*(EXP(-(E766)*(F713*R646+G713*R647))-1)</f>
        <v>0</v>
      </c>
      <c r="S766" s="72">
        <f>S744*(EXP(-(E766)*(F713*S646+G713*S647))-1)</f>
        <v>0</v>
      </c>
      <c r="T766" s="72">
        <f>T744*(EXP(-(E766)*(F713*T646+G713*T647))-1)</f>
        <v>0</v>
      </c>
      <c r="U766" s="72">
        <f>U744*(EXP(-(E766)*(F713*U646+G713*U647))-1)</f>
        <v>0</v>
      </c>
      <c r="V766" s="72">
        <f>V744*(EXP(-(E766)*(F713*V646+G713*V647))-1)</f>
        <v>0</v>
      </c>
      <c r="W766" s="72">
        <f>W744*(EXP(-(E766)*(F713*W646+G713*W647))-1)</f>
        <v>0</v>
      </c>
      <c r="X766" s="72">
        <f>X744*(EXP(-(E766)*(F713*X646+G713*X647))-1)</f>
        <v>0</v>
      </c>
      <c r="Y766" s="72">
        <f>Y744*(EXP(-(E766)*(F713*Y646+G713*Y647))-1)</f>
        <v>0</v>
      </c>
      <c r="Z766" s="72">
        <f>Z744*(EXP(-(E766)*(F713*Z646+G713*Z647))-1)</f>
        <v>0</v>
      </c>
      <c r="AA766" s="72">
        <f>AA744*(EXP(-(E766)*(F713*AA646+G713*AA647))-1)</f>
        <v>0</v>
      </c>
      <c r="AB766" s="72">
        <f>AB744*(EXP(-(E766)*(F713*AB646+G713*AB647))-1)</f>
        <v>0</v>
      </c>
      <c r="AC766" s="72">
        <f>AC744*(EXP(-(E766)*(F713*AC646+G713*AC647))-1)</f>
        <v>0</v>
      </c>
      <c r="AD766" s="72">
        <f>AD744*(EXP(-(E766)*(F713*AD646+G713*AD647))-1)</f>
        <v>0</v>
      </c>
      <c r="AE766" s="72">
        <f>AE744*(EXP(-(E766)*(F713*AE646+G713*AE647))-1)</f>
        <v>0</v>
      </c>
      <c r="AF766" s="70"/>
      <c r="AG766" s="70"/>
      <c r="AH766" s="70"/>
      <c r="AI766" s="70"/>
    </row>
    <row r="767" spans="1:35" x14ac:dyDescent="0.45">
      <c r="A767" s="70"/>
      <c r="B767" s="75"/>
      <c r="C767" s="75"/>
      <c r="D767" s="75" t="s">
        <v>1383</v>
      </c>
      <c r="E767" s="83">
        <f>'Manual inputs'!E$45</f>
        <v>0</v>
      </c>
      <c r="F767" s="79">
        <f>'Manual inputs'!F$45</f>
        <v>0</v>
      </c>
      <c r="G767" s="72"/>
      <c r="H767" s="70"/>
      <c r="I767" s="70"/>
      <c r="J767" s="70"/>
      <c r="K767" s="70"/>
      <c r="L767" s="72">
        <f>L745*(EXP(-(E767)*(F714*L646+G714*L647))-1)</f>
        <v>0</v>
      </c>
      <c r="M767" s="72">
        <f>M745*(EXP(-(E767)*(F714*M646+G714*M647))-1)</f>
        <v>0</v>
      </c>
      <c r="N767" s="72">
        <f>N745*(EXP(-(E767)*(F714*N646+G714*N647))-1)</f>
        <v>0</v>
      </c>
      <c r="O767" s="72">
        <f>O745*(EXP(-(E767)*(F714*O646+G714*O647))-1)</f>
        <v>0</v>
      </c>
      <c r="P767" s="72">
        <f>P745*(EXP(-(E767)*(F714*P646+G714*P647))-1)</f>
        <v>0</v>
      </c>
      <c r="Q767" s="72">
        <f>Q745*(EXP(-(E767)*(F714*Q646+G714*Q647))-1)</f>
        <v>0</v>
      </c>
      <c r="R767" s="72">
        <f>R745*(EXP(-(E767)*(F714*R646+G714*R647))-1)</f>
        <v>0</v>
      </c>
      <c r="S767" s="72">
        <f>S745*(EXP(-(E767)*(F714*S646+G714*S647))-1)</f>
        <v>0</v>
      </c>
      <c r="T767" s="72">
        <f>T745*(EXP(-(E767)*(F714*T646+G714*T647))-1)</f>
        <v>0</v>
      </c>
      <c r="U767" s="72">
        <f>U745*(EXP(-(E767)*(F714*U646+G714*U647))-1)</f>
        <v>0</v>
      </c>
      <c r="V767" s="72">
        <f>V745*(EXP(-(E767)*(F714*V646+G714*V647))-1)</f>
        <v>0</v>
      </c>
      <c r="W767" s="72">
        <f>W745*(EXP(-(E767)*(F714*W646+G714*W647))-1)</f>
        <v>0</v>
      </c>
      <c r="X767" s="72">
        <f>X745*(EXP(-(E767)*(F714*X646+G714*X647))-1)</f>
        <v>0</v>
      </c>
      <c r="Y767" s="72">
        <f>Y745*(EXP(-(E767)*(F714*Y646+G714*Y647))-1)</f>
        <v>0</v>
      </c>
      <c r="Z767" s="72">
        <f>Z745*(EXP(-(E767)*(F714*Z646+G714*Z647))-1)</f>
        <v>0</v>
      </c>
      <c r="AA767" s="72">
        <f>AA745*(EXP(-(E767)*(F714*AA646+G714*AA647))-1)</f>
        <v>0</v>
      </c>
      <c r="AB767" s="72">
        <f>AB745*(EXP(-(E767)*(F714*AB646+G714*AB647))-1)</f>
        <v>0</v>
      </c>
      <c r="AC767" s="72">
        <f>AC745*(EXP(-(E767)*(F714*AC646+G714*AC647))-1)</f>
        <v>0</v>
      </c>
      <c r="AD767" s="72">
        <f>AD745*(EXP(-(E767)*(F714*AD646+G714*AD647))-1)</f>
        <v>0</v>
      </c>
      <c r="AE767" s="72">
        <f>AE745*(EXP(-(E767)*(F714*AE646+G714*AE647))-1)</f>
        <v>0</v>
      </c>
      <c r="AF767" s="70"/>
      <c r="AG767" s="70"/>
      <c r="AH767" s="70"/>
      <c r="AI767" s="70"/>
    </row>
    <row r="768" spans="1:35" x14ac:dyDescent="0.45">
      <c r="A768" s="70"/>
      <c r="B768" s="75"/>
      <c r="C768" s="75"/>
      <c r="D768" s="75" t="s">
        <v>1411</v>
      </c>
      <c r="E768" s="83">
        <f>'Manual inputs'!E$46</f>
        <v>1.04982212449868E-2</v>
      </c>
      <c r="F768" s="79">
        <f>'Manual inputs'!F$46</f>
        <v>0.65</v>
      </c>
      <c r="G768" s="72"/>
      <c r="H768" s="70"/>
      <c r="I768" s="70"/>
      <c r="J768" s="70"/>
      <c r="K768" s="70"/>
      <c r="L768" s="72">
        <f>L746*(EXP(-(E768)*(F715*L646+G715*L647))-1)</f>
        <v>0</v>
      </c>
      <c r="M768" s="72">
        <f>M746*(EXP(-(E768)*(F715*M646+G715*M647))-1)</f>
        <v>0</v>
      </c>
      <c r="N768" s="72">
        <f>N746*(EXP(-(E768)*(F715*N646+G715*N647))-1)</f>
        <v>0</v>
      </c>
      <c r="O768" s="72">
        <f>O746*(EXP(-(E768)*(F715*O646+G715*O647))-1)</f>
        <v>0</v>
      </c>
      <c r="P768" s="72">
        <f>P746*(EXP(-(E768)*(F715*P646+G715*P647))-1)</f>
        <v>0</v>
      </c>
      <c r="Q768" s="72">
        <f>Q746*(EXP(-(E768)*(F715*Q646+G715*Q647))-1)</f>
        <v>0</v>
      </c>
      <c r="R768" s="72">
        <f>R746*(EXP(-(E768)*(F715*R646+G715*R647))-1)</f>
        <v>0</v>
      </c>
      <c r="S768" s="72">
        <f>S746*(EXP(-(E768)*(F715*S646+G715*S647))-1)</f>
        <v>0</v>
      </c>
      <c r="T768" s="72">
        <f>T746*(EXP(-(E768)*(F715*T646+G715*T647))-1)</f>
        <v>0</v>
      </c>
      <c r="U768" s="72">
        <f>U746*(EXP(-(E768)*(F715*U646+G715*U647))-1)</f>
        <v>0</v>
      </c>
      <c r="V768" s="72">
        <f>V746*(EXP(-(E768)*(F715*V646+G715*V647))-1)</f>
        <v>0</v>
      </c>
      <c r="W768" s="72">
        <f>W746*(EXP(-(E768)*(F715*W646+G715*W647))-1)</f>
        <v>0</v>
      </c>
      <c r="X768" s="72">
        <f>X746*(EXP(-(E768)*(F715*X646+G715*X647))-1)</f>
        <v>0</v>
      </c>
      <c r="Y768" s="72">
        <f>Y746*(EXP(-(E768)*(F715*Y646+G715*Y647))-1)</f>
        <v>0</v>
      </c>
      <c r="Z768" s="72">
        <f>Z746*(EXP(-(E768)*(F715*Z646+G715*Z647))-1)</f>
        <v>0</v>
      </c>
      <c r="AA768" s="72">
        <f>AA746*(EXP(-(E768)*(F715*AA646+G715*AA647))-1)</f>
        <v>0</v>
      </c>
      <c r="AB768" s="72">
        <f>AB746*(EXP(-(E768)*(F715*AB646+G715*AB647))-1)</f>
        <v>0</v>
      </c>
      <c r="AC768" s="72">
        <f>AC746*(EXP(-(E768)*(F715*AC646+G715*AC647))-1)</f>
        <v>0</v>
      </c>
      <c r="AD768" s="72">
        <f>AD746*(EXP(-(E768)*(F715*AD646+G715*AD647))-1)</f>
        <v>0</v>
      </c>
      <c r="AE768" s="72">
        <f>AE746*(EXP(-(E768)*(F715*AE646+G715*AE647))-1)</f>
        <v>0</v>
      </c>
      <c r="AF768" s="70"/>
      <c r="AG768" s="70"/>
      <c r="AH768" s="70"/>
      <c r="AI768" s="70"/>
    </row>
    <row r="769" spans="1:35" x14ac:dyDescent="0.45">
      <c r="A769" s="70"/>
      <c r="B769" s="75"/>
      <c r="C769" s="75"/>
      <c r="D769" s="75" t="s">
        <v>1397</v>
      </c>
      <c r="E769" s="83">
        <f>'Manual inputs'!E$47</f>
        <v>8.3381608939051E-4</v>
      </c>
      <c r="F769" s="79">
        <f>'Manual inputs'!F$47</f>
        <v>0.08</v>
      </c>
      <c r="G769" s="72"/>
      <c r="H769" s="72"/>
      <c r="I769" s="72"/>
      <c r="J769" s="72"/>
      <c r="K769" s="72"/>
      <c r="L769" s="72">
        <f>L747*(EXP(-(E769)*(F716*L646+G716*L647))-1)</f>
        <v>0</v>
      </c>
      <c r="M769" s="72">
        <f>M747*(EXP(-(E769)*(F716*M646+G716*M647))-1)</f>
        <v>0</v>
      </c>
      <c r="N769" s="72">
        <f>N747*(EXP(-(E769)*(F716*N646+G716*N647))-1)</f>
        <v>0</v>
      </c>
      <c r="O769" s="72">
        <f>O747*(EXP(-(E769)*(F716*O646+G716*O647))-1)</f>
        <v>0</v>
      </c>
      <c r="P769" s="72">
        <f>P747*(EXP(-(E769)*(F716*P646+G716*P647))-1)</f>
        <v>0</v>
      </c>
      <c r="Q769" s="72">
        <f>Q747*(EXP(-(E769)*(F716*Q646+G716*Q647))-1)</f>
        <v>0</v>
      </c>
      <c r="R769" s="72">
        <f>R747*(EXP(-(E769)*(F716*R646+G716*R647))-1)</f>
        <v>0</v>
      </c>
      <c r="S769" s="72">
        <f>S747*(EXP(-(E769)*(F716*S646+G716*S647))-1)</f>
        <v>0</v>
      </c>
      <c r="T769" s="72">
        <f>T747*(EXP(-(E769)*(F716*T646+G716*T647))-1)</f>
        <v>0</v>
      </c>
      <c r="U769" s="72">
        <f>U747*(EXP(-(E769)*(F716*U646+G716*U647))-1)</f>
        <v>0</v>
      </c>
      <c r="V769" s="72">
        <f>V747*(EXP(-(E769)*(F716*V646+G716*V647))-1)</f>
        <v>0</v>
      </c>
      <c r="W769" s="72">
        <f>W747*(EXP(-(E769)*(F716*W646+G716*W647))-1)</f>
        <v>0</v>
      </c>
      <c r="X769" s="72">
        <f>X747*(EXP(-(E769)*(F716*X646+G716*X647))-1)</f>
        <v>0</v>
      </c>
      <c r="Y769" s="72">
        <f>Y747*(EXP(-(E769)*(F716*Y646+G716*Y647))-1)</f>
        <v>0</v>
      </c>
      <c r="Z769" s="72">
        <f>Z747*(EXP(-(E769)*(F716*Z646+G716*Z647))-1)</f>
        <v>0</v>
      </c>
      <c r="AA769" s="72">
        <f>AA747*(EXP(-(E769)*(F716*AA646+G716*AA647))-1)</f>
        <v>0</v>
      </c>
      <c r="AB769" s="72">
        <f>AB747*(EXP(-(E769)*(F716*AB646+G716*AB647))-1)</f>
        <v>0</v>
      </c>
      <c r="AC769" s="72">
        <f>AC747*(EXP(-(E769)*(F716*AC646+G716*AC647))-1)</f>
        <v>0</v>
      </c>
      <c r="AD769" s="72">
        <f>AD747*(EXP(-(E769)*(F716*AD646+G716*AD647))-1)</f>
        <v>0</v>
      </c>
      <c r="AE769" s="72">
        <f>AE747*(EXP(-(E769)*(F716*AE646+G716*AE647))-1)</f>
        <v>0</v>
      </c>
      <c r="AF769" s="70"/>
      <c r="AG769" s="70"/>
      <c r="AH769" s="70"/>
      <c r="AI769" s="70"/>
    </row>
    <row r="770" spans="1:35" x14ac:dyDescent="0.45">
      <c r="A770" s="70"/>
      <c r="B770" s="75"/>
      <c r="C770" s="75"/>
      <c r="D770" s="72"/>
      <c r="E770" s="72"/>
      <c r="F770" s="72"/>
      <c r="G770" s="70" t="s">
        <v>1493</v>
      </c>
      <c r="H770" s="89" t="str">
        <f>Settings!$B$3&amp;".mit.emr."&amp;G770&amp;"."&amp;$J$404</f>
        <v>egy.mit.emr.cbam.tot.2</v>
      </c>
      <c r="I770" s="72"/>
      <c r="J770" s="72"/>
      <c r="K770" s="72"/>
      <c r="L770" s="72">
        <f>SUM(L762:L769)</f>
        <v>0</v>
      </c>
      <c r="M770" s="72">
        <f>SUM(M762:M769)</f>
        <v>0</v>
      </c>
      <c r="N770" s="72">
        <f>SUM(N762:N769)</f>
        <v>0</v>
      </c>
      <c r="O770" s="72">
        <f>SUM(O762:O769)</f>
        <v>0</v>
      </c>
      <c r="P770" s="72">
        <f>SUM(P762:P769)</f>
        <v>0</v>
      </c>
      <c r="Q770" s="72">
        <f>SUM(Q762:Q769)</f>
        <v>0</v>
      </c>
      <c r="R770" s="72">
        <f>SUM(R762:R769)</f>
        <v>0</v>
      </c>
      <c r="S770" s="72">
        <f>SUM(S762:S769)</f>
        <v>0</v>
      </c>
      <c r="T770" s="72">
        <f>SUM(T762:T769)</f>
        <v>0</v>
      </c>
      <c r="U770" s="72">
        <f>SUM(U762:U769)</f>
        <v>0</v>
      </c>
      <c r="V770" s="72">
        <f>SUM(V762:V769)</f>
        <v>0</v>
      </c>
      <c r="W770" s="72">
        <f>SUM(W762:W769)</f>
        <v>0</v>
      </c>
      <c r="X770" s="72">
        <f>SUM(X762:X769)</f>
        <v>0</v>
      </c>
      <c r="Y770" s="72">
        <f>SUM(Y762:Y769)</f>
        <v>0</v>
      </c>
      <c r="Z770" s="72">
        <f>SUM(Z762:Z769)</f>
        <v>0</v>
      </c>
      <c r="AA770" s="72">
        <f>SUM(AA762:AA769)</f>
        <v>0</v>
      </c>
      <c r="AB770" s="72">
        <f>SUM(AB762:AB769)</f>
        <v>0</v>
      </c>
      <c r="AC770" s="72">
        <f>SUM(AC762:AC769)</f>
        <v>0</v>
      </c>
      <c r="AD770" s="72">
        <f>SUM(AD762:AD769)</f>
        <v>0</v>
      </c>
      <c r="AE770" s="72">
        <f>SUM(AE762:AE769)</f>
        <v>0</v>
      </c>
      <c r="AF770" s="70"/>
      <c r="AG770" s="70"/>
      <c r="AH770" s="70"/>
      <c r="AI770" s="70"/>
    </row>
    <row r="771" spans="1:35" x14ac:dyDescent="0.45">
      <c r="A771" s="70"/>
      <c r="B771" s="75"/>
      <c r="C771" s="75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75"/>
      <c r="C772" s="73" t="s">
        <v>1494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75"/>
      <c r="C773" s="70"/>
      <c r="D773" s="75" t="s">
        <v>283</v>
      </c>
      <c r="E773" s="70"/>
      <c r="F773" s="70"/>
      <c r="G773" s="70" t="s">
        <v>1495</v>
      </c>
      <c r="H773" s="89" t="str">
        <f>Settings!$B$3&amp;".mit.cpe.ind.mch."&amp;$J$404</f>
        <v>egy.mit.cpe.ind.mch.2</v>
      </c>
      <c r="I773" s="70"/>
      <c r="J773" s="70"/>
      <c r="K773" s="72"/>
      <c r="L773" s="72">
        <f>SUM(L733:L735)+SUM(L755:L757)</f>
        <v>3.5290636333347374</v>
      </c>
      <c r="M773" s="72">
        <f>SUM(M733:M735)+SUM(M755:M757)</f>
        <v>3.6067030332681016</v>
      </c>
      <c r="N773" s="72">
        <f>SUM(N733:N735)+SUM(N755:N757)</f>
        <v>3.6860504999999999</v>
      </c>
      <c r="O773" s="72">
        <f>SUM(O733:O735)+SUM(O755:O757)</f>
        <v>3.7671436109999994</v>
      </c>
      <c r="P773" s="72">
        <f>SUM(P733:P735)+SUM(P755:P757)</f>
        <v>3.8500207704419993</v>
      </c>
      <c r="Q773" s="72">
        <f>SUM(Q733:Q735)+SUM(Q755:Q757)</f>
        <v>3.9347212273917234</v>
      </c>
      <c r="R773" s="72">
        <f>SUM(R733:R735)+SUM(R755:R757)</f>
        <v>4.0212850943943419</v>
      </c>
      <c r="S773" s="72">
        <f>SUM(S733:S735)+SUM(S755:S757)</f>
        <v>4.1097533664710166</v>
      </c>
      <c r="T773" s="72">
        <f>SUM(T733:T735)+SUM(T755:T757)</f>
        <v>4.2001679405333787</v>
      </c>
      <c r="U773" s="72">
        <f>SUM(U733:U735)+SUM(U755:U757)</f>
        <v>4.292571635225114</v>
      </c>
      <c r="V773" s="72">
        <f>SUM(V733:V735)+SUM(V755:V757)</f>
        <v>4.3870082112000661</v>
      </c>
      <c r="W773" s="72">
        <f>SUM(W733:W735)+SUM(W755:W757)</f>
        <v>4.4835223918464688</v>
      </c>
      <c r="X773" s="72">
        <f>SUM(X733:X735)+SUM(X755:X757)</f>
        <v>4.5821598844670905</v>
      </c>
      <c r="Y773" s="72">
        <f>SUM(Y733:Y735)+SUM(Y755:Y757)</f>
        <v>4.6829674019253673</v>
      </c>
      <c r="Z773" s="72">
        <f>SUM(Z733:Z735)+SUM(Z755:Z757)</f>
        <v>4.7859926847677254</v>
      </c>
      <c r="AA773" s="72">
        <f>SUM(AA733:AA735)+SUM(AA755:AA757)</f>
        <v>4.8912845238326152</v>
      </c>
      <c r="AB773" s="72">
        <f>SUM(AB733:AB735)+SUM(AB755:AB757)</f>
        <v>4.9988927833569319</v>
      </c>
      <c r="AC773" s="72">
        <f>SUM(AC733:AC735)+SUM(AC755:AC757)</f>
        <v>5.1088684245907858</v>
      </c>
      <c r="AD773" s="72">
        <f>SUM(AD733:AD735)+SUM(AD755:AD757)</f>
        <v>5.2212635299317824</v>
      </c>
      <c r="AE773" s="72">
        <f>SUM(AE733:AE735)+SUM(AE755:AE757)</f>
        <v>5.336131327590282</v>
      </c>
      <c r="AF773" s="70"/>
      <c r="AG773" s="70"/>
      <c r="AH773" s="70"/>
      <c r="AI773" s="70"/>
    </row>
    <row r="774" spans="1:35" x14ac:dyDescent="0.45">
      <c r="A774" s="70"/>
      <c r="B774" s="75"/>
      <c r="C774" s="70"/>
      <c r="D774" s="75" t="s">
        <v>284</v>
      </c>
      <c r="E774" s="70"/>
      <c r="F774" s="70"/>
      <c r="G774" s="70" t="s">
        <v>1496</v>
      </c>
      <c r="H774" s="89" t="str">
        <f>Settings!$B$3&amp;".mit.cpe.ind.irn."&amp;$J$404</f>
        <v>egy.mit.cpe.ind.irn.2</v>
      </c>
      <c r="I774" s="70"/>
      <c r="J774" s="70"/>
      <c r="K774" s="72"/>
      <c r="L774" s="72">
        <f>SUM(L729:L731)+SUM(L751:L753)</f>
        <v>3.8464212577619237</v>
      </c>
      <c r="M774" s="72">
        <f>SUM(M729:M731)+SUM(M751:M753)</f>
        <v>4.0156637931034478</v>
      </c>
      <c r="N774" s="72">
        <f>SUM(N729:N731)+SUM(N751:N753)</f>
        <v>4.1923530000000007</v>
      </c>
      <c r="O774" s="72">
        <f>SUM(O729:O731)+SUM(O751:O753)</f>
        <v>4.3768165320000012</v>
      </c>
      <c r="P774" s="72">
        <f>SUM(P729:P731)+SUM(P751:P753)</f>
        <v>4.5693964594080008</v>
      </c>
      <c r="Q774" s="72">
        <f>SUM(Q729:Q731)+SUM(Q751:Q753)</f>
        <v>4.7704499036219534</v>
      </c>
      <c r="R774" s="72">
        <f>SUM(R729:R731)+SUM(R751:R753)</f>
        <v>4.9803496993813186</v>
      </c>
      <c r="S774" s="72">
        <f>SUM(S729:S731)+SUM(S751:S753)</f>
        <v>5.1994850861540982</v>
      </c>
      <c r="T774" s="72">
        <f>SUM(T729:T731)+SUM(T751:T753)</f>
        <v>5.4282624299448781</v>
      </c>
      <c r="U774" s="72">
        <f>SUM(U729:U731)+SUM(U751:U753)</f>
        <v>5.6671059768624525</v>
      </c>
      <c r="V774" s="72">
        <f>SUM(V729:V731)+SUM(V751:V753)</f>
        <v>5.9164586398444019</v>
      </c>
      <c r="W774" s="72">
        <f>SUM(W729:W731)+SUM(W751:W753)</f>
        <v>6.1767828199975545</v>
      </c>
      <c r="X774" s="72">
        <f>SUM(X729:X731)+SUM(X751:X753)</f>
        <v>6.4485612640774477</v>
      </c>
      <c r="Y774" s="72">
        <f>SUM(Y729:Y731)+SUM(Y751:Y753)</f>
        <v>6.7322979596968553</v>
      </c>
      <c r="Z774" s="72">
        <f>SUM(Z729:Z731)+SUM(Z751:Z753)</f>
        <v>7.0285190699235169</v>
      </c>
      <c r="AA774" s="72">
        <f>SUM(AA729:AA731)+SUM(AA751:AA753)</f>
        <v>7.3377739090001519</v>
      </c>
      <c r="AB774" s="72">
        <f>SUM(AB729:AB731)+SUM(AB751:AB753)</f>
        <v>7.6606359609961583</v>
      </c>
      <c r="AC774" s="72">
        <f>SUM(AC729:AC731)+SUM(AC751:AC753)</f>
        <v>7.9977039432799906</v>
      </c>
      <c r="AD774" s="72">
        <f>SUM(AD729:AD731)+SUM(AD751:AD753)</f>
        <v>8.3496029167843098</v>
      </c>
      <c r="AE774" s="72">
        <f>SUM(AE729:AE731)+SUM(AE751:AE753)</f>
        <v>8.7169854451228197</v>
      </c>
      <c r="AF774" s="70"/>
      <c r="AG774" s="70"/>
      <c r="AH774" s="70"/>
      <c r="AI774" s="70"/>
    </row>
    <row r="775" spans="1:35" x14ac:dyDescent="0.45">
      <c r="A775" s="70"/>
      <c r="B775" s="75"/>
      <c r="C775" s="70"/>
      <c r="D775" s="75" t="s">
        <v>285</v>
      </c>
      <c r="E775" s="70"/>
      <c r="F775" s="70"/>
      <c r="G775" s="70" t="s">
        <v>1497</v>
      </c>
      <c r="H775" s="89" t="str">
        <f>Settings!$B$3&amp;".mit.cpe.ind.nfm."&amp;$J$404</f>
        <v>egy.mit.cpe.ind.nfm.2</v>
      </c>
      <c r="I775" s="70"/>
      <c r="J775" s="70"/>
      <c r="K775" s="72"/>
      <c r="L775" s="72">
        <f>L736+L758</f>
        <v>4.2047573055412055E-2</v>
      </c>
      <c r="M775" s="72">
        <f>M736+M758</f>
        <v>4.4360189573459712E-2</v>
      </c>
      <c r="N775" s="72">
        <f>N736+N758</f>
        <v>4.6799999999999994E-2</v>
      </c>
      <c r="O775" s="72">
        <f>O736+O758</f>
        <v>4.9374000000000001E-2</v>
      </c>
      <c r="P775" s="72">
        <f>P736+P758</f>
        <v>5.2089569999999995E-2</v>
      </c>
      <c r="Q775" s="72">
        <f>Q736+Q758</f>
        <v>5.4954496349999993E-2</v>
      </c>
      <c r="R775" s="72">
        <f>R736+R758</f>
        <v>5.7976993649249998E-2</v>
      </c>
      <c r="S775" s="72">
        <f>S736+S758</f>
        <v>6.1165728299958741E-2</v>
      </c>
      <c r="T775" s="72">
        <f>T736+T758</f>
        <v>6.4529843356456465E-2</v>
      </c>
      <c r="U775" s="72">
        <f>U736+U758</f>
        <v>6.8078984741061568E-2</v>
      </c>
      <c r="V775" s="72">
        <f>V736+V758</f>
        <v>7.1823328901819944E-2</v>
      </c>
      <c r="W775" s="72">
        <f>W736+W758</f>
        <v>7.5773611991420048E-2</v>
      </c>
      <c r="X775" s="72">
        <f>X736+X758</f>
        <v>7.9941160650948154E-2</v>
      </c>
      <c r="Y775" s="72">
        <f>Y736+Y758</f>
        <v>8.4337924486750301E-2</v>
      </c>
      <c r="Z775" s="72">
        <f>Z736+Z758</f>
        <v>8.8976510333521566E-2</v>
      </c>
      <c r="AA775" s="72">
        <f>AA736+AA758</f>
        <v>9.3870218401865241E-2</v>
      </c>
      <c r="AB775" s="72">
        <f>AB736+AB758</f>
        <v>9.9033080413967828E-2</v>
      </c>
      <c r="AC775" s="72">
        <f>AC736+AC758</f>
        <v>0.10447989983673606</v>
      </c>
      <c r="AD775" s="72">
        <f>AD736+AD758</f>
        <v>0.11022629432775652</v>
      </c>
      <c r="AE775" s="72">
        <f>AE736+AE758</f>
        <v>0.11628874051578311</v>
      </c>
      <c r="AF775" s="70"/>
      <c r="AG775" s="70"/>
      <c r="AH775" s="70"/>
      <c r="AI775" s="70"/>
    </row>
    <row r="776" spans="1:35" x14ac:dyDescent="0.45">
      <c r="A776" s="70"/>
      <c r="B776" s="75"/>
      <c r="C776" s="70"/>
      <c r="D776" s="75" t="s">
        <v>286</v>
      </c>
      <c r="E776" s="70"/>
      <c r="F776" s="70"/>
      <c r="G776" s="70" t="s">
        <v>1498</v>
      </c>
      <c r="H776" s="89" t="str">
        <f>Settings!$B$3&amp;".mit.cpe.ind.mac."&amp;$J$404</f>
        <v>egy.mit.cpe.ind.mac.2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75"/>
      <c r="C777" s="70"/>
      <c r="D777" s="75" t="s">
        <v>287</v>
      </c>
      <c r="E777" s="70"/>
      <c r="F777" s="70"/>
      <c r="G777" s="70" t="s">
        <v>1499</v>
      </c>
      <c r="H777" s="89" t="str">
        <f>Settings!$B$3&amp;".mit.cpe.ind.cem."&amp;$J$404</f>
        <v>egy.mit.cpe.ind.cem.2</v>
      </c>
      <c r="I777" s="70"/>
      <c r="J777" s="70"/>
      <c r="K777" s="72"/>
      <c r="L777" s="72">
        <f>L732+L754</f>
        <v>13.508713893592759</v>
      </c>
      <c r="M777" s="72">
        <f>M732+M754</f>
        <v>13.954501452081319</v>
      </c>
      <c r="N777" s="72">
        <f>N732+N754</f>
        <v>14.414999999999999</v>
      </c>
      <c r="O777" s="72">
        <f>O732+O754</f>
        <v>14.890694999999997</v>
      </c>
      <c r="P777" s="72">
        <f>P732+P754</f>
        <v>15.382087934999998</v>
      </c>
      <c r="Q777" s="72">
        <f>Q732+Q754</f>
        <v>15.889696836854995</v>
      </c>
      <c r="R777" s="72">
        <f>R732+R754</f>
        <v>16.414056832471207</v>
      </c>
      <c r="S777" s="72">
        <f>S732+S754</f>
        <v>16.955720707942756</v>
      </c>
      <c r="T777" s="72">
        <f>T732+T754</f>
        <v>17.515259491304867</v>
      </c>
      <c r="U777" s="72">
        <f>U732+U754</f>
        <v>18.093263054517926</v>
      </c>
      <c r="V777" s="72">
        <f>V732+V754</f>
        <v>18.690340735317015</v>
      </c>
      <c r="W777" s="72">
        <f>W732+W754</f>
        <v>19.307121979582476</v>
      </c>
      <c r="X777" s="72">
        <f>X732+X754</f>
        <v>19.944257004908696</v>
      </c>
      <c r="Y777" s="72">
        <f>Y732+Y754</f>
        <v>20.602417486070681</v>
      </c>
      <c r="Z777" s="72">
        <f>Z732+Z754</f>
        <v>21.282297263111012</v>
      </c>
      <c r="AA777" s="72">
        <f>AA732+AA754</f>
        <v>21.984613072793675</v>
      </c>
      <c r="AB777" s="72">
        <f>AB732+AB754</f>
        <v>22.710105304195867</v>
      </c>
      <c r="AC777" s="72">
        <f>AC732+AC754</f>
        <v>23.459538779234329</v>
      </c>
      <c r="AD777" s="72">
        <f>AD732+AD754</f>
        <v>24.23370355894906</v>
      </c>
      <c r="AE777" s="72">
        <f>AE732+AE754</f>
        <v>25.033415776394378</v>
      </c>
      <c r="AF777" s="70"/>
      <c r="AG777" s="70"/>
      <c r="AH777" s="70"/>
      <c r="AI777" s="70"/>
    </row>
    <row r="778" spans="1:35" x14ac:dyDescent="0.45">
      <c r="A778" s="70"/>
      <c r="B778" s="75"/>
      <c r="C778" s="75"/>
      <c r="D778" s="72" t="s">
        <v>111</v>
      </c>
      <c r="E778" s="72"/>
      <c r="F778" s="72"/>
      <c r="G778" s="70" t="s">
        <v>1493</v>
      </c>
      <c r="H778" s="89" t="str">
        <f>Settings!$B$3&amp;".mit.emis.cbam.tot."&amp;$J$404</f>
        <v>egy.mit.emis.cbam.tot.2</v>
      </c>
      <c r="I778" s="72"/>
      <c r="J778" s="72"/>
      <c r="K778" s="72"/>
      <c r="L778" s="72">
        <f>SUM(L773:L777)</f>
        <v>20.926246357744834</v>
      </c>
      <c r="M778" s="72">
        <f>SUM(M773:M777)</f>
        <v>21.621228468026327</v>
      </c>
      <c r="N778" s="72">
        <f>SUM(N773:N777)</f>
        <v>22.340203500000001</v>
      </c>
      <c r="O778" s="72">
        <f>SUM(O773:O777)</f>
        <v>23.084029142999999</v>
      </c>
      <c r="P778" s="72">
        <f>SUM(P773:P777)</f>
        <v>23.853594734849999</v>
      </c>
      <c r="Q778" s="72">
        <f>SUM(Q773:Q777)</f>
        <v>24.649822464218673</v>
      </c>
      <c r="R778" s="72">
        <f>SUM(R773:R777)</f>
        <v>25.473668619896117</v>
      </c>
      <c r="S778" s="72">
        <f>SUM(S773:S777)</f>
        <v>26.326124888867831</v>
      </c>
      <c r="T778" s="72">
        <f>SUM(T773:T777)</f>
        <v>27.20821970513958</v>
      </c>
      <c r="U778" s="72">
        <f>SUM(U773:U777)</f>
        <v>28.121019651346558</v>
      </c>
      <c r="V778" s="72">
        <f>SUM(V773:V777)</f>
        <v>29.065630915263306</v>
      </c>
      <c r="W778" s="72">
        <f>SUM(W773:W777)</f>
        <v>30.043200803417918</v>
      </c>
      <c r="X778" s="72">
        <f>SUM(X773:X777)</f>
        <v>31.054919314104183</v>
      </c>
      <c r="Y778" s="72">
        <f>SUM(Y773:Y777)</f>
        <v>32.102020772179657</v>
      </c>
      <c r="Z778" s="72">
        <f>SUM(Z773:Z777)</f>
        <v>33.185785528135774</v>
      </c>
      <c r="AA778" s="72">
        <f>SUM(AA773:AA777)</f>
        <v>34.307541724028304</v>
      </c>
      <c r="AB778" s="72">
        <f>SUM(AB773:AB777)</f>
        <v>35.46866712896292</v>
      </c>
      <c r="AC778" s="72">
        <f>SUM(AC773:AC777)</f>
        <v>36.670591046941837</v>
      </c>
      <c r="AD778" s="72">
        <f>SUM(AD773:AD777)</f>
        <v>37.914796299992908</v>
      </c>
      <c r="AE778" s="72">
        <f>SUM(AE773:AE777)</f>
        <v>39.202821289623259</v>
      </c>
      <c r="AF778" s="70"/>
      <c r="AG778" s="70"/>
      <c r="AH778" s="70"/>
      <c r="AI778" s="70"/>
    </row>
    <row r="779" spans="1:35" x14ac:dyDescent="0.45">
      <c r="A779" s="70"/>
      <c r="B779" s="75"/>
      <c r="C779" s="70"/>
      <c r="D779" s="75"/>
      <c r="E779" s="70"/>
      <c r="F779" s="70"/>
      <c r="G779" s="70"/>
      <c r="H779" s="70"/>
      <c r="I779" s="70"/>
      <c r="J779" s="70"/>
      <c r="K779" s="72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</row>
    <row r="780" spans="1:35" x14ac:dyDescent="0.45">
      <c r="A780" s="70"/>
      <c r="B780" s="75"/>
      <c r="C780" s="70"/>
      <c r="D780" s="75"/>
      <c r="E780" s="70"/>
      <c r="F780" s="70"/>
      <c r="G780" s="70"/>
      <c r="H780" s="70"/>
      <c r="I780" s="70"/>
      <c r="J780" s="70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0"/>
      <c r="AG780" s="70"/>
      <c r="AH780" s="70"/>
      <c r="AI780" s="70"/>
    </row>
    <row r="781" spans="1:35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</row>
    <row r="782" spans="1:35" x14ac:dyDescent="0.45">
      <c r="A782" s="70"/>
      <c r="B782" s="75"/>
      <c r="C782" s="75"/>
      <c r="D782" s="70"/>
      <c r="E782" s="70"/>
      <c r="F782" s="70"/>
      <c r="G782" s="70"/>
      <c r="H782" s="70"/>
      <c r="I782" s="70"/>
      <c r="J782" s="70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0"/>
      <c r="AG782" s="70"/>
      <c r="AH782" s="70"/>
      <c r="AI782" s="70"/>
    </row>
    <row r="783" spans="1:35" x14ac:dyDescent="0.45">
      <c r="A783" s="70"/>
      <c r="B783" s="75"/>
      <c r="C783" s="73" t="s">
        <v>1500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75"/>
      <c r="C784" s="70"/>
      <c r="D784" s="75" t="s">
        <v>283</v>
      </c>
      <c r="E784" s="70"/>
      <c r="F784" s="70"/>
      <c r="G784" s="70" t="s">
        <v>1495</v>
      </c>
      <c r="H784" s="89" t="str">
        <f>Settings!$B$3&amp;".mit.cpe."&amp;G784&amp;"."&amp;$J$404</f>
        <v>egy.mit.cpe.ind.mch.2</v>
      </c>
      <c r="I784" s="70"/>
      <c r="J784" s="70"/>
      <c r="K784" s="72"/>
      <c r="L784" s="72">
        <f>SUM(L744:L746)+SUM(L766:L768)</f>
        <v>0.55721293959505358</v>
      </c>
      <c r="M784" s="72">
        <f>SUM(M744:M746)+SUM(M766:M768)</f>
        <v>0.56947162426614473</v>
      </c>
      <c r="N784" s="72">
        <f>SUM(N744:N746)+SUM(N766:N768)</f>
        <v>0.58199999999999996</v>
      </c>
      <c r="O784" s="72">
        <f>SUM(O744:O746)+SUM(O766:O768)</f>
        <v>0.594804</v>
      </c>
      <c r="P784" s="72">
        <f>SUM(P744:P746)+SUM(P766:P768)</f>
        <v>0.60788968800000009</v>
      </c>
      <c r="Q784" s="72">
        <f>SUM(Q744:Q746)+SUM(Q766:Q768)</f>
        <v>0.62126326113599994</v>
      </c>
      <c r="R784" s="72">
        <f>SUM(R744:R746)+SUM(R766:R768)</f>
        <v>0.63493105288099194</v>
      </c>
      <c r="S784" s="72">
        <f>SUM(S744:S746)+SUM(S766:S768)</f>
        <v>0.64889953604437378</v>
      </c>
      <c r="T784" s="72">
        <f>SUM(T744:T746)+SUM(T766:T768)</f>
        <v>0.66317532583735006</v>
      </c>
      <c r="U784" s="72">
        <f>SUM(U744:U746)+SUM(U766:U768)</f>
        <v>0.67776518300577182</v>
      </c>
      <c r="V784" s="72">
        <f>SUM(V744:V746)+SUM(V766:V768)</f>
        <v>0.69267601703189885</v>
      </c>
      <c r="W784" s="72">
        <f>SUM(W744:W746)+SUM(W766:W768)</f>
        <v>0.70791488940660052</v>
      </c>
      <c r="X784" s="72">
        <f>SUM(X744:X746)+SUM(X766:X768)</f>
        <v>0.72348901697354573</v>
      </c>
      <c r="Y784" s="72">
        <f>SUM(Y744:Y746)+SUM(Y766:Y768)</f>
        <v>0.73940577534696372</v>
      </c>
      <c r="Z784" s="72">
        <f>SUM(Z744:Z746)+SUM(Z766:Z768)</f>
        <v>0.75567270240459705</v>
      </c>
      <c r="AA784" s="72">
        <f>SUM(AA744:AA746)+SUM(AA766:AA768)</f>
        <v>0.77229750185749824</v>
      </c>
      <c r="AB784" s="72">
        <f>SUM(AB744:AB746)+SUM(AB766:AB768)</f>
        <v>0.78928804689836318</v>
      </c>
      <c r="AC784" s="72">
        <f>SUM(AC744:AC746)+SUM(AC766:AC768)</f>
        <v>0.80665238393012717</v>
      </c>
      <c r="AD784" s="72">
        <f>SUM(AD744:AD746)+SUM(AD766:AD768)</f>
        <v>0.82439873637659</v>
      </c>
      <c r="AE784" s="72">
        <f>SUM(AE744:AE746)+SUM(AE766:AE768)</f>
        <v>0.84253550857687498</v>
      </c>
      <c r="AF784" s="70"/>
      <c r="AG784" s="70"/>
      <c r="AH784" s="70"/>
      <c r="AI784" s="70"/>
    </row>
    <row r="785" spans="1:35" x14ac:dyDescent="0.45">
      <c r="A785" s="70"/>
      <c r="B785" s="75"/>
      <c r="C785" s="70"/>
      <c r="D785" s="75" t="s">
        <v>284</v>
      </c>
      <c r="E785" s="70"/>
      <c r="F785" s="70"/>
      <c r="G785" s="70" t="s">
        <v>1496</v>
      </c>
      <c r="H785" s="89" t="str">
        <f>Settings!$B$3&amp;".mit.cpe."&amp;G785&amp;"."&amp;$J$404</f>
        <v>egy.mit.cpe.ind.irn.2</v>
      </c>
      <c r="I785" s="70"/>
      <c r="J785" s="70"/>
      <c r="K785" s="72"/>
      <c r="L785" s="72">
        <f>SUM(L740:L742)+SUM(L762:L764)</f>
        <v>0.25322587748271458</v>
      </c>
      <c r="M785" s="72">
        <f>SUM(M740:M742)+SUM(M762:M764)</f>
        <v>0.26436781609195403</v>
      </c>
      <c r="N785" s="72">
        <f>SUM(N740:N742)+SUM(N762:N764)</f>
        <v>0.27599999999999997</v>
      </c>
      <c r="O785" s="72">
        <f>SUM(O740:O742)+SUM(O762:O764)</f>
        <v>0.28814400000000001</v>
      </c>
      <c r="P785" s="72">
        <f>SUM(P740:P742)+SUM(P762:P764)</f>
        <v>0.30082233600000008</v>
      </c>
      <c r="Q785" s="72">
        <f>SUM(Q740:Q742)+SUM(Q762:Q764)</f>
        <v>0.31405851878400004</v>
      </c>
      <c r="R785" s="72">
        <f>SUM(R740:R742)+SUM(R762:R764)</f>
        <v>0.32787709361049611</v>
      </c>
      <c r="S785" s="72">
        <f>SUM(S740:S742)+SUM(S762:S764)</f>
        <v>0.34230368572935788</v>
      </c>
      <c r="T785" s="72">
        <f>SUM(T740:T742)+SUM(T762:T764)</f>
        <v>0.35736504790144968</v>
      </c>
      <c r="U785" s="72">
        <f>SUM(U740:U742)+SUM(U762:U764)</f>
        <v>0.37308911000911349</v>
      </c>
      <c r="V785" s="72">
        <f>SUM(V740:V742)+SUM(V762:V764)</f>
        <v>0.38950503084951449</v>
      </c>
      <c r="W785" s="72">
        <f>SUM(W740:W742)+SUM(W762:W764)</f>
        <v>0.40664325220689312</v>
      </c>
      <c r="X785" s="72">
        <f>SUM(X740:X742)+SUM(X762:X764)</f>
        <v>0.42453555530399645</v>
      </c>
      <c r="Y785" s="72">
        <f>SUM(Y740:Y742)+SUM(Y762:Y764)</f>
        <v>0.44321511973737227</v>
      </c>
      <c r="Z785" s="72">
        <f>SUM(Z740:Z742)+SUM(Z762:Z764)</f>
        <v>0.46271658500581669</v>
      </c>
      <c r="AA785" s="72">
        <f>SUM(AA740:AA742)+SUM(AA762:AA764)</f>
        <v>0.48307611474607259</v>
      </c>
      <c r="AB785" s="72">
        <f>SUM(AB740:AB742)+SUM(AB762:AB764)</f>
        <v>0.5043314637948999</v>
      </c>
      <c r="AC785" s="72">
        <f>SUM(AC740:AC742)+SUM(AC762:AC764)</f>
        <v>0.52652204820187531</v>
      </c>
      <c r="AD785" s="72">
        <f>SUM(AD740:AD742)+SUM(AD762:AD764)</f>
        <v>0.54968901832275785</v>
      </c>
      <c r="AE785" s="72">
        <f>SUM(AE740:AE742)+SUM(AE762:AE764)</f>
        <v>0.57387533512895927</v>
      </c>
      <c r="AF785" s="70"/>
      <c r="AG785" s="70"/>
      <c r="AH785" s="70"/>
      <c r="AI785" s="70"/>
    </row>
    <row r="786" spans="1:35" x14ac:dyDescent="0.45">
      <c r="A786" s="70"/>
      <c r="B786" s="75"/>
      <c r="C786" s="70"/>
      <c r="D786" s="75" t="s">
        <v>285</v>
      </c>
      <c r="E786" s="70"/>
      <c r="F786" s="70"/>
      <c r="G786" s="70" t="s">
        <v>1497</v>
      </c>
      <c r="H786" s="89" t="str">
        <f>Settings!$B$3&amp;".mit.cpe."&amp;G786&amp;"."&amp;$J$404</f>
        <v>egy.mit.cpe.ind.nfm.2</v>
      </c>
      <c r="I786" s="70"/>
      <c r="J786" s="70"/>
      <c r="K786" s="72"/>
      <c r="L786" s="72">
        <f>L747+L769</f>
        <v>0.63340895307832257</v>
      </c>
      <c r="M786" s="72">
        <f>M747+M769</f>
        <v>0.66824644549763035</v>
      </c>
      <c r="N786" s="72">
        <f>N747+N769</f>
        <v>0.70499999999999996</v>
      </c>
      <c r="O786" s="72">
        <f>O747+O769</f>
        <v>0.74377499999999996</v>
      </c>
      <c r="P786" s="72">
        <f>P747+P769</f>
        <v>0.78468262499999997</v>
      </c>
      <c r="Q786" s="72">
        <f>Q747+Q769</f>
        <v>0.82784016937499993</v>
      </c>
      <c r="R786" s="72">
        <f>R747+R769</f>
        <v>0.87337137869062498</v>
      </c>
      <c r="S786" s="72">
        <f>S747+S769</f>
        <v>0.92140680451860935</v>
      </c>
      <c r="T786" s="72">
        <f>T747+T769</f>
        <v>0.97208417876713282</v>
      </c>
      <c r="U786" s="72">
        <f>U747+U769</f>
        <v>1.025548808599325</v>
      </c>
      <c r="V786" s="72">
        <f>V747+V769</f>
        <v>1.0819539930722879</v>
      </c>
      <c r="W786" s="72">
        <f>W747+W769</f>
        <v>1.1414614626912638</v>
      </c>
      <c r="X786" s="72">
        <f>X747+X769</f>
        <v>1.2042418431392832</v>
      </c>
      <c r="Y786" s="72">
        <f>Y747+Y769</f>
        <v>1.2704751445119435</v>
      </c>
      <c r="Z786" s="72">
        <f>Z747+Z769</f>
        <v>1.3403512774601003</v>
      </c>
      <c r="AA786" s="72">
        <f>AA747+AA769</f>
        <v>1.4140705977204062</v>
      </c>
      <c r="AB786" s="72">
        <f>AB747+AB769</f>
        <v>1.4918444805950282</v>
      </c>
      <c r="AC786" s="72">
        <f>AC747+AC769</f>
        <v>1.5738959270277546</v>
      </c>
      <c r="AD786" s="72">
        <f>AD747+AD769</f>
        <v>1.660460203014281</v>
      </c>
      <c r="AE786" s="72">
        <f>AE747+AE769</f>
        <v>1.7517855141800662</v>
      </c>
      <c r="AF786" s="70"/>
      <c r="AG786" s="70"/>
      <c r="AH786" s="70"/>
      <c r="AI786" s="70"/>
    </row>
    <row r="787" spans="1:35" x14ac:dyDescent="0.45">
      <c r="A787" s="70"/>
      <c r="B787" s="75"/>
      <c r="C787" s="70"/>
      <c r="D787" s="75" t="s">
        <v>286</v>
      </c>
      <c r="E787" s="70"/>
      <c r="F787" s="70"/>
      <c r="G787" s="70" t="s">
        <v>1498</v>
      </c>
      <c r="H787" s="89" t="str">
        <f>Settings!$B$3&amp;".mit.cpe."&amp;G787&amp;"."&amp;$J$404</f>
        <v>egy.mit.cpe.ind.mac.2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75"/>
      <c r="C788" s="70"/>
      <c r="D788" s="75" t="s">
        <v>287</v>
      </c>
      <c r="E788" s="70"/>
      <c r="F788" s="70"/>
      <c r="G788" s="70" t="s">
        <v>1499</v>
      </c>
      <c r="H788" s="89" t="str">
        <f>Settings!$B$3&amp;".mit.cpe."&amp;G788&amp;"."&amp;$J$404</f>
        <v>egy.mit.cpe.ind.cem.2</v>
      </c>
      <c r="I788" s="70"/>
      <c r="J788" s="70"/>
      <c r="K788" s="72"/>
      <c r="L788" s="72">
        <f>L743+L765</f>
        <v>24.646491529759945</v>
      </c>
      <c r="M788" s="72">
        <f>M743+M765</f>
        <v>25.459825750242022</v>
      </c>
      <c r="N788" s="72">
        <f>N743+N765</f>
        <v>26.3</v>
      </c>
      <c r="O788" s="72">
        <f>O743+O765</f>
        <v>27.167899999999999</v>
      </c>
      <c r="P788" s="72">
        <f>P743+P765</f>
        <v>28.064440699999995</v>
      </c>
      <c r="Q788" s="72">
        <f>Q743+Q765</f>
        <v>28.990567243099992</v>
      </c>
      <c r="R788" s="72">
        <f>R743+R765</f>
        <v>29.947255962122291</v>
      </c>
      <c r="S788" s="72">
        <f>S743+S765</f>
        <v>30.935515408872323</v>
      </c>
      <c r="T788" s="72">
        <f>T743+T765</f>
        <v>31.956387417365111</v>
      </c>
      <c r="U788" s="72">
        <f>U743+U765</f>
        <v>33.010948202138152</v>
      </c>
      <c r="V788" s="72">
        <f>V743+V765</f>
        <v>34.100309492808705</v>
      </c>
      <c r="W788" s="72">
        <f>W743+W765</f>
        <v>35.225619706071399</v>
      </c>
      <c r="X788" s="72">
        <f>X743+X765</f>
        <v>36.388065156371745</v>
      </c>
      <c r="Y788" s="72">
        <f>Y743+Y765</f>
        <v>37.588871306532013</v>
      </c>
      <c r="Z788" s="72">
        <f>Z743+Z765</f>
        <v>38.829304059647569</v>
      </c>
      <c r="AA788" s="72">
        <f>AA743+AA765</f>
        <v>40.110671093615935</v>
      </c>
      <c r="AB788" s="72">
        <f>AB743+AB765</f>
        <v>41.434323239705257</v>
      </c>
      <c r="AC788" s="72">
        <f>AC743+AC765</f>
        <v>42.801655906615522</v>
      </c>
      <c r="AD788" s="72">
        <f>AD743+AD765</f>
        <v>44.214110551533835</v>
      </c>
      <c r="AE788" s="72">
        <f>AE743+AE765</f>
        <v>45.673176199734449</v>
      </c>
      <c r="AF788" s="70"/>
      <c r="AG788" s="70"/>
      <c r="AH788" s="70"/>
      <c r="AI788" s="70"/>
    </row>
    <row r="789" spans="1:35" x14ac:dyDescent="0.45">
      <c r="A789" s="70"/>
      <c r="B789" s="75"/>
      <c r="C789" s="75"/>
      <c r="D789" s="72" t="s">
        <v>111</v>
      </c>
      <c r="E789" s="72"/>
      <c r="F789" s="72"/>
      <c r="G789" s="70" t="s">
        <v>1493</v>
      </c>
      <c r="H789" s="89" t="str">
        <f>Settings!$B$3&amp;".mit.emis."&amp;G789&amp;"."&amp;$J$404</f>
        <v>egy.mit.emis.cbam.tot.2</v>
      </c>
      <c r="I789" s="72"/>
      <c r="J789" s="72"/>
      <c r="K789" s="72"/>
      <c r="L789" s="72">
        <f>SUM(L784:L788)</f>
        <v>26.090339299916035</v>
      </c>
      <c r="M789" s="72">
        <f>SUM(M784:M788)</f>
        <v>26.961911636097749</v>
      </c>
      <c r="N789" s="72">
        <f>SUM(N784:N788)</f>
        <v>27.863</v>
      </c>
      <c r="O789" s="72">
        <f>SUM(O784:O788)</f>
        <v>28.794623000000001</v>
      </c>
      <c r="P789" s="72">
        <f>SUM(P784:P788)</f>
        <v>29.757835348999997</v>
      </c>
      <c r="Q789" s="72">
        <f>SUM(Q784:Q788)</f>
        <v>30.753729192394992</v>
      </c>
      <c r="R789" s="72">
        <f>SUM(R784:R788)</f>
        <v>31.783435487304406</v>
      </c>
      <c r="S789" s="72">
        <f>SUM(S784:S788)</f>
        <v>32.848125435164661</v>
      </c>
      <c r="T789" s="72">
        <f>SUM(T784:T788)</f>
        <v>33.949011969871044</v>
      </c>
      <c r="U789" s="72">
        <f>SUM(U784:U788)</f>
        <v>35.087351303752364</v>
      </c>
      <c r="V789" s="72">
        <f>SUM(V784:V788)</f>
        <v>36.264444533762408</v>
      </c>
      <c r="W789" s="72">
        <f>SUM(W784:W788)</f>
        <v>37.481639310376153</v>
      </c>
      <c r="X789" s="72">
        <f>SUM(X784:X788)</f>
        <v>38.740331571788573</v>
      </c>
      <c r="Y789" s="72">
        <f>SUM(Y784:Y788)</f>
        <v>40.041967346128295</v>
      </c>
      <c r="Z789" s="72">
        <f>SUM(Z784:Z788)</f>
        <v>41.388044624518081</v>
      </c>
      <c r="AA789" s="72">
        <f>SUM(AA784:AA788)</f>
        <v>42.780115307939909</v>
      </c>
      <c r="AB789" s="72">
        <f>SUM(AB784:AB788)</f>
        <v>44.219787230993546</v>
      </c>
      <c r="AC789" s="72">
        <f>SUM(AC784:AC788)</f>
        <v>45.708726265775283</v>
      </c>
      <c r="AD789" s="72">
        <f>SUM(AD784:AD788)</f>
        <v>47.248658509247463</v>
      </c>
      <c r="AE789" s="72">
        <f>SUM(AE784:AE788)</f>
        <v>48.841372557620346</v>
      </c>
      <c r="AF789" s="70"/>
      <c r="AG789" s="70"/>
      <c r="AH789" s="70"/>
      <c r="AI789" s="70"/>
    </row>
    <row r="790" spans="1:35" x14ac:dyDescent="0.45">
      <c r="A790" s="70"/>
      <c r="B790" s="75"/>
      <c r="C790" s="73" t="s">
        <v>1501</v>
      </c>
      <c r="D790" s="73"/>
      <c r="E790" s="70"/>
      <c r="F790" s="70"/>
      <c r="G790" s="70"/>
      <c r="H790" s="70"/>
      <c r="I790" s="70"/>
      <c r="J790" s="71"/>
      <c r="K790" s="72"/>
      <c r="L790" s="74">
        <f>L761</f>
        <v>2022</v>
      </c>
      <c r="M790" s="74">
        <f>M761</f>
        <v>2023</v>
      </c>
      <c r="N790" s="74">
        <f>N761</f>
        <v>2024</v>
      </c>
      <c r="O790" s="74">
        <f>O761</f>
        <v>2025</v>
      </c>
      <c r="P790" s="74">
        <f>P761</f>
        <v>2026</v>
      </c>
      <c r="Q790" s="74">
        <f>Q761</f>
        <v>2027</v>
      </c>
      <c r="R790" s="74">
        <f>R761</f>
        <v>2028</v>
      </c>
      <c r="S790" s="74">
        <f>S761</f>
        <v>2029</v>
      </c>
      <c r="T790" s="74">
        <f>T761</f>
        <v>2030</v>
      </c>
      <c r="U790" s="74">
        <f>U761</f>
        <v>2031</v>
      </c>
      <c r="V790" s="74">
        <f>V761</f>
        <v>2032</v>
      </c>
      <c r="W790" s="74">
        <f>W761</f>
        <v>2033</v>
      </c>
      <c r="X790" s="74">
        <f>X761</f>
        <v>2034</v>
      </c>
      <c r="Y790" s="74">
        <f>Y761</f>
        <v>2035</v>
      </c>
      <c r="Z790" s="74">
        <f>Z761</f>
        <v>2036</v>
      </c>
      <c r="AA790" s="74">
        <f>AA761</f>
        <v>2037</v>
      </c>
      <c r="AB790" s="74">
        <f>AB761</f>
        <v>2038</v>
      </c>
      <c r="AC790" s="74">
        <f>AC761</f>
        <v>2039</v>
      </c>
      <c r="AD790" s="74">
        <f>AD761</f>
        <v>2040</v>
      </c>
      <c r="AE790" s="74">
        <f>AE761</f>
        <v>2041</v>
      </c>
      <c r="AF790" s="74"/>
      <c r="AG790" s="70"/>
      <c r="AH790" s="70"/>
      <c r="AI790" s="70"/>
    </row>
    <row r="791" spans="1:35" x14ac:dyDescent="0.45">
      <c r="A791" s="70"/>
      <c r="B791" s="75"/>
      <c r="C791" s="75"/>
      <c r="D791" s="75" t="s">
        <v>1350</v>
      </c>
      <c r="E791" s="70"/>
      <c r="F791" s="70"/>
      <c r="G791" s="70"/>
      <c r="H791" s="70"/>
      <c r="I791" s="70"/>
      <c r="J791" s="70"/>
      <c r="K791" s="72"/>
      <c r="L791" s="72">
        <f>L740*(L646*F698+L647*G698)</f>
        <v>0</v>
      </c>
      <c r="M791" s="72">
        <f>M740*(M646*F698+M647*G698)</f>
        <v>0</v>
      </c>
      <c r="N791" s="72">
        <f>N740*(N646*F698+N647*G698)</f>
        <v>0</v>
      </c>
      <c r="O791" s="72">
        <f>O740*(O646*F698+O647*G698)</f>
        <v>0</v>
      </c>
      <c r="P791" s="72">
        <f>P740*(P646*F698+P647*G698)</f>
        <v>0</v>
      </c>
      <c r="Q791" s="72">
        <f>Q740*(Q646*F698+Q647*G698)</f>
        <v>2.9016276192000006</v>
      </c>
      <c r="R791" s="72">
        <f>R740*(R646*F698+R647*G698)</f>
        <v>6.0585984688896017</v>
      </c>
      <c r="S791" s="72">
        <f>S740*(S646*F698+S647*G698)</f>
        <v>9.4877652022811176</v>
      </c>
      <c r="T791" s="72">
        <f>T740*(T646*F698+T647*G698)</f>
        <v>13.206969161575316</v>
      </c>
      <c r="U791" s="72">
        <f>U740*(U646*F698+U647*G698)</f>
        <v>17.235094755855787</v>
      </c>
      <c r="V791" s="72">
        <f>V740*(V646*F698+V647*G698)</f>
        <v>21.592126710136128</v>
      </c>
      <c r="W791" s="72">
        <f>W740*(W646*F698+W647*G698)</f>
        <v>26.299210332945808</v>
      </c>
      <c r="X791" s="72">
        <f>X740*(X646*F698+X647*G698)</f>
        <v>31.378714957251912</v>
      </c>
      <c r="Y791" s="72">
        <f>Y740*(Y646*F698+Y647*G698)</f>
        <v>36.854300717292375</v>
      </c>
      <c r="Z791" s="72">
        <f>Z740*(Z646*F698+Z647*G698)</f>
        <v>42.750988832059157</v>
      </c>
      <c r="AA791" s="72">
        <f>AA740*(AA646*F698+AA647*G698)</f>
        <v>49.095235574736733</v>
      </c>
      <c r="AB791" s="72">
        <f>AB740*(AB646*F698+AB647*G698)</f>
        <v>55.91501011639108</v>
      </c>
      <c r="AC791" s="72">
        <f>AC740*(AC646*F698+AC647*G698)</f>
        <v>63.239876441638302</v>
      </c>
      <c r="AD791" s="72">
        <f>AD740*(AD646*F698+AD647*G698)</f>
        <v>71.101079543921955</v>
      </c>
      <c r="AE791" s="72">
        <f>AE740*(AE646*F698+AE647*G698)</f>
        <v>79.531636118415562</v>
      </c>
      <c r="AF791" s="70"/>
      <c r="AG791" s="70"/>
      <c r="AH791" s="70"/>
      <c r="AI791" s="70"/>
    </row>
    <row r="792" spans="1:35" x14ac:dyDescent="0.45">
      <c r="A792" s="70"/>
      <c r="B792" s="75"/>
      <c r="C792" s="75"/>
      <c r="D792" s="75" t="s">
        <v>1357</v>
      </c>
      <c r="E792" s="70"/>
      <c r="F792" s="70"/>
      <c r="G792" s="70"/>
      <c r="H792" s="70"/>
      <c r="I792" s="70"/>
      <c r="J792" s="70"/>
      <c r="K792" s="72"/>
      <c r="L792" s="72">
        <f>L741*(L646*F699+L647*G699)</f>
        <v>0</v>
      </c>
      <c r="M792" s="72">
        <f>M741*(M646*F699+M647*G699)</f>
        <v>0</v>
      </c>
      <c r="N792" s="72">
        <f>N741*(N646*F699+N647*G699)</f>
        <v>0</v>
      </c>
      <c r="O792" s="72">
        <f>O741*(O646*F699+O647*G699)</f>
        <v>0</v>
      </c>
      <c r="P792" s="72">
        <f>P741*(P646*F699+P647*G699)</f>
        <v>0</v>
      </c>
      <c r="Q792" s="72">
        <f>Q741*(Q646*F699+Q647*G699)</f>
        <v>1.0241038655999999</v>
      </c>
      <c r="R792" s="72">
        <f>R741*(R646*F699+R647*G699)</f>
        <v>2.1383288713728001</v>
      </c>
      <c r="S792" s="72">
        <f>S741*(S646*F699+S647*G699)</f>
        <v>3.3486230125698047</v>
      </c>
      <c r="T792" s="72">
        <f>T741*(T646*F699+T647*G699)</f>
        <v>4.6612832334971683</v>
      </c>
      <c r="U792" s="72">
        <f>U741*(U646*F699+U647*G699)</f>
        <v>6.0829746197138057</v>
      </c>
      <c r="V792" s="72">
        <f>V741*(V646*F699+V647*G699)</f>
        <v>7.6207506035774566</v>
      </c>
      <c r="W792" s="72">
        <f>W741*(W646*F699+W647*G699)</f>
        <v>9.2820742351573404</v>
      </c>
      <c r="X792" s="72">
        <f>X741*(X646*F699+X647*G699)</f>
        <v>11.07484057314773</v>
      </c>
      <c r="Y792" s="72">
        <f>Y741*(Y646*F699+Y647*G699)</f>
        <v>13.007400253162009</v>
      </c>
      <c r="Z792" s="72">
        <f>Z741*(Z646*F699+Z647*G699)</f>
        <v>15.088584293667932</v>
      </c>
      <c r="AA792" s="72">
        <f>AA741*(AA646*F699+AA647*G699)</f>
        <v>17.327730202848251</v>
      </c>
      <c r="AB792" s="72">
        <f>AB741*(AB646*F699+AB647*G699)</f>
        <v>19.734709452843898</v>
      </c>
      <c r="AC792" s="72">
        <f>AC741*(AC646*F699+AC647*G699)</f>
        <v>22.319956391166446</v>
      </c>
      <c r="AD792" s="72">
        <f>AD741*(AD646*F699+AD647*G699)</f>
        <v>25.094498662560675</v>
      </c>
      <c r="AE792" s="72">
        <f>AE741*(AE646*F699+AE647*G699)</f>
        <v>28.069989218264308</v>
      </c>
      <c r="AF792" s="70"/>
      <c r="AG792" s="70"/>
      <c r="AH792" s="70"/>
      <c r="AI792" s="70"/>
    </row>
    <row r="793" spans="1:35" x14ac:dyDescent="0.45">
      <c r="A793" s="70"/>
      <c r="B793" s="75"/>
      <c r="C793" s="75"/>
      <c r="D793" s="75" t="s">
        <v>1363</v>
      </c>
      <c r="E793" s="70"/>
      <c r="F793" s="70"/>
      <c r="G793" s="70"/>
      <c r="H793" s="70"/>
      <c r="I793" s="70"/>
      <c r="J793" s="70"/>
      <c r="K793" s="72"/>
      <c r="L793" s="72">
        <f>L742*(L646*F700+L647*G700)</f>
        <v>0</v>
      </c>
      <c r="M793" s="72">
        <f>M742*(M646*F700+M647*G700)</f>
        <v>0</v>
      </c>
      <c r="N793" s="72">
        <f>N742*(N646*F700+N647*G700)</f>
        <v>0</v>
      </c>
      <c r="O793" s="72">
        <f>O742*(O646*F700+O647*G700)</f>
        <v>0</v>
      </c>
      <c r="P793" s="72">
        <f>P742*(P646*F700+P647*G700)</f>
        <v>0</v>
      </c>
      <c r="Q793" s="72">
        <f>Q742*(Q646*F700+Q647*G700)</f>
        <v>0</v>
      </c>
      <c r="R793" s="72">
        <f>R742*(R646*F700+R647*G700)</f>
        <v>0</v>
      </c>
      <c r="S793" s="72">
        <f>S742*(S646*F700+S647*G700)</f>
        <v>0</v>
      </c>
      <c r="T793" s="72">
        <f>T742*(T646*F700+T647*G700)</f>
        <v>0</v>
      </c>
      <c r="U793" s="72">
        <f>U742*(U646*F700+U647*G700)</f>
        <v>0</v>
      </c>
      <c r="V793" s="72">
        <f>V742*(V646*F700+V647*G700)</f>
        <v>0</v>
      </c>
      <c r="W793" s="72">
        <f>W742*(W646*F700+W647*G700)</f>
        <v>0</v>
      </c>
      <c r="X793" s="72">
        <f>X742*(X646*F700+X647*G700)</f>
        <v>0</v>
      </c>
      <c r="Y793" s="72">
        <f>Y742*(Y646*F700+Y647*G700)</f>
        <v>0</v>
      </c>
      <c r="Z793" s="72">
        <f>Z742*(Z646*F700+Z647*G700)</f>
        <v>0</v>
      </c>
      <c r="AA793" s="72">
        <f>AA742*(AA646*F700+AA647*G700)</f>
        <v>0</v>
      </c>
      <c r="AB793" s="72">
        <f>AB742*(AB646*F700+AB647*G700)</f>
        <v>0</v>
      </c>
      <c r="AC793" s="72">
        <f>AC742*(AC646*F700+AC647*G700)</f>
        <v>0</v>
      </c>
      <c r="AD793" s="72">
        <f>AD742*(AD646*F700+AD647*G700)</f>
        <v>0</v>
      </c>
      <c r="AE793" s="72">
        <f>AE742*(AE646*F700+AE647*G700)</f>
        <v>0</v>
      </c>
      <c r="AF793" s="70"/>
      <c r="AG793" s="70"/>
      <c r="AH793" s="70"/>
      <c r="AI793" s="70"/>
    </row>
    <row r="794" spans="1:35" x14ac:dyDescent="0.45">
      <c r="A794" s="70"/>
      <c r="B794" s="75"/>
      <c r="C794" s="75"/>
      <c r="D794" s="75" t="s">
        <v>1369</v>
      </c>
      <c r="E794" s="70"/>
      <c r="F794" s="70"/>
      <c r="G794" s="70"/>
      <c r="H794" s="70"/>
      <c r="I794" s="70"/>
      <c r="J794" s="70"/>
      <c r="K794" s="72"/>
      <c r="L794" s="72">
        <f>L743*(L646*F701+L647*G701)</f>
        <v>0</v>
      </c>
      <c r="M794" s="72">
        <f>M743*(M646*F701+M647*G701)</f>
        <v>0</v>
      </c>
      <c r="N794" s="72">
        <f>N743*(N646*F701+N647*G701)</f>
        <v>0</v>
      </c>
      <c r="O794" s="72">
        <f>O743*(O646*F701+O647*G701)</f>
        <v>0</v>
      </c>
      <c r="P794" s="72">
        <f>P743*(P646*F701+P647*G701)</f>
        <v>0</v>
      </c>
      <c r="Q794" s="72">
        <f>Q743*(Q646*F701+Q647*G701)</f>
        <v>362.38209053874988</v>
      </c>
      <c r="R794" s="72">
        <f>R743*(R646*F701+R647*G701)</f>
        <v>748.68139905305725</v>
      </c>
      <c r="S794" s="72">
        <f>S743*(S646*F701+S647*G701)</f>
        <v>1160.0818278327122</v>
      </c>
      <c r="T794" s="72">
        <f>T743*(T646*F701+T647*G701)</f>
        <v>1597.8193708682556</v>
      </c>
      <c r="U794" s="72">
        <f>U743*(U646*F701+U647*G701)</f>
        <v>2063.1842626336347</v>
      </c>
      <c r="V794" s="72">
        <f>V743*(V646*F701+V647*G701)</f>
        <v>2557.523211960653</v>
      </c>
      <c r="W794" s="72">
        <f>W743*(W646*F701+W647*G701)</f>
        <v>3082.2417242812476</v>
      </c>
      <c r="X794" s="72">
        <f>X743*(X646*F701+X647*G701)</f>
        <v>3638.8065156371745</v>
      </c>
      <c r="Y794" s="72">
        <f>Y743*(Y646*F701+Y647*G701)</f>
        <v>4228.7480219848512</v>
      </c>
      <c r="Z794" s="72">
        <f>Z743*(Z646*F701+Z647*G701)</f>
        <v>4853.6630074559462</v>
      </c>
      <c r="AA794" s="72">
        <f>AA743*(AA646*F701+AA647*G701)</f>
        <v>5515.2172753721907</v>
      </c>
      <c r="AB794" s="72">
        <f>AB743*(AB646*F701+AB647*G701)</f>
        <v>6215.1484859557886</v>
      </c>
      <c r="AC794" s="72">
        <f>AC743*(AC646*F701+AC647*G701)</f>
        <v>6955.2690848250222</v>
      </c>
      <c r="AD794" s="72">
        <f>AD743*(AD646*F701+AD647*G701)</f>
        <v>7737.4693465184209</v>
      </c>
      <c r="AE794" s="72">
        <f>AE743*(AE646*F701+AE647*G701)</f>
        <v>8563.72053745021</v>
      </c>
      <c r="AF794" s="70"/>
      <c r="AG794" s="70"/>
      <c r="AH794" s="70"/>
      <c r="AI794" s="70"/>
    </row>
    <row r="795" spans="1:35" x14ac:dyDescent="0.45">
      <c r="A795" s="70"/>
      <c r="B795" s="75"/>
      <c r="C795" s="75"/>
      <c r="D795" s="75" t="s">
        <v>1443</v>
      </c>
      <c r="E795" s="70"/>
      <c r="F795" s="70"/>
      <c r="G795" s="70"/>
      <c r="H795" s="70"/>
      <c r="I795" s="70"/>
      <c r="J795" s="70"/>
      <c r="K795" s="72"/>
      <c r="L795" s="72">
        <f>L744*(L646*F702+L647*G702)</f>
        <v>0</v>
      </c>
      <c r="M795" s="72">
        <f>M744*(M646*F702+M647*G702)</f>
        <v>0</v>
      </c>
      <c r="N795" s="72">
        <f>N744*(N646*F702+N647*G702)</f>
        <v>0</v>
      </c>
      <c r="O795" s="72">
        <f>O744*(O646*F702+O647*G702)</f>
        <v>0</v>
      </c>
      <c r="P795" s="72">
        <f>P744*(P646*F702+P647*G702)</f>
        <v>0</v>
      </c>
      <c r="Q795" s="72">
        <f>Q744*(Q646*F702+Q647*G702)</f>
        <v>0</v>
      </c>
      <c r="R795" s="72">
        <f>R744*(R646*F702+R647*G702)</f>
        <v>0</v>
      </c>
      <c r="S795" s="72">
        <f>S744*(S646*F702+S647*G702)</f>
        <v>0</v>
      </c>
      <c r="T795" s="72">
        <f>T744*(T646*F702+T647*G702)</f>
        <v>0</v>
      </c>
      <c r="U795" s="72">
        <f>U744*(U646*F702+U647*G702)</f>
        <v>0</v>
      </c>
      <c r="V795" s="72">
        <f>V744*(V646*F702+V647*G702)</f>
        <v>0</v>
      </c>
      <c r="W795" s="72">
        <f>W744*(W646*F702+W647*G702)</f>
        <v>0</v>
      </c>
      <c r="X795" s="72">
        <f>X744*(X646*F702+X647*G702)</f>
        <v>0</v>
      </c>
      <c r="Y795" s="72">
        <f>Y744*(Y646*F702+Y647*G702)</f>
        <v>0</v>
      </c>
      <c r="Z795" s="72">
        <f>Z744*(Z646*F702+Z647*G702)</f>
        <v>0</v>
      </c>
      <c r="AA795" s="72">
        <f>AA744*(AA646*F702+AA647*G702)</f>
        <v>0</v>
      </c>
      <c r="AB795" s="72">
        <f>AB744*(AB646*F702+AB647*G702)</f>
        <v>0</v>
      </c>
      <c r="AC795" s="72">
        <f>AC744*(AC646*F702+AC647*G702)</f>
        <v>0</v>
      </c>
      <c r="AD795" s="72">
        <f>AD744*(AD646*F702+AD647*G702)</f>
        <v>0</v>
      </c>
      <c r="AE795" s="72">
        <f>AE744*(AE646*F702+AE647*G702)</f>
        <v>0</v>
      </c>
      <c r="AF795" s="70"/>
      <c r="AG795" s="70"/>
      <c r="AH795" s="70"/>
      <c r="AI795" s="70"/>
    </row>
    <row r="796" spans="1:35" x14ac:dyDescent="0.45">
      <c r="A796" s="70"/>
      <c r="B796" s="75"/>
      <c r="C796" s="75"/>
      <c r="D796" s="75" t="s">
        <v>1383</v>
      </c>
      <c r="E796" s="70"/>
      <c r="F796" s="70"/>
      <c r="G796" s="70"/>
      <c r="H796" s="70"/>
      <c r="I796" s="70"/>
      <c r="J796" s="70"/>
      <c r="K796" s="72"/>
      <c r="L796" s="72">
        <f>L745*(L646*F703+L647*G703)</f>
        <v>0</v>
      </c>
      <c r="M796" s="72">
        <f>M745*(M646*F703+M647*G703)</f>
        <v>0</v>
      </c>
      <c r="N796" s="72">
        <f>N745*(N646*F703+N647*G703)</f>
        <v>0</v>
      </c>
      <c r="O796" s="72">
        <f>O745*(O646*F703+O647*G703)</f>
        <v>0</v>
      </c>
      <c r="P796" s="72">
        <f>P745*(P646*F703+P647*G703)</f>
        <v>0</v>
      </c>
      <c r="Q796" s="72">
        <f>Q745*(Q646*F703+Q647*G703)</f>
        <v>0</v>
      </c>
      <c r="R796" s="72">
        <f>R745*(R646*F703+R647*G703)</f>
        <v>0</v>
      </c>
      <c r="S796" s="72">
        <f>S745*(S646*F703+S647*G703)</f>
        <v>0</v>
      </c>
      <c r="T796" s="72">
        <f>T745*(T646*F703+T647*G703)</f>
        <v>0</v>
      </c>
      <c r="U796" s="72">
        <f>U745*(U646*F703+U647*G703)</f>
        <v>0</v>
      </c>
      <c r="V796" s="72">
        <f>V745*(V646*F703+V647*G703)</f>
        <v>0</v>
      </c>
      <c r="W796" s="72">
        <f>W745*(W646*F703+W647*G703)</f>
        <v>0</v>
      </c>
      <c r="X796" s="72">
        <f>X745*(X646*F703+X647*G703)</f>
        <v>0</v>
      </c>
      <c r="Y796" s="72">
        <f>Y745*(Y646*F703+Y647*G703)</f>
        <v>0</v>
      </c>
      <c r="Z796" s="72">
        <f>Z745*(Z646*F703+Z647*G703)</f>
        <v>0</v>
      </c>
      <c r="AA796" s="72">
        <f>AA745*(AA646*F703+AA647*G703)</f>
        <v>0</v>
      </c>
      <c r="AB796" s="72">
        <f>AB745*(AB646*F703+AB647*G703)</f>
        <v>0</v>
      </c>
      <c r="AC796" s="72">
        <f>AC745*(AC646*F703+AC647*G703)</f>
        <v>0</v>
      </c>
      <c r="AD796" s="72">
        <f>AD745*(AD646*F703+AD647*G703)</f>
        <v>0</v>
      </c>
      <c r="AE796" s="72">
        <f>AE745*(AE646*F703+AE647*G703)</f>
        <v>0</v>
      </c>
      <c r="AF796" s="70"/>
      <c r="AG796" s="70"/>
      <c r="AH796" s="70"/>
      <c r="AI796" s="70"/>
    </row>
    <row r="797" spans="1:35" x14ac:dyDescent="0.45">
      <c r="A797" s="70"/>
      <c r="B797" s="75"/>
      <c r="C797" s="75"/>
      <c r="D797" s="75" t="s">
        <v>1390</v>
      </c>
      <c r="E797" s="70"/>
      <c r="F797" s="70"/>
      <c r="G797" s="70"/>
      <c r="H797" s="70"/>
      <c r="I797" s="70"/>
      <c r="J797" s="70"/>
      <c r="K797" s="72"/>
      <c r="L797" s="72">
        <f>L746*(L646*F704+L647*G704)</f>
        <v>0</v>
      </c>
      <c r="M797" s="72">
        <f>M746*(M646*F704+M647*G704)</f>
        <v>0</v>
      </c>
      <c r="N797" s="72">
        <f>N746*(N646*F704+N647*G704)</f>
        <v>0</v>
      </c>
      <c r="O797" s="72">
        <f>O746*(O646*F704+O647*G704)</f>
        <v>0</v>
      </c>
      <c r="P797" s="72">
        <f>P746*(P646*F704+P647*G704)</f>
        <v>0</v>
      </c>
      <c r="Q797" s="72">
        <f>Q746*(Q646*F704+Q647*G704)</f>
        <v>7.7657907641999993</v>
      </c>
      <c r="R797" s="72">
        <f>R746*(R646*F704+R647*G704)</f>
        <v>15.873276322024799</v>
      </c>
      <c r="S797" s="72">
        <f>S746*(S646*F704+S647*G704)</f>
        <v>24.333732601664018</v>
      </c>
      <c r="T797" s="72">
        <f>T746*(T646*F704+T647*G704)</f>
        <v>33.158766291867501</v>
      </c>
      <c r="U797" s="72">
        <f>U746*(U646*F704+U647*G704)</f>
        <v>42.360323937860741</v>
      </c>
      <c r="V797" s="72">
        <f>V746*(V646*F704+V647*G704)</f>
        <v>51.950701277392412</v>
      </c>
      <c r="W797" s="72">
        <f>W746*(W646*F704+W647*G704)</f>
        <v>61.942552823077548</v>
      </c>
      <c r="X797" s="72">
        <f>X746*(X646*F704+X647*G704)</f>
        <v>72.348901697354577</v>
      </c>
      <c r="Y797" s="72">
        <f>Y746*(Y646*F704+Y647*G704)</f>
        <v>83.183149726533415</v>
      </c>
      <c r="Z797" s="72">
        <f>Z746*(Z646*F704+Z647*G704)</f>
        <v>94.459087800574636</v>
      </c>
      <c r="AA797" s="72">
        <f>AA746*(AA646*F704+AA647*G704)</f>
        <v>106.19090650540601</v>
      </c>
      <c r="AB797" s="72">
        <f>AB746*(AB646*F704+AB647*G704)</f>
        <v>118.39320703475448</v>
      </c>
      <c r="AC797" s="72">
        <f>AC746*(AC646*F704+AC647*G704)</f>
        <v>131.08101238864566</v>
      </c>
      <c r="AD797" s="72">
        <f>AD746*(AD646*F704+AD647*G704)</f>
        <v>144.26977886590325</v>
      </c>
      <c r="AE797" s="72">
        <f>AE746*(AE646*F704+AE647*G704)</f>
        <v>157.97540785816406</v>
      </c>
      <c r="AF797" s="70"/>
      <c r="AG797" s="70"/>
      <c r="AH797" s="70"/>
      <c r="AI797" s="70"/>
    </row>
    <row r="798" spans="1:35" x14ac:dyDescent="0.45">
      <c r="A798" s="70"/>
      <c r="B798" s="75"/>
      <c r="C798" s="75"/>
      <c r="D798" s="75" t="s">
        <v>1397</v>
      </c>
      <c r="E798" s="84"/>
      <c r="F798" s="85"/>
      <c r="G798" s="70"/>
      <c r="H798" s="70"/>
      <c r="I798" s="70"/>
      <c r="J798" s="70"/>
      <c r="K798" s="72"/>
      <c r="L798" s="72">
        <f>L747*(L646*F705+L647*G705)</f>
        <v>0</v>
      </c>
      <c r="M798" s="72">
        <f>M747*(M646*F705+M647*G705)</f>
        <v>0</v>
      </c>
      <c r="N798" s="72">
        <f>N747*(N646*F705+N647*G705)</f>
        <v>0</v>
      </c>
      <c r="O798" s="72">
        <f>O747*(O646*F705+O647*G705)</f>
        <v>0</v>
      </c>
      <c r="P798" s="72">
        <f>P747*(P646*F705+P647*G705)</f>
        <v>0</v>
      </c>
      <c r="Q798" s="72">
        <f>Q747*(Q646*F705+Q647*G705)</f>
        <v>10.3480021171875</v>
      </c>
      <c r="R798" s="72">
        <f>R747*(R646*F705+R647*G705)</f>
        <v>21.834284467265626</v>
      </c>
      <c r="S798" s="72">
        <f>S747*(S646*F705+S647*G705)</f>
        <v>34.552755169447849</v>
      </c>
      <c r="T798" s="72">
        <f>T747*(T646*F705+T647*G705)</f>
        <v>48.604208938356642</v>
      </c>
      <c r="U798" s="72">
        <f>U747*(U646*F705+U647*G705)</f>
        <v>64.09680053745781</v>
      </c>
      <c r="V798" s="72">
        <f>V747*(V646*F705+V647*G705)</f>
        <v>81.146549480421598</v>
      </c>
      <c r="W798" s="72">
        <f>W747*(W646*F705+W647*G705)</f>
        <v>99.877877985485583</v>
      </c>
      <c r="X798" s="72">
        <f>X747*(X646*F705+X647*G705)</f>
        <v>120.42418431392832</v>
      </c>
      <c r="Y798" s="72">
        <f>Y747*(Y646*F705+Y647*G705)</f>
        <v>142.92845375759364</v>
      </c>
      <c r="Z798" s="72">
        <f>Z747*(Z646*F705+Z647*G705)</f>
        <v>167.54390968251255</v>
      </c>
      <c r="AA798" s="72">
        <f>AA747*(AA646*F705+AA647*G705)</f>
        <v>194.43470718655587</v>
      </c>
      <c r="AB798" s="72">
        <f>AB747*(AB646*F705+AB647*G705)</f>
        <v>223.77667208925422</v>
      </c>
      <c r="AC798" s="72">
        <f>AC747*(AC646*F705+AC647*G705)</f>
        <v>255.75808814201011</v>
      </c>
      <c r="AD798" s="72">
        <f>AD747*(AD646*F705+AD647*G705)</f>
        <v>290.58053552749919</v>
      </c>
      <c r="AE798" s="72">
        <f>AE747*(AE646*F705+AE647*G705)</f>
        <v>328.4597839087624</v>
      </c>
      <c r="AF798" s="70"/>
      <c r="AG798" s="70"/>
      <c r="AH798" s="70"/>
      <c r="AI798" s="70"/>
    </row>
    <row r="799" spans="1:35" x14ac:dyDescent="0.45">
      <c r="A799" s="70"/>
      <c r="B799" s="75"/>
      <c r="C799" s="75"/>
      <c r="D799" s="75" t="s">
        <v>1502</v>
      </c>
      <c r="E799" s="70"/>
      <c r="F799" s="70"/>
      <c r="G799" s="70" t="s">
        <v>110</v>
      </c>
      <c r="H799" s="89" t="str">
        <f>Settings!$B$3&amp;".mit.rev.cbam."&amp;G799&amp;"."&amp;$J$404</f>
        <v>egy.mit.rev.cbam.tot.2</v>
      </c>
      <c r="I799" s="70"/>
      <c r="J799" s="70"/>
      <c r="K799" s="72"/>
      <c r="L799" s="72">
        <f>SUM(L791:L798)</f>
        <v>0</v>
      </c>
      <c r="M799" s="72">
        <f>SUM(M791:M798)</f>
        <v>0</v>
      </c>
      <c r="N799" s="72">
        <f>SUM(N791:N798)</f>
        <v>0</v>
      </c>
      <c r="O799" s="72">
        <f>SUM(O791:O798)</f>
        <v>0</v>
      </c>
      <c r="P799" s="72">
        <f>SUM(P791:P798)</f>
        <v>0</v>
      </c>
      <c r="Q799" s="72">
        <f>SUM(Q791:Q798)</f>
        <v>384.42161490493737</v>
      </c>
      <c r="R799" s="72">
        <f>SUM(R791:R798)</f>
        <v>794.58588718261012</v>
      </c>
      <c r="S799" s="72">
        <f>SUM(S791:S798)</f>
        <v>1231.8047038186751</v>
      </c>
      <c r="T799" s="72">
        <f>SUM(T791:T798)</f>
        <v>1697.4505984935522</v>
      </c>
      <c r="U799" s="72">
        <f>SUM(U791:U798)</f>
        <v>2192.9594564845229</v>
      </c>
      <c r="V799" s="72">
        <f>SUM(V791:V798)</f>
        <v>2719.8333400321808</v>
      </c>
      <c r="W799" s="72">
        <f>SUM(W791:W798)</f>
        <v>3279.6434396579139</v>
      </c>
      <c r="X799" s="72">
        <f>SUM(X791:X798)</f>
        <v>3874.033157178857</v>
      </c>
      <c r="Y799" s="72">
        <f>SUM(Y791:Y798)</f>
        <v>4504.7213264394322</v>
      </c>
      <c r="Z799" s="72">
        <f>SUM(Z791:Z798)</f>
        <v>5173.5055780647599</v>
      </c>
      <c r="AA799" s="72">
        <f>SUM(AA791:AA798)</f>
        <v>5882.2658548417376</v>
      </c>
      <c r="AB799" s="72">
        <f>SUM(AB791:AB798)</f>
        <v>6632.9680846490319</v>
      </c>
      <c r="AC799" s="72">
        <f>SUM(AC791:AC798)</f>
        <v>7427.6680181884831</v>
      </c>
      <c r="AD799" s="72">
        <f>SUM(AD791:AD798)</f>
        <v>8268.5152391183055</v>
      </c>
      <c r="AE799" s="72">
        <f>SUM(AE791:AE798)</f>
        <v>9157.7573545538162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7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4" sqref="A124:XFD127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939</v>
      </c>
      <c r="H64" s="5">
        <v>8845</v>
      </c>
      <c r="I64" s="28" t="s">
        <v>1023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1.25</v>
      </c>
      <c r="R64" s="18">
        <v>2.5</v>
      </c>
      <c r="S64" s="18">
        <v>3.75</v>
      </c>
      <c r="T64" s="18">
        <v>5</v>
      </c>
      <c r="U64" s="18">
        <v>6.25</v>
      </c>
      <c r="V64" s="18">
        <v>7.5</v>
      </c>
      <c r="W64" s="18">
        <v>8.75</v>
      </c>
      <c r="X64" s="18">
        <v>10</v>
      </c>
      <c r="Y64" s="18">
        <v>11.25</v>
      </c>
      <c r="Z64" s="18">
        <v>12.5</v>
      </c>
      <c r="AA64" s="18">
        <v>13.75</v>
      </c>
      <c r="AB64" s="18">
        <v>15</v>
      </c>
      <c r="AC64" s="18">
        <v>16.25</v>
      </c>
      <c r="AD64" s="18">
        <v>17.5</v>
      </c>
      <c r="AE64" s="18"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939</v>
      </c>
      <c r="H66" s="5">
        <v>8914</v>
      </c>
      <c r="I66" s="28" t="s">
        <v>1025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0.69750000000000001</v>
      </c>
      <c r="R66" s="18">
        <v>1.395</v>
      </c>
      <c r="S66" s="18">
        <v>2.0924999999999998</v>
      </c>
      <c r="T66" s="18">
        <v>2.79</v>
      </c>
      <c r="U66" s="18">
        <v>3.4874999999999998</v>
      </c>
      <c r="V66" s="18">
        <v>4.1849999999999996</v>
      </c>
      <c r="W66" s="18">
        <v>4.8825000000000003</v>
      </c>
      <c r="X66" s="18">
        <v>5.58</v>
      </c>
      <c r="Y66" s="18">
        <v>6.2774999999999999</v>
      </c>
      <c r="Z66" s="18">
        <v>6.9749999999999996</v>
      </c>
      <c r="AA66" s="18">
        <v>7.6725000000000003</v>
      </c>
      <c r="AB66" s="18">
        <v>8.3699999999999992</v>
      </c>
      <c r="AC66" s="18">
        <v>9.0675000000000008</v>
      </c>
      <c r="AD66" s="18">
        <v>9.7650000000000006</v>
      </c>
      <c r="AE66" s="18"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939</v>
      </c>
      <c r="H68" s="5">
        <v>8937</v>
      </c>
      <c r="I68" s="28" t="s">
        <v>1029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2.89278431715E-2</v>
      </c>
      <c r="R68" s="18">
        <v>5.7855686343E-2</v>
      </c>
      <c r="S68" s="18">
        <v>8.6783529514499996E-2</v>
      </c>
      <c r="T68" s="18">
        <v>0.115711372686</v>
      </c>
      <c r="U68" s="18">
        <v>0.1446392158575</v>
      </c>
      <c r="V68" s="18">
        <v>0.17356705902899999</v>
      </c>
      <c r="W68" s="18">
        <v>0.20249490220050001</v>
      </c>
      <c r="X68" s="18">
        <v>0.231422745372</v>
      </c>
      <c r="Y68" s="18">
        <v>0.26035058854350002</v>
      </c>
      <c r="Z68" s="18">
        <v>0.28927843171500001</v>
      </c>
      <c r="AA68" s="18">
        <v>0.3182062748865</v>
      </c>
      <c r="AB68" s="18">
        <v>0.34713411805799999</v>
      </c>
      <c r="AC68" s="18">
        <v>0.37606196122949997</v>
      </c>
      <c r="AD68" s="18">
        <v>0.40498980440100002</v>
      </c>
      <c r="AE68" s="18">
        <v>0.43391764757250001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939</v>
      </c>
      <c r="H70" s="5">
        <v>8960</v>
      </c>
      <c r="I70" s="28" t="s">
        <v>1033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3.3010438858875002E-2</v>
      </c>
      <c r="R70" s="18">
        <v>6.6020877717750004E-2</v>
      </c>
      <c r="S70" s="18">
        <v>9.9031316576625006E-2</v>
      </c>
      <c r="T70" s="18">
        <v>0.13204175543550001</v>
      </c>
      <c r="U70" s="18">
        <v>0.16505219429437501</v>
      </c>
      <c r="V70" s="18">
        <v>0.19806263315325001</v>
      </c>
      <c r="W70" s="18">
        <v>0.23107307201212501</v>
      </c>
      <c r="X70" s="18">
        <v>0.26408351087100002</v>
      </c>
      <c r="Y70" s="18">
        <v>0.29709394972987502</v>
      </c>
      <c r="Z70" s="18">
        <v>0.33010438858875002</v>
      </c>
      <c r="AA70" s="18">
        <v>0.36311482744762502</v>
      </c>
      <c r="AB70" s="18">
        <v>0.39612526630650002</v>
      </c>
      <c r="AC70" s="18">
        <v>0.42913570516537503</v>
      </c>
      <c r="AD70" s="18">
        <v>0.46214614402425003</v>
      </c>
      <c r="AE70" s="18"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939</v>
      </c>
      <c r="H72" s="5">
        <v>8983</v>
      </c>
      <c r="I72" s="28" t="s">
        <v>1037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2.2106082927295701E-2</v>
      </c>
      <c r="R72" s="18">
        <v>4.4212165854591402E-2</v>
      </c>
      <c r="S72" s="18">
        <v>6.6318248781887107E-2</v>
      </c>
      <c r="T72" s="18">
        <v>8.8424331709182805E-2</v>
      </c>
      <c r="U72" s="18">
        <v>0.110530414636479</v>
      </c>
      <c r="V72" s="18">
        <v>0.13263649756377399</v>
      </c>
      <c r="W72" s="18">
        <v>0.15474258049107001</v>
      </c>
      <c r="X72" s="18">
        <v>0.176848663418366</v>
      </c>
      <c r="Y72" s="18">
        <v>0.19895474634566099</v>
      </c>
      <c r="Z72" s="18">
        <v>0.221060829272957</v>
      </c>
      <c r="AA72" s="18">
        <v>0.24316691220025299</v>
      </c>
      <c r="AB72" s="18">
        <v>0.26527299512754798</v>
      </c>
      <c r="AC72" s="18">
        <v>0.28737907805484397</v>
      </c>
      <c r="AD72" s="18">
        <v>0.30948516098214002</v>
      </c>
      <c r="AE72" s="18"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939</v>
      </c>
      <c r="H74" s="5">
        <v>9006</v>
      </c>
      <c r="I74" s="28" t="s">
        <v>1041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3.1988830110108502E-2</v>
      </c>
      <c r="R74" s="18">
        <v>6.3977660220217003E-2</v>
      </c>
      <c r="S74" s="18">
        <v>9.5966490330325505E-2</v>
      </c>
      <c r="T74" s="18">
        <v>0.12795532044043401</v>
      </c>
      <c r="U74" s="18">
        <v>0.15994415055054301</v>
      </c>
      <c r="V74" s="18">
        <v>0.19193298066065101</v>
      </c>
      <c r="W74" s="18">
        <v>0.22392181077076001</v>
      </c>
      <c r="X74" s="18">
        <v>0.25591064088086801</v>
      </c>
      <c r="Y74" s="18">
        <v>0.28789947099097701</v>
      </c>
      <c r="Z74" s="18">
        <v>0.31988830110108502</v>
      </c>
      <c r="AA74" s="18">
        <v>0.35187713121119302</v>
      </c>
      <c r="AB74" s="18">
        <v>0.38386596132130202</v>
      </c>
      <c r="AC74" s="18">
        <v>0.41585479143141002</v>
      </c>
      <c r="AD74" s="18">
        <v>0.44784362154151902</v>
      </c>
      <c r="AE74" s="18">
        <v>0.47983245165162702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939</v>
      </c>
      <c r="H76" s="5">
        <v>9029</v>
      </c>
      <c r="I76" s="28" t="s">
        <v>1045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5.8675499999999996</v>
      </c>
      <c r="R76" s="18">
        <v>11.735099999999999</v>
      </c>
      <c r="S76" s="18">
        <v>17.602650000000001</v>
      </c>
      <c r="T76" s="18">
        <v>23.470199999999998</v>
      </c>
      <c r="U76" s="18">
        <v>29.33775</v>
      </c>
      <c r="V76" s="18">
        <v>35.205300000000001</v>
      </c>
      <c r="W76" s="18">
        <v>41.072850000000003</v>
      </c>
      <c r="X76" s="18">
        <v>46.940399999999997</v>
      </c>
      <c r="Y76" s="18">
        <v>52.807949999999998</v>
      </c>
      <c r="Z76" s="18">
        <v>58.6755</v>
      </c>
      <c r="AA76" s="18">
        <v>64.543049999999994</v>
      </c>
      <c r="AB76" s="18">
        <v>70.410600000000002</v>
      </c>
      <c r="AC76" s="18">
        <v>76.278149999999997</v>
      </c>
      <c r="AD76" s="18">
        <v>82.145700000000005</v>
      </c>
      <c r="AE76" s="18"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939</v>
      </c>
      <c r="H78" s="5">
        <v>9052</v>
      </c>
      <c r="I78" s="28" t="s">
        <v>1049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939</v>
      </c>
      <c r="H80" s="5">
        <v>9141</v>
      </c>
      <c r="I80" s="28" t="s">
        <v>1053</v>
      </c>
      <c r="K80" s="18"/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1413</v>
      </c>
      <c r="B124" s="5" t="s">
        <v>77</v>
      </c>
      <c r="C124" s="5" t="s">
        <v>1414</v>
      </c>
      <c r="D124" s="5" t="s">
        <v>1415</v>
      </c>
      <c r="E124" s="5">
        <v>1</v>
      </c>
      <c r="F124" s="5" t="s">
        <v>1416</v>
      </c>
      <c r="G124" s="5" t="s">
        <v>1417</v>
      </c>
      <c r="H124" s="5">
        <v>2251</v>
      </c>
      <c r="I124" s="28" t="s">
        <v>1413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1418</v>
      </c>
      <c r="B125" s="5" t="s">
        <v>77</v>
      </c>
      <c r="C125" s="5" t="s">
        <v>1414</v>
      </c>
      <c r="D125" s="5" t="s">
        <v>1419</v>
      </c>
      <c r="E125" s="5">
        <v>1</v>
      </c>
      <c r="F125" s="5" t="s">
        <v>1416</v>
      </c>
      <c r="G125" s="5" t="s">
        <v>1420</v>
      </c>
      <c r="H125" s="5">
        <v>2252</v>
      </c>
      <c r="I125" s="28" t="s">
        <v>1418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1421</v>
      </c>
      <c r="B126" s="5" t="s">
        <v>77</v>
      </c>
      <c r="C126" s="5" t="s">
        <v>1414</v>
      </c>
      <c r="D126" s="5" t="s">
        <v>1415</v>
      </c>
      <c r="E126" s="5">
        <v>2</v>
      </c>
      <c r="F126" s="5" t="s">
        <v>1416</v>
      </c>
      <c r="G126" s="5" t="s">
        <v>1417</v>
      </c>
      <c r="H126" s="5">
        <v>8582</v>
      </c>
      <c r="I126" s="28" t="s">
        <v>1421</v>
      </c>
      <c r="K126" s="19"/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12.5</v>
      </c>
      <c r="R126" s="19">
        <v>25</v>
      </c>
      <c r="S126" s="19">
        <v>37.5</v>
      </c>
      <c r="T126" s="19">
        <v>50</v>
      </c>
      <c r="U126" s="19">
        <v>62.5</v>
      </c>
      <c r="V126" s="19">
        <v>75</v>
      </c>
      <c r="W126" s="19">
        <v>87.5</v>
      </c>
      <c r="X126" s="19">
        <v>100</v>
      </c>
      <c r="Y126" s="19">
        <v>112.5</v>
      </c>
      <c r="Z126" s="19">
        <v>125</v>
      </c>
      <c r="AA126" s="19">
        <v>137.5</v>
      </c>
      <c r="AB126" s="19">
        <v>150</v>
      </c>
      <c r="AC126" s="19">
        <v>162.5</v>
      </c>
      <c r="AD126" s="19">
        <v>175</v>
      </c>
      <c r="AE126" s="19">
        <v>187.5</v>
      </c>
    </row>
    <row r="127" spans="1:31" x14ac:dyDescent="0.45">
      <c r="A127" s="28" t="s">
        <v>1422</v>
      </c>
      <c r="B127" s="5" t="s">
        <v>77</v>
      </c>
      <c r="C127" s="5" t="s">
        <v>1414</v>
      </c>
      <c r="D127" s="5" t="s">
        <v>1419</v>
      </c>
      <c r="E127" s="5">
        <v>2</v>
      </c>
      <c r="F127" s="5" t="s">
        <v>1416</v>
      </c>
      <c r="G127" s="5" t="s">
        <v>1420</v>
      </c>
      <c r="H127" s="5">
        <v>8583</v>
      </c>
      <c r="I127" s="28" t="s">
        <v>1422</v>
      </c>
      <c r="K127" s="19"/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77"/>
  <sheetViews>
    <sheetView zoomScaleNormal="100" workbookViewId="0">
      <pane xSplit="5" ySplit="5" topLeftCell="F572" activePane="bottomRight" state="frozen"/>
      <selection pane="topRight" activeCell="F1" sqref="F1"/>
      <selection pane="bottomLeft" activeCell="A6" sqref="A6"/>
      <selection pane="bottomRight" activeCell="A586" sqref="A586:XFD586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1485.5462441642114</v>
      </c>
      <c r="U155" s="24">
        <f>INDEX(Mitigation_Industry!U:U,MATCH($A155,Mitigation_Industry!$H:$H,0))</f>
        <v>1450.0773513762756</v>
      </c>
      <c r="V155" s="24">
        <f>INDEX(Mitigation_Industry!V:V,MATCH($A155,Mitigation_Industry!$H:$H,0))</f>
        <v>1421.6889075958395</v>
      </c>
      <c r="W155" s="24">
        <f>INDEX(Mitigation_Industry!W:W,MATCH($A155,Mitigation_Industry!$H:$H,0))</f>
        <v>1399.5811578972728</v>
      </c>
      <c r="X155" s="24">
        <f>INDEX(Mitigation_Industry!X:X,MATCH($A155,Mitigation_Industry!$H:$H,0))</f>
        <v>1383.0540457815332</v>
      </c>
      <c r="Y155" s="24">
        <f>INDEX(Mitigation_Industry!Y:Y,MATCH($A155,Mitigation_Industry!$H:$H,0))</f>
        <v>1371.7254363432976</v>
      </c>
      <c r="Z155" s="24">
        <f>INDEX(Mitigation_Industry!Z:Z,MATCH($A155,Mitigation_Industry!$H:$H,0))</f>
        <v>1365.5951108489828</v>
      </c>
      <c r="AA155" s="24">
        <f>INDEX(Mitigation_Industry!AA:AA,MATCH($A155,Mitigation_Industry!$H:$H,0))</f>
        <v>1364.4341895239875</v>
      </c>
      <c r="AB155" s="24">
        <f>INDEX(Mitigation_Industry!AB:AB,MATCH($A155,Mitigation_Industry!$H:$H,0))</f>
        <v>1367.9863527047883</v>
      </c>
      <c r="AC155" s="24">
        <f>INDEX(Mitigation_Industry!AC:AC,MATCH($A155,Mitigation_Industry!$H:$H,0))</f>
        <v>1375.7703000424297</v>
      </c>
      <c r="AD155" s="24">
        <f>INDEX(Mitigation_Industry!AD:AD,MATCH($A155,Mitigation_Industry!$H:$H,0))</f>
        <v>1387.3865840128028</v>
      </c>
      <c r="AE155" s="24">
        <f>INDEX(Mitigation_Industry!AE:AE,MATCH($A155,Mitigation_Industry!$H:$H,0))</f>
        <v>1402.5434936424012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1.3642420526593924E-12</v>
      </c>
      <c r="U156" s="32">
        <f t="shared" si="37"/>
        <v>5.6843418860808015E-12</v>
      </c>
      <c r="V156" s="32">
        <f t="shared" si="37"/>
        <v>-4.5474735088646412E-13</v>
      </c>
      <c r="W156" s="32">
        <f t="shared" si="37"/>
        <v>2.7284841053187847E-12</v>
      </c>
      <c r="X156" s="32">
        <f t="shared" si="37"/>
        <v>3.1832314562052488E-12</v>
      </c>
      <c r="Y156" s="32">
        <f t="shared" si="37"/>
        <v>-2.5011104298755527E-12</v>
      </c>
      <c r="Z156" s="32">
        <f t="shared" si="37"/>
        <v>2.7284841053187847E-12</v>
      </c>
      <c r="AA156" s="32">
        <f t="shared" si="37"/>
        <v>-2.5011104298755527E-12</v>
      </c>
      <c r="AB156" s="32">
        <f t="shared" si="37"/>
        <v>-1.8189894035458565E-12</v>
      </c>
      <c r="AC156" s="32">
        <f t="shared" si="37"/>
        <v>-4.5474735088646412E-13</v>
      </c>
      <c r="AD156" s="32">
        <f t="shared" si="37"/>
        <v>2.7284841053187847E-12</v>
      </c>
      <c r="AE156" s="32">
        <f t="shared" si="37"/>
        <v>1.1368683772161603E-12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1555.2682553771394</v>
      </c>
      <c r="U191" s="24">
        <f>INDEX(Mitigation_Industry!U:U,MATCH($A191,Mitigation_Industry!$H:$H,0))</f>
        <v>1518.1346802877367</v>
      </c>
      <c r="V191" s="24">
        <f>INDEX(Mitigation_Industry!V:V,MATCH($A191,Mitigation_Industry!$H:$H,0))</f>
        <v>1488.4138650625523</v>
      </c>
      <c r="W191" s="24">
        <f>INDEX(Mitigation_Industry!W:W,MATCH($A191,Mitigation_Industry!$H:$H,0))</f>
        <v>1465.2685194100186</v>
      </c>
      <c r="X191" s="24">
        <f>INDEX(Mitigation_Industry!X:X,MATCH($A191,Mitigation_Industry!$H:$H,0))</f>
        <v>1447.9657306697532</v>
      </c>
      <c r="Y191" s="24">
        <f>INDEX(Mitigation_Industry!Y:Y,MATCH($A191,Mitigation_Industry!$H:$H,0))</f>
        <v>1436.1054289752967</v>
      </c>
      <c r="Z191" s="24">
        <f>INDEX(Mitigation_Industry!Z:Z,MATCH($A191,Mitigation_Industry!$H:$H,0))</f>
        <v>1429.6873853271161</v>
      </c>
      <c r="AA191" s="24">
        <f>INDEX(Mitigation_Industry!AA:AA,MATCH($A191,Mitigation_Industry!$H:$H,0))</f>
        <v>1428.4719778022084</v>
      </c>
      <c r="AB191" s="24">
        <f>INDEX(Mitigation_Industry!AB:AB,MATCH($A191,Mitigation_Industry!$H:$H,0))</f>
        <v>1432.1908567362852</v>
      </c>
      <c r="AC191" s="24">
        <f>INDEX(Mitigation_Industry!AC:AC,MATCH($A191,Mitigation_Industry!$H:$H,0))</f>
        <v>1440.3401326294581</v>
      </c>
      <c r="AD191" s="24">
        <f>INDEX(Mitigation_Industry!AD:AD,MATCH($A191,Mitigation_Industry!$H:$H,0))</f>
        <v>1452.5016104532147</v>
      </c>
      <c r="AE191" s="24">
        <f>INDEX(Mitigation_Industry!AE:AE,MATCH($A191,Mitigation_Industry!$H:$H,0))</f>
        <v>1468.3698881922207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5.4569682106375694E-12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-4.5474735088646412E-13</v>
      </c>
      <c r="U192" s="32">
        <f t="shared" si="46"/>
        <v>-3.1832314562052488E-12</v>
      </c>
      <c r="V192" s="32">
        <f t="shared" si="46"/>
        <v>2.2737367544323206E-12</v>
      </c>
      <c r="W192" s="32">
        <f t="shared" si="46"/>
        <v>-1.3642420526593924E-12</v>
      </c>
      <c r="X192" s="32">
        <f t="shared" si="46"/>
        <v>3.1832314562052488E-12</v>
      </c>
      <c r="Y192" s="32">
        <f t="shared" si="46"/>
        <v>-3.1832314562052488E-12</v>
      </c>
      <c r="Z192" s="32">
        <f t="shared" si="46"/>
        <v>-3.865352482534945E-12</v>
      </c>
      <c r="AA192" s="32">
        <f t="shared" si="46"/>
        <v>-1.5916157281026244E-12</v>
      </c>
      <c r="AB192" s="32">
        <f t="shared" si="46"/>
        <v>-4.7748471843078732E-12</v>
      </c>
      <c r="AC192" s="32">
        <f t="shared" si="46"/>
        <v>-1.8189894035458565E-12</v>
      </c>
      <c r="AD192" s="32">
        <f t="shared" si="46"/>
        <v>-5.4569682106375694E-12</v>
      </c>
      <c r="AE192" s="32">
        <f t="shared" si="46"/>
        <v>6.8212102632969618E-13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7.1746845864040694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8.5696845864040689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13.452184586404069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-8.8817841970012523E-16</v>
      </c>
      <c r="T444" s="32">
        <f t="shared" si="109"/>
        <v>0</v>
      </c>
      <c r="U444" s="32">
        <f t="shared" si="109"/>
        <v>-1.7763568394002505E-15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-3.0198066269804258E-14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0.77715015920690589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0.95071721823590594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1.0375007477504059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-1.1102230246251565E-16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-1.1102230246251565E-16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-3.9968028886505635E-15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0.17281516073434472</v>
      </c>
      <c r="R455" s="18">
        <f>INDEX(Mitigation_Industry!R:R,MATCH($A455,Mitigation_Industry!$H:$H,0))</f>
        <v>0.1949212436616404</v>
      </c>
      <c r="S455" s="18">
        <f>INDEX(Mitigation_Industry!S:S,MATCH($A455,Mitigation_Industry!$H:$H,0))</f>
        <v>0.21702732658893611</v>
      </c>
      <c r="T455" s="18">
        <f>INDEX(Mitigation_Industry!T:T,MATCH($A455,Mitigation_Industry!$H:$H,0))</f>
        <v>0.2391334095162318</v>
      </c>
      <c r="U455" s="18">
        <f>INDEX(Mitigation_Industry!U:U,MATCH($A455,Mitigation_Industry!$H:$H,0))</f>
        <v>0.26123949244352801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0.30545165829811904</v>
      </c>
      <c r="X455" s="18">
        <f>INDEX(Mitigation_Industry!X:X,MATCH($A455,Mitigation_Industry!$H:$H,0))</f>
        <v>0.32755774122541503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0.37176990708000601</v>
      </c>
      <c r="AA455" s="18">
        <f>INDEX(Mitigation_Industry!AA:AA,MATCH($A455,Mitigation_Industry!$H:$H,0))</f>
        <v>0.393875990007302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0.43808815586189298</v>
      </c>
      <c r="AD455" s="18">
        <f>INDEX(Mitigation_Industry!AD:AD,MATCH($A455,Mitigation_Industry!$H:$H,0))</f>
        <v>0.46019423878918903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9.9920072216264089E-16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-2.7755575615628914E-16</v>
      </c>
      <c r="R456" s="32">
        <f t="shared" si="112"/>
        <v>4.163336342344337E-16</v>
      </c>
      <c r="S456" s="32">
        <f t="shared" si="112"/>
        <v>1.1102230246251565E-16</v>
      </c>
      <c r="T456" s="32">
        <f t="shared" si="112"/>
        <v>-1.9428902930940239E-16</v>
      </c>
      <c r="U456" s="32">
        <f t="shared" si="112"/>
        <v>9.9920072216264089E-16</v>
      </c>
      <c r="V456" s="32">
        <f t="shared" si="112"/>
        <v>0</v>
      </c>
      <c r="W456" s="32">
        <f t="shared" si="112"/>
        <v>5.5511151231257827E-17</v>
      </c>
      <c r="X456" s="32">
        <f t="shared" si="112"/>
        <v>5.5511151231257827E-17</v>
      </c>
      <c r="Y456" s="32">
        <f t="shared" si="112"/>
        <v>0</v>
      </c>
      <c r="Z456" s="32">
        <f t="shared" si="112"/>
        <v>0</v>
      </c>
      <c r="AA456" s="32">
        <f t="shared" si="112"/>
        <v>0</v>
      </c>
      <c r="AB456" s="32">
        <f t="shared" si="112"/>
        <v>0</v>
      </c>
      <c r="AC456" s="32">
        <f t="shared" si="112"/>
        <v>0</v>
      </c>
      <c r="AD456" s="32">
        <f t="shared" si="112"/>
        <v>0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0.45706441406607851</v>
      </c>
      <c r="R459" s="18">
        <f>INDEX(Mitigation_Industry!R:R,MATCH($A459,Mitigation_Industry!$H:$H,0))</f>
        <v>0.48905324417618701</v>
      </c>
      <c r="S459" s="18">
        <f>INDEX(Mitigation_Industry!S:S,MATCH($A459,Mitigation_Industry!$H:$H,0))</f>
        <v>0.52104207428629556</v>
      </c>
      <c r="T459" s="18">
        <f>INDEX(Mitigation_Industry!T:T,MATCH($A459,Mitigation_Industry!$H:$H,0))</f>
        <v>0.55303090439640401</v>
      </c>
      <c r="U459" s="18">
        <f>INDEX(Mitigation_Industry!U:U,MATCH($A459,Mitigation_Industry!$H:$H,0))</f>
        <v>0.58501973450651301</v>
      </c>
      <c r="V459" s="18">
        <f>INDEX(Mitigation_Industry!V:V,MATCH($A459,Mitigation_Industry!$H:$H,0))</f>
        <v>0.61700856461662101</v>
      </c>
      <c r="W459" s="18">
        <f>INDEX(Mitigation_Industry!W:W,MATCH($A459,Mitigation_Industry!$H:$H,0))</f>
        <v>0.64899739472673001</v>
      </c>
      <c r="X459" s="18">
        <f>INDEX(Mitigation_Industry!X:X,MATCH($A459,Mitigation_Industry!$H:$H,0))</f>
        <v>0.68098622483683802</v>
      </c>
      <c r="Y459" s="18">
        <f>INDEX(Mitigation_Industry!Y:Y,MATCH($A459,Mitigation_Industry!$H:$H,0))</f>
        <v>0.71297505494694702</v>
      </c>
      <c r="Z459" s="18">
        <f>INDEX(Mitigation_Industry!Z:Z,MATCH($A459,Mitigation_Industry!$H:$H,0))</f>
        <v>0.74496388505705502</v>
      </c>
      <c r="AA459" s="18">
        <f>INDEX(Mitigation_Industry!AA:AA,MATCH($A459,Mitigation_Industry!$H:$H,0))</f>
        <v>0.77695271516716302</v>
      </c>
      <c r="AB459" s="18">
        <f>INDEX(Mitigation_Industry!AB:AB,MATCH($A459,Mitigation_Industry!$H:$H,0))</f>
        <v>0.80894154527727202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0.87291920549748903</v>
      </c>
      <c r="AE459" s="18">
        <f>INDEX(Mitigation_Industry!AE:AE,MATCH($A459,Mitigation_Industry!$H:$H,0))</f>
        <v>0.90490803560759703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9.9920072216264089E-16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-4.9960036108132044E-16</v>
      </c>
      <c r="R460" s="32">
        <f t="shared" si="113"/>
        <v>0</v>
      </c>
      <c r="S460" s="32">
        <f t="shared" si="113"/>
        <v>-4.4408920985006262E-16</v>
      </c>
      <c r="T460" s="32">
        <f t="shared" si="113"/>
        <v>0</v>
      </c>
      <c r="U460" s="32">
        <f t="shared" si="113"/>
        <v>0</v>
      </c>
      <c r="V460" s="32">
        <f t="shared" si="113"/>
        <v>0</v>
      </c>
      <c r="W460" s="32">
        <f t="shared" si="113"/>
        <v>9.9920072216264089E-16</v>
      </c>
      <c r="X460" s="32">
        <f t="shared" si="113"/>
        <v>0</v>
      </c>
      <c r="Y460" s="32">
        <f t="shared" si="113"/>
        <v>0</v>
      </c>
      <c r="Z460" s="32">
        <f t="shared" si="113"/>
        <v>0</v>
      </c>
      <c r="AA460" s="32">
        <f t="shared" si="113"/>
        <v>0</v>
      </c>
      <c r="AB460" s="32">
        <f t="shared" si="113"/>
        <v>0</v>
      </c>
      <c r="AC460" s="32">
        <f t="shared" si="113"/>
        <v>0</v>
      </c>
      <c r="AD460" s="32">
        <f t="shared" si="113"/>
        <v>0</v>
      </c>
      <c r="AE460" s="32">
        <f t="shared" si="113"/>
        <v>0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46.725609739410061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87.798459739410063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-4.2632564145606011E-14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-4.2632564145606011E-14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7.1746845864040694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8.5696845864040689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13.452184586404069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-8.8817841970012523E-16</v>
      </c>
      <c r="T480" s="32">
        <f t="shared" si="118"/>
        <v>0</v>
      </c>
      <c r="U480" s="32">
        <f t="shared" si="118"/>
        <v>-1.7763568394002505E-15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-3.0198066269804258E-14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0.77715015920690589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0.95071721823590594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1.0375007477504059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-1.1102230246251565E-16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-1.1102230246251565E-16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-3.9968028886505635E-15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0.17281516073434472</v>
      </c>
      <c r="R491" s="18">
        <f>INDEX(Mitigation_Industry!R:R,MATCH($A491,Mitigation_Industry!$H:$H,0))</f>
        <v>0.1949212436616404</v>
      </c>
      <c r="S491" s="18">
        <f>INDEX(Mitigation_Industry!S:S,MATCH($A491,Mitigation_Industry!$H:$H,0))</f>
        <v>0.21702732658893611</v>
      </c>
      <c r="T491" s="18">
        <f>INDEX(Mitigation_Industry!T:T,MATCH($A491,Mitigation_Industry!$H:$H,0))</f>
        <v>0.2391334095162318</v>
      </c>
      <c r="U491" s="18">
        <f>INDEX(Mitigation_Industry!U:U,MATCH($A491,Mitigation_Industry!$H:$H,0))</f>
        <v>0.26123949244352801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0.30545165829811904</v>
      </c>
      <c r="X491" s="18">
        <f>INDEX(Mitigation_Industry!X:X,MATCH($A491,Mitigation_Industry!$H:$H,0))</f>
        <v>0.32755774122541503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0.37176990708000601</v>
      </c>
      <c r="AA491" s="18">
        <f>INDEX(Mitigation_Industry!AA:AA,MATCH($A491,Mitigation_Industry!$H:$H,0))</f>
        <v>0.393875990007302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0.43808815586189298</v>
      </c>
      <c r="AD491" s="18">
        <f>INDEX(Mitigation_Industry!AD:AD,MATCH($A491,Mitigation_Industry!$H:$H,0))</f>
        <v>0.46019423878918903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9.9920072216264089E-16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-2.7755575615628914E-16</v>
      </c>
      <c r="R492" s="32">
        <f t="shared" si="121"/>
        <v>4.163336342344337E-16</v>
      </c>
      <c r="S492" s="32">
        <f t="shared" si="121"/>
        <v>1.1102230246251565E-16</v>
      </c>
      <c r="T492" s="32">
        <f t="shared" si="121"/>
        <v>-1.9428902930940239E-16</v>
      </c>
      <c r="U492" s="32">
        <f t="shared" si="121"/>
        <v>9.9920072216264089E-16</v>
      </c>
      <c r="V492" s="32">
        <f t="shared" si="121"/>
        <v>0</v>
      </c>
      <c r="W492" s="32">
        <f t="shared" si="121"/>
        <v>5.5511151231257827E-17</v>
      </c>
      <c r="X492" s="32">
        <f t="shared" si="121"/>
        <v>5.5511151231257827E-17</v>
      </c>
      <c r="Y492" s="32">
        <f t="shared" si="121"/>
        <v>0</v>
      </c>
      <c r="Z492" s="32">
        <f t="shared" si="121"/>
        <v>0</v>
      </c>
      <c r="AA492" s="32">
        <f t="shared" si="121"/>
        <v>0</v>
      </c>
      <c r="AB492" s="32">
        <f t="shared" si="121"/>
        <v>0</v>
      </c>
      <c r="AC492" s="32">
        <f t="shared" si="121"/>
        <v>0</v>
      </c>
      <c r="AD492" s="32">
        <f t="shared" si="121"/>
        <v>0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0.45706441406607851</v>
      </c>
      <c r="R495" s="18">
        <f>INDEX(Mitigation_Industry!R:R,MATCH($A495,Mitigation_Industry!$H:$H,0))</f>
        <v>0.48905324417618701</v>
      </c>
      <c r="S495" s="18">
        <f>INDEX(Mitigation_Industry!S:S,MATCH($A495,Mitigation_Industry!$H:$H,0))</f>
        <v>0.52104207428629556</v>
      </c>
      <c r="T495" s="18">
        <f>INDEX(Mitigation_Industry!T:T,MATCH($A495,Mitigation_Industry!$H:$H,0))</f>
        <v>0.55303090439640401</v>
      </c>
      <c r="U495" s="18">
        <f>INDEX(Mitigation_Industry!U:U,MATCH($A495,Mitigation_Industry!$H:$H,0))</f>
        <v>0.58501973450651301</v>
      </c>
      <c r="V495" s="18">
        <f>INDEX(Mitigation_Industry!V:V,MATCH($A495,Mitigation_Industry!$H:$H,0))</f>
        <v>0.61700856461662101</v>
      </c>
      <c r="W495" s="18">
        <f>INDEX(Mitigation_Industry!W:W,MATCH($A495,Mitigation_Industry!$H:$H,0))</f>
        <v>0.64899739472673001</v>
      </c>
      <c r="X495" s="18">
        <f>INDEX(Mitigation_Industry!X:X,MATCH($A495,Mitigation_Industry!$H:$H,0))</f>
        <v>0.68098622483683802</v>
      </c>
      <c r="Y495" s="18">
        <f>INDEX(Mitigation_Industry!Y:Y,MATCH($A495,Mitigation_Industry!$H:$H,0))</f>
        <v>0.71297505494694702</v>
      </c>
      <c r="Z495" s="18">
        <f>INDEX(Mitigation_Industry!Z:Z,MATCH($A495,Mitigation_Industry!$H:$H,0))</f>
        <v>0.74496388505705502</v>
      </c>
      <c r="AA495" s="18">
        <f>INDEX(Mitigation_Industry!AA:AA,MATCH($A495,Mitigation_Industry!$H:$H,0))</f>
        <v>0.77695271516716302</v>
      </c>
      <c r="AB495" s="18">
        <f>INDEX(Mitigation_Industry!AB:AB,MATCH($A495,Mitigation_Industry!$H:$H,0))</f>
        <v>0.80894154527727202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0.87291920549748903</v>
      </c>
      <c r="AE495" s="18">
        <f>INDEX(Mitigation_Industry!AE:AE,MATCH($A495,Mitigation_Industry!$H:$H,0))</f>
        <v>0.90490803560759703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9.9920072216264089E-16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-4.9960036108132044E-16</v>
      </c>
      <c r="R496" s="32">
        <f t="shared" si="122"/>
        <v>0</v>
      </c>
      <c r="S496" s="32">
        <f t="shared" si="122"/>
        <v>-4.4408920985006262E-16</v>
      </c>
      <c r="T496" s="32">
        <f t="shared" si="122"/>
        <v>0</v>
      </c>
      <c r="U496" s="32">
        <f t="shared" si="122"/>
        <v>0</v>
      </c>
      <c r="V496" s="32">
        <f t="shared" si="122"/>
        <v>0</v>
      </c>
      <c r="W496" s="32">
        <f t="shared" si="122"/>
        <v>9.9920072216264089E-16</v>
      </c>
      <c r="X496" s="32">
        <f t="shared" si="122"/>
        <v>0</v>
      </c>
      <c r="Y496" s="32">
        <f t="shared" si="122"/>
        <v>0</v>
      </c>
      <c r="Z496" s="32">
        <f t="shared" si="122"/>
        <v>0</v>
      </c>
      <c r="AA496" s="32">
        <f t="shared" si="122"/>
        <v>0</v>
      </c>
      <c r="AB496" s="32">
        <f t="shared" si="122"/>
        <v>0</v>
      </c>
      <c r="AC496" s="32">
        <f t="shared" si="122"/>
        <v>0</v>
      </c>
      <c r="AD496" s="32">
        <f t="shared" si="122"/>
        <v>0</v>
      </c>
      <c r="AE496" s="32">
        <f t="shared" si="122"/>
        <v>0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46.725609739410061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87.798459739410063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-4.2632564145606011E-14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-4.2632564145606011E-14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7.1746845864040694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8.5696845864040689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13.452184586404069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-8.8817841970012523E-16</v>
      </c>
      <c r="T516" s="32">
        <f t="shared" si="127"/>
        <v>0</v>
      </c>
      <c r="U516" s="32">
        <f t="shared" si="127"/>
        <v>-1.7763568394002505E-15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-3.0198066269804258E-14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0.77715015920690589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0.95071721823590594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1.0375007477504059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-1.1102230246251565E-16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-1.1102230246251565E-16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-3.9968028886505635E-15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0.17281516073434472</v>
      </c>
      <c r="R527" s="18">
        <f>INDEX(Mitigation_Industry!R:R,MATCH($A527,Mitigation_Industry!$H:$H,0))</f>
        <v>0.1949212436616404</v>
      </c>
      <c r="S527" s="18">
        <f>INDEX(Mitigation_Industry!S:S,MATCH($A527,Mitigation_Industry!$H:$H,0))</f>
        <v>0.21702732658893611</v>
      </c>
      <c r="T527" s="18">
        <f>INDEX(Mitigation_Industry!T:T,MATCH($A527,Mitigation_Industry!$H:$H,0))</f>
        <v>0.2391334095162318</v>
      </c>
      <c r="U527" s="18">
        <f>INDEX(Mitigation_Industry!U:U,MATCH($A527,Mitigation_Industry!$H:$H,0))</f>
        <v>0.26123949244352801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0.30545165829811904</v>
      </c>
      <c r="X527" s="18">
        <f>INDEX(Mitigation_Industry!X:X,MATCH($A527,Mitigation_Industry!$H:$H,0))</f>
        <v>0.32755774122541503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0.37176990708000601</v>
      </c>
      <c r="AA527" s="18">
        <f>INDEX(Mitigation_Industry!AA:AA,MATCH($A527,Mitigation_Industry!$H:$H,0))</f>
        <v>0.393875990007302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0.43808815586189298</v>
      </c>
      <c r="AD527" s="18">
        <f>INDEX(Mitigation_Industry!AD:AD,MATCH($A527,Mitigation_Industry!$H:$H,0))</f>
        <v>0.46019423878918903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9.9920072216264089E-16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-2.7755575615628914E-16</v>
      </c>
      <c r="R528" s="32">
        <f t="shared" si="130"/>
        <v>4.163336342344337E-16</v>
      </c>
      <c r="S528" s="32">
        <f t="shared" si="130"/>
        <v>1.1102230246251565E-16</v>
      </c>
      <c r="T528" s="32">
        <f t="shared" si="130"/>
        <v>-1.9428902930940239E-16</v>
      </c>
      <c r="U528" s="32">
        <f t="shared" si="130"/>
        <v>9.9920072216264089E-16</v>
      </c>
      <c r="V528" s="32">
        <f t="shared" si="130"/>
        <v>0</v>
      </c>
      <c r="W528" s="32">
        <f t="shared" si="130"/>
        <v>5.5511151231257827E-17</v>
      </c>
      <c r="X528" s="32">
        <f t="shared" si="130"/>
        <v>5.5511151231257827E-17</v>
      </c>
      <c r="Y528" s="32">
        <f t="shared" si="130"/>
        <v>0</v>
      </c>
      <c r="Z528" s="32">
        <f t="shared" si="130"/>
        <v>0</v>
      </c>
      <c r="AA528" s="32">
        <f t="shared" si="130"/>
        <v>0</v>
      </c>
      <c r="AB528" s="32">
        <f t="shared" si="130"/>
        <v>0</v>
      </c>
      <c r="AC528" s="32">
        <f t="shared" si="130"/>
        <v>0</v>
      </c>
      <c r="AD528" s="32">
        <f t="shared" si="130"/>
        <v>0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0.45706441406607851</v>
      </c>
      <c r="R531" s="18">
        <f>INDEX(Mitigation_Industry!R:R,MATCH($A531,Mitigation_Industry!$H:$H,0))</f>
        <v>0.48905324417618701</v>
      </c>
      <c r="S531" s="18">
        <f>INDEX(Mitigation_Industry!S:S,MATCH($A531,Mitigation_Industry!$H:$H,0))</f>
        <v>0.52104207428629556</v>
      </c>
      <c r="T531" s="18">
        <f>INDEX(Mitigation_Industry!T:T,MATCH($A531,Mitigation_Industry!$H:$H,0))</f>
        <v>0.55303090439640401</v>
      </c>
      <c r="U531" s="18">
        <f>INDEX(Mitigation_Industry!U:U,MATCH($A531,Mitigation_Industry!$H:$H,0))</f>
        <v>0.58501973450651301</v>
      </c>
      <c r="V531" s="18">
        <f>INDEX(Mitigation_Industry!V:V,MATCH($A531,Mitigation_Industry!$H:$H,0))</f>
        <v>0.61700856461662101</v>
      </c>
      <c r="W531" s="18">
        <f>INDEX(Mitigation_Industry!W:W,MATCH($A531,Mitigation_Industry!$H:$H,0))</f>
        <v>0.64899739472673001</v>
      </c>
      <c r="X531" s="18">
        <f>INDEX(Mitigation_Industry!X:X,MATCH($A531,Mitigation_Industry!$H:$H,0))</f>
        <v>0.68098622483683802</v>
      </c>
      <c r="Y531" s="18">
        <f>INDEX(Mitigation_Industry!Y:Y,MATCH($A531,Mitigation_Industry!$H:$H,0))</f>
        <v>0.71297505494694702</v>
      </c>
      <c r="Z531" s="18">
        <f>INDEX(Mitigation_Industry!Z:Z,MATCH($A531,Mitigation_Industry!$H:$H,0))</f>
        <v>0.74496388505705502</v>
      </c>
      <c r="AA531" s="18">
        <f>INDEX(Mitigation_Industry!AA:AA,MATCH($A531,Mitigation_Industry!$H:$H,0))</f>
        <v>0.77695271516716302</v>
      </c>
      <c r="AB531" s="18">
        <f>INDEX(Mitigation_Industry!AB:AB,MATCH($A531,Mitigation_Industry!$H:$H,0))</f>
        <v>0.80894154527727202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0.87291920549748903</v>
      </c>
      <c r="AE531" s="18">
        <f>INDEX(Mitigation_Industry!AE:AE,MATCH($A531,Mitigation_Industry!$H:$H,0))</f>
        <v>0.90490803560759703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9.9920072216264089E-16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-4.9960036108132044E-16</v>
      </c>
      <c r="R532" s="32">
        <f t="shared" si="131"/>
        <v>0</v>
      </c>
      <c r="S532" s="32">
        <f t="shared" si="131"/>
        <v>-4.4408920985006262E-16</v>
      </c>
      <c r="T532" s="32">
        <f t="shared" si="131"/>
        <v>0</v>
      </c>
      <c r="U532" s="32">
        <f t="shared" si="131"/>
        <v>0</v>
      </c>
      <c r="V532" s="32">
        <f t="shared" si="131"/>
        <v>0</v>
      </c>
      <c r="W532" s="32">
        <f t="shared" si="131"/>
        <v>9.9920072216264089E-16</v>
      </c>
      <c r="X532" s="32">
        <f t="shared" si="131"/>
        <v>0</v>
      </c>
      <c r="Y532" s="32">
        <f t="shared" si="131"/>
        <v>0</v>
      </c>
      <c r="Z532" s="32">
        <f t="shared" si="131"/>
        <v>0</v>
      </c>
      <c r="AA532" s="32">
        <f t="shared" si="131"/>
        <v>0</v>
      </c>
      <c r="AB532" s="32">
        <f t="shared" si="131"/>
        <v>0</v>
      </c>
      <c r="AC532" s="32">
        <f t="shared" si="131"/>
        <v>0</v>
      </c>
      <c r="AD532" s="32">
        <f t="shared" si="131"/>
        <v>0</v>
      </c>
      <c r="AE532" s="32">
        <f t="shared" si="131"/>
        <v>0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46.725609739410061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87.798459739410063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-4.2632564145606011E-14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-4.2632564145606011E-14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7.1746845864040694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8.5696845864040689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13.452184586404069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-8.8817841970012523E-16</v>
      </c>
      <c r="T552" s="32">
        <f t="shared" si="136"/>
        <v>0</v>
      </c>
      <c r="U552" s="32">
        <f t="shared" si="136"/>
        <v>-1.7763568394002505E-15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-3.0198066269804258E-14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0.77715015920690589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0.95071721823590594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1.0375007477504059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-1.1102230246251565E-16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-1.1102230246251565E-16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-3.9968028886505635E-15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0.17281516073434472</v>
      </c>
      <c r="R563" s="18">
        <f>INDEX(Mitigation_Industry!R:R,MATCH($A563,Mitigation_Industry!$H:$H,0))</f>
        <v>0.1949212436616404</v>
      </c>
      <c r="S563" s="18">
        <f>INDEX(Mitigation_Industry!S:S,MATCH($A563,Mitigation_Industry!$H:$H,0))</f>
        <v>0.21702732658893611</v>
      </c>
      <c r="T563" s="18">
        <f>INDEX(Mitigation_Industry!T:T,MATCH($A563,Mitigation_Industry!$H:$H,0))</f>
        <v>0.2391334095162318</v>
      </c>
      <c r="U563" s="18">
        <f>INDEX(Mitigation_Industry!U:U,MATCH($A563,Mitigation_Industry!$H:$H,0))</f>
        <v>0.26123949244352801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0.30545165829811904</v>
      </c>
      <c r="X563" s="18">
        <f>INDEX(Mitigation_Industry!X:X,MATCH($A563,Mitigation_Industry!$H:$H,0))</f>
        <v>0.32755774122541503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0.37176990708000601</v>
      </c>
      <c r="AA563" s="18">
        <f>INDEX(Mitigation_Industry!AA:AA,MATCH($A563,Mitigation_Industry!$H:$H,0))</f>
        <v>0.393875990007302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0.43808815586189298</v>
      </c>
      <c r="AD563" s="18">
        <f>INDEX(Mitigation_Industry!AD:AD,MATCH($A563,Mitigation_Industry!$H:$H,0))</f>
        <v>0.46019423878918903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9.9920072216264089E-16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-2.7755575615628914E-16</v>
      </c>
      <c r="R564" s="32">
        <f t="shared" si="139"/>
        <v>4.163336342344337E-16</v>
      </c>
      <c r="S564" s="32">
        <f t="shared" si="139"/>
        <v>1.1102230246251565E-16</v>
      </c>
      <c r="T564" s="32">
        <f t="shared" si="139"/>
        <v>-1.9428902930940239E-16</v>
      </c>
      <c r="U564" s="32">
        <f t="shared" si="139"/>
        <v>9.9920072216264089E-16</v>
      </c>
      <c r="V564" s="32">
        <f t="shared" si="139"/>
        <v>0</v>
      </c>
      <c r="W564" s="32">
        <f t="shared" si="139"/>
        <v>5.5511151231257827E-17</v>
      </c>
      <c r="X564" s="32">
        <f t="shared" si="139"/>
        <v>5.5511151231257827E-17</v>
      </c>
      <c r="Y564" s="32">
        <f t="shared" si="139"/>
        <v>0</v>
      </c>
      <c r="Z564" s="32">
        <f t="shared" si="139"/>
        <v>0</v>
      </c>
      <c r="AA564" s="32">
        <f t="shared" si="139"/>
        <v>0</v>
      </c>
      <c r="AB564" s="32">
        <f t="shared" si="139"/>
        <v>0</v>
      </c>
      <c r="AC564" s="32">
        <f t="shared" si="139"/>
        <v>0</v>
      </c>
      <c r="AD564" s="32">
        <f t="shared" si="139"/>
        <v>0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0.45706441406607851</v>
      </c>
      <c r="R567" s="18">
        <f>INDEX(Mitigation_Industry!R:R,MATCH($A567,Mitigation_Industry!$H:$H,0))</f>
        <v>0.48905324417618701</v>
      </c>
      <c r="S567" s="18">
        <f>INDEX(Mitigation_Industry!S:S,MATCH($A567,Mitigation_Industry!$H:$H,0))</f>
        <v>0.52104207428629556</v>
      </c>
      <c r="T567" s="18">
        <f>INDEX(Mitigation_Industry!T:T,MATCH($A567,Mitigation_Industry!$H:$H,0))</f>
        <v>0.55303090439640401</v>
      </c>
      <c r="U567" s="18">
        <f>INDEX(Mitigation_Industry!U:U,MATCH($A567,Mitigation_Industry!$H:$H,0))</f>
        <v>0.58501973450651301</v>
      </c>
      <c r="V567" s="18">
        <f>INDEX(Mitigation_Industry!V:V,MATCH($A567,Mitigation_Industry!$H:$H,0))</f>
        <v>0.61700856461662101</v>
      </c>
      <c r="W567" s="18">
        <f>INDEX(Mitigation_Industry!W:W,MATCH($A567,Mitigation_Industry!$H:$H,0))</f>
        <v>0.64899739472673001</v>
      </c>
      <c r="X567" s="18">
        <f>INDEX(Mitigation_Industry!X:X,MATCH($A567,Mitigation_Industry!$H:$H,0))</f>
        <v>0.68098622483683802</v>
      </c>
      <c r="Y567" s="18">
        <f>INDEX(Mitigation_Industry!Y:Y,MATCH($A567,Mitigation_Industry!$H:$H,0))</f>
        <v>0.71297505494694702</v>
      </c>
      <c r="Z567" s="18">
        <f>INDEX(Mitigation_Industry!Z:Z,MATCH($A567,Mitigation_Industry!$H:$H,0))</f>
        <v>0.74496388505705502</v>
      </c>
      <c r="AA567" s="18">
        <f>INDEX(Mitigation_Industry!AA:AA,MATCH($A567,Mitigation_Industry!$H:$H,0))</f>
        <v>0.77695271516716302</v>
      </c>
      <c r="AB567" s="18">
        <f>INDEX(Mitigation_Industry!AB:AB,MATCH($A567,Mitigation_Industry!$H:$H,0))</f>
        <v>0.80894154527727202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0.87291920549748903</v>
      </c>
      <c r="AE567" s="18">
        <f>INDEX(Mitigation_Industry!AE:AE,MATCH($A567,Mitigation_Industry!$H:$H,0))</f>
        <v>0.90490803560759703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9.9920072216264089E-16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-4.9960036108132044E-16</v>
      </c>
      <c r="R568" s="32">
        <f t="shared" si="140"/>
        <v>0</v>
      </c>
      <c r="S568" s="32">
        <f t="shared" si="140"/>
        <v>-4.4408920985006262E-16</v>
      </c>
      <c r="T568" s="32">
        <f t="shared" si="140"/>
        <v>0</v>
      </c>
      <c r="U568" s="32">
        <f t="shared" si="140"/>
        <v>0</v>
      </c>
      <c r="V568" s="32">
        <f t="shared" si="140"/>
        <v>0</v>
      </c>
      <c r="W568" s="32">
        <f t="shared" si="140"/>
        <v>9.9920072216264089E-16</v>
      </c>
      <c r="X568" s="32">
        <f t="shared" si="140"/>
        <v>0</v>
      </c>
      <c r="Y568" s="32">
        <f t="shared" si="140"/>
        <v>0</v>
      </c>
      <c r="Z568" s="32">
        <f t="shared" si="140"/>
        <v>0</v>
      </c>
      <c r="AA568" s="32">
        <f t="shared" si="140"/>
        <v>0</v>
      </c>
      <c r="AB568" s="32">
        <f t="shared" si="140"/>
        <v>0</v>
      </c>
      <c r="AC568" s="32">
        <f t="shared" si="140"/>
        <v>0</v>
      </c>
      <c r="AD568" s="32">
        <f t="shared" si="140"/>
        <v>0</v>
      </c>
      <c r="AE568" s="32">
        <f t="shared" si="140"/>
        <v>0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46.725609739410061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87.798459739410063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-4.2632564145606011E-14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-4.2632564145606011E-14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1503</v>
      </c>
    </row>
    <row r="584" spans="1:35" x14ac:dyDescent="0.45">
      <c r="A584" t="s">
        <v>1713</v>
      </c>
      <c r="D584" s="94">
        <f>SUMPRODUCT(MAX((I587:I1378="same")    *F587:F1378))</f>
        <v>7.1054273576010019E-15</v>
      </c>
    </row>
    <row r="585" spans="1:35" x14ac:dyDescent="0.45">
      <c r="A585" t="s">
        <v>1714</v>
      </c>
      <c r="D585" s="94">
        <f>SUMPRODUCT(MAX((I587:I1378="changed")*F587:F1378))</f>
        <v>9157.7573545538162</v>
      </c>
    </row>
    <row r="586" spans="1:35" x14ac:dyDescent="0.45">
      <c r="A586" s="50" t="s">
        <v>1504</v>
      </c>
      <c r="B586" s="50" t="s">
        <v>1505</v>
      </c>
      <c r="C586" s="50" t="s">
        <v>1506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1507</v>
      </c>
      <c r="J586" s="50" t="s">
        <v>1508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1509</v>
      </c>
      <c r="B587" t="s">
        <v>1424</v>
      </c>
      <c r="C587" t="s">
        <v>1425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1509</v>
      </c>
      <c r="B588" t="s">
        <v>1424</v>
      </c>
      <c r="C588" t="s">
        <v>1425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1509</v>
      </c>
      <c r="B589" t="s">
        <v>1424</v>
      </c>
      <c r="C589" t="s">
        <v>1425</v>
      </c>
      <c r="D589">
        <v>1</v>
      </c>
      <c r="E589" t="s">
        <v>1161</v>
      </c>
      <c r="F589">
        <f>MAX(MAX(L589:AE589),-MIN(L589:AE589))</f>
        <v>0</v>
      </c>
      <c r="I589" t="s">
        <v>1510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1511</v>
      </c>
      <c r="B591" t="s">
        <v>1424</v>
      </c>
      <c r="C591" t="s">
        <v>1426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1511</v>
      </c>
      <c r="B592" t="s">
        <v>1424</v>
      </c>
      <c r="C592" t="s">
        <v>1426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1511</v>
      </c>
      <c r="B593" t="s">
        <v>1424</v>
      </c>
      <c r="C593" t="s">
        <v>1426</v>
      </c>
      <c r="D593">
        <v>1</v>
      </c>
      <c r="E593" t="s">
        <v>1161</v>
      </c>
      <c r="F593">
        <f>MAX(MAX(L593:AE593),-MIN(L593:AE593))</f>
        <v>0</v>
      </c>
      <c r="I593" t="s">
        <v>1510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1512</v>
      </c>
      <c r="B595" t="s">
        <v>1435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1512</v>
      </c>
      <c r="B596" t="s">
        <v>1435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1512</v>
      </c>
      <c r="B597" t="s">
        <v>1435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1510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1513</v>
      </c>
      <c r="B599" t="s">
        <v>1435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1513</v>
      </c>
      <c r="B600" t="s">
        <v>1435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1513</v>
      </c>
      <c r="B601" t="s">
        <v>1435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1510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1514</v>
      </c>
      <c r="B603" t="s">
        <v>1435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1514</v>
      </c>
      <c r="B604" t="s">
        <v>1435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1514</v>
      </c>
      <c r="B605" t="s">
        <v>1435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1510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1515</v>
      </c>
      <c r="B607" t="s">
        <v>1435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1515</v>
      </c>
      <c r="B608" t="s">
        <v>1435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1515</v>
      </c>
      <c r="B609" t="s">
        <v>1435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1510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1516</v>
      </c>
      <c r="B611" t="s">
        <v>1435</v>
      </c>
      <c r="C611" t="s">
        <v>1443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1516</v>
      </c>
      <c r="B612" t="s">
        <v>1435</v>
      </c>
      <c r="C612" t="s">
        <v>1443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1516</v>
      </c>
      <c r="B613" t="s">
        <v>1435</v>
      </c>
      <c r="C613" t="s">
        <v>1443</v>
      </c>
      <c r="D613">
        <v>1</v>
      </c>
      <c r="E613" t="s">
        <v>1161</v>
      </c>
      <c r="F613">
        <f>MAX(MAX(L613:AE613),-MIN(L613:AE613))</f>
        <v>0</v>
      </c>
      <c r="I613" t="s">
        <v>1510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1517</v>
      </c>
      <c r="B615" t="s">
        <v>1435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1517</v>
      </c>
      <c r="B616" t="s">
        <v>1435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1517</v>
      </c>
      <c r="B617" t="s">
        <v>1435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1510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1518</v>
      </c>
      <c r="B619" t="s">
        <v>1435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1518</v>
      </c>
      <c r="B620" t="s">
        <v>1435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1518</v>
      </c>
      <c r="B621" t="s">
        <v>1435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1510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1519</v>
      </c>
      <c r="B623" t="s">
        <v>1435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1519</v>
      </c>
      <c r="B624" t="s">
        <v>1435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1519</v>
      </c>
      <c r="B625" t="s">
        <v>1435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1510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1520</v>
      </c>
      <c r="B627" t="s">
        <v>1448</v>
      </c>
      <c r="C627" t="s">
        <v>1451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1520</v>
      </c>
      <c r="B628" t="s">
        <v>1448</v>
      </c>
      <c r="C628" t="s">
        <v>1451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1520</v>
      </c>
      <c r="B629" t="s">
        <v>1448</v>
      </c>
      <c r="C629" t="s">
        <v>1451</v>
      </c>
      <c r="D629">
        <v>1</v>
      </c>
      <c r="E629" t="s">
        <v>1161</v>
      </c>
      <c r="F629">
        <f>MAX(MAX(L629:AE629),-MIN(L629:AE629))</f>
        <v>0</v>
      </c>
      <c r="I629" t="s">
        <v>1510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1521</v>
      </c>
      <c r="B631" t="s">
        <v>1448</v>
      </c>
      <c r="C631" t="s">
        <v>1454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1521</v>
      </c>
      <c r="B632" t="s">
        <v>1448</v>
      </c>
      <c r="C632" t="s">
        <v>1454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1521</v>
      </c>
      <c r="B633" t="s">
        <v>1448</v>
      </c>
      <c r="C633" t="s">
        <v>1454</v>
      </c>
      <c r="D633">
        <v>1</v>
      </c>
      <c r="E633" t="s">
        <v>1161</v>
      </c>
      <c r="F633">
        <f>MAX(MAX(L633:AE633),-MIN(L633:AE633))</f>
        <v>0</v>
      </c>
      <c r="I633" t="s">
        <v>1510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1522</v>
      </c>
      <c r="B635" t="s">
        <v>1448</v>
      </c>
      <c r="C635" t="s">
        <v>1457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1522</v>
      </c>
      <c r="B636" t="s">
        <v>1448</v>
      </c>
      <c r="C636" t="s">
        <v>1457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1522</v>
      </c>
      <c r="B637" t="s">
        <v>1448</v>
      </c>
      <c r="C637" t="s">
        <v>1457</v>
      </c>
      <c r="D637">
        <v>1</v>
      </c>
      <c r="E637" t="s">
        <v>1161</v>
      </c>
      <c r="F637">
        <f>MAX(MAX(L637:AE637),-MIN(L637:AE637))</f>
        <v>0</v>
      </c>
      <c r="I637" t="s">
        <v>1510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1523</v>
      </c>
      <c r="B639" t="s">
        <v>1448</v>
      </c>
      <c r="C639" t="s">
        <v>1460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1523</v>
      </c>
      <c r="B640" t="s">
        <v>1448</v>
      </c>
      <c r="C640" t="s">
        <v>1460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1523</v>
      </c>
      <c r="B641" t="s">
        <v>1448</v>
      </c>
      <c r="C641" t="s">
        <v>1460</v>
      </c>
      <c r="D641">
        <v>1</v>
      </c>
      <c r="E641" t="s">
        <v>1161</v>
      </c>
      <c r="F641">
        <f>MAX(MAX(L641:AE641),-MIN(L641:AE641))</f>
        <v>0</v>
      </c>
      <c r="I641" t="s">
        <v>1510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1524</v>
      </c>
      <c r="B643" t="s">
        <v>1448</v>
      </c>
      <c r="C643" t="s">
        <v>1463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1524</v>
      </c>
      <c r="B644" t="s">
        <v>1448</v>
      </c>
      <c r="C644" t="s">
        <v>1463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1524</v>
      </c>
      <c r="B645" t="s">
        <v>1448</v>
      </c>
      <c r="C645" t="s">
        <v>1463</v>
      </c>
      <c r="D645">
        <v>1</v>
      </c>
      <c r="E645" t="s">
        <v>1161</v>
      </c>
      <c r="F645">
        <f>MAX(MAX(L645:AE645),-MIN(L645:AE645))</f>
        <v>0</v>
      </c>
      <c r="I645" t="s">
        <v>1510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1525</v>
      </c>
      <c r="B647" t="s">
        <v>1448</v>
      </c>
      <c r="C647" t="s">
        <v>1466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1525</v>
      </c>
      <c r="B648" t="s">
        <v>1448</v>
      </c>
      <c r="C648" t="s">
        <v>1466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1525</v>
      </c>
      <c r="B649" t="s">
        <v>1448</v>
      </c>
      <c r="C649" t="s">
        <v>1466</v>
      </c>
      <c r="D649">
        <v>1</v>
      </c>
      <c r="E649" t="s">
        <v>1161</v>
      </c>
      <c r="F649">
        <f>MAX(MAX(L649:AE649),-MIN(L649:AE649))</f>
        <v>0</v>
      </c>
      <c r="I649" t="s">
        <v>1510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1526</v>
      </c>
      <c r="B651" t="s">
        <v>1448</v>
      </c>
      <c r="C651" t="s">
        <v>1469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1526</v>
      </c>
      <c r="B652" t="s">
        <v>1448</v>
      </c>
      <c r="C652" t="s">
        <v>1469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1526</v>
      </c>
      <c r="B653" t="s">
        <v>1448</v>
      </c>
      <c r="C653" t="s">
        <v>1469</v>
      </c>
      <c r="D653">
        <v>1</v>
      </c>
      <c r="E653" t="s">
        <v>1161</v>
      </c>
      <c r="F653">
        <f>MAX(MAX(L653:AE653),-MIN(L653:AE653))</f>
        <v>0</v>
      </c>
      <c r="I653" t="s">
        <v>1510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1527</v>
      </c>
      <c r="B655" t="s">
        <v>1448</v>
      </c>
      <c r="C655" t="s">
        <v>1472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1527</v>
      </c>
      <c r="B656" t="s">
        <v>1448</v>
      </c>
      <c r="C656" t="s">
        <v>1472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1527</v>
      </c>
      <c r="B657" t="s">
        <v>1448</v>
      </c>
      <c r="C657" t="s">
        <v>1472</v>
      </c>
      <c r="D657">
        <v>1</v>
      </c>
      <c r="E657" t="s">
        <v>1161</v>
      </c>
      <c r="F657">
        <f>MAX(MAX(L657:AE657),-MIN(L657:AE657))</f>
        <v>0</v>
      </c>
      <c r="I657" t="s">
        <v>1510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1528</v>
      </c>
      <c r="B659" t="s">
        <v>1475</v>
      </c>
      <c r="C659" t="s">
        <v>1451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1528</v>
      </c>
      <c r="B660" t="s">
        <v>1475</v>
      </c>
      <c r="C660" t="s">
        <v>1451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1528</v>
      </c>
      <c r="B661" t="s">
        <v>1475</v>
      </c>
      <c r="C661" t="s">
        <v>1451</v>
      </c>
      <c r="D661">
        <v>1</v>
      </c>
      <c r="E661" t="s">
        <v>1161</v>
      </c>
      <c r="F661">
        <f>MAX(MAX(L661:AE661),-MIN(L661:AE661))</f>
        <v>0</v>
      </c>
      <c r="I661" t="s">
        <v>1510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1529</v>
      </c>
      <c r="B663" t="s">
        <v>1475</v>
      </c>
      <c r="C663" t="s">
        <v>1454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1529</v>
      </c>
      <c r="B664" t="s">
        <v>1475</v>
      </c>
      <c r="C664" t="s">
        <v>1454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1529</v>
      </c>
      <c r="B665" t="s">
        <v>1475</v>
      </c>
      <c r="C665" t="s">
        <v>1454</v>
      </c>
      <c r="D665">
        <v>1</v>
      </c>
      <c r="E665" t="s">
        <v>1161</v>
      </c>
      <c r="F665">
        <f>MAX(MAX(L665:AE665),-MIN(L665:AE665))</f>
        <v>0</v>
      </c>
      <c r="I665" t="s">
        <v>1510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1530</v>
      </c>
      <c r="B667" t="s">
        <v>1475</v>
      </c>
      <c r="C667" t="s">
        <v>1457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1530</v>
      </c>
      <c r="B668" t="s">
        <v>1475</v>
      </c>
      <c r="C668" t="s">
        <v>1457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1530</v>
      </c>
      <c r="B669" t="s">
        <v>1475</v>
      </c>
      <c r="C669" t="s">
        <v>1457</v>
      </c>
      <c r="D669">
        <v>1</v>
      </c>
      <c r="E669" t="s">
        <v>1161</v>
      </c>
      <c r="F669">
        <f>MAX(MAX(L669:AE669),-MIN(L669:AE669))</f>
        <v>0</v>
      </c>
      <c r="I669" t="s">
        <v>1510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1531</v>
      </c>
      <c r="B671" t="s">
        <v>1475</v>
      </c>
      <c r="C671" t="s">
        <v>1460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1531</v>
      </c>
      <c r="B672" t="s">
        <v>1475</v>
      </c>
      <c r="C672" t="s">
        <v>1460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1531</v>
      </c>
      <c r="B673" t="s">
        <v>1475</v>
      </c>
      <c r="C673" t="s">
        <v>1460</v>
      </c>
      <c r="D673">
        <v>1</v>
      </c>
      <c r="E673" t="s">
        <v>1161</v>
      </c>
      <c r="F673">
        <f>MAX(MAX(L673:AE673),-MIN(L673:AE673))</f>
        <v>0</v>
      </c>
      <c r="I673" t="s">
        <v>1510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1532</v>
      </c>
      <c r="B675" t="s">
        <v>1475</v>
      </c>
      <c r="C675" t="s">
        <v>1463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1532</v>
      </c>
      <c r="B676" t="s">
        <v>1475</v>
      </c>
      <c r="C676" t="s">
        <v>1463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1532</v>
      </c>
      <c r="B677" t="s">
        <v>1475</v>
      </c>
      <c r="C677" t="s">
        <v>1463</v>
      </c>
      <c r="D677">
        <v>1</v>
      </c>
      <c r="E677" t="s">
        <v>1161</v>
      </c>
      <c r="F677">
        <f>MAX(MAX(L677:AE677),-MIN(L677:AE677))</f>
        <v>0</v>
      </c>
      <c r="I677" t="s">
        <v>1510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1533</v>
      </c>
      <c r="B679" t="s">
        <v>1475</v>
      </c>
      <c r="C679" t="s">
        <v>1466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1533</v>
      </c>
      <c r="B680" t="s">
        <v>1475</v>
      </c>
      <c r="C680" t="s">
        <v>1466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1533</v>
      </c>
      <c r="B681" t="s">
        <v>1475</v>
      </c>
      <c r="C681" t="s">
        <v>1466</v>
      </c>
      <c r="D681">
        <v>1</v>
      </c>
      <c r="E681" t="s">
        <v>1161</v>
      </c>
      <c r="F681">
        <f>MAX(MAX(L681:AE681),-MIN(L681:AE681))</f>
        <v>0</v>
      </c>
      <c r="I681" t="s">
        <v>1510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1534</v>
      </c>
      <c r="B683" t="s">
        <v>1475</v>
      </c>
      <c r="C683" t="s">
        <v>1469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1534</v>
      </c>
      <c r="B684" t="s">
        <v>1475</v>
      </c>
      <c r="C684" t="s">
        <v>1469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1534</v>
      </c>
      <c r="B685" t="s">
        <v>1475</v>
      </c>
      <c r="C685" t="s">
        <v>1469</v>
      </c>
      <c r="D685">
        <v>1</v>
      </c>
      <c r="E685" t="s">
        <v>1161</v>
      </c>
      <c r="F685">
        <f>MAX(MAX(L685:AE685),-MIN(L685:AE685))</f>
        <v>0</v>
      </c>
      <c r="I685" t="s">
        <v>1510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1535</v>
      </c>
      <c r="B687" t="s">
        <v>1475</v>
      </c>
      <c r="C687" t="s">
        <v>1472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1535</v>
      </c>
      <c r="B688" t="s">
        <v>1475</v>
      </c>
      <c r="C688" t="s">
        <v>1472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1535</v>
      </c>
      <c r="B689" t="s">
        <v>1475</v>
      </c>
      <c r="C689" t="s">
        <v>1472</v>
      </c>
      <c r="D689">
        <v>1</v>
      </c>
      <c r="E689" t="s">
        <v>1161</v>
      </c>
      <c r="F689">
        <f>MAX(MAX(L689:AE689),-MIN(L689:AE689))</f>
        <v>0</v>
      </c>
      <c r="I689" t="s">
        <v>1510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1536</v>
      </c>
      <c r="B691" t="s">
        <v>1478</v>
      </c>
      <c r="C691" t="s">
        <v>1451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1536</v>
      </c>
      <c r="B692" t="s">
        <v>1478</v>
      </c>
      <c r="C692" t="s">
        <v>1451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1536</v>
      </c>
      <c r="B693" t="s">
        <v>1478</v>
      </c>
      <c r="C693" t="s">
        <v>1451</v>
      </c>
      <c r="D693">
        <v>1</v>
      </c>
      <c r="E693" t="s">
        <v>1161</v>
      </c>
      <c r="F693">
        <f>MAX(MAX(L693:AE693),-MIN(L693:AE693))</f>
        <v>0</v>
      </c>
      <c r="I693" t="s">
        <v>1510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1537</v>
      </c>
      <c r="B695" t="s">
        <v>1478</v>
      </c>
      <c r="C695" t="s">
        <v>1454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1537</v>
      </c>
      <c r="B696" t="s">
        <v>1478</v>
      </c>
      <c r="C696" t="s">
        <v>1454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1537</v>
      </c>
      <c r="B697" t="s">
        <v>1478</v>
      </c>
      <c r="C697" t="s">
        <v>1454</v>
      </c>
      <c r="D697">
        <v>1</v>
      </c>
      <c r="E697" t="s">
        <v>1161</v>
      </c>
      <c r="F697">
        <f>MAX(MAX(L697:AE697),-MIN(L697:AE697))</f>
        <v>0</v>
      </c>
      <c r="I697" t="s">
        <v>1510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1538</v>
      </c>
      <c r="B699" t="s">
        <v>1478</v>
      </c>
      <c r="C699" t="s">
        <v>1457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1538</v>
      </c>
      <c r="B700" t="s">
        <v>1478</v>
      </c>
      <c r="C700" t="s">
        <v>1457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1538</v>
      </c>
      <c r="B701" t="s">
        <v>1478</v>
      </c>
      <c r="C701" t="s">
        <v>1457</v>
      </c>
      <c r="D701">
        <v>1</v>
      </c>
      <c r="E701" t="s">
        <v>1161</v>
      </c>
      <c r="F701">
        <f>MAX(MAX(L701:AE701),-MIN(L701:AE701))</f>
        <v>0</v>
      </c>
      <c r="I701" t="s">
        <v>1510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1539</v>
      </c>
      <c r="B703" t="s">
        <v>1478</v>
      </c>
      <c r="C703" t="s">
        <v>1460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1539</v>
      </c>
      <c r="B704" t="s">
        <v>1478</v>
      </c>
      <c r="C704" t="s">
        <v>1460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1539</v>
      </c>
      <c r="B705" t="s">
        <v>1478</v>
      </c>
      <c r="C705" t="s">
        <v>1460</v>
      </c>
      <c r="D705">
        <v>1</v>
      </c>
      <c r="E705" t="s">
        <v>1161</v>
      </c>
      <c r="F705">
        <f>MAX(MAX(L705:AE705),-MIN(L705:AE705))</f>
        <v>0</v>
      </c>
      <c r="I705" t="s">
        <v>1510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1540</v>
      </c>
      <c r="B707" t="s">
        <v>1478</v>
      </c>
      <c r="C707" t="s">
        <v>1463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1540</v>
      </c>
      <c r="B708" t="s">
        <v>1478</v>
      </c>
      <c r="C708" t="s">
        <v>1463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1540</v>
      </c>
      <c r="B709" t="s">
        <v>1478</v>
      </c>
      <c r="C709" t="s">
        <v>1463</v>
      </c>
      <c r="D709">
        <v>1</v>
      </c>
      <c r="E709" t="s">
        <v>1161</v>
      </c>
      <c r="F709">
        <f>MAX(MAX(L709:AE709),-MIN(L709:AE709))</f>
        <v>0</v>
      </c>
      <c r="I709" t="s">
        <v>1510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1541</v>
      </c>
      <c r="B711" t="s">
        <v>1478</v>
      </c>
      <c r="C711" t="s">
        <v>1466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1541</v>
      </c>
      <c r="B712" t="s">
        <v>1478</v>
      </c>
      <c r="C712" t="s">
        <v>1466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1541</v>
      </c>
      <c r="B713" t="s">
        <v>1478</v>
      </c>
      <c r="C713" t="s">
        <v>1466</v>
      </c>
      <c r="D713">
        <v>1</v>
      </c>
      <c r="E713" t="s">
        <v>1161</v>
      </c>
      <c r="F713">
        <f>MAX(MAX(L713:AE713),-MIN(L713:AE713))</f>
        <v>0</v>
      </c>
      <c r="I713" t="s">
        <v>1510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1542</v>
      </c>
      <c r="B715" t="s">
        <v>1478</v>
      </c>
      <c r="C715" t="s">
        <v>1469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1542</v>
      </c>
      <c r="B716" t="s">
        <v>1478</v>
      </c>
      <c r="C716" t="s">
        <v>1469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1542</v>
      </c>
      <c r="B717" t="s">
        <v>1478</v>
      </c>
      <c r="C717" t="s">
        <v>1469</v>
      </c>
      <c r="D717">
        <v>1</v>
      </c>
      <c r="E717" t="s">
        <v>1161</v>
      </c>
      <c r="F717">
        <f>MAX(MAX(L717:AE717),-MIN(L717:AE717))</f>
        <v>0</v>
      </c>
      <c r="I717" t="s">
        <v>1510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1543</v>
      </c>
      <c r="B719" t="s">
        <v>1478</v>
      </c>
      <c r="C719" t="s">
        <v>1472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1543</v>
      </c>
      <c r="B720" t="s">
        <v>1478</v>
      </c>
      <c r="C720" t="s">
        <v>1472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1543</v>
      </c>
      <c r="B721" t="s">
        <v>1478</v>
      </c>
      <c r="C721" t="s">
        <v>1472</v>
      </c>
      <c r="D721">
        <v>1</v>
      </c>
      <c r="E721" t="s">
        <v>1161</v>
      </c>
      <c r="F721">
        <f>MAX(MAX(L721:AE721),-MIN(L721:AE721))</f>
        <v>0</v>
      </c>
      <c r="I721" t="s">
        <v>1510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1544</v>
      </c>
      <c r="B723" t="s">
        <v>1481</v>
      </c>
      <c r="C723" t="s">
        <v>1451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1544</v>
      </c>
      <c r="B724" t="s">
        <v>1481</v>
      </c>
      <c r="C724" t="s">
        <v>1451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1544</v>
      </c>
      <c r="B725" t="s">
        <v>1481</v>
      </c>
      <c r="C725" t="s">
        <v>1451</v>
      </c>
      <c r="D725">
        <v>1</v>
      </c>
      <c r="E725" t="s">
        <v>1161</v>
      </c>
      <c r="F725">
        <f>MAX(MAX(L725:AE725),-MIN(L725:AE725))</f>
        <v>0</v>
      </c>
      <c r="I725" t="s">
        <v>1510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1545</v>
      </c>
      <c r="B727" t="s">
        <v>1481</v>
      </c>
      <c r="C727" t="s">
        <v>1454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1545</v>
      </c>
      <c r="B728" t="s">
        <v>1481</v>
      </c>
      <c r="C728" t="s">
        <v>1454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1545</v>
      </c>
      <c r="B729" t="s">
        <v>1481</v>
      </c>
      <c r="C729" t="s">
        <v>1454</v>
      </c>
      <c r="D729">
        <v>1</v>
      </c>
      <c r="E729" t="s">
        <v>1161</v>
      </c>
      <c r="F729">
        <f>MAX(MAX(L729:AE729),-MIN(L729:AE729))</f>
        <v>0</v>
      </c>
      <c r="I729" t="s">
        <v>1510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1546</v>
      </c>
      <c r="B731" t="s">
        <v>1481</v>
      </c>
      <c r="C731" t="s">
        <v>1457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1546</v>
      </c>
      <c r="B732" t="s">
        <v>1481</v>
      </c>
      <c r="C732" t="s">
        <v>1457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1546</v>
      </c>
      <c r="B733" t="s">
        <v>1481</v>
      </c>
      <c r="C733" t="s">
        <v>1457</v>
      </c>
      <c r="D733">
        <v>1</v>
      </c>
      <c r="E733" t="s">
        <v>1161</v>
      </c>
      <c r="F733">
        <f>MAX(MAX(L733:AE733),-MIN(L733:AE733))</f>
        <v>0</v>
      </c>
      <c r="I733" t="s">
        <v>1510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1547</v>
      </c>
      <c r="B735" t="s">
        <v>1481</v>
      </c>
      <c r="C735" t="s">
        <v>1460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1547</v>
      </c>
      <c r="B736" t="s">
        <v>1481</v>
      </c>
      <c r="C736" t="s">
        <v>1460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1547</v>
      </c>
      <c r="B737" t="s">
        <v>1481</v>
      </c>
      <c r="C737" t="s">
        <v>1460</v>
      </c>
      <c r="D737">
        <v>1</v>
      </c>
      <c r="E737" t="s">
        <v>1161</v>
      </c>
      <c r="F737">
        <f>MAX(MAX(L737:AE737),-MIN(L737:AE737))</f>
        <v>0</v>
      </c>
      <c r="I737" t="s">
        <v>1510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1548</v>
      </c>
      <c r="B739" t="s">
        <v>1481</v>
      </c>
      <c r="C739" t="s">
        <v>1463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1548</v>
      </c>
      <c r="B740" t="s">
        <v>1481</v>
      </c>
      <c r="C740" t="s">
        <v>1463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1548</v>
      </c>
      <c r="B741" t="s">
        <v>1481</v>
      </c>
      <c r="C741" t="s">
        <v>1463</v>
      </c>
      <c r="D741">
        <v>1</v>
      </c>
      <c r="E741" t="s">
        <v>1161</v>
      </c>
      <c r="F741">
        <f>MAX(MAX(L741:AE741),-MIN(L741:AE741))</f>
        <v>0</v>
      </c>
      <c r="I741" t="s">
        <v>1510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1549</v>
      </c>
      <c r="B743" t="s">
        <v>1481</v>
      </c>
      <c r="C743" t="s">
        <v>1466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1549</v>
      </c>
      <c r="B744" t="s">
        <v>1481</v>
      </c>
      <c r="C744" t="s">
        <v>1466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1549</v>
      </c>
      <c r="B745" t="s">
        <v>1481</v>
      </c>
      <c r="C745" t="s">
        <v>1466</v>
      </c>
      <c r="D745">
        <v>1</v>
      </c>
      <c r="E745" t="s">
        <v>1161</v>
      </c>
      <c r="F745">
        <f>MAX(MAX(L745:AE745),-MIN(L745:AE745))</f>
        <v>0</v>
      </c>
      <c r="I745" t="s">
        <v>1510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1550</v>
      </c>
      <c r="B747" t="s">
        <v>1481</v>
      </c>
      <c r="C747" t="s">
        <v>1469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1550</v>
      </c>
      <c r="B748" t="s">
        <v>1481</v>
      </c>
      <c r="C748" t="s">
        <v>1469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1550</v>
      </c>
      <c r="B749" t="s">
        <v>1481</v>
      </c>
      <c r="C749" t="s">
        <v>1469</v>
      </c>
      <c r="D749">
        <v>1</v>
      </c>
      <c r="E749" t="s">
        <v>1161</v>
      </c>
      <c r="F749">
        <f>MAX(MAX(L749:AE749),-MIN(L749:AE749))</f>
        <v>0</v>
      </c>
      <c r="I749" t="s">
        <v>1510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1551</v>
      </c>
      <c r="B751" t="s">
        <v>1481</v>
      </c>
      <c r="C751" t="s">
        <v>1472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1551</v>
      </c>
      <c r="B752" t="s">
        <v>1481</v>
      </c>
      <c r="C752" t="s">
        <v>1472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1551</v>
      </c>
      <c r="B753" t="s">
        <v>1481</v>
      </c>
      <c r="C753" t="s">
        <v>1472</v>
      </c>
      <c r="D753">
        <v>1</v>
      </c>
      <c r="E753" t="s">
        <v>1161</v>
      </c>
      <c r="F753">
        <f>MAX(MAX(L753:AE753),-MIN(L753:AE753))</f>
        <v>0</v>
      </c>
      <c r="I753" t="s">
        <v>1510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1552</v>
      </c>
      <c r="B755" t="s">
        <v>1482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1552</v>
      </c>
      <c r="B756" t="s">
        <v>1482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1552</v>
      </c>
      <c r="B757" t="s">
        <v>1482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1510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1553</v>
      </c>
      <c r="B759" t="s">
        <v>1482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1553</v>
      </c>
      <c r="B760" t="s">
        <v>1482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1553</v>
      </c>
      <c r="B761" t="s">
        <v>1482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1510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1554</v>
      </c>
      <c r="B763" t="s">
        <v>1482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1554</v>
      </c>
      <c r="B764" t="s">
        <v>1482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1554</v>
      </c>
      <c r="B765" t="s">
        <v>1482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1510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1555</v>
      </c>
      <c r="B767" t="s">
        <v>1482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1555</v>
      </c>
      <c r="B768" t="s">
        <v>1482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1555</v>
      </c>
      <c r="B769" t="s">
        <v>1482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1510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1556</v>
      </c>
      <c r="B771" t="s">
        <v>1482</v>
      </c>
      <c r="C771" t="s">
        <v>1443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1556</v>
      </c>
      <c r="B772" t="s">
        <v>1482</v>
      </c>
      <c r="C772" t="s">
        <v>1443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1556</v>
      </c>
      <c r="B773" t="s">
        <v>1482</v>
      </c>
      <c r="C773" t="s">
        <v>1443</v>
      </c>
      <c r="D773">
        <v>1</v>
      </c>
      <c r="E773" t="s">
        <v>1161</v>
      </c>
      <c r="F773">
        <f>MAX(MAX(L773:AE773),-MIN(L773:AE773))</f>
        <v>8.8817841970012523E-16</v>
      </c>
      <c r="I773" t="s">
        <v>1510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1557</v>
      </c>
      <c r="B775" t="s">
        <v>1482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1557</v>
      </c>
      <c r="B776" t="s">
        <v>1482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1557</v>
      </c>
      <c r="B777" t="s">
        <v>1482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1510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1558</v>
      </c>
      <c r="B779" t="s">
        <v>1482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1558</v>
      </c>
      <c r="B780" t="s">
        <v>1482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1558</v>
      </c>
      <c r="B781" t="s">
        <v>1482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1510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1559</v>
      </c>
      <c r="B783" t="s">
        <v>1482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1559</v>
      </c>
      <c r="B784" t="s">
        <v>1482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1559</v>
      </c>
      <c r="B785" t="s">
        <v>1482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1510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1560</v>
      </c>
      <c r="B787" t="s">
        <v>1482</v>
      </c>
      <c r="C787" t="s">
        <v>1487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1560</v>
      </c>
      <c r="B788" t="s">
        <v>1482</v>
      </c>
      <c r="C788" t="s">
        <v>1487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1560</v>
      </c>
      <c r="B789" t="s">
        <v>1482</v>
      </c>
      <c r="C789" t="s">
        <v>1487</v>
      </c>
      <c r="D789">
        <v>1</v>
      </c>
      <c r="E789" t="s">
        <v>1161</v>
      </c>
      <c r="F789">
        <f>MAX(MAX(L789:AE789),-MIN(L789:AE789))</f>
        <v>7.1054273576010019E-15</v>
      </c>
      <c r="I789" t="s">
        <v>1510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1561</v>
      </c>
      <c r="B791" t="s">
        <v>1488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1561</v>
      </c>
      <c r="B792" t="s">
        <v>1488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1561</v>
      </c>
      <c r="B793" t="s">
        <v>1488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1510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1562</v>
      </c>
      <c r="B795" t="s">
        <v>1488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1562</v>
      </c>
      <c r="B796" t="s">
        <v>1488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1562</v>
      </c>
      <c r="B797" t="s">
        <v>1488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1510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1563</v>
      </c>
      <c r="B799" t="s">
        <v>1488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1563</v>
      </c>
      <c r="B800" t="s">
        <v>1488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1563</v>
      </c>
      <c r="B801" t="s">
        <v>1488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1510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1564</v>
      </c>
      <c r="B803" t="s">
        <v>1488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1564</v>
      </c>
      <c r="B804" t="s">
        <v>1488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1564</v>
      </c>
      <c r="B805" t="s">
        <v>1488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1510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1565</v>
      </c>
      <c r="B807" t="s">
        <v>1488</v>
      </c>
      <c r="C807" t="s">
        <v>1443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1565</v>
      </c>
      <c r="B808" t="s">
        <v>1488</v>
      </c>
      <c r="C808" t="s">
        <v>1443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1565</v>
      </c>
      <c r="B809" t="s">
        <v>1488</v>
      </c>
      <c r="C809" t="s">
        <v>1443</v>
      </c>
      <c r="D809">
        <v>1</v>
      </c>
      <c r="E809" t="s">
        <v>1161</v>
      </c>
      <c r="F809">
        <f>MAX(MAX(L809:AE809),-MIN(L809:AE809))</f>
        <v>0</v>
      </c>
      <c r="I809" t="s">
        <v>1510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1566</v>
      </c>
      <c r="B811" t="s">
        <v>1488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1566</v>
      </c>
      <c r="B812" t="s">
        <v>1488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1566</v>
      </c>
      <c r="B813" t="s">
        <v>1488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1510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1567</v>
      </c>
      <c r="B815" t="s">
        <v>1488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1567</v>
      </c>
      <c r="B816" t="s">
        <v>1488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1567</v>
      </c>
      <c r="B817" t="s">
        <v>1488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1510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1568</v>
      </c>
      <c r="B819" t="s">
        <v>1488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1568</v>
      </c>
      <c r="B820" t="s">
        <v>1488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1568</v>
      </c>
      <c r="B821" t="s">
        <v>1488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1510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1569</v>
      </c>
      <c r="B823" t="s">
        <v>1488</v>
      </c>
      <c r="C823" t="s">
        <v>1487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1569</v>
      </c>
      <c r="B824" t="s">
        <v>1488</v>
      </c>
      <c r="C824" t="s">
        <v>1487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1569</v>
      </c>
      <c r="B825" t="s">
        <v>1488</v>
      </c>
      <c r="C825" t="s">
        <v>1487</v>
      </c>
      <c r="D825">
        <v>1</v>
      </c>
      <c r="E825" t="s">
        <v>1161</v>
      </c>
      <c r="F825">
        <f>MAX(MAX(L825:AE825),-MIN(L825:AE825))</f>
        <v>0</v>
      </c>
      <c r="I825" t="s">
        <v>1510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1570</v>
      </c>
      <c r="B827" t="s">
        <v>1489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1570</v>
      </c>
      <c r="B828" t="s">
        <v>1489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1570</v>
      </c>
      <c r="B829" t="s">
        <v>1489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1510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1571</v>
      </c>
      <c r="B831" t="s">
        <v>1489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1571</v>
      </c>
      <c r="B832" t="s">
        <v>1489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1571</v>
      </c>
      <c r="B833" t="s">
        <v>1489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1510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1572</v>
      </c>
      <c r="B835" t="s">
        <v>1489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1572</v>
      </c>
      <c r="B836" t="s">
        <v>1489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1572</v>
      </c>
      <c r="B837" t="s">
        <v>1489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1510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1573</v>
      </c>
      <c r="B839" t="s">
        <v>1489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1573</v>
      </c>
      <c r="B840" t="s">
        <v>1489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1573</v>
      </c>
      <c r="B841" t="s">
        <v>1489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1510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1574</v>
      </c>
      <c r="B843" t="s">
        <v>1489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1574</v>
      </c>
      <c r="B844" t="s">
        <v>1489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1574</v>
      </c>
      <c r="B845" t="s">
        <v>1489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1510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1575</v>
      </c>
      <c r="B847" t="s">
        <v>1489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1575</v>
      </c>
      <c r="B848" t="s">
        <v>1489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1575</v>
      </c>
      <c r="B849" t="s">
        <v>1489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1510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1576</v>
      </c>
      <c r="B851" t="s">
        <v>1489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1576</v>
      </c>
      <c r="B852" t="s">
        <v>1489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1576</v>
      </c>
      <c r="B853" t="s">
        <v>1489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1510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1577</v>
      </c>
      <c r="B855" t="s">
        <v>1489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1577</v>
      </c>
      <c r="B856" t="s">
        <v>1489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1577</v>
      </c>
      <c r="B857" t="s">
        <v>1489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1510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1578</v>
      </c>
      <c r="B859" t="s">
        <v>1489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1578</v>
      </c>
      <c r="B860" t="s">
        <v>1489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1578</v>
      </c>
      <c r="B861" t="s">
        <v>1489</v>
      </c>
      <c r="D861">
        <v>1</v>
      </c>
      <c r="E861" t="s">
        <v>1161</v>
      </c>
      <c r="F861">
        <f>MAX(MAX(L861:AE861),-MIN(L861:AE861))</f>
        <v>0</v>
      </c>
      <c r="I861" t="s">
        <v>1510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1579</v>
      </c>
      <c r="B863" t="s">
        <v>1492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1579</v>
      </c>
      <c r="B864" t="s">
        <v>1492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1579</v>
      </c>
      <c r="B865" t="s">
        <v>1492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1510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1580</v>
      </c>
      <c r="B867" t="s">
        <v>1492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1580</v>
      </c>
      <c r="B868" t="s">
        <v>1492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1580</v>
      </c>
      <c r="B869" t="s">
        <v>1492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1510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1581</v>
      </c>
      <c r="B871" t="s">
        <v>1492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1581</v>
      </c>
      <c r="B872" t="s">
        <v>1492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1581</v>
      </c>
      <c r="B873" t="s">
        <v>1492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1510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1582</v>
      </c>
      <c r="B875" t="s">
        <v>1492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1582</v>
      </c>
      <c r="B876" t="s">
        <v>1492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1582</v>
      </c>
      <c r="B877" t="s">
        <v>1492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1510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1583</v>
      </c>
      <c r="B879" t="s">
        <v>1492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1583</v>
      </c>
      <c r="B880" t="s">
        <v>1492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1583</v>
      </c>
      <c r="B881" t="s">
        <v>1492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1510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1584</v>
      </c>
      <c r="B883" t="s">
        <v>1492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1584</v>
      </c>
      <c r="B884" t="s">
        <v>1492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1584</v>
      </c>
      <c r="B885" t="s">
        <v>1492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1510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1585</v>
      </c>
      <c r="B887" t="s">
        <v>1492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1585</v>
      </c>
      <c r="B888" t="s">
        <v>1492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1585</v>
      </c>
      <c r="B889" t="s">
        <v>1492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1510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1586</v>
      </c>
      <c r="B891" t="s">
        <v>1492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1586</v>
      </c>
      <c r="B892" t="s">
        <v>1492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1586</v>
      </c>
      <c r="B893" t="s">
        <v>1492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1510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1587</v>
      </c>
      <c r="B895" t="s">
        <v>1492</v>
      </c>
      <c r="C895" t="s">
        <v>1493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1587</v>
      </c>
      <c r="B896" t="s">
        <v>1492</v>
      </c>
      <c r="C896" t="s">
        <v>1493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1587</v>
      </c>
      <c r="B897" t="s">
        <v>1492</v>
      </c>
      <c r="C897" t="s">
        <v>1493</v>
      </c>
      <c r="D897">
        <v>1</v>
      </c>
      <c r="E897" t="s">
        <v>1161</v>
      </c>
      <c r="F897">
        <f>MAX(MAX(L897:AE897),-MIN(L897:AE897))</f>
        <v>0</v>
      </c>
      <c r="I897" t="s">
        <v>1510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1588</v>
      </c>
      <c r="B899" t="s">
        <v>1494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1588</v>
      </c>
      <c r="B900" t="s">
        <v>1494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1588</v>
      </c>
      <c r="B901" t="s">
        <v>1494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1589</v>
      </c>
      <c r="J901" t="s">
        <v>1590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1591</v>
      </c>
      <c r="B903" t="s">
        <v>1494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1591</v>
      </c>
      <c r="B904" t="s">
        <v>1494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1591</v>
      </c>
      <c r="B905" t="s">
        <v>1494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1589</v>
      </c>
      <c r="J905" t="s">
        <v>1590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1592</v>
      </c>
      <c r="B907" t="s">
        <v>1494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1592</v>
      </c>
      <c r="B908" t="s">
        <v>1494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1592</v>
      </c>
      <c r="B909" t="s">
        <v>1494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1589</v>
      </c>
      <c r="J909" t="s">
        <v>1590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1593</v>
      </c>
      <c r="B911" t="s">
        <v>1494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1593</v>
      </c>
      <c r="B912" t="s">
        <v>1494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1593</v>
      </c>
      <c r="B913" t="s">
        <v>1494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1589</v>
      </c>
      <c r="J913" t="s">
        <v>1590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1594</v>
      </c>
      <c r="B915" t="s">
        <v>1494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1594</v>
      </c>
      <c r="B916" t="s">
        <v>1494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1594</v>
      </c>
      <c r="B917" t="s">
        <v>1494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1589</v>
      </c>
      <c r="J917" t="s">
        <v>1590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1595</v>
      </c>
      <c r="B919" t="s">
        <v>1494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1595</v>
      </c>
      <c r="B920" t="s">
        <v>1494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1595</v>
      </c>
      <c r="B921" t="s">
        <v>1494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1589</v>
      </c>
      <c r="J921" t="s">
        <v>1590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1596</v>
      </c>
      <c r="B923" t="s">
        <v>1500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1596</v>
      </c>
      <c r="B924" t="s">
        <v>1500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1596</v>
      </c>
      <c r="B925" t="s">
        <v>1500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1510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1597</v>
      </c>
      <c r="B927" t="s">
        <v>1500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1597</v>
      </c>
      <c r="B928" t="s">
        <v>1500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1597</v>
      </c>
      <c r="B929" t="s">
        <v>1500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1510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1598</v>
      </c>
      <c r="B931" t="s">
        <v>1500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1598</v>
      </c>
      <c r="B932" t="s">
        <v>1500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1598</v>
      </c>
      <c r="B933" t="s">
        <v>1500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1510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1599</v>
      </c>
      <c r="B935" t="s">
        <v>1500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1599</v>
      </c>
      <c r="B936" t="s">
        <v>1500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1599</v>
      </c>
      <c r="B937" t="s">
        <v>1500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1510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1600</v>
      </c>
      <c r="B939" t="s">
        <v>1500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1600</v>
      </c>
      <c r="B940" t="s">
        <v>1500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1600</v>
      </c>
      <c r="B941" t="s">
        <v>1500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1510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1601</v>
      </c>
      <c r="B943" t="s">
        <v>1500</v>
      </c>
      <c r="C943" t="s">
        <v>111</v>
      </c>
      <c r="D943">
        <v>1</v>
      </c>
      <c r="E943" t="s">
        <v>1159</v>
      </c>
    </row>
    <row r="944" spans="1:31" x14ac:dyDescent="0.45">
      <c r="A944" t="s">
        <v>1601</v>
      </c>
      <c r="B944" t="s">
        <v>1500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1601</v>
      </c>
      <c r="B945" t="s">
        <v>1500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1510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1602</v>
      </c>
      <c r="B947" t="s">
        <v>1501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1602</v>
      </c>
      <c r="B948" t="s">
        <v>1501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1602</v>
      </c>
      <c r="B949" t="s">
        <v>1501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1510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1603</v>
      </c>
      <c r="B951" t="s">
        <v>1501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1603</v>
      </c>
      <c r="B952" t="s">
        <v>1501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1603</v>
      </c>
      <c r="B953" t="s">
        <v>1501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1510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1604</v>
      </c>
      <c r="B955" t="s">
        <v>1501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1604</v>
      </c>
      <c r="B956" t="s">
        <v>1501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1604</v>
      </c>
      <c r="B957" t="s">
        <v>1501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1510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1605</v>
      </c>
      <c r="B959" t="s">
        <v>1501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1605</v>
      </c>
      <c r="B960" t="s">
        <v>1501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1605</v>
      </c>
      <c r="B961" t="s">
        <v>1501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1510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1606</v>
      </c>
      <c r="B963" t="s">
        <v>1501</v>
      </c>
      <c r="C963" t="s">
        <v>1443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1606</v>
      </c>
      <c r="B964" t="s">
        <v>1501</v>
      </c>
      <c r="C964" t="s">
        <v>1443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1606</v>
      </c>
      <c r="B965" t="s">
        <v>1501</v>
      </c>
      <c r="C965" t="s">
        <v>1443</v>
      </c>
      <c r="D965">
        <v>1</v>
      </c>
      <c r="E965" t="s">
        <v>1161</v>
      </c>
      <c r="F965">
        <f>MAX(MAX(L965:AE965),-MIN(L965:AE965))</f>
        <v>0</v>
      </c>
      <c r="I965" t="s">
        <v>1510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1607</v>
      </c>
      <c r="B967" t="s">
        <v>1501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1607</v>
      </c>
      <c r="B968" t="s">
        <v>1501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1607</v>
      </c>
      <c r="B969" t="s">
        <v>1501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1510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1608</v>
      </c>
      <c r="B971" t="s">
        <v>1501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1608</v>
      </c>
      <c r="B972" t="s">
        <v>1501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1608</v>
      </c>
      <c r="B973" t="s">
        <v>1501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1510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1609</v>
      </c>
      <c r="B975" t="s">
        <v>1501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1609</v>
      </c>
      <c r="B976" t="s">
        <v>1501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1609</v>
      </c>
      <c r="B977" t="s">
        <v>1501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1510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1610</v>
      </c>
      <c r="B979" t="s">
        <v>1501</v>
      </c>
      <c r="C979" t="s">
        <v>1502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1610</v>
      </c>
      <c r="B980" t="s">
        <v>1501</v>
      </c>
      <c r="C980" t="s">
        <v>1502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1610</v>
      </c>
      <c r="B981" t="s">
        <v>1501</v>
      </c>
      <c r="C981" t="s">
        <v>1502</v>
      </c>
      <c r="D981">
        <v>1</v>
      </c>
      <c r="E981" t="s">
        <v>1161</v>
      </c>
      <c r="F981">
        <f>MAX(MAX(L981:AE981),-MIN(L981:AE981))</f>
        <v>0</v>
      </c>
      <c r="I981" t="s">
        <v>1510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1611</v>
      </c>
      <c r="B983" t="s">
        <v>1424</v>
      </c>
      <c r="C983" t="s">
        <v>1425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1611</v>
      </c>
      <c r="B984" t="s">
        <v>1424</v>
      </c>
      <c r="C984" t="s">
        <v>1425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1611</v>
      </c>
      <c r="B985" t="s">
        <v>1424</v>
      </c>
      <c r="C985" t="s">
        <v>1425</v>
      </c>
      <c r="D985">
        <v>2</v>
      </c>
      <c r="E985" t="s">
        <v>1161</v>
      </c>
      <c r="F985">
        <f>MAX(MAX(L985:AE985),-MIN(L985:AE985))</f>
        <v>187.5</v>
      </c>
      <c r="I985" t="s">
        <v>1589</v>
      </c>
      <c r="J985" t="s">
        <v>1612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1613</v>
      </c>
      <c r="B987" t="s">
        <v>1424</v>
      </c>
      <c r="C987" t="s">
        <v>1426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1613</v>
      </c>
      <c r="B988" t="s">
        <v>1424</v>
      </c>
      <c r="C988" t="s">
        <v>1426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1613</v>
      </c>
      <c r="B989" t="s">
        <v>1424</v>
      </c>
      <c r="C989" t="s">
        <v>1426</v>
      </c>
      <c r="D989">
        <v>2</v>
      </c>
      <c r="E989" t="s">
        <v>1161</v>
      </c>
      <c r="F989">
        <f>MAX(MAX(L989:AE989),-MIN(L989:AE989))</f>
        <v>0</v>
      </c>
      <c r="I989" t="s">
        <v>1510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1614</v>
      </c>
      <c r="B991" t="s">
        <v>1435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1614</v>
      </c>
      <c r="B992" t="s">
        <v>1435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1614</v>
      </c>
      <c r="B993" t="s">
        <v>1435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1510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1615</v>
      </c>
      <c r="B995" t="s">
        <v>1435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1615</v>
      </c>
      <c r="B996" t="s">
        <v>1435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1615</v>
      </c>
      <c r="B997" t="s">
        <v>1435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1510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1616</v>
      </c>
      <c r="B999" t="s">
        <v>1435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1616</v>
      </c>
      <c r="B1000" t="s">
        <v>1435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1616</v>
      </c>
      <c r="B1001" t="s">
        <v>1435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1510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1617</v>
      </c>
      <c r="B1003" t="s">
        <v>1435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1617</v>
      </c>
      <c r="B1004" t="s">
        <v>1435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1617</v>
      </c>
      <c r="B1005" t="s">
        <v>1435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1510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1618</v>
      </c>
      <c r="B1007" t="s">
        <v>1435</v>
      </c>
      <c r="C1007" t="s">
        <v>1443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1618</v>
      </c>
      <c r="B1008" t="s">
        <v>1435</v>
      </c>
      <c r="C1008" t="s">
        <v>1443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1618</v>
      </c>
      <c r="B1009" t="s">
        <v>1435</v>
      </c>
      <c r="C1009" t="s">
        <v>1443</v>
      </c>
      <c r="D1009">
        <v>2</v>
      </c>
      <c r="E1009" t="s">
        <v>1161</v>
      </c>
      <c r="F1009">
        <f>MAX(MAX(L1009:AE1009),-MIN(L1009:AE1009))</f>
        <v>0</v>
      </c>
      <c r="I1009" t="s">
        <v>1510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1619</v>
      </c>
      <c r="B1011" t="s">
        <v>1435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1619</v>
      </c>
      <c r="B1012" t="s">
        <v>1435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1619</v>
      </c>
      <c r="B1013" t="s">
        <v>1435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1510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1620</v>
      </c>
      <c r="B1015" t="s">
        <v>1435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1620</v>
      </c>
      <c r="B1016" t="s">
        <v>1435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1620</v>
      </c>
      <c r="B1017" t="s">
        <v>1435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1510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1621</v>
      </c>
      <c r="B1019" t="s">
        <v>1435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1621</v>
      </c>
      <c r="B1020" t="s">
        <v>1435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1621</v>
      </c>
      <c r="B1021" t="s">
        <v>1435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1510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1622</v>
      </c>
      <c r="B1023" t="s">
        <v>1448</v>
      </c>
      <c r="C1023" t="s">
        <v>1451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1622</v>
      </c>
      <c r="B1024" t="s">
        <v>1448</v>
      </c>
      <c r="C1024" t="s">
        <v>1451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1622</v>
      </c>
      <c r="B1025" t="s">
        <v>1448</v>
      </c>
      <c r="C1025" t="s">
        <v>1451</v>
      </c>
      <c r="D1025">
        <v>2</v>
      </c>
      <c r="E1025" t="s">
        <v>1161</v>
      </c>
      <c r="F1025">
        <f>MAX(MAX(L1025:AE1025),-MIN(L1025:AE1025))</f>
        <v>0</v>
      </c>
      <c r="I1025" t="s">
        <v>1510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1623</v>
      </c>
      <c r="B1027" t="s">
        <v>1448</v>
      </c>
      <c r="C1027" t="s">
        <v>1454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1623</v>
      </c>
      <c r="B1028" t="s">
        <v>1448</v>
      </c>
      <c r="C1028" t="s">
        <v>1454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1623</v>
      </c>
      <c r="B1029" t="s">
        <v>1448</v>
      </c>
      <c r="C1029" t="s">
        <v>1454</v>
      </c>
      <c r="D1029">
        <v>2</v>
      </c>
      <c r="E1029" t="s">
        <v>1161</v>
      </c>
      <c r="F1029">
        <f>MAX(MAX(L1029:AE1029),-MIN(L1029:AE1029))</f>
        <v>0</v>
      </c>
      <c r="I1029" t="s">
        <v>1510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1624</v>
      </c>
      <c r="B1031" t="s">
        <v>1448</v>
      </c>
      <c r="C1031" t="s">
        <v>1457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1624</v>
      </c>
      <c r="B1032" t="s">
        <v>1448</v>
      </c>
      <c r="C1032" t="s">
        <v>1457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1624</v>
      </c>
      <c r="B1033" t="s">
        <v>1448</v>
      </c>
      <c r="C1033" t="s">
        <v>1457</v>
      </c>
      <c r="D1033">
        <v>2</v>
      </c>
      <c r="E1033" t="s">
        <v>1161</v>
      </c>
      <c r="F1033">
        <f>MAX(MAX(L1033:AE1033),-MIN(L1033:AE1033))</f>
        <v>0</v>
      </c>
      <c r="I1033" t="s">
        <v>1510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1625</v>
      </c>
      <c r="B1035" t="s">
        <v>1448</v>
      </c>
      <c r="C1035" t="s">
        <v>1460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1625</v>
      </c>
      <c r="B1036" t="s">
        <v>1448</v>
      </c>
      <c r="C1036" t="s">
        <v>1460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1625</v>
      </c>
      <c r="B1037" t="s">
        <v>1448</v>
      </c>
      <c r="C1037" t="s">
        <v>1460</v>
      </c>
      <c r="D1037">
        <v>2</v>
      </c>
      <c r="E1037" t="s">
        <v>1161</v>
      </c>
      <c r="F1037">
        <f>MAX(MAX(L1037:AE1037),-MIN(L1037:AE1037))</f>
        <v>0</v>
      </c>
      <c r="I1037" t="s">
        <v>1510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1626</v>
      </c>
      <c r="B1039" t="s">
        <v>1448</v>
      </c>
      <c r="C1039" t="s">
        <v>1463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1626</v>
      </c>
      <c r="B1040" t="s">
        <v>1448</v>
      </c>
      <c r="C1040" t="s">
        <v>1463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1626</v>
      </c>
      <c r="B1041" t="s">
        <v>1448</v>
      </c>
      <c r="C1041" t="s">
        <v>1463</v>
      </c>
      <c r="D1041">
        <v>2</v>
      </c>
      <c r="E1041" t="s">
        <v>1161</v>
      </c>
      <c r="F1041">
        <f>MAX(MAX(L1041:AE1041),-MIN(L1041:AE1041))</f>
        <v>0</v>
      </c>
      <c r="I1041" t="s">
        <v>1510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1627</v>
      </c>
      <c r="B1043" t="s">
        <v>1448</v>
      </c>
      <c r="C1043" t="s">
        <v>1466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1627</v>
      </c>
      <c r="B1044" t="s">
        <v>1448</v>
      </c>
      <c r="C1044" t="s">
        <v>1466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1627</v>
      </c>
      <c r="B1045" t="s">
        <v>1448</v>
      </c>
      <c r="C1045" t="s">
        <v>1466</v>
      </c>
      <c r="D1045">
        <v>2</v>
      </c>
      <c r="E1045" t="s">
        <v>1161</v>
      </c>
      <c r="F1045">
        <f>MAX(MAX(L1045:AE1045),-MIN(L1045:AE1045))</f>
        <v>0</v>
      </c>
      <c r="I1045" t="s">
        <v>1510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1628</v>
      </c>
      <c r="B1047" t="s">
        <v>1448</v>
      </c>
      <c r="C1047" t="s">
        <v>1469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1628</v>
      </c>
      <c r="B1048" t="s">
        <v>1448</v>
      </c>
      <c r="C1048" t="s">
        <v>1469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1628</v>
      </c>
      <c r="B1049" t="s">
        <v>1448</v>
      </c>
      <c r="C1049" t="s">
        <v>1469</v>
      </c>
      <c r="D1049">
        <v>2</v>
      </c>
      <c r="E1049" t="s">
        <v>1161</v>
      </c>
      <c r="F1049">
        <f>MAX(MAX(L1049:AE1049),-MIN(L1049:AE1049))</f>
        <v>0</v>
      </c>
      <c r="I1049" t="s">
        <v>1510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1629</v>
      </c>
      <c r="B1051" t="s">
        <v>1448</v>
      </c>
      <c r="C1051" t="s">
        <v>1472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1629</v>
      </c>
      <c r="B1052" t="s">
        <v>1448</v>
      </c>
      <c r="C1052" t="s">
        <v>1472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1629</v>
      </c>
      <c r="B1053" t="s">
        <v>1448</v>
      </c>
      <c r="C1053" t="s">
        <v>1472</v>
      </c>
      <c r="D1053">
        <v>2</v>
      </c>
      <c r="E1053" t="s">
        <v>1161</v>
      </c>
      <c r="F1053">
        <f>MAX(MAX(L1053:AE1053),-MIN(L1053:AE1053))</f>
        <v>0</v>
      </c>
      <c r="I1053" t="s">
        <v>1510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1630</v>
      </c>
      <c r="B1055" t="s">
        <v>1475</v>
      </c>
      <c r="C1055" t="s">
        <v>1451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1630</v>
      </c>
      <c r="B1056" t="s">
        <v>1475</v>
      </c>
      <c r="C1056" t="s">
        <v>1451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1630</v>
      </c>
      <c r="B1057" t="s">
        <v>1475</v>
      </c>
      <c r="C1057" t="s">
        <v>1451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1589</v>
      </c>
      <c r="J1057" t="s">
        <v>1631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1632</v>
      </c>
      <c r="B1059" t="s">
        <v>1475</v>
      </c>
      <c r="C1059" t="s">
        <v>1454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1632</v>
      </c>
      <c r="B1060" t="s">
        <v>1475</v>
      </c>
      <c r="C1060" t="s">
        <v>1454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1632</v>
      </c>
      <c r="B1061" t="s">
        <v>1475</v>
      </c>
      <c r="C1061" t="s">
        <v>1454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1589</v>
      </c>
      <c r="J1061" t="s">
        <v>1631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1633</v>
      </c>
      <c r="B1063" t="s">
        <v>1475</v>
      </c>
      <c r="C1063" t="s">
        <v>1457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1633</v>
      </c>
      <c r="B1064" t="s">
        <v>1475</v>
      </c>
      <c r="C1064" t="s">
        <v>1457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1633</v>
      </c>
      <c r="B1065" t="s">
        <v>1475</v>
      </c>
      <c r="C1065" t="s">
        <v>1457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1589</v>
      </c>
      <c r="J1065" t="s">
        <v>1631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1634</v>
      </c>
      <c r="B1067" t="s">
        <v>1475</v>
      </c>
      <c r="C1067" t="s">
        <v>1460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1634</v>
      </c>
      <c r="B1068" t="s">
        <v>1475</v>
      </c>
      <c r="C1068" t="s">
        <v>1460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1634</v>
      </c>
      <c r="B1069" t="s">
        <v>1475</v>
      </c>
      <c r="C1069" t="s">
        <v>1460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1589</v>
      </c>
      <c r="J1069" t="s">
        <v>1631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1635</v>
      </c>
      <c r="B1071" t="s">
        <v>1475</v>
      </c>
      <c r="C1071" t="s">
        <v>1463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1635</v>
      </c>
      <c r="B1072" t="s">
        <v>1475</v>
      </c>
      <c r="C1072" t="s">
        <v>1463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1635</v>
      </c>
      <c r="B1073" t="s">
        <v>1475</v>
      </c>
      <c r="C1073" t="s">
        <v>1463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1589</v>
      </c>
      <c r="J1073" t="s">
        <v>1631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1636</v>
      </c>
      <c r="B1075" t="s">
        <v>1475</v>
      </c>
      <c r="C1075" t="s">
        <v>1466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1636</v>
      </c>
      <c r="B1076" t="s">
        <v>1475</v>
      </c>
      <c r="C1076" t="s">
        <v>1466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1636</v>
      </c>
      <c r="B1077" t="s">
        <v>1475</v>
      </c>
      <c r="C1077" t="s">
        <v>1466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1589</v>
      </c>
      <c r="J1077" t="s">
        <v>1631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1637</v>
      </c>
      <c r="B1079" t="s">
        <v>1475</v>
      </c>
      <c r="C1079" t="s">
        <v>1469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1637</v>
      </c>
      <c r="B1080" t="s">
        <v>1475</v>
      </c>
      <c r="C1080" t="s">
        <v>1469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1637</v>
      </c>
      <c r="B1081" t="s">
        <v>1475</v>
      </c>
      <c r="C1081" t="s">
        <v>1469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1589</v>
      </c>
      <c r="J1081" t="s">
        <v>1631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1638</v>
      </c>
      <c r="B1083" t="s">
        <v>1475</v>
      </c>
      <c r="C1083" t="s">
        <v>1472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1638</v>
      </c>
      <c r="B1084" t="s">
        <v>1475</v>
      </c>
      <c r="C1084" t="s">
        <v>1472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1638</v>
      </c>
      <c r="B1085" t="s">
        <v>1475</v>
      </c>
      <c r="C1085" t="s">
        <v>1472</v>
      </c>
      <c r="D1085">
        <v>2</v>
      </c>
      <c r="E1085" t="s">
        <v>1161</v>
      </c>
      <c r="F1085">
        <f>MAX(MAX(L1085:AE1085),-MIN(L1085:AE1085))</f>
        <v>29.25</v>
      </c>
      <c r="I1085" t="s">
        <v>1589</v>
      </c>
      <c r="J1085" t="s">
        <v>1631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1639</v>
      </c>
      <c r="B1087" t="s">
        <v>1478</v>
      </c>
      <c r="C1087" t="s">
        <v>1451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1639</v>
      </c>
      <c r="B1088" t="s">
        <v>1478</v>
      </c>
      <c r="C1088" t="s">
        <v>1451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1639</v>
      </c>
      <c r="B1089" t="s">
        <v>1478</v>
      </c>
      <c r="C1089" t="s">
        <v>1451</v>
      </c>
      <c r="D1089">
        <v>2</v>
      </c>
      <c r="E1089" t="s">
        <v>1161</v>
      </c>
      <c r="F1089">
        <f>MAX(MAX(L1089:AE1089),-MIN(L1089:AE1089))</f>
        <v>0</v>
      </c>
      <c r="I1089" t="s">
        <v>1510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1640</v>
      </c>
      <c r="B1091" t="s">
        <v>1478</v>
      </c>
      <c r="C1091" t="s">
        <v>1454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1640</v>
      </c>
      <c r="B1092" t="s">
        <v>1478</v>
      </c>
      <c r="C1092" t="s">
        <v>1454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1640</v>
      </c>
      <c r="B1093" t="s">
        <v>1478</v>
      </c>
      <c r="C1093" t="s">
        <v>1454</v>
      </c>
      <c r="D1093">
        <v>2</v>
      </c>
      <c r="E1093" t="s">
        <v>1161</v>
      </c>
      <c r="F1093">
        <f>MAX(MAX(L1093:AE1093),-MIN(L1093:AE1093))</f>
        <v>0</v>
      </c>
      <c r="I1093" t="s">
        <v>1510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1641</v>
      </c>
      <c r="B1095" t="s">
        <v>1478</v>
      </c>
      <c r="C1095" t="s">
        <v>1457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1641</v>
      </c>
      <c r="B1096" t="s">
        <v>1478</v>
      </c>
      <c r="C1096" t="s">
        <v>1457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1641</v>
      </c>
      <c r="B1097" t="s">
        <v>1478</v>
      </c>
      <c r="C1097" t="s">
        <v>1457</v>
      </c>
      <c r="D1097">
        <v>2</v>
      </c>
      <c r="E1097" t="s">
        <v>1161</v>
      </c>
      <c r="F1097">
        <f>MAX(MAX(L1097:AE1097),-MIN(L1097:AE1097))</f>
        <v>0</v>
      </c>
      <c r="I1097" t="s">
        <v>1510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1642</v>
      </c>
      <c r="B1099" t="s">
        <v>1478</v>
      </c>
      <c r="C1099" t="s">
        <v>1460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1642</v>
      </c>
      <c r="B1100" t="s">
        <v>1478</v>
      </c>
      <c r="C1100" t="s">
        <v>1460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1642</v>
      </c>
      <c r="B1101" t="s">
        <v>1478</v>
      </c>
      <c r="C1101" t="s">
        <v>1460</v>
      </c>
      <c r="D1101">
        <v>2</v>
      </c>
      <c r="E1101" t="s">
        <v>1161</v>
      </c>
      <c r="F1101">
        <f>MAX(MAX(L1101:AE1101),-MIN(L1101:AE1101))</f>
        <v>0</v>
      </c>
      <c r="I1101" t="s">
        <v>1510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1643</v>
      </c>
      <c r="B1103" t="s">
        <v>1478</v>
      </c>
      <c r="C1103" t="s">
        <v>1463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1643</v>
      </c>
      <c r="B1104" t="s">
        <v>1478</v>
      </c>
      <c r="C1104" t="s">
        <v>1463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1643</v>
      </c>
      <c r="B1105" t="s">
        <v>1478</v>
      </c>
      <c r="C1105" t="s">
        <v>1463</v>
      </c>
      <c r="D1105">
        <v>2</v>
      </c>
      <c r="E1105" t="s">
        <v>1161</v>
      </c>
      <c r="F1105">
        <f>MAX(MAX(L1105:AE1105),-MIN(L1105:AE1105))</f>
        <v>0</v>
      </c>
      <c r="I1105" t="s">
        <v>1510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1644</v>
      </c>
      <c r="B1107" t="s">
        <v>1478</v>
      </c>
      <c r="C1107" t="s">
        <v>1466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1644</v>
      </c>
      <c r="B1108" t="s">
        <v>1478</v>
      </c>
      <c r="C1108" t="s">
        <v>1466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1644</v>
      </c>
      <c r="B1109" t="s">
        <v>1478</v>
      </c>
      <c r="C1109" t="s">
        <v>1466</v>
      </c>
      <c r="D1109">
        <v>2</v>
      </c>
      <c r="E1109" t="s">
        <v>1161</v>
      </c>
      <c r="F1109">
        <f>MAX(MAX(L1109:AE1109),-MIN(L1109:AE1109))</f>
        <v>0</v>
      </c>
      <c r="I1109" t="s">
        <v>1510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1645</v>
      </c>
      <c r="B1111" t="s">
        <v>1478</v>
      </c>
      <c r="C1111" t="s">
        <v>1469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1645</v>
      </c>
      <c r="B1112" t="s">
        <v>1478</v>
      </c>
      <c r="C1112" t="s">
        <v>1469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1645</v>
      </c>
      <c r="B1113" t="s">
        <v>1478</v>
      </c>
      <c r="C1113" t="s">
        <v>1469</v>
      </c>
      <c r="D1113">
        <v>2</v>
      </c>
      <c r="E1113" t="s">
        <v>1161</v>
      </c>
      <c r="F1113">
        <f>MAX(MAX(L1113:AE1113),-MIN(L1113:AE1113))</f>
        <v>0</v>
      </c>
      <c r="I1113" t="s">
        <v>1510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1646</v>
      </c>
      <c r="B1115" t="s">
        <v>1478</v>
      </c>
      <c r="C1115" t="s">
        <v>1472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1646</v>
      </c>
      <c r="B1116" t="s">
        <v>1478</v>
      </c>
      <c r="C1116" t="s">
        <v>1472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1646</v>
      </c>
      <c r="B1117" t="s">
        <v>1478</v>
      </c>
      <c r="C1117" t="s">
        <v>1472</v>
      </c>
      <c r="D1117">
        <v>2</v>
      </c>
      <c r="E1117" t="s">
        <v>1161</v>
      </c>
      <c r="F1117">
        <f>MAX(MAX(L1117:AE1117),-MIN(L1117:AE1117))</f>
        <v>0</v>
      </c>
      <c r="I1117" t="s">
        <v>1510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1647</v>
      </c>
      <c r="B1119" t="s">
        <v>1481</v>
      </c>
      <c r="C1119" t="s">
        <v>1451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1647</v>
      </c>
      <c r="B1120" t="s">
        <v>1481</v>
      </c>
      <c r="C1120" t="s">
        <v>1451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1647</v>
      </c>
      <c r="B1121" t="s">
        <v>1481</v>
      </c>
      <c r="C1121" t="s">
        <v>1451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1589</v>
      </c>
      <c r="J1121" t="s">
        <v>1631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1648</v>
      </c>
      <c r="B1123" t="s">
        <v>1481</v>
      </c>
      <c r="C1123" t="s">
        <v>1454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1648</v>
      </c>
      <c r="B1124" t="s">
        <v>1481</v>
      </c>
      <c r="C1124" t="s">
        <v>1454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1648</v>
      </c>
      <c r="B1125" t="s">
        <v>1481</v>
      </c>
      <c r="C1125" t="s">
        <v>1454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1589</v>
      </c>
      <c r="J1125" t="s">
        <v>1631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1649</v>
      </c>
      <c r="B1127" t="s">
        <v>1481</v>
      </c>
      <c r="C1127" t="s">
        <v>1457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1649</v>
      </c>
      <c r="B1128" t="s">
        <v>1481</v>
      </c>
      <c r="C1128" t="s">
        <v>1457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1649</v>
      </c>
      <c r="B1129" t="s">
        <v>1481</v>
      </c>
      <c r="C1129" t="s">
        <v>1457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1589</v>
      </c>
      <c r="J1129" t="s">
        <v>1631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1650</v>
      </c>
      <c r="B1131" t="s">
        <v>1481</v>
      </c>
      <c r="C1131" t="s">
        <v>1460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1650</v>
      </c>
      <c r="B1132" t="s">
        <v>1481</v>
      </c>
      <c r="C1132" t="s">
        <v>1460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1650</v>
      </c>
      <c r="B1133" t="s">
        <v>1481</v>
      </c>
      <c r="C1133" t="s">
        <v>1460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1589</v>
      </c>
      <c r="J1133" t="s">
        <v>1631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1651</v>
      </c>
      <c r="B1135" t="s">
        <v>1481</v>
      </c>
      <c r="C1135" t="s">
        <v>1463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1651</v>
      </c>
      <c r="B1136" t="s">
        <v>1481</v>
      </c>
      <c r="C1136" t="s">
        <v>1463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1651</v>
      </c>
      <c r="B1137" t="s">
        <v>1481</v>
      </c>
      <c r="C1137" t="s">
        <v>1463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1589</v>
      </c>
      <c r="J1137" t="s">
        <v>1631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1652</v>
      </c>
      <c r="B1139" t="s">
        <v>1481</v>
      </c>
      <c r="C1139" t="s">
        <v>1466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1652</v>
      </c>
      <c r="B1140" t="s">
        <v>1481</v>
      </c>
      <c r="C1140" t="s">
        <v>1466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1652</v>
      </c>
      <c r="B1141" t="s">
        <v>1481</v>
      </c>
      <c r="C1141" t="s">
        <v>1466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1589</v>
      </c>
      <c r="J1141" t="s">
        <v>1631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1653</v>
      </c>
      <c r="B1143" t="s">
        <v>1481</v>
      </c>
      <c r="C1143" t="s">
        <v>1469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1653</v>
      </c>
      <c r="B1144" t="s">
        <v>1481</v>
      </c>
      <c r="C1144" t="s">
        <v>1469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1653</v>
      </c>
      <c r="B1145" t="s">
        <v>1481</v>
      </c>
      <c r="C1145" t="s">
        <v>1469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1589</v>
      </c>
      <c r="J1145" t="s">
        <v>1631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1654</v>
      </c>
      <c r="B1147" t="s">
        <v>1481</v>
      </c>
      <c r="C1147" t="s">
        <v>1472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1654</v>
      </c>
      <c r="B1148" t="s">
        <v>1481</v>
      </c>
      <c r="C1148" t="s">
        <v>1472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1654</v>
      </c>
      <c r="B1149" t="s">
        <v>1481</v>
      </c>
      <c r="C1149" t="s">
        <v>1472</v>
      </c>
      <c r="D1149">
        <v>2</v>
      </c>
      <c r="E1149" t="s">
        <v>1161</v>
      </c>
      <c r="F1149">
        <f>MAX(MAX(L1149:AE1149),-MIN(L1149:AE1149))</f>
        <v>1.21875E-2</v>
      </c>
      <c r="I1149" t="s">
        <v>1589</v>
      </c>
      <c r="J1149" t="s">
        <v>1631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1655</v>
      </c>
      <c r="B1151" t="s">
        <v>1482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1655</v>
      </c>
      <c r="B1152" t="s">
        <v>1482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1655</v>
      </c>
      <c r="B1153" t="s">
        <v>1482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1510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1656</v>
      </c>
      <c r="B1155" t="s">
        <v>1482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1656</v>
      </c>
      <c r="B1156" t="s">
        <v>1482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1656</v>
      </c>
      <c r="B1157" t="s">
        <v>1482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1510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1657</v>
      </c>
      <c r="B1159" t="s">
        <v>1482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1657</v>
      </c>
      <c r="B1160" t="s">
        <v>1482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1657</v>
      </c>
      <c r="B1161" t="s">
        <v>1482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1510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1658</v>
      </c>
      <c r="B1163" t="s">
        <v>1482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1658</v>
      </c>
      <c r="B1164" t="s">
        <v>1482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1658</v>
      </c>
      <c r="B1165" t="s">
        <v>1482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1510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1659</v>
      </c>
      <c r="B1167" t="s">
        <v>1482</v>
      </c>
      <c r="C1167" t="s">
        <v>1443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1659</v>
      </c>
      <c r="B1168" t="s">
        <v>1482</v>
      </c>
      <c r="C1168" t="s">
        <v>1443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1659</v>
      </c>
      <c r="B1169" t="s">
        <v>1482</v>
      </c>
      <c r="C1169" t="s">
        <v>1443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1510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1660</v>
      </c>
      <c r="B1171" t="s">
        <v>1482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1660</v>
      </c>
      <c r="B1172" t="s">
        <v>1482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1660</v>
      </c>
      <c r="B1173" t="s">
        <v>1482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1510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1661</v>
      </c>
      <c r="B1175" t="s">
        <v>1482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1661</v>
      </c>
      <c r="B1176" t="s">
        <v>1482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1661</v>
      </c>
      <c r="B1177" t="s">
        <v>1482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1510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1662</v>
      </c>
      <c r="B1179" t="s">
        <v>1482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1662</v>
      </c>
      <c r="B1180" t="s">
        <v>1482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1662</v>
      </c>
      <c r="B1181" t="s">
        <v>1482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1510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1663</v>
      </c>
      <c r="B1183" t="s">
        <v>1482</v>
      </c>
      <c r="C1183" t="s">
        <v>1487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1663</v>
      </c>
      <c r="B1184" t="s">
        <v>1482</v>
      </c>
      <c r="C1184" t="s">
        <v>1487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1663</v>
      </c>
      <c r="B1185" t="s">
        <v>1482</v>
      </c>
      <c r="C1185" t="s">
        <v>1487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1510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1664</v>
      </c>
      <c r="B1187" t="s">
        <v>1488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1664</v>
      </c>
      <c r="B1188" t="s">
        <v>1488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1664</v>
      </c>
      <c r="B1189" t="s">
        <v>1488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1510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1665</v>
      </c>
      <c r="B1191" t="s">
        <v>1488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1665</v>
      </c>
      <c r="B1192" t="s">
        <v>1488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1665</v>
      </c>
      <c r="B1193" t="s">
        <v>1488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1510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1666</v>
      </c>
      <c r="B1195" t="s">
        <v>1488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1666</v>
      </c>
      <c r="B1196" t="s">
        <v>1488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1666</v>
      </c>
      <c r="B1197" t="s">
        <v>1488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1510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1667</v>
      </c>
      <c r="B1199" t="s">
        <v>1488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1667</v>
      </c>
      <c r="B1200" t="s">
        <v>1488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1667</v>
      </c>
      <c r="B1201" t="s">
        <v>1488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1510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1668</v>
      </c>
      <c r="B1203" t="s">
        <v>1488</v>
      </c>
      <c r="C1203" t="s">
        <v>1443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1668</v>
      </c>
      <c r="B1204" t="s">
        <v>1488</v>
      </c>
      <c r="C1204" t="s">
        <v>1443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1668</v>
      </c>
      <c r="B1205" t="s">
        <v>1488</v>
      </c>
      <c r="C1205" t="s">
        <v>1443</v>
      </c>
      <c r="D1205">
        <v>2</v>
      </c>
      <c r="E1205" t="s">
        <v>1161</v>
      </c>
      <c r="F1205">
        <f>MAX(MAX(L1205:AE1205),-MIN(L1205:AE1205))</f>
        <v>0</v>
      </c>
      <c r="I1205" t="s">
        <v>1510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1669</v>
      </c>
      <c r="B1207" t="s">
        <v>1488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1669</v>
      </c>
      <c r="B1208" t="s">
        <v>1488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1669</v>
      </c>
      <c r="B1209" t="s">
        <v>1488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1510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1670</v>
      </c>
      <c r="B1211" t="s">
        <v>1488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1670</v>
      </c>
      <c r="B1212" t="s">
        <v>1488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1670</v>
      </c>
      <c r="B1213" t="s">
        <v>1488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1510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1671</v>
      </c>
      <c r="B1215" t="s">
        <v>1488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1671</v>
      </c>
      <c r="B1216" t="s">
        <v>1488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1671</v>
      </c>
      <c r="B1217" t="s">
        <v>1488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1510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1672</v>
      </c>
      <c r="B1219" t="s">
        <v>1488</v>
      </c>
      <c r="C1219" t="s">
        <v>1487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1672</v>
      </c>
      <c r="B1220" t="s">
        <v>1488</v>
      </c>
      <c r="C1220" t="s">
        <v>1487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1672</v>
      </c>
      <c r="B1221" t="s">
        <v>1488</v>
      </c>
      <c r="C1221" t="s">
        <v>1487</v>
      </c>
      <c r="D1221">
        <v>2</v>
      </c>
      <c r="E1221" t="s">
        <v>1161</v>
      </c>
      <c r="F1221">
        <f>MAX(MAX(L1221:AE1221),-MIN(L1221:AE1221))</f>
        <v>0</v>
      </c>
      <c r="I1221" t="s">
        <v>1510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1673</v>
      </c>
      <c r="B1223" t="s">
        <v>1489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1673</v>
      </c>
      <c r="B1224" t="s">
        <v>1489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1673</v>
      </c>
      <c r="B1225" t="s">
        <v>1489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1510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1674</v>
      </c>
      <c r="B1227" t="s">
        <v>1489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1674</v>
      </c>
      <c r="B1228" t="s">
        <v>1489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1674</v>
      </c>
      <c r="B1229" t="s">
        <v>1489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1510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1675</v>
      </c>
      <c r="B1231" t="s">
        <v>1489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1675</v>
      </c>
      <c r="B1232" t="s">
        <v>1489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1675</v>
      </c>
      <c r="B1233" t="s">
        <v>1489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1510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1676</v>
      </c>
      <c r="B1235" t="s">
        <v>1489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1676</v>
      </c>
      <c r="B1236" t="s">
        <v>1489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1676</v>
      </c>
      <c r="B1237" t="s">
        <v>1489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1510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1677</v>
      </c>
      <c r="B1239" t="s">
        <v>1489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1677</v>
      </c>
      <c r="B1240" t="s">
        <v>1489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1677</v>
      </c>
      <c r="B1241" t="s">
        <v>1489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1510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1678</v>
      </c>
      <c r="B1243" t="s">
        <v>1489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1678</v>
      </c>
      <c r="B1244" t="s">
        <v>1489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1678</v>
      </c>
      <c r="B1245" t="s">
        <v>1489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1510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1679</v>
      </c>
      <c r="B1247" t="s">
        <v>1489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1679</v>
      </c>
      <c r="B1248" t="s">
        <v>1489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1679</v>
      </c>
      <c r="B1249" t="s">
        <v>1489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1510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1680</v>
      </c>
      <c r="B1251" t="s">
        <v>1489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1680</v>
      </c>
      <c r="B1252" t="s">
        <v>1489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1680</v>
      </c>
      <c r="B1253" t="s">
        <v>1489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1510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1681</v>
      </c>
      <c r="B1255" t="s">
        <v>1489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1681</v>
      </c>
      <c r="B1256" t="s">
        <v>1489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1681</v>
      </c>
      <c r="B1257" t="s">
        <v>1489</v>
      </c>
      <c r="D1257">
        <v>2</v>
      </c>
      <c r="E1257" t="s">
        <v>1161</v>
      </c>
      <c r="F1257">
        <f>MAX(MAX(L1257:AE1257),-MIN(L1257:AE1257))</f>
        <v>0</v>
      </c>
      <c r="I1257" t="s">
        <v>1510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1682</v>
      </c>
      <c r="B1259" t="s">
        <v>1492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1682</v>
      </c>
      <c r="B1260" t="s">
        <v>1492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1682</v>
      </c>
      <c r="B1261" t="s">
        <v>1492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1510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1683</v>
      </c>
      <c r="B1263" t="s">
        <v>1492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1683</v>
      </c>
      <c r="B1264" t="s">
        <v>1492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1683</v>
      </c>
      <c r="B1265" t="s">
        <v>1492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1510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1684</v>
      </c>
      <c r="B1267" t="s">
        <v>1492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1684</v>
      </c>
      <c r="B1268" t="s">
        <v>1492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1684</v>
      </c>
      <c r="B1269" t="s">
        <v>1492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1510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1685</v>
      </c>
      <c r="B1271" t="s">
        <v>1492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1685</v>
      </c>
      <c r="B1272" t="s">
        <v>1492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1685</v>
      </c>
      <c r="B1273" t="s">
        <v>1492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1510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1686</v>
      </c>
      <c r="B1275" t="s">
        <v>1492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1686</v>
      </c>
      <c r="B1276" t="s">
        <v>1492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1686</v>
      </c>
      <c r="B1277" t="s">
        <v>1492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1510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1687</v>
      </c>
      <c r="B1279" t="s">
        <v>1492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1687</v>
      </c>
      <c r="B1280" t="s">
        <v>1492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1687</v>
      </c>
      <c r="B1281" t="s">
        <v>1492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1510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1688</v>
      </c>
      <c r="B1283" t="s">
        <v>1492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1688</v>
      </c>
      <c r="B1284" t="s">
        <v>1492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1688</v>
      </c>
      <c r="B1285" t="s">
        <v>1492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1510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1689</v>
      </c>
      <c r="B1287" t="s">
        <v>1492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1689</v>
      </c>
      <c r="B1288" t="s">
        <v>1492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1689</v>
      </c>
      <c r="B1289" t="s">
        <v>1492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1510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1690</v>
      </c>
      <c r="B1291" t="s">
        <v>1492</v>
      </c>
      <c r="C1291" t="s">
        <v>1493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1690</v>
      </c>
      <c r="B1292" t="s">
        <v>1492</v>
      </c>
      <c r="C1292" t="s">
        <v>1493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1690</v>
      </c>
      <c r="B1293" t="s">
        <v>1492</v>
      </c>
      <c r="C1293" t="s">
        <v>1493</v>
      </c>
      <c r="D1293">
        <v>2</v>
      </c>
      <c r="E1293" t="s">
        <v>1161</v>
      </c>
      <c r="F1293">
        <f>MAX(MAX(L1293:AE1293),-MIN(L1293:AE1293))</f>
        <v>0</v>
      </c>
      <c r="I1293" t="s">
        <v>1510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1691</v>
      </c>
      <c r="B1295" t="s">
        <v>1494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1691</v>
      </c>
      <c r="B1296" t="s">
        <v>1494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1691</v>
      </c>
      <c r="B1297" t="s">
        <v>1494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1589</v>
      </c>
      <c r="J1297" t="s">
        <v>1590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1692</v>
      </c>
      <c r="B1299" t="s">
        <v>1494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1692</v>
      </c>
      <c r="B1300" t="s">
        <v>1494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1692</v>
      </c>
      <c r="B1301" t="s">
        <v>1494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1589</v>
      </c>
      <c r="J1301" t="s">
        <v>1590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1693</v>
      </c>
      <c r="B1303" t="s">
        <v>1494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1693</v>
      </c>
      <c r="B1304" t="s">
        <v>1494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1693</v>
      </c>
      <c r="B1305" t="s">
        <v>1494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1589</v>
      </c>
      <c r="J1305" t="s">
        <v>1590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1694</v>
      </c>
      <c r="B1307" t="s">
        <v>1494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1694</v>
      </c>
      <c r="B1308" t="s">
        <v>1494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1694</v>
      </c>
      <c r="B1309" t="s">
        <v>1494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1589</v>
      </c>
      <c r="J1309" t="s">
        <v>1590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1695</v>
      </c>
      <c r="B1311" t="s">
        <v>1494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1695</v>
      </c>
      <c r="B1312" t="s">
        <v>1494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1695</v>
      </c>
      <c r="B1313" t="s">
        <v>1494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1589</v>
      </c>
      <c r="J1313" t="s">
        <v>1590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1696</v>
      </c>
      <c r="B1315" t="s">
        <v>1494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1696</v>
      </c>
      <c r="B1316" t="s">
        <v>1494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1696</v>
      </c>
      <c r="B1317" t="s">
        <v>1494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1589</v>
      </c>
      <c r="J1317" t="s">
        <v>1590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1697</v>
      </c>
      <c r="B1319" t="s">
        <v>1500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1697</v>
      </c>
      <c r="B1320" t="s">
        <v>1500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1697</v>
      </c>
      <c r="B1321" t="s">
        <v>1500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1510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1698</v>
      </c>
      <c r="B1323" t="s">
        <v>1500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1698</v>
      </c>
      <c r="B1324" t="s">
        <v>1500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1698</v>
      </c>
      <c r="B1325" t="s">
        <v>1500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1510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1699</v>
      </c>
      <c r="B1327" t="s">
        <v>1500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1699</v>
      </c>
      <c r="B1328" t="s">
        <v>1500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1699</v>
      </c>
      <c r="B1329" t="s">
        <v>1500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1510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1700</v>
      </c>
      <c r="B1331" t="s">
        <v>1500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1700</v>
      </c>
      <c r="B1332" t="s">
        <v>1500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1700</v>
      </c>
      <c r="B1333" t="s">
        <v>1500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1510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1701</v>
      </c>
      <c r="B1335" t="s">
        <v>1500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1701</v>
      </c>
      <c r="B1336" t="s">
        <v>1500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1701</v>
      </c>
      <c r="B1337" t="s">
        <v>1500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1510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1702</v>
      </c>
      <c r="B1339" t="s">
        <v>1500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1702</v>
      </c>
      <c r="B1340" t="s">
        <v>1500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1702</v>
      </c>
      <c r="B1341" t="s">
        <v>1500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1510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1703</v>
      </c>
      <c r="B1343" t="s">
        <v>1501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1703</v>
      </c>
      <c r="B1344" t="s">
        <v>1501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2.9016276192000006</v>
      </c>
      <c r="R1344">
        <f>IF(ISBLANK(Mitigation_Industry!R791),"",Mitigation_Industry!R791)</f>
        <v>6.0585984688896017</v>
      </c>
      <c r="S1344">
        <f>IF(ISBLANK(Mitigation_Industry!S791),"",Mitigation_Industry!S791)</f>
        <v>9.4877652022811176</v>
      </c>
      <c r="T1344">
        <f>IF(ISBLANK(Mitigation_Industry!T791),"",Mitigation_Industry!T791)</f>
        <v>13.206969161575316</v>
      </c>
      <c r="U1344">
        <f>IF(ISBLANK(Mitigation_Industry!U791),"",Mitigation_Industry!U791)</f>
        <v>17.235094755855787</v>
      </c>
      <c r="V1344">
        <f>IF(ISBLANK(Mitigation_Industry!V791),"",Mitigation_Industry!V791)</f>
        <v>21.592126710136128</v>
      </c>
      <c r="W1344">
        <f>IF(ISBLANK(Mitigation_Industry!W791),"",Mitigation_Industry!W791)</f>
        <v>26.299210332945808</v>
      </c>
      <c r="X1344">
        <f>IF(ISBLANK(Mitigation_Industry!X791),"",Mitigation_Industry!X791)</f>
        <v>31.378714957251912</v>
      </c>
      <c r="Y1344">
        <f>IF(ISBLANK(Mitigation_Industry!Y791),"",Mitigation_Industry!Y791)</f>
        <v>36.854300717292375</v>
      </c>
      <c r="Z1344">
        <f>IF(ISBLANK(Mitigation_Industry!Z791),"",Mitigation_Industry!Z791)</f>
        <v>42.750988832059157</v>
      </c>
      <c r="AA1344">
        <f>IF(ISBLANK(Mitigation_Industry!AA791),"",Mitigation_Industry!AA791)</f>
        <v>49.095235574736733</v>
      </c>
      <c r="AB1344">
        <f>IF(ISBLANK(Mitigation_Industry!AB791),"",Mitigation_Industry!AB791)</f>
        <v>55.91501011639108</v>
      </c>
      <c r="AC1344">
        <f>IF(ISBLANK(Mitigation_Industry!AC791),"",Mitigation_Industry!AC791)</f>
        <v>63.239876441638302</v>
      </c>
      <c r="AD1344">
        <f>IF(ISBLANK(Mitigation_Industry!AD791),"",Mitigation_Industry!AD791)</f>
        <v>71.101079543921955</v>
      </c>
      <c r="AE1344">
        <f>IF(ISBLANK(Mitigation_Industry!AE791),"",Mitigation_Industry!AE791)</f>
        <v>79.531636118415562</v>
      </c>
    </row>
    <row r="1345" spans="1:31" x14ac:dyDescent="0.45">
      <c r="A1345" t="s">
        <v>1703</v>
      </c>
      <c r="B1345" t="s">
        <v>1501</v>
      </c>
      <c r="C1345" t="s">
        <v>1350</v>
      </c>
      <c r="D1345">
        <v>2</v>
      </c>
      <c r="E1345" t="s">
        <v>1161</v>
      </c>
      <c r="F1345">
        <f>MAX(MAX(L1345:AE1345),-MIN(L1345:AE1345))</f>
        <v>79.531636118415562</v>
      </c>
      <c r="I1345" t="s">
        <v>1589</v>
      </c>
      <c r="J1345" t="s">
        <v>1704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2.9016276192000006</v>
      </c>
      <c r="R1345">
        <f t="shared" si="333"/>
        <v>6.0585984688896017</v>
      </c>
      <c r="S1345">
        <f t="shared" si="333"/>
        <v>9.4877652022811176</v>
      </c>
      <c r="T1345">
        <f t="shared" si="333"/>
        <v>13.206969161575316</v>
      </c>
      <c r="U1345">
        <f t="shared" si="333"/>
        <v>17.235094755855787</v>
      </c>
      <c r="V1345">
        <f t="shared" si="333"/>
        <v>21.592126710136128</v>
      </c>
      <c r="W1345">
        <f t="shared" si="333"/>
        <v>26.299210332945808</v>
      </c>
      <c r="X1345">
        <f t="shared" si="333"/>
        <v>31.378714957251912</v>
      </c>
      <c r="Y1345">
        <f t="shared" si="333"/>
        <v>36.854300717292375</v>
      </c>
      <c r="Z1345">
        <f t="shared" si="333"/>
        <v>42.750988832059157</v>
      </c>
      <c r="AA1345">
        <f t="shared" si="333"/>
        <v>49.095235574736733</v>
      </c>
      <c r="AB1345">
        <f t="shared" si="333"/>
        <v>55.91501011639108</v>
      </c>
      <c r="AC1345">
        <f t="shared" si="333"/>
        <v>63.239876441638302</v>
      </c>
      <c r="AD1345">
        <f t="shared" si="333"/>
        <v>71.101079543921955</v>
      </c>
      <c r="AE1345">
        <f t="shared" si="333"/>
        <v>79.531636118415562</v>
      </c>
    </row>
    <row r="1347" spans="1:31" x14ac:dyDescent="0.45">
      <c r="A1347" t="s">
        <v>1705</v>
      </c>
      <c r="B1347" t="s">
        <v>1501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1705</v>
      </c>
      <c r="B1348" t="s">
        <v>1501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1.0241038655999999</v>
      </c>
      <c r="R1348">
        <f>IF(ISBLANK(Mitigation_Industry!R792),"",Mitigation_Industry!R792)</f>
        <v>2.1383288713728001</v>
      </c>
      <c r="S1348">
        <f>IF(ISBLANK(Mitigation_Industry!S792),"",Mitigation_Industry!S792)</f>
        <v>3.3486230125698047</v>
      </c>
      <c r="T1348">
        <f>IF(ISBLANK(Mitigation_Industry!T792),"",Mitigation_Industry!T792)</f>
        <v>4.6612832334971683</v>
      </c>
      <c r="U1348">
        <f>IF(ISBLANK(Mitigation_Industry!U792),"",Mitigation_Industry!U792)</f>
        <v>6.0829746197138057</v>
      </c>
      <c r="V1348">
        <f>IF(ISBLANK(Mitigation_Industry!V792),"",Mitigation_Industry!V792)</f>
        <v>7.6207506035774566</v>
      </c>
      <c r="W1348">
        <f>IF(ISBLANK(Mitigation_Industry!W792),"",Mitigation_Industry!W792)</f>
        <v>9.2820742351573404</v>
      </c>
      <c r="X1348">
        <f>IF(ISBLANK(Mitigation_Industry!X792),"",Mitigation_Industry!X792)</f>
        <v>11.07484057314773</v>
      </c>
      <c r="Y1348">
        <f>IF(ISBLANK(Mitigation_Industry!Y792),"",Mitigation_Industry!Y792)</f>
        <v>13.007400253162009</v>
      </c>
      <c r="Z1348">
        <f>IF(ISBLANK(Mitigation_Industry!Z792),"",Mitigation_Industry!Z792)</f>
        <v>15.088584293667932</v>
      </c>
      <c r="AA1348">
        <f>IF(ISBLANK(Mitigation_Industry!AA792),"",Mitigation_Industry!AA792)</f>
        <v>17.327730202848251</v>
      </c>
      <c r="AB1348">
        <f>IF(ISBLANK(Mitigation_Industry!AB792),"",Mitigation_Industry!AB792)</f>
        <v>19.734709452843898</v>
      </c>
      <c r="AC1348">
        <f>IF(ISBLANK(Mitigation_Industry!AC792),"",Mitigation_Industry!AC792)</f>
        <v>22.319956391166446</v>
      </c>
      <c r="AD1348">
        <f>IF(ISBLANK(Mitigation_Industry!AD792),"",Mitigation_Industry!AD792)</f>
        <v>25.094498662560675</v>
      </c>
      <c r="AE1348">
        <f>IF(ISBLANK(Mitigation_Industry!AE792),"",Mitigation_Industry!AE792)</f>
        <v>28.069989218264308</v>
      </c>
    </row>
    <row r="1349" spans="1:31" x14ac:dyDescent="0.45">
      <c r="A1349" t="s">
        <v>1705</v>
      </c>
      <c r="B1349" t="s">
        <v>1501</v>
      </c>
      <c r="C1349" t="s">
        <v>1357</v>
      </c>
      <c r="D1349">
        <v>2</v>
      </c>
      <c r="E1349" t="s">
        <v>1161</v>
      </c>
      <c r="F1349">
        <f>MAX(MAX(L1349:AE1349),-MIN(L1349:AE1349))</f>
        <v>28.069989218264308</v>
      </c>
      <c r="I1349" t="s">
        <v>1589</v>
      </c>
      <c r="J1349" t="s">
        <v>1704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1.0241038655999999</v>
      </c>
      <c r="R1349">
        <f t="shared" si="334"/>
        <v>2.1383288713728001</v>
      </c>
      <c r="S1349">
        <f t="shared" si="334"/>
        <v>3.3486230125698047</v>
      </c>
      <c r="T1349">
        <f t="shared" si="334"/>
        <v>4.6612832334971683</v>
      </c>
      <c r="U1349">
        <f t="shared" si="334"/>
        <v>6.0829746197138057</v>
      </c>
      <c r="V1349">
        <f t="shared" si="334"/>
        <v>7.6207506035774566</v>
      </c>
      <c r="W1349">
        <f t="shared" si="334"/>
        <v>9.2820742351573404</v>
      </c>
      <c r="X1349">
        <f t="shared" si="334"/>
        <v>11.07484057314773</v>
      </c>
      <c r="Y1349">
        <f t="shared" si="334"/>
        <v>13.007400253162009</v>
      </c>
      <c r="Z1349">
        <f t="shared" si="334"/>
        <v>15.088584293667932</v>
      </c>
      <c r="AA1349">
        <f t="shared" si="334"/>
        <v>17.327730202848251</v>
      </c>
      <c r="AB1349">
        <f t="shared" si="334"/>
        <v>19.734709452843898</v>
      </c>
      <c r="AC1349">
        <f t="shared" si="334"/>
        <v>22.319956391166446</v>
      </c>
      <c r="AD1349">
        <f t="shared" si="334"/>
        <v>25.094498662560675</v>
      </c>
      <c r="AE1349">
        <f t="shared" si="334"/>
        <v>28.069989218264308</v>
      </c>
    </row>
    <row r="1351" spans="1:31" x14ac:dyDescent="0.45">
      <c r="A1351" t="s">
        <v>1706</v>
      </c>
      <c r="B1351" t="s">
        <v>1501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1706</v>
      </c>
      <c r="B1352" t="s">
        <v>1501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1706</v>
      </c>
      <c r="B1353" t="s">
        <v>1501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1589</v>
      </c>
      <c r="J1353" t="s">
        <v>1704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1707</v>
      </c>
      <c r="B1355" t="s">
        <v>1501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1707</v>
      </c>
      <c r="B1356" t="s">
        <v>1501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362.38209053874988</v>
      </c>
      <c r="R1356">
        <f>IF(ISBLANK(Mitigation_Industry!R794),"",Mitigation_Industry!R794)</f>
        <v>748.68139905305725</v>
      </c>
      <c r="S1356">
        <f>IF(ISBLANK(Mitigation_Industry!S794),"",Mitigation_Industry!S794)</f>
        <v>1160.0818278327122</v>
      </c>
      <c r="T1356">
        <f>IF(ISBLANK(Mitigation_Industry!T794),"",Mitigation_Industry!T794)</f>
        <v>1597.8193708682556</v>
      </c>
      <c r="U1356">
        <f>IF(ISBLANK(Mitigation_Industry!U794),"",Mitigation_Industry!U794)</f>
        <v>2063.1842626336347</v>
      </c>
      <c r="V1356">
        <f>IF(ISBLANK(Mitigation_Industry!V794),"",Mitigation_Industry!V794)</f>
        <v>2557.523211960653</v>
      </c>
      <c r="W1356">
        <f>IF(ISBLANK(Mitigation_Industry!W794),"",Mitigation_Industry!W794)</f>
        <v>3082.2417242812476</v>
      </c>
      <c r="X1356">
        <f>IF(ISBLANK(Mitigation_Industry!X794),"",Mitigation_Industry!X794)</f>
        <v>3638.8065156371745</v>
      </c>
      <c r="Y1356">
        <f>IF(ISBLANK(Mitigation_Industry!Y794),"",Mitigation_Industry!Y794)</f>
        <v>4228.7480219848512</v>
      </c>
      <c r="Z1356">
        <f>IF(ISBLANK(Mitigation_Industry!Z794),"",Mitigation_Industry!Z794)</f>
        <v>4853.6630074559462</v>
      </c>
      <c r="AA1356">
        <f>IF(ISBLANK(Mitigation_Industry!AA794),"",Mitigation_Industry!AA794)</f>
        <v>5515.2172753721907</v>
      </c>
      <c r="AB1356">
        <f>IF(ISBLANK(Mitigation_Industry!AB794),"",Mitigation_Industry!AB794)</f>
        <v>6215.1484859557886</v>
      </c>
      <c r="AC1356">
        <f>IF(ISBLANK(Mitigation_Industry!AC794),"",Mitigation_Industry!AC794)</f>
        <v>6955.2690848250222</v>
      </c>
      <c r="AD1356">
        <f>IF(ISBLANK(Mitigation_Industry!AD794),"",Mitigation_Industry!AD794)</f>
        <v>7737.4693465184209</v>
      </c>
      <c r="AE1356">
        <f>IF(ISBLANK(Mitigation_Industry!AE794),"",Mitigation_Industry!AE794)</f>
        <v>8563.72053745021</v>
      </c>
    </row>
    <row r="1357" spans="1:31" x14ac:dyDescent="0.45">
      <c r="A1357" t="s">
        <v>1707</v>
      </c>
      <c r="B1357" t="s">
        <v>1501</v>
      </c>
      <c r="C1357" t="s">
        <v>1369</v>
      </c>
      <c r="D1357">
        <v>2</v>
      </c>
      <c r="E1357" t="s">
        <v>1161</v>
      </c>
      <c r="F1357">
        <f>MAX(MAX(L1357:AE1357),-MIN(L1357:AE1357))</f>
        <v>8563.72053745021</v>
      </c>
      <c r="I1357" t="s">
        <v>1589</v>
      </c>
      <c r="J1357" t="s">
        <v>1704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362.38209053874988</v>
      </c>
      <c r="R1357">
        <f t="shared" si="336"/>
        <v>748.68139905305725</v>
      </c>
      <c r="S1357">
        <f t="shared" si="336"/>
        <v>1160.0818278327122</v>
      </c>
      <c r="T1357">
        <f t="shared" si="336"/>
        <v>1597.8193708682556</v>
      </c>
      <c r="U1357">
        <f t="shared" si="336"/>
        <v>2063.1842626336347</v>
      </c>
      <c r="V1357">
        <f t="shared" si="336"/>
        <v>2557.523211960653</v>
      </c>
      <c r="W1357">
        <f t="shared" si="336"/>
        <v>3082.2417242812476</v>
      </c>
      <c r="X1357">
        <f t="shared" si="336"/>
        <v>3638.8065156371745</v>
      </c>
      <c r="Y1357">
        <f t="shared" si="336"/>
        <v>4228.7480219848512</v>
      </c>
      <c r="Z1357">
        <f t="shared" si="336"/>
        <v>4853.6630074559462</v>
      </c>
      <c r="AA1357">
        <f t="shared" si="336"/>
        <v>5515.2172753721907</v>
      </c>
      <c r="AB1357">
        <f t="shared" si="336"/>
        <v>6215.1484859557886</v>
      </c>
      <c r="AC1357">
        <f t="shared" si="336"/>
        <v>6955.2690848250222</v>
      </c>
      <c r="AD1357">
        <f t="shared" si="336"/>
        <v>7737.4693465184209</v>
      </c>
      <c r="AE1357">
        <f t="shared" si="336"/>
        <v>8563.72053745021</v>
      </c>
    </row>
    <row r="1359" spans="1:31" x14ac:dyDescent="0.45">
      <c r="A1359" t="s">
        <v>1708</v>
      </c>
      <c r="B1359" t="s">
        <v>1501</v>
      </c>
      <c r="C1359" t="s">
        <v>1443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1708</v>
      </c>
      <c r="B1360" t="s">
        <v>1501</v>
      </c>
      <c r="C1360" t="s">
        <v>1443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0</v>
      </c>
      <c r="R1360">
        <f>IF(ISBLANK(Mitigation_Industry!R795),"",Mitigation_Industry!R795)</f>
        <v>0</v>
      </c>
      <c r="S1360">
        <f>IF(ISBLANK(Mitigation_Industry!S795),"",Mitigation_Industry!S795)</f>
        <v>0</v>
      </c>
      <c r="T1360">
        <f>IF(ISBLANK(Mitigation_Industry!T795),"",Mitigation_Industry!T795)</f>
        <v>0</v>
      </c>
      <c r="U1360">
        <f>IF(ISBLANK(Mitigation_Industry!U795),"",Mitigation_Industry!U795)</f>
        <v>0</v>
      </c>
      <c r="V1360">
        <f>IF(ISBLANK(Mitigation_Industry!V795),"",Mitigation_Industry!V795)</f>
        <v>0</v>
      </c>
      <c r="W1360">
        <f>IF(ISBLANK(Mitigation_Industry!W795),"",Mitigation_Industry!W795)</f>
        <v>0</v>
      </c>
      <c r="X1360">
        <f>IF(ISBLANK(Mitigation_Industry!X795),"",Mitigation_Industry!X795)</f>
        <v>0</v>
      </c>
      <c r="Y1360">
        <f>IF(ISBLANK(Mitigation_Industry!Y795),"",Mitigation_Industry!Y795)</f>
        <v>0</v>
      </c>
      <c r="Z1360">
        <f>IF(ISBLANK(Mitigation_Industry!Z795),"",Mitigation_Industry!Z795)</f>
        <v>0</v>
      </c>
      <c r="AA1360">
        <f>IF(ISBLANK(Mitigation_Industry!AA795),"",Mitigation_Industry!AA795)</f>
        <v>0</v>
      </c>
      <c r="AB1360">
        <f>IF(ISBLANK(Mitigation_Industry!AB795),"",Mitigation_Industry!AB795)</f>
        <v>0</v>
      </c>
      <c r="AC1360">
        <f>IF(ISBLANK(Mitigation_Industry!AC795),"",Mitigation_Industry!AC795)</f>
        <v>0</v>
      </c>
      <c r="AD1360">
        <f>IF(ISBLANK(Mitigation_Industry!AD795),"",Mitigation_Industry!AD795)</f>
        <v>0</v>
      </c>
      <c r="AE1360">
        <f>IF(ISBLANK(Mitigation_Industry!AE795),"",Mitigation_Industry!AE795)</f>
        <v>0</v>
      </c>
    </row>
    <row r="1361" spans="1:31" x14ac:dyDescent="0.45">
      <c r="A1361" t="s">
        <v>1708</v>
      </c>
      <c r="B1361" t="s">
        <v>1501</v>
      </c>
      <c r="C1361" t="s">
        <v>1443</v>
      </c>
      <c r="D1361">
        <v>2</v>
      </c>
      <c r="E1361" t="s">
        <v>1161</v>
      </c>
      <c r="F1361">
        <f>MAX(MAX(L1361:AE1361),-MIN(L1361:AE1361))</f>
        <v>0</v>
      </c>
      <c r="I1361" t="s">
        <v>1589</v>
      </c>
      <c r="J1361" t="s">
        <v>1704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0</v>
      </c>
      <c r="R1361">
        <f t="shared" si="337"/>
        <v>0</v>
      </c>
      <c r="S1361">
        <f t="shared" si="337"/>
        <v>0</v>
      </c>
      <c r="T1361">
        <f t="shared" si="337"/>
        <v>0</v>
      </c>
      <c r="U1361">
        <f t="shared" si="337"/>
        <v>0</v>
      </c>
      <c r="V1361">
        <f t="shared" si="337"/>
        <v>0</v>
      </c>
      <c r="W1361">
        <f t="shared" si="337"/>
        <v>0</v>
      </c>
      <c r="X1361">
        <f t="shared" si="337"/>
        <v>0</v>
      </c>
      <c r="Y1361">
        <f t="shared" si="337"/>
        <v>0</v>
      </c>
      <c r="Z1361">
        <f t="shared" si="337"/>
        <v>0</v>
      </c>
      <c r="AA1361">
        <f t="shared" si="337"/>
        <v>0</v>
      </c>
      <c r="AB1361">
        <f t="shared" si="337"/>
        <v>0</v>
      </c>
      <c r="AC1361">
        <f t="shared" si="337"/>
        <v>0</v>
      </c>
      <c r="AD1361">
        <f t="shared" si="337"/>
        <v>0</v>
      </c>
      <c r="AE1361">
        <f t="shared" si="337"/>
        <v>0</v>
      </c>
    </row>
    <row r="1363" spans="1:31" x14ac:dyDescent="0.45">
      <c r="A1363" t="s">
        <v>1709</v>
      </c>
      <c r="B1363" t="s">
        <v>1501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1709</v>
      </c>
      <c r="B1364" t="s">
        <v>1501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0</v>
      </c>
      <c r="R1364">
        <f>IF(ISBLANK(Mitigation_Industry!R796),"",Mitigation_Industry!R796)</f>
        <v>0</v>
      </c>
      <c r="S1364">
        <f>IF(ISBLANK(Mitigation_Industry!S796),"",Mitigation_Industry!S796)</f>
        <v>0</v>
      </c>
      <c r="T1364">
        <f>IF(ISBLANK(Mitigation_Industry!T796),"",Mitigation_Industry!T796)</f>
        <v>0</v>
      </c>
      <c r="U1364">
        <f>IF(ISBLANK(Mitigation_Industry!U796),"",Mitigation_Industry!U796)</f>
        <v>0</v>
      </c>
      <c r="V1364">
        <f>IF(ISBLANK(Mitigation_Industry!V796),"",Mitigation_Industry!V796)</f>
        <v>0</v>
      </c>
      <c r="W1364">
        <f>IF(ISBLANK(Mitigation_Industry!W796),"",Mitigation_Industry!W796)</f>
        <v>0</v>
      </c>
      <c r="X1364">
        <f>IF(ISBLANK(Mitigation_Industry!X796),"",Mitigation_Industry!X796)</f>
        <v>0</v>
      </c>
      <c r="Y1364">
        <f>IF(ISBLANK(Mitigation_Industry!Y796),"",Mitigation_Industry!Y796)</f>
        <v>0</v>
      </c>
      <c r="Z1364">
        <f>IF(ISBLANK(Mitigation_Industry!Z796),"",Mitigation_Industry!Z796)</f>
        <v>0</v>
      </c>
      <c r="AA1364">
        <f>IF(ISBLANK(Mitigation_Industry!AA796),"",Mitigation_Industry!AA796)</f>
        <v>0</v>
      </c>
      <c r="AB1364">
        <f>IF(ISBLANK(Mitigation_Industry!AB796),"",Mitigation_Industry!AB796)</f>
        <v>0</v>
      </c>
      <c r="AC1364">
        <f>IF(ISBLANK(Mitigation_Industry!AC796),"",Mitigation_Industry!AC796)</f>
        <v>0</v>
      </c>
      <c r="AD1364">
        <f>IF(ISBLANK(Mitigation_Industry!AD796),"",Mitigation_Industry!AD796)</f>
        <v>0</v>
      </c>
      <c r="AE1364">
        <f>IF(ISBLANK(Mitigation_Industry!AE796),"",Mitigation_Industry!AE796)</f>
        <v>0</v>
      </c>
    </row>
    <row r="1365" spans="1:31" x14ac:dyDescent="0.45">
      <c r="A1365" t="s">
        <v>1709</v>
      </c>
      <c r="B1365" t="s">
        <v>1501</v>
      </c>
      <c r="C1365" t="s">
        <v>1383</v>
      </c>
      <c r="D1365">
        <v>2</v>
      </c>
      <c r="E1365" t="s">
        <v>1161</v>
      </c>
      <c r="F1365">
        <f>MAX(MAX(L1365:AE1365),-MIN(L1365:AE1365))</f>
        <v>0</v>
      </c>
      <c r="I1365" t="s">
        <v>1589</v>
      </c>
      <c r="J1365" t="s">
        <v>1704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0</v>
      </c>
      <c r="R1365">
        <f t="shared" si="338"/>
        <v>0</v>
      </c>
      <c r="S1365">
        <f t="shared" si="338"/>
        <v>0</v>
      </c>
      <c r="T1365">
        <f t="shared" si="338"/>
        <v>0</v>
      </c>
      <c r="U1365">
        <f t="shared" si="338"/>
        <v>0</v>
      </c>
      <c r="V1365">
        <f t="shared" si="338"/>
        <v>0</v>
      </c>
      <c r="W1365">
        <f t="shared" si="338"/>
        <v>0</v>
      </c>
      <c r="X1365">
        <f t="shared" si="338"/>
        <v>0</v>
      </c>
      <c r="Y1365">
        <f t="shared" si="338"/>
        <v>0</v>
      </c>
      <c r="Z1365">
        <f t="shared" si="338"/>
        <v>0</v>
      </c>
      <c r="AA1365">
        <f t="shared" si="338"/>
        <v>0</v>
      </c>
      <c r="AB1365">
        <f t="shared" si="338"/>
        <v>0</v>
      </c>
      <c r="AC1365">
        <f t="shared" si="338"/>
        <v>0</v>
      </c>
      <c r="AD1365">
        <f t="shared" si="338"/>
        <v>0</v>
      </c>
      <c r="AE1365">
        <f t="shared" si="338"/>
        <v>0</v>
      </c>
    </row>
    <row r="1367" spans="1:31" x14ac:dyDescent="0.45">
      <c r="A1367" t="s">
        <v>1710</v>
      </c>
      <c r="B1367" t="s">
        <v>1501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1710</v>
      </c>
      <c r="B1368" t="s">
        <v>1501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7.7657907641999993</v>
      </c>
      <c r="R1368">
        <f>IF(ISBLANK(Mitigation_Industry!R797),"",Mitigation_Industry!R797)</f>
        <v>15.873276322024799</v>
      </c>
      <c r="S1368">
        <f>IF(ISBLANK(Mitigation_Industry!S797),"",Mitigation_Industry!S797)</f>
        <v>24.333732601664018</v>
      </c>
      <c r="T1368">
        <f>IF(ISBLANK(Mitigation_Industry!T797),"",Mitigation_Industry!T797)</f>
        <v>33.158766291867501</v>
      </c>
      <c r="U1368">
        <f>IF(ISBLANK(Mitigation_Industry!U797),"",Mitigation_Industry!U797)</f>
        <v>42.360323937860741</v>
      </c>
      <c r="V1368">
        <f>IF(ISBLANK(Mitigation_Industry!V797),"",Mitigation_Industry!V797)</f>
        <v>51.950701277392412</v>
      </c>
      <c r="W1368">
        <f>IF(ISBLANK(Mitigation_Industry!W797),"",Mitigation_Industry!W797)</f>
        <v>61.942552823077548</v>
      </c>
      <c r="X1368">
        <f>IF(ISBLANK(Mitigation_Industry!X797),"",Mitigation_Industry!X797)</f>
        <v>72.348901697354577</v>
      </c>
      <c r="Y1368">
        <f>IF(ISBLANK(Mitigation_Industry!Y797),"",Mitigation_Industry!Y797)</f>
        <v>83.183149726533415</v>
      </c>
      <c r="Z1368">
        <f>IF(ISBLANK(Mitigation_Industry!Z797),"",Mitigation_Industry!Z797)</f>
        <v>94.459087800574636</v>
      </c>
      <c r="AA1368">
        <f>IF(ISBLANK(Mitigation_Industry!AA797),"",Mitigation_Industry!AA797)</f>
        <v>106.19090650540601</v>
      </c>
      <c r="AB1368">
        <f>IF(ISBLANK(Mitigation_Industry!AB797),"",Mitigation_Industry!AB797)</f>
        <v>118.39320703475448</v>
      </c>
      <c r="AC1368">
        <f>IF(ISBLANK(Mitigation_Industry!AC797),"",Mitigation_Industry!AC797)</f>
        <v>131.08101238864566</v>
      </c>
      <c r="AD1368">
        <f>IF(ISBLANK(Mitigation_Industry!AD797),"",Mitigation_Industry!AD797)</f>
        <v>144.26977886590325</v>
      </c>
      <c r="AE1368">
        <f>IF(ISBLANK(Mitigation_Industry!AE797),"",Mitigation_Industry!AE797)</f>
        <v>157.97540785816406</v>
      </c>
    </row>
    <row r="1369" spans="1:31" x14ac:dyDescent="0.45">
      <c r="A1369" t="s">
        <v>1710</v>
      </c>
      <c r="B1369" t="s">
        <v>1501</v>
      </c>
      <c r="C1369" t="s">
        <v>1390</v>
      </c>
      <c r="D1369">
        <v>2</v>
      </c>
      <c r="E1369" t="s">
        <v>1161</v>
      </c>
      <c r="F1369">
        <f>MAX(MAX(L1369:AE1369),-MIN(L1369:AE1369))</f>
        <v>157.97540785816406</v>
      </c>
      <c r="I1369" t="s">
        <v>1589</v>
      </c>
      <c r="J1369" t="s">
        <v>1704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7.7657907641999993</v>
      </c>
      <c r="R1369">
        <f t="shared" si="339"/>
        <v>15.873276322024799</v>
      </c>
      <c r="S1369">
        <f t="shared" si="339"/>
        <v>24.333732601664018</v>
      </c>
      <c r="T1369">
        <f t="shared" si="339"/>
        <v>33.158766291867501</v>
      </c>
      <c r="U1369">
        <f t="shared" si="339"/>
        <v>42.360323937860741</v>
      </c>
      <c r="V1369">
        <f t="shared" si="339"/>
        <v>51.950701277392412</v>
      </c>
      <c r="W1369">
        <f t="shared" si="339"/>
        <v>61.942552823077548</v>
      </c>
      <c r="X1369">
        <f t="shared" si="339"/>
        <v>72.348901697354577</v>
      </c>
      <c r="Y1369">
        <f t="shared" si="339"/>
        <v>83.183149726533415</v>
      </c>
      <c r="Z1369">
        <f t="shared" si="339"/>
        <v>94.459087800574636</v>
      </c>
      <c r="AA1369">
        <f t="shared" si="339"/>
        <v>106.19090650540601</v>
      </c>
      <c r="AB1369">
        <f t="shared" si="339"/>
        <v>118.39320703475448</v>
      </c>
      <c r="AC1369">
        <f t="shared" si="339"/>
        <v>131.08101238864566</v>
      </c>
      <c r="AD1369">
        <f t="shared" si="339"/>
        <v>144.26977886590325</v>
      </c>
      <c r="AE1369">
        <f t="shared" si="339"/>
        <v>157.97540785816406</v>
      </c>
    </row>
    <row r="1371" spans="1:31" x14ac:dyDescent="0.45">
      <c r="A1371" t="s">
        <v>1711</v>
      </c>
      <c r="B1371" t="s">
        <v>1501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1711</v>
      </c>
      <c r="B1372" t="s">
        <v>1501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10.3480021171875</v>
      </c>
      <c r="R1372">
        <f>IF(ISBLANK(Mitigation_Industry!R798),"",Mitigation_Industry!R798)</f>
        <v>21.834284467265626</v>
      </c>
      <c r="S1372">
        <f>IF(ISBLANK(Mitigation_Industry!S798),"",Mitigation_Industry!S798)</f>
        <v>34.552755169447849</v>
      </c>
      <c r="T1372">
        <f>IF(ISBLANK(Mitigation_Industry!T798),"",Mitigation_Industry!T798)</f>
        <v>48.604208938356642</v>
      </c>
      <c r="U1372">
        <f>IF(ISBLANK(Mitigation_Industry!U798),"",Mitigation_Industry!U798)</f>
        <v>64.09680053745781</v>
      </c>
      <c r="V1372">
        <f>IF(ISBLANK(Mitigation_Industry!V798),"",Mitigation_Industry!V798)</f>
        <v>81.146549480421598</v>
      </c>
      <c r="W1372">
        <f>IF(ISBLANK(Mitigation_Industry!W798),"",Mitigation_Industry!W798)</f>
        <v>99.877877985485583</v>
      </c>
      <c r="X1372">
        <f>IF(ISBLANK(Mitigation_Industry!X798),"",Mitigation_Industry!X798)</f>
        <v>120.42418431392832</v>
      </c>
      <c r="Y1372">
        <f>IF(ISBLANK(Mitigation_Industry!Y798),"",Mitigation_Industry!Y798)</f>
        <v>142.92845375759364</v>
      </c>
      <c r="Z1372">
        <f>IF(ISBLANK(Mitigation_Industry!Z798),"",Mitigation_Industry!Z798)</f>
        <v>167.54390968251255</v>
      </c>
      <c r="AA1372">
        <f>IF(ISBLANK(Mitigation_Industry!AA798),"",Mitigation_Industry!AA798)</f>
        <v>194.43470718655587</v>
      </c>
      <c r="AB1372">
        <f>IF(ISBLANK(Mitigation_Industry!AB798),"",Mitigation_Industry!AB798)</f>
        <v>223.77667208925422</v>
      </c>
      <c r="AC1372">
        <f>IF(ISBLANK(Mitigation_Industry!AC798),"",Mitigation_Industry!AC798)</f>
        <v>255.75808814201011</v>
      </c>
      <c r="AD1372">
        <f>IF(ISBLANK(Mitigation_Industry!AD798),"",Mitigation_Industry!AD798)</f>
        <v>290.58053552749919</v>
      </c>
      <c r="AE1372">
        <f>IF(ISBLANK(Mitigation_Industry!AE798),"",Mitigation_Industry!AE798)</f>
        <v>328.4597839087624</v>
      </c>
    </row>
    <row r="1373" spans="1:31" x14ac:dyDescent="0.45">
      <c r="A1373" t="s">
        <v>1711</v>
      </c>
      <c r="B1373" t="s">
        <v>1501</v>
      </c>
      <c r="C1373" t="s">
        <v>1397</v>
      </c>
      <c r="D1373">
        <v>2</v>
      </c>
      <c r="E1373" t="s">
        <v>1161</v>
      </c>
      <c r="F1373">
        <f>MAX(MAX(L1373:AE1373),-MIN(L1373:AE1373))</f>
        <v>328.4597839087624</v>
      </c>
      <c r="I1373" t="s">
        <v>1589</v>
      </c>
      <c r="J1373" t="s">
        <v>1704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10.3480021171875</v>
      </c>
      <c r="R1373">
        <f t="shared" si="340"/>
        <v>21.834284467265626</v>
      </c>
      <c r="S1373">
        <f t="shared" si="340"/>
        <v>34.552755169447849</v>
      </c>
      <c r="T1373">
        <f t="shared" si="340"/>
        <v>48.604208938356642</v>
      </c>
      <c r="U1373">
        <f t="shared" si="340"/>
        <v>64.09680053745781</v>
      </c>
      <c r="V1373">
        <f t="shared" si="340"/>
        <v>81.146549480421598</v>
      </c>
      <c r="W1373">
        <f t="shared" si="340"/>
        <v>99.877877985485583</v>
      </c>
      <c r="X1373">
        <f t="shared" si="340"/>
        <v>120.42418431392832</v>
      </c>
      <c r="Y1373">
        <f t="shared" si="340"/>
        <v>142.92845375759364</v>
      </c>
      <c r="Z1373">
        <f t="shared" si="340"/>
        <v>167.54390968251255</v>
      </c>
      <c r="AA1373">
        <f t="shared" si="340"/>
        <v>194.43470718655587</v>
      </c>
      <c r="AB1373">
        <f t="shared" si="340"/>
        <v>223.77667208925422</v>
      </c>
      <c r="AC1373">
        <f t="shared" si="340"/>
        <v>255.75808814201011</v>
      </c>
      <c r="AD1373">
        <f t="shared" si="340"/>
        <v>290.58053552749919</v>
      </c>
      <c r="AE1373">
        <f t="shared" si="340"/>
        <v>328.4597839087624</v>
      </c>
    </row>
    <row r="1375" spans="1:31" x14ac:dyDescent="0.45">
      <c r="A1375" t="s">
        <v>1712</v>
      </c>
      <c r="B1375" t="s">
        <v>1501</v>
      </c>
      <c r="C1375" t="s">
        <v>1502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1712</v>
      </c>
      <c r="B1376" t="s">
        <v>1501</v>
      </c>
      <c r="C1376" t="s">
        <v>1502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384.42161490493737</v>
      </c>
      <c r="R1376">
        <f>IF(ISBLANK(Mitigation_Industry!R799),"",Mitigation_Industry!R799)</f>
        <v>794.58588718261012</v>
      </c>
      <c r="S1376">
        <f>IF(ISBLANK(Mitigation_Industry!S799),"",Mitigation_Industry!S799)</f>
        <v>1231.8047038186751</v>
      </c>
      <c r="T1376">
        <f>IF(ISBLANK(Mitigation_Industry!T799),"",Mitigation_Industry!T799)</f>
        <v>1697.4505984935522</v>
      </c>
      <c r="U1376">
        <f>IF(ISBLANK(Mitigation_Industry!U799),"",Mitigation_Industry!U799)</f>
        <v>2192.9594564845229</v>
      </c>
      <c r="V1376">
        <f>IF(ISBLANK(Mitigation_Industry!V799),"",Mitigation_Industry!V799)</f>
        <v>2719.8333400321808</v>
      </c>
      <c r="W1376">
        <f>IF(ISBLANK(Mitigation_Industry!W799),"",Mitigation_Industry!W799)</f>
        <v>3279.6434396579139</v>
      </c>
      <c r="X1376">
        <f>IF(ISBLANK(Mitigation_Industry!X799),"",Mitigation_Industry!X799)</f>
        <v>3874.033157178857</v>
      </c>
      <c r="Y1376">
        <f>IF(ISBLANK(Mitigation_Industry!Y799),"",Mitigation_Industry!Y799)</f>
        <v>4504.7213264394322</v>
      </c>
      <c r="Z1376">
        <f>IF(ISBLANK(Mitigation_Industry!Z799),"",Mitigation_Industry!Z799)</f>
        <v>5173.5055780647599</v>
      </c>
      <c r="AA1376">
        <f>IF(ISBLANK(Mitigation_Industry!AA799),"",Mitigation_Industry!AA799)</f>
        <v>5882.2658548417376</v>
      </c>
      <c r="AB1376">
        <f>IF(ISBLANK(Mitigation_Industry!AB799),"",Mitigation_Industry!AB799)</f>
        <v>6632.9680846490319</v>
      </c>
      <c r="AC1376">
        <f>IF(ISBLANK(Mitigation_Industry!AC799),"",Mitigation_Industry!AC799)</f>
        <v>7427.6680181884831</v>
      </c>
      <c r="AD1376">
        <f>IF(ISBLANK(Mitigation_Industry!AD799),"",Mitigation_Industry!AD799)</f>
        <v>8268.5152391183055</v>
      </c>
      <c r="AE1376">
        <f>IF(ISBLANK(Mitigation_Industry!AE799),"",Mitigation_Industry!AE799)</f>
        <v>9157.7573545538162</v>
      </c>
    </row>
    <row r="1377" spans="1:31" x14ac:dyDescent="0.45">
      <c r="A1377" t="s">
        <v>1712</v>
      </c>
      <c r="B1377" t="s">
        <v>1501</v>
      </c>
      <c r="C1377" t="s">
        <v>1502</v>
      </c>
      <c r="D1377">
        <v>2</v>
      </c>
      <c r="E1377" t="s">
        <v>1161</v>
      </c>
      <c r="F1377">
        <f>MAX(MAX(L1377:AE1377),-MIN(L1377:AE1377))</f>
        <v>9157.7573545538162</v>
      </c>
      <c r="I1377" t="s">
        <v>1589</v>
      </c>
      <c r="J1377" t="s">
        <v>1704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384.42161490493737</v>
      </c>
      <c r="R1377">
        <f t="shared" si="341"/>
        <v>794.58588718261012</v>
      </c>
      <c r="S1377">
        <f t="shared" si="341"/>
        <v>1231.8047038186751</v>
      </c>
      <c r="T1377">
        <f t="shared" si="341"/>
        <v>1697.4505984935522</v>
      </c>
      <c r="U1377">
        <f t="shared" si="341"/>
        <v>2192.9594564845229</v>
      </c>
      <c r="V1377">
        <f t="shared" si="341"/>
        <v>2719.8333400321808</v>
      </c>
      <c r="W1377">
        <f t="shared" si="341"/>
        <v>3279.6434396579139</v>
      </c>
      <c r="X1377">
        <f t="shared" si="341"/>
        <v>3874.033157178857</v>
      </c>
      <c r="Y1377">
        <f t="shared" si="341"/>
        <v>4504.7213264394322</v>
      </c>
      <c r="Z1377">
        <f t="shared" si="341"/>
        <v>5173.5055780647599</v>
      </c>
      <c r="AA1377">
        <f t="shared" si="341"/>
        <v>5882.2658548417376</v>
      </c>
      <c r="AB1377">
        <f t="shared" si="341"/>
        <v>6632.9680846490319</v>
      </c>
      <c r="AC1377">
        <f t="shared" si="341"/>
        <v>7427.6680181884831</v>
      </c>
      <c r="AD1377">
        <f t="shared" si="341"/>
        <v>8268.5152391183055</v>
      </c>
      <c r="AE1377">
        <f t="shared" si="341"/>
        <v>9157.7573545538162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Manual inputs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2026-10-02T19:28:30Z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