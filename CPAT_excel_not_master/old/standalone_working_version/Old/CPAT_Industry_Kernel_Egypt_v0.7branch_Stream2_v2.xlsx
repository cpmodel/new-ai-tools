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ED0CAC53-62E1-40A0-9873-154366568B67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MTInputs" sheetId="3" r:id="rId7"/>
    <sheet name="Data_Energy" sheetId="4" r:id="rId8"/>
    <sheet name="Data_Prices" sheetId="5" r:id="rId9"/>
    <sheet name="Data_Macro" sheetId="6" r:id="rId10"/>
    <sheet name="Data_Elast" sheetId="7" r:id="rId11"/>
    <sheet name="Data_EF" sheetId="11" r:id="rId12"/>
    <sheet name="Check" sheetId="8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8" i="13" l="1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486" i="8"/>
  <c r="G1483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O149" i="13" s="1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N151" i="13" s="1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V154" i="13" s="1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B1024" i="8" s="1"/>
  <c r="AB1025" i="8" s="1"/>
  <c r="AC687" i="2"/>
  <c r="AD687" i="2"/>
  <c r="AE687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W1032" i="8" s="1"/>
  <c r="W1033" i="8" s="1"/>
  <c r="X689" i="2"/>
  <c r="X1032" i="8" s="1"/>
  <c r="X1033" i="8" s="1"/>
  <c r="Y689" i="2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U1036" i="8" s="1"/>
  <c r="U1037" i="8" s="1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W1048" i="8" s="1"/>
  <c r="W1049" i="8" s="1"/>
  <c r="X693" i="2"/>
  <c r="Y693" i="2"/>
  <c r="Z693" i="2"/>
  <c r="Z1048" i="8" s="1"/>
  <c r="Z1049" i="8" s="1"/>
  <c r="AA693" i="2"/>
  <c r="AB693" i="2"/>
  <c r="AB1048" i="8" s="1"/>
  <c r="AB1049" i="8" s="1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X10" i="13" s="1"/>
  <c r="X3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A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N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P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N17" i="13" s="1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O288" i="2"/>
  <c r="P288" i="2"/>
  <c r="Q288" i="2"/>
  <c r="R288" i="2"/>
  <c r="S288" i="2"/>
  <c r="T288" i="2"/>
  <c r="U288" i="2"/>
  <c r="U628" i="8" s="1"/>
  <c r="U629" i="8" s="1"/>
  <c r="V288" i="2"/>
  <c r="W288" i="2"/>
  <c r="W628" i="8" s="1"/>
  <c r="W629" i="8" s="1"/>
  <c r="X288" i="2"/>
  <c r="X628" i="8" s="1"/>
  <c r="X629" i="8" s="1"/>
  <c r="Y288" i="2"/>
  <c r="Z288" i="2"/>
  <c r="AA288" i="2"/>
  <c r="AB288" i="2"/>
  <c r="AC288" i="2"/>
  <c r="AD288" i="2"/>
  <c r="AE288" i="2"/>
  <c r="L289" i="2"/>
  <c r="M289" i="2"/>
  <c r="N289" i="2"/>
  <c r="N632" i="8" s="1"/>
  <c r="N633" i="8" s="1"/>
  <c r="O289" i="2"/>
  <c r="P289" i="2"/>
  <c r="P632" i="8" s="1"/>
  <c r="P633" i="8" s="1"/>
  <c r="Q289" i="2"/>
  <c r="Q632" i="8" s="1"/>
  <c r="Q633" i="8" s="1"/>
  <c r="R289" i="2"/>
  <c r="S289" i="2"/>
  <c r="T289" i="2"/>
  <c r="U289" i="2"/>
  <c r="V289" i="2"/>
  <c r="W289" i="2"/>
  <c r="X289" i="2"/>
  <c r="Y289" i="2"/>
  <c r="Z289" i="2"/>
  <c r="AA289" i="2"/>
  <c r="AB289" i="2"/>
  <c r="AB632" i="8" s="1"/>
  <c r="AB633" i="8" s="1"/>
  <c r="AC289" i="2"/>
  <c r="AD289" i="2"/>
  <c r="AD632" i="8" s="1"/>
  <c r="AD633" i="8" s="1"/>
  <c r="AE289" i="2"/>
  <c r="AE632" i="8" s="1"/>
  <c r="AE633" i="8" s="1"/>
  <c r="L290" i="2"/>
  <c r="M290" i="2"/>
  <c r="N290" i="2"/>
  <c r="O290" i="2"/>
  <c r="P290" i="2"/>
  <c r="Q290" i="2"/>
  <c r="R290" i="2"/>
  <c r="S290" i="2"/>
  <c r="T290" i="2"/>
  <c r="U290" i="2"/>
  <c r="U636" i="8" s="1"/>
  <c r="U637" i="8" s="1"/>
  <c r="V290" i="2"/>
  <c r="W290" i="2"/>
  <c r="W636" i="8" s="1"/>
  <c r="W637" i="8" s="1"/>
  <c r="X290" i="2"/>
  <c r="X636" i="8" s="1"/>
  <c r="X637" i="8" s="1"/>
  <c r="Y290" i="2"/>
  <c r="Z290" i="2"/>
  <c r="AA290" i="2"/>
  <c r="AB290" i="2"/>
  <c r="AC290" i="2"/>
  <c r="AD290" i="2"/>
  <c r="AE290" i="2"/>
  <c r="L291" i="2"/>
  <c r="M291" i="2"/>
  <c r="N291" i="2"/>
  <c r="N640" i="8" s="1"/>
  <c r="N641" i="8" s="1"/>
  <c r="O291" i="2"/>
  <c r="P291" i="2"/>
  <c r="P640" i="8" s="1"/>
  <c r="P641" i="8" s="1"/>
  <c r="Q291" i="2"/>
  <c r="Q640" i="8" s="1"/>
  <c r="Q641" i="8" s="1"/>
  <c r="R291" i="2"/>
  <c r="S291" i="2"/>
  <c r="T291" i="2"/>
  <c r="U291" i="2"/>
  <c r="V291" i="2"/>
  <c r="W291" i="2"/>
  <c r="X291" i="2"/>
  <c r="Y291" i="2"/>
  <c r="Z291" i="2"/>
  <c r="AA291" i="2"/>
  <c r="AB291" i="2"/>
  <c r="AB640" i="8" s="1"/>
  <c r="AB641" i="8" s="1"/>
  <c r="AC291" i="2"/>
  <c r="AD291" i="2"/>
  <c r="AD640" i="8" s="1"/>
  <c r="AD641" i="8" s="1"/>
  <c r="AE291" i="2"/>
  <c r="AE640" i="8" s="1"/>
  <c r="AE641" i="8" s="1"/>
  <c r="L292" i="2"/>
  <c r="M292" i="2"/>
  <c r="N292" i="2"/>
  <c r="O292" i="2"/>
  <c r="O644" i="8" s="1"/>
  <c r="O645" i="8" s="1"/>
  <c r="P292" i="2"/>
  <c r="Q292" i="2"/>
  <c r="Q644" i="8" s="1"/>
  <c r="Q645" i="8" s="1"/>
  <c r="R292" i="2"/>
  <c r="R644" i="8" s="1"/>
  <c r="R645" i="8" s="1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L293" i="2"/>
  <c r="L648" i="8" s="1"/>
  <c r="L649" i="8" s="1"/>
  <c r="M293" i="2"/>
  <c r="M648" i="8" s="1"/>
  <c r="M649" i="8" s="1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E652" i="8" s="1"/>
  <c r="AE653" i="8" s="1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Z656" i="8" s="1"/>
  <c r="Z657" i="8" s="1"/>
  <c r="AA295" i="2"/>
  <c r="AB295" i="2"/>
  <c r="AB656" i="8" s="1"/>
  <c r="AB657" i="8" s="1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AA31" i="13" l="1"/>
  <c r="M15" i="13"/>
  <c r="M35" i="13" s="1"/>
  <c r="AB15" i="13"/>
  <c r="AB35" i="13" s="1"/>
  <c r="AB17" i="13"/>
  <c r="AB37" i="13" s="1"/>
  <c r="M17" i="13"/>
  <c r="M37" i="13" s="1"/>
  <c r="AB11" i="13"/>
  <c r="AB31" i="13" s="1"/>
  <c r="M11" i="13"/>
  <c r="M31" i="13" s="1"/>
  <c r="AB13" i="13"/>
  <c r="AB33" i="13" s="1"/>
  <c r="M13" i="13"/>
  <c r="M33" i="13" s="1"/>
  <c r="P1032" i="8"/>
  <c r="P1033" i="8" s="1"/>
  <c r="T656" i="8"/>
  <c r="T657" i="8" s="1"/>
  <c r="S1048" i="8"/>
  <c r="S1049" i="8" s="1"/>
  <c r="P153" i="13"/>
  <c r="AD153" i="13"/>
  <c r="Q153" i="13"/>
  <c r="AE153" i="13"/>
  <c r="R153" i="13"/>
  <c r="S153" i="13"/>
  <c r="T153" i="13"/>
  <c r="U153" i="13"/>
  <c r="V153" i="13"/>
  <c r="W153" i="13"/>
  <c r="X153" i="13"/>
  <c r="M153" i="13"/>
  <c r="AA153" i="13"/>
  <c r="O153" i="13"/>
  <c r="Y153" i="13"/>
  <c r="Z153" i="13"/>
  <c r="AB153" i="13"/>
  <c r="AC153" i="13"/>
  <c r="S656" i="8"/>
  <c r="S657" i="8" s="1"/>
  <c r="Y652" i="8"/>
  <c r="Y653" i="8" s="1"/>
  <c r="AE648" i="8"/>
  <c r="AE649" i="8" s="1"/>
  <c r="Q648" i="8"/>
  <c r="Q649" i="8" s="1"/>
  <c r="W644" i="8"/>
  <c r="W645" i="8" s="1"/>
  <c r="AC640" i="8"/>
  <c r="AC641" i="8" s="1"/>
  <c r="O640" i="8"/>
  <c r="O641" i="8" s="1"/>
  <c r="AA632" i="8"/>
  <c r="AA633" i="8" s="1"/>
  <c r="M632" i="8"/>
  <c r="M633" i="8" s="1"/>
  <c r="S628" i="8"/>
  <c r="S629" i="8" s="1"/>
  <c r="Y16" i="13"/>
  <c r="Y36" i="13" s="1"/>
  <c r="L16" i="13"/>
  <c r="L36" i="13" s="1"/>
  <c r="Z16" i="13"/>
  <c r="Z36" i="13" s="1"/>
  <c r="M16" i="13"/>
  <c r="M36" i="13" s="1"/>
  <c r="AA16" i="13"/>
  <c r="AA36" i="13" s="1"/>
  <c r="N16" i="13"/>
  <c r="N36" i="13" s="1"/>
  <c r="AB16" i="13"/>
  <c r="AB36" i="13" s="1"/>
  <c r="O16" i="13"/>
  <c r="O36" i="13" s="1"/>
  <c r="AC16" i="13"/>
  <c r="AC36" i="13" s="1"/>
  <c r="P16" i="13"/>
  <c r="AD16" i="13"/>
  <c r="AD36" i="13" s="1"/>
  <c r="Q16" i="13"/>
  <c r="Q36" i="13" s="1"/>
  <c r="AE16" i="13"/>
  <c r="AE36" i="13" s="1"/>
  <c r="R16" i="13"/>
  <c r="R36" i="13" s="1"/>
  <c r="S16" i="13"/>
  <c r="S36" i="13" s="1"/>
  <c r="V16" i="13"/>
  <c r="V36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P36" i="13"/>
  <c r="AA13" i="13"/>
  <c r="AA33" i="13" s="1"/>
  <c r="AA15" i="13"/>
  <c r="AA35" i="13" s="1"/>
  <c r="AA17" i="13"/>
  <c r="AA37" i="13" s="1"/>
  <c r="O151" i="13"/>
  <c r="U656" i="8"/>
  <c r="U657" i="8" s="1"/>
  <c r="Y644" i="8"/>
  <c r="Y645" i="8" s="1"/>
  <c r="Z652" i="8"/>
  <c r="Z653" i="8" s="1"/>
  <c r="L652" i="8"/>
  <c r="L653" i="8" s="1"/>
  <c r="R648" i="8"/>
  <c r="R649" i="8" s="1"/>
  <c r="X644" i="8"/>
  <c r="X645" i="8" s="1"/>
  <c r="V636" i="8"/>
  <c r="V637" i="8" s="1"/>
  <c r="T628" i="8"/>
  <c r="T629" i="8" s="1"/>
  <c r="AA1052" i="8"/>
  <c r="AA1053" i="8" s="1"/>
  <c r="M1052" i="8"/>
  <c r="M1053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R656" i="8"/>
  <c r="R657" i="8" s="1"/>
  <c r="X652" i="8"/>
  <c r="X653" i="8" s="1"/>
  <c r="AD648" i="8"/>
  <c r="AD649" i="8" s="1"/>
  <c r="P648" i="8"/>
  <c r="P649" i="8" s="1"/>
  <c r="V644" i="8"/>
  <c r="V645" i="8" s="1"/>
  <c r="T636" i="8"/>
  <c r="T637" i="8" s="1"/>
  <c r="Z632" i="8"/>
  <c r="Z633" i="8" s="1"/>
  <c r="L632" i="8"/>
  <c r="L633" i="8" s="1"/>
  <c r="R628" i="8"/>
  <c r="R629" i="8" s="1"/>
  <c r="R11" i="13"/>
  <c r="S11" i="13"/>
  <c r="S31" i="13" s="1"/>
  <c r="T11" i="13"/>
  <c r="T31" i="13" s="1"/>
  <c r="U11" i="13"/>
  <c r="U31" i="13" s="1"/>
  <c r="V11" i="13"/>
  <c r="V31" i="13" s="1"/>
  <c r="W11" i="13"/>
  <c r="W31" i="13" s="1"/>
  <c r="X11" i="13"/>
  <c r="X31" i="13" s="1"/>
  <c r="Y11" i="13"/>
  <c r="Y31" i="13" s="1"/>
  <c r="L11" i="13"/>
  <c r="L31" i="13" s="1"/>
  <c r="Z11" i="13"/>
  <c r="Z31" i="13" s="1"/>
  <c r="O11" i="13"/>
  <c r="O31" i="13" s="1"/>
  <c r="AC11" i="13"/>
  <c r="AC31" i="13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AA1032" i="8"/>
  <c r="AA1033" i="8" s="1"/>
  <c r="M1032" i="8"/>
  <c r="M1033" i="8" s="1"/>
  <c r="S1028" i="8"/>
  <c r="S1029" i="8" s="1"/>
  <c r="Y1024" i="8"/>
  <c r="Y1025" i="8" s="1"/>
  <c r="Q11" i="13"/>
  <c r="Q31" i="13" s="1"/>
  <c r="Q13" i="13"/>
  <c r="Q33" i="13" s="1"/>
  <c r="Q15" i="13"/>
  <c r="Q35" i="13" s="1"/>
  <c r="Q17" i="13"/>
  <c r="Q37" i="13" s="1"/>
  <c r="P11" i="13"/>
  <c r="P31" i="13" s="1"/>
  <c r="P13" i="13"/>
  <c r="P33" i="13" s="1"/>
  <c r="P17" i="13"/>
  <c r="P37" i="13" s="1"/>
  <c r="P35" i="13"/>
  <c r="S648" i="8"/>
  <c r="S649" i="8" s="1"/>
  <c r="N1052" i="8"/>
  <c r="N1053" i="8" s="1"/>
  <c r="AE656" i="8"/>
  <c r="AE657" i="8" s="1"/>
  <c r="Q656" i="8"/>
  <c r="Q657" i="8" s="1"/>
  <c r="W652" i="8"/>
  <c r="W653" i="8" s="1"/>
  <c r="AC648" i="8"/>
  <c r="AC649" i="8" s="1"/>
  <c r="O648" i="8"/>
  <c r="O649" i="8" s="1"/>
  <c r="U644" i="8"/>
  <c r="U645" i="8" s="1"/>
  <c r="AA640" i="8"/>
  <c r="AA641" i="8" s="1"/>
  <c r="M640" i="8"/>
  <c r="M641" i="8" s="1"/>
  <c r="S636" i="8"/>
  <c r="S637" i="8" s="1"/>
  <c r="Y632" i="8"/>
  <c r="Y633" i="8" s="1"/>
  <c r="AE628" i="8"/>
  <c r="AE629" i="8" s="1"/>
  <c r="Q628" i="8"/>
  <c r="Q629" i="8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W152" i="13"/>
  <c r="X152" i="13"/>
  <c r="Y152" i="13"/>
  <c r="L152" i="13"/>
  <c r="Z152" i="13"/>
  <c r="M152" i="13"/>
  <c r="AA152" i="13"/>
  <c r="N152" i="13"/>
  <c r="AB152" i="13"/>
  <c r="O152" i="13"/>
  <c r="AC152" i="13"/>
  <c r="P152" i="13"/>
  <c r="AD152" i="13"/>
  <c r="Q152" i="13"/>
  <c r="AE152" i="13"/>
  <c r="T152" i="13"/>
  <c r="R152" i="13"/>
  <c r="S152" i="13"/>
  <c r="U152" i="13"/>
  <c r="V152" i="13"/>
  <c r="AD656" i="8"/>
  <c r="AD657" i="8" s="1"/>
  <c r="P656" i="8"/>
  <c r="P657" i="8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R636" i="8"/>
  <c r="R637" i="8" s="1"/>
  <c r="X632" i="8"/>
  <c r="X633" i="8" s="1"/>
  <c r="AD628" i="8"/>
  <c r="AD629" i="8" s="1"/>
  <c r="P628" i="8"/>
  <c r="P629" i="8" s="1"/>
  <c r="R15" i="13"/>
  <c r="R35" i="13" s="1"/>
  <c r="S15" i="13"/>
  <c r="S35" i="13" s="1"/>
  <c r="T15" i="13"/>
  <c r="T35" i="13" s="1"/>
  <c r="U15" i="13"/>
  <c r="U35" i="13" s="1"/>
  <c r="V15" i="13"/>
  <c r="V35" i="13" s="1"/>
  <c r="W15" i="13"/>
  <c r="W35" i="13" s="1"/>
  <c r="X15" i="13"/>
  <c r="X35" i="13" s="1"/>
  <c r="Y15" i="13"/>
  <c r="Y35" i="13" s="1"/>
  <c r="L15" i="13"/>
  <c r="L35" i="13" s="1"/>
  <c r="Z15" i="13"/>
  <c r="Z35" i="13" s="1"/>
  <c r="O15" i="13"/>
  <c r="O35" i="13" s="1"/>
  <c r="AC15" i="13"/>
  <c r="AC35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Y1032" i="8"/>
  <c r="Y1033" i="8" s="1"/>
  <c r="AE1028" i="8"/>
  <c r="AE1029" i="8" s="1"/>
  <c r="Q1028" i="8"/>
  <c r="Q1029" i="8" s="1"/>
  <c r="W1024" i="8"/>
  <c r="W1025" i="8" s="1"/>
  <c r="N11" i="13"/>
  <c r="N31" i="13" s="1"/>
  <c r="N15" i="13"/>
  <c r="N35" i="13" s="1"/>
  <c r="N33" i="13"/>
  <c r="N37" i="13"/>
  <c r="N153" i="13"/>
  <c r="M652" i="8"/>
  <c r="M653" i="8" s="1"/>
  <c r="AC632" i="8"/>
  <c r="AC633" i="8" s="1"/>
  <c r="O632" i="8"/>
  <c r="O633" i="8" s="1"/>
  <c r="Y12" i="13"/>
  <c r="Y32" i="13" s="1"/>
  <c r="L12" i="13"/>
  <c r="L32" i="13" s="1"/>
  <c r="Z12" i="13"/>
  <c r="Z32" i="13" s="1"/>
  <c r="M12" i="13"/>
  <c r="M32" i="13" s="1"/>
  <c r="AA12" i="13"/>
  <c r="AA32" i="13" s="1"/>
  <c r="N12" i="13"/>
  <c r="N32" i="13" s="1"/>
  <c r="AB12" i="13"/>
  <c r="AB32" i="13" s="1"/>
  <c r="O12" i="13"/>
  <c r="O32" i="13" s="1"/>
  <c r="AC12" i="13"/>
  <c r="AC32" i="13" s="1"/>
  <c r="P12" i="13"/>
  <c r="P32" i="13" s="1"/>
  <c r="AD12" i="13"/>
  <c r="AD32" i="13" s="1"/>
  <c r="Q12" i="13"/>
  <c r="Q32" i="13" s="1"/>
  <c r="AE12" i="13"/>
  <c r="AE32" i="13" s="1"/>
  <c r="R12" i="13"/>
  <c r="R32" i="13" s="1"/>
  <c r="S12" i="13"/>
  <c r="S32" i="13" s="1"/>
  <c r="V12" i="13"/>
  <c r="V32" i="13" s="1"/>
  <c r="L1044" i="8"/>
  <c r="L1045" i="8" s="1"/>
  <c r="AC656" i="8"/>
  <c r="AC657" i="8" s="1"/>
  <c r="O656" i="8"/>
  <c r="O657" i="8" s="1"/>
  <c r="AA648" i="8"/>
  <c r="AA649" i="8" s="1"/>
  <c r="O628" i="8"/>
  <c r="O629" i="8" s="1"/>
  <c r="V1052" i="8"/>
  <c r="V1053" i="8" s="1"/>
  <c r="AD1028" i="8"/>
  <c r="AD1029" i="8" s="1"/>
  <c r="P1028" i="8"/>
  <c r="P1029" i="8" s="1"/>
  <c r="V1024" i="8"/>
  <c r="V1025" i="8" s="1"/>
  <c r="W156" i="13"/>
  <c r="X156" i="13"/>
  <c r="Y156" i="13"/>
  <c r="L156" i="13"/>
  <c r="Z156" i="13"/>
  <c r="M156" i="13"/>
  <c r="AA156" i="13"/>
  <c r="N156" i="13"/>
  <c r="AB156" i="13"/>
  <c r="O156" i="13"/>
  <c r="AC156" i="13"/>
  <c r="P156" i="13"/>
  <c r="AD156" i="13"/>
  <c r="Q156" i="13"/>
  <c r="AE156" i="13"/>
  <c r="T156" i="13"/>
  <c r="R156" i="13"/>
  <c r="S156" i="13"/>
  <c r="V156" i="13"/>
  <c r="N656" i="8"/>
  <c r="N657" i="8" s="1"/>
  <c r="T652" i="8"/>
  <c r="T653" i="8" s="1"/>
  <c r="Z648" i="8"/>
  <c r="Z649" i="8" s="1"/>
  <c r="X640" i="8"/>
  <c r="X641" i="8" s="1"/>
  <c r="AD636" i="8"/>
  <c r="AD637" i="8" s="1"/>
  <c r="P636" i="8"/>
  <c r="P637" i="8" s="1"/>
  <c r="V632" i="8"/>
  <c r="V633" i="8" s="1"/>
  <c r="AB628" i="8"/>
  <c r="AB629" i="8" s="1"/>
  <c r="N628" i="8"/>
  <c r="N629" i="8" s="1"/>
  <c r="U1052" i="8"/>
  <c r="U1053" i="8" s="1"/>
  <c r="AA1048" i="8"/>
  <c r="AA1049" i="8" s="1"/>
  <c r="M1048" i="8"/>
  <c r="M1049" i="8" s="1"/>
  <c r="S1044" i="8"/>
  <c r="S1045" i="8" s="1"/>
  <c r="Y1040" i="8"/>
  <c r="Y1041" i="8" s="1"/>
  <c r="AE1036" i="8"/>
  <c r="AE1037" i="8" s="1"/>
  <c r="Q1036" i="8"/>
  <c r="Q1037" i="8" s="1"/>
  <c r="AC1028" i="8"/>
  <c r="AC1029" i="8" s="1"/>
  <c r="O1028" i="8"/>
  <c r="O1029" i="8" s="1"/>
  <c r="U1024" i="8"/>
  <c r="U1025" i="8" s="1"/>
  <c r="P151" i="13"/>
  <c r="AD151" i="13"/>
  <c r="Q151" i="13"/>
  <c r="AE151" i="13"/>
  <c r="R151" i="13"/>
  <c r="S151" i="13"/>
  <c r="T151" i="13"/>
  <c r="U151" i="13"/>
  <c r="V151" i="13"/>
  <c r="W151" i="13"/>
  <c r="X151" i="13"/>
  <c r="M151" i="13"/>
  <c r="AA151" i="13"/>
  <c r="Y151" i="13"/>
  <c r="Z151" i="13"/>
  <c r="AB151" i="13"/>
  <c r="AC151" i="13"/>
  <c r="L151" i="13"/>
  <c r="L153" i="13"/>
  <c r="U652" i="8"/>
  <c r="U653" i="8" s="1"/>
  <c r="AA656" i="8"/>
  <c r="AA657" i="8" s="1"/>
  <c r="M656" i="8"/>
  <c r="M657" i="8" s="1"/>
  <c r="S652" i="8"/>
  <c r="S653" i="8" s="1"/>
  <c r="Y648" i="8"/>
  <c r="Y649" i="8" s="1"/>
  <c r="AE644" i="8"/>
  <c r="AE645" i="8" s="1"/>
  <c r="W640" i="8"/>
  <c r="W641" i="8" s="1"/>
  <c r="AC636" i="8"/>
  <c r="AC637" i="8" s="1"/>
  <c r="O636" i="8"/>
  <c r="O637" i="8" s="1"/>
  <c r="U632" i="8"/>
  <c r="U633" i="8" s="1"/>
  <c r="AA628" i="8"/>
  <c r="AA629" i="8" s="1"/>
  <c r="M628" i="8"/>
  <c r="M629" i="8" s="1"/>
  <c r="Y14" i="13"/>
  <c r="Y34" i="13" s="1"/>
  <c r="L14" i="13"/>
  <c r="L34" i="13" s="1"/>
  <c r="Z14" i="13"/>
  <c r="Z34" i="13" s="1"/>
  <c r="M14" i="13"/>
  <c r="M34" i="13" s="1"/>
  <c r="AA14" i="13"/>
  <c r="AA34" i="13" s="1"/>
  <c r="N14" i="13"/>
  <c r="N34" i="13" s="1"/>
  <c r="AB14" i="13"/>
  <c r="AB34" i="13" s="1"/>
  <c r="O14" i="13"/>
  <c r="O34" i="13" s="1"/>
  <c r="AC14" i="13"/>
  <c r="AC34" i="13" s="1"/>
  <c r="P14" i="13"/>
  <c r="P34" i="13" s="1"/>
  <c r="AD14" i="13"/>
  <c r="AD34" i="13" s="1"/>
  <c r="Q14" i="13"/>
  <c r="Q34" i="13" s="1"/>
  <c r="AE14" i="13"/>
  <c r="AE34" i="13" s="1"/>
  <c r="R14" i="13"/>
  <c r="R34" i="13" s="1"/>
  <c r="S14" i="13"/>
  <c r="S34" i="13" s="1"/>
  <c r="V14" i="13"/>
  <c r="V34" i="13" s="1"/>
  <c r="T1052" i="8"/>
  <c r="T1053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X12" i="13"/>
  <c r="X32" i="13" s="1"/>
  <c r="X14" i="13"/>
  <c r="X34" i="13" s="1"/>
  <c r="X16" i="13"/>
  <c r="X36" i="13" s="1"/>
  <c r="AB1052" i="8"/>
  <c r="AB1053" i="8" s="1"/>
  <c r="T1048" i="8"/>
  <c r="T1049" i="8" s="1"/>
  <c r="Z1044" i="8"/>
  <c r="Z1045" i="8" s="1"/>
  <c r="X1036" i="8"/>
  <c r="X1037" i="8" s="1"/>
  <c r="AD1032" i="8"/>
  <c r="AD1033" i="8" s="1"/>
  <c r="N1024" i="8"/>
  <c r="N1025" i="8" s="1"/>
  <c r="S644" i="8"/>
  <c r="S645" i="8" s="1"/>
  <c r="Y640" i="8"/>
  <c r="Y641" i="8" s="1"/>
  <c r="AE636" i="8"/>
  <c r="AE637" i="8" s="1"/>
  <c r="Q636" i="8"/>
  <c r="Q637" i="8" s="1"/>
  <c r="W632" i="8"/>
  <c r="W633" i="8" s="1"/>
  <c r="AC628" i="8"/>
  <c r="AC629" i="8" s="1"/>
  <c r="Y10" i="13"/>
  <c r="Y30" i="13" s="1"/>
  <c r="L10" i="13"/>
  <c r="L30" i="13" s="1"/>
  <c r="Z10" i="13"/>
  <c r="Z30" i="13" s="1"/>
  <c r="M10" i="13"/>
  <c r="M30" i="13" s="1"/>
  <c r="AA10" i="13"/>
  <c r="AA30" i="13" s="1"/>
  <c r="N10" i="13"/>
  <c r="N30" i="13" s="1"/>
  <c r="AB10" i="13"/>
  <c r="AB30" i="13" s="1"/>
  <c r="O10" i="13"/>
  <c r="O30" i="13" s="1"/>
  <c r="AC10" i="13"/>
  <c r="AC30" i="13" s="1"/>
  <c r="P10" i="13"/>
  <c r="P30" i="13" s="1"/>
  <c r="AD10" i="13"/>
  <c r="AD30" i="13" s="1"/>
  <c r="Q10" i="13"/>
  <c r="Q30" i="13" s="1"/>
  <c r="AE10" i="13"/>
  <c r="AE30" i="13" s="1"/>
  <c r="R10" i="13"/>
  <c r="R30" i="13" s="1"/>
  <c r="S10" i="13"/>
  <c r="S30" i="13" s="1"/>
  <c r="V10" i="13"/>
  <c r="V30" i="13" s="1"/>
  <c r="N1048" i="8"/>
  <c r="N1049" i="8" s="1"/>
  <c r="T1044" i="8"/>
  <c r="T1045" i="8" s="1"/>
  <c r="Z1040" i="8"/>
  <c r="Z1041" i="8" s="1"/>
  <c r="L1040" i="8"/>
  <c r="L1041" i="8" s="1"/>
  <c r="R1036" i="8"/>
  <c r="R1037" i="8" s="1"/>
  <c r="L656" i="8"/>
  <c r="L657" i="8" s="1"/>
  <c r="R652" i="8"/>
  <c r="R653" i="8" s="1"/>
  <c r="X648" i="8"/>
  <c r="X649" i="8" s="1"/>
  <c r="AD644" i="8"/>
  <c r="AD645" i="8" s="1"/>
  <c r="P644" i="8"/>
  <c r="P645" i="8" s="1"/>
  <c r="V640" i="8"/>
  <c r="V641" i="8" s="1"/>
  <c r="AB636" i="8"/>
  <c r="AB637" i="8" s="1"/>
  <c r="N636" i="8"/>
  <c r="N637" i="8" s="1"/>
  <c r="T632" i="8"/>
  <c r="T633" i="8" s="1"/>
  <c r="Z628" i="8"/>
  <c r="Z629" i="8" s="1"/>
  <c r="L628" i="8"/>
  <c r="L629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M1028" i="8"/>
  <c r="M1029" i="8" s="1"/>
  <c r="S1024" i="8"/>
  <c r="S1025" i="8" s="1"/>
  <c r="P155" i="13"/>
  <c r="AD155" i="13"/>
  <c r="Q155" i="13"/>
  <c r="AE155" i="13"/>
  <c r="R155" i="13"/>
  <c r="S155" i="13"/>
  <c r="T155" i="13"/>
  <c r="U155" i="13"/>
  <c r="V155" i="13"/>
  <c r="W155" i="13"/>
  <c r="X155" i="13"/>
  <c r="M155" i="13"/>
  <c r="AA155" i="13"/>
  <c r="N155" i="13"/>
  <c r="O155" i="13"/>
  <c r="Y155" i="13"/>
  <c r="Z155" i="13"/>
  <c r="AB155" i="13"/>
  <c r="AC155" i="13"/>
  <c r="W10" i="13"/>
  <c r="W30" i="13" s="1"/>
  <c r="W12" i="13"/>
  <c r="W32" i="13" s="1"/>
  <c r="W14" i="13"/>
  <c r="W34" i="13" s="1"/>
  <c r="W16" i="13"/>
  <c r="W36" i="13" s="1"/>
  <c r="U10" i="13"/>
  <c r="U30" i="13" s="1"/>
  <c r="U12" i="13"/>
  <c r="U32" i="13" s="1"/>
  <c r="U14" i="13"/>
  <c r="U34" i="13" s="1"/>
  <c r="U16" i="13"/>
  <c r="U36" i="13" s="1"/>
  <c r="R1040" i="8"/>
  <c r="R1041" i="8" s="1"/>
  <c r="M636" i="8"/>
  <c r="M637" i="8" s="1"/>
  <c r="Y628" i="8"/>
  <c r="Y629" i="8" s="1"/>
  <c r="X656" i="8"/>
  <c r="X657" i="8" s="1"/>
  <c r="AD652" i="8"/>
  <c r="AD653" i="8" s="1"/>
  <c r="P652" i="8"/>
  <c r="P653" i="8" s="1"/>
  <c r="V648" i="8"/>
  <c r="V649" i="8" s="1"/>
  <c r="AB644" i="8"/>
  <c r="AB645" i="8" s="1"/>
  <c r="N644" i="8"/>
  <c r="N645" i="8" s="1"/>
  <c r="T640" i="8"/>
  <c r="T641" i="8" s="1"/>
  <c r="Z636" i="8"/>
  <c r="Z637" i="8" s="1"/>
  <c r="L636" i="8"/>
  <c r="L637" i="8" s="1"/>
  <c r="R632" i="8"/>
  <c r="R633" i="8" s="1"/>
  <c r="R13" i="13"/>
  <c r="R33" i="13" s="1"/>
  <c r="S13" i="13"/>
  <c r="S33" i="13" s="1"/>
  <c r="T13" i="13"/>
  <c r="T33" i="13" s="1"/>
  <c r="U13" i="13"/>
  <c r="U33" i="13" s="1"/>
  <c r="V13" i="13"/>
  <c r="V33" i="13" s="1"/>
  <c r="W13" i="13"/>
  <c r="W33" i="13" s="1"/>
  <c r="X13" i="13"/>
  <c r="X33" i="13" s="1"/>
  <c r="Y13" i="13"/>
  <c r="Y33" i="13" s="1"/>
  <c r="L13" i="13"/>
  <c r="L33" i="13" s="1"/>
  <c r="Z13" i="13"/>
  <c r="Z33" i="13" s="1"/>
  <c r="O13" i="13"/>
  <c r="O33" i="13" s="1"/>
  <c r="AC13" i="13"/>
  <c r="AC33" i="13" s="1"/>
  <c r="AE1052" i="8"/>
  <c r="AE1053" i="8" s="1"/>
  <c r="Q1052" i="8"/>
  <c r="Q1053" i="8" s="1"/>
  <c r="AC1044" i="8"/>
  <c r="AC1045" i="8" s="1"/>
  <c r="O1044" i="8"/>
  <c r="O1045" i="8" s="1"/>
  <c r="U1040" i="8"/>
  <c r="U1041" i="8" s="1"/>
  <c r="AA1036" i="8"/>
  <c r="AA1037" i="8" s="1"/>
  <c r="M1036" i="8"/>
  <c r="M1037" i="8" s="1"/>
  <c r="S1032" i="8"/>
  <c r="S1033" i="8" s="1"/>
  <c r="Y1028" i="8"/>
  <c r="Y1029" i="8" s="1"/>
  <c r="AE1024" i="8"/>
  <c r="AE1025" i="8" s="1"/>
  <c r="Q1024" i="8"/>
  <c r="Q1025" i="8" s="1"/>
  <c r="T10" i="13"/>
  <c r="T30" i="13" s="1"/>
  <c r="T12" i="13"/>
  <c r="T32" i="13" s="1"/>
  <c r="T14" i="13"/>
  <c r="T34" i="13" s="1"/>
  <c r="T16" i="13"/>
  <c r="T36" i="13" s="1"/>
  <c r="Y149" i="13"/>
  <c r="L155" i="13"/>
  <c r="V1028" i="8"/>
  <c r="V1029" i="8" s="1"/>
  <c r="Q652" i="8"/>
  <c r="Q653" i="8" s="1"/>
  <c r="W648" i="8"/>
  <c r="W649" i="8" s="1"/>
  <c r="AC644" i="8"/>
  <c r="AC645" i="8" s="1"/>
  <c r="U640" i="8"/>
  <c r="U641" i="8" s="1"/>
  <c r="S632" i="8"/>
  <c r="S633" i="8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Z1028" i="8"/>
  <c r="Z1029" i="8" s="1"/>
  <c r="L1028" i="8"/>
  <c r="L1029" i="8" s="1"/>
  <c r="W656" i="8"/>
  <c r="W657" i="8" s="1"/>
  <c r="AC652" i="8"/>
  <c r="AC653" i="8" s="1"/>
  <c r="O652" i="8"/>
  <c r="O653" i="8" s="1"/>
  <c r="U648" i="8"/>
  <c r="U649" i="8" s="1"/>
  <c r="AA644" i="8"/>
  <c r="AA645" i="8" s="1"/>
  <c r="M644" i="8"/>
  <c r="M645" i="8" s="1"/>
  <c r="S640" i="8"/>
  <c r="S641" i="8" s="1"/>
  <c r="Y636" i="8"/>
  <c r="Y637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W154" i="13"/>
  <c r="X154" i="13"/>
  <c r="Y154" i="13"/>
  <c r="L154" i="13"/>
  <c r="Z154" i="13"/>
  <c r="M154" i="13"/>
  <c r="AA154" i="13"/>
  <c r="N154" i="13"/>
  <c r="AB154" i="13"/>
  <c r="O154" i="13"/>
  <c r="AC154" i="13"/>
  <c r="P154" i="13"/>
  <c r="AD154" i="13"/>
  <c r="Q154" i="13"/>
  <c r="AE154" i="13"/>
  <c r="T154" i="13"/>
  <c r="R154" i="13"/>
  <c r="S154" i="13"/>
  <c r="U154" i="13"/>
  <c r="AA652" i="8"/>
  <c r="AA653" i="8" s="1"/>
  <c r="Y656" i="8"/>
  <c r="Y657" i="8" s="1"/>
  <c r="AA636" i="8"/>
  <c r="AA637" i="8" s="1"/>
  <c r="X1048" i="8"/>
  <c r="X1049" i="8" s="1"/>
  <c r="P1044" i="8"/>
  <c r="P1045" i="8" s="1"/>
  <c r="N1036" i="8"/>
  <c r="N1037" i="8" s="1"/>
  <c r="R1024" i="8"/>
  <c r="R1025" i="8" s="1"/>
  <c r="W150" i="13"/>
  <c r="X150" i="13"/>
  <c r="Y150" i="13"/>
  <c r="L150" i="13"/>
  <c r="Z150" i="13"/>
  <c r="M150" i="13"/>
  <c r="AA150" i="13"/>
  <c r="N150" i="13"/>
  <c r="AB150" i="13"/>
  <c r="O150" i="13"/>
  <c r="AC150" i="13"/>
  <c r="P150" i="13"/>
  <c r="AD150" i="13"/>
  <c r="Q150" i="13"/>
  <c r="AE150" i="13"/>
  <c r="T150" i="13"/>
  <c r="R150" i="13"/>
  <c r="S150" i="13"/>
  <c r="U150" i="13"/>
  <c r="V150" i="13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V628" i="8"/>
  <c r="V629" i="8" s="1"/>
  <c r="R17" i="13"/>
  <c r="R37" i="13" s="1"/>
  <c r="S17" i="13"/>
  <c r="S37" i="13" s="1"/>
  <c r="T17" i="13"/>
  <c r="T37" i="13" s="1"/>
  <c r="U17" i="13"/>
  <c r="U37" i="13" s="1"/>
  <c r="V17" i="13"/>
  <c r="V37" i="13" s="1"/>
  <c r="W17" i="13"/>
  <c r="W37" i="13" s="1"/>
  <c r="X17" i="13"/>
  <c r="X37" i="13" s="1"/>
  <c r="Y17" i="13"/>
  <c r="Y37" i="13" s="1"/>
  <c r="L17" i="13"/>
  <c r="L37" i="13" s="1"/>
  <c r="Z17" i="13"/>
  <c r="Z37" i="13" s="1"/>
  <c r="O17" i="13"/>
  <c r="O37" i="13" s="1"/>
  <c r="AC17" i="13"/>
  <c r="AC37" i="13" s="1"/>
  <c r="AC1052" i="8"/>
  <c r="AC1053" i="8" s="1"/>
  <c r="O1052" i="8"/>
  <c r="O1053" i="8" s="1"/>
  <c r="U1048" i="8"/>
  <c r="U1049" i="8" s="1"/>
  <c r="AA1044" i="8"/>
  <c r="AA1045" i="8" s="1"/>
  <c r="M1044" i="8"/>
  <c r="M1045" i="8" s="1"/>
  <c r="S1040" i="8"/>
  <c r="S1041" i="8" s="1"/>
  <c r="Y1036" i="8"/>
  <c r="Y1037" i="8" s="1"/>
  <c r="AE1032" i="8"/>
  <c r="AE1033" i="8" s="1"/>
  <c r="Q1032" i="8"/>
  <c r="Q1033" i="8" s="1"/>
  <c r="W1028" i="8"/>
  <c r="W1029" i="8" s="1"/>
  <c r="AC1024" i="8"/>
  <c r="AC1025" i="8" s="1"/>
  <c r="O1024" i="8"/>
  <c r="O1025" i="8" s="1"/>
  <c r="P149" i="13"/>
  <c r="AD149" i="13"/>
  <c r="Q149" i="13"/>
  <c r="AE149" i="13"/>
  <c r="R149" i="13"/>
  <c r="S149" i="13"/>
  <c r="T149" i="13"/>
  <c r="U149" i="13"/>
  <c r="V149" i="13"/>
  <c r="W149" i="13"/>
  <c r="X149" i="13"/>
  <c r="M149" i="13"/>
  <c r="AA149" i="13"/>
  <c r="Z149" i="13"/>
  <c r="AB149" i="13"/>
  <c r="AC149" i="13"/>
  <c r="N149" i="13"/>
  <c r="AE11" i="13"/>
  <c r="AE31" i="13" s="1"/>
  <c r="AE13" i="13"/>
  <c r="AE33" i="13" s="1"/>
  <c r="AE15" i="13"/>
  <c r="AE35" i="13" s="1"/>
  <c r="AE17" i="13"/>
  <c r="AE37" i="13" s="1"/>
  <c r="L149" i="13"/>
  <c r="U156" i="13"/>
  <c r="AD11" i="13"/>
  <c r="AD31" i="13" s="1"/>
  <c r="AD13" i="13"/>
  <c r="AD33" i="13" s="1"/>
  <c r="AD15" i="13"/>
  <c r="AD35" i="13" s="1"/>
  <c r="AD17" i="13"/>
  <c r="AD37" i="13" s="1"/>
  <c r="R31" i="13"/>
  <c r="F729" i="2"/>
  <c r="N729" i="2" s="1"/>
  <c r="F733" i="2"/>
  <c r="N733" i="2" s="1"/>
  <c r="R750" i="2"/>
  <c r="E304" i="2"/>
  <c r="G729" i="2"/>
  <c r="M740" i="2" s="1"/>
  <c r="F731" i="2"/>
  <c r="N731" i="2" s="1"/>
  <c r="F730" i="2"/>
  <c r="F8" i="11"/>
  <c r="G8" i="11" s="1"/>
  <c r="I8" i="11" s="1"/>
  <c r="F6" i="11"/>
  <c r="G6" i="11" s="1"/>
  <c r="I6" i="11" s="1"/>
  <c r="F7" i="11"/>
  <c r="G7" i="11" s="1"/>
  <c r="F11" i="11"/>
  <c r="G11" i="11" s="1"/>
  <c r="I11" i="11" s="1"/>
  <c r="F12" i="11"/>
  <c r="G12" i="11" s="1"/>
  <c r="L65" i="12" s="1"/>
  <c r="F9" i="11"/>
  <c r="G9" i="11" s="1"/>
  <c r="V351" i="2"/>
  <c r="G332" i="2"/>
  <c r="O343" i="2" s="1"/>
  <c r="G730" i="2"/>
  <c r="G735" i="2"/>
  <c r="N746" i="2" s="1"/>
  <c r="G731" i="2"/>
  <c r="AA129" i="2"/>
  <c r="G736" i="2"/>
  <c r="O747" i="2" s="1"/>
  <c r="G732" i="2"/>
  <c r="N743" i="2" s="1"/>
  <c r="L85" i="12"/>
  <c r="F4" i="11"/>
  <c r="G4" i="11" s="1"/>
  <c r="F10" i="11"/>
  <c r="G10" i="11" s="1"/>
  <c r="F5" i="11"/>
  <c r="G5" i="11" s="1"/>
  <c r="G333" i="2"/>
  <c r="N344" i="2" s="1"/>
  <c r="N804" i="8" s="1"/>
  <c r="N805" i="8" s="1"/>
  <c r="R129" i="2"/>
  <c r="G337" i="2"/>
  <c r="O348" i="2" s="1"/>
  <c r="L308" i="2"/>
  <c r="G336" i="2"/>
  <c r="M347" i="2" s="1"/>
  <c r="G331" i="2"/>
  <c r="G734" i="2"/>
  <c r="J734" i="2" s="1"/>
  <c r="R308" i="2"/>
  <c r="R1457" i="8" s="1"/>
  <c r="T587" i="2"/>
  <c r="S308" i="2"/>
  <c r="G335" i="2"/>
  <c r="J335" i="2" s="1"/>
  <c r="T308" i="2"/>
  <c r="T1457" i="8" s="1"/>
  <c r="M530" i="2"/>
  <c r="G330" i="2"/>
  <c r="O341" i="2" s="1"/>
  <c r="G733" i="2"/>
  <c r="J733" i="2" s="1"/>
  <c r="U308" i="2"/>
  <c r="U1457" i="8" s="1"/>
  <c r="AA468" i="2"/>
  <c r="X308" i="2"/>
  <c r="X1457" i="8" s="1"/>
  <c r="G334" i="2"/>
  <c r="J334" i="2" s="1"/>
  <c r="E299" i="2"/>
  <c r="AC1457" i="8"/>
  <c r="P308" i="2"/>
  <c r="AD308" i="2"/>
  <c r="Q308" i="2"/>
  <c r="AE308" i="2"/>
  <c r="V308" i="2"/>
  <c r="W308" i="2"/>
  <c r="Y308" i="2"/>
  <c r="Z308" i="2"/>
  <c r="M308" i="2"/>
  <c r="AA308" i="2"/>
  <c r="L1457" i="8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O337" i="2" s="1"/>
  <c r="AA247" i="2"/>
  <c r="AA588" i="8" s="1"/>
  <c r="AA589" i="8" s="1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O335" i="2" s="1"/>
  <c r="Y130" i="2"/>
  <c r="Y192" i="2"/>
  <c r="W750" i="2"/>
  <c r="L8" i="2"/>
  <c r="V527" i="2"/>
  <c r="L128" i="2"/>
  <c r="Q128" i="2"/>
  <c r="R128" i="2"/>
  <c r="Z319" i="2"/>
  <c r="AB128" i="2"/>
  <c r="G303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N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O277" i="2"/>
  <c r="P277" i="2" s="1"/>
  <c r="P600" i="8" s="1"/>
  <c r="P601" i="8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L600" i="8" s="1"/>
  <c r="L601" i="8" s="1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X592" i="8" s="1"/>
  <c r="X593" i="8" s="1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O282" i="2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L266" i="2"/>
  <c r="AB708" i="2"/>
  <c r="AB750" i="2"/>
  <c r="L645" i="2"/>
  <c r="L697" i="2" s="1"/>
  <c r="P283" i="2"/>
  <c r="O624" i="8"/>
  <c r="O625" i="8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O604" i="8"/>
  <c r="O605" i="8" s="1"/>
  <c r="P278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O1012" i="8"/>
  <c r="O1013" i="8" s="1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Q682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M992" i="8"/>
  <c r="M993" i="8" s="1"/>
  <c r="M729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N730" i="2"/>
  <c r="V329" i="2"/>
  <c r="N247" i="2"/>
  <c r="U329" i="2"/>
  <c r="M247" i="2"/>
  <c r="S645" i="2"/>
  <c r="S697" i="2" s="1"/>
  <c r="S728" i="2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N742" i="2"/>
  <c r="N1020" i="8"/>
  <c r="N1021" i="8" s="1"/>
  <c r="M682" i="2"/>
  <c r="Y666" i="2"/>
  <c r="Y267" i="2"/>
  <c r="N604" i="8"/>
  <c r="N605" i="8" s="1"/>
  <c r="M600" i="8"/>
  <c r="M601" i="8" s="1"/>
  <c r="Y269" i="2"/>
  <c r="V247" i="2"/>
  <c r="W247" i="2"/>
  <c r="O247" i="2"/>
  <c r="AE247" i="2"/>
  <c r="P247" i="2"/>
  <c r="Q247" i="2"/>
  <c r="R247" i="2"/>
  <c r="S247" i="2"/>
  <c r="L264" i="2"/>
  <c r="N248" i="2"/>
  <c r="N592" i="8" s="1"/>
  <c r="N593" i="8" s="1"/>
  <c r="R728" i="2"/>
  <c r="N1000" i="8"/>
  <c r="N1001" i="8" s="1"/>
  <c r="O677" i="2"/>
  <c r="AE248" i="2"/>
  <c r="AE592" i="8" s="1"/>
  <c r="AE593" i="8" s="1"/>
  <c r="M248" i="2"/>
  <c r="M592" i="8" s="1"/>
  <c r="M593" i="8" s="1"/>
  <c r="O728" i="2"/>
  <c r="O708" i="2"/>
  <c r="M677" i="2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V728" i="2"/>
  <c r="L663" i="2"/>
  <c r="U728" i="2"/>
  <c r="O678" i="2"/>
  <c r="L670" i="2"/>
  <c r="T728" i="2"/>
  <c r="N1008" i="8"/>
  <c r="N1009" i="8" s="1"/>
  <c r="M679" i="2"/>
  <c r="O681" i="2"/>
  <c r="F937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L1522" i="8" s="1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L1523" i="8" s="1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L1524" i="8" s="1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L1534" i="8" s="1"/>
  <c r="M189" i="2"/>
  <c r="T412" i="2"/>
  <c r="AE437" i="2"/>
  <c r="L582" i="2"/>
  <c r="L1536" i="8" s="1"/>
  <c r="L522" i="2"/>
  <c r="L1535" i="8" s="1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L1525" i="8" s="1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L1537" i="8" s="1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729" i="2" l="1"/>
  <c r="X81" i="2"/>
  <c r="X78" i="2"/>
  <c r="O733" i="2"/>
  <c r="H731" i="2"/>
  <c r="P747" i="2"/>
  <c r="L97" i="12"/>
  <c r="F1053" i="8"/>
  <c r="F1049" i="8"/>
  <c r="F641" i="8"/>
  <c r="F657" i="8"/>
  <c r="F1037" i="8"/>
  <c r="F1025" i="8"/>
  <c r="F645" i="8"/>
  <c r="Q144" i="2"/>
  <c r="Q154" i="2" s="1"/>
  <c r="L44" i="12"/>
  <c r="F649" i="8"/>
  <c r="F653" i="8"/>
  <c r="F1041" i="8"/>
  <c r="F637" i="8"/>
  <c r="F629" i="8"/>
  <c r="F1033" i="8"/>
  <c r="F1045" i="8"/>
  <c r="F633" i="8"/>
  <c r="F1029" i="8"/>
  <c r="Q140" i="2"/>
  <c r="Q150" i="2" s="1"/>
  <c r="U295" i="8"/>
  <c r="U296" i="8" s="1"/>
  <c r="AC407" i="8"/>
  <c r="AC408" i="8" s="1"/>
  <c r="U307" i="8"/>
  <c r="U308" i="8" s="1"/>
  <c r="U427" i="8"/>
  <c r="U428" i="8" s="1"/>
  <c r="U319" i="8"/>
  <c r="U320" i="8" s="1"/>
  <c r="U327" i="8"/>
  <c r="U328" i="8" s="1"/>
  <c r="U315" i="8"/>
  <c r="U316" i="8" s="1"/>
  <c r="U299" i="8"/>
  <c r="U300" i="8" s="1"/>
  <c r="AA411" i="8"/>
  <c r="AA412" i="8" s="1"/>
  <c r="P343" i="8"/>
  <c r="P344" i="8" s="1"/>
  <c r="L1532" i="8"/>
  <c r="L1530" i="8"/>
  <c r="L1528" i="8"/>
  <c r="L1526" i="8"/>
  <c r="L1527" i="8"/>
  <c r="L1529" i="8"/>
  <c r="L1531" i="8"/>
  <c r="L1533" i="8"/>
  <c r="P363" i="8"/>
  <c r="P364" i="8" s="1"/>
  <c r="W80" i="2"/>
  <c r="W343" i="8" s="1"/>
  <c r="W344" i="8" s="1"/>
  <c r="L740" i="2"/>
  <c r="L1188" i="8" s="1"/>
  <c r="L1189" i="8" s="1"/>
  <c r="W79" i="2"/>
  <c r="W339" i="8" s="1"/>
  <c r="W340" i="8" s="1"/>
  <c r="N740" i="2"/>
  <c r="N1188" i="8" s="1"/>
  <c r="N1189" i="8" s="1"/>
  <c r="H729" i="2"/>
  <c r="AD139" i="2"/>
  <c r="AD375" i="8" s="1"/>
  <c r="AD376" i="8" s="1"/>
  <c r="N747" i="2"/>
  <c r="N1216" i="8" s="1"/>
  <c r="N1217" i="8" s="1"/>
  <c r="L61" i="12"/>
  <c r="V19" i="2"/>
  <c r="V303" i="8" s="1"/>
  <c r="V304" i="8" s="1"/>
  <c r="J333" i="2"/>
  <c r="M79" i="2"/>
  <c r="R271" i="2"/>
  <c r="N346" i="2"/>
  <c r="N812" i="8" s="1"/>
  <c r="N813" i="8" s="1"/>
  <c r="AB82" i="2"/>
  <c r="AB92" i="2" s="1"/>
  <c r="K17" i="2"/>
  <c r="K295" i="8" s="1"/>
  <c r="L10" i="12"/>
  <c r="AC77" i="2"/>
  <c r="AC87" i="2" s="1"/>
  <c r="AB140" i="2"/>
  <c r="AB150" i="2" s="1"/>
  <c r="AB143" i="2"/>
  <c r="AB391" i="8" s="1"/>
  <c r="AB392" i="8" s="1"/>
  <c r="K476" i="2"/>
  <c r="K486" i="2" s="1"/>
  <c r="K22" i="2"/>
  <c r="K315" i="8" s="1"/>
  <c r="AB79" i="2"/>
  <c r="AB339" i="8" s="1"/>
  <c r="AB340" i="8" s="1"/>
  <c r="P346" i="2"/>
  <c r="P812" i="8" s="1"/>
  <c r="P813" i="8" s="1"/>
  <c r="Q277" i="2"/>
  <c r="Q600" i="8" s="1"/>
  <c r="Q601" i="8" s="1"/>
  <c r="M83" i="2"/>
  <c r="O600" i="8"/>
  <c r="O601" i="8" s="1"/>
  <c r="L71" i="12"/>
  <c r="R84" i="2"/>
  <c r="W197" i="2"/>
  <c r="L83" i="12"/>
  <c r="I9" i="11"/>
  <c r="L86" i="12"/>
  <c r="L47" i="12"/>
  <c r="L11" i="12"/>
  <c r="L62" i="12"/>
  <c r="L74" i="12"/>
  <c r="M82" i="2"/>
  <c r="M735" i="2"/>
  <c r="M1176" i="8" s="1"/>
  <c r="M1177" i="8" s="1"/>
  <c r="Q137" i="2"/>
  <c r="M77" i="2"/>
  <c r="M78" i="2"/>
  <c r="X85" i="2"/>
  <c r="M84" i="2"/>
  <c r="X80" i="2"/>
  <c r="X343" i="8" s="1"/>
  <c r="X344" i="8" s="1"/>
  <c r="X77" i="2"/>
  <c r="AD299" i="2"/>
  <c r="P204" i="2"/>
  <c r="P214" i="2" s="1"/>
  <c r="M80" i="2"/>
  <c r="M90" i="2" s="1"/>
  <c r="Q141" i="2"/>
  <c r="M81" i="2"/>
  <c r="T199" i="2"/>
  <c r="T209" i="2" s="1"/>
  <c r="O744" i="2"/>
  <c r="O1204" i="8" s="1"/>
  <c r="O1205" i="8" s="1"/>
  <c r="AD24" i="2"/>
  <c r="AE22" i="2"/>
  <c r="AE315" i="8" s="1"/>
  <c r="AE316" i="8" s="1"/>
  <c r="H730" i="2"/>
  <c r="I7" i="11"/>
  <c r="L21" i="12"/>
  <c r="H332" i="2"/>
  <c r="Y205" i="2"/>
  <c r="AA202" i="2"/>
  <c r="AA212" i="2" s="1"/>
  <c r="O745" i="2"/>
  <c r="O1208" i="8" s="1"/>
  <c r="O1209" i="8" s="1"/>
  <c r="AD23" i="2"/>
  <c r="U82" i="2"/>
  <c r="O202" i="2"/>
  <c r="L34" i="12"/>
  <c r="AA205" i="2"/>
  <c r="P144" i="2"/>
  <c r="K20" i="2"/>
  <c r="K30" i="2" s="1"/>
  <c r="L46" i="12"/>
  <c r="N341" i="2"/>
  <c r="N792" i="8" s="1"/>
  <c r="N793" i="8" s="1"/>
  <c r="N741" i="2"/>
  <c r="N1192" i="8" s="1"/>
  <c r="N1193" i="8" s="1"/>
  <c r="L342" i="2"/>
  <c r="L73" i="12"/>
  <c r="K483" i="2"/>
  <c r="K493" i="2" s="1"/>
  <c r="R205" i="2"/>
  <c r="L25" i="12"/>
  <c r="K481" i="2"/>
  <c r="K491" i="2" s="1"/>
  <c r="AA198" i="2"/>
  <c r="N343" i="2"/>
  <c r="N800" i="8" s="1"/>
  <c r="N801" i="8" s="1"/>
  <c r="K199" i="2"/>
  <c r="K209" i="2" s="1"/>
  <c r="O342" i="2"/>
  <c r="O796" i="8" s="1"/>
  <c r="O797" i="8" s="1"/>
  <c r="L22" i="12"/>
  <c r="AA197" i="2"/>
  <c r="K482" i="2"/>
  <c r="K492" i="2" s="1"/>
  <c r="L88" i="12"/>
  <c r="N85" i="2"/>
  <c r="N95" i="2" s="1"/>
  <c r="L84" i="12"/>
  <c r="E702" i="2"/>
  <c r="I733" i="2" s="1"/>
  <c r="L13" i="12"/>
  <c r="L96" i="12"/>
  <c r="L37" i="12"/>
  <c r="AE201" i="2"/>
  <c r="M708" i="2"/>
  <c r="M718" i="2" s="1"/>
  <c r="J331" i="2"/>
  <c r="L32" i="12"/>
  <c r="L60" i="12"/>
  <c r="N342" i="2"/>
  <c r="N796" i="8" s="1"/>
  <c r="N797" i="8" s="1"/>
  <c r="P342" i="2"/>
  <c r="P796" i="8" s="1"/>
  <c r="P797" i="8" s="1"/>
  <c r="J337" i="2"/>
  <c r="L8" i="12"/>
  <c r="L64" i="12"/>
  <c r="L33" i="12"/>
  <c r="L49" i="12"/>
  <c r="L95" i="12"/>
  <c r="Z199" i="2"/>
  <c r="I330" i="2"/>
  <c r="L72" i="12"/>
  <c r="AE351" i="2"/>
  <c r="Z306" i="2"/>
  <c r="M342" i="2"/>
  <c r="M796" i="8" s="1"/>
  <c r="M797" i="8" s="1"/>
  <c r="L100" i="12"/>
  <c r="L20" i="12"/>
  <c r="L50" i="12"/>
  <c r="L76" i="12"/>
  <c r="L59" i="12"/>
  <c r="I12" i="11"/>
  <c r="L89" i="12"/>
  <c r="L101" i="12"/>
  <c r="L77" i="12"/>
  <c r="L14" i="12"/>
  <c r="L38" i="12"/>
  <c r="L26" i="12"/>
  <c r="E716" i="2"/>
  <c r="J736" i="2" s="1"/>
  <c r="E711" i="2"/>
  <c r="J731" i="2" s="1"/>
  <c r="Q351" i="2"/>
  <c r="Q309" i="2"/>
  <c r="Q319" i="2" s="1"/>
  <c r="W199" i="2"/>
  <c r="AB84" i="2"/>
  <c r="AB359" i="8" s="1"/>
  <c r="AB360" i="8" s="1"/>
  <c r="M741" i="2"/>
  <c r="M1192" i="8" s="1"/>
  <c r="M1193" i="8" s="1"/>
  <c r="W89" i="2"/>
  <c r="R203" i="2"/>
  <c r="R213" i="2" s="1"/>
  <c r="AD84" i="2"/>
  <c r="T18" i="2"/>
  <c r="S81" i="2"/>
  <c r="J336" i="2"/>
  <c r="X144" i="2"/>
  <c r="P142" i="2"/>
  <c r="P139" i="2"/>
  <c r="W204" i="2"/>
  <c r="AA85" i="2"/>
  <c r="P205" i="2"/>
  <c r="M22" i="2"/>
  <c r="M20" i="2"/>
  <c r="N335" i="2"/>
  <c r="N357" i="2" s="1"/>
  <c r="N848" i="8" s="1"/>
  <c r="N849" i="8" s="1"/>
  <c r="L98" i="12"/>
  <c r="L9" i="12"/>
  <c r="AB85" i="2"/>
  <c r="AB138" i="2"/>
  <c r="M345" i="2"/>
  <c r="M808" i="8" s="1"/>
  <c r="M809" i="8" s="1"/>
  <c r="AA319" i="2"/>
  <c r="T79" i="2"/>
  <c r="J332" i="2"/>
  <c r="L23" i="12"/>
  <c r="L730" i="2"/>
  <c r="L1156" i="8" s="1"/>
  <c r="L1157" i="8" s="1"/>
  <c r="AA669" i="2"/>
  <c r="L35" i="12"/>
  <c r="L18" i="2"/>
  <c r="L45" i="12"/>
  <c r="I5" i="11"/>
  <c r="L94" i="12"/>
  <c r="L58" i="12"/>
  <c r="L19" i="12"/>
  <c r="L7" i="12"/>
  <c r="L43" i="12"/>
  <c r="L70" i="12"/>
  <c r="L82" i="12"/>
  <c r="L31" i="12"/>
  <c r="I4" i="11"/>
  <c r="L6" i="12"/>
  <c r="L69" i="12"/>
  <c r="L30" i="12"/>
  <c r="L18" i="12"/>
  <c r="L57" i="12"/>
  <c r="L42" i="12"/>
  <c r="L81" i="12"/>
  <c r="L93" i="12"/>
  <c r="I10" i="11"/>
  <c r="L36" i="12"/>
  <c r="L63" i="12"/>
  <c r="L87" i="12"/>
  <c r="L48" i="12"/>
  <c r="L12" i="12"/>
  <c r="L24" i="12"/>
  <c r="L99" i="12"/>
  <c r="L75" i="12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N784" i="8" s="1"/>
  <c r="N785" i="8" s="1"/>
  <c r="O84" i="2"/>
  <c r="AE199" i="2"/>
  <c r="AE209" i="2" s="1"/>
  <c r="P141" i="2"/>
  <c r="P383" i="8" s="1"/>
  <c r="P384" i="8" s="1"/>
  <c r="U319" i="2"/>
  <c r="Q335" i="2"/>
  <c r="Q776" i="8" s="1"/>
  <c r="Q777" i="8" s="1"/>
  <c r="AE708" i="2"/>
  <c r="AE761" i="2" s="1"/>
  <c r="AE790" i="2" s="1"/>
  <c r="E698" i="2"/>
  <c r="I729" i="2" s="1"/>
  <c r="AE200" i="2"/>
  <c r="AB669" i="2"/>
  <c r="Q346" i="2"/>
  <c r="Q812" i="8" s="1"/>
  <c r="Q813" i="8" s="1"/>
  <c r="AE203" i="2"/>
  <c r="L205" i="2"/>
  <c r="N82" i="2"/>
  <c r="O346" i="2"/>
  <c r="O812" i="8" s="1"/>
  <c r="O813" i="8" s="1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P379" i="8" s="1"/>
  <c r="P380" i="8" s="1"/>
  <c r="V80" i="2"/>
  <c r="V90" i="2" s="1"/>
  <c r="V17" i="2"/>
  <c r="V20" i="2"/>
  <c r="P18" i="2"/>
  <c r="W203" i="2"/>
  <c r="V25" i="2"/>
  <c r="V327" i="8" s="1"/>
  <c r="V328" i="8" s="1"/>
  <c r="S18" i="2"/>
  <c r="R664" i="2"/>
  <c r="P137" i="2"/>
  <c r="AC78" i="2"/>
  <c r="V24" i="2"/>
  <c r="U83" i="2"/>
  <c r="N745" i="2"/>
  <c r="N1208" i="8" s="1"/>
  <c r="N1209" i="8" s="1"/>
  <c r="L741" i="2"/>
  <c r="L1192" i="8" s="1"/>
  <c r="L1193" i="8" s="1"/>
  <c r="P335" i="2"/>
  <c r="P357" i="2" s="1"/>
  <c r="P848" i="8" s="1"/>
  <c r="P849" i="8" s="1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X91" i="2"/>
  <c r="AC25" i="2"/>
  <c r="AC327" i="8" s="1"/>
  <c r="AC328" i="8" s="1"/>
  <c r="Z203" i="2"/>
  <c r="Z427" i="8" s="1"/>
  <c r="Z428" i="8" s="1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L346" i="2" s="1"/>
  <c r="I331" i="2"/>
  <c r="E701" i="2"/>
  <c r="I732" i="2" s="1"/>
  <c r="AD197" i="2"/>
  <c r="AD403" i="8" s="1"/>
  <c r="AD404" i="8" s="1"/>
  <c r="Z197" i="2"/>
  <c r="E714" i="2"/>
  <c r="E704" i="2"/>
  <c r="I735" i="2" s="1"/>
  <c r="I335" i="2"/>
  <c r="AD200" i="2"/>
  <c r="I336" i="2"/>
  <c r="E700" i="2"/>
  <c r="I731" i="2" s="1"/>
  <c r="S309" i="2"/>
  <c r="S319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M816" i="8"/>
  <c r="M817" i="8" s="1"/>
  <c r="N139" i="2"/>
  <c r="N1212" i="8"/>
  <c r="N1213" i="8" s="1"/>
  <c r="O259" i="2"/>
  <c r="O258" i="2"/>
  <c r="M199" i="2"/>
  <c r="M209" i="2" s="1"/>
  <c r="M202" i="2"/>
  <c r="O21" i="2"/>
  <c r="J330" i="2"/>
  <c r="F1446" i="8"/>
  <c r="M198" i="2"/>
  <c r="M258" i="2"/>
  <c r="M259" i="2"/>
  <c r="O357" i="2"/>
  <c r="L199" i="2"/>
  <c r="AE81" i="2"/>
  <c r="K25" i="2"/>
  <c r="K35" i="2" s="1"/>
  <c r="M331" i="2"/>
  <c r="N735" i="2"/>
  <c r="H736" i="2"/>
  <c r="N347" i="2"/>
  <c r="M616" i="8"/>
  <c r="M617" i="8" s="1"/>
  <c r="AD82" i="2"/>
  <c r="P202" i="2"/>
  <c r="N78" i="2"/>
  <c r="K19" i="2"/>
  <c r="K29" i="2" s="1"/>
  <c r="W84" i="2"/>
  <c r="W359" i="8" s="1"/>
  <c r="W360" i="8" s="1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M776" i="8" s="1"/>
  <c r="M777" i="8" s="1"/>
  <c r="R204" i="2"/>
  <c r="L203" i="2"/>
  <c r="O82" i="2"/>
  <c r="AB205" i="2"/>
  <c r="K18" i="2"/>
  <c r="K28" i="2" s="1"/>
  <c r="AB22" i="2"/>
  <c r="AB32" i="2" s="1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351" i="8" s="1"/>
  <c r="L202" i="2"/>
  <c r="AC84" i="2"/>
  <c r="N79" i="2"/>
  <c r="X139" i="2"/>
  <c r="O359" i="2"/>
  <c r="O376" i="2" s="1"/>
  <c r="O908" i="8" s="1"/>
  <c r="O909" i="8" s="1"/>
  <c r="Q142" i="2"/>
  <c r="L79" i="2"/>
  <c r="W77" i="2"/>
  <c r="R198" i="2"/>
  <c r="R202" i="2"/>
  <c r="AC139" i="2"/>
  <c r="R201" i="2"/>
  <c r="N84" i="2"/>
  <c r="N83" i="2"/>
  <c r="N744" i="2"/>
  <c r="N77" i="2"/>
  <c r="O792" i="8"/>
  <c r="O793" i="8" s="1"/>
  <c r="K424" i="2"/>
  <c r="K434" i="2" s="1"/>
  <c r="K198" i="2"/>
  <c r="K407" i="8" s="1"/>
  <c r="K200" i="2"/>
  <c r="K210" i="2" s="1"/>
  <c r="K205" i="2"/>
  <c r="P200" i="2"/>
  <c r="O78" i="2"/>
  <c r="S24" i="2"/>
  <c r="O83" i="2"/>
  <c r="AB204" i="2"/>
  <c r="N81" i="2"/>
  <c r="N25" i="2"/>
  <c r="R200" i="2"/>
  <c r="AA37" i="9"/>
  <c r="AA670" i="2" s="1"/>
  <c r="Y80" i="2"/>
  <c r="N736" i="2"/>
  <c r="N1180" i="8" s="1"/>
  <c r="N1181" i="8" s="1"/>
  <c r="O330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O736" i="2"/>
  <c r="H330" i="2"/>
  <c r="L80" i="2"/>
  <c r="L23" i="2"/>
  <c r="W299" i="2"/>
  <c r="T83" i="2"/>
  <c r="L299" i="2"/>
  <c r="Y78" i="2"/>
  <c r="Y88" i="2" s="1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Y351" i="8" s="1"/>
  <c r="Y352" i="8" s="1"/>
  <c r="T81" i="2"/>
  <c r="AB201" i="2"/>
  <c r="Q668" i="2"/>
  <c r="V85" i="2"/>
  <c r="V95" i="2" s="1"/>
  <c r="T85" i="2"/>
  <c r="T82" i="2"/>
  <c r="T80" i="2"/>
  <c r="L83" i="2"/>
  <c r="X299" i="2"/>
  <c r="P203" i="2"/>
  <c r="Y77" i="2"/>
  <c r="L85" i="2"/>
  <c r="L363" i="8" s="1"/>
  <c r="L364" i="8" s="1"/>
  <c r="L81" i="2"/>
  <c r="P736" i="2"/>
  <c r="P1180" i="8" s="1"/>
  <c r="P1181" i="8" s="1"/>
  <c r="O332" i="2"/>
  <c r="O764" i="8" s="1"/>
  <c r="O765" i="8" s="1"/>
  <c r="F300" i="2"/>
  <c r="Y300" i="2" s="1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X48" i="10"/>
  <c r="X138" i="5" s="1"/>
  <c r="Z48" i="10"/>
  <c r="Z138" i="5" s="1"/>
  <c r="L48" i="10"/>
  <c r="L138" i="5" s="1"/>
  <c r="AA48" i="10"/>
  <c r="AA138" i="5" s="1"/>
  <c r="M48" i="10"/>
  <c r="M138" i="5" s="1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Q138" i="5" s="1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B213" i="2" s="1"/>
  <c r="R79" i="2"/>
  <c r="L19" i="2"/>
  <c r="AB142" i="2"/>
  <c r="N142" i="2"/>
  <c r="X137" i="2"/>
  <c r="AD20" i="2"/>
  <c r="S20" i="2"/>
  <c r="M197" i="2"/>
  <c r="U79" i="2"/>
  <c r="N306" i="2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M126" i="5" s="1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S126" i="5" s="1"/>
  <c r="AD42" i="10"/>
  <c r="AD126" i="5" s="1"/>
  <c r="AF42" i="10"/>
  <c r="T306" i="2"/>
  <c r="Q201" i="2"/>
  <c r="N144" i="2"/>
  <c r="S153" i="2"/>
  <c r="X143" i="2"/>
  <c r="AE25" i="2"/>
  <c r="AE35" i="2" s="1"/>
  <c r="R80" i="2"/>
  <c r="U84" i="2"/>
  <c r="R83" i="2"/>
  <c r="AE205" i="2"/>
  <c r="Y197" i="2"/>
  <c r="Q139" i="2"/>
  <c r="M624" i="8"/>
  <c r="M625" i="8" s="1"/>
  <c r="L306" i="2"/>
  <c r="M25" i="2"/>
  <c r="S152" i="2"/>
  <c r="N756" i="8"/>
  <c r="N757" i="8" s="1"/>
  <c r="N352" i="2"/>
  <c r="N143" i="2"/>
  <c r="N140" i="2"/>
  <c r="O81" i="2"/>
  <c r="X82" i="2"/>
  <c r="O23" i="2"/>
  <c r="AB141" i="2"/>
  <c r="Z19" i="2"/>
  <c r="X84" i="2"/>
  <c r="U81" i="2"/>
  <c r="X25" i="2"/>
  <c r="AA201" i="2"/>
  <c r="AA211" i="2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Z17" i="2"/>
  <c r="X83" i="2"/>
  <c r="L25" i="2"/>
  <c r="U299" i="2"/>
  <c r="T139" i="5"/>
  <c r="T648" i="2" s="1"/>
  <c r="S139" i="5"/>
  <c r="S648" i="2" s="1"/>
  <c r="AE139" i="5"/>
  <c r="AE648" i="2" s="1"/>
  <c r="Q139" i="5"/>
  <c r="Q648" i="2" s="1"/>
  <c r="N139" i="5"/>
  <c r="N648" i="2" s="1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AC139" i="5"/>
  <c r="AC648" i="2" s="1"/>
  <c r="R139" i="5"/>
  <c r="R648" i="2" s="1"/>
  <c r="E21" i="9"/>
  <c r="X139" i="5"/>
  <c r="X648" i="2" s="1"/>
  <c r="R126" i="5"/>
  <c r="W139" i="5"/>
  <c r="W648" i="2" s="1"/>
  <c r="V139" i="5"/>
  <c r="V648" i="2" s="1"/>
  <c r="U139" i="5"/>
  <c r="U648" i="2" s="1"/>
  <c r="P139" i="5"/>
  <c r="P648" i="2" s="1"/>
  <c r="O139" i="5"/>
  <c r="O648" i="2" s="1"/>
  <c r="O755" i="2" s="1"/>
  <c r="L139" i="5"/>
  <c r="L648" i="2" s="1"/>
  <c r="O77" i="2"/>
  <c r="AD18" i="2"/>
  <c r="Q204" i="2"/>
  <c r="X197" i="2"/>
  <c r="Z18" i="2"/>
  <c r="AB202" i="2"/>
  <c r="W21" i="2"/>
  <c r="L22" i="2"/>
  <c r="P199" i="2"/>
  <c r="K204" i="2"/>
  <c r="K431" i="8" s="1"/>
  <c r="L283" i="2"/>
  <c r="L348" i="2" s="1"/>
  <c r="AC197" i="2"/>
  <c r="AC207" i="2" s="1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F303" i="2"/>
  <c r="AB303" i="2" s="1"/>
  <c r="F305" i="2"/>
  <c r="R305" i="2" s="1"/>
  <c r="L604" i="8"/>
  <c r="L605" i="8" s="1"/>
  <c r="L343" i="2"/>
  <c r="AC202" i="2"/>
  <c r="U200" i="2"/>
  <c r="V144" i="2"/>
  <c r="Y203" i="2"/>
  <c r="M730" i="2"/>
  <c r="M1156" i="8" s="1"/>
  <c r="M1157" i="8" s="1"/>
  <c r="AC306" i="2"/>
  <c r="T351" i="2"/>
  <c r="T309" i="2"/>
  <c r="AC145" i="2"/>
  <c r="O331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X347" i="8"/>
  <c r="X348" i="8" s="1"/>
  <c r="V83" i="2"/>
  <c r="AE21" i="2"/>
  <c r="R306" i="2"/>
  <c r="P675" i="2"/>
  <c r="P740" i="2" s="1"/>
  <c r="H331" i="2"/>
  <c r="O345" i="2"/>
  <c r="U306" i="2"/>
  <c r="X306" i="2"/>
  <c r="AA306" i="2"/>
  <c r="S201" i="2"/>
  <c r="V79" i="2"/>
  <c r="N24" i="2"/>
  <c r="AD83" i="2"/>
  <c r="Z21" i="2"/>
  <c r="M348" i="2"/>
  <c r="O729" i="2"/>
  <c r="O1152" i="8" s="1"/>
  <c r="O1153" i="8" s="1"/>
  <c r="AD202" i="2"/>
  <c r="Y198" i="2"/>
  <c r="AC203" i="2"/>
  <c r="AD80" i="2"/>
  <c r="AC140" i="2"/>
  <c r="P93" i="2"/>
  <c r="K478" i="2"/>
  <c r="K488" i="2" s="1"/>
  <c r="L21" i="2"/>
  <c r="O740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P331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N760" i="8" s="1"/>
  <c r="N761" i="8" s="1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AD141" i="2"/>
  <c r="S391" i="8"/>
  <c r="S392" i="8" s="1"/>
  <c r="X138" i="2"/>
  <c r="W202" i="2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W24" i="2"/>
  <c r="AB25" i="2"/>
  <c r="AB78" i="2"/>
  <c r="X201" i="2"/>
  <c r="AA21" i="2"/>
  <c r="M1020" i="8"/>
  <c r="M1021" i="8" s="1"/>
  <c r="M736" i="2"/>
  <c r="L682" i="2"/>
  <c r="M747" i="2"/>
  <c r="S708" i="2"/>
  <c r="S750" i="2"/>
  <c r="N1156" i="8"/>
  <c r="N1157" i="8" s="1"/>
  <c r="M1188" i="8"/>
  <c r="M1189" i="8" s="1"/>
  <c r="AE319" i="2"/>
  <c r="AE362" i="2"/>
  <c r="AE391" i="2" s="1"/>
  <c r="AE20" i="2"/>
  <c r="M1152" i="8"/>
  <c r="M1153" i="8" s="1"/>
  <c r="P1012" i="8"/>
  <c r="P1013" i="8" s="1"/>
  <c r="P734" i="2"/>
  <c r="P745" i="2"/>
  <c r="Q68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1196" i="8"/>
  <c r="N1197" i="8" s="1"/>
  <c r="S306" i="2"/>
  <c r="T302" i="2"/>
  <c r="N333" i="2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744" i="2"/>
  <c r="P588" i="8"/>
  <c r="P589" i="8" s="1"/>
  <c r="P299" i="2"/>
  <c r="N734" i="2"/>
  <c r="N588" i="8"/>
  <c r="N589" i="8" s="1"/>
  <c r="N299" i="2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O734" i="2"/>
  <c r="M336" i="2"/>
  <c r="O1168" i="8"/>
  <c r="O1169" i="8" s="1"/>
  <c r="T200" i="2"/>
  <c r="P21" i="2"/>
  <c r="AE588" i="8"/>
  <c r="AE589" i="8" s="1"/>
  <c r="AE306" i="2"/>
  <c r="X708" i="2"/>
  <c r="X750" i="2"/>
  <c r="H336" i="2"/>
  <c r="W201" i="2"/>
  <c r="U205" i="2"/>
  <c r="U435" i="8" s="1"/>
  <c r="U436" i="8" s="1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O588" i="8"/>
  <c r="O589" i="8" s="1"/>
  <c r="AE299" i="2"/>
  <c r="N1152" i="8"/>
  <c r="N1153" i="8" s="1"/>
  <c r="R299" i="2"/>
  <c r="Q306" i="2"/>
  <c r="L331" i="2"/>
  <c r="AB34" i="9"/>
  <c r="AA34" i="9"/>
  <c r="P351" i="2"/>
  <c r="P309" i="2"/>
  <c r="AD138" i="2"/>
  <c r="S588" i="8"/>
  <c r="S589" i="8" s="1"/>
  <c r="N334" i="2"/>
  <c r="O334" i="2"/>
  <c r="M334" i="2"/>
  <c r="L336" i="2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L796" i="8"/>
  <c r="L797" i="8" s="1"/>
  <c r="Q663" i="2"/>
  <c r="R663" i="2"/>
  <c r="U197" i="2"/>
  <c r="AD199" i="2"/>
  <c r="W205" i="2"/>
  <c r="X200" i="2"/>
  <c r="K143" i="2"/>
  <c r="K391" i="8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0" i="2"/>
  <c r="W306" i="2"/>
  <c r="Q299" i="2"/>
  <c r="H337" i="2"/>
  <c r="AD306" i="2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O347" i="2"/>
  <c r="O336" i="2"/>
  <c r="P282" i="2"/>
  <c r="O620" i="8"/>
  <c r="O621" i="8" s="1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O996" i="8"/>
  <c r="O997" i="8" s="1"/>
  <c r="P676" i="2"/>
  <c r="O730" i="2"/>
  <c r="O741" i="2"/>
  <c r="O1004" i="8"/>
  <c r="O1005" i="8" s="1"/>
  <c r="P678" i="2"/>
  <c r="O743" i="2"/>
  <c r="O732" i="2"/>
  <c r="H732" i="2"/>
  <c r="Q1020" i="8"/>
  <c r="Q1021" i="8" s="1"/>
  <c r="Q736" i="2"/>
  <c r="Q747" i="2"/>
  <c r="R682" i="2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M332" i="2"/>
  <c r="N332" i="2"/>
  <c r="L332" i="2"/>
  <c r="AA761" i="2"/>
  <c r="AA790" i="2" s="1"/>
  <c r="AA718" i="2"/>
  <c r="N336" i="2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O784" i="8"/>
  <c r="O785" i="8" s="1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AA423" i="8"/>
  <c r="AA424" i="8" s="1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AE379" i="8" s="1"/>
  <c r="AE380" i="8" s="1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X88" i="2"/>
  <c r="X335" i="8"/>
  <c r="X336" i="8" s="1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Q379" i="8"/>
  <c r="Q380" i="8" s="1"/>
  <c r="R138" i="2"/>
  <c r="U30" i="2"/>
  <c r="U355" i="8"/>
  <c r="U356" i="8" s="1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Y435" i="8"/>
  <c r="Y436" i="8" s="1"/>
  <c r="AB351" i="8"/>
  <c r="AB352" i="8" s="1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AC331" i="8"/>
  <c r="AC332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O210" i="2"/>
  <c r="V143" i="2"/>
  <c r="Z138" i="2"/>
  <c r="M137" i="2"/>
  <c r="K78" i="2"/>
  <c r="W144" i="2"/>
  <c r="Z83" i="2"/>
  <c r="Q83" i="2"/>
  <c r="Z80" i="2"/>
  <c r="U27" i="2"/>
  <c r="R24" i="2"/>
  <c r="S80" i="2"/>
  <c r="K32" i="2" l="1"/>
  <c r="AD149" i="2"/>
  <c r="W94" i="2"/>
  <c r="AE411" i="8"/>
  <c r="AE412" i="8" s="1"/>
  <c r="AB379" i="8"/>
  <c r="AB380" i="8" s="1"/>
  <c r="V343" i="8"/>
  <c r="V344" i="8" s="1"/>
  <c r="M411" i="8"/>
  <c r="M412" i="8" s="1"/>
  <c r="K427" i="8"/>
  <c r="N363" i="8"/>
  <c r="N364" i="8" s="1"/>
  <c r="AB94" i="2"/>
  <c r="S362" i="2"/>
  <c r="S391" i="2" s="1"/>
  <c r="N776" i="8"/>
  <c r="N777" i="8" s="1"/>
  <c r="AB427" i="8"/>
  <c r="AB428" i="8" s="1"/>
  <c r="K92" i="2"/>
  <c r="Q395" i="8"/>
  <c r="Q396" i="8" s="1"/>
  <c r="K207" i="2"/>
  <c r="P35" i="2"/>
  <c r="W423" i="8"/>
  <c r="W424" i="8" s="1"/>
  <c r="Z407" i="8"/>
  <c r="Z408" i="8" s="1"/>
  <c r="AB208" i="2"/>
  <c r="T90" i="2"/>
  <c r="O415" i="8"/>
  <c r="O416" i="8" s="1"/>
  <c r="V34" i="2"/>
  <c r="AC29" i="2"/>
  <c r="W214" i="2"/>
  <c r="AA207" i="2"/>
  <c r="M335" i="8"/>
  <c r="M336" i="8" s="1"/>
  <c r="Z153" i="2"/>
  <c r="AD152" i="2"/>
  <c r="AB27" i="2"/>
  <c r="T210" i="2"/>
  <c r="M660" i="8"/>
  <c r="M661" i="8" s="1"/>
  <c r="AB35" i="2"/>
  <c r="AD30" i="2"/>
  <c r="Y91" i="2"/>
  <c r="AB411" i="8"/>
  <c r="AB412" i="8" s="1"/>
  <c r="AE91" i="2"/>
  <c r="Z431" i="8"/>
  <c r="Z432" i="8" s="1"/>
  <c r="P149" i="2"/>
  <c r="M331" i="8"/>
  <c r="M332" i="8" s="1"/>
  <c r="Y371" i="8"/>
  <c r="Y372" i="8" s="1"/>
  <c r="P155" i="2"/>
  <c r="W29" i="2"/>
  <c r="R155" i="2"/>
  <c r="Q303" i="8"/>
  <c r="Q304" i="8" s="1"/>
  <c r="Y431" i="8"/>
  <c r="Y432" i="8" s="1"/>
  <c r="X215" i="2"/>
  <c r="R660" i="8"/>
  <c r="R661" i="8" s="1"/>
  <c r="AD367" i="8"/>
  <c r="AD368" i="8" s="1"/>
  <c r="W34" i="2"/>
  <c r="Y211" i="2"/>
  <c r="AC367" i="8"/>
  <c r="AC368" i="8" s="1"/>
  <c r="AC151" i="2"/>
  <c r="AD90" i="2"/>
  <c r="U688" i="8"/>
  <c r="U689" i="8" s="1"/>
  <c r="O427" i="8"/>
  <c r="O428" i="8" s="1"/>
  <c r="AE212" i="2"/>
  <c r="P411" i="8"/>
  <c r="P412" i="8" s="1"/>
  <c r="X94" i="2"/>
  <c r="Q375" i="8"/>
  <c r="Q376" i="8" s="1"/>
  <c r="X147" i="2"/>
  <c r="AB147" i="2"/>
  <c r="T363" i="8"/>
  <c r="T364" i="8" s="1"/>
  <c r="L351" i="8"/>
  <c r="L352" i="8" s="1"/>
  <c r="AE214" i="2"/>
  <c r="N87" i="2"/>
  <c r="AC359" i="8"/>
  <c r="AC360" i="8" s="1"/>
  <c r="AB315" i="8"/>
  <c r="AB316" i="8" s="1"/>
  <c r="AD295" i="8"/>
  <c r="AD296" i="8" s="1"/>
  <c r="L411" i="8"/>
  <c r="L412" i="8" s="1"/>
  <c r="Z210" i="2"/>
  <c r="P147" i="2"/>
  <c r="AC33" i="2"/>
  <c r="T89" i="2"/>
  <c r="P387" i="8"/>
  <c r="P388" i="8" s="1"/>
  <c r="Z688" i="8"/>
  <c r="Z689" i="8" s="1"/>
  <c r="P395" i="8"/>
  <c r="P396" i="8" s="1"/>
  <c r="AD34" i="2"/>
  <c r="Q147" i="2"/>
  <c r="M93" i="2"/>
  <c r="M89" i="2"/>
  <c r="L375" i="8"/>
  <c r="L376" i="8" s="1"/>
  <c r="V151" i="2"/>
  <c r="P660" i="8"/>
  <c r="P661" i="8" s="1"/>
  <c r="AE30" i="2"/>
  <c r="AD95" i="2"/>
  <c r="P391" i="8"/>
  <c r="P392" i="8" s="1"/>
  <c r="V423" i="8"/>
  <c r="V424" i="8" s="1"/>
  <c r="O407" i="8"/>
  <c r="O408" i="8" s="1"/>
  <c r="L152" i="2"/>
  <c r="AD211" i="2"/>
  <c r="AD688" i="8"/>
  <c r="AD689" i="8" s="1"/>
  <c r="Q688" i="8"/>
  <c r="Q689" i="8" s="1"/>
  <c r="X148" i="2"/>
  <c r="V87" i="2"/>
  <c r="U91" i="2"/>
  <c r="O89" i="2"/>
  <c r="T92" i="2"/>
  <c r="U88" i="2"/>
  <c r="Y90" i="2"/>
  <c r="N89" i="2"/>
  <c r="W88" i="2"/>
  <c r="N375" i="8"/>
  <c r="N376" i="8" s="1"/>
  <c r="AC88" i="2"/>
  <c r="K327" i="8"/>
  <c r="U419" i="8"/>
  <c r="U420" i="8" s="1"/>
  <c r="W28" i="2"/>
  <c r="V208" i="2"/>
  <c r="P407" i="8"/>
  <c r="P408" i="8" s="1"/>
  <c r="Y35" i="2"/>
  <c r="R391" i="8"/>
  <c r="R392" i="8" s="1"/>
  <c r="N403" i="8"/>
  <c r="N404" i="8" s="1"/>
  <c r="T208" i="2"/>
  <c r="AD391" i="8"/>
  <c r="AD392" i="8" s="1"/>
  <c r="AD151" i="2"/>
  <c r="T323" i="8"/>
  <c r="T324" i="8" s="1"/>
  <c r="AD339" i="8"/>
  <c r="AD340" i="8" s="1"/>
  <c r="AC427" i="8"/>
  <c r="AC428" i="8" s="1"/>
  <c r="N29" i="2"/>
  <c r="Y213" i="2"/>
  <c r="X152" i="2"/>
  <c r="L315" i="8"/>
  <c r="L316" i="8" s="1"/>
  <c r="Z29" i="2"/>
  <c r="Y207" i="2"/>
  <c r="N387" i="8"/>
  <c r="N388" i="8" s="1"/>
  <c r="V363" i="8"/>
  <c r="V364" i="8" s="1"/>
  <c r="Q391" i="8"/>
  <c r="Q392" i="8" s="1"/>
  <c r="Y89" i="2"/>
  <c r="R415" i="8"/>
  <c r="R416" i="8" s="1"/>
  <c r="L212" i="2"/>
  <c r="O343" i="8"/>
  <c r="O344" i="8" s="1"/>
  <c r="M95" i="2"/>
  <c r="AE415" i="8"/>
  <c r="AE416" i="8" s="1"/>
  <c r="X154" i="2"/>
  <c r="AA435" i="8"/>
  <c r="AA436" i="8" s="1"/>
  <c r="X212" i="2"/>
  <c r="AA315" i="8"/>
  <c r="AA316" i="8" s="1"/>
  <c r="AA688" i="8"/>
  <c r="AA689" i="8" s="1"/>
  <c r="L688" i="8"/>
  <c r="L689" i="8" s="1"/>
  <c r="S30" i="2"/>
  <c r="L88" i="2"/>
  <c r="X375" i="8"/>
  <c r="X376" i="8" s="1"/>
  <c r="AD210" i="2"/>
  <c r="AE213" i="2"/>
  <c r="AD208" i="2"/>
  <c r="O419" i="8"/>
  <c r="O420" i="8" s="1"/>
  <c r="V88" i="2"/>
  <c r="AC379" i="8"/>
  <c r="AC380" i="8" s="1"/>
  <c r="X688" i="8"/>
  <c r="X689" i="8" s="1"/>
  <c r="AC688" i="8"/>
  <c r="AC689" i="8" s="1"/>
  <c r="L407" i="8"/>
  <c r="L408" i="8" s="1"/>
  <c r="AC89" i="2"/>
  <c r="AE32" i="2"/>
  <c r="AE148" i="2"/>
  <c r="Y154" i="2"/>
  <c r="Z155" i="2"/>
  <c r="AB660" i="8"/>
  <c r="AB661" i="8" s="1"/>
  <c r="AE672" i="8"/>
  <c r="AE673" i="8" s="1"/>
  <c r="AB93" i="2"/>
  <c r="P688" i="8"/>
  <c r="P689" i="8" s="1"/>
  <c r="X209" i="2"/>
  <c r="Q660" i="8"/>
  <c r="Q661" i="8" s="1"/>
  <c r="AB87" i="2"/>
  <c r="AE660" i="8"/>
  <c r="AE661" i="8" s="1"/>
  <c r="W415" i="8"/>
  <c r="W416" i="8" s="1"/>
  <c r="AA295" i="8"/>
  <c r="AA296" i="8" s="1"/>
  <c r="Z151" i="2"/>
  <c r="V435" i="8"/>
  <c r="V436" i="8" s="1"/>
  <c r="N415" i="8"/>
  <c r="N416" i="8" s="1"/>
  <c r="N27" i="2"/>
  <c r="AC148" i="2"/>
  <c r="Y208" i="2"/>
  <c r="V395" i="8"/>
  <c r="V396" i="8" s="1"/>
  <c r="Z30" i="2"/>
  <c r="W311" i="8"/>
  <c r="W312" i="8" s="1"/>
  <c r="AB383" i="8"/>
  <c r="AB384" i="8" s="1"/>
  <c r="AB152" i="2"/>
  <c r="AA660" i="8"/>
  <c r="AA661" i="8" s="1"/>
  <c r="L27" i="2"/>
  <c r="N35" i="2"/>
  <c r="N355" i="8"/>
  <c r="N356" i="8" s="1"/>
  <c r="AB215" i="2"/>
  <c r="Z207" i="2"/>
  <c r="Z213" i="2"/>
  <c r="S28" i="2"/>
  <c r="T411" i="8"/>
  <c r="T412" i="8" s="1"/>
  <c r="M351" i="8"/>
  <c r="M352" i="8" s="1"/>
  <c r="V29" i="2"/>
  <c r="Q33" i="2"/>
  <c r="AC395" i="8"/>
  <c r="AC396" i="8" s="1"/>
  <c r="AC355" i="8"/>
  <c r="AC356" i="8" s="1"/>
  <c r="Q435" i="8"/>
  <c r="Q436" i="8" s="1"/>
  <c r="S209" i="2"/>
  <c r="Y30" i="2"/>
  <c r="AB688" i="8"/>
  <c r="AB689" i="8" s="1"/>
  <c r="Y34" i="2"/>
  <c r="S660" i="8"/>
  <c r="S661" i="8" s="1"/>
  <c r="AE29" i="2"/>
  <c r="W688" i="8"/>
  <c r="W689" i="8" s="1"/>
  <c r="AA93" i="2"/>
  <c r="U215" i="2"/>
  <c r="AD213" i="2"/>
  <c r="AC209" i="2"/>
  <c r="N30" i="2"/>
  <c r="N423" i="8"/>
  <c r="N424" i="8" s="1"/>
  <c r="U415" i="8"/>
  <c r="U416" i="8" s="1"/>
  <c r="AB395" i="8"/>
  <c r="AB396" i="8" s="1"/>
  <c r="AB423" i="8"/>
  <c r="AB424" i="8" s="1"/>
  <c r="O33" i="2"/>
  <c r="R93" i="2"/>
  <c r="L29" i="2"/>
  <c r="R92" i="2"/>
  <c r="Y664" i="8"/>
  <c r="Y665" i="8" s="1"/>
  <c r="AB211" i="2"/>
  <c r="T87" i="2"/>
  <c r="L94" i="2"/>
  <c r="N347" i="8"/>
  <c r="N348" i="8" s="1"/>
  <c r="N94" i="2"/>
  <c r="R209" i="2"/>
  <c r="O92" i="2"/>
  <c r="AD207" i="2"/>
  <c r="AC35" i="2"/>
  <c r="V35" i="2"/>
  <c r="AB371" i="8"/>
  <c r="AB372" i="8" s="1"/>
  <c r="S347" i="8"/>
  <c r="S348" i="8" s="1"/>
  <c r="AE211" i="2"/>
  <c r="AA208" i="2"/>
  <c r="O212" i="2"/>
  <c r="M91" i="2"/>
  <c r="AB89" i="2"/>
  <c r="T215" i="2"/>
  <c r="O149" i="2"/>
  <c r="S407" i="8"/>
  <c r="S408" i="8" s="1"/>
  <c r="W427" i="8"/>
  <c r="W428" i="8" s="1"/>
  <c r="AB95" i="2"/>
  <c r="T299" i="8"/>
  <c r="T300" i="8" s="1"/>
  <c r="Z209" i="2"/>
  <c r="P29" i="2"/>
  <c r="V688" i="8"/>
  <c r="V689" i="8" s="1"/>
  <c r="W672" i="8"/>
  <c r="W673" i="8" s="1"/>
  <c r="X151" i="2"/>
  <c r="AA303" i="8"/>
  <c r="AA304" i="8" s="1"/>
  <c r="T672" i="8"/>
  <c r="T673" i="8" s="1"/>
  <c r="O150" i="2"/>
  <c r="AD214" i="2"/>
  <c r="Q213" i="2"/>
  <c r="M323" i="8"/>
  <c r="M324" i="8" s="1"/>
  <c r="AE31" i="2"/>
  <c r="X89" i="2"/>
  <c r="X403" i="8"/>
  <c r="X404" i="8" s="1"/>
  <c r="L35" i="2"/>
  <c r="O347" i="8"/>
  <c r="O348" i="8" s="1"/>
  <c r="R90" i="2"/>
  <c r="O363" i="8"/>
  <c r="O364" i="8" s="1"/>
  <c r="Y92" i="2"/>
  <c r="L660" i="8"/>
  <c r="L661" i="8" s="1"/>
  <c r="AB207" i="2"/>
  <c r="O93" i="2"/>
  <c r="AC375" i="8"/>
  <c r="AC376" i="8" s="1"/>
  <c r="N343" i="8"/>
  <c r="N344" i="8" s="1"/>
  <c r="R214" i="2"/>
  <c r="P423" i="8"/>
  <c r="P424" i="8" s="1"/>
  <c r="Z212" i="2"/>
  <c r="P299" i="8"/>
  <c r="P300" i="8" s="1"/>
  <c r="M415" i="8"/>
  <c r="M416" i="8" s="1"/>
  <c r="AD359" i="8"/>
  <c r="AD360" i="8" s="1"/>
  <c r="AD33" i="2"/>
  <c r="M343" i="8"/>
  <c r="M344" i="8" s="1"/>
  <c r="W90" i="2"/>
  <c r="Y29" i="2"/>
  <c r="AE33" i="2"/>
  <c r="N411" i="8"/>
  <c r="N412" i="8" s="1"/>
  <c r="AC419" i="8"/>
  <c r="AC420" i="8" s="1"/>
  <c r="Y335" i="8"/>
  <c r="Y336" i="8" s="1"/>
  <c r="W315" i="8"/>
  <c r="W316" i="8" s="1"/>
  <c r="Q30" i="2"/>
  <c r="S351" i="8"/>
  <c r="S352" i="8" s="1"/>
  <c r="O35" i="2"/>
  <c r="S431" i="8"/>
  <c r="S432" i="8" s="1"/>
  <c r="AE153" i="2"/>
  <c r="AA327" i="8"/>
  <c r="AA328" i="8" s="1"/>
  <c r="U212" i="2"/>
  <c r="P34" i="2"/>
  <c r="AD371" i="8"/>
  <c r="AD372" i="8" s="1"/>
  <c r="AD215" i="2"/>
  <c r="S688" i="8"/>
  <c r="S689" i="8" s="1"/>
  <c r="V427" i="8"/>
  <c r="V428" i="8" s="1"/>
  <c r="AC387" i="8"/>
  <c r="AC388" i="8" s="1"/>
  <c r="M688" i="8"/>
  <c r="M689" i="8" s="1"/>
  <c r="O214" i="2"/>
  <c r="V93" i="2"/>
  <c r="N379" i="8"/>
  <c r="N380" i="8" s="1"/>
  <c r="AE327" i="8"/>
  <c r="AE328" i="8" s="1"/>
  <c r="V660" i="8"/>
  <c r="V661" i="8" s="1"/>
  <c r="L347" i="8"/>
  <c r="L348" i="8" s="1"/>
  <c r="Y93" i="2"/>
  <c r="T355" i="8"/>
  <c r="T356" i="8" s="1"/>
  <c r="Y363" i="8"/>
  <c r="Y364" i="8" s="1"/>
  <c r="S34" i="2"/>
  <c r="R423" i="8"/>
  <c r="R424" i="8" s="1"/>
  <c r="AD92" i="2"/>
  <c r="V307" i="8"/>
  <c r="V308" i="8" s="1"/>
  <c r="AE403" i="8"/>
  <c r="AE404" i="8" s="1"/>
  <c r="P151" i="2"/>
  <c r="W91" i="2"/>
  <c r="R427" i="8"/>
  <c r="R428" i="8" s="1"/>
  <c r="R435" i="8"/>
  <c r="R436" i="8" s="1"/>
  <c r="P431" i="8"/>
  <c r="P432" i="8" s="1"/>
  <c r="AB153" i="2"/>
  <c r="R95" i="2"/>
  <c r="T660" i="8"/>
  <c r="T661" i="8" s="1"/>
  <c r="T213" i="2"/>
  <c r="Q209" i="2"/>
  <c r="AD212" i="2"/>
  <c r="R89" i="2"/>
  <c r="M431" i="8"/>
  <c r="M432" i="8" s="1"/>
  <c r="Z34" i="2"/>
  <c r="R149" i="2"/>
  <c r="Z147" i="2"/>
  <c r="S435" i="8"/>
  <c r="S436" i="8" s="1"/>
  <c r="O29" i="2"/>
  <c r="Z419" i="8"/>
  <c r="Z420" i="8" s="1"/>
  <c r="AE150" i="2"/>
  <c r="V148" i="2"/>
  <c r="S423" i="8"/>
  <c r="S424" i="8" s="1"/>
  <c r="Y32" i="2"/>
  <c r="Z152" i="2"/>
  <c r="O315" i="8"/>
  <c r="O316" i="8" s="1"/>
  <c r="T211" i="2"/>
  <c r="O688" i="8"/>
  <c r="O689" i="8" s="1"/>
  <c r="AC431" i="8"/>
  <c r="AC432" i="8" s="1"/>
  <c r="N213" i="2"/>
  <c r="V351" i="8"/>
  <c r="V352" i="8" s="1"/>
  <c r="N211" i="2"/>
  <c r="Q399" i="8"/>
  <c r="Q400" i="8" s="1"/>
  <c r="V403" i="8"/>
  <c r="V404" i="8" s="1"/>
  <c r="R684" i="8"/>
  <c r="R685" i="8" s="1"/>
  <c r="AD28" i="2"/>
  <c r="Z27" i="2"/>
  <c r="N391" i="8"/>
  <c r="N392" i="8" s="1"/>
  <c r="X391" i="8"/>
  <c r="X392" i="8" s="1"/>
  <c r="L431" i="8"/>
  <c r="L432" i="8" s="1"/>
  <c r="L95" i="2"/>
  <c r="O27" i="2"/>
  <c r="W660" i="8"/>
  <c r="W661" i="8" s="1"/>
  <c r="T431" i="8"/>
  <c r="T432" i="8" s="1"/>
  <c r="O335" i="8"/>
  <c r="O336" i="8" s="1"/>
  <c r="R407" i="8"/>
  <c r="R408" i="8" s="1"/>
  <c r="V27" i="2"/>
  <c r="AD660" i="8"/>
  <c r="AD661" i="8" s="1"/>
  <c r="Y660" i="8"/>
  <c r="Y661" i="8" s="1"/>
  <c r="M27" i="2"/>
  <c r="X35" i="2"/>
  <c r="R87" i="2"/>
  <c r="Q335" i="8"/>
  <c r="Q336" i="8" s="1"/>
  <c r="U660" i="8"/>
  <c r="U661" i="8" s="1"/>
  <c r="AB431" i="8"/>
  <c r="AB432" i="8" s="1"/>
  <c r="L211" i="2"/>
  <c r="AD29" i="2"/>
  <c r="Q151" i="2"/>
  <c r="Q403" i="8"/>
  <c r="Q404" i="8" s="1"/>
  <c r="M407" i="8"/>
  <c r="M408" i="8" s="1"/>
  <c r="S403" i="8"/>
  <c r="S404" i="8" s="1"/>
  <c r="L151" i="2"/>
  <c r="W295" i="8"/>
  <c r="W296" i="8" s="1"/>
  <c r="L395" i="8"/>
  <c r="L396" i="8" s="1"/>
  <c r="U214" i="2"/>
  <c r="L147" i="2"/>
  <c r="Z149" i="2"/>
  <c r="M88" i="2"/>
  <c r="AA307" i="8"/>
  <c r="AA308" i="8" s="1"/>
  <c r="AC660" i="8"/>
  <c r="AC661" i="8" s="1"/>
  <c r="X415" i="8"/>
  <c r="X416" i="8" s="1"/>
  <c r="AD154" i="2"/>
  <c r="AC215" i="2"/>
  <c r="V155" i="2"/>
  <c r="AD93" i="2"/>
  <c r="V94" i="2"/>
  <c r="AB676" i="8"/>
  <c r="AB677" i="8" s="1"/>
  <c r="O87" i="2"/>
  <c r="S32" i="2"/>
  <c r="T423" i="8"/>
  <c r="T424" i="8" s="1"/>
  <c r="AD399" i="8"/>
  <c r="AD400" i="8" s="1"/>
  <c r="Y87" i="2"/>
  <c r="L34" i="2"/>
  <c r="L319" i="8"/>
  <c r="L320" i="8" s="1"/>
  <c r="AB299" i="8"/>
  <c r="AB300" i="8" s="1"/>
  <c r="P210" i="2"/>
  <c r="W87" i="2"/>
  <c r="Z660" i="8"/>
  <c r="Z661" i="8" s="1"/>
  <c r="M212" i="2"/>
  <c r="O359" i="8"/>
  <c r="O360" i="8" s="1"/>
  <c r="M30" i="2"/>
  <c r="Y215" i="2"/>
  <c r="X87" i="2"/>
  <c r="M33" i="2"/>
  <c r="R151" i="2"/>
  <c r="O660" i="8"/>
  <c r="O661" i="8" s="1"/>
  <c r="W664" i="8"/>
  <c r="W665" i="8" s="1"/>
  <c r="AE299" i="8"/>
  <c r="AE300" i="8" s="1"/>
  <c r="W211" i="2"/>
  <c r="N215" i="2"/>
  <c r="AD87" i="2"/>
  <c r="Y688" i="8"/>
  <c r="Y689" i="8" s="1"/>
  <c r="Y411" i="8"/>
  <c r="Y412" i="8" s="1"/>
  <c r="R688" i="8"/>
  <c r="R689" i="8" s="1"/>
  <c r="AC212" i="2"/>
  <c r="U90" i="2"/>
  <c r="T91" i="2"/>
  <c r="L427" i="8"/>
  <c r="L428" i="8" s="1"/>
  <c r="M208" i="2"/>
  <c r="W319" i="8"/>
  <c r="W320" i="8" s="1"/>
  <c r="AC295" i="8"/>
  <c r="AC296" i="8" s="1"/>
  <c r="S427" i="8"/>
  <c r="S428" i="8" s="1"/>
  <c r="Z363" i="8"/>
  <c r="Z364" i="8" s="1"/>
  <c r="R150" i="2"/>
  <c r="P30" i="2"/>
  <c r="AD379" i="8"/>
  <c r="AD380" i="8" s="1"/>
  <c r="W215" i="2"/>
  <c r="L415" i="8"/>
  <c r="L416" i="8" s="1"/>
  <c r="AE688" i="8"/>
  <c r="AE689" i="8" s="1"/>
  <c r="N660" i="8"/>
  <c r="N661" i="8" s="1"/>
  <c r="AE34" i="2"/>
  <c r="O207" i="2"/>
  <c r="X31" i="2"/>
  <c r="Q212" i="2"/>
  <c r="AE399" i="8"/>
  <c r="AE400" i="8" s="1"/>
  <c r="N34" i="2"/>
  <c r="M29" i="2"/>
  <c r="S680" i="8"/>
  <c r="S681" i="8" s="1"/>
  <c r="O323" i="8"/>
  <c r="O324" i="8" s="1"/>
  <c r="AB210" i="2"/>
  <c r="O307" i="8"/>
  <c r="O308" i="8" s="1"/>
  <c r="N395" i="8"/>
  <c r="N396" i="8" s="1"/>
  <c r="N688" i="8"/>
  <c r="N689" i="8" s="1"/>
  <c r="AA299" i="8"/>
  <c r="AA300" i="8" s="1"/>
  <c r="P427" i="8"/>
  <c r="P428" i="8" s="1"/>
  <c r="L343" i="8"/>
  <c r="L344" i="8" s="1"/>
  <c r="L87" i="2"/>
  <c r="L339" i="8"/>
  <c r="L340" i="8" s="1"/>
  <c r="AD88" i="2"/>
  <c r="P150" i="2"/>
  <c r="M32" i="2"/>
  <c r="X90" i="2"/>
  <c r="Q34" i="2"/>
  <c r="R91" i="2"/>
  <c r="R211" i="2"/>
  <c r="N88" i="2"/>
  <c r="AE208" i="2"/>
  <c r="U351" i="8"/>
  <c r="U352" i="8" s="1"/>
  <c r="U407" i="8"/>
  <c r="U408" i="8" s="1"/>
  <c r="W351" i="8"/>
  <c r="W352" i="8" s="1"/>
  <c r="AC93" i="2"/>
  <c r="W92" i="2"/>
  <c r="AE154" i="2"/>
  <c r="AE147" i="2"/>
  <c r="M419" i="8"/>
  <c r="M420" i="8" s="1"/>
  <c r="V210" i="2"/>
  <c r="X29" i="2"/>
  <c r="W30" i="2"/>
  <c r="AA319" i="8"/>
  <c r="AA320" i="8" s="1"/>
  <c r="T27" i="2"/>
  <c r="P419" i="8"/>
  <c r="P420" i="8" s="1"/>
  <c r="AD209" i="2"/>
  <c r="M427" i="8"/>
  <c r="M428" i="8" s="1"/>
  <c r="T307" i="8"/>
  <c r="T308" i="8" s="1"/>
  <c r="N311" i="8"/>
  <c r="N312" i="8" s="1"/>
  <c r="AA311" i="8"/>
  <c r="AA312" i="8" s="1"/>
  <c r="X30" i="2"/>
  <c r="AD347" i="8"/>
  <c r="AD348" i="8" s="1"/>
  <c r="N208" i="2"/>
  <c r="S415" i="8"/>
  <c r="S416" i="8" s="1"/>
  <c r="L311" i="8"/>
  <c r="L312" i="8" s="1"/>
  <c r="V89" i="2"/>
  <c r="P315" i="8"/>
  <c r="P316" i="8" s="1"/>
  <c r="AC155" i="2"/>
  <c r="R335" i="8"/>
  <c r="R336" i="8" s="1"/>
  <c r="N147" i="2"/>
  <c r="U87" i="2"/>
  <c r="Q419" i="8"/>
  <c r="Q420" i="8" s="1"/>
  <c r="U339" i="8"/>
  <c r="U340" i="8" s="1"/>
  <c r="X660" i="8"/>
  <c r="X661" i="8" s="1"/>
  <c r="T359" i="8"/>
  <c r="T360" i="8" s="1"/>
  <c r="Q387" i="8"/>
  <c r="Q388" i="8" s="1"/>
  <c r="Q371" i="8"/>
  <c r="Q372" i="8" s="1"/>
  <c r="M435" i="8"/>
  <c r="M436" i="8" s="1"/>
  <c r="N92" i="2"/>
  <c r="X431" i="8"/>
  <c r="X432" i="8" s="1"/>
  <c r="P215" i="2"/>
  <c r="W209" i="2"/>
  <c r="M359" i="8"/>
  <c r="M360" i="8" s="1"/>
  <c r="W207" i="2"/>
  <c r="Q87" i="2"/>
  <c r="Z435" i="8"/>
  <c r="Z436" i="8" s="1"/>
  <c r="W35" i="2"/>
  <c r="AC307" i="8"/>
  <c r="AC308" i="8" s="1"/>
  <c r="Y367" i="8"/>
  <c r="Y368" i="8" s="1"/>
  <c r="T207" i="2"/>
  <c r="AA34" i="2"/>
  <c r="U209" i="2"/>
  <c r="U207" i="2"/>
  <c r="W208" i="2"/>
  <c r="V28" i="2"/>
  <c r="T29" i="2"/>
  <c r="V91" i="2"/>
  <c r="AA427" i="8"/>
  <c r="AA428" i="8" s="1"/>
  <c r="O209" i="2"/>
  <c r="S419" i="8"/>
  <c r="S420" i="8" s="1"/>
  <c r="O299" i="8"/>
  <c r="O300" i="8" s="1"/>
  <c r="AA147" i="2"/>
  <c r="AC403" i="8"/>
  <c r="AC404" i="8" s="1"/>
  <c r="X150" i="2"/>
  <c r="AA419" i="8"/>
  <c r="AA420" i="8" s="1"/>
  <c r="M35" i="2"/>
  <c r="T688" i="8"/>
  <c r="T689" i="8" s="1"/>
  <c r="M403" i="8"/>
  <c r="M404" i="8" s="1"/>
  <c r="L30" i="2"/>
  <c r="L355" i="8"/>
  <c r="L356" i="8" s="1"/>
  <c r="V150" i="2"/>
  <c r="W355" i="8"/>
  <c r="W356" i="8" s="1"/>
  <c r="U93" i="2"/>
  <c r="P207" i="2"/>
  <c r="L435" i="8"/>
  <c r="L436" i="8" s="1"/>
  <c r="AC34" i="2"/>
  <c r="AA95" i="2"/>
  <c r="X363" i="8"/>
  <c r="X364" i="8" s="1"/>
  <c r="R94" i="2"/>
  <c r="M94" i="2"/>
  <c r="AA29" i="2"/>
  <c r="M215" i="2"/>
  <c r="O856" i="8"/>
  <c r="O857" i="8" s="1"/>
  <c r="Q331" i="2"/>
  <c r="Q760" i="8" s="1"/>
  <c r="Q761" i="8" s="1"/>
  <c r="R277" i="2"/>
  <c r="R600" i="8" s="1"/>
  <c r="R601" i="8" s="1"/>
  <c r="P403" i="8"/>
  <c r="P404" i="8" s="1"/>
  <c r="Q342" i="2"/>
  <c r="R359" i="8"/>
  <c r="R360" i="8" s="1"/>
  <c r="P367" i="8"/>
  <c r="P368" i="8" s="1"/>
  <c r="O379" i="8"/>
  <c r="O380" i="8" s="1"/>
  <c r="AD323" i="8"/>
  <c r="AD324" i="8" s="1"/>
  <c r="M87" i="2"/>
  <c r="L295" i="8"/>
  <c r="L296" i="8" s="1"/>
  <c r="M363" i="8"/>
  <c r="M364" i="8" s="1"/>
  <c r="L209" i="2"/>
  <c r="Z303" i="8"/>
  <c r="Z304" i="8" s="1"/>
  <c r="S300" i="2"/>
  <c r="AB209" i="2"/>
  <c r="AD411" i="8"/>
  <c r="AD412" i="8" s="1"/>
  <c r="AC319" i="8"/>
  <c r="AC320" i="8" s="1"/>
  <c r="V323" i="8"/>
  <c r="V324" i="8" s="1"/>
  <c r="N152" i="2"/>
  <c r="M339" i="8"/>
  <c r="M340" i="8" s="1"/>
  <c r="P154" i="2"/>
  <c r="Y403" i="8"/>
  <c r="Y404" i="8" s="1"/>
  <c r="O94" i="2"/>
  <c r="X95" i="2"/>
  <c r="K27" i="2"/>
  <c r="K415" i="8"/>
  <c r="X395" i="8"/>
  <c r="X396" i="8" s="1"/>
  <c r="L215" i="2"/>
  <c r="AA31" i="2"/>
  <c r="M355" i="8"/>
  <c r="M356" i="8" s="1"/>
  <c r="AI47" i="10"/>
  <c r="AD415" i="8"/>
  <c r="AD416" i="8" s="1"/>
  <c r="AE319" i="8"/>
  <c r="AE320" i="8" s="1"/>
  <c r="W403" i="8"/>
  <c r="W404" i="8" s="1"/>
  <c r="P152" i="2"/>
  <c r="AA271" i="2"/>
  <c r="Z403" i="8"/>
  <c r="Z404" i="8" s="1"/>
  <c r="T339" i="8"/>
  <c r="T340" i="8" s="1"/>
  <c r="Z300" i="2"/>
  <c r="O295" i="8"/>
  <c r="O296" i="8" s="1"/>
  <c r="R215" i="2"/>
  <c r="AC399" i="8"/>
  <c r="AC400" i="8" s="1"/>
  <c r="U304" i="2"/>
  <c r="AC435" i="8"/>
  <c r="AC436" i="8" s="1"/>
  <c r="X207" i="2"/>
  <c r="W407" i="8"/>
  <c r="W408" i="8" s="1"/>
  <c r="N748" i="2"/>
  <c r="N1220" i="8" s="1"/>
  <c r="N1221" i="8" s="1"/>
  <c r="M347" i="8"/>
  <c r="M348" i="8" s="1"/>
  <c r="AA323" i="8"/>
  <c r="AA324" i="8" s="1"/>
  <c r="S91" i="2"/>
  <c r="R431" i="8"/>
  <c r="R432" i="8" s="1"/>
  <c r="O423" i="8"/>
  <c r="O424" i="8" s="1"/>
  <c r="L304" i="2"/>
  <c r="AC149" i="2"/>
  <c r="AA407" i="8"/>
  <c r="AA408" i="8" s="1"/>
  <c r="L307" i="8"/>
  <c r="L308" i="8" s="1"/>
  <c r="W210" i="2"/>
  <c r="P212" i="2"/>
  <c r="V215" i="2"/>
  <c r="AB148" i="2"/>
  <c r="O88" i="2"/>
  <c r="AD319" i="8"/>
  <c r="AD320" i="8" s="1"/>
  <c r="K153" i="2"/>
  <c r="M92" i="2"/>
  <c r="S307" i="8"/>
  <c r="S308" i="8" s="1"/>
  <c r="AD307" i="8"/>
  <c r="AD308" i="8" s="1"/>
  <c r="Y147" i="2"/>
  <c r="AE419" i="8"/>
  <c r="AE420" i="8" s="1"/>
  <c r="AB355" i="8"/>
  <c r="AB356" i="8" s="1"/>
  <c r="U347" i="8"/>
  <c r="U348" i="8" s="1"/>
  <c r="N304" i="2"/>
  <c r="R212" i="2"/>
  <c r="Q383" i="8"/>
  <c r="Q384" i="8" s="1"/>
  <c r="X331" i="8"/>
  <c r="X332" i="8" s="1"/>
  <c r="P399" i="8"/>
  <c r="P400" i="8" s="1"/>
  <c r="AA32" i="2"/>
  <c r="AE210" i="2"/>
  <c r="AA215" i="2"/>
  <c r="T94" i="2"/>
  <c r="AD351" i="8"/>
  <c r="AD352" i="8" s="1"/>
  <c r="R331" i="8"/>
  <c r="R332" i="8" s="1"/>
  <c r="R375" i="8"/>
  <c r="R376" i="8" s="1"/>
  <c r="Q367" i="8"/>
  <c r="Q368" i="8" s="1"/>
  <c r="V92" i="2"/>
  <c r="Q148" i="2"/>
  <c r="AB151" i="2"/>
  <c r="Q152" i="2"/>
  <c r="K411" i="8"/>
  <c r="X311" i="8"/>
  <c r="X312" i="8" s="1"/>
  <c r="S299" i="8"/>
  <c r="S300" i="8" s="1"/>
  <c r="Z307" i="8"/>
  <c r="Z308" i="8" s="1"/>
  <c r="T28" i="2"/>
  <c r="AD423" i="8"/>
  <c r="AD424" i="8" s="1"/>
  <c r="M327" i="8"/>
  <c r="M328" i="8" s="1"/>
  <c r="R88" i="2"/>
  <c r="Q149" i="2"/>
  <c r="N435" i="8"/>
  <c r="N436" i="8" s="1"/>
  <c r="AE427" i="8"/>
  <c r="AE428" i="8" s="1"/>
  <c r="Z411" i="8"/>
  <c r="Z412" i="8" s="1"/>
  <c r="AD303" i="8"/>
  <c r="AD304" i="8" s="1"/>
  <c r="AC339" i="8"/>
  <c r="AC340" i="8" s="1"/>
  <c r="AD94" i="2"/>
  <c r="AC303" i="8"/>
  <c r="AC304" i="8" s="1"/>
  <c r="N91" i="2"/>
  <c r="AA30" i="2"/>
  <c r="V30" i="2"/>
  <c r="X379" i="8"/>
  <c r="X380" i="8" s="1"/>
  <c r="Z415" i="8"/>
  <c r="Z416" i="8" s="1"/>
  <c r="T427" i="8"/>
  <c r="T428" i="8" s="1"/>
  <c r="AA403" i="8"/>
  <c r="AA404" i="8" s="1"/>
  <c r="AB403" i="8"/>
  <c r="AB404" i="8" s="1"/>
  <c r="AB435" i="8"/>
  <c r="AB436" i="8" s="1"/>
  <c r="AB363" i="8"/>
  <c r="AB364" i="8" s="1"/>
  <c r="L208" i="2"/>
  <c r="AC371" i="8"/>
  <c r="AC372" i="8" s="1"/>
  <c r="P375" i="8"/>
  <c r="P376" i="8" s="1"/>
  <c r="U403" i="8"/>
  <c r="U404" i="8" s="1"/>
  <c r="K299" i="8"/>
  <c r="AC335" i="8"/>
  <c r="AC336" i="8" s="1"/>
  <c r="K307" i="8"/>
  <c r="P28" i="2"/>
  <c r="Q155" i="2"/>
  <c r="AD331" i="8"/>
  <c r="AD332" i="8" s="1"/>
  <c r="AE407" i="8"/>
  <c r="AE408" i="8" s="1"/>
  <c r="U92" i="2"/>
  <c r="AD155" i="2"/>
  <c r="Y331" i="8"/>
  <c r="Y332" i="8" s="1"/>
  <c r="M47" i="10"/>
  <c r="M137" i="5" s="1"/>
  <c r="M210" i="2"/>
  <c r="F1474" i="8"/>
  <c r="T212" i="2"/>
  <c r="N419" i="8"/>
  <c r="N420" i="8" s="1"/>
  <c r="AB415" i="8"/>
  <c r="AB416" i="8" s="1"/>
  <c r="R210" i="2"/>
  <c r="X367" i="8"/>
  <c r="X368" i="8" s="1"/>
  <c r="AD150" i="2"/>
  <c r="AD395" i="8"/>
  <c r="AD396" i="8" s="1"/>
  <c r="W411" i="8"/>
  <c r="W412" i="8" s="1"/>
  <c r="AC323" i="8"/>
  <c r="AC324" i="8" s="1"/>
  <c r="N327" i="8"/>
  <c r="N328" i="8" s="1"/>
  <c r="N331" i="8"/>
  <c r="N332" i="8" s="1"/>
  <c r="N207" i="2"/>
  <c r="W331" i="8"/>
  <c r="W332" i="8" s="1"/>
  <c r="R347" i="8"/>
  <c r="R348" i="8" s="1"/>
  <c r="U210" i="2"/>
  <c r="AE28" i="2"/>
  <c r="AE347" i="8"/>
  <c r="AE348" i="8" s="1"/>
  <c r="L214" i="2"/>
  <c r="W431" i="8"/>
  <c r="W432" i="8" s="1"/>
  <c r="T347" i="8"/>
  <c r="T348" i="8" s="1"/>
  <c r="N761" i="2"/>
  <c r="N790" i="2" s="1"/>
  <c r="Q323" i="8"/>
  <c r="Q324" i="8" s="1"/>
  <c r="W307" i="8"/>
  <c r="W308" i="8" s="1"/>
  <c r="U431" i="8"/>
  <c r="U432" i="8" s="1"/>
  <c r="O28" i="2"/>
  <c r="R399" i="8"/>
  <c r="R400" i="8" s="1"/>
  <c r="Q211" i="2"/>
  <c r="AE311" i="8"/>
  <c r="AE312" i="8" s="1"/>
  <c r="W335" i="8"/>
  <c r="W336" i="8" s="1"/>
  <c r="K303" i="8"/>
  <c r="Q29" i="2"/>
  <c r="Q362" i="2"/>
  <c r="Q391" i="2" s="1"/>
  <c r="L616" i="8"/>
  <c r="L617" i="8" s="1"/>
  <c r="Z214" i="2"/>
  <c r="AA363" i="8"/>
  <c r="AA364" i="8" s="1"/>
  <c r="N339" i="8"/>
  <c r="N340" i="8" s="1"/>
  <c r="AD91" i="2"/>
  <c r="Q423" i="8"/>
  <c r="Q424" i="8" s="1"/>
  <c r="L423" i="8"/>
  <c r="L424" i="8" s="1"/>
  <c r="R411" i="8"/>
  <c r="R412" i="8" s="1"/>
  <c r="X304" i="2"/>
  <c r="P435" i="8"/>
  <c r="P436" i="8" s="1"/>
  <c r="V154" i="2"/>
  <c r="L387" i="8"/>
  <c r="L388" i="8" s="1"/>
  <c r="AC94" i="2"/>
  <c r="X214" i="2"/>
  <c r="AB295" i="8"/>
  <c r="AB296" i="8" s="1"/>
  <c r="Y355" i="8"/>
  <c r="Y356" i="8" s="1"/>
  <c r="M761" i="2"/>
  <c r="M790" i="2" s="1"/>
  <c r="L327" i="8"/>
  <c r="L328" i="8" s="1"/>
  <c r="AE207" i="2"/>
  <c r="P213" i="2"/>
  <c r="AC152" i="2"/>
  <c r="AB212" i="2"/>
  <c r="N351" i="8"/>
  <c r="N352" i="8" s="1"/>
  <c r="V347" i="8"/>
  <c r="V348" i="8" s="1"/>
  <c r="T415" i="8"/>
  <c r="T416" i="8" s="1"/>
  <c r="T30" i="2"/>
  <c r="K208" i="2"/>
  <c r="Y95" i="2"/>
  <c r="L28" i="2"/>
  <c r="L299" i="8"/>
  <c r="L300" i="8" s="1"/>
  <c r="Q359" i="8"/>
  <c r="Q360" i="8" s="1"/>
  <c r="Q94" i="2"/>
  <c r="AC391" i="8"/>
  <c r="AC392" i="8" s="1"/>
  <c r="AC153" i="2"/>
  <c r="L207" i="2"/>
  <c r="L403" i="8"/>
  <c r="L404" i="8" s="1"/>
  <c r="U363" i="8"/>
  <c r="U364" i="8" s="1"/>
  <c r="U95" i="2"/>
  <c r="Q431" i="8"/>
  <c r="Q432" i="8" s="1"/>
  <c r="Q214" i="2"/>
  <c r="T335" i="8"/>
  <c r="T336" i="8" s="1"/>
  <c r="T88" i="2"/>
  <c r="W301" i="2"/>
  <c r="S301" i="2"/>
  <c r="K215" i="2"/>
  <c r="K435" i="8"/>
  <c r="R403" i="8"/>
  <c r="R404" i="8" s="1"/>
  <c r="R207" i="2"/>
  <c r="W363" i="8"/>
  <c r="W364" i="8" s="1"/>
  <c r="W95" i="2"/>
  <c r="O311" i="8"/>
  <c r="O312" i="8" s="1"/>
  <c r="O31" i="2"/>
  <c r="L399" i="8"/>
  <c r="L400" i="8" s="1"/>
  <c r="L155" i="2"/>
  <c r="X92" i="2"/>
  <c r="X351" i="8"/>
  <c r="X352" i="8" s="1"/>
  <c r="U359" i="8"/>
  <c r="U360" i="8" s="1"/>
  <c r="U94" i="2"/>
  <c r="X93" i="2"/>
  <c r="X355" i="8"/>
  <c r="X356" i="8" s="1"/>
  <c r="N150" i="2"/>
  <c r="X411" i="8"/>
  <c r="X412" i="8" s="1"/>
  <c r="V295" i="8"/>
  <c r="V296" i="8" s="1"/>
  <c r="W347" i="8"/>
  <c r="W348" i="8" s="1"/>
  <c r="V335" i="8"/>
  <c r="V336" i="8" s="1"/>
  <c r="M423" i="8"/>
  <c r="M424" i="8" s="1"/>
  <c r="L47" i="10"/>
  <c r="L137" i="5" s="1"/>
  <c r="M307" i="8"/>
  <c r="M308" i="8" s="1"/>
  <c r="AC154" i="2"/>
  <c r="Y339" i="8"/>
  <c r="Y340" i="8" s="1"/>
  <c r="Q47" i="10"/>
  <c r="Q137" i="5" s="1"/>
  <c r="Z423" i="8"/>
  <c r="Z424" i="8" s="1"/>
  <c r="AD153" i="2"/>
  <c r="U335" i="8"/>
  <c r="U336" i="8" s="1"/>
  <c r="Z304" i="2"/>
  <c r="Q304" i="2"/>
  <c r="L335" i="2"/>
  <c r="L776" i="8" s="1"/>
  <c r="L777" i="8" s="1"/>
  <c r="M315" i="8"/>
  <c r="M316" i="8" s="1"/>
  <c r="W213" i="2"/>
  <c r="W93" i="2"/>
  <c r="AB419" i="8"/>
  <c r="AB420" i="8" s="1"/>
  <c r="K419" i="8"/>
  <c r="N367" i="8"/>
  <c r="N368" i="8" s="1"/>
  <c r="AD335" i="8"/>
  <c r="AD336" i="8" s="1"/>
  <c r="Q153" i="2"/>
  <c r="AD299" i="8"/>
  <c r="AD300" i="8" s="1"/>
  <c r="V47" i="10"/>
  <c r="V137" i="5" s="1"/>
  <c r="L1490" i="8"/>
  <c r="L102" i="12"/>
  <c r="L1473" i="8" s="1"/>
  <c r="L1489" i="8"/>
  <c r="L90" i="12"/>
  <c r="L1472" i="8" s="1"/>
  <c r="L51" i="12"/>
  <c r="L78" i="12"/>
  <c r="L1471" i="8" s="1"/>
  <c r="L1488" i="8"/>
  <c r="L27" i="12"/>
  <c r="L39" i="12"/>
  <c r="L15" i="12"/>
  <c r="L1487" i="8"/>
  <c r="L66" i="12"/>
  <c r="L1470" i="8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Q357" i="2"/>
  <c r="Q848" i="8" s="1"/>
  <c r="Q849" i="8" s="1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P258" i="2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L784" i="8" s="1"/>
  <c r="L785" i="8" s="1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775" i="2" s="1"/>
  <c r="P1304" i="8" s="1"/>
  <c r="P1305" i="8" s="1"/>
  <c r="P657" i="2"/>
  <c r="P658" i="2"/>
  <c r="O351" i="8"/>
  <c r="O352" i="8" s="1"/>
  <c r="M1200" i="8"/>
  <c r="M1201" i="8" s="1"/>
  <c r="M820" i="8"/>
  <c r="M821" i="8" s="1"/>
  <c r="O355" i="8"/>
  <c r="O356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L844" i="8" s="1"/>
  <c r="L845" i="8" s="1"/>
  <c r="M354" i="2"/>
  <c r="M836" i="8" s="1"/>
  <c r="M837" i="8" s="1"/>
  <c r="O752" i="2"/>
  <c r="O1228" i="8" s="1"/>
  <c r="O1229" i="8" s="1"/>
  <c r="O356" i="2"/>
  <c r="O757" i="2"/>
  <c r="O1248" i="8" s="1"/>
  <c r="O1249" i="8" s="1"/>
  <c r="M352" i="2"/>
  <c r="O753" i="2"/>
  <c r="O1232" i="8" s="1"/>
  <c r="O1233" i="8" s="1"/>
  <c r="Z95" i="2"/>
  <c r="M300" i="2"/>
  <c r="P756" i="2"/>
  <c r="P1244" i="8" s="1"/>
  <c r="P1245" i="8" s="1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M758" i="2"/>
  <c r="L300" i="2"/>
  <c r="P359" i="2"/>
  <c r="X327" i="8"/>
  <c r="X328" i="8" s="1"/>
  <c r="M756" i="2"/>
  <c r="N355" i="2"/>
  <c r="N840" i="8" s="1"/>
  <c r="N841" i="8" s="1"/>
  <c r="M355" i="2"/>
  <c r="L89" i="2"/>
  <c r="AC300" i="2"/>
  <c r="M353" i="2"/>
  <c r="R357" i="2"/>
  <c r="R848" i="8" s="1"/>
  <c r="R849" i="8" s="1"/>
  <c r="AC383" i="8"/>
  <c r="AC384" i="8" s="1"/>
  <c r="L90" i="2"/>
  <c r="O354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1180" i="8"/>
  <c r="O1181" i="8" s="1"/>
  <c r="O302" i="2"/>
  <c r="AD300" i="2"/>
  <c r="M752" i="2"/>
  <c r="Q758" i="2"/>
  <c r="Q1252" i="8" s="1"/>
  <c r="Q1253" i="8" s="1"/>
  <c r="S215" i="2"/>
  <c r="P304" i="2"/>
  <c r="O756" i="2"/>
  <c r="O1244" i="8" s="1"/>
  <c r="O1245" i="8" s="1"/>
  <c r="N353" i="2"/>
  <c r="N832" i="8" s="1"/>
  <c r="N833" i="8" s="1"/>
  <c r="AE371" i="8"/>
  <c r="AE372" i="8" s="1"/>
  <c r="AE303" i="8"/>
  <c r="AE304" i="8" s="1"/>
  <c r="V304" i="2"/>
  <c r="O754" i="2"/>
  <c r="O1236" i="8" s="1"/>
  <c r="O1237" i="8" s="1"/>
  <c r="M754" i="2"/>
  <c r="M1236" i="8" s="1"/>
  <c r="M1237" i="8" s="1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O358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751" i="2"/>
  <c r="M357" i="2"/>
  <c r="N356" i="2"/>
  <c r="N844" i="8" s="1"/>
  <c r="N845" i="8" s="1"/>
  <c r="M211" i="2"/>
  <c r="P356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L354" i="2"/>
  <c r="L836" i="8" s="1"/>
  <c r="L837" i="8" s="1"/>
  <c r="V302" i="2"/>
  <c r="L210" i="2"/>
  <c r="O1188" i="8"/>
  <c r="O1189" i="8" s="1"/>
  <c r="AE304" i="2"/>
  <c r="AD718" i="2"/>
  <c r="L33" i="2"/>
  <c r="R47" i="10"/>
  <c r="R137" i="5" s="1"/>
  <c r="Y47" i="10"/>
  <c r="Y137" i="5" s="1"/>
  <c r="X383" i="8"/>
  <c r="X384" i="8" s="1"/>
  <c r="O352" i="2"/>
  <c r="O828" i="8" s="1"/>
  <c r="O829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P354" i="2"/>
  <c r="P836" i="8" s="1"/>
  <c r="P837" i="8" s="1"/>
  <c r="M760" i="8"/>
  <c r="M761" i="8" s="1"/>
  <c r="O355" i="2"/>
  <c r="AB300" i="2"/>
  <c r="P300" i="2"/>
  <c r="X47" i="10"/>
  <c r="X137" i="5" s="1"/>
  <c r="R208" i="2"/>
  <c r="W33" i="2"/>
  <c r="T351" i="8"/>
  <c r="T352" i="8" s="1"/>
  <c r="N354" i="2"/>
  <c r="N836" i="8" s="1"/>
  <c r="N837" i="8" s="1"/>
  <c r="O756" i="8"/>
  <c r="O757" i="8" s="1"/>
  <c r="R300" i="2"/>
  <c r="M356" i="2"/>
  <c r="L353" i="2"/>
  <c r="L832" i="8" s="1"/>
  <c r="L833" i="8" s="1"/>
  <c r="M358" i="2"/>
  <c r="M755" i="2"/>
  <c r="M1240" i="8" s="1"/>
  <c r="M1241" i="8" s="1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N754" i="2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O339" i="8"/>
  <c r="O340" i="8" s="1"/>
  <c r="L323" i="8"/>
  <c r="L324" i="8" s="1"/>
  <c r="Y323" i="8"/>
  <c r="Y324" i="8" s="1"/>
  <c r="K343" i="8"/>
  <c r="O751" i="2"/>
  <c r="O1224" i="8" s="1"/>
  <c r="O1225" i="8" s="1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N751" i="2"/>
  <c r="N1224" i="8" s="1"/>
  <c r="N1225" i="8" s="1"/>
  <c r="X423" i="8"/>
  <c r="X424" i="8" s="1"/>
  <c r="AD431" i="8"/>
  <c r="AD432" i="8" s="1"/>
  <c r="R339" i="8"/>
  <c r="R340" i="8" s="1"/>
  <c r="O375" i="8"/>
  <c r="O376" i="8" s="1"/>
  <c r="AC301" i="2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S1384" i="8"/>
  <c r="S1385" i="8" s="1"/>
  <c r="S646" i="2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F1460" i="8" s="1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C136" i="5"/>
  <c r="AC145" i="13" s="1"/>
  <c r="Y126" i="5"/>
  <c r="L136" i="5"/>
  <c r="L145" i="13" s="1"/>
  <c r="X136" i="5"/>
  <c r="X145" i="13" s="1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Y145" i="13" s="1"/>
  <c r="R1384" i="8"/>
  <c r="R1385" i="8" s="1"/>
  <c r="R646" i="2"/>
  <c r="U1388" i="8"/>
  <c r="U1389" i="8" s="1"/>
  <c r="U647" i="2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O768" i="8"/>
  <c r="O769" i="8" s="1"/>
  <c r="U411" i="8"/>
  <c r="U412" i="8" s="1"/>
  <c r="M764" i="8"/>
  <c r="M765" i="8" s="1"/>
  <c r="S277" i="2"/>
  <c r="R331" i="2"/>
  <c r="O32" i="2"/>
  <c r="L772" i="8"/>
  <c r="L773" i="8" s="1"/>
  <c r="O1176" i="8"/>
  <c r="O1177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R776" i="8"/>
  <c r="R777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N772" i="8"/>
  <c r="N773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S303" i="2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M1204" i="8"/>
  <c r="M1205" i="8" s="1"/>
  <c r="AA663" i="2"/>
  <c r="AA264" i="2"/>
  <c r="R303" i="2"/>
  <c r="Q1012" i="8"/>
  <c r="Q1013" i="8" s="1"/>
  <c r="R680" i="2"/>
  <c r="Q734" i="2"/>
  <c r="Q745" i="2"/>
  <c r="W212" i="2"/>
  <c r="AB327" i="8"/>
  <c r="AB328" i="8" s="1"/>
  <c r="P323" i="8"/>
  <c r="P324" i="8" s="1"/>
  <c r="P792" i="8"/>
  <c r="P793" i="8" s="1"/>
  <c r="T303" i="2"/>
  <c r="P996" i="8"/>
  <c r="P997" i="8" s="1"/>
  <c r="Q676" i="2"/>
  <c r="P730" i="2"/>
  <c r="P741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P764" i="8"/>
  <c r="P765" i="8" s="1"/>
  <c r="Q301" i="2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L1008" i="8"/>
  <c r="L1009" i="8" s="1"/>
  <c r="L733" i="2"/>
  <c r="L744" i="2"/>
  <c r="P800" i="8"/>
  <c r="P801" i="8" s="1"/>
  <c r="O737" i="2"/>
  <c r="O1184" i="8" s="1"/>
  <c r="O1185" i="8" s="1"/>
  <c r="Q302" i="2"/>
  <c r="P1172" i="8"/>
  <c r="P1173" i="8" s="1"/>
  <c r="L1020" i="8"/>
  <c r="L1021" i="8" s="1"/>
  <c r="L736" i="2"/>
  <c r="L747" i="2"/>
  <c r="O1160" i="8"/>
  <c r="O1161" i="8" s="1"/>
  <c r="K375" i="8"/>
  <c r="Q215" i="2"/>
  <c r="L764" i="8"/>
  <c r="L765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Q353" i="2" l="1"/>
  <c r="Q832" i="8" s="1"/>
  <c r="Q833" i="8" s="1"/>
  <c r="R342" i="2"/>
  <c r="F689" i="8"/>
  <c r="F661" i="8"/>
  <c r="V676" i="8"/>
  <c r="V677" i="8" s="1"/>
  <c r="Y668" i="8"/>
  <c r="Y669" i="8" s="1"/>
  <c r="AD672" i="8"/>
  <c r="AD673" i="8" s="1"/>
  <c r="AD676" i="8"/>
  <c r="AD677" i="8" s="1"/>
  <c r="Z650" i="2"/>
  <c r="Z146" i="13"/>
  <c r="T684" i="8"/>
  <c r="T685" i="8" s="1"/>
  <c r="V672" i="8"/>
  <c r="V673" i="8" s="1"/>
  <c r="L680" i="8"/>
  <c r="L681" i="8" s="1"/>
  <c r="V680" i="8"/>
  <c r="V681" i="8" s="1"/>
  <c r="U668" i="8"/>
  <c r="U669" i="8" s="1"/>
  <c r="AA672" i="8"/>
  <c r="AA673" i="8" s="1"/>
  <c r="Q676" i="8"/>
  <c r="Q677" i="8" s="1"/>
  <c r="P650" i="2"/>
  <c r="P146" i="13"/>
  <c r="Q684" i="8"/>
  <c r="Q685" i="8" s="1"/>
  <c r="X650" i="2"/>
  <c r="X146" i="13"/>
  <c r="AE664" i="8"/>
  <c r="AE665" i="8" s="1"/>
  <c r="Q650" i="2"/>
  <c r="Q146" i="13"/>
  <c r="S668" i="8"/>
  <c r="S669" i="8" s="1"/>
  <c r="Z664" i="8"/>
  <c r="Z665" i="8" s="1"/>
  <c r="N676" i="8"/>
  <c r="N677" i="8" s="1"/>
  <c r="R672" i="8"/>
  <c r="R673" i="8" s="1"/>
  <c r="AC672" i="8"/>
  <c r="AC673" i="8" s="1"/>
  <c r="Y680" i="8"/>
  <c r="Y681" i="8" s="1"/>
  <c r="P664" i="8"/>
  <c r="P665" i="8" s="1"/>
  <c r="L676" i="8"/>
  <c r="L677" i="8" s="1"/>
  <c r="AE668" i="8"/>
  <c r="AE669" i="8" s="1"/>
  <c r="O684" i="8"/>
  <c r="O685" i="8" s="1"/>
  <c r="S672" i="8"/>
  <c r="S673" i="8" s="1"/>
  <c r="N672" i="8"/>
  <c r="N673" i="8" s="1"/>
  <c r="AB664" i="8"/>
  <c r="AB665" i="8" s="1"/>
  <c r="AC680" i="8"/>
  <c r="AC681" i="8" s="1"/>
  <c r="AD668" i="8"/>
  <c r="AD669" i="8" s="1"/>
  <c r="L672" i="8"/>
  <c r="L673" i="8" s="1"/>
  <c r="X668" i="8"/>
  <c r="X669" i="8" s="1"/>
  <c r="U672" i="8"/>
  <c r="U673" i="8" s="1"/>
  <c r="U676" i="8"/>
  <c r="U677" i="8" s="1"/>
  <c r="X684" i="8"/>
  <c r="X685" i="8" s="1"/>
  <c r="AA684" i="8"/>
  <c r="AA685" i="8" s="1"/>
  <c r="P676" i="8"/>
  <c r="P677" i="8" s="1"/>
  <c r="P680" i="8"/>
  <c r="P681" i="8" s="1"/>
  <c r="Z668" i="8"/>
  <c r="Z669" i="8" s="1"/>
  <c r="AA668" i="8"/>
  <c r="AA669" i="8" s="1"/>
  <c r="R668" i="8"/>
  <c r="R669" i="8" s="1"/>
  <c r="Z672" i="8"/>
  <c r="Z673" i="8" s="1"/>
  <c r="AA680" i="8"/>
  <c r="AA681" i="8" s="1"/>
  <c r="AD684" i="8"/>
  <c r="AD685" i="8" s="1"/>
  <c r="AB684" i="8"/>
  <c r="AB685" i="8" s="1"/>
  <c r="M672" i="8"/>
  <c r="M673" i="8" s="1"/>
  <c r="AC664" i="8"/>
  <c r="AC665" i="8" s="1"/>
  <c r="V684" i="8"/>
  <c r="V685" i="8" s="1"/>
  <c r="P672" i="8"/>
  <c r="P673" i="8" s="1"/>
  <c r="AA676" i="8"/>
  <c r="AA677" i="8" s="1"/>
  <c r="T680" i="8"/>
  <c r="T681" i="8" s="1"/>
  <c r="W668" i="8"/>
  <c r="W669" i="8" s="1"/>
  <c r="AA650" i="2"/>
  <c r="AA146" i="13"/>
  <c r="U650" i="2"/>
  <c r="U146" i="13"/>
  <c r="P684" i="8"/>
  <c r="P685" i="8" s="1"/>
  <c r="L684" i="8"/>
  <c r="L685" i="8" s="1"/>
  <c r="L650" i="2"/>
  <c r="L146" i="13"/>
  <c r="M680" i="8"/>
  <c r="M681" i="8" s="1"/>
  <c r="AE684" i="8"/>
  <c r="AE685" i="8" s="1"/>
  <c r="AD680" i="8"/>
  <c r="AD681" i="8" s="1"/>
  <c r="R676" i="8"/>
  <c r="R677" i="8" s="1"/>
  <c r="O676" i="8"/>
  <c r="O677" i="8" s="1"/>
  <c r="W650" i="2"/>
  <c r="W146" i="13"/>
  <c r="M684" i="8"/>
  <c r="M685" i="8" s="1"/>
  <c r="O650" i="2"/>
  <c r="O146" i="13"/>
  <c r="M676" i="8"/>
  <c r="M677" i="8" s="1"/>
  <c r="Y650" i="2"/>
  <c r="Y146" i="13"/>
  <c r="S650" i="2"/>
  <c r="S146" i="13"/>
  <c r="N650" i="2"/>
  <c r="N146" i="13"/>
  <c r="AC676" i="8"/>
  <c r="AC677" i="8" s="1"/>
  <c r="M668" i="8"/>
  <c r="M669" i="8" s="1"/>
  <c r="AC684" i="8"/>
  <c r="AC685" i="8" s="1"/>
  <c r="AE650" i="2"/>
  <c r="AE146" i="13"/>
  <c r="AD650" i="2"/>
  <c r="AD146" i="13"/>
  <c r="U684" i="8"/>
  <c r="U685" i="8" s="1"/>
  <c r="R680" i="8"/>
  <c r="R681" i="8" s="1"/>
  <c r="R650" i="2"/>
  <c r="R146" i="13"/>
  <c r="N664" i="8"/>
  <c r="N665" i="8" s="1"/>
  <c r="AD664" i="8"/>
  <c r="AD665" i="8" s="1"/>
  <c r="X680" i="8"/>
  <c r="X681" i="8" s="1"/>
  <c r="T650" i="2"/>
  <c r="T146" i="13"/>
  <c r="Z676" i="8"/>
  <c r="Z677" i="8" s="1"/>
  <c r="T668" i="8"/>
  <c r="T669" i="8" s="1"/>
  <c r="Y684" i="8"/>
  <c r="Y685" i="8" s="1"/>
  <c r="R664" i="8"/>
  <c r="R665" i="8" s="1"/>
  <c r="V664" i="8"/>
  <c r="V665" i="8" s="1"/>
  <c r="AA664" i="8"/>
  <c r="AA665" i="8" s="1"/>
  <c r="O672" i="8"/>
  <c r="O673" i="8" s="1"/>
  <c r="M650" i="2"/>
  <c r="M146" i="13"/>
  <c r="O664" i="8"/>
  <c r="O665" i="8" s="1"/>
  <c r="M664" i="8"/>
  <c r="M665" i="8" s="1"/>
  <c r="AB650" i="2"/>
  <c r="AB146" i="13"/>
  <c r="S684" i="8"/>
  <c r="S685" i="8" s="1"/>
  <c r="O668" i="8"/>
  <c r="O669" i="8" s="1"/>
  <c r="T664" i="8"/>
  <c r="T665" i="8" s="1"/>
  <c r="Q680" i="8"/>
  <c r="Q681" i="8" s="1"/>
  <c r="N680" i="8"/>
  <c r="N681" i="8" s="1"/>
  <c r="AC650" i="2"/>
  <c r="AC146" i="13"/>
  <c r="N684" i="8"/>
  <c r="N685" i="8" s="1"/>
  <c r="O680" i="8"/>
  <c r="O681" i="8" s="1"/>
  <c r="N668" i="8"/>
  <c r="N669" i="8" s="1"/>
  <c r="Q668" i="8"/>
  <c r="Q669" i="8" s="1"/>
  <c r="P668" i="8"/>
  <c r="P669" i="8" s="1"/>
  <c r="V668" i="8"/>
  <c r="V669" i="8" s="1"/>
  <c r="Y672" i="8"/>
  <c r="Y673" i="8" s="1"/>
  <c r="X676" i="8"/>
  <c r="X677" i="8" s="1"/>
  <c r="AB680" i="8"/>
  <c r="AB681" i="8" s="1"/>
  <c r="Z684" i="8"/>
  <c r="Z685" i="8" s="1"/>
  <c r="AC668" i="8"/>
  <c r="AC669" i="8" s="1"/>
  <c r="U664" i="8"/>
  <c r="U665" i="8" s="1"/>
  <c r="AE680" i="8"/>
  <c r="AE681" i="8" s="1"/>
  <c r="X664" i="8"/>
  <c r="X665" i="8" s="1"/>
  <c r="Z680" i="8"/>
  <c r="Z681" i="8" s="1"/>
  <c r="U680" i="8"/>
  <c r="U681" i="8" s="1"/>
  <c r="V650" i="2"/>
  <c r="V146" i="13"/>
  <c r="AE676" i="8"/>
  <c r="AE677" i="8" s="1"/>
  <c r="Q672" i="8"/>
  <c r="Q673" i="8" s="1"/>
  <c r="Y676" i="8"/>
  <c r="Y677" i="8" s="1"/>
  <c r="L668" i="8"/>
  <c r="L669" i="8" s="1"/>
  <c r="AB668" i="8"/>
  <c r="AB669" i="8" s="1"/>
  <c r="T676" i="8"/>
  <c r="T677" i="8" s="1"/>
  <c r="X672" i="8"/>
  <c r="X673" i="8" s="1"/>
  <c r="S676" i="8"/>
  <c r="S677" i="8" s="1"/>
  <c r="W676" i="8"/>
  <c r="W677" i="8" s="1"/>
  <c r="AB672" i="8"/>
  <c r="AB673" i="8" s="1"/>
  <c r="W680" i="8"/>
  <c r="W681" i="8" s="1"/>
  <c r="W684" i="8"/>
  <c r="W685" i="8" s="1"/>
  <c r="Q664" i="8"/>
  <c r="Q665" i="8" s="1"/>
  <c r="L664" i="8"/>
  <c r="L665" i="8" s="1"/>
  <c r="S664" i="8"/>
  <c r="S665" i="8" s="1"/>
  <c r="L357" i="2"/>
  <c r="L848" i="8" s="1"/>
  <c r="L849" i="8" s="1"/>
  <c r="L359" i="2"/>
  <c r="F1458" i="8"/>
  <c r="F1459" i="8"/>
  <c r="N376" i="2"/>
  <c r="N908" i="8" s="1"/>
  <c r="N909" i="8" s="1"/>
  <c r="P375" i="2"/>
  <c r="P904" i="8" s="1"/>
  <c r="P905" i="8" s="1"/>
  <c r="M856" i="8"/>
  <c r="M857" i="8" s="1"/>
  <c r="L1466" i="8"/>
  <c r="L1476" i="8"/>
  <c r="L1477" i="8" s="1"/>
  <c r="L1469" i="8"/>
  <c r="L1485" i="8"/>
  <c r="L1486" i="8" s="1"/>
  <c r="L1468" i="8"/>
  <c r="L1482" i="8"/>
  <c r="L1483" i="8" s="1"/>
  <c r="L1467" i="8"/>
  <c r="L1479" i="8"/>
  <c r="L1480" i="8" s="1"/>
  <c r="Q258" i="2"/>
  <c r="AE701" i="2"/>
  <c r="AD701" i="2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R353" i="2"/>
  <c r="P757" i="2"/>
  <c r="P1248" i="8" s="1"/>
  <c r="P1249" i="8" s="1"/>
  <c r="L355" i="2"/>
  <c r="L756" i="2"/>
  <c r="L1244" i="8" s="1"/>
  <c r="L1245" i="8" s="1"/>
  <c r="O852" i="8"/>
  <c r="O853" i="8" s="1"/>
  <c r="N1240" i="8"/>
  <c r="N1241" i="8" s="1"/>
  <c r="P753" i="2"/>
  <c r="P1232" i="8" s="1"/>
  <c r="P1233" i="8" s="1"/>
  <c r="P349" i="2"/>
  <c r="P824" i="8" s="1"/>
  <c r="P825" i="8" s="1"/>
  <c r="Q352" i="2"/>
  <c r="Q755" i="2"/>
  <c r="Q1240" i="8" s="1"/>
  <c r="Q1241" i="8" s="1"/>
  <c r="L352" i="2"/>
  <c r="L375" i="2" s="1"/>
  <c r="L904" i="8" s="1"/>
  <c r="L905" i="8" s="1"/>
  <c r="Q359" i="2"/>
  <c r="Q856" i="8" s="1"/>
  <c r="Q857" i="8" s="1"/>
  <c r="L757" i="2"/>
  <c r="L1248" i="8" s="1"/>
  <c r="L1249" i="8" s="1"/>
  <c r="Q756" i="2"/>
  <c r="Q1244" i="8" s="1"/>
  <c r="Q1245" i="8" s="1"/>
  <c r="S357" i="2"/>
  <c r="S848" i="8" s="1"/>
  <c r="S849" i="8" s="1"/>
  <c r="R758" i="2"/>
  <c r="R1252" i="8" s="1"/>
  <c r="R1253" i="8" s="1"/>
  <c r="AB701" i="2"/>
  <c r="F436" i="8"/>
  <c r="P355" i="2"/>
  <c r="P840" i="8" s="1"/>
  <c r="P841" i="8" s="1"/>
  <c r="P751" i="2"/>
  <c r="P1224" i="8" s="1"/>
  <c r="P1225" i="8" s="1"/>
  <c r="L755" i="2"/>
  <c r="P1152" i="8"/>
  <c r="P1153" i="8" s="1"/>
  <c r="T701" i="2"/>
  <c r="Q354" i="2"/>
  <c r="Q836" i="8" s="1"/>
  <c r="Q837" i="8" s="1"/>
  <c r="N1228" i="8"/>
  <c r="N1229" i="8" s="1"/>
  <c r="F404" i="8"/>
  <c r="Q775" i="2"/>
  <c r="Q1304" i="8" s="1"/>
  <c r="Q1305" i="8" s="1"/>
  <c r="M1224" i="8"/>
  <c r="M1225" i="8" s="1"/>
  <c r="R675" i="2"/>
  <c r="R729" i="2" s="1"/>
  <c r="L758" i="2"/>
  <c r="L1252" i="8" s="1"/>
  <c r="L1253" i="8" s="1"/>
  <c r="L753" i="2"/>
  <c r="L774" i="2" s="1"/>
  <c r="L1300" i="8" s="1"/>
  <c r="L1301" i="8" s="1"/>
  <c r="P754" i="2"/>
  <c r="L754" i="2"/>
  <c r="L1236" i="8" s="1"/>
  <c r="L1237" i="8" s="1"/>
  <c r="M701" i="2"/>
  <c r="F428" i="8"/>
  <c r="N701" i="2"/>
  <c r="X701" i="2"/>
  <c r="O701" i="2"/>
  <c r="N759" i="2"/>
  <c r="F412" i="8"/>
  <c r="M702" i="2"/>
  <c r="M703" i="2"/>
  <c r="M984" i="8"/>
  <c r="M985" i="8" s="1"/>
  <c r="M698" i="2"/>
  <c r="M704" i="2"/>
  <c r="M705" i="2"/>
  <c r="M700" i="2"/>
  <c r="M699" i="2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AA701" i="2"/>
  <c r="P338" i="2"/>
  <c r="P788" i="8" s="1"/>
  <c r="P789" i="8" s="1"/>
  <c r="P358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S984" i="8"/>
  <c r="S985" i="8" s="1"/>
  <c r="S703" i="2"/>
  <c r="S700" i="2"/>
  <c r="S702" i="2"/>
  <c r="S699" i="2"/>
  <c r="S698" i="2"/>
  <c r="S704" i="2"/>
  <c r="S701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Q729" i="2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Q740" i="2"/>
  <c r="Q1188" i="8" s="1"/>
  <c r="Q1189" i="8" s="1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N703" i="2"/>
  <c r="N984" i="8"/>
  <c r="N985" i="8" s="1"/>
  <c r="N700" i="2"/>
  <c r="N698" i="2"/>
  <c r="N699" i="2"/>
  <c r="N705" i="2"/>
  <c r="N702" i="2"/>
  <c r="N704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AE984" i="8"/>
  <c r="AE985" i="8" s="1"/>
  <c r="AE704" i="2"/>
  <c r="AE699" i="2"/>
  <c r="AE702" i="2"/>
  <c r="AE705" i="2"/>
  <c r="AE698" i="2"/>
  <c r="AE700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705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705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AC703" i="2"/>
  <c r="AC705" i="2"/>
  <c r="AC984" i="8"/>
  <c r="AC985" i="8" s="1"/>
  <c r="AC700" i="2"/>
  <c r="AC704" i="2"/>
  <c r="AC699" i="2"/>
  <c r="AC702" i="2"/>
  <c r="AC701" i="2"/>
  <c r="AC6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V984" i="8"/>
  <c r="V985" i="8" s="1"/>
  <c r="V698" i="2"/>
  <c r="V704" i="2"/>
  <c r="V699" i="2"/>
  <c r="V702" i="2"/>
  <c r="V703" i="2"/>
  <c r="V700" i="2"/>
  <c r="V705" i="2"/>
  <c r="V701" i="2"/>
  <c r="S1412" i="8"/>
  <c r="S1413" i="8" s="1"/>
  <c r="S601" i="2"/>
  <c r="S481" i="2"/>
  <c r="S421" i="2"/>
  <c r="S541" i="2"/>
  <c r="AD984" i="8"/>
  <c r="AD985" i="8" s="1"/>
  <c r="AD700" i="2"/>
  <c r="AD699" i="2"/>
  <c r="AD704" i="2"/>
  <c r="AD702" i="2"/>
  <c r="AD698" i="2"/>
  <c r="AD703" i="2"/>
  <c r="AD705" i="2"/>
  <c r="P748" i="2"/>
  <c r="P1220" i="8" s="1"/>
  <c r="P1221" i="8" s="1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N775" i="2"/>
  <c r="N1304" i="8" s="1"/>
  <c r="N1305" i="8" s="1"/>
  <c r="N1252" i="8"/>
  <c r="N1253" i="8" s="1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X984" i="8"/>
  <c r="X985" i="8" s="1"/>
  <c r="X704" i="2"/>
  <c r="X705" i="2"/>
  <c r="X702" i="2"/>
  <c r="X700" i="2"/>
  <c r="X699" i="2"/>
  <c r="X698" i="2"/>
  <c r="X703" i="2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P737" i="2"/>
  <c r="P1184" i="8" s="1"/>
  <c r="P1185" i="8" s="1"/>
  <c r="P752" i="2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R984" i="8"/>
  <c r="R985" i="8" s="1"/>
  <c r="R699" i="2"/>
  <c r="R703" i="2"/>
  <c r="R702" i="2"/>
  <c r="R698" i="2"/>
  <c r="R704" i="2"/>
  <c r="R700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T984" i="8"/>
  <c r="T985" i="8" s="1"/>
  <c r="T702" i="2"/>
  <c r="T705" i="2"/>
  <c r="T699" i="2"/>
  <c r="T704" i="2"/>
  <c r="T700" i="2"/>
  <c r="T703" i="2"/>
  <c r="T698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R1404" i="8"/>
  <c r="R1405" i="8" s="1"/>
  <c r="R479" i="2"/>
  <c r="R599" i="2"/>
  <c r="R539" i="2"/>
  <c r="R419" i="2"/>
  <c r="AE703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R701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O774" i="2"/>
  <c r="O1300" i="8" s="1"/>
  <c r="O1301" i="8" s="1"/>
  <c r="L1164" i="8"/>
  <c r="L1165" i="8" s="1"/>
  <c r="L1200" i="8"/>
  <c r="L1201" i="8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L1176" i="8"/>
  <c r="L1177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O360" i="2"/>
  <c r="R596" i="8"/>
  <c r="R597" i="8" s="1"/>
  <c r="R341" i="2"/>
  <c r="S276" i="2"/>
  <c r="R330" i="2"/>
  <c r="L1168" i="8"/>
  <c r="L1169" i="8" s="1"/>
  <c r="L1240" i="8"/>
  <c r="L1241" i="8" s="1"/>
  <c r="M773" i="2"/>
  <c r="Q784" i="8"/>
  <c r="Q785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R604" i="8"/>
  <c r="R605" i="8" s="1"/>
  <c r="S278" i="2"/>
  <c r="R332" i="2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M378" i="2"/>
  <c r="M916" i="8" s="1"/>
  <c r="M917" i="8" s="1"/>
  <c r="P1212" i="8"/>
  <c r="P1213" i="8" s="1"/>
  <c r="R1216" i="8"/>
  <c r="R1217" i="8" s="1"/>
  <c r="F396" i="8"/>
  <c r="O773" i="2"/>
  <c r="L1216" i="8"/>
  <c r="L1217" i="8" s="1"/>
  <c r="S675" i="2"/>
  <c r="F364" i="8"/>
  <c r="P1196" i="8"/>
  <c r="P1197" i="8" s="1"/>
  <c r="O759" i="2"/>
  <c r="O777" i="2"/>
  <c r="O1312" i="8" s="1"/>
  <c r="O1313" i="8" s="1"/>
  <c r="P768" i="8"/>
  <c r="P769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N777" i="2"/>
  <c r="N1312" i="8" s="1"/>
  <c r="N1313" i="8" s="1"/>
  <c r="M374" i="2"/>
  <c r="P804" i="8"/>
  <c r="P805" i="8" s="1"/>
  <c r="Q764" i="8"/>
  <c r="Q765" i="8" s="1"/>
  <c r="Q1168" i="8"/>
  <c r="Q1169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Q608" i="8"/>
  <c r="Q609" i="8" s="1"/>
  <c r="R279" i="2"/>
  <c r="Q344" i="2"/>
  <c r="Q333" i="2"/>
  <c r="L768" i="8"/>
  <c r="L769" i="8" s="1"/>
  <c r="Q1172" i="8"/>
  <c r="Q1173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F673" i="8" l="1"/>
  <c r="F665" i="8"/>
  <c r="F681" i="8"/>
  <c r="F677" i="8"/>
  <c r="F685" i="8"/>
  <c r="F669" i="8"/>
  <c r="AE427" i="2"/>
  <c r="P546" i="2"/>
  <c r="V493" i="2"/>
  <c r="Z426" i="2"/>
  <c r="X432" i="2"/>
  <c r="X487" i="2"/>
  <c r="N492" i="2"/>
  <c r="Q426" i="2"/>
  <c r="M1084" i="8"/>
  <c r="M1085" i="8" s="1"/>
  <c r="N1068" i="8"/>
  <c r="N1069" i="8" s="1"/>
  <c r="AE432" i="2"/>
  <c r="M489" i="2"/>
  <c r="R429" i="2"/>
  <c r="W428" i="2"/>
  <c r="P492" i="2"/>
  <c r="AC611" i="2"/>
  <c r="AD1056" i="8"/>
  <c r="AD1057" i="8" s="1"/>
  <c r="V1076" i="8"/>
  <c r="V1077" i="8" s="1"/>
  <c r="L431" i="2"/>
  <c r="AC1072" i="8"/>
  <c r="AC1073" i="8" s="1"/>
  <c r="V553" i="2"/>
  <c r="T432" i="2"/>
  <c r="AA432" i="2"/>
  <c r="AB494" i="2"/>
  <c r="AB1076" i="8"/>
  <c r="AB1077" i="8" s="1"/>
  <c r="AE613" i="2"/>
  <c r="AC612" i="2"/>
  <c r="N550" i="2"/>
  <c r="V611" i="2"/>
  <c r="N553" i="2"/>
  <c r="Z486" i="2"/>
  <c r="Y493" i="2"/>
  <c r="AE430" i="2"/>
  <c r="AC609" i="2"/>
  <c r="AA487" i="2"/>
  <c r="S494" i="2"/>
  <c r="Q487" i="2"/>
  <c r="T548" i="2"/>
  <c r="W494" i="2"/>
  <c r="N1060" i="8"/>
  <c r="N1061" i="8" s="1"/>
  <c r="Q488" i="2"/>
  <c r="T493" i="2"/>
  <c r="L607" i="2"/>
  <c r="R430" i="2"/>
  <c r="O432" i="2"/>
  <c r="N551" i="2"/>
  <c r="X427" i="2"/>
  <c r="S1056" i="8"/>
  <c r="S1057" i="8" s="1"/>
  <c r="W489" i="2"/>
  <c r="S548" i="2"/>
  <c r="U606" i="2"/>
  <c r="N612" i="2"/>
  <c r="P487" i="2"/>
  <c r="Q486" i="2"/>
  <c r="M1080" i="8"/>
  <c r="M1081" i="8" s="1"/>
  <c r="AB176" i="13"/>
  <c r="AB174" i="13"/>
  <c r="AB172" i="13"/>
  <c r="AB171" i="13"/>
  <c r="AB173" i="13"/>
  <c r="AB175" i="13"/>
  <c r="AB170" i="13"/>
  <c r="AB169" i="13"/>
  <c r="O172" i="13"/>
  <c r="O170" i="13"/>
  <c r="O174" i="13"/>
  <c r="O171" i="13"/>
  <c r="O176" i="13"/>
  <c r="O173" i="13"/>
  <c r="O175" i="13"/>
  <c r="O169" i="13"/>
  <c r="AC550" i="2"/>
  <c r="AB614" i="2"/>
  <c r="S554" i="2"/>
  <c r="AE434" i="2"/>
  <c r="S1080" i="8"/>
  <c r="S1081" i="8" s="1"/>
  <c r="P427" i="2"/>
  <c r="Q612" i="2"/>
  <c r="AC430" i="2"/>
  <c r="AC607" i="2"/>
  <c r="AD430" i="2"/>
  <c r="AB490" i="2"/>
  <c r="X1076" i="8"/>
  <c r="X1077" i="8" s="1"/>
  <c r="Y608" i="2"/>
  <c r="AE552" i="2"/>
  <c r="Q552" i="2"/>
  <c r="AB429" i="2"/>
  <c r="M429" i="2"/>
  <c r="R549" i="2"/>
  <c r="AC490" i="2"/>
  <c r="AA614" i="2"/>
  <c r="L553" i="2"/>
  <c r="Y486" i="2"/>
  <c r="AC547" i="2"/>
  <c r="AB432" i="2"/>
  <c r="M614" i="2"/>
  <c r="AD552" i="2"/>
  <c r="X550" i="2"/>
  <c r="AB430" i="2"/>
  <c r="X1056" i="8"/>
  <c r="X1057" i="8" s="1"/>
  <c r="S547" i="2"/>
  <c r="AC431" i="2"/>
  <c r="AA606" i="2"/>
  <c r="AD1072" i="8"/>
  <c r="AD1073" i="8" s="1"/>
  <c r="V1072" i="8"/>
  <c r="V1073" i="8" s="1"/>
  <c r="AC1060" i="8"/>
  <c r="AC1061" i="8" s="1"/>
  <c r="V613" i="2"/>
  <c r="T552" i="2"/>
  <c r="AA492" i="2"/>
  <c r="AB554" i="2"/>
  <c r="AB1072" i="8"/>
  <c r="AB1073" i="8" s="1"/>
  <c r="Y487" i="2"/>
  <c r="AC432" i="2"/>
  <c r="N610" i="2"/>
  <c r="V491" i="2"/>
  <c r="N433" i="2"/>
  <c r="Y613" i="2"/>
  <c r="AC429" i="2"/>
  <c r="T546" i="2"/>
  <c r="S614" i="2"/>
  <c r="Q607" i="2"/>
  <c r="T608" i="2"/>
  <c r="W614" i="2"/>
  <c r="L609" i="2"/>
  <c r="N1056" i="8"/>
  <c r="N1057" i="8" s="1"/>
  <c r="AE548" i="2"/>
  <c r="T433" i="2"/>
  <c r="W486" i="2"/>
  <c r="R490" i="2"/>
  <c r="Q614" i="2"/>
  <c r="N431" i="2"/>
  <c r="P553" i="2"/>
  <c r="S1060" i="8"/>
  <c r="S1061" i="8" s="1"/>
  <c r="S608" i="2"/>
  <c r="AE609" i="2"/>
  <c r="N432" i="2"/>
  <c r="AD554" i="2"/>
  <c r="Q606" i="2"/>
  <c r="T611" i="2"/>
  <c r="M1056" i="8"/>
  <c r="M1057" i="8" s="1"/>
  <c r="M1068" i="8"/>
  <c r="M1069" i="8" s="1"/>
  <c r="P169" i="13"/>
  <c r="P172" i="13"/>
  <c r="P170" i="13"/>
  <c r="P174" i="13"/>
  <c r="P171" i="13"/>
  <c r="P175" i="13"/>
  <c r="P176" i="13"/>
  <c r="P173" i="13"/>
  <c r="AD486" i="2"/>
  <c r="AD490" i="2"/>
  <c r="L491" i="2"/>
  <c r="AB1060" i="8"/>
  <c r="AB1061" i="8" s="1"/>
  <c r="O492" i="2"/>
  <c r="U426" i="2"/>
  <c r="AB548" i="2"/>
  <c r="Y428" i="2"/>
  <c r="AB609" i="2"/>
  <c r="AD606" i="2"/>
  <c r="AA554" i="2"/>
  <c r="R606" i="2"/>
  <c r="M494" i="2"/>
  <c r="AD432" i="2"/>
  <c r="AC614" i="2"/>
  <c r="W613" i="2"/>
  <c r="AE612" i="2"/>
  <c r="AB549" i="2"/>
  <c r="M609" i="2"/>
  <c r="Y554" i="2"/>
  <c r="R609" i="2"/>
  <c r="AA494" i="2"/>
  <c r="L613" i="2"/>
  <c r="AD429" i="2"/>
  <c r="Y546" i="2"/>
  <c r="V552" i="2"/>
  <c r="AC487" i="2"/>
  <c r="AB492" i="2"/>
  <c r="M434" i="2"/>
  <c r="R1064" i="8"/>
  <c r="R1065" i="8" s="1"/>
  <c r="AD612" i="2"/>
  <c r="X610" i="2"/>
  <c r="U554" i="2"/>
  <c r="X1060" i="8"/>
  <c r="X1061" i="8" s="1"/>
  <c r="S607" i="2"/>
  <c r="X551" i="2"/>
  <c r="AC491" i="2"/>
  <c r="AA426" i="2"/>
  <c r="AD1080" i="8"/>
  <c r="AD1081" i="8" s="1"/>
  <c r="V1060" i="8"/>
  <c r="V1061" i="8" s="1"/>
  <c r="S552" i="2"/>
  <c r="AC1080" i="8"/>
  <c r="AC1081" i="8" s="1"/>
  <c r="T492" i="2"/>
  <c r="AB434" i="2"/>
  <c r="AB1080" i="8"/>
  <c r="AB1081" i="8" s="1"/>
  <c r="Y607" i="2"/>
  <c r="V610" i="2"/>
  <c r="N430" i="2"/>
  <c r="V431" i="2"/>
  <c r="Y433" i="2"/>
  <c r="V614" i="2"/>
  <c r="T606" i="2"/>
  <c r="M607" i="2"/>
  <c r="Q427" i="2"/>
  <c r="T488" i="2"/>
  <c r="N1064" i="8"/>
  <c r="N1065" i="8" s="1"/>
  <c r="AE608" i="2"/>
  <c r="U491" i="2"/>
  <c r="W426" i="2"/>
  <c r="R550" i="2"/>
  <c r="Q434" i="2"/>
  <c r="AB433" i="2"/>
  <c r="P493" i="2"/>
  <c r="AE611" i="2"/>
  <c r="S1072" i="8"/>
  <c r="S1073" i="8" s="1"/>
  <c r="S428" i="2"/>
  <c r="AE549" i="2"/>
  <c r="AB491" i="2"/>
  <c r="AD614" i="2"/>
  <c r="R434" i="2"/>
  <c r="T431" i="2"/>
  <c r="T1068" i="8"/>
  <c r="T1069" i="8" s="1"/>
  <c r="AC172" i="13"/>
  <c r="AC174" i="13"/>
  <c r="AC171" i="13"/>
  <c r="AC176" i="13"/>
  <c r="AC173" i="13"/>
  <c r="AC175" i="13"/>
  <c r="AC170" i="13"/>
  <c r="AC169" i="13"/>
  <c r="R169" i="13"/>
  <c r="R176" i="13"/>
  <c r="R175" i="13"/>
  <c r="R172" i="13"/>
  <c r="R174" i="13"/>
  <c r="R171" i="13"/>
  <c r="R173" i="13"/>
  <c r="R170" i="13"/>
  <c r="N490" i="2"/>
  <c r="AA607" i="2"/>
  <c r="T553" i="2"/>
  <c r="P434" i="2"/>
  <c r="AC493" i="2"/>
  <c r="Y614" i="2"/>
  <c r="U550" i="2"/>
  <c r="L433" i="2"/>
  <c r="V612" i="2"/>
  <c r="M554" i="2"/>
  <c r="R1080" i="8"/>
  <c r="R1081" i="8" s="1"/>
  <c r="U494" i="2"/>
  <c r="X611" i="2"/>
  <c r="S612" i="2"/>
  <c r="Y427" i="2"/>
  <c r="Y553" i="2"/>
  <c r="T426" i="2"/>
  <c r="AB493" i="2"/>
  <c r="S488" i="2"/>
  <c r="AD434" i="2"/>
  <c r="T551" i="2"/>
  <c r="L176" i="13"/>
  <c r="L174" i="13"/>
  <c r="L172" i="13"/>
  <c r="L170" i="13"/>
  <c r="L171" i="13"/>
  <c r="L173" i="13"/>
  <c r="L175" i="13"/>
  <c r="L169" i="13"/>
  <c r="Z176" i="13"/>
  <c r="Z174" i="13"/>
  <c r="Z172" i="13"/>
  <c r="Z171" i="13"/>
  <c r="Z173" i="13"/>
  <c r="Z175" i="13"/>
  <c r="Z170" i="13"/>
  <c r="Z169" i="13"/>
  <c r="L374" i="2"/>
  <c r="L900" i="8" s="1"/>
  <c r="L901" i="8" s="1"/>
  <c r="W553" i="2"/>
  <c r="P614" i="2"/>
  <c r="O1072" i="8"/>
  <c r="O1073" i="8" s="1"/>
  <c r="AC433" i="2"/>
  <c r="N486" i="2"/>
  <c r="Y494" i="2"/>
  <c r="U610" i="2"/>
  <c r="M493" i="2"/>
  <c r="L493" i="2"/>
  <c r="AD549" i="2"/>
  <c r="Y606" i="2"/>
  <c r="V432" i="2"/>
  <c r="AB552" i="2"/>
  <c r="R1056" i="8"/>
  <c r="R1057" i="8" s="1"/>
  <c r="X430" i="2"/>
  <c r="U614" i="2"/>
  <c r="AA428" i="2"/>
  <c r="L612" i="2"/>
  <c r="X1072" i="8"/>
  <c r="X1073" i="8" s="1"/>
  <c r="S427" i="2"/>
  <c r="X491" i="2"/>
  <c r="AA486" i="2"/>
  <c r="AD1064" i="8"/>
  <c r="AD1065" i="8" s="1"/>
  <c r="V1056" i="8"/>
  <c r="V1057" i="8" s="1"/>
  <c r="S492" i="2"/>
  <c r="AC488" i="2"/>
  <c r="AA1060" i="8"/>
  <c r="AA1061" i="8" s="1"/>
  <c r="M426" i="2"/>
  <c r="AB1084" i="8"/>
  <c r="AB1085" i="8" s="1"/>
  <c r="Y547" i="2"/>
  <c r="V430" i="2"/>
  <c r="O494" i="2"/>
  <c r="AA610" i="2"/>
  <c r="AA433" i="2"/>
  <c r="L486" i="2"/>
  <c r="V494" i="2"/>
  <c r="O551" i="2"/>
  <c r="T486" i="2"/>
  <c r="M487" i="2"/>
  <c r="R492" i="2"/>
  <c r="O428" i="2"/>
  <c r="AE1056" i="8"/>
  <c r="AE1057" i="8" s="1"/>
  <c r="N1076" i="8"/>
  <c r="N1077" i="8" s="1"/>
  <c r="AE428" i="2"/>
  <c r="U431" i="2"/>
  <c r="N494" i="2"/>
  <c r="W606" i="2"/>
  <c r="S610" i="2"/>
  <c r="Q554" i="2"/>
  <c r="AB553" i="2"/>
  <c r="P433" i="2"/>
  <c r="AE431" i="2"/>
  <c r="S1076" i="8"/>
  <c r="S1077" i="8" s="1"/>
  <c r="AD427" i="2"/>
  <c r="AE429" i="2"/>
  <c r="AB431" i="2"/>
  <c r="AD494" i="2"/>
  <c r="R494" i="2"/>
  <c r="U547" i="2"/>
  <c r="T491" i="2"/>
  <c r="M1072" i="8"/>
  <c r="M1073" i="8" s="1"/>
  <c r="W174" i="13"/>
  <c r="W170" i="13"/>
  <c r="W176" i="13"/>
  <c r="W169" i="13"/>
  <c r="W171" i="13"/>
  <c r="W173" i="13"/>
  <c r="W175" i="13"/>
  <c r="W172" i="13"/>
  <c r="T1072" i="8"/>
  <c r="T1073" i="8" s="1"/>
  <c r="AC554" i="2"/>
  <c r="AD1076" i="8"/>
  <c r="AD1077" i="8" s="1"/>
  <c r="W493" i="2"/>
  <c r="R489" i="2"/>
  <c r="AD609" i="2"/>
  <c r="AB612" i="2"/>
  <c r="X490" i="2"/>
  <c r="S487" i="2"/>
  <c r="AA546" i="2"/>
  <c r="AD1060" i="8"/>
  <c r="AD1061" i="8" s="1"/>
  <c r="V1080" i="8"/>
  <c r="V1081" i="8" s="1"/>
  <c r="AC1064" i="8"/>
  <c r="AC1065" i="8" s="1"/>
  <c r="M546" i="2"/>
  <c r="V550" i="2"/>
  <c r="V551" i="2"/>
  <c r="R1084" i="8"/>
  <c r="R1085" i="8" s="1"/>
  <c r="O431" i="2"/>
  <c r="M547" i="2"/>
  <c r="T428" i="2"/>
  <c r="AE1064" i="8"/>
  <c r="AE1065" i="8" s="1"/>
  <c r="N614" i="2"/>
  <c r="R610" i="2"/>
  <c r="P613" i="2"/>
  <c r="S1064" i="8"/>
  <c r="S1065" i="8" s="1"/>
  <c r="AB551" i="2"/>
  <c r="U427" i="2"/>
  <c r="W433" i="2"/>
  <c r="O1084" i="8"/>
  <c r="O1085" i="8" s="1"/>
  <c r="AC553" i="2"/>
  <c r="N546" i="2"/>
  <c r="R1068" i="8"/>
  <c r="R1069" i="8" s="1"/>
  <c r="Y434" i="2"/>
  <c r="U490" i="2"/>
  <c r="M553" i="2"/>
  <c r="AD489" i="2"/>
  <c r="V492" i="2"/>
  <c r="U548" i="2"/>
  <c r="R1072" i="8"/>
  <c r="R1073" i="8" s="1"/>
  <c r="Y492" i="2"/>
  <c r="U434" i="2"/>
  <c r="AA548" i="2"/>
  <c r="X1084" i="8"/>
  <c r="X1085" i="8" s="1"/>
  <c r="X431" i="2"/>
  <c r="O547" i="2"/>
  <c r="S432" i="2"/>
  <c r="AC1084" i="8"/>
  <c r="AC1085" i="8" s="1"/>
  <c r="AC548" i="2"/>
  <c r="AA1076" i="8"/>
  <c r="AA1077" i="8" s="1"/>
  <c r="M606" i="2"/>
  <c r="S1084" i="8"/>
  <c r="S1085" i="8" s="1"/>
  <c r="L608" i="2"/>
  <c r="V490" i="2"/>
  <c r="O614" i="2"/>
  <c r="AA550" i="2"/>
  <c r="AC546" i="2"/>
  <c r="AA553" i="2"/>
  <c r="L546" i="2"/>
  <c r="V554" i="2"/>
  <c r="O611" i="2"/>
  <c r="M427" i="2"/>
  <c r="R552" i="2"/>
  <c r="O548" i="2"/>
  <c r="Z429" i="2"/>
  <c r="AE1084" i="8"/>
  <c r="AE1085" i="8" s="1"/>
  <c r="R433" i="2"/>
  <c r="U551" i="2"/>
  <c r="N434" i="2"/>
  <c r="S550" i="2"/>
  <c r="X609" i="2"/>
  <c r="AB613" i="2"/>
  <c r="Z547" i="2"/>
  <c r="AE551" i="2"/>
  <c r="AD607" i="2"/>
  <c r="P610" i="2"/>
  <c r="AB611" i="2"/>
  <c r="AA1068" i="8"/>
  <c r="AA1069" i="8" s="1"/>
  <c r="R554" i="2"/>
  <c r="U607" i="2"/>
  <c r="Q432" i="2"/>
  <c r="AE1076" i="8"/>
  <c r="AE1077" i="8" s="1"/>
  <c r="O553" i="2"/>
  <c r="AA552" i="2"/>
  <c r="W434" i="2"/>
  <c r="N1084" i="8"/>
  <c r="N1085" i="8" s="1"/>
  <c r="N491" i="2"/>
  <c r="R608" i="2"/>
  <c r="M549" i="2"/>
  <c r="Y426" i="2"/>
  <c r="AC427" i="2"/>
  <c r="AD492" i="2"/>
  <c r="AA608" i="2"/>
  <c r="X1064" i="8"/>
  <c r="X1065" i="8" s="1"/>
  <c r="AC551" i="2"/>
  <c r="AC428" i="2"/>
  <c r="AB1064" i="8"/>
  <c r="AB1065" i="8" s="1"/>
  <c r="O554" i="2"/>
  <c r="AA613" i="2"/>
  <c r="V434" i="2"/>
  <c r="R432" i="2"/>
  <c r="AE488" i="2"/>
  <c r="U611" i="2"/>
  <c r="W546" i="2"/>
  <c r="Q494" i="2"/>
  <c r="AE491" i="2"/>
  <c r="AE489" i="2"/>
  <c r="R614" i="2"/>
  <c r="M1076" i="8"/>
  <c r="M1077" i="8" s="1"/>
  <c r="P554" i="2"/>
  <c r="P494" i="2"/>
  <c r="O1060" i="8"/>
  <c r="O1061" i="8" s="1"/>
  <c r="AC613" i="2"/>
  <c r="N606" i="2"/>
  <c r="W430" i="2"/>
  <c r="U430" i="2"/>
  <c r="M433" i="2"/>
  <c r="N608" i="2"/>
  <c r="P429" i="2"/>
  <c r="U488" i="2"/>
  <c r="M550" i="2"/>
  <c r="R1076" i="8"/>
  <c r="R1077" i="8" s="1"/>
  <c r="Y552" i="2"/>
  <c r="V609" i="2"/>
  <c r="AA488" i="2"/>
  <c r="L492" i="2"/>
  <c r="X1080" i="8"/>
  <c r="X1081" i="8" s="1"/>
  <c r="Y549" i="2"/>
  <c r="O607" i="2"/>
  <c r="M428" i="2"/>
  <c r="S551" i="2"/>
  <c r="Z431" i="2"/>
  <c r="AC1076" i="8"/>
  <c r="AC1077" i="8" s="1"/>
  <c r="AC608" i="2"/>
  <c r="AA1072" i="8"/>
  <c r="AA1073" i="8" s="1"/>
  <c r="M486" i="2"/>
  <c r="Z428" i="2"/>
  <c r="L428" i="2"/>
  <c r="X554" i="2"/>
  <c r="O434" i="2"/>
  <c r="AA430" i="2"/>
  <c r="AC486" i="2"/>
  <c r="AA493" i="2"/>
  <c r="L606" i="2"/>
  <c r="X493" i="2"/>
  <c r="O491" i="2"/>
  <c r="N607" i="2"/>
  <c r="R612" i="2"/>
  <c r="O608" i="2"/>
  <c r="Z549" i="2"/>
  <c r="AE1072" i="8"/>
  <c r="AE1073" i="8" s="1"/>
  <c r="S553" i="2"/>
  <c r="R613" i="2"/>
  <c r="V428" i="2"/>
  <c r="N554" i="2"/>
  <c r="S430" i="2"/>
  <c r="X489" i="2"/>
  <c r="U612" i="2"/>
  <c r="Z427" i="2"/>
  <c r="R427" i="2"/>
  <c r="Z613" i="2"/>
  <c r="AD547" i="2"/>
  <c r="P490" i="2"/>
  <c r="Q549" i="2"/>
  <c r="Y551" i="2"/>
  <c r="U487" i="2"/>
  <c r="N549" i="2"/>
  <c r="M175" i="13"/>
  <c r="M173" i="13"/>
  <c r="M171" i="13"/>
  <c r="M176" i="13"/>
  <c r="M174" i="13"/>
  <c r="M172" i="13"/>
  <c r="M170" i="13"/>
  <c r="M169" i="13"/>
  <c r="N176" i="13"/>
  <c r="N174" i="13"/>
  <c r="N172" i="13"/>
  <c r="N170" i="13"/>
  <c r="N171" i="13"/>
  <c r="N173" i="13"/>
  <c r="N175" i="13"/>
  <c r="N169" i="13"/>
  <c r="W608" i="2"/>
  <c r="S609" i="2"/>
  <c r="Q547" i="2"/>
  <c r="W552" i="2"/>
  <c r="AD611" i="2"/>
  <c r="O1076" i="8"/>
  <c r="O1077" i="8" s="1"/>
  <c r="P611" i="2"/>
  <c r="P549" i="2"/>
  <c r="Y612" i="2"/>
  <c r="Y489" i="2"/>
  <c r="Z551" i="2"/>
  <c r="Z548" i="2"/>
  <c r="AA490" i="2"/>
  <c r="Z609" i="2"/>
  <c r="V488" i="2"/>
  <c r="S490" i="2"/>
  <c r="R547" i="2"/>
  <c r="P550" i="2"/>
  <c r="AE546" i="2"/>
  <c r="AD491" i="2"/>
  <c r="R611" i="2"/>
  <c r="O1056" i="8"/>
  <c r="O1057" i="8" s="1"/>
  <c r="U493" i="2"/>
  <c r="W610" i="2"/>
  <c r="P551" i="2"/>
  <c r="V606" i="2"/>
  <c r="AB546" i="2"/>
  <c r="N548" i="2"/>
  <c r="T1076" i="8"/>
  <c r="T1077" i="8" s="1"/>
  <c r="P489" i="2"/>
  <c r="U1076" i="8"/>
  <c r="U1077" i="8" s="1"/>
  <c r="U428" i="2"/>
  <c r="Q1068" i="8"/>
  <c r="Q1069" i="8" s="1"/>
  <c r="M430" i="2"/>
  <c r="Y432" i="2"/>
  <c r="V429" i="2"/>
  <c r="O550" i="2"/>
  <c r="M551" i="2"/>
  <c r="Y609" i="2"/>
  <c r="O487" i="2"/>
  <c r="M488" i="2"/>
  <c r="S491" i="2"/>
  <c r="Z611" i="2"/>
  <c r="Y610" i="2"/>
  <c r="X548" i="2"/>
  <c r="O609" i="2"/>
  <c r="Q611" i="2"/>
  <c r="Z608" i="2"/>
  <c r="L488" i="2"/>
  <c r="X614" i="2"/>
  <c r="Q613" i="2"/>
  <c r="T549" i="2"/>
  <c r="AC606" i="2"/>
  <c r="X613" i="2"/>
  <c r="Q550" i="2"/>
  <c r="Q1084" i="8"/>
  <c r="Q1085" i="8" s="1"/>
  <c r="N487" i="2"/>
  <c r="Z552" i="2"/>
  <c r="X426" i="2"/>
  <c r="Z489" i="2"/>
  <c r="AE1080" i="8"/>
  <c r="AE1081" i="8" s="1"/>
  <c r="S493" i="2"/>
  <c r="R553" i="2"/>
  <c r="V608" i="2"/>
  <c r="O486" i="2"/>
  <c r="AD433" i="2"/>
  <c r="X429" i="2"/>
  <c r="U492" i="2"/>
  <c r="T430" i="2"/>
  <c r="Z487" i="2"/>
  <c r="R607" i="2"/>
  <c r="U549" i="2"/>
  <c r="Z433" i="2"/>
  <c r="P430" i="2"/>
  <c r="Q429" i="2"/>
  <c r="T494" i="2"/>
  <c r="W547" i="2"/>
  <c r="Y611" i="2"/>
  <c r="AE606" i="2"/>
  <c r="N489" i="2"/>
  <c r="T176" i="13"/>
  <c r="T174" i="13"/>
  <c r="T172" i="13"/>
  <c r="T175" i="13"/>
  <c r="T173" i="13"/>
  <c r="T171" i="13"/>
  <c r="T169" i="13"/>
  <c r="T170" i="13"/>
  <c r="AD169" i="13"/>
  <c r="AD172" i="13"/>
  <c r="AD174" i="13"/>
  <c r="AD171" i="13"/>
  <c r="AD176" i="13"/>
  <c r="AD173" i="13"/>
  <c r="AD175" i="13"/>
  <c r="AD170" i="13"/>
  <c r="S175" i="13"/>
  <c r="S173" i="13"/>
  <c r="S171" i="13"/>
  <c r="S169" i="13"/>
  <c r="S174" i="13"/>
  <c r="S170" i="13"/>
  <c r="S172" i="13"/>
  <c r="S176" i="13"/>
  <c r="AE492" i="2"/>
  <c r="U1068" i="8"/>
  <c r="U1069" i="8" s="1"/>
  <c r="V1064" i="8"/>
  <c r="V1065" i="8" s="1"/>
  <c r="N613" i="2"/>
  <c r="Z610" i="2"/>
  <c r="U608" i="2"/>
  <c r="V549" i="2"/>
  <c r="Y430" i="2"/>
  <c r="X494" i="2"/>
  <c r="N547" i="2"/>
  <c r="R493" i="2"/>
  <c r="X549" i="2"/>
  <c r="Z553" i="2"/>
  <c r="Y491" i="2"/>
  <c r="AD551" i="2"/>
  <c r="R431" i="2"/>
  <c r="O1064" i="8"/>
  <c r="O1065" i="8" s="1"/>
  <c r="U613" i="2"/>
  <c r="AA549" i="2"/>
  <c r="W490" i="2"/>
  <c r="P431" i="2"/>
  <c r="V426" i="2"/>
  <c r="AB606" i="2"/>
  <c r="N488" i="2"/>
  <c r="T1064" i="8"/>
  <c r="T1065" i="8" s="1"/>
  <c r="P609" i="2"/>
  <c r="U1056" i="8"/>
  <c r="U1057" i="8" s="1"/>
  <c r="AA491" i="2"/>
  <c r="M490" i="2"/>
  <c r="W491" i="2"/>
  <c r="V489" i="2"/>
  <c r="O490" i="2"/>
  <c r="M611" i="2"/>
  <c r="Z434" i="2"/>
  <c r="Y429" i="2"/>
  <c r="V607" i="2"/>
  <c r="M548" i="2"/>
  <c r="S611" i="2"/>
  <c r="Z491" i="2"/>
  <c r="Y490" i="2"/>
  <c r="X428" i="2"/>
  <c r="O429" i="2"/>
  <c r="AA1084" i="8"/>
  <c r="AA1085" i="8" s="1"/>
  <c r="Q491" i="2"/>
  <c r="Z488" i="2"/>
  <c r="X434" i="2"/>
  <c r="Q553" i="2"/>
  <c r="T429" i="2"/>
  <c r="M432" i="2"/>
  <c r="S606" i="2"/>
  <c r="X433" i="2"/>
  <c r="Q490" i="2"/>
  <c r="Q1080" i="8"/>
  <c r="Q1081" i="8" s="1"/>
  <c r="N427" i="2"/>
  <c r="Z612" i="2"/>
  <c r="X486" i="2"/>
  <c r="T547" i="2"/>
  <c r="S613" i="2"/>
  <c r="V548" i="2"/>
  <c r="O606" i="2"/>
  <c r="AD613" i="2"/>
  <c r="P428" i="2"/>
  <c r="U432" i="2"/>
  <c r="T550" i="2"/>
  <c r="R487" i="2"/>
  <c r="U429" i="2"/>
  <c r="Z493" i="2"/>
  <c r="L550" i="2"/>
  <c r="Q609" i="2"/>
  <c r="T614" i="2"/>
  <c r="W427" i="2"/>
  <c r="Y431" i="2"/>
  <c r="AE426" i="2"/>
  <c r="U1080" i="8"/>
  <c r="U1081" i="8" s="1"/>
  <c r="N429" i="2"/>
  <c r="AB1068" i="8"/>
  <c r="AB1069" i="8" s="1"/>
  <c r="AB489" i="2"/>
  <c r="P612" i="2"/>
  <c r="AE493" i="2"/>
  <c r="AD488" i="2"/>
  <c r="V486" i="2"/>
  <c r="N428" i="2"/>
  <c r="T1056" i="8"/>
  <c r="T1057" i="8" s="1"/>
  <c r="U1084" i="8"/>
  <c r="U1085" i="8" s="1"/>
  <c r="R1060" i="8"/>
  <c r="R1061" i="8" s="1"/>
  <c r="L432" i="2"/>
  <c r="S431" i="2"/>
  <c r="L426" i="2"/>
  <c r="Z432" i="2"/>
  <c r="S433" i="2"/>
  <c r="T610" i="2"/>
  <c r="R491" i="2"/>
  <c r="O1080" i="8"/>
  <c r="O1081" i="8" s="1"/>
  <c r="AA609" i="2"/>
  <c r="V546" i="2"/>
  <c r="AE547" i="2"/>
  <c r="T1080" i="8"/>
  <c r="T1081" i="8" s="1"/>
  <c r="U1060" i="8"/>
  <c r="U1061" i="8" s="1"/>
  <c r="AA611" i="2"/>
  <c r="P606" i="2"/>
  <c r="O430" i="2"/>
  <c r="M431" i="2"/>
  <c r="Z554" i="2"/>
  <c r="L614" i="2"/>
  <c r="V547" i="2"/>
  <c r="AB427" i="2"/>
  <c r="Y550" i="2"/>
  <c r="X488" i="2"/>
  <c r="O489" i="2"/>
  <c r="AA1080" i="8"/>
  <c r="AA1081" i="8" s="1"/>
  <c r="Q431" i="2"/>
  <c r="S549" i="2"/>
  <c r="Q433" i="2"/>
  <c r="T609" i="2"/>
  <c r="M612" i="2"/>
  <c r="S426" i="2"/>
  <c r="Q610" i="2"/>
  <c r="Q1072" i="8"/>
  <c r="Q1073" i="8" s="1"/>
  <c r="Z492" i="2"/>
  <c r="X546" i="2"/>
  <c r="T607" i="2"/>
  <c r="AD428" i="2"/>
  <c r="X612" i="2"/>
  <c r="O426" i="2"/>
  <c r="Z430" i="2"/>
  <c r="AD553" i="2"/>
  <c r="P608" i="2"/>
  <c r="AE614" i="2"/>
  <c r="T490" i="2"/>
  <c r="W492" i="2"/>
  <c r="U489" i="2"/>
  <c r="L610" i="2"/>
  <c r="R428" i="2"/>
  <c r="T554" i="2"/>
  <c r="W607" i="2"/>
  <c r="AE486" i="2"/>
  <c r="AB428" i="2"/>
  <c r="O1068" i="8"/>
  <c r="O1069" i="8" s="1"/>
  <c r="AD1068" i="8"/>
  <c r="AD1069" i="8" s="1"/>
  <c r="V176" i="13"/>
  <c r="V169" i="13"/>
  <c r="V173" i="13"/>
  <c r="V170" i="13"/>
  <c r="V175" i="13"/>
  <c r="V172" i="13"/>
  <c r="V171" i="13"/>
  <c r="V174" i="13"/>
  <c r="AE175" i="13"/>
  <c r="AE173" i="13"/>
  <c r="AE171" i="13"/>
  <c r="AE169" i="13"/>
  <c r="AE172" i="13"/>
  <c r="AE174" i="13"/>
  <c r="AE176" i="13"/>
  <c r="AE170" i="13"/>
  <c r="Y173" i="13"/>
  <c r="Y172" i="13"/>
  <c r="Y175" i="13"/>
  <c r="Y174" i="13"/>
  <c r="Y176" i="13"/>
  <c r="Y170" i="13"/>
  <c r="Y169" i="13"/>
  <c r="Y171" i="13"/>
  <c r="U175" i="13"/>
  <c r="U173" i="13"/>
  <c r="U171" i="13"/>
  <c r="U169" i="13"/>
  <c r="U172" i="13"/>
  <c r="U176" i="13"/>
  <c r="U170" i="13"/>
  <c r="U174" i="13"/>
  <c r="AA434" i="2"/>
  <c r="AB547" i="2"/>
  <c r="AC1068" i="8"/>
  <c r="AC1069" i="8" s="1"/>
  <c r="AC492" i="2"/>
  <c r="AE490" i="2"/>
  <c r="Q1064" i="8"/>
  <c r="Q1065" i="8" s="1"/>
  <c r="Q608" i="2"/>
  <c r="W429" i="2"/>
  <c r="N426" i="2"/>
  <c r="M613" i="2"/>
  <c r="M610" i="2"/>
  <c r="M608" i="2"/>
  <c r="L548" i="2"/>
  <c r="AC426" i="2"/>
  <c r="Q430" i="2"/>
  <c r="AE1060" i="8"/>
  <c r="AE1061" i="8" s="1"/>
  <c r="Z607" i="2"/>
  <c r="AD487" i="2"/>
  <c r="Q489" i="2"/>
  <c r="N609" i="2"/>
  <c r="Q175" i="13"/>
  <c r="Q173" i="13"/>
  <c r="Q171" i="13"/>
  <c r="Q169" i="13"/>
  <c r="Q172" i="13"/>
  <c r="Q170" i="13"/>
  <c r="Q174" i="13"/>
  <c r="Q176" i="13"/>
  <c r="AD431" i="2"/>
  <c r="U433" i="2"/>
  <c r="P491" i="2"/>
  <c r="AB426" i="2"/>
  <c r="O433" i="2"/>
  <c r="W611" i="2"/>
  <c r="R551" i="2"/>
  <c r="U553" i="2"/>
  <c r="AA489" i="2"/>
  <c r="AD546" i="2"/>
  <c r="AB486" i="2"/>
  <c r="AE607" i="2"/>
  <c r="W548" i="2"/>
  <c r="T1060" i="8"/>
  <c r="T1061" i="8" s="1"/>
  <c r="R426" i="2"/>
  <c r="U1064" i="8"/>
  <c r="U1065" i="8" s="1"/>
  <c r="O493" i="2"/>
  <c r="AA431" i="2"/>
  <c r="AD550" i="2"/>
  <c r="W431" i="2"/>
  <c r="P426" i="2"/>
  <c r="AC434" i="2"/>
  <c r="M491" i="2"/>
  <c r="Z494" i="2"/>
  <c r="L554" i="2"/>
  <c r="P552" i="2"/>
  <c r="V427" i="2"/>
  <c r="AB607" i="2"/>
  <c r="V1068" i="8"/>
  <c r="V1069" i="8" s="1"/>
  <c r="L551" i="2"/>
  <c r="O549" i="2"/>
  <c r="AA1056" i="8"/>
  <c r="AA1057" i="8" s="1"/>
  <c r="Q551" i="2"/>
  <c r="AB1056" i="8"/>
  <c r="AB1057" i="8" s="1"/>
  <c r="S489" i="2"/>
  <c r="AE433" i="2"/>
  <c r="T489" i="2"/>
  <c r="M552" i="2"/>
  <c r="Z606" i="2"/>
  <c r="S546" i="2"/>
  <c r="AE550" i="2"/>
  <c r="Q1076" i="8"/>
  <c r="Q1077" i="8" s="1"/>
  <c r="AA547" i="2"/>
  <c r="X606" i="2"/>
  <c r="T427" i="2"/>
  <c r="Q1056" i="8"/>
  <c r="Q1057" i="8" s="1"/>
  <c r="AD608" i="2"/>
  <c r="N1080" i="8"/>
  <c r="N1081" i="8" s="1"/>
  <c r="X552" i="2"/>
  <c r="Q548" i="2"/>
  <c r="Z550" i="2"/>
  <c r="AD493" i="2"/>
  <c r="P548" i="2"/>
  <c r="AE494" i="2"/>
  <c r="O552" i="2"/>
  <c r="W612" i="2"/>
  <c r="X547" i="2"/>
  <c r="W549" i="2"/>
  <c r="R548" i="2"/>
  <c r="U546" i="2"/>
  <c r="W487" i="2"/>
  <c r="P547" i="2"/>
  <c r="AB608" i="2"/>
  <c r="M1060" i="8"/>
  <c r="M1061" i="8" s="1"/>
  <c r="AE1068" i="8"/>
  <c r="AE1069" i="8" s="1"/>
  <c r="X176" i="13"/>
  <c r="X174" i="13"/>
  <c r="X172" i="13"/>
  <c r="X175" i="13"/>
  <c r="X170" i="13"/>
  <c r="X169" i="13"/>
  <c r="X173" i="13"/>
  <c r="X171" i="13"/>
  <c r="Y548" i="2"/>
  <c r="R546" i="2"/>
  <c r="AB610" i="2"/>
  <c r="T612" i="2"/>
  <c r="AC489" i="2"/>
  <c r="W550" i="2"/>
  <c r="O610" i="2"/>
  <c r="O427" i="2"/>
  <c r="X608" i="2"/>
  <c r="AA1064" i="8"/>
  <c r="AA1065" i="8" s="1"/>
  <c r="Q493" i="2"/>
  <c r="X553" i="2"/>
  <c r="O488" i="2"/>
  <c r="O546" i="2"/>
  <c r="U552" i="2"/>
  <c r="U609" i="2"/>
  <c r="T434" i="2"/>
  <c r="Y488" i="2"/>
  <c r="Q492" i="2"/>
  <c r="AA429" i="2"/>
  <c r="AD426" i="2"/>
  <c r="AC610" i="2"/>
  <c r="AE487" i="2"/>
  <c r="W488" i="2"/>
  <c r="T1084" i="8"/>
  <c r="T1085" i="8" s="1"/>
  <c r="R486" i="2"/>
  <c r="U1072" i="8"/>
  <c r="U1073" i="8" s="1"/>
  <c r="O613" i="2"/>
  <c r="AA551" i="2"/>
  <c r="AD610" i="2"/>
  <c r="W551" i="2"/>
  <c r="P486" i="2"/>
  <c r="AC494" i="2"/>
  <c r="AB550" i="2"/>
  <c r="Z614" i="2"/>
  <c r="L494" i="2"/>
  <c r="P432" i="2"/>
  <c r="V487" i="2"/>
  <c r="AB487" i="2"/>
  <c r="AD1084" i="8"/>
  <c r="AD1085" i="8" s="1"/>
  <c r="V1084" i="8"/>
  <c r="V1085" i="8" s="1"/>
  <c r="AC1056" i="8"/>
  <c r="AC1057" i="8" s="1"/>
  <c r="V433" i="2"/>
  <c r="AA612" i="2"/>
  <c r="S429" i="2"/>
  <c r="AE553" i="2"/>
  <c r="AC552" i="2"/>
  <c r="M492" i="2"/>
  <c r="N493" i="2"/>
  <c r="Z546" i="2"/>
  <c r="S486" i="2"/>
  <c r="AE610" i="2"/>
  <c r="AC549" i="2"/>
  <c r="Q1060" i="8"/>
  <c r="Q1061" i="8" s="1"/>
  <c r="AA427" i="2"/>
  <c r="S434" i="2"/>
  <c r="T487" i="2"/>
  <c r="W554" i="2"/>
  <c r="AD548" i="2"/>
  <c r="N1072" i="8"/>
  <c r="N1073" i="8" s="1"/>
  <c r="X492" i="2"/>
  <c r="Q428" i="2"/>
  <c r="T613" i="2"/>
  <c r="Z490" i="2"/>
  <c r="P488" i="2"/>
  <c r="AE554" i="2"/>
  <c r="O612" i="2"/>
  <c r="N611" i="2"/>
  <c r="W432" i="2"/>
  <c r="X607" i="2"/>
  <c r="S1068" i="8"/>
  <c r="S1069" i="8" s="1"/>
  <c r="W609" i="2"/>
  <c r="R488" i="2"/>
  <c r="U486" i="2"/>
  <c r="N552" i="2"/>
  <c r="P607" i="2"/>
  <c r="Q546" i="2"/>
  <c r="AB488" i="2"/>
  <c r="M1064" i="8"/>
  <c r="M1065" i="8" s="1"/>
  <c r="X1068" i="8"/>
  <c r="X1069" i="8" s="1"/>
  <c r="AA175" i="13"/>
  <c r="AA173" i="13"/>
  <c r="AA171" i="13"/>
  <c r="AA176" i="13"/>
  <c r="AA174" i="13"/>
  <c r="AA172" i="13"/>
  <c r="AA170" i="13"/>
  <c r="AA169" i="13"/>
  <c r="R992" i="8"/>
  <c r="R993" i="8" s="1"/>
  <c r="R740" i="2"/>
  <c r="R1188" i="8" s="1"/>
  <c r="R1189" i="8" s="1"/>
  <c r="D1455" i="8"/>
  <c r="L856" i="8"/>
  <c r="L857" i="8" s="1"/>
  <c r="L376" i="2"/>
  <c r="L908" i="8" s="1"/>
  <c r="L909" i="8" s="1"/>
  <c r="R259" i="2"/>
  <c r="L781" i="2"/>
  <c r="L382" i="2"/>
  <c r="R832" i="8"/>
  <c r="R833" i="8" s="1"/>
  <c r="R658" i="2"/>
  <c r="R657" i="2"/>
  <c r="R258" i="2"/>
  <c r="P1228" i="8"/>
  <c r="P1229" i="8" s="1"/>
  <c r="P382" i="2"/>
  <c r="P781" i="2"/>
  <c r="P1236" i="8"/>
  <c r="P1237" i="8" s="1"/>
  <c r="R751" i="2"/>
  <c r="Q757" i="2"/>
  <c r="R354" i="2"/>
  <c r="R836" i="8" s="1"/>
  <c r="R837" i="8" s="1"/>
  <c r="Q358" i="2"/>
  <c r="Q852" i="8" s="1"/>
  <c r="Q853" i="8" s="1"/>
  <c r="S353" i="2"/>
  <c r="L840" i="8"/>
  <c r="L841" i="8" s="1"/>
  <c r="R755" i="2"/>
  <c r="R1240" i="8" s="1"/>
  <c r="R1241" i="8" s="1"/>
  <c r="S758" i="2"/>
  <c r="S1252" i="8" s="1"/>
  <c r="S1253" i="8" s="1"/>
  <c r="R352" i="2"/>
  <c r="T357" i="2"/>
  <c r="Q753" i="2"/>
  <c r="Q1232" i="8" s="1"/>
  <c r="Q1233" i="8" s="1"/>
  <c r="R756" i="2"/>
  <c r="R1244" i="8" s="1"/>
  <c r="R1245" i="8" s="1"/>
  <c r="Q752" i="2"/>
  <c r="Q1228" i="8" s="1"/>
  <c r="Q1229" i="8" s="1"/>
  <c r="R359" i="2"/>
  <c r="R856" i="8" s="1"/>
  <c r="R857" i="8" s="1"/>
  <c r="Q356" i="2"/>
  <c r="Q844" i="8" s="1"/>
  <c r="Q845" i="8" s="1"/>
  <c r="Q355" i="2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F1385" i="8"/>
  <c r="F989" i="8"/>
  <c r="L611" i="2"/>
  <c r="H257" i="2"/>
  <c r="F313" i="2" s="1"/>
  <c r="I257" i="2"/>
  <c r="G313" i="2" s="1"/>
  <c r="P852" i="8"/>
  <c r="P853" i="8" s="1"/>
  <c r="P374" i="2"/>
  <c r="P900" i="8" s="1"/>
  <c r="P901" i="8" s="1"/>
  <c r="L434" i="2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L487" i="2"/>
  <c r="F1425" i="8"/>
  <c r="F1397" i="8"/>
  <c r="L427" i="2"/>
  <c r="Q751" i="2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L552" i="2"/>
  <c r="L429" i="2"/>
  <c r="P984" i="8"/>
  <c r="P985" i="8" s="1"/>
  <c r="P698" i="2"/>
  <c r="P700" i="2"/>
  <c r="P703" i="2"/>
  <c r="P705" i="2"/>
  <c r="P699" i="2"/>
  <c r="P702" i="2"/>
  <c r="P704" i="2"/>
  <c r="P701" i="2"/>
  <c r="L489" i="2"/>
  <c r="L549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L490" i="2"/>
  <c r="L430" i="2"/>
  <c r="H652" i="2"/>
  <c r="I652" i="2"/>
  <c r="F1393" i="8"/>
  <c r="L547" i="2"/>
  <c r="F1409" i="8"/>
  <c r="F1401" i="8"/>
  <c r="H253" i="2"/>
  <c r="I253" i="2"/>
  <c r="Q737" i="2"/>
  <c r="Q1184" i="8" s="1"/>
  <c r="Q1185" i="8" s="1"/>
  <c r="Q772" i="8"/>
  <c r="Q773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36" i="2"/>
  <c r="S624" i="8"/>
  <c r="S625" i="8" s="1"/>
  <c r="T283" i="2"/>
  <c r="S348" i="2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R344" i="2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S1008" i="8"/>
  <c r="S1009" i="8" s="1"/>
  <c r="S733" i="2"/>
  <c r="S744" i="2"/>
  <c r="T679" i="2"/>
  <c r="R1168" i="8"/>
  <c r="R1169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Q1156" i="8"/>
  <c r="Q1157" i="8" s="1"/>
  <c r="S760" i="8"/>
  <c r="S761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N900" i="8"/>
  <c r="N901" i="8" s="1"/>
  <c r="N379" i="2"/>
  <c r="Q816" i="8"/>
  <c r="Q817" i="8" s="1"/>
  <c r="Q349" i="2"/>
  <c r="Q824" i="8" s="1"/>
  <c r="Q825" i="8" s="1"/>
  <c r="P773" i="2"/>
  <c r="V1521" i="8" l="1"/>
  <c r="U1519" i="8"/>
  <c r="P1518" i="8"/>
  <c r="V1519" i="8"/>
  <c r="M1521" i="8"/>
  <c r="AD1520" i="8"/>
  <c r="V1520" i="8"/>
  <c r="T1519" i="8"/>
  <c r="O1521" i="8"/>
  <c r="AB1519" i="8"/>
  <c r="L1521" i="8"/>
  <c r="Z1068" i="8"/>
  <c r="Z1069" i="8" s="1"/>
  <c r="L1064" i="8"/>
  <c r="L1065" i="8" s="1"/>
  <c r="R1520" i="8"/>
  <c r="Y1072" i="8"/>
  <c r="Y1073" i="8" s="1"/>
  <c r="P1072" i="8"/>
  <c r="P1073" i="8" s="1"/>
  <c r="Y1056" i="8"/>
  <c r="Y1057" i="8" s="1"/>
  <c r="L1080" i="8"/>
  <c r="L1081" i="8" s="1"/>
  <c r="S1518" i="8"/>
  <c r="AE1520" i="8"/>
  <c r="L1084" i="8"/>
  <c r="L1085" i="8" s="1"/>
  <c r="P1068" i="8"/>
  <c r="P1069" i="8" s="1"/>
  <c r="Y1060" i="8"/>
  <c r="Y1061" i="8" s="1"/>
  <c r="L1076" i="8"/>
  <c r="L1077" i="8" s="1"/>
  <c r="X1521" i="8"/>
  <c r="AD1521" i="8"/>
  <c r="Z1084" i="8"/>
  <c r="Z1085" i="8" s="1"/>
  <c r="P1060" i="8"/>
  <c r="P1061" i="8" s="1"/>
  <c r="Y1084" i="8"/>
  <c r="Y1085" i="8" s="1"/>
  <c r="S1519" i="8"/>
  <c r="AC1518" i="8"/>
  <c r="O1518" i="8"/>
  <c r="AB1520" i="8"/>
  <c r="M1518" i="8"/>
  <c r="Z1072" i="8"/>
  <c r="Z1073" i="8" s="1"/>
  <c r="W1060" i="8"/>
  <c r="W1061" i="8" s="1"/>
  <c r="Z1060" i="8"/>
  <c r="Z1061" i="8" s="1"/>
  <c r="P1064" i="8"/>
  <c r="P1065" i="8" s="1"/>
  <c r="S1520" i="8"/>
  <c r="P1521" i="8"/>
  <c r="X1519" i="8"/>
  <c r="M1520" i="8"/>
  <c r="P1076" i="8"/>
  <c r="P1077" i="8" s="1"/>
  <c r="Z1521" i="8"/>
  <c r="L1518" i="8"/>
  <c r="W1064" i="8"/>
  <c r="W1065" i="8" s="1"/>
  <c r="Z1056" i="8"/>
  <c r="Z1057" i="8" s="1"/>
  <c r="X1520" i="8"/>
  <c r="L1519" i="8"/>
  <c r="T1521" i="8"/>
  <c r="T1520" i="8"/>
  <c r="Z1064" i="8"/>
  <c r="Z1065" i="8" s="1"/>
  <c r="P1056" i="8"/>
  <c r="P1057" i="8" s="1"/>
  <c r="W1076" i="8"/>
  <c r="W1077" i="8" s="1"/>
  <c r="L1068" i="8"/>
  <c r="L1069" i="8" s="1"/>
  <c r="P1080" i="8"/>
  <c r="P1081" i="8" s="1"/>
  <c r="Y1076" i="8"/>
  <c r="Y1077" i="8" s="1"/>
  <c r="P1084" i="8"/>
  <c r="P1085" i="8" s="1"/>
  <c r="W1068" i="8"/>
  <c r="W1069" i="8" s="1"/>
  <c r="Y1064" i="8"/>
  <c r="Y1065" i="8" s="1"/>
  <c r="Z1520" i="8"/>
  <c r="W1056" i="8"/>
  <c r="W1057" i="8" s="1"/>
  <c r="R1518" i="8"/>
  <c r="AB1518" i="8"/>
  <c r="AA1518" i="8"/>
  <c r="Z1076" i="8"/>
  <c r="Z1077" i="8" s="1"/>
  <c r="Y1080" i="8"/>
  <c r="Y1081" i="8" s="1"/>
  <c r="Z1080" i="8"/>
  <c r="Z1081" i="8" s="1"/>
  <c r="W1084" i="8"/>
  <c r="W1085" i="8" s="1"/>
  <c r="L1056" i="8"/>
  <c r="L1057" i="8" s="1"/>
  <c r="AD1519" i="8"/>
  <c r="Y1521" i="8"/>
  <c r="AC1520" i="8"/>
  <c r="W1072" i="8"/>
  <c r="W1073" i="8" s="1"/>
  <c r="L1072" i="8"/>
  <c r="L1073" i="8" s="1"/>
  <c r="Q1520" i="8"/>
  <c r="W1520" i="8"/>
  <c r="Q1519" i="8"/>
  <c r="Y1518" i="8"/>
  <c r="T1518" i="8"/>
  <c r="Q1521" i="8"/>
  <c r="W1080" i="8"/>
  <c r="W1081" i="8" s="1"/>
  <c r="Y1068" i="8"/>
  <c r="Y1069" i="8" s="1"/>
  <c r="L1060" i="8"/>
  <c r="L1061" i="8" s="1"/>
  <c r="AD1518" i="8"/>
  <c r="O1520" i="8"/>
  <c r="AA1519" i="8"/>
  <c r="AA1521" i="8"/>
  <c r="Z1518" i="8"/>
  <c r="N1518" i="8"/>
  <c r="AE1519" i="8"/>
  <c r="AE1518" i="8"/>
  <c r="AC1521" i="8"/>
  <c r="U1518" i="8"/>
  <c r="Z1519" i="8"/>
  <c r="AB1521" i="8"/>
  <c r="X1518" i="8"/>
  <c r="R1521" i="8"/>
  <c r="R1519" i="8"/>
  <c r="U1520" i="8"/>
  <c r="M1519" i="8"/>
  <c r="N1520" i="8"/>
  <c r="AA1520" i="8"/>
  <c r="U1521" i="8"/>
  <c r="P1520" i="8"/>
  <c r="S1521" i="8"/>
  <c r="V1518" i="8"/>
  <c r="AE1521" i="8"/>
  <c r="O1519" i="8"/>
  <c r="L1520" i="8"/>
  <c r="W1521" i="8"/>
  <c r="Y1520" i="8"/>
  <c r="P1519" i="8"/>
  <c r="AC1519" i="8"/>
  <c r="N1521" i="8"/>
  <c r="N1519" i="8"/>
  <c r="W1518" i="8"/>
  <c r="W1519" i="8"/>
  <c r="Y1519" i="8"/>
  <c r="Q1518" i="8"/>
  <c r="S769" i="2"/>
  <c r="S1288" i="8" s="1"/>
  <c r="S1289" i="8" s="1"/>
  <c r="R366" i="2"/>
  <c r="R876" i="8" s="1"/>
  <c r="R877" i="8" s="1"/>
  <c r="S370" i="2"/>
  <c r="S892" i="8" s="1"/>
  <c r="S893" i="8" s="1"/>
  <c r="Q765" i="2"/>
  <c r="Q794" i="2" s="1"/>
  <c r="Q1356" i="8" s="1"/>
  <c r="Q1357" i="8" s="1"/>
  <c r="R765" i="2"/>
  <c r="R1272" i="8" s="1"/>
  <c r="R1273" i="8" s="1"/>
  <c r="T769" i="2"/>
  <c r="T1288" i="8" s="1"/>
  <c r="T1289" i="8" s="1"/>
  <c r="R370" i="2"/>
  <c r="R399" i="2" s="1"/>
  <c r="R976" i="8" s="1"/>
  <c r="R977" i="8" s="1"/>
  <c r="Q382" i="2"/>
  <c r="Q840" i="8"/>
  <c r="Q841" i="8" s="1"/>
  <c r="S313" i="2"/>
  <c r="S23" i="13" s="1"/>
  <c r="U313" i="2"/>
  <c r="U23" i="13" s="1"/>
  <c r="T313" i="2"/>
  <c r="T23" i="13" s="1"/>
  <c r="AC313" i="2"/>
  <c r="AC23" i="13" s="1"/>
  <c r="L313" i="2"/>
  <c r="L23" i="13" s="1"/>
  <c r="X313" i="2"/>
  <c r="X23" i="13" s="1"/>
  <c r="R313" i="2"/>
  <c r="R23" i="13" s="1"/>
  <c r="Q313" i="2"/>
  <c r="Q23" i="13" s="1"/>
  <c r="W313" i="2"/>
  <c r="W23" i="13" s="1"/>
  <c r="P313" i="2"/>
  <c r="P23" i="13" s="1"/>
  <c r="AA313" i="2"/>
  <c r="AA23" i="13" s="1"/>
  <c r="O313" i="2"/>
  <c r="O23" i="13" s="1"/>
  <c r="Z313" i="2"/>
  <c r="Z23" i="13" s="1"/>
  <c r="N366" i="2"/>
  <c r="N395" i="2" s="1"/>
  <c r="N960" i="8" s="1"/>
  <c r="N961" i="8" s="1"/>
  <c r="AB313" i="2"/>
  <c r="AB23" i="13" s="1"/>
  <c r="N313" i="2"/>
  <c r="N23" i="13" s="1"/>
  <c r="V313" i="2"/>
  <c r="V23" i="13" s="1"/>
  <c r="M313" i="2"/>
  <c r="M23" i="13" s="1"/>
  <c r="AD313" i="2"/>
  <c r="AD23" i="13" s="1"/>
  <c r="Y313" i="2"/>
  <c r="Y23" i="13" s="1"/>
  <c r="AE313" i="2"/>
  <c r="AE23" i="13" s="1"/>
  <c r="M366" i="2"/>
  <c r="M395" i="2" s="1"/>
  <c r="M960" i="8" s="1"/>
  <c r="M961" i="8" s="1"/>
  <c r="O366" i="2"/>
  <c r="O395" i="2" s="1"/>
  <c r="O960" i="8" s="1"/>
  <c r="O961" i="8" s="1"/>
  <c r="L366" i="2"/>
  <c r="L395" i="2" s="1"/>
  <c r="L960" i="8" s="1"/>
  <c r="L961" i="8" s="1"/>
  <c r="P366" i="2"/>
  <c r="P395" i="2" s="1"/>
  <c r="P960" i="8" s="1"/>
  <c r="P961" i="8" s="1"/>
  <c r="Q366" i="2"/>
  <c r="Q395" i="2" s="1"/>
  <c r="Q960" i="8" s="1"/>
  <c r="Q961" i="8" s="1"/>
  <c r="S259" i="2"/>
  <c r="R716" i="2"/>
  <c r="R166" i="13" s="1"/>
  <c r="T716" i="2"/>
  <c r="T166" i="13" s="1"/>
  <c r="T186" i="13" s="1"/>
  <c r="T216" i="13" s="1"/>
  <c r="T248" i="13" s="1"/>
  <c r="W716" i="2"/>
  <c r="W166" i="13" s="1"/>
  <c r="AE716" i="2"/>
  <c r="AE166" i="13" s="1"/>
  <c r="AE186" i="13" s="1"/>
  <c r="S716" i="2"/>
  <c r="S166" i="13" s="1"/>
  <c r="Q716" i="2"/>
  <c r="Q166" i="13" s="1"/>
  <c r="N769" i="2"/>
  <c r="N798" i="2" s="1"/>
  <c r="N1372" i="8" s="1"/>
  <c r="N1373" i="8" s="1"/>
  <c r="AD716" i="2"/>
  <c r="AD166" i="13" s="1"/>
  <c r="AC716" i="2"/>
  <c r="AC166" i="13" s="1"/>
  <c r="AC186" i="13" s="1"/>
  <c r="Z716" i="2"/>
  <c r="Z166" i="13" s="1"/>
  <c r="Z186" i="13" s="1"/>
  <c r="AA716" i="2"/>
  <c r="AA166" i="13" s="1"/>
  <c r="AA186" i="13" s="1"/>
  <c r="M769" i="2"/>
  <c r="M798" i="2" s="1"/>
  <c r="M1372" i="8" s="1"/>
  <c r="M1373" i="8" s="1"/>
  <c r="M716" i="2"/>
  <c r="M166" i="13" s="1"/>
  <c r="M186" i="13" s="1"/>
  <c r="M216" i="13" s="1"/>
  <c r="M248" i="13" s="1"/>
  <c r="V716" i="2"/>
  <c r="V166" i="13" s="1"/>
  <c r="V186" i="13" s="1"/>
  <c r="Y716" i="2"/>
  <c r="Y166" i="13" s="1"/>
  <c r="N716" i="2"/>
  <c r="N166" i="13" s="1"/>
  <c r="N186" i="13" s="1"/>
  <c r="N216" i="13" s="1"/>
  <c r="N248" i="13" s="1"/>
  <c r="O769" i="2"/>
  <c r="O798" i="2" s="1"/>
  <c r="O1372" i="8" s="1"/>
  <c r="O1373" i="8" s="1"/>
  <c r="P769" i="2"/>
  <c r="P798" i="2" s="1"/>
  <c r="P1372" i="8" s="1"/>
  <c r="P1373" i="8" s="1"/>
  <c r="X716" i="2"/>
  <c r="X166" i="13" s="1"/>
  <c r="P716" i="2"/>
  <c r="P166" i="13" s="1"/>
  <c r="U716" i="2"/>
  <c r="U166" i="13" s="1"/>
  <c r="L716" i="2"/>
  <c r="L166" i="13" s="1"/>
  <c r="O716" i="2"/>
  <c r="O166" i="13" s="1"/>
  <c r="O186" i="13" s="1"/>
  <c r="O216" i="13" s="1"/>
  <c r="O248" i="13" s="1"/>
  <c r="AB716" i="2"/>
  <c r="AB166" i="13" s="1"/>
  <c r="Q769" i="2"/>
  <c r="Q798" i="2" s="1"/>
  <c r="Q1372" i="8" s="1"/>
  <c r="Q1373" i="8" s="1"/>
  <c r="R769" i="2"/>
  <c r="R798" i="2" s="1"/>
  <c r="R1372" i="8" s="1"/>
  <c r="R1373" i="8" s="1"/>
  <c r="L769" i="2"/>
  <c r="L798" i="2" s="1"/>
  <c r="L1372" i="8" s="1"/>
  <c r="L1373" i="8" s="1"/>
  <c r="S317" i="2"/>
  <c r="S27" i="13" s="1"/>
  <c r="T317" i="2"/>
  <c r="T27" i="13" s="1"/>
  <c r="AC317" i="2"/>
  <c r="AC27" i="13" s="1"/>
  <c r="X317" i="2"/>
  <c r="X27" i="13" s="1"/>
  <c r="U317" i="2"/>
  <c r="U27" i="13" s="1"/>
  <c r="L317" i="2"/>
  <c r="L27" i="13" s="1"/>
  <c r="R317" i="2"/>
  <c r="R27" i="13" s="1"/>
  <c r="Y317" i="2"/>
  <c r="Y27" i="13" s="1"/>
  <c r="AA317" i="2"/>
  <c r="AA27" i="13" s="1"/>
  <c r="W317" i="2"/>
  <c r="W27" i="13" s="1"/>
  <c r="P317" i="2"/>
  <c r="P27" i="13" s="1"/>
  <c r="Z317" i="2"/>
  <c r="Z27" i="13" s="1"/>
  <c r="AE317" i="2"/>
  <c r="AE27" i="13" s="1"/>
  <c r="Q317" i="2"/>
  <c r="Q27" i="13" s="1"/>
  <c r="M317" i="2"/>
  <c r="M27" i="13" s="1"/>
  <c r="AB317" i="2"/>
  <c r="AB27" i="13" s="1"/>
  <c r="N317" i="2"/>
  <c r="N27" i="13" s="1"/>
  <c r="O370" i="2"/>
  <c r="O399" i="2" s="1"/>
  <c r="O976" i="8" s="1"/>
  <c r="O977" i="8" s="1"/>
  <c r="V317" i="2"/>
  <c r="V27" i="13" s="1"/>
  <c r="O317" i="2"/>
  <c r="O27" i="13" s="1"/>
  <c r="AD317" i="2"/>
  <c r="AD27" i="13" s="1"/>
  <c r="M370" i="2"/>
  <c r="M399" i="2" s="1"/>
  <c r="M976" i="8" s="1"/>
  <c r="M977" i="8" s="1"/>
  <c r="P370" i="2"/>
  <c r="P399" i="2" s="1"/>
  <c r="P976" i="8" s="1"/>
  <c r="P977" i="8" s="1"/>
  <c r="L370" i="2"/>
  <c r="L399" i="2" s="1"/>
  <c r="L976" i="8" s="1"/>
  <c r="L977" i="8" s="1"/>
  <c r="N370" i="2"/>
  <c r="N399" i="2" s="1"/>
  <c r="N976" i="8" s="1"/>
  <c r="N977" i="8" s="1"/>
  <c r="Q370" i="2"/>
  <c r="Q399" i="2" s="1"/>
  <c r="Q976" i="8" s="1"/>
  <c r="Q977" i="8" s="1"/>
  <c r="T712" i="2"/>
  <c r="T162" i="13" s="1"/>
  <c r="T182" i="13" s="1"/>
  <c r="AE712" i="2"/>
  <c r="AE162" i="13" s="1"/>
  <c r="AE182" i="13" s="1"/>
  <c r="W712" i="2"/>
  <c r="W162" i="13" s="1"/>
  <c r="S712" i="2"/>
  <c r="S162" i="13" s="1"/>
  <c r="Q712" i="2"/>
  <c r="Q162" i="13" s="1"/>
  <c r="AB712" i="2"/>
  <c r="AB162" i="13" s="1"/>
  <c r="AB182" i="13" s="1"/>
  <c r="R712" i="2"/>
  <c r="R162" i="13" s="1"/>
  <c r="R182" i="13" s="1"/>
  <c r="R212" i="13" s="1"/>
  <c r="R234" i="13" s="1"/>
  <c r="Z712" i="2"/>
  <c r="Z162" i="13" s="1"/>
  <c r="AA712" i="2"/>
  <c r="AA162" i="13" s="1"/>
  <c r="M712" i="2"/>
  <c r="M162" i="13" s="1"/>
  <c r="Y712" i="2"/>
  <c r="Y162" i="13" s="1"/>
  <c r="P712" i="2"/>
  <c r="P162" i="13" s="1"/>
  <c r="P182" i="13" s="1"/>
  <c r="P212" i="13" s="1"/>
  <c r="P234" i="13" s="1"/>
  <c r="L712" i="2"/>
  <c r="L162" i="13" s="1"/>
  <c r="V712" i="2"/>
  <c r="V162" i="13" s="1"/>
  <c r="V182" i="13" s="1"/>
  <c r="X712" i="2"/>
  <c r="X162" i="13" s="1"/>
  <c r="X182" i="13" s="1"/>
  <c r="O712" i="2"/>
  <c r="O162" i="13" s="1"/>
  <c r="O182" i="13" s="1"/>
  <c r="O212" i="13" s="1"/>
  <c r="O234" i="13" s="1"/>
  <c r="N765" i="2"/>
  <c r="N794" i="2" s="1"/>
  <c r="N1356" i="8" s="1"/>
  <c r="N1357" i="8" s="1"/>
  <c r="U712" i="2"/>
  <c r="U162" i="13" s="1"/>
  <c r="U182" i="13" s="1"/>
  <c r="AD712" i="2"/>
  <c r="AD162" i="13" s="1"/>
  <c r="AD182" i="13" s="1"/>
  <c r="N712" i="2"/>
  <c r="N162" i="13" s="1"/>
  <c r="N182" i="13" s="1"/>
  <c r="N212" i="13" s="1"/>
  <c r="N234" i="13" s="1"/>
  <c r="AC712" i="2"/>
  <c r="AC162" i="13" s="1"/>
  <c r="AC182" i="13" s="1"/>
  <c r="O765" i="2"/>
  <c r="O794" i="2" s="1"/>
  <c r="O1356" i="8" s="1"/>
  <c r="O1357" i="8" s="1"/>
  <c r="M765" i="2"/>
  <c r="M794" i="2" s="1"/>
  <c r="M1356" i="8" s="1"/>
  <c r="M1357" i="8" s="1"/>
  <c r="P765" i="2"/>
  <c r="P794" i="2" s="1"/>
  <c r="P1356" i="8" s="1"/>
  <c r="P1357" i="8" s="1"/>
  <c r="L765" i="2"/>
  <c r="L794" i="2" s="1"/>
  <c r="L1356" i="8" s="1"/>
  <c r="L1357" i="8" s="1"/>
  <c r="S658" i="2"/>
  <c r="S657" i="2"/>
  <c r="S258" i="2"/>
  <c r="Q1224" i="8"/>
  <c r="Q1225" i="8" s="1"/>
  <c r="Q781" i="2"/>
  <c r="D1381" i="8"/>
  <c r="L860" i="8"/>
  <c r="L861" i="8" s="1"/>
  <c r="S756" i="2"/>
  <c r="S1244" i="8" s="1"/>
  <c r="S1245" i="8" s="1"/>
  <c r="T758" i="2"/>
  <c r="T1252" i="8" s="1"/>
  <c r="T1253" i="8" s="1"/>
  <c r="S354" i="2"/>
  <c r="S836" i="8" s="1"/>
  <c r="S837" i="8" s="1"/>
  <c r="P1256" i="8"/>
  <c r="P1257" i="8" s="1"/>
  <c r="T848" i="8"/>
  <c r="T849" i="8" s="1"/>
  <c r="U357" i="2"/>
  <c r="U848" i="8" s="1"/>
  <c r="U849" i="8" s="1"/>
  <c r="R757" i="2"/>
  <c r="R1248" i="8" s="1"/>
  <c r="R1249" i="8" s="1"/>
  <c r="O1316" i="8"/>
  <c r="O1317" i="8" s="1"/>
  <c r="P860" i="8"/>
  <c r="P861" i="8" s="1"/>
  <c r="S352" i="2"/>
  <c r="R356" i="2"/>
  <c r="R844" i="8" s="1"/>
  <c r="R845" i="8" s="1"/>
  <c r="M920" i="8"/>
  <c r="M921" i="8" s="1"/>
  <c r="T353" i="2"/>
  <c r="T832" i="8" s="1"/>
  <c r="T833" i="8" s="1"/>
  <c r="N1316" i="8"/>
  <c r="N1317" i="8" s="1"/>
  <c r="S751" i="2"/>
  <c r="R358" i="2"/>
  <c r="R852" i="8" s="1"/>
  <c r="R853" i="8" s="1"/>
  <c r="R754" i="2"/>
  <c r="M1316" i="8"/>
  <c r="M1317" i="8" s="1"/>
  <c r="S359" i="2"/>
  <c r="N920" i="8"/>
  <c r="N921" i="8" s="1"/>
  <c r="S832" i="8"/>
  <c r="S833" i="8" s="1"/>
  <c r="L1256" i="8"/>
  <c r="L1257" i="8" s="1"/>
  <c r="S755" i="2"/>
  <c r="S1240" i="8" s="1"/>
  <c r="S1241" i="8" s="1"/>
  <c r="R748" i="2"/>
  <c r="R1220" i="8" s="1"/>
  <c r="R1221" i="8" s="1"/>
  <c r="R355" i="2"/>
  <c r="R840" i="8" s="1"/>
  <c r="R841" i="8" s="1"/>
  <c r="R753" i="2"/>
  <c r="R1232" i="8" s="1"/>
  <c r="R1233" i="8" s="1"/>
  <c r="O920" i="8"/>
  <c r="O921" i="8" s="1"/>
  <c r="F1439" i="8"/>
  <c r="F311" i="2"/>
  <c r="F312" i="2"/>
  <c r="F310" i="2"/>
  <c r="G312" i="2"/>
  <c r="G311" i="2"/>
  <c r="G310" i="2"/>
  <c r="R737" i="2"/>
  <c r="R1184" i="8" s="1"/>
  <c r="R1185" i="8" s="1"/>
  <c r="R752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R808" i="8"/>
  <c r="R809" i="8" s="1"/>
  <c r="S1152" i="8"/>
  <c r="S1153" i="8" s="1"/>
  <c r="S1016" i="8"/>
  <c r="S1017" i="8" s="1"/>
  <c r="S735" i="2"/>
  <c r="T681" i="2"/>
  <c r="S746" i="2"/>
  <c r="R387" i="2"/>
  <c r="R932" i="8" s="1"/>
  <c r="R933" i="8" s="1"/>
  <c r="T760" i="8"/>
  <c r="T761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31" i="2"/>
  <c r="R804" i="8"/>
  <c r="R805" i="8" s="1"/>
  <c r="R1164" i="8"/>
  <c r="R1165" i="8" s="1"/>
  <c r="R1236" i="8"/>
  <c r="R1237" i="8" s="1"/>
  <c r="S756" i="8"/>
  <c r="S757" i="8" s="1"/>
  <c r="S820" i="8"/>
  <c r="S821" i="8" s="1"/>
  <c r="R1176" i="8"/>
  <c r="R1177" i="8" s="1"/>
  <c r="R1224" i="8"/>
  <c r="R1225" i="8" s="1"/>
  <c r="T796" i="8"/>
  <c r="T797" i="8" s="1"/>
  <c r="R768" i="8"/>
  <c r="R769" i="8" s="1"/>
  <c r="S784" i="8"/>
  <c r="S785" i="8" s="1"/>
  <c r="R780" i="8"/>
  <c r="R781" i="8" s="1"/>
  <c r="S608" i="8"/>
  <c r="S609" i="8" s="1"/>
  <c r="S333" i="2"/>
  <c r="S344" i="2"/>
  <c r="S366" i="2" s="1"/>
  <c r="T279" i="2"/>
  <c r="R1200" i="8"/>
  <c r="R1201" i="8" s="1"/>
  <c r="T596" i="8"/>
  <c r="T597" i="8" s="1"/>
  <c r="T341" i="2"/>
  <c r="U276" i="2"/>
  <c r="T330" i="2"/>
  <c r="U812" i="8"/>
  <c r="U813" i="8" s="1"/>
  <c r="T624" i="8"/>
  <c r="T625" i="8" s="1"/>
  <c r="T348" i="2"/>
  <c r="T370" i="2" s="1"/>
  <c r="T337" i="2"/>
  <c r="U283" i="2"/>
  <c r="S1168" i="8"/>
  <c r="S1169" i="8" s="1"/>
  <c r="L1296" i="8"/>
  <c r="L1297" i="8" s="1"/>
  <c r="L778" i="2"/>
  <c r="S1004" i="8"/>
  <c r="S1005" i="8" s="1"/>
  <c r="S743" i="2"/>
  <c r="S765" i="2" s="1"/>
  <c r="T678" i="2"/>
  <c r="S732" i="2"/>
  <c r="S800" i="8"/>
  <c r="S801" i="8" s="1"/>
  <c r="S792" i="8"/>
  <c r="S793" i="8" s="1"/>
  <c r="U776" i="8"/>
  <c r="U777" i="8" s="1"/>
  <c r="S620" i="8"/>
  <c r="S621" i="8" s="1"/>
  <c r="T282" i="2"/>
  <c r="S347" i="2"/>
  <c r="S336" i="2"/>
  <c r="S764" i="8"/>
  <c r="S765" i="8" s="1"/>
  <c r="V616" i="8"/>
  <c r="V617" i="8" s="1"/>
  <c r="W281" i="2"/>
  <c r="V335" i="2"/>
  <c r="V346" i="2"/>
  <c r="P379" i="2"/>
  <c r="T604" i="8"/>
  <c r="T605" i="8" s="1"/>
  <c r="U278" i="2"/>
  <c r="T332" i="2"/>
  <c r="T343" i="2"/>
  <c r="T1180" i="8"/>
  <c r="T1181" i="8" s="1"/>
  <c r="R1196" i="8"/>
  <c r="R1197" i="8" s="1"/>
  <c r="P1296" i="8"/>
  <c r="P1297" i="8" s="1"/>
  <c r="P778" i="2"/>
  <c r="R338" i="2"/>
  <c r="R788" i="8" s="1"/>
  <c r="R789" i="8" s="1"/>
  <c r="T1216" i="8"/>
  <c r="T1217" i="8" s="1"/>
  <c r="S1000" i="8"/>
  <c r="S1001" i="8" s="1"/>
  <c r="S731" i="2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69" i="2" s="1"/>
  <c r="U736" i="2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T676" i="2"/>
  <c r="S730" i="2"/>
  <c r="T1012" i="8"/>
  <c r="T1013" i="8" s="1"/>
  <c r="U680" i="2"/>
  <c r="T745" i="2"/>
  <c r="T734" i="2"/>
  <c r="T1008" i="8"/>
  <c r="T1009" i="8" s="1"/>
  <c r="T733" i="2"/>
  <c r="T744" i="2"/>
  <c r="U679" i="2"/>
  <c r="S1188" i="8"/>
  <c r="S1189" i="8" s="1"/>
  <c r="S1204" i="8"/>
  <c r="S1205" i="8" s="1"/>
  <c r="Q777" i="2"/>
  <c r="Q1312" i="8" s="1"/>
  <c r="Q1313" i="8" s="1"/>
  <c r="V216" i="13" l="1"/>
  <c r="V248" i="13" s="1"/>
  <c r="F1065" i="8"/>
  <c r="T212" i="13"/>
  <c r="T234" i="13" s="1"/>
  <c r="F1069" i="8"/>
  <c r="S798" i="2"/>
  <c r="S1372" i="8" s="1"/>
  <c r="S1373" i="8" s="1"/>
  <c r="F1061" i="8"/>
  <c r="F1085" i="8"/>
  <c r="F1077" i="8"/>
  <c r="F1521" i="8"/>
  <c r="F1081" i="8"/>
  <c r="F1073" i="8"/>
  <c r="F1057" i="8"/>
  <c r="S786" i="2"/>
  <c r="S1328" i="8" s="1"/>
  <c r="S1329" i="8" s="1"/>
  <c r="Z182" i="13"/>
  <c r="Y186" i="13"/>
  <c r="W182" i="13"/>
  <c r="Y182" i="13"/>
  <c r="L249" i="13"/>
  <c r="L250" i="13" s="1"/>
  <c r="L186" i="13"/>
  <c r="L216" i="13" s="1"/>
  <c r="L248" i="13" s="1"/>
  <c r="Y47" i="13"/>
  <c r="Y57" i="13" s="1"/>
  <c r="Y67" i="13" s="1"/>
  <c r="AE43" i="13"/>
  <c r="R96" i="13"/>
  <c r="R97" i="13" s="1"/>
  <c r="R43" i="13"/>
  <c r="R73" i="13" s="1"/>
  <c r="R95" i="13" s="1"/>
  <c r="AD47" i="13"/>
  <c r="R110" i="13"/>
  <c r="R111" i="13" s="1"/>
  <c r="R47" i="13"/>
  <c r="R77" i="13" s="1"/>
  <c r="R109" i="13" s="1"/>
  <c r="Q249" i="13"/>
  <c r="Y43" i="13"/>
  <c r="Y53" i="13" s="1"/>
  <c r="Y63" i="13" s="1"/>
  <c r="X43" i="13"/>
  <c r="P249" i="13"/>
  <c r="P250" i="13" s="1"/>
  <c r="M235" i="13"/>
  <c r="M236" i="13" s="1"/>
  <c r="L110" i="13"/>
  <c r="L111" i="13" s="1"/>
  <c r="L47" i="13"/>
  <c r="L77" i="13" s="1"/>
  <c r="L109" i="13" s="1"/>
  <c r="AD43" i="13"/>
  <c r="L96" i="13"/>
  <c r="L97" i="13" s="1"/>
  <c r="L43" i="13"/>
  <c r="L73" i="13" s="1"/>
  <c r="L95" i="13" s="1"/>
  <c r="AC192" i="13"/>
  <c r="AC202" i="13" s="1"/>
  <c r="R235" i="13"/>
  <c r="R236" i="13" s="1"/>
  <c r="R192" i="13"/>
  <c r="R202" i="13" s="1"/>
  <c r="V47" i="13"/>
  <c r="V57" i="13" s="1"/>
  <c r="V67" i="13" s="1"/>
  <c r="U110" i="13"/>
  <c r="U111" i="13" s="1"/>
  <c r="U47" i="13"/>
  <c r="U77" i="13" s="1"/>
  <c r="U109" i="13" s="1"/>
  <c r="AE196" i="13"/>
  <c r="AE206" i="13" s="1"/>
  <c r="M96" i="13"/>
  <c r="M97" i="13" s="1"/>
  <c r="M43" i="13"/>
  <c r="M73" i="13" s="1"/>
  <c r="M95" i="13" s="1"/>
  <c r="AC43" i="13"/>
  <c r="AC53" i="13" s="1"/>
  <c r="AC63" i="13" s="1"/>
  <c r="F1518" i="8"/>
  <c r="N235" i="13"/>
  <c r="N236" i="13" s="1"/>
  <c r="N192" i="13"/>
  <c r="N202" i="13" s="1"/>
  <c r="AB192" i="13"/>
  <c r="AB202" i="13" s="1"/>
  <c r="X47" i="13"/>
  <c r="V43" i="13"/>
  <c r="V53" i="13" s="1"/>
  <c r="V63" i="13" s="1"/>
  <c r="T96" i="13"/>
  <c r="T97" i="13" s="1"/>
  <c r="T43" i="13"/>
  <c r="T73" i="13" s="1"/>
  <c r="T95" i="13" s="1"/>
  <c r="O110" i="13"/>
  <c r="O111" i="13" s="1"/>
  <c r="O47" i="13"/>
  <c r="O77" i="13" s="1"/>
  <c r="O109" i="13" s="1"/>
  <c r="S249" i="13"/>
  <c r="F1520" i="8"/>
  <c r="F1519" i="8"/>
  <c r="Z196" i="13"/>
  <c r="Z206" i="13" s="1"/>
  <c r="U249" i="13"/>
  <c r="AD192" i="13"/>
  <c r="AD202" i="13" s="1"/>
  <c r="N110" i="13"/>
  <c r="N111" i="13" s="1"/>
  <c r="N47" i="13"/>
  <c r="N77" i="13" s="1"/>
  <c r="N109" i="13" s="1"/>
  <c r="N196" i="13"/>
  <c r="N206" i="13" s="1"/>
  <c r="N249" i="13"/>
  <c r="N250" i="13" s="1"/>
  <c r="N96" i="13"/>
  <c r="N97" i="13" s="1"/>
  <c r="N43" i="13"/>
  <c r="N73" i="13" s="1"/>
  <c r="N95" i="13" s="1"/>
  <c r="U192" i="13"/>
  <c r="U202" i="13" s="1"/>
  <c r="S235" i="13"/>
  <c r="AB47" i="13"/>
  <c r="AB57" i="13" s="1"/>
  <c r="AB67" i="13" s="1"/>
  <c r="T110" i="13"/>
  <c r="T111" i="13" s="1"/>
  <c r="T47" i="13"/>
  <c r="T77" i="13" s="1"/>
  <c r="T109" i="13" s="1"/>
  <c r="R249" i="13"/>
  <c r="AB43" i="13"/>
  <c r="AB53" i="13" s="1"/>
  <c r="AB63" i="13" s="1"/>
  <c r="S96" i="13"/>
  <c r="S97" i="13" s="1"/>
  <c r="S43" i="13"/>
  <c r="S73" i="13" s="1"/>
  <c r="S95" i="13" s="1"/>
  <c r="S186" i="13"/>
  <c r="S216" i="13" s="1"/>
  <c r="S248" i="13" s="1"/>
  <c r="M182" i="13"/>
  <c r="M212" i="13" s="1"/>
  <c r="M234" i="13" s="1"/>
  <c r="P186" i="13"/>
  <c r="P216" i="13" s="1"/>
  <c r="P248" i="13" s="1"/>
  <c r="Q235" i="13"/>
  <c r="AC47" i="13"/>
  <c r="AC57" i="13" s="1"/>
  <c r="AC67" i="13" s="1"/>
  <c r="T249" i="13"/>
  <c r="T250" i="13" s="1"/>
  <c r="T196" i="13"/>
  <c r="T206" i="13" s="1"/>
  <c r="U43" i="13"/>
  <c r="M110" i="13"/>
  <c r="M111" i="13" s="1"/>
  <c r="M47" i="13"/>
  <c r="M77" i="13" s="1"/>
  <c r="M109" i="13" s="1"/>
  <c r="S110" i="13"/>
  <c r="S111" i="13" s="1"/>
  <c r="S47" i="13"/>
  <c r="S77" i="13" s="1"/>
  <c r="S109" i="13" s="1"/>
  <c r="V249" i="13"/>
  <c r="V196" i="13"/>
  <c r="V206" i="13" s="1"/>
  <c r="Q182" i="13"/>
  <c r="Q212" i="13" s="1"/>
  <c r="Q234" i="13" s="1"/>
  <c r="S182" i="13"/>
  <c r="S212" i="13" s="1"/>
  <c r="S234" i="13" s="1"/>
  <c r="R186" i="13"/>
  <c r="R216" i="13" s="1"/>
  <c r="R248" i="13" s="1"/>
  <c r="AE192" i="13"/>
  <c r="AE202" i="13" s="1"/>
  <c r="L235" i="13"/>
  <c r="L236" i="13" s="1"/>
  <c r="T192" i="13"/>
  <c r="T202" i="13" s="1"/>
  <c r="T235" i="13"/>
  <c r="AE47" i="13"/>
  <c r="U186" i="13"/>
  <c r="U216" i="13" s="1"/>
  <c r="U248" i="13" s="1"/>
  <c r="V192" i="13"/>
  <c r="V202" i="13" s="1"/>
  <c r="Z47" i="13"/>
  <c r="Z57" i="13" s="1"/>
  <c r="Z67" i="13" s="1"/>
  <c r="AA196" i="13"/>
  <c r="AA206" i="13" s="1"/>
  <c r="AA43" i="13"/>
  <c r="AA53" i="13" s="1"/>
  <c r="AA63" i="13" s="1"/>
  <c r="X186" i="13"/>
  <c r="X196" i="13" s="1"/>
  <c r="X206" i="13" s="1"/>
  <c r="L182" i="13"/>
  <c r="L212" i="13" s="1"/>
  <c r="L234" i="13" s="1"/>
  <c r="Q186" i="13"/>
  <c r="Q216" i="13" s="1"/>
  <c r="Q248" i="13" s="1"/>
  <c r="AA182" i="13"/>
  <c r="X192" i="13"/>
  <c r="X202" i="13" s="1"/>
  <c r="O96" i="13"/>
  <c r="O97" i="13" s="1"/>
  <c r="O43" i="13"/>
  <c r="O73" i="13" s="1"/>
  <c r="O95" i="13" s="1"/>
  <c r="Q389" i="2"/>
  <c r="Q940" i="8" s="1"/>
  <c r="Q941" i="8" s="1"/>
  <c r="P110" i="13"/>
  <c r="P111" i="13" s="1"/>
  <c r="P47" i="13"/>
  <c r="P77" i="13" s="1"/>
  <c r="P109" i="13" s="1"/>
  <c r="P96" i="13"/>
  <c r="P97" i="13" s="1"/>
  <c r="P43" i="13"/>
  <c r="P73" i="13" s="1"/>
  <c r="P95" i="13" s="1"/>
  <c r="W186" i="13"/>
  <c r="W196" i="13" s="1"/>
  <c r="W206" i="13" s="1"/>
  <c r="AB186" i="13"/>
  <c r="AA47" i="13"/>
  <c r="AA57" i="13" s="1"/>
  <c r="AA67" i="13" s="1"/>
  <c r="Q96" i="13"/>
  <c r="Q97" i="13" s="1"/>
  <c r="Q43" i="13"/>
  <c r="Q73" i="13" s="1"/>
  <c r="Q95" i="13" s="1"/>
  <c r="O192" i="13"/>
  <c r="O202" i="13" s="1"/>
  <c r="O235" i="13"/>
  <c r="O236" i="13" s="1"/>
  <c r="Q110" i="13"/>
  <c r="Q111" i="13" s="1"/>
  <c r="Q47" i="13"/>
  <c r="Q77" i="13" s="1"/>
  <c r="Q109" i="13" s="1"/>
  <c r="M196" i="13"/>
  <c r="M206" i="13" s="1"/>
  <c r="M249" i="13"/>
  <c r="M250" i="13" s="1"/>
  <c r="Z43" i="13"/>
  <c r="Z53" i="13" s="1"/>
  <c r="Z63" i="13" s="1"/>
  <c r="P235" i="13"/>
  <c r="P236" i="13" s="1"/>
  <c r="P192" i="13"/>
  <c r="P202" i="13" s="1"/>
  <c r="W47" i="13"/>
  <c r="W57" i="13" s="1"/>
  <c r="W67" i="13" s="1"/>
  <c r="O196" i="13"/>
  <c r="O206" i="13" s="1"/>
  <c r="O249" i="13"/>
  <c r="O250" i="13" s="1"/>
  <c r="AC196" i="13"/>
  <c r="AC206" i="13" s="1"/>
  <c r="W43" i="13"/>
  <c r="W53" i="13" s="1"/>
  <c r="W63" i="13" s="1"/>
  <c r="AD186" i="13"/>
  <c r="S768" i="2"/>
  <c r="S1284" i="8" s="1"/>
  <c r="S1285" i="8" s="1"/>
  <c r="R794" i="2"/>
  <c r="R1356" i="8" s="1"/>
  <c r="R1357" i="8" s="1"/>
  <c r="T365" i="2"/>
  <c r="T872" i="8" s="1"/>
  <c r="T873" i="8" s="1"/>
  <c r="S399" i="2"/>
  <c r="S976" i="8" s="1"/>
  <c r="S977" i="8" s="1"/>
  <c r="U364" i="2"/>
  <c r="U868" i="8" s="1"/>
  <c r="U869" i="8" s="1"/>
  <c r="R374" i="2"/>
  <c r="R900" i="8" s="1"/>
  <c r="R901" i="8" s="1"/>
  <c r="R367" i="2"/>
  <c r="R396" i="2" s="1"/>
  <c r="R964" i="8" s="1"/>
  <c r="R965" i="8" s="1"/>
  <c r="Q1272" i="8"/>
  <c r="Q1273" i="8" s="1"/>
  <c r="S763" i="2"/>
  <c r="S369" i="2"/>
  <c r="S888" i="8" s="1"/>
  <c r="S889" i="8" s="1"/>
  <c r="S767" i="2"/>
  <c r="S796" i="2" s="1"/>
  <c r="S365" i="2"/>
  <c r="S394" i="2" s="1"/>
  <c r="Q788" i="2"/>
  <c r="Q1336" i="8" s="1"/>
  <c r="Q1337" i="8" s="1"/>
  <c r="T260" i="2"/>
  <c r="T766" i="2"/>
  <c r="T1276" i="8" s="1"/>
  <c r="T1277" i="8" s="1"/>
  <c r="R660" i="2"/>
  <c r="R892" i="8"/>
  <c r="R893" i="8" s="1"/>
  <c r="T659" i="2"/>
  <c r="R764" i="2"/>
  <c r="R793" i="2" s="1"/>
  <c r="R1352" i="8" s="1"/>
  <c r="R1353" i="8" s="1"/>
  <c r="R763" i="2"/>
  <c r="R792" i="2" s="1"/>
  <c r="R1348" i="8" s="1"/>
  <c r="R1349" i="8" s="1"/>
  <c r="R369" i="2"/>
  <c r="R398" i="2" s="1"/>
  <c r="R972" i="8" s="1"/>
  <c r="R973" i="8" s="1"/>
  <c r="R382" i="2"/>
  <c r="R768" i="2"/>
  <c r="R797" i="2" s="1"/>
  <c r="R1368" i="8" s="1"/>
  <c r="R1369" i="8" s="1"/>
  <c r="Q876" i="8"/>
  <c r="Q877" i="8" s="1"/>
  <c r="S856" i="8"/>
  <c r="S857" i="8" s="1"/>
  <c r="L315" i="2"/>
  <c r="L25" i="13" s="1"/>
  <c r="U315" i="2"/>
  <c r="U25" i="13" s="1"/>
  <c r="X315" i="2"/>
  <c r="X25" i="13" s="1"/>
  <c r="R315" i="2"/>
  <c r="R25" i="13" s="1"/>
  <c r="T315" i="2"/>
  <c r="T25" i="13" s="1"/>
  <c r="S315" i="2"/>
  <c r="S25" i="13" s="1"/>
  <c r="AC315" i="2"/>
  <c r="AC25" i="13" s="1"/>
  <c r="Y315" i="2"/>
  <c r="Y25" i="13" s="1"/>
  <c r="O368" i="2"/>
  <c r="O397" i="2" s="1"/>
  <c r="M368" i="2"/>
  <c r="M397" i="2" s="1"/>
  <c r="O315" i="2"/>
  <c r="O25" i="13" s="1"/>
  <c r="V315" i="2"/>
  <c r="V25" i="13" s="1"/>
  <c r="AA315" i="2"/>
  <c r="AA25" i="13" s="1"/>
  <c r="AD315" i="2"/>
  <c r="AD25" i="13" s="1"/>
  <c r="N368" i="2"/>
  <c r="N397" i="2" s="1"/>
  <c r="AE315" i="2"/>
  <c r="AE25" i="13" s="1"/>
  <c r="Q368" i="2"/>
  <c r="Q397" i="2" s="1"/>
  <c r="M315" i="2"/>
  <c r="M25" i="13" s="1"/>
  <c r="Q315" i="2"/>
  <c r="Q25" i="13" s="1"/>
  <c r="W315" i="2"/>
  <c r="W25" i="13" s="1"/>
  <c r="P315" i="2"/>
  <c r="P25" i="13" s="1"/>
  <c r="P368" i="2"/>
  <c r="P397" i="2" s="1"/>
  <c r="Z315" i="2"/>
  <c r="Z25" i="13" s="1"/>
  <c r="AB315" i="2"/>
  <c r="AB25" i="13" s="1"/>
  <c r="N315" i="2"/>
  <c r="N25" i="13" s="1"/>
  <c r="R368" i="2"/>
  <c r="R397" i="2" s="1"/>
  <c r="L368" i="2"/>
  <c r="L397" i="2" s="1"/>
  <c r="S368" i="2"/>
  <c r="S397" i="2" s="1"/>
  <c r="T368" i="2"/>
  <c r="T397" i="2" s="1"/>
  <c r="L310" i="2"/>
  <c r="L20" i="13" s="1"/>
  <c r="X310" i="2"/>
  <c r="X20" i="13" s="1"/>
  <c r="T310" i="2"/>
  <c r="T20" i="13" s="1"/>
  <c r="U310" i="2"/>
  <c r="U20" i="13" s="1"/>
  <c r="R310" i="2"/>
  <c r="R20" i="13" s="1"/>
  <c r="AC310" i="2"/>
  <c r="AC20" i="13" s="1"/>
  <c r="S310" i="2"/>
  <c r="S20" i="13" s="1"/>
  <c r="P261" i="2"/>
  <c r="N363" i="2"/>
  <c r="AB310" i="2"/>
  <c r="AB20" i="13" s="1"/>
  <c r="N310" i="2"/>
  <c r="N20" i="13" s="1"/>
  <c r="P260" i="2"/>
  <c r="O310" i="2"/>
  <c r="O20" i="13" s="1"/>
  <c r="M310" i="2"/>
  <c r="M20" i="13" s="1"/>
  <c r="N261" i="2"/>
  <c r="L260" i="2"/>
  <c r="O363" i="2"/>
  <c r="O261" i="2"/>
  <c r="V310" i="2"/>
  <c r="V20" i="13" s="1"/>
  <c r="M261" i="2"/>
  <c r="N260" i="2"/>
  <c r="AD310" i="2"/>
  <c r="AD20" i="13" s="1"/>
  <c r="Z310" i="2"/>
  <c r="Z20" i="13" s="1"/>
  <c r="R261" i="2"/>
  <c r="O260" i="2"/>
  <c r="AE310" i="2"/>
  <c r="AE20" i="13" s="1"/>
  <c r="M260" i="2"/>
  <c r="Y310" i="2"/>
  <c r="Y20" i="13" s="1"/>
  <c r="Q310" i="2"/>
  <c r="Q20" i="13" s="1"/>
  <c r="Q260" i="2"/>
  <c r="Q261" i="2"/>
  <c r="AA310" i="2"/>
  <c r="AA20" i="13" s="1"/>
  <c r="W310" i="2"/>
  <c r="W20" i="13" s="1"/>
  <c r="P310" i="2"/>
  <c r="P20" i="13" s="1"/>
  <c r="P363" i="2"/>
  <c r="M363" i="2"/>
  <c r="L261" i="2"/>
  <c r="Q363" i="2"/>
  <c r="R260" i="2"/>
  <c r="L363" i="2"/>
  <c r="S260" i="2"/>
  <c r="R363" i="2"/>
  <c r="S261" i="2"/>
  <c r="L311" i="2"/>
  <c r="L21" i="13" s="1"/>
  <c r="S311" i="2"/>
  <c r="S21" i="13" s="1"/>
  <c r="X311" i="2"/>
  <c r="X21" i="13" s="1"/>
  <c r="R311" i="2"/>
  <c r="R21" i="13" s="1"/>
  <c r="AC311" i="2"/>
  <c r="AC21" i="13" s="1"/>
  <c r="T311" i="2"/>
  <c r="T21" i="13" s="1"/>
  <c r="U311" i="2"/>
  <c r="U21" i="13" s="1"/>
  <c r="L364" i="2"/>
  <c r="L393" i="2" s="1"/>
  <c r="O364" i="2"/>
  <c r="O393" i="2" s="1"/>
  <c r="AA311" i="2"/>
  <c r="AA21" i="13" s="1"/>
  <c r="V311" i="2"/>
  <c r="V21" i="13" s="1"/>
  <c r="M364" i="2"/>
  <c r="M393" i="2" s="1"/>
  <c r="AD311" i="2"/>
  <c r="AD21" i="13" s="1"/>
  <c r="AE311" i="2"/>
  <c r="AE21" i="13" s="1"/>
  <c r="W311" i="2"/>
  <c r="W21" i="13" s="1"/>
  <c r="N364" i="2"/>
  <c r="N393" i="2" s="1"/>
  <c r="O311" i="2"/>
  <c r="O21" i="13" s="1"/>
  <c r="Q311" i="2"/>
  <c r="Q21" i="13" s="1"/>
  <c r="Y311" i="2"/>
  <c r="Y21" i="13" s="1"/>
  <c r="P311" i="2"/>
  <c r="P21" i="13" s="1"/>
  <c r="M311" i="2"/>
  <c r="M21" i="13" s="1"/>
  <c r="Z311" i="2"/>
  <c r="Z21" i="13" s="1"/>
  <c r="AB311" i="2"/>
  <c r="AB21" i="13" s="1"/>
  <c r="N311" i="2"/>
  <c r="N21" i="13" s="1"/>
  <c r="P364" i="2"/>
  <c r="P393" i="2" s="1"/>
  <c r="Q364" i="2"/>
  <c r="Q393" i="2" s="1"/>
  <c r="R364" i="2"/>
  <c r="R393" i="2" s="1"/>
  <c r="S364" i="2"/>
  <c r="S393" i="2" s="1"/>
  <c r="R395" i="2"/>
  <c r="R960" i="8" s="1"/>
  <c r="R961" i="8" s="1"/>
  <c r="AB710" i="2"/>
  <c r="AB160" i="13" s="1"/>
  <c r="Q710" i="2"/>
  <c r="Q160" i="13" s="1"/>
  <c r="R710" i="2"/>
  <c r="R160" i="13" s="1"/>
  <c r="S710" i="2"/>
  <c r="S160" i="13" s="1"/>
  <c r="T710" i="2"/>
  <c r="T160" i="13" s="1"/>
  <c r="AE710" i="2"/>
  <c r="AE160" i="13" s="1"/>
  <c r="W710" i="2"/>
  <c r="W160" i="13" s="1"/>
  <c r="X710" i="2"/>
  <c r="X160" i="13" s="1"/>
  <c r="O710" i="2"/>
  <c r="O160" i="13" s="1"/>
  <c r="U710" i="2"/>
  <c r="U160" i="13" s="1"/>
  <c r="L710" i="2"/>
  <c r="L160" i="13" s="1"/>
  <c r="N763" i="2"/>
  <c r="N792" i="2" s="1"/>
  <c r="AC710" i="2"/>
  <c r="AC160" i="13" s="1"/>
  <c r="Z710" i="2"/>
  <c r="Z160" i="13" s="1"/>
  <c r="P710" i="2"/>
  <c r="P160" i="13" s="1"/>
  <c r="AD710" i="2"/>
  <c r="AD160" i="13" s="1"/>
  <c r="AA710" i="2"/>
  <c r="AA160" i="13" s="1"/>
  <c r="M710" i="2"/>
  <c r="M160" i="13" s="1"/>
  <c r="N710" i="2"/>
  <c r="N160" i="13" s="1"/>
  <c r="Y710" i="2"/>
  <c r="Y160" i="13" s="1"/>
  <c r="V710" i="2"/>
  <c r="V160" i="13" s="1"/>
  <c r="L763" i="2"/>
  <c r="L792" i="2" s="1"/>
  <c r="O763" i="2"/>
  <c r="O792" i="2" s="1"/>
  <c r="M763" i="2"/>
  <c r="M792" i="2" s="1"/>
  <c r="P763" i="2"/>
  <c r="P792" i="2" s="1"/>
  <c r="Q763" i="2"/>
  <c r="Q792" i="2" s="1"/>
  <c r="R314" i="2"/>
  <c r="R24" i="13" s="1"/>
  <c r="AC314" i="2"/>
  <c r="AC24" i="13" s="1"/>
  <c r="U314" i="2"/>
  <c r="U24" i="13" s="1"/>
  <c r="S314" i="2"/>
  <c r="S24" i="13" s="1"/>
  <c r="L314" i="2"/>
  <c r="L24" i="13" s="1"/>
  <c r="X314" i="2"/>
  <c r="X24" i="13" s="1"/>
  <c r="T314" i="2"/>
  <c r="T24" i="13" s="1"/>
  <c r="AA314" i="2"/>
  <c r="AA24" i="13" s="1"/>
  <c r="P314" i="2"/>
  <c r="P24" i="13" s="1"/>
  <c r="N367" i="2"/>
  <c r="N396" i="2" s="1"/>
  <c r="Z314" i="2"/>
  <c r="Z24" i="13" s="1"/>
  <c r="O367" i="2"/>
  <c r="O396" i="2" s="1"/>
  <c r="O964" i="8" s="1"/>
  <c r="O965" i="8" s="1"/>
  <c r="M367" i="2"/>
  <c r="M396" i="2" s="1"/>
  <c r="M964" i="8" s="1"/>
  <c r="M965" i="8" s="1"/>
  <c r="AB314" i="2"/>
  <c r="AB24" i="13" s="1"/>
  <c r="N314" i="2"/>
  <c r="N24" i="13" s="1"/>
  <c r="O314" i="2"/>
  <c r="O24" i="13" s="1"/>
  <c r="M314" i="2"/>
  <c r="M24" i="13" s="1"/>
  <c r="AD314" i="2"/>
  <c r="AD24" i="13" s="1"/>
  <c r="V314" i="2"/>
  <c r="V24" i="13" s="1"/>
  <c r="Y314" i="2"/>
  <c r="Y24" i="13" s="1"/>
  <c r="AE314" i="2"/>
  <c r="AE24" i="13" s="1"/>
  <c r="Q314" i="2"/>
  <c r="Q24" i="13" s="1"/>
  <c r="W314" i="2"/>
  <c r="W24" i="13" s="1"/>
  <c r="P367" i="2"/>
  <c r="P396" i="2" s="1"/>
  <c r="P964" i="8" s="1"/>
  <c r="P965" i="8" s="1"/>
  <c r="L367" i="2"/>
  <c r="L396" i="2" s="1"/>
  <c r="L964" i="8" s="1"/>
  <c r="L965" i="8" s="1"/>
  <c r="Q367" i="2"/>
  <c r="Q396" i="2" s="1"/>
  <c r="Q964" i="8" s="1"/>
  <c r="Q965" i="8" s="1"/>
  <c r="T261" i="2"/>
  <c r="R312" i="2"/>
  <c r="R22" i="13" s="1"/>
  <c r="L312" i="2"/>
  <c r="L22" i="13" s="1"/>
  <c r="T312" i="2"/>
  <c r="T22" i="13" s="1"/>
  <c r="S312" i="2"/>
  <c r="S22" i="13" s="1"/>
  <c r="AC312" i="2"/>
  <c r="AC22" i="13" s="1"/>
  <c r="X312" i="2"/>
  <c r="X22" i="13" s="1"/>
  <c r="P312" i="2"/>
  <c r="P22" i="13" s="1"/>
  <c r="AE312" i="2"/>
  <c r="AE22" i="13" s="1"/>
  <c r="Q312" i="2"/>
  <c r="Q22" i="13" s="1"/>
  <c r="Y312" i="2"/>
  <c r="Y22" i="13" s="1"/>
  <c r="W312" i="2"/>
  <c r="W22" i="13" s="1"/>
  <c r="AD312" i="2"/>
  <c r="AD22" i="13" s="1"/>
  <c r="Z312" i="2"/>
  <c r="Z22" i="13" s="1"/>
  <c r="AA312" i="2"/>
  <c r="AA22" i="13" s="1"/>
  <c r="N365" i="2"/>
  <c r="N394" i="2" s="1"/>
  <c r="AB312" i="2"/>
  <c r="AB22" i="13" s="1"/>
  <c r="N312" i="2"/>
  <c r="N22" i="13" s="1"/>
  <c r="U312" i="2"/>
  <c r="U22" i="13" s="1"/>
  <c r="O365" i="2"/>
  <c r="O394" i="2" s="1"/>
  <c r="V312" i="2"/>
  <c r="V22" i="13" s="1"/>
  <c r="O312" i="2"/>
  <c r="O22" i="13" s="1"/>
  <c r="M312" i="2"/>
  <c r="M22" i="13" s="1"/>
  <c r="P365" i="2"/>
  <c r="P394" i="2" s="1"/>
  <c r="M365" i="2"/>
  <c r="M394" i="2" s="1"/>
  <c r="L365" i="2"/>
  <c r="L394" i="2" s="1"/>
  <c r="Q365" i="2"/>
  <c r="Q394" i="2" s="1"/>
  <c r="R365" i="2"/>
  <c r="R394" i="2" s="1"/>
  <c r="V368" i="2"/>
  <c r="V884" i="8" s="1"/>
  <c r="V885" i="8" s="1"/>
  <c r="T798" i="2"/>
  <c r="T1372" i="8" s="1"/>
  <c r="T1373" i="8" s="1"/>
  <c r="S363" i="2"/>
  <c r="S864" i="8" s="1"/>
  <c r="S865" i="8" s="1"/>
  <c r="T767" i="2"/>
  <c r="T1280" i="8" s="1"/>
  <c r="T1281" i="8" s="1"/>
  <c r="T363" i="2"/>
  <c r="W713" i="2"/>
  <c r="W163" i="13" s="1"/>
  <c r="AE713" i="2"/>
  <c r="AE163" i="13" s="1"/>
  <c r="R713" i="2"/>
  <c r="R163" i="13" s="1"/>
  <c r="Q713" i="2"/>
  <c r="Q163" i="13" s="1"/>
  <c r="S713" i="2"/>
  <c r="S163" i="13" s="1"/>
  <c r="AB713" i="2"/>
  <c r="AB163" i="13" s="1"/>
  <c r="T713" i="2"/>
  <c r="T163" i="13" s="1"/>
  <c r="AA713" i="2"/>
  <c r="AA163" i="13" s="1"/>
  <c r="M713" i="2"/>
  <c r="M163" i="13" s="1"/>
  <c r="V713" i="2"/>
  <c r="V163" i="13" s="1"/>
  <c r="O766" i="2"/>
  <c r="O795" i="2" s="1"/>
  <c r="O1360" i="8" s="1"/>
  <c r="O1361" i="8" s="1"/>
  <c r="P713" i="2"/>
  <c r="P163" i="13" s="1"/>
  <c r="L713" i="2"/>
  <c r="L163" i="13" s="1"/>
  <c r="X713" i="2"/>
  <c r="X163" i="13" s="1"/>
  <c r="O713" i="2"/>
  <c r="O163" i="13" s="1"/>
  <c r="N713" i="2"/>
  <c r="N163" i="13" s="1"/>
  <c r="U713" i="2"/>
  <c r="U163" i="13" s="1"/>
  <c r="AC713" i="2"/>
  <c r="AC163" i="13" s="1"/>
  <c r="Y713" i="2"/>
  <c r="Y163" i="13" s="1"/>
  <c r="AD713" i="2"/>
  <c r="AD163" i="13" s="1"/>
  <c r="Z713" i="2"/>
  <c r="Z163" i="13" s="1"/>
  <c r="M766" i="2"/>
  <c r="M795" i="2" s="1"/>
  <c r="M1360" i="8" s="1"/>
  <c r="M1361" i="8" s="1"/>
  <c r="N766" i="2"/>
  <c r="N795" i="2" s="1"/>
  <c r="N1360" i="8" s="1"/>
  <c r="N1361" i="8" s="1"/>
  <c r="P766" i="2"/>
  <c r="P795" i="2" s="1"/>
  <c r="P1360" i="8" s="1"/>
  <c r="P1361" i="8" s="1"/>
  <c r="Q766" i="2"/>
  <c r="Q795" i="2" s="1"/>
  <c r="Q1360" i="8" s="1"/>
  <c r="Q1361" i="8" s="1"/>
  <c r="L766" i="2"/>
  <c r="L795" i="2" s="1"/>
  <c r="L1360" i="8" s="1"/>
  <c r="L1361" i="8" s="1"/>
  <c r="R766" i="2"/>
  <c r="R795" i="2" s="1"/>
  <c r="S714" i="2"/>
  <c r="S164" i="13" s="1"/>
  <c r="Q714" i="2"/>
  <c r="Q164" i="13" s="1"/>
  <c r="R714" i="2"/>
  <c r="R164" i="13" s="1"/>
  <c r="AB714" i="2"/>
  <c r="AB164" i="13" s="1"/>
  <c r="AE714" i="2"/>
  <c r="AE164" i="13" s="1"/>
  <c r="W714" i="2"/>
  <c r="W164" i="13" s="1"/>
  <c r="T714" i="2"/>
  <c r="T164" i="13" s="1"/>
  <c r="Y714" i="2"/>
  <c r="Y164" i="13" s="1"/>
  <c r="Z714" i="2"/>
  <c r="Z164" i="13" s="1"/>
  <c r="P714" i="2"/>
  <c r="P164" i="13" s="1"/>
  <c r="X714" i="2"/>
  <c r="X164" i="13" s="1"/>
  <c r="O714" i="2"/>
  <c r="O164" i="13" s="1"/>
  <c r="M767" i="2"/>
  <c r="M796" i="2" s="1"/>
  <c r="N767" i="2"/>
  <c r="N796" i="2" s="1"/>
  <c r="U714" i="2"/>
  <c r="U164" i="13" s="1"/>
  <c r="AC714" i="2"/>
  <c r="AC164" i="13" s="1"/>
  <c r="AD714" i="2"/>
  <c r="AD164" i="13" s="1"/>
  <c r="O767" i="2"/>
  <c r="O796" i="2" s="1"/>
  <c r="V714" i="2"/>
  <c r="V164" i="13" s="1"/>
  <c r="N714" i="2"/>
  <c r="N164" i="13" s="1"/>
  <c r="AA714" i="2"/>
  <c r="AA164" i="13" s="1"/>
  <c r="L714" i="2"/>
  <c r="L164" i="13" s="1"/>
  <c r="M714" i="2"/>
  <c r="M164" i="13" s="1"/>
  <c r="P767" i="2"/>
  <c r="P796" i="2" s="1"/>
  <c r="Q767" i="2"/>
  <c r="Q796" i="2" s="1"/>
  <c r="L767" i="2"/>
  <c r="L796" i="2" s="1"/>
  <c r="R767" i="2"/>
  <c r="R796" i="2" s="1"/>
  <c r="T658" i="2"/>
  <c r="AB715" i="2"/>
  <c r="AB165" i="13" s="1"/>
  <c r="AE715" i="2"/>
  <c r="AE165" i="13" s="1"/>
  <c r="W715" i="2"/>
  <c r="W165" i="13" s="1"/>
  <c r="Q715" i="2"/>
  <c r="Q165" i="13" s="1"/>
  <c r="S715" i="2"/>
  <c r="S165" i="13" s="1"/>
  <c r="R715" i="2"/>
  <c r="R165" i="13" s="1"/>
  <c r="P715" i="2"/>
  <c r="P165" i="13" s="1"/>
  <c r="X715" i="2"/>
  <c r="X165" i="13" s="1"/>
  <c r="U715" i="2"/>
  <c r="U165" i="13" s="1"/>
  <c r="L715" i="2"/>
  <c r="L165" i="13" s="1"/>
  <c r="N715" i="2"/>
  <c r="N165" i="13" s="1"/>
  <c r="AD715" i="2"/>
  <c r="AD165" i="13" s="1"/>
  <c r="Z715" i="2"/>
  <c r="Z165" i="13" s="1"/>
  <c r="AA715" i="2"/>
  <c r="AA165" i="13" s="1"/>
  <c r="O715" i="2"/>
  <c r="O165" i="13" s="1"/>
  <c r="M715" i="2"/>
  <c r="M165" i="13" s="1"/>
  <c r="Y715" i="2"/>
  <c r="Y165" i="13" s="1"/>
  <c r="AC715" i="2"/>
  <c r="AC165" i="13" s="1"/>
  <c r="V715" i="2"/>
  <c r="V165" i="13" s="1"/>
  <c r="N768" i="2"/>
  <c r="N797" i="2" s="1"/>
  <c r="M768" i="2"/>
  <c r="M797" i="2" s="1"/>
  <c r="T715" i="2"/>
  <c r="T165" i="13" s="1"/>
  <c r="O768" i="2"/>
  <c r="O797" i="2" s="1"/>
  <c r="L768" i="2"/>
  <c r="L797" i="2" s="1"/>
  <c r="P768" i="2"/>
  <c r="P797" i="2" s="1"/>
  <c r="Q768" i="2"/>
  <c r="Q797" i="2" s="1"/>
  <c r="U368" i="2"/>
  <c r="T762" i="2"/>
  <c r="T258" i="2"/>
  <c r="S367" i="2"/>
  <c r="S880" i="8" s="1"/>
  <c r="S881" i="8" s="1"/>
  <c r="W709" i="2"/>
  <c r="W159" i="13" s="1"/>
  <c r="S709" i="2"/>
  <c r="S159" i="13" s="1"/>
  <c r="Q709" i="2"/>
  <c r="Q159" i="13" s="1"/>
  <c r="AB709" i="2"/>
  <c r="AB159" i="13" s="1"/>
  <c r="T709" i="2"/>
  <c r="T159" i="13" s="1"/>
  <c r="Q660" i="2"/>
  <c r="R709" i="2"/>
  <c r="R159" i="13" s="1"/>
  <c r="AE709" i="2"/>
  <c r="AE159" i="13" s="1"/>
  <c r="L762" i="2"/>
  <c r="V709" i="2"/>
  <c r="V159" i="13" s="1"/>
  <c r="M659" i="2"/>
  <c r="M660" i="2"/>
  <c r="U709" i="2"/>
  <c r="U159" i="13" s="1"/>
  <c r="AA709" i="2"/>
  <c r="AA159" i="13" s="1"/>
  <c r="M709" i="2"/>
  <c r="M159" i="13" s="1"/>
  <c r="P709" i="2"/>
  <c r="P159" i="13" s="1"/>
  <c r="L709" i="2"/>
  <c r="L159" i="13" s="1"/>
  <c r="X709" i="2"/>
  <c r="X159" i="13" s="1"/>
  <c r="O709" i="2"/>
  <c r="O159" i="13" s="1"/>
  <c r="N709" i="2"/>
  <c r="N159" i="13" s="1"/>
  <c r="P660" i="2"/>
  <c r="L660" i="2"/>
  <c r="O660" i="2"/>
  <c r="Y709" i="2"/>
  <c r="Y159" i="13" s="1"/>
  <c r="AD709" i="2"/>
  <c r="AD159" i="13" s="1"/>
  <c r="N660" i="2"/>
  <c r="P659" i="2"/>
  <c r="L659" i="2"/>
  <c r="AC709" i="2"/>
  <c r="AC159" i="13" s="1"/>
  <c r="O659" i="2"/>
  <c r="N659" i="2"/>
  <c r="Z709" i="2"/>
  <c r="Z159" i="13" s="1"/>
  <c r="M762" i="2"/>
  <c r="O762" i="2"/>
  <c r="N762" i="2"/>
  <c r="P762" i="2"/>
  <c r="Q659" i="2"/>
  <c r="S660" i="2"/>
  <c r="R762" i="2"/>
  <c r="Q762" i="2"/>
  <c r="R659" i="2"/>
  <c r="S659" i="2"/>
  <c r="R781" i="2"/>
  <c r="T364" i="2"/>
  <c r="T393" i="2" s="1"/>
  <c r="T660" i="2"/>
  <c r="S711" i="2"/>
  <c r="S161" i="13" s="1"/>
  <c r="R711" i="2"/>
  <c r="R161" i="13" s="1"/>
  <c r="Q711" i="2"/>
  <c r="Q161" i="13" s="1"/>
  <c r="W711" i="2"/>
  <c r="W161" i="13" s="1"/>
  <c r="AB711" i="2"/>
  <c r="AB161" i="13" s="1"/>
  <c r="T711" i="2"/>
  <c r="T161" i="13" s="1"/>
  <c r="P711" i="2"/>
  <c r="P161" i="13" s="1"/>
  <c r="N711" i="2"/>
  <c r="N161" i="13" s="1"/>
  <c r="U711" i="2"/>
  <c r="U161" i="13" s="1"/>
  <c r="L711" i="2"/>
  <c r="L161" i="13" s="1"/>
  <c r="O711" i="2"/>
  <c r="O161" i="13" s="1"/>
  <c r="AA711" i="2"/>
  <c r="AA161" i="13" s="1"/>
  <c r="M711" i="2"/>
  <c r="M161" i="13" s="1"/>
  <c r="AD711" i="2"/>
  <c r="AD161" i="13" s="1"/>
  <c r="AC711" i="2"/>
  <c r="AC161" i="13" s="1"/>
  <c r="Z711" i="2"/>
  <c r="Z161" i="13" s="1"/>
  <c r="V711" i="2"/>
  <c r="V161" i="13" s="1"/>
  <c r="Y711" i="2"/>
  <c r="Y161" i="13" s="1"/>
  <c r="N764" i="2"/>
  <c r="N793" i="2" s="1"/>
  <c r="X711" i="2"/>
  <c r="X161" i="13" s="1"/>
  <c r="M764" i="2"/>
  <c r="M793" i="2" s="1"/>
  <c r="AE711" i="2"/>
  <c r="AE161" i="13" s="1"/>
  <c r="O764" i="2"/>
  <c r="O793" i="2" s="1"/>
  <c r="L764" i="2"/>
  <c r="L793" i="2" s="1"/>
  <c r="P764" i="2"/>
  <c r="P793" i="2" s="1"/>
  <c r="Q764" i="2"/>
  <c r="Q793" i="2" s="1"/>
  <c r="S766" i="2"/>
  <c r="S795" i="2" s="1"/>
  <c r="T259" i="2"/>
  <c r="S764" i="2"/>
  <c r="X316" i="2"/>
  <c r="X26" i="13" s="1"/>
  <c r="R316" i="2"/>
  <c r="R26" i="13" s="1"/>
  <c r="T316" i="2"/>
  <c r="T26" i="13" s="1"/>
  <c r="U316" i="2"/>
  <c r="U26" i="13" s="1"/>
  <c r="AC316" i="2"/>
  <c r="AC26" i="13" s="1"/>
  <c r="L316" i="2"/>
  <c r="L26" i="13" s="1"/>
  <c r="M316" i="2"/>
  <c r="M26" i="13" s="1"/>
  <c r="AE316" i="2"/>
  <c r="AE26" i="13" s="1"/>
  <c r="AB316" i="2"/>
  <c r="AB26" i="13" s="1"/>
  <c r="N316" i="2"/>
  <c r="N26" i="13" s="1"/>
  <c r="Q316" i="2"/>
  <c r="Q26" i="13" s="1"/>
  <c r="Y316" i="2"/>
  <c r="Y26" i="13" s="1"/>
  <c r="AD316" i="2"/>
  <c r="AD26" i="13" s="1"/>
  <c r="W316" i="2"/>
  <c r="W26" i="13" s="1"/>
  <c r="S316" i="2"/>
  <c r="S26" i="13" s="1"/>
  <c r="AA316" i="2"/>
  <c r="AA26" i="13" s="1"/>
  <c r="Z316" i="2"/>
  <c r="Z26" i="13" s="1"/>
  <c r="P316" i="2"/>
  <c r="P26" i="13" s="1"/>
  <c r="O316" i="2"/>
  <c r="O26" i="13" s="1"/>
  <c r="V316" i="2"/>
  <c r="V26" i="13" s="1"/>
  <c r="M369" i="2"/>
  <c r="M398" i="2" s="1"/>
  <c r="O369" i="2"/>
  <c r="O398" i="2" s="1"/>
  <c r="L369" i="2"/>
  <c r="L398" i="2" s="1"/>
  <c r="N369" i="2"/>
  <c r="N398" i="2" s="1"/>
  <c r="P369" i="2"/>
  <c r="P398" i="2" s="1"/>
  <c r="Q369" i="2"/>
  <c r="Q398" i="2" s="1"/>
  <c r="S762" i="2"/>
  <c r="S1260" i="8" s="1"/>
  <c r="S1261" i="8" s="1"/>
  <c r="R360" i="2"/>
  <c r="R860" i="8" s="1"/>
  <c r="R861" i="8" s="1"/>
  <c r="T657" i="2"/>
  <c r="T892" i="8"/>
  <c r="T893" i="8" s="1"/>
  <c r="T756" i="2"/>
  <c r="T1244" i="8" s="1"/>
  <c r="T1245" i="8" s="1"/>
  <c r="S752" i="2"/>
  <c r="S1228" i="8" s="1"/>
  <c r="S1229" i="8" s="1"/>
  <c r="U758" i="2"/>
  <c r="U775" i="2" s="1"/>
  <c r="U1304" i="8" s="1"/>
  <c r="U1305" i="8" s="1"/>
  <c r="S753" i="2"/>
  <c r="T354" i="2"/>
  <c r="T836" i="8" s="1"/>
  <c r="T837" i="8" s="1"/>
  <c r="T755" i="2"/>
  <c r="V357" i="2"/>
  <c r="V848" i="8" s="1"/>
  <c r="V849" i="8" s="1"/>
  <c r="S358" i="2"/>
  <c r="S356" i="2"/>
  <c r="S844" i="8" s="1"/>
  <c r="S845" i="8" s="1"/>
  <c r="L1316" i="8"/>
  <c r="L1317" i="8" s="1"/>
  <c r="U353" i="2"/>
  <c r="T359" i="2"/>
  <c r="T399" i="2" s="1"/>
  <c r="Q1256" i="8"/>
  <c r="Q1257" i="8" s="1"/>
  <c r="P920" i="8"/>
  <c r="P921" i="8" s="1"/>
  <c r="S355" i="2"/>
  <c r="S395" i="2" s="1"/>
  <c r="T751" i="2"/>
  <c r="S757" i="2"/>
  <c r="L920" i="8"/>
  <c r="L921" i="8" s="1"/>
  <c r="T352" i="2"/>
  <c r="Q860" i="8"/>
  <c r="Q861" i="8" s="1"/>
  <c r="P1316" i="8"/>
  <c r="P1317" i="8" s="1"/>
  <c r="S754" i="2"/>
  <c r="S794" i="2" s="1"/>
  <c r="R389" i="2"/>
  <c r="R940" i="8" s="1"/>
  <c r="R941" i="8" s="1"/>
  <c r="F504" i="8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N964" i="8"/>
  <c r="N965" i="8" s="1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772" i="8"/>
  <c r="S773" i="8" s="1"/>
  <c r="T345" i="2"/>
  <c r="T367" i="2" s="1"/>
  <c r="T612" i="8"/>
  <c r="T613" i="8" s="1"/>
  <c r="U280" i="2"/>
  <c r="T334" i="2"/>
  <c r="T996" i="8"/>
  <c r="T997" i="8" s="1"/>
  <c r="U676" i="2"/>
  <c r="T741" i="2"/>
  <c r="T763" i="2" s="1"/>
  <c r="T730" i="2"/>
  <c r="T1004" i="8"/>
  <c r="T1005" i="8" s="1"/>
  <c r="T743" i="2"/>
  <c r="T765" i="2" s="1"/>
  <c r="U678" i="2"/>
  <c r="U235" i="13" s="1"/>
  <c r="T732" i="2"/>
  <c r="S804" i="8"/>
  <c r="S805" i="8" s="1"/>
  <c r="S1164" i="8"/>
  <c r="S1165" i="8" s="1"/>
  <c r="S1192" i="8"/>
  <c r="S1193" i="8" s="1"/>
  <c r="U1180" i="8"/>
  <c r="U1181" i="8" s="1"/>
  <c r="S1200" i="8"/>
  <c r="S1201" i="8" s="1"/>
  <c r="S1272" i="8"/>
  <c r="S1273" i="8" s="1"/>
  <c r="S768" i="8"/>
  <c r="S769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S1156" i="8"/>
  <c r="S1157" i="8" s="1"/>
  <c r="T1000" i="8"/>
  <c r="T1001" i="8" s="1"/>
  <c r="T731" i="2"/>
  <c r="U677" i="2"/>
  <c r="T742" i="2"/>
  <c r="T764" i="2" s="1"/>
  <c r="S387" i="2"/>
  <c r="S932" i="8" s="1"/>
  <c r="S933" i="8" s="1"/>
  <c r="U796" i="8"/>
  <c r="U797" i="8" s="1"/>
  <c r="U624" i="8"/>
  <c r="U625" i="8" s="1"/>
  <c r="U337" i="2"/>
  <c r="U348" i="2"/>
  <c r="U370" i="2" s="1"/>
  <c r="V283" i="2"/>
  <c r="V110" i="13" s="1"/>
  <c r="V111" i="13" s="1"/>
  <c r="R1228" i="8"/>
  <c r="R1229" i="8" s="1"/>
  <c r="R774" i="2"/>
  <c r="R1300" i="8" s="1"/>
  <c r="R1301" i="8" s="1"/>
  <c r="V600" i="8"/>
  <c r="V601" i="8" s="1"/>
  <c r="W277" i="2"/>
  <c r="V342" i="2"/>
  <c r="V364" i="2" s="1"/>
  <c r="V331" i="2"/>
  <c r="T1172" i="8"/>
  <c r="T1173" i="8" s="1"/>
  <c r="T620" i="8"/>
  <c r="T621" i="8" s="1"/>
  <c r="U282" i="2"/>
  <c r="T347" i="2"/>
  <c r="T369" i="2" s="1"/>
  <c r="T336" i="2"/>
  <c r="S338" i="2"/>
  <c r="S788" i="8" s="1"/>
  <c r="S789" i="8" s="1"/>
  <c r="S1176" i="8"/>
  <c r="S1177" i="8" s="1"/>
  <c r="S816" i="8"/>
  <c r="S817" i="8" s="1"/>
  <c r="R759" i="2"/>
  <c r="T1208" i="8"/>
  <c r="T1209" i="8" s="1"/>
  <c r="T800" i="8"/>
  <c r="T801" i="8" s="1"/>
  <c r="S349" i="2"/>
  <c r="S824" i="8" s="1"/>
  <c r="S825" i="8" s="1"/>
  <c r="S1196" i="8"/>
  <c r="S1197" i="8" s="1"/>
  <c r="T784" i="8"/>
  <c r="T785" i="8" s="1"/>
  <c r="S780" i="8"/>
  <c r="S781" i="8" s="1"/>
  <c r="R773" i="2"/>
  <c r="U1012" i="8"/>
  <c r="U1013" i="8" s="1"/>
  <c r="V680" i="2"/>
  <c r="U745" i="2"/>
  <c r="U767" i="2" s="1"/>
  <c r="U734" i="2"/>
  <c r="T764" i="8"/>
  <c r="T765" i="8" s="1"/>
  <c r="T756" i="8"/>
  <c r="T757" i="8" s="1"/>
  <c r="S828" i="8"/>
  <c r="S829" i="8" s="1"/>
  <c r="V1020" i="8"/>
  <c r="V1021" i="8" s="1"/>
  <c r="W682" i="2"/>
  <c r="W249" i="13" s="1"/>
  <c r="V747" i="2"/>
  <c r="V769" i="2" s="1"/>
  <c r="V736" i="2"/>
  <c r="U1008" i="8"/>
  <c r="U1009" i="8" s="1"/>
  <c r="U733" i="2"/>
  <c r="U744" i="2"/>
  <c r="U766" i="2" s="1"/>
  <c r="V679" i="2"/>
  <c r="Q1296" i="8"/>
  <c r="Q1297" i="8" s="1"/>
  <c r="Q778" i="2"/>
  <c r="U604" i="8"/>
  <c r="U605" i="8" s="1"/>
  <c r="V278" i="2"/>
  <c r="U332" i="2"/>
  <c r="U343" i="2"/>
  <c r="U365" i="2" s="1"/>
  <c r="V812" i="8"/>
  <c r="V813" i="8" s="1"/>
  <c r="U596" i="8"/>
  <c r="U597" i="8" s="1"/>
  <c r="U341" i="2"/>
  <c r="U330" i="2"/>
  <c r="V276" i="2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T608" i="8"/>
  <c r="T609" i="8" s="1"/>
  <c r="T333" i="2"/>
  <c r="T344" i="2"/>
  <c r="T366" i="2" s="1"/>
  <c r="U279" i="2"/>
  <c r="U96" i="13" s="1"/>
  <c r="U97" i="13" s="1"/>
  <c r="T1168" i="8"/>
  <c r="T1169" i="8" s="1"/>
  <c r="W616" i="8"/>
  <c r="W617" i="8" s="1"/>
  <c r="W346" i="2"/>
  <c r="W368" i="2" s="1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T768" i="2" s="1"/>
  <c r="V250" i="13" l="1"/>
  <c r="V258" i="13" s="1"/>
  <c r="Q53" i="13"/>
  <c r="Q63" i="13" s="1"/>
  <c r="U196" i="13"/>
  <c r="U206" i="13" s="1"/>
  <c r="L196" i="13"/>
  <c r="L206" i="13" s="1"/>
  <c r="S196" i="13"/>
  <c r="S206" i="13" s="1"/>
  <c r="N57" i="13"/>
  <c r="N67" i="13" s="1"/>
  <c r="U250" i="13"/>
  <c r="U258" i="13" s="1"/>
  <c r="T236" i="13"/>
  <c r="T1541" i="8" s="1"/>
  <c r="S192" i="13"/>
  <c r="S202" i="13" s="1"/>
  <c r="P57" i="13"/>
  <c r="P67" i="13" s="1"/>
  <c r="O53" i="13"/>
  <c r="O63" i="13" s="1"/>
  <c r="S797" i="2"/>
  <c r="S1368" i="8" s="1"/>
  <c r="S1369" i="8" s="1"/>
  <c r="R250" i="13"/>
  <c r="R256" i="13" s="1"/>
  <c r="L192" i="13"/>
  <c r="L202" i="13" s="1"/>
  <c r="Q250" i="13"/>
  <c r="Q252" i="13" s="1"/>
  <c r="Q236" i="13"/>
  <c r="Q244" i="13" s="1"/>
  <c r="S236" i="13"/>
  <c r="S240" i="13" s="1"/>
  <c r="R53" i="13"/>
  <c r="R63" i="13" s="1"/>
  <c r="Q57" i="13"/>
  <c r="Q67" i="13" s="1"/>
  <c r="S57" i="13"/>
  <c r="S67" i="13" s="1"/>
  <c r="O57" i="13"/>
  <c r="O67" i="13" s="1"/>
  <c r="S53" i="13"/>
  <c r="S63" i="13" s="1"/>
  <c r="U98" i="13"/>
  <c r="U106" i="13"/>
  <c r="U101" i="13"/>
  <c r="U100" i="13"/>
  <c r="U102" i="13"/>
  <c r="U105" i="13"/>
  <c r="U104" i="13"/>
  <c r="U99" i="13"/>
  <c r="U103" i="13"/>
  <c r="V114" i="13"/>
  <c r="V117" i="13"/>
  <c r="V112" i="13"/>
  <c r="V116" i="13"/>
  <c r="V113" i="13"/>
  <c r="V115" i="13"/>
  <c r="V120" i="13"/>
  <c r="V119" i="13"/>
  <c r="V118" i="13"/>
  <c r="P118" i="13"/>
  <c r="P119" i="13"/>
  <c r="P115" i="13"/>
  <c r="P112" i="13"/>
  <c r="P113" i="13"/>
  <c r="P114" i="13"/>
  <c r="P116" i="13"/>
  <c r="P120" i="13"/>
  <c r="P117" i="13"/>
  <c r="AE46" i="13"/>
  <c r="U181" i="13"/>
  <c r="U211" i="13" s="1"/>
  <c r="AA185" i="13"/>
  <c r="U184" i="13"/>
  <c r="U214" i="13" s="1"/>
  <c r="S184" i="13"/>
  <c r="S214" i="13" s="1"/>
  <c r="X183" i="13"/>
  <c r="U42" i="13"/>
  <c r="U72" i="13" s="1"/>
  <c r="S42" i="13"/>
  <c r="S72" i="13" s="1"/>
  <c r="M124" i="13"/>
  <c r="M125" i="13" s="1"/>
  <c r="M44" i="13"/>
  <c r="M74" i="13" s="1"/>
  <c r="U124" i="13"/>
  <c r="U125" i="13" s="1"/>
  <c r="U44" i="13"/>
  <c r="U74" i="13" s="1"/>
  <c r="P180" i="13"/>
  <c r="P210" i="13" s="1"/>
  <c r="AB180" i="13"/>
  <c r="S41" i="13"/>
  <c r="S71" i="13" s="1"/>
  <c r="T82" i="13"/>
  <c r="T83" i="13" s="1"/>
  <c r="T40" i="13"/>
  <c r="M45" i="13"/>
  <c r="M75" i="13" s="1"/>
  <c r="R45" i="13"/>
  <c r="R75" i="13" s="1"/>
  <c r="Q104" i="13"/>
  <c r="Q105" i="13"/>
  <c r="Q106" i="13"/>
  <c r="Q98" i="13"/>
  <c r="Q103" i="13"/>
  <c r="Q102" i="13"/>
  <c r="Q101" i="13"/>
  <c r="Q100" i="13"/>
  <c r="Q99" i="13"/>
  <c r="L1541" i="8"/>
  <c r="L242" i="13"/>
  <c r="L238" i="13"/>
  <c r="L240" i="13"/>
  <c r="L237" i="13"/>
  <c r="L243" i="13"/>
  <c r="L239" i="13"/>
  <c r="L241" i="13"/>
  <c r="L244" i="13"/>
  <c r="L245" i="13"/>
  <c r="M57" i="13"/>
  <c r="M67" i="13" s="1"/>
  <c r="T106" i="13"/>
  <c r="T99" i="13"/>
  <c r="T102" i="13"/>
  <c r="T105" i="13"/>
  <c r="T104" i="13"/>
  <c r="T98" i="13"/>
  <c r="T100" i="13"/>
  <c r="T103" i="13"/>
  <c r="T101" i="13"/>
  <c r="M46" i="13"/>
  <c r="M76" i="13" s="1"/>
  <c r="AE181" i="13"/>
  <c r="AE191" i="13" s="1"/>
  <c r="AE201" i="13" s="1"/>
  <c r="N181" i="13"/>
  <c r="N211" i="13" s="1"/>
  <c r="AD179" i="13"/>
  <c r="Z185" i="13"/>
  <c r="L263" i="13"/>
  <c r="L264" i="13" s="1"/>
  <c r="L183" i="13"/>
  <c r="L213" i="13" s="1"/>
  <c r="N42" i="13"/>
  <c r="N72" i="13" s="1"/>
  <c r="T42" i="13"/>
  <c r="T72" i="13" s="1"/>
  <c r="O124" i="13"/>
  <c r="O125" i="13" s="1"/>
  <c r="O44" i="13"/>
  <c r="O74" i="13" s="1"/>
  <c r="AC44" i="13"/>
  <c r="AC54" i="13" s="1"/>
  <c r="AC64" i="13" s="1"/>
  <c r="Z180" i="13"/>
  <c r="W41" i="13"/>
  <c r="W71" i="13" s="1"/>
  <c r="L41" i="13"/>
  <c r="L71" i="13" s="1"/>
  <c r="X40" i="13"/>
  <c r="X45" i="13"/>
  <c r="X75" i="13" s="1"/>
  <c r="P1541" i="8"/>
  <c r="P242" i="13"/>
  <c r="P243" i="13"/>
  <c r="P241" i="13"/>
  <c r="P240" i="13"/>
  <c r="P238" i="13"/>
  <c r="P239" i="13"/>
  <c r="P244" i="13"/>
  <c r="P245" i="13"/>
  <c r="P237" i="13"/>
  <c r="M118" i="13"/>
  <c r="M112" i="13"/>
  <c r="M120" i="13"/>
  <c r="M113" i="13"/>
  <c r="M115" i="13"/>
  <c r="M117" i="13"/>
  <c r="M116" i="13"/>
  <c r="M119" i="13"/>
  <c r="M114" i="13"/>
  <c r="T53" i="13"/>
  <c r="T63" i="13" s="1"/>
  <c r="L57" i="13"/>
  <c r="L67" i="13" s="1"/>
  <c r="Q196" i="13"/>
  <c r="Q206" i="13" s="1"/>
  <c r="AE53" i="13"/>
  <c r="AE63" i="13" s="1"/>
  <c r="W192" i="13"/>
  <c r="W202" i="13" s="1"/>
  <c r="AB46" i="13"/>
  <c r="AB56" i="13" s="1"/>
  <c r="AB66" i="13" s="1"/>
  <c r="V46" i="13"/>
  <c r="L46" i="13"/>
  <c r="L76" i="13" s="1"/>
  <c r="P181" i="13"/>
  <c r="P211" i="13" s="1"/>
  <c r="Y179" i="13"/>
  <c r="V179" i="13"/>
  <c r="AD185" i="13"/>
  <c r="AD195" i="13" s="1"/>
  <c r="AD205" i="13" s="1"/>
  <c r="P263" i="13"/>
  <c r="P264" i="13" s="1"/>
  <c r="P183" i="13"/>
  <c r="P213" i="13" s="1"/>
  <c r="AB42" i="13"/>
  <c r="AB52" i="13" s="1"/>
  <c r="AB62" i="13" s="1"/>
  <c r="L42" i="13"/>
  <c r="L72" i="13" s="1"/>
  <c r="N124" i="13"/>
  <c r="N125" i="13" s="1"/>
  <c r="N44" i="13"/>
  <c r="N74" i="13" s="1"/>
  <c r="R124" i="13"/>
  <c r="R125" i="13" s="1"/>
  <c r="R44" i="13"/>
  <c r="R74" i="13" s="1"/>
  <c r="AC180" i="13"/>
  <c r="AE41" i="13"/>
  <c r="AE51" i="13" s="1"/>
  <c r="AE61" i="13" s="1"/>
  <c r="Q82" i="13"/>
  <c r="Q83" i="13" s="1"/>
  <c r="Q40" i="13"/>
  <c r="Q50" i="13" s="1"/>
  <c r="L82" i="13"/>
  <c r="L83" i="13" s="1"/>
  <c r="L40" i="13"/>
  <c r="AE45" i="13"/>
  <c r="AE55" i="13" s="1"/>
  <c r="AE65" i="13" s="1"/>
  <c r="U45" i="13"/>
  <c r="U75" i="13" s="1"/>
  <c r="U73" i="13"/>
  <c r="U95" i="13" s="1"/>
  <c r="S99" i="13"/>
  <c r="S98" i="13"/>
  <c r="S102" i="13"/>
  <c r="S106" i="13"/>
  <c r="S105" i="13"/>
  <c r="S103" i="13"/>
  <c r="S104" i="13"/>
  <c r="S101" i="13"/>
  <c r="S100" i="13"/>
  <c r="U259" i="13"/>
  <c r="U256" i="13"/>
  <c r="R1541" i="8"/>
  <c r="R243" i="13"/>
  <c r="R242" i="13"/>
  <c r="R241" i="13"/>
  <c r="R240" i="13"/>
  <c r="R244" i="13"/>
  <c r="R238" i="13"/>
  <c r="R239" i="13"/>
  <c r="R237" i="13"/>
  <c r="R245" i="13"/>
  <c r="L114" i="13"/>
  <c r="L119" i="13"/>
  <c r="L115" i="13"/>
  <c r="L112" i="13"/>
  <c r="L117" i="13"/>
  <c r="L113" i="13"/>
  <c r="M175" i="2" s="1"/>
  <c r="L118" i="13"/>
  <c r="L120" i="13"/>
  <c r="L116" i="13"/>
  <c r="AD41" i="13"/>
  <c r="AD51" i="13" s="1"/>
  <c r="AD61" i="13" s="1"/>
  <c r="U221" i="13"/>
  <c r="U179" i="13"/>
  <c r="U189" i="13" s="1"/>
  <c r="AB185" i="13"/>
  <c r="AB195" i="13" s="1"/>
  <c r="AB205" i="13" s="1"/>
  <c r="O263" i="13"/>
  <c r="O264" i="13" s="1"/>
  <c r="O183" i="13"/>
  <c r="O213" i="13" s="1"/>
  <c r="W183" i="13"/>
  <c r="AC42" i="13"/>
  <c r="AC52" i="13" s="1"/>
  <c r="AC62" i="13" s="1"/>
  <c r="S124" i="13"/>
  <c r="S125" i="13" s="1"/>
  <c r="S44" i="13"/>
  <c r="S74" i="13" s="1"/>
  <c r="Q180" i="13"/>
  <c r="Q210" i="13" s="1"/>
  <c r="X41" i="13"/>
  <c r="X51" i="13" s="1"/>
  <c r="X61" i="13" s="1"/>
  <c r="Q45" i="13"/>
  <c r="Q75" i="13" s="1"/>
  <c r="Z46" i="13"/>
  <c r="T46" i="13"/>
  <c r="T76" i="13" s="1"/>
  <c r="Y181" i="13"/>
  <c r="Y191" i="13" s="1"/>
  <c r="Y201" i="13" s="1"/>
  <c r="W181" i="13"/>
  <c r="W191" i="13" s="1"/>
  <c r="W201" i="13" s="1"/>
  <c r="R221" i="13"/>
  <c r="R179" i="13"/>
  <c r="R189" i="13" s="1"/>
  <c r="U185" i="13"/>
  <c r="U215" i="13" s="1"/>
  <c r="P184" i="13"/>
  <c r="P214" i="13" s="1"/>
  <c r="M263" i="13"/>
  <c r="M264" i="13" s="1"/>
  <c r="M183" i="13"/>
  <c r="M213" i="13" s="1"/>
  <c r="Z42" i="13"/>
  <c r="Z52" i="13" s="1"/>
  <c r="Z62" i="13" s="1"/>
  <c r="U180" i="13"/>
  <c r="U210" i="13" s="1"/>
  <c r="V41" i="13"/>
  <c r="V71" i="13" s="1"/>
  <c r="AE40" i="13"/>
  <c r="AA45" i="13"/>
  <c r="AA55" i="13" s="1"/>
  <c r="AA65" i="13" s="1"/>
  <c r="M1542" i="8"/>
  <c r="M257" i="13"/>
  <c r="M255" i="13"/>
  <c r="M254" i="13"/>
  <c r="M252" i="13"/>
  <c r="M259" i="13"/>
  <c r="M251" i="13"/>
  <c r="M258" i="13"/>
  <c r="M256" i="13"/>
  <c r="M253" i="13"/>
  <c r="W216" i="13"/>
  <c r="W248" i="13" s="1"/>
  <c r="W250" i="13" s="1"/>
  <c r="M53" i="13"/>
  <c r="M63" i="13" s="1"/>
  <c r="U212" i="13"/>
  <c r="U234" i="13" s="1"/>
  <c r="U236" i="13" s="1"/>
  <c r="P1542" i="8"/>
  <c r="P254" i="13"/>
  <c r="P253" i="13"/>
  <c r="P251" i="13"/>
  <c r="P255" i="13"/>
  <c r="P256" i="13"/>
  <c r="P259" i="13"/>
  <c r="P257" i="13"/>
  <c r="P258" i="13"/>
  <c r="P252" i="13"/>
  <c r="R57" i="13"/>
  <c r="R67" i="13" s="1"/>
  <c r="O185" i="13"/>
  <c r="O215" i="13" s="1"/>
  <c r="Q184" i="13"/>
  <c r="Q214" i="13" s="1"/>
  <c r="AD44" i="13"/>
  <c r="AD54" i="13" s="1"/>
  <c r="AD64" i="13" s="1"/>
  <c r="AD180" i="13"/>
  <c r="O41" i="13"/>
  <c r="O71" i="13" s="1"/>
  <c r="AA40" i="13"/>
  <c r="AA50" i="13" s="1"/>
  <c r="T45" i="13"/>
  <c r="T75" i="13" s="1"/>
  <c r="O46" i="13"/>
  <c r="O76" i="13" s="1"/>
  <c r="AC46" i="13"/>
  <c r="AC56" i="13" s="1"/>
  <c r="AC66" i="13" s="1"/>
  <c r="T181" i="13"/>
  <c r="T211" i="13" s="1"/>
  <c r="R42" i="13"/>
  <c r="R72" i="13" s="1"/>
  <c r="P46" i="13"/>
  <c r="P76" i="13" s="1"/>
  <c r="U46" i="13"/>
  <c r="U76" i="13" s="1"/>
  <c r="AB181" i="13"/>
  <c r="V183" i="13"/>
  <c r="V213" i="13" s="1"/>
  <c r="AA42" i="13"/>
  <c r="L180" i="13"/>
  <c r="L210" i="13" s="1"/>
  <c r="O82" i="13"/>
  <c r="O83" i="13" s="1"/>
  <c r="O40" i="13"/>
  <c r="O50" i="13" s="1"/>
  <c r="AD45" i="13"/>
  <c r="O101" i="13"/>
  <c r="O99" i="13"/>
  <c r="O105" i="13"/>
  <c r="O103" i="13"/>
  <c r="O106" i="13"/>
  <c r="O98" i="13"/>
  <c r="O100" i="13"/>
  <c r="O104" i="13"/>
  <c r="O102" i="13"/>
  <c r="U53" i="13"/>
  <c r="U63" i="13" s="1"/>
  <c r="M1541" i="8"/>
  <c r="M241" i="13"/>
  <c r="M237" i="13"/>
  <c r="M245" i="13"/>
  <c r="M243" i="13"/>
  <c r="M244" i="13"/>
  <c r="M242" i="13"/>
  <c r="M240" i="13"/>
  <c r="M238" i="13"/>
  <c r="M239" i="13"/>
  <c r="R112" i="13"/>
  <c r="R120" i="13"/>
  <c r="R115" i="13"/>
  <c r="R117" i="13"/>
  <c r="R119" i="13"/>
  <c r="R113" i="13"/>
  <c r="R114" i="13"/>
  <c r="R116" i="13"/>
  <c r="R118" i="13"/>
  <c r="Y196" i="13"/>
  <c r="Y206" i="13" s="1"/>
  <c r="AA46" i="13"/>
  <c r="R46" i="13"/>
  <c r="R76" i="13" s="1"/>
  <c r="V181" i="13"/>
  <c r="V191" i="13" s="1"/>
  <c r="V201" i="13" s="1"/>
  <c r="Q181" i="13"/>
  <c r="Q211" i="13" s="1"/>
  <c r="N221" i="13"/>
  <c r="N222" i="13" s="1"/>
  <c r="N179" i="13"/>
  <c r="T185" i="13"/>
  <c r="T215" i="13" s="1"/>
  <c r="X185" i="13"/>
  <c r="X195" i="13" s="1"/>
  <c r="X205" i="13" s="1"/>
  <c r="M184" i="13"/>
  <c r="M214" i="13" s="1"/>
  <c r="Z184" i="13"/>
  <c r="AA183" i="13"/>
  <c r="AD42" i="13"/>
  <c r="AD52" i="13" s="1"/>
  <c r="AD62" i="13" s="1"/>
  <c r="Z44" i="13"/>
  <c r="O180" i="13"/>
  <c r="O210" i="13" s="1"/>
  <c r="N41" i="13"/>
  <c r="N71" i="13" s="1"/>
  <c r="AA41" i="13"/>
  <c r="N82" i="13"/>
  <c r="N83" i="13" s="1"/>
  <c r="N40" i="13"/>
  <c r="V45" i="13"/>
  <c r="V75" i="13" s="1"/>
  <c r="T1542" i="8"/>
  <c r="T256" i="13"/>
  <c r="T252" i="13"/>
  <c r="T255" i="13"/>
  <c r="T259" i="13"/>
  <c r="T257" i="13"/>
  <c r="T253" i="13"/>
  <c r="T258" i="13"/>
  <c r="T251" i="13"/>
  <c r="T254" i="13"/>
  <c r="N53" i="13"/>
  <c r="N63" i="13" s="1"/>
  <c r="X57" i="13"/>
  <c r="X67" i="13" s="1"/>
  <c r="M103" i="13"/>
  <c r="M106" i="13"/>
  <c r="M101" i="13"/>
  <c r="M99" i="13"/>
  <c r="M104" i="13"/>
  <c r="M100" i="13"/>
  <c r="M102" i="13"/>
  <c r="M98" i="13"/>
  <c r="M105" i="13"/>
  <c r="P196" i="13"/>
  <c r="P206" i="13" s="1"/>
  <c r="X181" i="13"/>
  <c r="X191" i="13" s="1"/>
  <c r="X201" i="13" s="1"/>
  <c r="N185" i="13"/>
  <c r="N215" i="13" s="1"/>
  <c r="O184" i="13"/>
  <c r="O214" i="13" s="1"/>
  <c r="AB44" i="13"/>
  <c r="AB54" i="13" s="1"/>
  <c r="AB64" i="13" s="1"/>
  <c r="Y40" i="13"/>
  <c r="Y50" i="13" s="1"/>
  <c r="M82" i="13"/>
  <c r="M83" i="13" s="1"/>
  <c r="M40" i="13"/>
  <c r="M50" i="13" s="1"/>
  <c r="L45" i="13"/>
  <c r="L75" i="13" s="1"/>
  <c r="M192" i="13"/>
  <c r="M202" i="13" s="1"/>
  <c r="AE179" i="13"/>
  <c r="L185" i="13"/>
  <c r="L215" i="13" s="1"/>
  <c r="X184" i="13"/>
  <c r="S46" i="13"/>
  <c r="S76" i="13" s="1"/>
  <c r="X46" i="13"/>
  <c r="X56" i="13" s="1"/>
  <c r="X66" i="13" s="1"/>
  <c r="Z181" i="13"/>
  <c r="R181" i="13"/>
  <c r="R211" i="13" s="1"/>
  <c r="O221" i="13"/>
  <c r="O222" i="13" s="1"/>
  <c r="O179" i="13"/>
  <c r="T221" i="13"/>
  <c r="T179" i="13"/>
  <c r="P185" i="13"/>
  <c r="P215" i="13" s="1"/>
  <c r="L184" i="13"/>
  <c r="L214" i="13" s="1"/>
  <c r="Y184" i="13"/>
  <c r="Z183" i="13"/>
  <c r="T263" i="13"/>
  <c r="T183" i="13"/>
  <c r="T213" i="13" s="1"/>
  <c r="W42" i="13"/>
  <c r="X180" i="13"/>
  <c r="X190" i="13" s="1"/>
  <c r="X200" i="13" s="1"/>
  <c r="AB41" i="13"/>
  <c r="AB51" i="13" s="1"/>
  <c r="AB61" i="13" s="1"/>
  <c r="AB40" i="13"/>
  <c r="N45" i="13"/>
  <c r="N75" i="13" s="1"/>
  <c r="O45" i="13"/>
  <c r="O75" i="13" s="1"/>
  <c r="P53" i="13"/>
  <c r="P63" i="13" s="1"/>
  <c r="R196" i="13"/>
  <c r="R206" i="13" s="1"/>
  <c r="N104" i="13"/>
  <c r="N105" i="13"/>
  <c r="N101" i="13"/>
  <c r="N100" i="13"/>
  <c r="N103" i="13"/>
  <c r="N106" i="13"/>
  <c r="N98" i="13"/>
  <c r="N99" i="13"/>
  <c r="N102" i="13"/>
  <c r="L53" i="13"/>
  <c r="L63" i="13" s="1"/>
  <c r="AD196" i="13"/>
  <c r="AD206" i="13" s="1"/>
  <c r="AD57" i="13"/>
  <c r="AD67" i="13" s="1"/>
  <c r="L1542" i="8"/>
  <c r="L253" i="13"/>
  <c r="L251" i="13"/>
  <c r="L259" i="13"/>
  <c r="L252" i="13"/>
  <c r="L254" i="13"/>
  <c r="L257" i="13"/>
  <c r="L256" i="13"/>
  <c r="L258" i="13"/>
  <c r="L255" i="13"/>
  <c r="L181" i="13"/>
  <c r="L211" i="13" s="1"/>
  <c r="U82" i="13"/>
  <c r="U83" i="13" s="1"/>
  <c r="U40" i="13"/>
  <c r="W46" i="13"/>
  <c r="W56" i="13" s="1"/>
  <c r="W66" i="13" s="1"/>
  <c r="AC181" i="13"/>
  <c r="AC191" i="13" s="1"/>
  <c r="AC201" i="13" s="1"/>
  <c r="S181" i="13"/>
  <c r="S211" i="13" s="1"/>
  <c r="Z179" i="13"/>
  <c r="X179" i="13"/>
  <c r="X189" i="13" s="1"/>
  <c r="AB179" i="13"/>
  <c r="AB189" i="13" s="1"/>
  <c r="R185" i="13"/>
  <c r="R215" i="13" s="1"/>
  <c r="AA184" i="13"/>
  <c r="AA194" i="13" s="1"/>
  <c r="AA204" i="13" s="1"/>
  <c r="T184" i="13"/>
  <c r="T214" i="13" s="1"/>
  <c r="AD183" i="13"/>
  <c r="AD193" i="13" s="1"/>
  <c r="AD203" i="13" s="1"/>
  <c r="AB183" i="13"/>
  <c r="AB193" i="13" s="1"/>
  <c r="AB203" i="13" s="1"/>
  <c r="Y42" i="13"/>
  <c r="Y52" i="13" s="1"/>
  <c r="Y62" i="13" s="1"/>
  <c r="W44" i="13"/>
  <c r="W54" i="13" s="1"/>
  <c r="W64" i="13" s="1"/>
  <c r="P124" i="13"/>
  <c r="P125" i="13" s="1"/>
  <c r="P44" i="13"/>
  <c r="P74" i="13" s="1"/>
  <c r="V180" i="13"/>
  <c r="W180" i="13"/>
  <c r="W190" i="13" s="1"/>
  <c r="W200" i="13" s="1"/>
  <c r="Z41" i="13"/>
  <c r="Z51" i="13" s="1"/>
  <c r="Z61" i="13" s="1"/>
  <c r="Z40" i="13"/>
  <c r="Z50" i="13" s="1"/>
  <c r="AB45" i="13"/>
  <c r="AB55" i="13" s="1"/>
  <c r="AB65" i="13" s="1"/>
  <c r="Q119" i="13"/>
  <c r="Q115" i="13"/>
  <c r="Q113" i="13"/>
  <c r="Q120" i="13"/>
  <c r="Q112" i="13"/>
  <c r="Q118" i="13"/>
  <c r="Q114" i="13"/>
  <c r="Q116" i="13"/>
  <c r="Q117" i="13"/>
  <c r="P103" i="13"/>
  <c r="P106" i="13"/>
  <c r="P104" i="13"/>
  <c r="P102" i="13"/>
  <c r="P100" i="13"/>
  <c r="P101" i="13"/>
  <c r="P105" i="13"/>
  <c r="P98" i="13"/>
  <c r="P99" i="13"/>
  <c r="N1542" i="8"/>
  <c r="N258" i="13"/>
  <c r="N251" i="13"/>
  <c r="N252" i="13"/>
  <c r="N256" i="13"/>
  <c r="N253" i="13"/>
  <c r="N259" i="13"/>
  <c r="N257" i="13"/>
  <c r="N255" i="13"/>
  <c r="N254" i="13"/>
  <c r="L105" i="13"/>
  <c r="L103" i="13"/>
  <c r="L104" i="13"/>
  <c r="L102" i="13"/>
  <c r="L106" i="13"/>
  <c r="L101" i="13"/>
  <c r="L99" i="13"/>
  <c r="L98" i="13"/>
  <c r="L100" i="13"/>
  <c r="N184" i="13"/>
  <c r="N214" i="13" s="1"/>
  <c r="W184" i="13"/>
  <c r="Y183" i="13"/>
  <c r="Y193" i="13" s="1"/>
  <c r="Y203" i="13" s="1"/>
  <c r="S263" i="13"/>
  <c r="S183" i="13"/>
  <c r="S213" i="13" s="1"/>
  <c r="Q42" i="13"/>
  <c r="Q72" i="13" s="1"/>
  <c r="Q124" i="13"/>
  <c r="Q125" i="13" s="1"/>
  <c r="Q44" i="13"/>
  <c r="Q74" i="13" s="1"/>
  <c r="AA44" i="13"/>
  <c r="Y180" i="13"/>
  <c r="Y190" i="13" s="1"/>
  <c r="Y200" i="13" s="1"/>
  <c r="AE180" i="13"/>
  <c r="AE190" i="13" s="1"/>
  <c r="AE200" i="13" s="1"/>
  <c r="M41" i="13"/>
  <c r="M71" i="13" s="1"/>
  <c r="U41" i="13"/>
  <c r="U71" i="13" s="1"/>
  <c r="AD40" i="13"/>
  <c r="Z45" i="13"/>
  <c r="Z55" i="13" s="1"/>
  <c r="Z65" i="13" s="1"/>
  <c r="O1542" i="8"/>
  <c r="O254" i="13"/>
  <c r="O255" i="13"/>
  <c r="O257" i="13"/>
  <c r="O258" i="13"/>
  <c r="O253" i="13"/>
  <c r="O259" i="13"/>
  <c r="O252" i="13"/>
  <c r="O256" i="13"/>
  <c r="O251" i="13"/>
  <c r="AB196" i="13"/>
  <c r="AB206" i="13" s="1"/>
  <c r="AE57" i="13"/>
  <c r="AE67" i="13" s="1"/>
  <c r="V1542" i="8"/>
  <c r="V254" i="13"/>
  <c r="V252" i="13"/>
  <c r="V256" i="13"/>
  <c r="V257" i="13"/>
  <c r="V253" i="13"/>
  <c r="V251" i="13"/>
  <c r="V255" i="13"/>
  <c r="S250" i="13"/>
  <c r="AC184" i="13"/>
  <c r="AD181" i="13"/>
  <c r="AD191" i="13" s="1"/>
  <c r="AD201" i="13" s="1"/>
  <c r="L221" i="13"/>
  <c r="L222" i="13" s="1"/>
  <c r="L179" i="13"/>
  <c r="L189" i="13" s="1"/>
  <c r="V185" i="13"/>
  <c r="Y46" i="13"/>
  <c r="M181" i="13"/>
  <c r="M211" i="13" s="1"/>
  <c r="P221" i="13"/>
  <c r="P222" i="13" s="1"/>
  <c r="P179" i="13"/>
  <c r="S221" i="13"/>
  <c r="S179" i="13"/>
  <c r="S189" i="13" s="1"/>
  <c r="AC185" i="13"/>
  <c r="AC195" i="13" s="1"/>
  <c r="AC205" i="13" s="1"/>
  <c r="Q185" i="13"/>
  <c r="Q215" i="13" s="1"/>
  <c r="V184" i="13"/>
  <c r="V214" i="13" s="1"/>
  <c r="AE184" i="13"/>
  <c r="AC183" i="13"/>
  <c r="Q263" i="13"/>
  <c r="Q183" i="13"/>
  <c r="Q213" i="13" s="1"/>
  <c r="M42" i="13"/>
  <c r="M72" i="13" s="1"/>
  <c r="AE42" i="13"/>
  <c r="AE44" i="13"/>
  <c r="T124" i="13"/>
  <c r="T125" i="13" s="1"/>
  <c r="T44" i="13"/>
  <c r="T74" i="13" s="1"/>
  <c r="N180" i="13"/>
  <c r="N210" i="13" s="1"/>
  <c r="T180" i="13"/>
  <c r="T210" i="13" s="1"/>
  <c r="P41" i="13"/>
  <c r="P71" i="13" s="1"/>
  <c r="T41" i="13"/>
  <c r="T71" i="13" s="1"/>
  <c r="S82" i="13"/>
  <c r="S83" i="13" s="1"/>
  <c r="S40" i="13"/>
  <c r="S50" i="13" s="1"/>
  <c r="Y45" i="13"/>
  <c r="Y55" i="13" s="1"/>
  <c r="Y65" i="13" s="1"/>
  <c r="O1541" i="8"/>
  <c r="O244" i="13"/>
  <c r="O237" i="13"/>
  <c r="O243" i="13"/>
  <c r="O238" i="13"/>
  <c r="O241" i="13"/>
  <c r="O240" i="13"/>
  <c r="O245" i="13"/>
  <c r="O239" i="13"/>
  <c r="O242" i="13"/>
  <c r="Q192" i="13"/>
  <c r="Q202" i="13" s="1"/>
  <c r="T57" i="13"/>
  <c r="T67" i="13" s="1"/>
  <c r="U57" i="13"/>
  <c r="U67" i="13" s="1"/>
  <c r="AD53" i="13"/>
  <c r="AD63" i="13" s="1"/>
  <c r="X53" i="13"/>
  <c r="X63" i="13" s="1"/>
  <c r="AA192" i="13"/>
  <c r="AA202" i="13" s="1"/>
  <c r="Y192" i="13"/>
  <c r="Y202" i="13" s="1"/>
  <c r="AD46" i="13"/>
  <c r="AD56" i="13" s="1"/>
  <c r="AD66" i="13" s="1"/>
  <c r="Q221" i="13"/>
  <c r="Q179" i="13"/>
  <c r="S185" i="13"/>
  <c r="S215" i="13" s="1"/>
  <c r="Q46" i="13"/>
  <c r="Q76" i="13" s="1"/>
  <c r="AA181" i="13"/>
  <c r="AA191" i="13" s="1"/>
  <c r="AA201" i="13" s="1"/>
  <c r="AC179" i="13"/>
  <c r="AC189" i="13" s="1"/>
  <c r="M221" i="13"/>
  <c r="M222" i="13" s="1"/>
  <c r="M179" i="13"/>
  <c r="M189" i="13" s="1"/>
  <c r="W179" i="13"/>
  <c r="W189" i="13" s="1"/>
  <c r="Y185" i="13"/>
  <c r="Y195" i="13" s="1"/>
  <c r="Y205" i="13" s="1"/>
  <c r="W185" i="13"/>
  <c r="W195" i="13" s="1"/>
  <c r="W205" i="13" s="1"/>
  <c r="AB184" i="13"/>
  <c r="U263" i="13"/>
  <c r="U183" i="13"/>
  <c r="U213" i="13" s="1"/>
  <c r="R263" i="13"/>
  <c r="R183" i="13"/>
  <c r="R213" i="13" s="1"/>
  <c r="O42" i="13"/>
  <c r="O72" i="13" s="1"/>
  <c r="P42" i="13"/>
  <c r="P72" i="13" s="1"/>
  <c r="Y44" i="13"/>
  <c r="Y54" i="13" s="1"/>
  <c r="Y64" i="13" s="1"/>
  <c r="X44" i="13"/>
  <c r="X54" i="13" s="1"/>
  <c r="X64" i="13" s="1"/>
  <c r="M180" i="13"/>
  <c r="M210" i="13" s="1"/>
  <c r="S180" i="13"/>
  <c r="S210" i="13" s="1"/>
  <c r="Y41" i="13"/>
  <c r="Y51" i="13" s="1"/>
  <c r="Y61" i="13" s="1"/>
  <c r="AC41" i="13"/>
  <c r="P82" i="13"/>
  <c r="P83" i="13" s="1"/>
  <c r="P40" i="13"/>
  <c r="P50" i="13" s="1"/>
  <c r="AC40" i="13"/>
  <c r="AC50" i="13" s="1"/>
  <c r="P45" i="13"/>
  <c r="P75" i="13" s="1"/>
  <c r="AC45" i="13"/>
  <c r="Q239" i="13"/>
  <c r="Q240" i="13"/>
  <c r="Q242" i="13"/>
  <c r="T119" i="13"/>
  <c r="T116" i="13"/>
  <c r="T120" i="13"/>
  <c r="T115" i="13"/>
  <c r="T118" i="13"/>
  <c r="T114" i="13"/>
  <c r="T113" i="13"/>
  <c r="T117" i="13"/>
  <c r="T112" i="13"/>
  <c r="O113" i="13"/>
  <c r="O117" i="13"/>
  <c r="O114" i="13"/>
  <c r="O116" i="13"/>
  <c r="O115" i="13"/>
  <c r="O112" i="13"/>
  <c r="O118" i="13"/>
  <c r="O120" i="13"/>
  <c r="O119" i="13"/>
  <c r="N1541" i="8"/>
  <c r="N245" i="13"/>
  <c r="N238" i="13"/>
  <c r="N237" i="13"/>
  <c r="N242" i="13"/>
  <c r="N241" i="13"/>
  <c r="N239" i="13"/>
  <c r="N244" i="13"/>
  <c r="N240" i="13"/>
  <c r="N243" i="13"/>
  <c r="U116" i="13"/>
  <c r="U120" i="13"/>
  <c r="U119" i="13"/>
  <c r="U118" i="13"/>
  <c r="U114" i="13"/>
  <c r="U117" i="13"/>
  <c r="U112" i="13"/>
  <c r="U115" i="13"/>
  <c r="U113" i="13"/>
  <c r="Z192" i="13"/>
  <c r="Z202" i="13" s="1"/>
  <c r="N46" i="13"/>
  <c r="N76" i="13" s="1"/>
  <c r="O181" i="13"/>
  <c r="O211" i="13" s="1"/>
  <c r="AA179" i="13"/>
  <c r="AA189" i="13" s="1"/>
  <c r="M185" i="13"/>
  <c r="M215" i="13" s="1"/>
  <c r="AE185" i="13"/>
  <c r="AD184" i="13"/>
  <c r="R184" i="13"/>
  <c r="R214" i="13" s="1"/>
  <c r="N263" i="13"/>
  <c r="N264" i="13" s="1"/>
  <c r="N183" i="13"/>
  <c r="N213" i="13" s="1"/>
  <c r="AE183" i="13"/>
  <c r="AE193" i="13" s="1"/>
  <c r="AE203" i="13" s="1"/>
  <c r="V42" i="13"/>
  <c r="V72" i="13" s="1"/>
  <c r="X42" i="13"/>
  <c r="V44" i="13"/>
  <c r="L124" i="13"/>
  <c r="L125" i="13" s="1"/>
  <c r="L44" i="13"/>
  <c r="L74" i="13" s="1"/>
  <c r="AA180" i="13"/>
  <c r="AA190" i="13" s="1"/>
  <c r="AA200" i="13" s="1"/>
  <c r="R180" i="13"/>
  <c r="R210" i="13" s="1"/>
  <c r="Q41" i="13"/>
  <c r="Q71" i="13" s="1"/>
  <c r="R41" i="13"/>
  <c r="R71" i="13" s="1"/>
  <c r="W40" i="13"/>
  <c r="W50" i="13" s="1"/>
  <c r="V82" i="13"/>
  <c r="V83" i="13" s="1"/>
  <c r="V40" i="13"/>
  <c r="V50" i="13" s="1"/>
  <c r="R82" i="13"/>
  <c r="R83" i="13" s="1"/>
  <c r="R40" i="13"/>
  <c r="R50" i="13" s="1"/>
  <c r="W45" i="13"/>
  <c r="W75" i="13" s="1"/>
  <c r="S45" i="13"/>
  <c r="S75" i="13" s="1"/>
  <c r="S113" i="13"/>
  <c r="S112" i="13"/>
  <c r="S116" i="13"/>
  <c r="S114" i="13"/>
  <c r="S115" i="13"/>
  <c r="S117" i="13"/>
  <c r="S118" i="13"/>
  <c r="S119" i="13"/>
  <c r="S120" i="13"/>
  <c r="N115" i="13"/>
  <c r="N118" i="13"/>
  <c r="N117" i="13"/>
  <c r="N113" i="13"/>
  <c r="N114" i="13"/>
  <c r="N120" i="13"/>
  <c r="N112" i="13"/>
  <c r="N116" i="13"/>
  <c r="N119" i="13"/>
  <c r="V77" i="13"/>
  <c r="V109" i="13" s="1"/>
  <c r="R101" i="13"/>
  <c r="R100" i="13"/>
  <c r="R103" i="13"/>
  <c r="R102" i="13"/>
  <c r="R98" i="13"/>
  <c r="R105" i="13"/>
  <c r="R99" i="13"/>
  <c r="R106" i="13"/>
  <c r="R104" i="13"/>
  <c r="S840" i="8"/>
  <c r="S841" i="8" s="1"/>
  <c r="R1264" i="8"/>
  <c r="R1265" i="8" s="1"/>
  <c r="R888" i="8"/>
  <c r="R889" i="8" s="1"/>
  <c r="S398" i="2"/>
  <c r="S972" i="8" s="1"/>
  <c r="S973" i="8" s="1"/>
  <c r="U393" i="2"/>
  <c r="U952" i="8" s="1"/>
  <c r="U953" i="8" s="1"/>
  <c r="T856" i="8"/>
  <c r="T857" i="8" s="1"/>
  <c r="U1252" i="8"/>
  <c r="U1253" i="8" s="1"/>
  <c r="S872" i="8"/>
  <c r="S873" i="8" s="1"/>
  <c r="U660" i="2"/>
  <c r="T392" i="2"/>
  <c r="T948" i="8" s="1"/>
  <c r="T949" i="8" s="1"/>
  <c r="S1236" i="8"/>
  <c r="S1237" i="8" s="1"/>
  <c r="S382" i="2"/>
  <c r="U260" i="2"/>
  <c r="S793" i="2"/>
  <c r="S1352" i="8" s="1"/>
  <c r="S1353" i="8" s="1"/>
  <c r="R785" i="2"/>
  <c r="R1324" i="8" s="1"/>
  <c r="R1325" i="8" s="1"/>
  <c r="T795" i="2"/>
  <c r="T1360" i="8" s="1"/>
  <c r="T1361" i="8" s="1"/>
  <c r="U659" i="2"/>
  <c r="T782" i="2"/>
  <c r="S781" i="2"/>
  <c r="T791" i="2"/>
  <c r="T1344" i="8" s="1"/>
  <c r="T1345" i="8" s="1"/>
  <c r="T383" i="2"/>
  <c r="T796" i="2"/>
  <c r="T1364" i="8" s="1"/>
  <c r="T1365" i="8" s="1"/>
  <c r="T394" i="2"/>
  <c r="T956" i="8" s="1"/>
  <c r="T957" i="8" s="1"/>
  <c r="R1268" i="8"/>
  <c r="R1269" i="8" s="1"/>
  <c r="S792" i="2"/>
  <c r="S1348" i="8" s="1"/>
  <c r="S1349" i="8" s="1"/>
  <c r="U762" i="2"/>
  <c r="S383" i="2"/>
  <c r="S396" i="2"/>
  <c r="S964" i="8" s="1"/>
  <c r="S965" i="8" s="1"/>
  <c r="U798" i="2"/>
  <c r="U1372" i="8" s="1"/>
  <c r="U1373" i="8" s="1"/>
  <c r="O383" i="2"/>
  <c r="O392" i="2"/>
  <c r="L782" i="2"/>
  <c r="L791" i="2"/>
  <c r="L383" i="2"/>
  <c r="L392" i="2"/>
  <c r="U832" i="8"/>
  <c r="U833" i="8" s="1"/>
  <c r="U259" i="2"/>
  <c r="S852" i="8"/>
  <c r="S853" i="8" s="1"/>
  <c r="U261" i="2"/>
  <c r="Q782" i="2"/>
  <c r="Q791" i="2"/>
  <c r="U363" i="2"/>
  <c r="R782" i="2"/>
  <c r="R791" i="2"/>
  <c r="V397" i="2"/>
  <c r="V968" i="8" s="1"/>
  <c r="V969" i="8" s="1"/>
  <c r="R383" i="2"/>
  <c r="R392" i="2"/>
  <c r="T375" i="2"/>
  <c r="T904" i="8" s="1"/>
  <c r="T905" i="8" s="1"/>
  <c r="P782" i="2"/>
  <c r="P791" i="2"/>
  <c r="N791" i="2"/>
  <c r="N782" i="2"/>
  <c r="U397" i="2"/>
  <c r="U968" i="8" s="1"/>
  <c r="U969" i="8" s="1"/>
  <c r="U884" i="8"/>
  <c r="U885" i="8" s="1"/>
  <c r="Q383" i="2"/>
  <c r="Q392" i="2"/>
  <c r="S782" i="2"/>
  <c r="O782" i="2"/>
  <c r="O791" i="2"/>
  <c r="N383" i="2"/>
  <c r="N392" i="2"/>
  <c r="M782" i="2"/>
  <c r="M791" i="2"/>
  <c r="M383" i="2"/>
  <c r="M392" i="2"/>
  <c r="S392" i="2"/>
  <c r="S948" i="8" s="1"/>
  <c r="S949" i="8" s="1"/>
  <c r="U658" i="2"/>
  <c r="S1268" i="8"/>
  <c r="S1269" i="8" s="1"/>
  <c r="P383" i="2"/>
  <c r="P392" i="2"/>
  <c r="S791" i="2"/>
  <c r="S1344" i="8" s="1"/>
  <c r="S1345" i="8" s="1"/>
  <c r="S1264" i="8"/>
  <c r="S1265" i="8" s="1"/>
  <c r="S773" i="2"/>
  <c r="S1296" i="8" s="1"/>
  <c r="S1297" i="8" s="1"/>
  <c r="U258" i="2"/>
  <c r="U657" i="2"/>
  <c r="T1240" i="8"/>
  <c r="T1241" i="8" s="1"/>
  <c r="S876" i="8"/>
  <c r="S877" i="8" s="1"/>
  <c r="T880" i="8"/>
  <c r="T881" i="8" s="1"/>
  <c r="T976" i="8"/>
  <c r="T977" i="8" s="1"/>
  <c r="T1268" i="8"/>
  <c r="T1269" i="8" s="1"/>
  <c r="S1356" i="8"/>
  <c r="S1357" i="8" s="1"/>
  <c r="S960" i="8"/>
  <c r="S961" i="8" s="1"/>
  <c r="U352" i="2"/>
  <c r="U755" i="2"/>
  <c r="U1240" i="8" s="1"/>
  <c r="U1241" i="8" s="1"/>
  <c r="U359" i="2"/>
  <c r="U399" i="2" s="1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T754" i="2"/>
  <c r="T794" i="2" s="1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W397" i="2" s="1"/>
  <c r="V758" i="2"/>
  <c r="V798" i="2" s="1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840" i="8" s="1"/>
  <c r="T841" i="8" s="1"/>
  <c r="T358" i="2"/>
  <c r="T398" i="2" s="1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V393" i="2" s="1"/>
  <c r="T752" i="2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U394" i="2" s="1"/>
  <c r="R1284" i="8"/>
  <c r="R1285" i="8" s="1"/>
  <c r="S1248" i="8"/>
  <c r="S1249" i="8" s="1"/>
  <c r="T753" i="2"/>
  <c r="T793" i="2" s="1"/>
  <c r="Q920" i="8"/>
  <c r="Q921" i="8" s="1"/>
  <c r="L1264" i="8"/>
  <c r="L1265" i="8" s="1"/>
  <c r="L1348" i="8"/>
  <c r="L1349" i="8" s="1"/>
  <c r="N884" i="8"/>
  <c r="N885" i="8" s="1"/>
  <c r="N968" i="8"/>
  <c r="N969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67" i="2" s="1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V263" i="13" s="1"/>
  <c r="U735" i="2"/>
  <c r="U746" i="2"/>
  <c r="U768" i="2" s="1"/>
  <c r="S784" i="2"/>
  <c r="V624" i="8"/>
  <c r="V625" i="8" s="1"/>
  <c r="V337" i="2"/>
  <c r="W283" i="2"/>
  <c r="W110" i="13" s="1"/>
  <c r="W111" i="13" s="1"/>
  <c r="V348" i="2"/>
  <c r="V370" i="2" s="1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677" i="2"/>
  <c r="U742" i="2"/>
  <c r="U764" i="2" s="1"/>
  <c r="V604" i="8"/>
  <c r="V605" i="8" s="1"/>
  <c r="W278" i="2"/>
  <c r="V343" i="2"/>
  <c r="V365" i="2" s="1"/>
  <c r="V332" i="2"/>
  <c r="U1152" i="8"/>
  <c r="U1153" i="8" s="1"/>
  <c r="T804" i="8"/>
  <c r="T805" i="8" s="1"/>
  <c r="W1020" i="8"/>
  <c r="W1021" i="8" s="1"/>
  <c r="X682" i="2"/>
  <c r="X249" i="13" s="1"/>
  <c r="W747" i="2"/>
  <c r="W769" i="2" s="1"/>
  <c r="W736" i="2"/>
  <c r="X277" i="2"/>
  <c r="W600" i="8"/>
  <c r="W601" i="8" s="1"/>
  <c r="W342" i="2"/>
  <c r="W364" i="2" s="1"/>
  <c r="W331" i="2"/>
  <c r="S770" i="2"/>
  <c r="S1292" i="8" s="1"/>
  <c r="S1293" i="8" s="1"/>
  <c r="T1156" i="8"/>
  <c r="T1157" i="8" s="1"/>
  <c r="S774" i="2"/>
  <c r="S1300" i="8" s="1"/>
  <c r="S1301" i="8" s="1"/>
  <c r="S785" i="2"/>
  <c r="S1324" i="8" s="1"/>
  <c r="S1325" i="8" s="1"/>
  <c r="V760" i="8"/>
  <c r="V761" i="8" s="1"/>
  <c r="T1160" i="8"/>
  <c r="T1161" i="8" s="1"/>
  <c r="V1216" i="8"/>
  <c r="V1217" i="8" s="1"/>
  <c r="V1288" i="8"/>
  <c r="V1289" i="8" s="1"/>
  <c r="V992" i="8"/>
  <c r="V993" i="8" s="1"/>
  <c r="W675" i="2"/>
  <c r="V729" i="2"/>
  <c r="V740" i="2"/>
  <c r="T768" i="8"/>
  <c r="T769" i="8" s="1"/>
  <c r="T864" i="8"/>
  <c r="T865" i="8" s="1"/>
  <c r="V596" i="8"/>
  <c r="V597" i="8" s="1"/>
  <c r="V330" i="2"/>
  <c r="V341" i="2"/>
  <c r="W276" i="2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U1172" i="8"/>
  <c r="U1173" i="8" s="1"/>
  <c r="U786" i="2"/>
  <c r="U1328" i="8" s="1"/>
  <c r="U1329" i="8" s="1"/>
  <c r="U1188" i="8"/>
  <c r="U1189" i="8" s="1"/>
  <c r="U792" i="8"/>
  <c r="U793" i="8" s="1"/>
  <c r="S360" i="2"/>
  <c r="U1208" i="8"/>
  <c r="U1209" i="8" s="1"/>
  <c r="U1280" i="8"/>
  <c r="U1281" i="8" s="1"/>
  <c r="S385" i="2"/>
  <c r="T780" i="8"/>
  <c r="T781" i="8" s="1"/>
  <c r="U756" i="8"/>
  <c r="U757" i="8" s="1"/>
  <c r="U996" i="8"/>
  <c r="U997" i="8" s="1"/>
  <c r="U730" i="2"/>
  <c r="V676" i="2"/>
  <c r="U741" i="2"/>
  <c r="U763" i="2" s="1"/>
  <c r="V1008" i="8"/>
  <c r="V1009" i="8" s="1"/>
  <c r="V744" i="2"/>
  <c r="V766" i="2" s="1"/>
  <c r="W679" i="2"/>
  <c r="V733" i="2"/>
  <c r="V1012" i="8"/>
  <c r="V1013" i="8" s="1"/>
  <c r="V745" i="2"/>
  <c r="V767" i="2" s="1"/>
  <c r="W680" i="2"/>
  <c r="V734" i="2"/>
  <c r="T816" i="8"/>
  <c r="T817" i="8" s="1"/>
  <c r="T888" i="8"/>
  <c r="T889" i="8" s="1"/>
  <c r="U608" i="8"/>
  <c r="U609" i="8" s="1"/>
  <c r="U344" i="2"/>
  <c r="U366" i="2" s="1"/>
  <c r="V279" i="2"/>
  <c r="V96" i="13" s="1"/>
  <c r="V97" i="13" s="1"/>
  <c r="U333" i="2"/>
  <c r="R379" i="2"/>
  <c r="W776" i="8"/>
  <c r="W777" i="8" s="1"/>
  <c r="U1204" i="8"/>
  <c r="U1205" i="8" s="1"/>
  <c r="U1276" i="8"/>
  <c r="U1277" i="8" s="1"/>
  <c r="T338" i="2"/>
  <c r="T788" i="8" s="1"/>
  <c r="T789" i="8" s="1"/>
  <c r="U620" i="8"/>
  <c r="U621" i="8" s="1"/>
  <c r="V282" i="2"/>
  <c r="U347" i="2"/>
  <c r="U369" i="2" s="1"/>
  <c r="U336" i="2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X368" i="2" s="1"/>
  <c r="Y281" i="2"/>
  <c r="X335" i="2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65" i="2" s="1"/>
  <c r="U732" i="2"/>
  <c r="V678" i="2"/>
  <c r="W812" i="8"/>
  <c r="W813" i="8" s="1"/>
  <c r="W884" i="8"/>
  <c r="W885" i="8" s="1"/>
  <c r="T737" i="2"/>
  <c r="T1184" i="8" s="1"/>
  <c r="T1185" i="8" s="1"/>
  <c r="S374" i="2"/>
  <c r="T1200" i="8"/>
  <c r="T1201" i="8" s="1"/>
  <c r="S243" i="13" l="1"/>
  <c r="S241" i="13"/>
  <c r="T240" i="13"/>
  <c r="T237" i="13"/>
  <c r="T239" i="13"/>
  <c r="U255" i="13"/>
  <c r="T244" i="13"/>
  <c r="T238" i="13"/>
  <c r="V259" i="13"/>
  <c r="V1512" i="8" s="1"/>
  <c r="R259" i="13"/>
  <c r="T245" i="13"/>
  <c r="R1542" i="8"/>
  <c r="T243" i="13"/>
  <c r="U252" i="13"/>
  <c r="U253" i="13"/>
  <c r="U254" i="13"/>
  <c r="U1542" i="8"/>
  <c r="T241" i="13"/>
  <c r="T242" i="13"/>
  <c r="W51" i="13"/>
  <c r="W61" i="13" s="1"/>
  <c r="Q253" i="13"/>
  <c r="Q255" i="13"/>
  <c r="Q259" i="13"/>
  <c r="Q254" i="13"/>
  <c r="Q257" i="13"/>
  <c r="Q1542" i="8"/>
  <c r="R254" i="13"/>
  <c r="R255" i="13"/>
  <c r="O54" i="13"/>
  <c r="O64" i="13" s="1"/>
  <c r="P51" i="13"/>
  <c r="P61" i="13" s="1"/>
  <c r="R257" i="13"/>
  <c r="R252" i="13"/>
  <c r="R253" i="13"/>
  <c r="Q251" i="13"/>
  <c r="M179" i="2"/>
  <c r="N179" i="2" s="1"/>
  <c r="R251" i="13"/>
  <c r="Q256" i="13"/>
  <c r="U257" i="13"/>
  <c r="R258" i="13"/>
  <c r="M575" i="2"/>
  <c r="N575" i="2" s="1"/>
  <c r="Q258" i="13"/>
  <c r="U251" i="13"/>
  <c r="M194" i="13"/>
  <c r="M204" i="13" s="1"/>
  <c r="N54" i="13"/>
  <c r="N64" i="13" s="1"/>
  <c r="W55" i="13"/>
  <c r="W65" i="13" s="1"/>
  <c r="V74" i="13"/>
  <c r="Q245" i="13"/>
  <c r="U51" i="13"/>
  <c r="U61" i="13" s="1"/>
  <c r="Q241" i="13"/>
  <c r="V55" i="13"/>
  <c r="V65" i="13" s="1"/>
  <c r="L52" i="13"/>
  <c r="L62" i="13" s="1"/>
  <c r="Q238" i="13"/>
  <c r="M180" i="2"/>
  <c r="M36" i="12" s="1"/>
  <c r="Q1541" i="8"/>
  <c r="M122" i="2"/>
  <c r="M75" i="8" s="1"/>
  <c r="M76" i="8" s="1"/>
  <c r="M580" i="2"/>
  <c r="N580" i="2" s="1"/>
  <c r="T54" i="13"/>
  <c r="T64" i="13" s="1"/>
  <c r="M578" i="2"/>
  <c r="N578" i="2" s="1"/>
  <c r="U190" i="13"/>
  <c r="U200" i="13" s="1"/>
  <c r="P193" i="13"/>
  <c r="P203" i="13" s="1"/>
  <c r="M262" i="13"/>
  <c r="V221" i="13"/>
  <c r="Q237" i="13"/>
  <c r="T191" i="13"/>
  <c r="T201" i="13" s="1"/>
  <c r="Q243" i="13"/>
  <c r="P194" i="13"/>
  <c r="P204" i="13" s="1"/>
  <c r="L194" i="13"/>
  <c r="L204" i="13" s="1"/>
  <c r="L193" i="13"/>
  <c r="L203" i="13" s="1"/>
  <c r="T1502" i="8"/>
  <c r="M190" i="13"/>
  <c r="M200" i="13" s="1"/>
  <c r="R52" i="13"/>
  <c r="R62" i="13" s="1"/>
  <c r="W213" i="13"/>
  <c r="S238" i="13"/>
  <c r="U55" i="13"/>
  <c r="U65" i="13" s="1"/>
  <c r="S51" i="13"/>
  <c r="S61" i="13" s="1"/>
  <c r="Q51" i="13"/>
  <c r="Q61" i="13" s="1"/>
  <c r="N262" i="13"/>
  <c r="T190" i="13"/>
  <c r="T200" i="13" s="1"/>
  <c r="Q52" i="13"/>
  <c r="Q62" i="13" s="1"/>
  <c r="S56" i="13"/>
  <c r="S66" i="13" s="1"/>
  <c r="S245" i="13"/>
  <c r="R190" i="13"/>
  <c r="R200" i="13" s="1"/>
  <c r="P55" i="13"/>
  <c r="P65" i="13" s="1"/>
  <c r="N190" i="13"/>
  <c r="N200" i="13" s="1"/>
  <c r="M119" i="2"/>
  <c r="P190" i="13"/>
  <c r="P200" i="13" s="1"/>
  <c r="S1541" i="8"/>
  <c r="W82" i="13"/>
  <c r="W83" i="13" s="1"/>
  <c r="W86" i="13" s="1"/>
  <c r="S193" i="13"/>
  <c r="S203" i="13" s="1"/>
  <c r="M121" i="2"/>
  <c r="N121" i="2" s="1"/>
  <c r="P195" i="13"/>
  <c r="P205" i="13" s="1"/>
  <c r="L195" i="13"/>
  <c r="L205" i="13" s="1"/>
  <c r="N51" i="13"/>
  <c r="N61" i="13" s="1"/>
  <c r="L190" i="13"/>
  <c r="L200" i="13" s="1"/>
  <c r="N191" i="13"/>
  <c r="N201" i="13" s="1"/>
  <c r="U123" i="13"/>
  <c r="O1512" i="8"/>
  <c r="O190" i="13"/>
  <c r="O200" i="13" s="1"/>
  <c r="L54" i="13"/>
  <c r="L64" i="13" s="1"/>
  <c r="M195" i="13"/>
  <c r="M205" i="13" s="1"/>
  <c r="O52" i="13"/>
  <c r="O62" i="13" s="1"/>
  <c r="V193" i="13"/>
  <c r="V203" i="13" s="1"/>
  <c r="M182" i="2"/>
  <c r="M111" i="8" s="1"/>
  <c r="M112" i="8" s="1"/>
  <c r="S244" i="13"/>
  <c r="M515" i="2"/>
  <c r="N515" i="2" s="1"/>
  <c r="R56" i="13"/>
  <c r="R66" i="13" s="1"/>
  <c r="O51" i="13"/>
  <c r="O61" i="13" s="1"/>
  <c r="S237" i="13"/>
  <c r="S52" i="13"/>
  <c r="S62" i="13" s="1"/>
  <c r="M52" i="13"/>
  <c r="M62" i="13" s="1"/>
  <c r="M116" i="2"/>
  <c r="N116" i="2" s="1"/>
  <c r="R191" i="13"/>
  <c r="R201" i="13" s="1"/>
  <c r="S242" i="13"/>
  <c r="T52" i="13"/>
  <c r="T62" i="13" s="1"/>
  <c r="U193" i="13"/>
  <c r="U203" i="13" s="1"/>
  <c r="T193" i="13"/>
  <c r="T203" i="13" s="1"/>
  <c r="S54" i="13"/>
  <c r="S64" i="13" s="1"/>
  <c r="S239" i="13"/>
  <c r="U52" i="13"/>
  <c r="U62" i="13" s="1"/>
  <c r="N194" i="13"/>
  <c r="N204" i="13" s="1"/>
  <c r="P123" i="13"/>
  <c r="V124" i="13"/>
  <c r="V125" i="13" s="1"/>
  <c r="V132" i="13" s="1"/>
  <c r="V52" i="13"/>
  <c r="V62" i="13" s="1"/>
  <c r="N56" i="13"/>
  <c r="N66" i="13" s="1"/>
  <c r="Q193" i="13"/>
  <c r="Q203" i="13" s="1"/>
  <c r="P56" i="13"/>
  <c r="P66" i="13" s="1"/>
  <c r="Q60" i="13"/>
  <c r="AB199" i="13"/>
  <c r="S60" i="13"/>
  <c r="Y60" i="13"/>
  <c r="W60" i="13"/>
  <c r="U1541" i="8"/>
  <c r="U244" i="13"/>
  <c r="U243" i="13"/>
  <c r="U245" i="13"/>
  <c r="U239" i="13"/>
  <c r="U241" i="13"/>
  <c r="U240" i="13"/>
  <c r="U237" i="13"/>
  <c r="U242" i="13"/>
  <c r="U238" i="13"/>
  <c r="W1542" i="8"/>
  <c r="W257" i="13"/>
  <c r="W253" i="13"/>
  <c r="W258" i="13"/>
  <c r="W252" i="13"/>
  <c r="W254" i="13"/>
  <c r="W259" i="13"/>
  <c r="W256" i="13"/>
  <c r="W251" i="13"/>
  <c r="W255" i="13"/>
  <c r="R60" i="13"/>
  <c r="AC199" i="13"/>
  <c r="P1508" i="8"/>
  <c r="P209" i="13"/>
  <c r="W214" i="13"/>
  <c r="U1498" i="8"/>
  <c r="U70" i="13"/>
  <c r="W72" i="13"/>
  <c r="T1508" i="8"/>
  <c r="T209" i="13"/>
  <c r="M1501" i="8"/>
  <c r="S129" i="13"/>
  <c r="S126" i="13"/>
  <c r="S128" i="13"/>
  <c r="S131" i="13"/>
  <c r="S127" i="13"/>
  <c r="S133" i="13"/>
  <c r="S134" i="13"/>
  <c r="S130" i="13"/>
  <c r="S132" i="13"/>
  <c r="M178" i="2"/>
  <c r="L1498" i="8"/>
  <c r="L70" i="13"/>
  <c r="Y1508" i="8"/>
  <c r="M521" i="2"/>
  <c r="V1498" i="8"/>
  <c r="V70" i="13"/>
  <c r="L123" i="13"/>
  <c r="N193" i="13"/>
  <c r="N203" i="13" s="1"/>
  <c r="O191" i="13"/>
  <c r="O201" i="13" s="1"/>
  <c r="P1498" i="8"/>
  <c r="P70" i="13"/>
  <c r="AB194" i="13"/>
  <c r="AB204" i="13" s="1"/>
  <c r="T123" i="13"/>
  <c r="AC193" i="13"/>
  <c r="AC203" i="13" s="1"/>
  <c r="P189" i="13"/>
  <c r="AC194" i="13"/>
  <c r="AC204" i="13" s="1"/>
  <c r="AA54" i="13"/>
  <c r="AA64" i="13" s="1"/>
  <c r="W194" i="13"/>
  <c r="W204" i="13" s="1"/>
  <c r="U50" i="13"/>
  <c r="W52" i="13"/>
  <c r="W62" i="13" s="1"/>
  <c r="T189" i="13"/>
  <c r="X194" i="13"/>
  <c r="X204" i="13" s="1"/>
  <c r="AA56" i="13"/>
  <c r="AA66" i="13" s="1"/>
  <c r="AA52" i="13"/>
  <c r="AA62" i="13" s="1"/>
  <c r="AD190" i="13"/>
  <c r="AD200" i="13" s="1"/>
  <c r="L50" i="13"/>
  <c r="N133" i="13"/>
  <c r="N130" i="13"/>
  <c r="N126" i="13"/>
  <c r="N131" i="13"/>
  <c r="N129" i="13"/>
  <c r="N128" i="13"/>
  <c r="N134" i="13"/>
  <c r="N132" i="13"/>
  <c r="N127" i="13"/>
  <c r="Y189" i="13"/>
  <c r="L51" i="13"/>
  <c r="L61" i="13" s="1"/>
  <c r="N52" i="13"/>
  <c r="N62" i="13" s="1"/>
  <c r="M56" i="13"/>
  <c r="M66" i="13" s="1"/>
  <c r="M520" i="2"/>
  <c r="Q1501" i="8"/>
  <c r="AB190" i="13"/>
  <c r="AB200" i="13" s="1"/>
  <c r="X193" i="13"/>
  <c r="X203" i="13" s="1"/>
  <c r="V105" i="13"/>
  <c r="V101" i="13"/>
  <c r="V106" i="13"/>
  <c r="V98" i="13"/>
  <c r="V100" i="13"/>
  <c r="V99" i="13"/>
  <c r="V102" i="13"/>
  <c r="V104" i="13"/>
  <c r="V103" i="13"/>
  <c r="V212" i="13"/>
  <c r="V234" i="13" s="1"/>
  <c r="V235" i="13"/>
  <c r="V60" i="13"/>
  <c r="N1543" i="8"/>
  <c r="N268" i="13"/>
  <c r="N269" i="13"/>
  <c r="N265" i="13"/>
  <c r="N271" i="13"/>
  <c r="N272" i="13"/>
  <c r="N266" i="13"/>
  <c r="N273" i="13"/>
  <c r="N270" i="13"/>
  <c r="N267" i="13"/>
  <c r="P1504" i="8"/>
  <c r="P92" i="13"/>
  <c r="P85" i="13"/>
  <c r="P91" i="13"/>
  <c r="P87" i="13"/>
  <c r="P84" i="13"/>
  <c r="P89" i="13"/>
  <c r="P86" i="13"/>
  <c r="P88" i="13"/>
  <c r="P90" i="13"/>
  <c r="Y75" i="13"/>
  <c r="P1514" i="8"/>
  <c r="P1540" i="8"/>
  <c r="P228" i="13"/>
  <c r="P227" i="13"/>
  <c r="P223" i="13"/>
  <c r="P224" i="13"/>
  <c r="P226" i="13"/>
  <c r="P225" i="13"/>
  <c r="P229" i="13"/>
  <c r="P231" i="13"/>
  <c r="P230" i="13"/>
  <c r="X1508" i="8"/>
  <c r="U1504" i="8"/>
  <c r="U92" i="13"/>
  <c r="U88" i="13"/>
  <c r="U87" i="13"/>
  <c r="U91" i="13"/>
  <c r="U84" i="13"/>
  <c r="U89" i="13"/>
  <c r="U86" i="13"/>
  <c r="U90" i="13"/>
  <c r="U85" i="13"/>
  <c r="T262" i="13"/>
  <c r="T264" i="13" s="1"/>
  <c r="P1512" i="8"/>
  <c r="L1504" i="8"/>
  <c r="L86" i="13"/>
  <c r="L91" i="13"/>
  <c r="L84" i="13"/>
  <c r="L90" i="13"/>
  <c r="L85" i="13"/>
  <c r="L88" i="13"/>
  <c r="L87" i="13"/>
  <c r="L89" i="13"/>
  <c r="L92" i="13"/>
  <c r="L262" i="13"/>
  <c r="M517" i="2"/>
  <c r="V1502" i="8"/>
  <c r="AD1498" i="8"/>
  <c r="X199" i="13"/>
  <c r="M191" i="13"/>
  <c r="M201" i="13" s="1"/>
  <c r="AD50" i="13"/>
  <c r="L191" i="13"/>
  <c r="L201" i="13" s="1"/>
  <c r="AE1508" i="8"/>
  <c r="M1543" i="8"/>
  <c r="M265" i="13"/>
  <c r="M266" i="13"/>
  <c r="M268" i="13"/>
  <c r="M271" i="13"/>
  <c r="M273" i="13"/>
  <c r="M272" i="13"/>
  <c r="M267" i="13"/>
  <c r="M270" i="13"/>
  <c r="M269" i="13"/>
  <c r="Q1504" i="8"/>
  <c r="Q89" i="13"/>
  <c r="Q92" i="13"/>
  <c r="Q84" i="13"/>
  <c r="Q91" i="13"/>
  <c r="Q86" i="13"/>
  <c r="Q90" i="13"/>
  <c r="Q87" i="13"/>
  <c r="Q88" i="13"/>
  <c r="Q85" i="13"/>
  <c r="P191" i="13"/>
  <c r="P201" i="13" s="1"/>
  <c r="N1502" i="8"/>
  <c r="V54" i="13"/>
  <c r="V64" i="13" s="1"/>
  <c r="AC51" i="13"/>
  <c r="AC61" i="13" s="1"/>
  <c r="P52" i="13"/>
  <c r="P62" i="13" s="1"/>
  <c r="X216" i="13"/>
  <c r="X248" i="13" s="1"/>
  <c r="X250" i="13" s="1"/>
  <c r="AE54" i="13"/>
  <c r="AE64" i="13" s="1"/>
  <c r="Q54" i="13"/>
  <c r="Q64" i="13" s="1"/>
  <c r="L1501" i="8"/>
  <c r="M114" i="2"/>
  <c r="Q1502" i="8"/>
  <c r="V210" i="13"/>
  <c r="Z1508" i="8"/>
  <c r="M577" i="2"/>
  <c r="O1540" i="8"/>
  <c r="O1514" i="8"/>
  <c r="O226" i="13"/>
  <c r="O225" i="13"/>
  <c r="O229" i="13"/>
  <c r="O228" i="13"/>
  <c r="O227" i="13"/>
  <c r="O231" i="13"/>
  <c r="O230" i="13"/>
  <c r="O223" i="13"/>
  <c r="O224" i="13"/>
  <c r="N1508" i="8"/>
  <c r="N209" i="13"/>
  <c r="M1511" i="8"/>
  <c r="M193" i="13"/>
  <c r="M203" i="13" s="1"/>
  <c r="W193" i="13"/>
  <c r="W203" i="13" s="1"/>
  <c r="L1502" i="8"/>
  <c r="M174" i="2"/>
  <c r="V73" i="13"/>
  <c r="V95" i="13" s="1"/>
  <c r="S1501" i="8"/>
  <c r="Z190" i="13"/>
  <c r="Z200" i="13" s="1"/>
  <c r="L1511" i="8"/>
  <c r="M513" i="2"/>
  <c r="U54" i="13"/>
  <c r="U64" i="13" s="1"/>
  <c r="S1502" i="8"/>
  <c r="AD194" i="13"/>
  <c r="AD204" i="13" s="1"/>
  <c r="N1511" i="8"/>
  <c r="W1508" i="8"/>
  <c r="W209" i="13"/>
  <c r="S195" i="13"/>
  <c r="S205" i="13" s="1"/>
  <c r="S1504" i="8"/>
  <c r="S91" i="13"/>
  <c r="S87" i="13"/>
  <c r="S89" i="13"/>
  <c r="S90" i="13"/>
  <c r="S92" i="13"/>
  <c r="S86" i="13"/>
  <c r="S84" i="13"/>
  <c r="S85" i="13"/>
  <c r="S88" i="13"/>
  <c r="V194" i="13"/>
  <c r="V204" i="13" s="1"/>
  <c r="Y56" i="13"/>
  <c r="Y66" i="13" s="1"/>
  <c r="S1542" i="8"/>
  <c r="S254" i="13"/>
  <c r="S253" i="13"/>
  <c r="S252" i="13"/>
  <c r="S259" i="13"/>
  <c r="S257" i="13"/>
  <c r="S251" i="13"/>
  <c r="S256" i="13"/>
  <c r="S255" i="13"/>
  <c r="S258" i="13"/>
  <c r="M115" i="2"/>
  <c r="N1512" i="8"/>
  <c r="V190" i="13"/>
  <c r="V200" i="13" s="1"/>
  <c r="Z189" i="13"/>
  <c r="N1501" i="8"/>
  <c r="N55" i="13"/>
  <c r="N65" i="13" s="1"/>
  <c r="Z193" i="13"/>
  <c r="Z203" i="13" s="1"/>
  <c r="AE189" i="13"/>
  <c r="O194" i="13"/>
  <c r="O204" i="13" s="1"/>
  <c r="N189" i="13"/>
  <c r="AB191" i="13"/>
  <c r="AB201" i="13" s="1"/>
  <c r="O56" i="13"/>
  <c r="O66" i="13" s="1"/>
  <c r="Q194" i="13"/>
  <c r="Q204" i="13" s="1"/>
  <c r="Z56" i="13"/>
  <c r="Z66" i="13" s="1"/>
  <c r="M177" i="2"/>
  <c r="P262" i="13"/>
  <c r="L56" i="13"/>
  <c r="L66" i="13" s="1"/>
  <c r="Z195" i="13"/>
  <c r="Z205" i="13" s="1"/>
  <c r="M516" i="2"/>
  <c r="R55" i="13"/>
  <c r="R65" i="13" s="1"/>
  <c r="U132" i="13"/>
  <c r="U130" i="13"/>
  <c r="U131" i="13"/>
  <c r="U127" i="13"/>
  <c r="U129" i="13"/>
  <c r="U133" i="13"/>
  <c r="U134" i="13"/>
  <c r="U128" i="13"/>
  <c r="U126" i="13"/>
  <c r="U194" i="13"/>
  <c r="U204" i="13" s="1"/>
  <c r="T134" i="13"/>
  <c r="T127" i="13"/>
  <c r="T130" i="13"/>
  <c r="T126" i="13"/>
  <c r="T129" i="13"/>
  <c r="T132" i="13"/>
  <c r="T131" i="13"/>
  <c r="T128" i="13"/>
  <c r="T133" i="13"/>
  <c r="O1508" i="8"/>
  <c r="O209" i="13"/>
  <c r="Q132" i="13"/>
  <c r="Q126" i="13"/>
  <c r="Q134" i="13"/>
  <c r="Q130" i="13"/>
  <c r="Q127" i="13"/>
  <c r="Q128" i="13"/>
  <c r="Q129" i="13"/>
  <c r="Q133" i="13"/>
  <c r="Q131" i="13"/>
  <c r="M519" i="2"/>
  <c r="U1502" i="8"/>
  <c r="W77" i="13"/>
  <c r="W109" i="13" s="1"/>
  <c r="W199" i="13"/>
  <c r="Q1508" i="8"/>
  <c r="Q209" i="13"/>
  <c r="V215" i="13"/>
  <c r="V262" i="13" s="1"/>
  <c r="V264" i="13" s="1"/>
  <c r="M117" i="2"/>
  <c r="P1501" i="8"/>
  <c r="AB1498" i="8"/>
  <c r="N1540" i="8"/>
  <c r="N1514" i="8"/>
  <c r="N229" i="13"/>
  <c r="N230" i="13"/>
  <c r="N227" i="13"/>
  <c r="N223" i="13"/>
  <c r="N228" i="13"/>
  <c r="N231" i="13"/>
  <c r="N226" i="13"/>
  <c r="N224" i="13"/>
  <c r="N225" i="13"/>
  <c r="O262" i="13"/>
  <c r="M181" i="2"/>
  <c r="V76" i="13"/>
  <c r="AD1508" i="8"/>
  <c r="T1501" i="8"/>
  <c r="M514" i="2"/>
  <c r="M123" i="13"/>
  <c r="P60" i="13"/>
  <c r="O189" i="13"/>
  <c r="R51" i="13"/>
  <c r="R61" i="13" s="1"/>
  <c r="X52" i="13"/>
  <c r="X62" i="13" s="1"/>
  <c r="AE195" i="13"/>
  <c r="AE205" i="13" s="1"/>
  <c r="R262" i="13"/>
  <c r="R264" i="13" s="1"/>
  <c r="T51" i="13"/>
  <c r="T61" i="13" s="1"/>
  <c r="AE52" i="13"/>
  <c r="AE62" i="13" s="1"/>
  <c r="Q195" i="13"/>
  <c r="Q205" i="13" s="1"/>
  <c r="V195" i="13"/>
  <c r="V205" i="13" s="1"/>
  <c r="S262" i="13"/>
  <c r="S264" i="13" s="1"/>
  <c r="P133" i="13"/>
  <c r="P128" i="13"/>
  <c r="P132" i="13"/>
  <c r="P131" i="13"/>
  <c r="P129" i="13"/>
  <c r="P134" i="13"/>
  <c r="P127" i="13"/>
  <c r="P130" i="13"/>
  <c r="P126" i="13"/>
  <c r="T194" i="13"/>
  <c r="T204" i="13" s="1"/>
  <c r="M579" i="2"/>
  <c r="AB50" i="13"/>
  <c r="N195" i="13"/>
  <c r="N205" i="13" s="1"/>
  <c r="N1498" i="8"/>
  <c r="N70" i="13"/>
  <c r="AD55" i="13"/>
  <c r="AD65" i="13" s="1"/>
  <c r="U56" i="13"/>
  <c r="U66" i="13" s="1"/>
  <c r="T55" i="13"/>
  <c r="T65" i="13" s="1"/>
  <c r="O195" i="13"/>
  <c r="O205" i="13" s="1"/>
  <c r="AE1498" i="8"/>
  <c r="Q55" i="13"/>
  <c r="Q65" i="13" s="1"/>
  <c r="O193" i="13"/>
  <c r="O203" i="13" s="1"/>
  <c r="M176" i="2"/>
  <c r="P1543" i="8"/>
  <c r="P271" i="13"/>
  <c r="P267" i="13"/>
  <c r="P272" i="13"/>
  <c r="P269" i="13"/>
  <c r="P270" i="13"/>
  <c r="P266" i="13"/>
  <c r="P273" i="13"/>
  <c r="P265" i="13"/>
  <c r="P268" i="13"/>
  <c r="V56" i="13"/>
  <c r="V66" i="13" s="1"/>
  <c r="M518" i="2"/>
  <c r="M55" i="13"/>
  <c r="M65" i="13" s="1"/>
  <c r="M54" i="13"/>
  <c r="M64" i="13" s="1"/>
  <c r="AA195" i="13"/>
  <c r="AA205" i="13" s="1"/>
  <c r="V89" i="13"/>
  <c r="V85" i="13"/>
  <c r="V91" i="13"/>
  <c r="V86" i="13"/>
  <c r="V92" i="13"/>
  <c r="V88" i="13"/>
  <c r="V90" i="13"/>
  <c r="V87" i="13"/>
  <c r="V84" i="13"/>
  <c r="Q123" i="13"/>
  <c r="N175" i="2"/>
  <c r="M31" i="12"/>
  <c r="M83" i="8"/>
  <c r="M84" i="8" s="1"/>
  <c r="Q1498" i="8"/>
  <c r="Q70" i="13"/>
  <c r="W1498" i="8"/>
  <c r="W70" i="13"/>
  <c r="R194" i="13"/>
  <c r="R204" i="13" s="1"/>
  <c r="Q56" i="13"/>
  <c r="Q66" i="13" s="1"/>
  <c r="L1543" i="8"/>
  <c r="L266" i="13"/>
  <c r="L265" i="13"/>
  <c r="L270" i="13"/>
  <c r="L268" i="13"/>
  <c r="L272" i="13"/>
  <c r="L273" i="13"/>
  <c r="L269" i="13"/>
  <c r="L271" i="13"/>
  <c r="L267" i="13"/>
  <c r="S55" i="13"/>
  <c r="S65" i="13" s="1"/>
  <c r="AC55" i="13"/>
  <c r="AC65" i="13" s="1"/>
  <c r="S190" i="13"/>
  <c r="S200" i="13" s="1"/>
  <c r="R193" i="13"/>
  <c r="R203" i="13" s="1"/>
  <c r="M1508" i="8"/>
  <c r="M209" i="13"/>
  <c r="Q189" i="13"/>
  <c r="L1508" i="8"/>
  <c r="L209" i="13"/>
  <c r="M51" i="13"/>
  <c r="M61" i="13" s="1"/>
  <c r="M118" i="2"/>
  <c r="P54" i="13"/>
  <c r="P64" i="13" s="1"/>
  <c r="S191" i="13"/>
  <c r="S201" i="13" s="1"/>
  <c r="M576" i="2"/>
  <c r="Y194" i="13"/>
  <c r="Y204" i="13" s="1"/>
  <c r="Z191" i="13"/>
  <c r="Z201" i="13" s="1"/>
  <c r="L55" i="13"/>
  <c r="L65" i="13" s="1"/>
  <c r="N50" i="13"/>
  <c r="AA193" i="13"/>
  <c r="AA203" i="13" s="1"/>
  <c r="Q191" i="13"/>
  <c r="Q201" i="13" s="1"/>
  <c r="O1498" i="8"/>
  <c r="O70" i="13"/>
  <c r="AA1498" i="8"/>
  <c r="AE50" i="13"/>
  <c r="U195" i="13"/>
  <c r="U205" i="13" s="1"/>
  <c r="X71" i="13"/>
  <c r="O1543" i="8"/>
  <c r="O267" i="13"/>
  <c r="O266" i="13"/>
  <c r="O270" i="13"/>
  <c r="O268" i="13"/>
  <c r="O273" i="13"/>
  <c r="O265" i="13"/>
  <c r="O271" i="13"/>
  <c r="O269" i="13"/>
  <c r="O272" i="13"/>
  <c r="AC190" i="13"/>
  <c r="AC200" i="13" s="1"/>
  <c r="O123" i="13"/>
  <c r="AD189" i="13"/>
  <c r="T1498" i="8"/>
  <c r="T70" i="13"/>
  <c r="M127" i="13"/>
  <c r="M128" i="13"/>
  <c r="M132" i="13"/>
  <c r="M126" i="13"/>
  <c r="M134" i="13"/>
  <c r="M133" i="13"/>
  <c r="M129" i="13"/>
  <c r="M130" i="13"/>
  <c r="M131" i="13"/>
  <c r="S1498" i="8"/>
  <c r="S70" i="13"/>
  <c r="T195" i="13"/>
  <c r="T205" i="13" s="1"/>
  <c r="P1502" i="8"/>
  <c r="W119" i="13"/>
  <c r="W113" i="13"/>
  <c r="W115" i="13"/>
  <c r="W114" i="13"/>
  <c r="W112" i="13"/>
  <c r="W116" i="13"/>
  <c r="W118" i="13"/>
  <c r="W120" i="13"/>
  <c r="W117" i="13"/>
  <c r="R1501" i="8"/>
  <c r="M1514" i="8"/>
  <c r="M1540" i="8"/>
  <c r="M229" i="13"/>
  <c r="M226" i="13"/>
  <c r="M223" i="13"/>
  <c r="M225" i="13"/>
  <c r="M224" i="13"/>
  <c r="M228" i="13"/>
  <c r="M227" i="13"/>
  <c r="M231" i="13"/>
  <c r="M230" i="13"/>
  <c r="L199" i="13"/>
  <c r="M120" i="2"/>
  <c r="M574" i="2"/>
  <c r="M1498" i="8"/>
  <c r="M70" i="13"/>
  <c r="N1504" i="8"/>
  <c r="N87" i="13"/>
  <c r="N90" i="13"/>
  <c r="N91" i="13"/>
  <c r="N85" i="13"/>
  <c r="N86" i="13"/>
  <c r="N88" i="13"/>
  <c r="N84" i="13"/>
  <c r="N92" i="13"/>
  <c r="N89" i="13"/>
  <c r="V211" i="13"/>
  <c r="O1504" i="8"/>
  <c r="O86" i="13"/>
  <c r="O85" i="13"/>
  <c r="O89" i="13"/>
  <c r="O88" i="13"/>
  <c r="O91" i="13"/>
  <c r="O90" i="13"/>
  <c r="O84" i="13"/>
  <c r="O92" i="13"/>
  <c r="O87" i="13"/>
  <c r="AA60" i="13"/>
  <c r="R1508" i="8"/>
  <c r="R209" i="13"/>
  <c r="R1511" i="8"/>
  <c r="R123" i="13"/>
  <c r="M1502" i="8"/>
  <c r="X55" i="13"/>
  <c r="X65" i="13" s="1"/>
  <c r="O134" i="13"/>
  <c r="O129" i="13"/>
  <c r="O132" i="13"/>
  <c r="O127" i="13"/>
  <c r="O131" i="13"/>
  <c r="O133" i="13"/>
  <c r="O126" i="13"/>
  <c r="O130" i="13"/>
  <c r="O128" i="13"/>
  <c r="T50" i="13"/>
  <c r="U191" i="13"/>
  <c r="U201" i="13" s="1"/>
  <c r="L128" i="13"/>
  <c r="L134" i="13"/>
  <c r="L133" i="13"/>
  <c r="L127" i="13"/>
  <c r="L130" i="13"/>
  <c r="L132" i="13"/>
  <c r="L126" i="13"/>
  <c r="L131" i="13"/>
  <c r="L129" i="13"/>
  <c r="AA1508" i="8"/>
  <c r="U262" i="13"/>
  <c r="U264" i="13" s="1"/>
  <c r="M199" i="13"/>
  <c r="Q262" i="13"/>
  <c r="Q264" i="13" s="1"/>
  <c r="S1508" i="8"/>
  <c r="S209" i="13"/>
  <c r="L1540" i="8"/>
  <c r="L1514" i="8"/>
  <c r="L231" i="13"/>
  <c r="L224" i="13"/>
  <c r="L230" i="13"/>
  <c r="L226" i="13"/>
  <c r="L223" i="13"/>
  <c r="L227" i="13"/>
  <c r="L229" i="13"/>
  <c r="L228" i="13"/>
  <c r="L225" i="13"/>
  <c r="N119" i="2"/>
  <c r="M23" i="12"/>
  <c r="M63" i="8"/>
  <c r="M64" i="8" s="1"/>
  <c r="M581" i="2"/>
  <c r="M60" i="13"/>
  <c r="T1512" i="8"/>
  <c r="R1502" i="8"/>
  <c r="O60" i="13"/>
  <c r="R199" i="13"/>
  <c r="R132" i="13"/>
  <c r="R128" i="13"/>
  <c r="R131" i="13"/>
  <c r="R134" i="13"/>
  <c r="R127" i="13"/>
  <c r="R126" i="13"/>
  <c r="R133" i="13"/>
  <c r="R129" i="13"/>
  <c r="R130" i="13"/>
  <c r="V1508" i="8"/>
  <c r="V209" i="13"/>
  <c r="X1498" i="8"/>
  <c r="T1504" i="8"/>
  <c r="T89" i="13"/>
  <c r="T88" i="13"/>
  <c r="T87" i="13"/>
  <c r="T90" i="13"/>
  <c r="T86" i="13"/>
  <c r="T85" i="13"/>
  <c r="T92" i="13"/>
  <c r="T84" i="13"/>
  <c r="T91" i="13"/>
  <c r="S194" i="13"/>
  <c r="S204" i="13" s="1"/>
  <c r="R1498" i="8"/>
  <c r="R70" i="13"/>
  <c r="AC1498" i="8"/>
  <c r="AC1508" i="8"/>
  <c r="S199" i="13"/>
  <c r="Z1498" i="8"/>
  <c r="R195" i="13"/>
  <c r="R205" i="13" s="1"/>
  <c r="L1512" i="8"/>
  <c r="M573" i="2"/>
  <c r="M1504" i="8"/>
  <c r="M85" i="13"/>
  <c r="M91" i="13"/>
  <c r="M90" i="13"/>
  <c r="M86" i="13"/>
  <c r="M84" i="13"/>
  <c r="M89" i="13"/>
  <c r="M87" i="13"/>
  <c r="M88" i="13"/>
  <c r="M92" i="13"/>
  <c r="AA51" i="13"/>
  <c r="AA61" i="13" s="1"/>
  <c r="Z194" i="13"/>
  <c r="Z204" i="13" s="1"/>
  <c r="V51" i="13"/>
  <c r="V61" i="13" s="1"/>
  <c r="Q190" i="13"/>
  <c r="Q200" i="13" s="1"/>
  <c r="U1508" i="8"/>
  <c r="U209" i="13"/>
  <c r="R54" i="13"/>
  <c r="R64" i="13" s="1"/>
  <c r="V189" i="13"/>
  <c r="X50" i="13"/>
  <c r="AE56" i="13"/>
  <c r="AE66" i="13" s="1"/>
  <c r="AE194" i="13"/>
  <c r="AE204" i="13" s="1"/>
  <c r="O55" i="13"/>
  <c r="O65" i="13" s="1"/>
  <c r="Z54" i="13"/>
  <c r="Z64" i="13" s="1"/>
  <c r="T56" i="13"/>
  <c r="T66" i="13" s="1"/>
  <c r="R1504" i="8"/>
  <c r="R91" i="13"/>
  <c r="R89" i="13"/>
  <c r="R86" i="13"/>
  <c r="R84" i="13"/>
  <c r="R85" i="13"/>
  <c r="R88" i="13"/>
  <c r="R87" i="13"/>
  <c r="R90" i="13"/>
  <c r="R92" i="13"/>
  <c r="AA199" i="13"/>
  <c r="O1502" i="8"/>
  <c r="AC60" i="13"/>
  <c r="O1511" i="8"/>
  <c r="Z60" i="13"/>
  <c r="AB1508" i="8"/>
  <c r="Y1498" i="8"/>
  <c r="O1501" i="8"/>
  <c r="M1512" i="8"/>
  <c r="S123" i="13"/>
  <c r="U199" i="13"/>
  <c r="N123" i="13"/>
  <c r="P1511" i="8"/>
  <c r="U1501" i="8"/>
  <c r="W848" i="8"/>
  <c r="W849" i="8" s="1"/>
  <c r="S799" i="2"/>
  <c r="S276" i="13" s="1"/>
  <c r="U791" i="2"/>
  <c r="U1344" i="8" s="1"/>
  <c r="U1345" i="8" s="1"/>
  <c r="T852" i="8"/>
  <c r="T853" i="8" s="1"/>
  <c r="T781" i="2"/>
  <c r="U836" i="8"/>
  <c r="U837" i="8" s="1"/>
  <c r="V660" i="2"/>
  <c r="U392" i="2"/>
  <c r="U948" i="8" s="1"/>
  <c r="U949" i="8" s="1"/>
  <c r="V260" i="2"/>
  <c r="T1236" i="8"/>
  <c r="T1237" i="8" s="1"/>
  <c r="U1244" i="8"/>
  <c r="U1245" i="8" s="1"/>
  <c r="V832" i="8"/>
  <c r="V833" i="8" s="1"/>
  <c r="T382" i="2"/>
  <c r="V762" i="2"/>
  <c r="U795" i="2"/>
  <c r="U1360" i="8" s="1"/>
  <c r="U1361" i="8" s="1"/>
  <c r="T395" i="2"/>
  <c r="T960" i="8" s="1"/>
  <c r="T961" i="8" s="1"/>
  <c r="T396" i="2"/>
  <c r="T964" i="8" s="1"/>
  <c r="T965" i="8" s="1"/>
  <c r="V363" i="2"/>
  <c r="T972" i="8"/>
  <c r="T973" i="8" s="1"/>
  <c r="V261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968" i="8"/>
  <c r="W969" i="8" s="1"/>
  <c r="W1288" i="8"/>
  <c r="W1289" i="8" s="1"/>
  <c r="P1292" i="8"/>
  <c r="P1293" i="8" s="1"/>
  <c r="P780" i="2"/>
  <c r="P1438" i="8" s="1"/>
  <c r="L948" i="8"/>
  <c r="L949" i="8" s="1"/>
  <c r="L400" i="2"/>
  <c r="L137" i="13" s="1"/>
  <c r="V359" i="2"/>
  <c r="V856" i="8" s="1"/>
  <c r="V857" i="8" s="1"/>
  <c r="U356" i="2"/>
  <c r="U396" i="2" s="1"/>
  <c r="L1292" i="8"/>
  <c r="L1293" i="8" s="1"/>
  <c r="L780" i="2"/>
  <c r="L1438" i="8" s="1"/>
  <c r="N948" i="8"/>
  <c r="N949" i="8" s="1"/>
  <c r="N400" i="2"/>
  <c r="N137" i="13" s="1"/>
  <c r="O1344" i="8"/>
  <c r="O1345" i="8" s="1"/>
  <c r="O799" i="2"/>
  <c r="O276" i="13" s="1"/>
  <c r="R1344" i="8"/>
  <c r="R1345" i="8" s="1"/>
  <c r="R799" i="2"/>
  <c r="R276" i="13" s="1"/>
  <c r="U754" i="2"/>
  <c r="U1236" i="8" s="1"/>
  <c r="U1237" i="8" s="1"/>
  <c r="U856" i="8"/>
  <c r="U857" i="8" s="1"/>
  <c r="V354" i="2"/>
  <c r="V394" i="2" s="1"/>
  <c r="N1292" i="8"/>
  <c r="N1293" i="8" s="1"/>
  <c r="N780" i="2"/>
  <c r="N1438" i="8" s="1"/>
  <c r="Q948" i="8"/>
  <c r="Q949" i="8" s="1"/>
  <c r="Q400" i="2"/>
  <c r="Q137" i="13" s="1"/>
  <c r="V751" i="2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N276" i="13" s="1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O137" i="13" s="1"/>
  <c r="S1256" i="8"/>
  <c r="S1257" i="8" s="1"/>
  <c r="S780" i="2"/>
  <c r="S1438" i="8" s="1"/>
  <c r="R780" i="2"/>
  <c r="R1438" i="8" s="1"/>
  <c r="R1316" i="8"/>
  <c r="R1317" i="8" s="1"/>
  <c r="R920" i="8"/>
  <c r="R921" i="8" s="1"/>
  <c r="Q1344" i="8"/>
  <c r="Q1345" i="8" s="1"/>
  <c r="Q799" i="2"/>
  <c r="Q276" i="13" s="1"/>
  <c r="R948" i="8"/>
  <c r="R949" i="8" s="1"/>
  <c r="R400" i="2"/>
  <c r="R137" i="13" s="1"/>
  <c r="V756" i="2"/>
  <c r="V1244" i="8" s="1"/>
  <c r="V1245" i="8" s="1"/>
  <c r="U355" i="2"/>
  <c r="U840" i="8" s="1"/>
  <c r="U841" i="8" s="1"/>
  <c r="P1344" i="8"/>
  <c r="P1345" i="8" s="1"/>
  <c r="P799" i="2"/>
  <c r="P276" i="13" s="1"/>
  <c r="M400" i="2"/>
  <c r="M137" i="13" s="1"/>
  <c r="M948" i="8"/>
  <c r="M949" i="8" s="1"/>
  <c r="S860" i="8"/>
  <c r="S861" i="8" s="1"/>
  <c r="S381" i="2"/>
  <c r="S1434" i="8" s="1"/>
  <c r="W758" i="2"/>
  <c r="W798" i="2" s="1"/>
  <c r="U753" i="2"/>
  <c r="U1232" i="8" s="1"/>
  <c r="U1233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L276" i="13" s="1"/>
  <c r="Q896" i="8"/>
  <c r="Q897" i="8" s="1"/>
  <c r="Q381" i="2"/>
  <c r="Q1434" i="8" s="1"/>
  <c r="P948" i="8"/>
  <c r="P949" i="8" s="1"/>
  <c r="P400" i="2"/>
  <c r="P137" i="13" s="1"/>
  <c r="R896" i="8"/>
  <c r="R897" i="8" s="1"/>
  <c r="R381" i="2"/>
  <c r="R1434" i="8" s="1"/>
  <c r="U752" i="2"/>
  <c r="U792" i="2" s="1"/>
  <c r="V352" i="2"/>
  <c r="U387" i="2"/>
  <c r="U932" i="8" s="1"/>
  <c r="U933" i="8" s="1"/>
  <c r="S400" i="2"/>
  <c r="X357" i="2"/>
  <c r="X848" i="8" s="1"/>
  <c r="X849" i="8" s="1"/>
  <c r="M1292" i="8"/>
  <c r="M1293" i="8" s="1"/>
  <c r="M780" i="2"/>
  <c r="M1438" i="8" s="1"/>
  <c r="M1344" i="8"/>
  <c r="M1345" i="8" s="1"/>
  <c r="M799" i="2"/>
  <c r="M276" i="13" s="1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F1129" i="8"/>
  <c r="T385" i="2"/>
  <c r="T924" i="8" s="1"/>
  <c r="T925" i="8" s="1"/>
  <c r="F1097" i="8"/>
  <c r="O924" i="8"/>
  <c r="O925" i="8" s="1"/>
  <c r="O390" i="2"/>
  <c r="F1109" i="8"/>
  <c r="F741" i="8"/>
  <c r="N390" i="2"/>
  <c r="N924" i="8"/>
  <c r="N925" i="8" s="1"/>
  <c r="Q1320" i="8"/>
  <c r="Q1321" i="8" s="1"/>
  <c r="Q789" i="2"/>
  <c r="F709" i="8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W74" i="13" s="1"/>
  <c r="V334" i="2"/>
  <c r="V345" i="2"/>
  <c r="V367" i="2" s="1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V996" i="8"/>
  <c r="V997" i="8" s="1"/>
  <c r="V730" i="2"/>
  <c r="W676" i="2"/>
  <c r="V741" i="2"/>
  <c r="V763" i="2" s="1"/>
  <c r="U1260" i="8"/>
  <c r="U1261" i="8" s="1"/>
  <c r="V1152" i="8"/>
  <c r="V1153" i="8" s="1"/>
  <c r="T777" i="2"/>
  <c r="T1312" i="8" s="1"/>
  <c r="T1313" i="8" s="1"/>
  <c r="Y616" i="8"/>
  <c r="Y617" i="8" s="1"/>
  <c r="Y346" i="2"/>
  <c r="Y368" i="2" s="1"/>
  <c r="Z281" i="2"/>
  <c r="Z75" i="13" s="1"/>
  <c r="Y335" i="2"/>
  <c r="W1012" i="8"/>
  <c r="W1013" i="8" s="1"/>
  <c r="W745" i="2"/>
  <c r="W767" i="2" s="1"/>
  <c r="X680" i="2"/>
  <c r="X214" i="13" s="1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70" i="2" s="1"/>
  <c r="W337" i="2"/>
  <c r="X283" i="2"/>
  <c r="W992" i="8"/>
  <c r="W993" i="8" s="1"/>
  <c r="X675" i="2"/>
  <c r="X209" i="13" s="1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66" i="2" s="1"/>
  <c r="W733" i="2"/>
  <c r="X679" i="2"/>
  <c r="X213" i="13" s="1"/>
  <c r="S778" i="2"/>
  <c r="Y277" i="2"/>
  <c r="Y71" i="13" s="1"/>
  <c r="X600" i="8"/>
  <c r="X601" i="8" s="1"/>
  <c r="X342" i="2"/>
  <c r="X364" i="2" s="1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T759" i="2"/>
  <c r="V620" i="8"/>
  <c r="V621" i="8" s="1"/>
  <c r="W282" i="2"/>
  <c r="W76" i="13" s="1"/>
  <c r="V347" i="2"/>
  <c r="V369" i="2" s="1"/>
  <c r="V336" i="2"/>
  <c r="U768" i="8"/>
  <c r="U769" i="8" s="1"/>
  <c r="V1276" i="8"/>
  <c r="V1277" i="8" s="1"/>
  <c r="V1204" i="8"/>
  <c r="V1205" i="8" s="1"/>
  <c r="T371" i="2"/>
  <c r="T896" i="8" s="1"/>
  <c r="T897" i="8" s="1"/>
  <c r="W1180" i="8"/>
  <c r="W1181" i="8" s="1"/>
  <c r="W604" i="8"/>
  <c r="W605" i="8" s="1"/>
  <c r="X278" i="2"/>
  <c r="X72" i="13" s="1"/>
  <c r="W343" i="2"/>
  <c r="W365" i="2" s="1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V765" i="2" s="1"/>
  <c r="W678" i="2"/>
  <c r="V608" i="8"/>
  <c r="V609" i="8" s="1"/>
  <c r="V344" i="2"/>
  <c r="V366" i="2" s="1"/>
  <c r="W279" i="2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V775" i="2"/>
  <c r="V1304" i="8" s="1"/>
  <c r="V1305" i="8" s="1"/>
  <c r="U804" i="8"/>
  <c r="U805" i="8" s="1"/>
  <c r="X1020" i="8"/>
  <c r="X1021" i="8" s="1"/>
  <c r="X747" i="2"/>
  <c r="X769" i="2" s="1"/>
  <c r="Y682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W211" i="13" s="1"/>
  <c r="V742" i="2"/>
  <c r="V764" i="2" s="1"/>
  <c r="V1000" i="8"/>
  <c r="V1001" i="8" s="1"/>
  <c r="V731" i="2"/>
  <c r="V1016" i="8"/>
  <c r="V1017" i="8" s="1"/>
  <c r="W681" i="2"/>
  <c r="W263" i="13" s="1"/>
  <c r="V735" i="2"/>
  <c r="V746" i="2"/>
  <c r="V768" i="2" s="1"/>
  <c r="M103" i="8" l="1"/>
  <c r="M104" i="8" s="1"/>
  <c r="M634" i="2"/>
  <c r="W221" i="13"/>
  <c r="M26" i="12"/>
  <c r="V123" i="13"/>
  <c r="M88" i="12"/>
  <c r="T1511" i="8"/>
  <c r="W89" i="13"/>
  <c r="N122" i="2"/>
  <c r="O122" i="2" s="1"/>
  <c r="M251" i="8"/>
  <c r="M252" i="8" s="1"/>
  <c r="U1512" i="8"/>
  <c r="W92" i="13"/>
  <c r="M20" i="12"/>
  <c r="M51" i="8"/>
  <c r="M52" i="8" s="1"/>
  <c r="W91" i="13"/>
  <c r="W1252" i="8"/>
  <c r="W1253" i="8" s="1"/>
  <c r="R1512" i="8"/>
  <c r="AA1509" i="8"/>
  <c r="M195" i="8"/>
  <c r="M196" i="8" s="1"/>
  <c r="M639" i="2"/>
  <c r="N639" i="2" s="1"/>
  <c r="M243" i="8"/>
  <c r="M244" i="8" s="1"/>
  <c r="M86" i="12"/>
  <c r="AC1499" i="8"/>
  <c r="M38" i="12"/>
  <c r="Q1511" i="8"/>
  <c r="N182" i="2"/>
  <c r="O182" i="2" s="1"/>
  <c r="Q1512" i="8"/>
  <c r="S1511" i="8"/>
  <c r="M71" i="12"/>
  <c r="M25" i="12"/>
  <c r="M71" i="8"/>
  <c r="M72" i="8" s="1"/>
  <c r="S649" i="2"/>
  <c r="M231" i="8"/>
  <c r="M232" i="8" s="1"/>
  <c r="M35" i="12"/>
  <c r="S1376" i="8"/>
  <c r="S1377" i="8" s="1"/>
  <c r="M83" i="12"/>
  <c r="M99" i="8"/>
  <c r="M100" i="8" s="1"/>
  <c r="X1509" i="8"/>
  <c r="S1436" i="8"/>
  <c r="M460" i="2"/>
  <c r="M64" i="12" s="1"/>
  <c r="S1435" i="8"/>
  <c r="M238" i="2"/>
  <c r="N238" i="2" s="1"/>
  <c r="W90" i="13"/>
  <c r="M240" i="2"/>
  <c r="N240" i="2" s="1"/>
  <c r="W87" i="13"/>
  <c r="N180" i="2"/>
  <c r="N103" i="8" s="1"/>
  <c r="N104" i="8" s="1"/>
  <c r="AB1509" i="8"/>
  <c r="M635" i="2"/>
  <c r="M95" i="12" s="1"/>
  <c r="U1509" i="8"/>
  <c r="V1504" i="8"/>
  <c r="V128" i="13"/>
  <c r="X82" i="13"/>
  <c r="X83" i="13" s="1"/>
  <c r="X90" i="13" s="1"/>
  <c r="V133" i="13"/>
  <c r="V126" i="13"/>
  <c r="V127" i="13"/>
  <c r="V131" i="13"/>
  <c r="T1503" i="8"/>
  <c r="M61" i="2"/>
  <c r="M13" i="12" s="1"/>
  <c r="M56" i="2"/>
  <c r="M8" i="12" s="1"/>
  <c r="Y1499" i="8"/>
  <c r="V130" i="13"/>
  <c r="T1500" i="8"/>
  <c r="M641" i="2"/>
  <c r="N641" i="2" s="1"/>
  <c r="M458" i="2"/>
  <c r="N458" i="2" s="1"/>
  <c r="M640" i="2"/>
  <c r="M100" i="12" s="1"/>
  <c r="M62" i="2"/>
  <c r="M39" i="8" s="1"/>
  <c r="M40" i="8" s="1"/>
  <c r="V134" i="13"/>
  <c r="M459" i="2"/>
  <c r="N459" i="2" s="1"/>
  <c r="M59" i="2"/>
  <c r="M11" i="12" s="1"/>
  <c r="W1512" i="8"/>
  <c r="W85" i="13"/>
  <c r="V129" i="13"/>
  <c r="W215" i="13"/>
  <c r="W262" i="13" s="1"/>
  <c r="W264" i="13" s="1"/>
  <c r="M457" i="2"/>
  <c r="N457" i="2" s="1"/>
  <c r="W210" i="13"/>
  <c r="W220" i="13" s="1"/>
  <c r="AA1499" i="8"/>
  <c r="M638" i="2"/>
  <c r="N638" i="2" s="1"/>
  <c r="M57" i="2"/>
  <c r="N57" i="2" s="1"/>
  <c r="W84" i="13"/>
  <c r="S1509" i="8"/>
  <c r="W88" i="13"/>
  <c r="M456" i="2"/>
  <c r="N456" i="2" s="1"/>
  <c r="M239" i="2"/>
  <c r="N239" i="2" s="1"/>
  <c r="R1543" i="8"/>
  <c r="R266" i="13"/>
  <c r="R269" i="13"/>
  <c r="R273" i="13"/>
  <c r="R265" i="13"/>
  <c r="R268" i="13"/>
  <c r="R270" i="13"/>
  <c r="R271" i="13"/>
  <c r="R267" i="13"/>
  <c r="R272" i="13"/>
  <c r="X1542" i="8"/>
  <c r="X251" i="13"/>
  <c r="X257" i="13"/>
  <c r="X255" i="13"/>
  <c r="X252" i="13"/>
  <c r="X259" i="13"/>
  <c r="X258" i="13"/>
  <c r="X253" i="13"/>
  <c r="X254" i="13"/>
  <c r="X256" i="13"/>
  <c r="V1543" i="8"/>
  <c r="V267" i="13"/>
  <c r="V270" i="13"/>
  <c r="V272" i="13"/>
  <c r="V266" i="13"/>
  <c r="V269" i="13"/>
  <c r="V271" i="13"/>
  <c r="V265" i="13"/>
  <c r="V273" i="13"/>
  <c r="V268" i="13"/>
  <c r="Q1543" i="8"/>
  <c r="Q266" i="13"/>
  <c r="Q272" i="13"/>
  <c r="Q267" i="13"/>
  <c r="Q273" i="13"/>
  <c r="Q265" i="13"/>
  <c r="Q270" i="13"/>
  <c r="Q268" i="13"/>
  <c r="Q269" i="13"/>
  <c r="Q271" i="13"/>
  <c r="N117" i="2"/>
  <c r="M21" i="12"/>
  <c r="M55" i="8"/>
  <c r="M56" i="8" s="1"/>
  <c r="T220" i="13"/>
  <c r="T222" i="13" s="1"/>
  <c r="T217" i="13"/>
  <c r="N513" i="2"/>
  <c r="M69" i="12"/>
  <c r="M187" i="8"/>
  <c r="M188" i="8" s="1"/>
  <c r="M522" i="2"/>
  <c r="M1531" i="8" s="1"/>
  <c r="N573" i="2"/>
  <c r="M81" i="12"/>
  <c r="M582" i="2"/>
  <c r="M1532" i="8" s="1"/>
  <c r="M223" i="8"/>
  <c r="M224" i="8" s="1"/>
  <c r="M1499" i="8"/>
  <c r="M461" i="2"/>
  <c r="M1503" i="8"/>
  <c r="Q81" i="13"/>
  <c r="Q78" i="13"/>
  <c r="N78" i="13"/>
  <c r="N81" i="13"/>
  <c r="Q220" i="13"/>
  <c r="Q222" i="13" s="1"/>
  <c r="Q217" i="13"/>
  <c r="O1510" i="8"/>
  <c r="M58" i="2"/>
  <c r="V78" i="13"/>
  <c r="V81" i="13"/>
  <c r="R1499" i="8"/>
  <c r="U1511" i="8"/>
  <c r="S1499" i="8"/>
  <c r="N581" i="2"/>
  <c r="M255" i="8"/>
  <c r="M256" i="8" s="1"/>
  <c r="M89" i="12"/>
  <c r="L1503" i="8"/>
  <c r="M234" i="2"/>
  <c r="N120" i="2"/>
  <c r="M24" i="12"/>
  <c r="M67" i="8"/>
  <c r="M68" i="8" s="1"/>
  <c r="O1513" i="8"/>
  <c r="L220" i="13"/>
  <c r="L217" i="13"/>
  <c r="M55" i="2"/>
  <c r="U81" i="13"/>
  <c r="U78" i="13"/>
  <c r="Q1499" i="8"/>
  <c r="N220" i="13"/>
  <c r="N217" i="13"/>
  <c r="N118" i="2"/>
  <c r="M59" i="8"/>
  <c r="M60" i="8" s="1"/>
  <c r="M22" i="12"/>
  <c r="W81" i="13"/>
  <c r="O575" i="2"/>
  <c r="N83" i="12"/>
  <c r="N231" i="8"/>
  <c r="N232" i="8" s="1"/>
  <c r="R1503" i="8"/>
  <c r="M454" i="2"/>
  <c r="M237" i="2"/>
  <c r="N1500" i="8"/>
  <c r="W123" i="13"/>
  <c r="M1510" i="8"/>
  <c r="O81" i="13"/>
  <c r="O78" i="13"/>
  <c r="S1543" i="8"/>
  <c r="S267" i="13"/>
  <c r="S271" i="13"/>
  <c r="S268" i="13"/>
  <c r="S265" i="13"/>
  <c r="S270" i="13"/>
  <c r="S266" i="13"/>
  <c r="S269" i="13"/>
  <c r="S273" i="13"/>
  <c r="S272" i="13"/>
  <c r="M637" i="2"/>
  <c r="N514" i="2"/>
  <c r="M70" i="12"/>
  <c r="M191" i="8"/>
  <c r="M192" i="8" s="1"/>
  <c r="N1510" i="8"/>
  <c r="AE1509" i="8"/>
  <c r="AE199" i="13"/>
  <c r="S1512" i="8"/>
  <c r="Y1509" i="8"/>
  <c r="Y199" i="13"/>
  <c r="O1500" i="8"/>
  <c r="F1508" i="8"/>
  <c r="M636" i="2"/>
  <c r="Q1503" i="8"/>
  <c r="U1503" i="8"/>
  <c r="N114" i="2"/>
  <c r="M123" i="2"/>
  <c r="M1523" i="8" s="1"/>
  <c r="M43" i="8"/>
  <c r="M44" i="8" s="1"/>
  <c r="M18" i="12"/>
  <c r="M60" i="2"/>
  <c r="N1513" i="8"/>
  <c r="V1501" i="8"/>
  <c r="P1509" i="8"/>
  <c r="P199" i="13"/>
  <c r="M283" i="8"/>
  <c r="M284" i="8" s="1"/>
  <c r="M99" i="12"/>
  <c r="N516" i="2"/>
  <c r="M72" i="12"/>
  <c r="M199" i="8"/>
  <c r="M200" i="8" s="1"/>
  <c r="W1509" i="8"/>
  <c r="L1500" i="8"/>
  <c r="M54" i="2"/>
  <c r="N577" i="2"/>
  <c r="M85" i="12"/>
  <c r="M239" i="8"/>
  <c r="M240" i="8" s="1"/>
  <c r="T1543" i="8"/>
  <c r="T265" i="13"/>
  <c r="T273" i="13"/>
  <c r="T269" i="13"/>
  <c r="T267" i="13"/>
  <c r="T272" i="13"/>
  <c r="T270" i="13"/>
  <c r="T271" i="13"/>
  <c r="T266" i="13"/>
  <c r="T268" i="13"/>
  <c r="O175" i="2"/>
  <c r="N31" i="12"/>
  <c r="N83" i="8"/>
  <c r="N84" i="8" s="1"/>
  <c r="P1500" i="8"/>
  <c r="N521" i="2"/>
  <c r="M219" i="8"/>
  <c r="M220" i="8" s="1"/>
  <c r="M77" i="12"/>
  <c r="N635" i="2"/>
  <c r="N574" i="2"/>
  <c r="M227" i="8"/>
  <c r="M228" i="8" s="1"/>
  <c r="M82" i="12"/>
  <c r="Z1499" i="8"/>
  <c r="S1503" i="8"/>
  <c r="M241" i="2"/>
  <c r="M242" i="2"/>
  <c r="N579" i="2"/>
  <c r="M247" i="8"/>
  <c r="M248" i="8" s="1"/>
  <c r="M87" i="12"/>
  <c r="Z1509" i="8"/>
  <c r="Z199" i="13"/>
  <c r="N1503" i="8"/>
  <c r="P220" i="13"/>
  <c r="P217" i="13"/>
  <c r="O1503" i="8"/>
  <c r="W96" i="13"/>
  <c r="W97" i="13" s="1"/>
  <c r="W73" i="13"/>
  <c r="W95" i="13" s="1"/>
  <c r="O220" i="13"/>
  <c r="O217" i="13"/>
  <c r="V1509" i="8"/>
  <c r="V199" i="13"/>
  <c r="M1500" i="8"/>
  <c r="M1509" i="8"/>
  <c r="M236" i="2"/>
  <c r="M78" i="13"/>
  <c r="M81" i="13"/>
  <c r="AD1509" i="8"/>
  <c r="AD199" i="13"/>
  <c r="O116" i="2"/>
  <c r="N20" i="12"/>
  <c r="N51" i="8"/>
  <c r="N52" i="8" s="1"/>
  <c r="Q1500" i="8"/>
  <c r="U1500" i="8"/>
  <c r="P1510" i="8"/>
  <c r="V1499" i="8"/>
  <c r="T1509" i="8"/>
  <c r="T199" i="13"/>
  <c r="L78" i="13"/>
  <c r="L81" i="13"/>
  <c r="O515" i="2"/>
  <c r="N195" i="8"/>
  <c r="N196" i="8" s="1"/>
  <c r="N71" i="12"/>
  <c r="S217" i="13"/>
  <c r="S220" i="13"/>
  <c r="S222" i="13" s="1"/>
  <c r="N1499" i="8"/>
  <c r="N60" i="13"/>
  <c r="O119" i="2"/>
  <c r="N23" i="12"/>
  <c r="N63" i="8"/>
  <c r="N64" i="8" s="1"/>
  <c r="T81" i="13"/>
  <c r="T78" i="13"/>
  <c r="N174" i="2"/>
  <c r="M79" i="8"/>
  <c r="M80" i="8" s="1"/>
  <c r="M30" i="12"/>
  <c r="M183" i="2"/>
  <c r="M1524" i="8" s="1"/>
  <c r="N634" i="2"/>
  <c r="M94" i="12"/>
  <c r="M263" i="8"/>
  <c r="M264" i="8" s="1"/>
  <c r="O580" i="2"/>
  <c r="N251" i="8"/>
  <c r="N252" i="8" s="1"/>
  <c r="N88" i="12"/>
  <c r="R1509" i="8"/>
  <c r="Y249" i="13"/>
  <c r="Y216" i="13"/>
  <c r="Y248" i="13" s="1"/>
  <c r="U1543" i="8"/>
  <c r="U266" i="13"/>
  <c r="U265" i="13"/>
  <c r="U269" i="13"/>
  <c r="U271" i="13"/>
  <c r="U270" i="13"/>
  <c r="U272" i="13"/>
  <c r="U267" i="13"/>
  <c r="U268" i="13"/>
  <c r="U273" i="13"/>
  <c r="V217" i="13"/>
  <c r="V220" i="13"/>
  <c r="V222" i="13" s="1"/>
  <c r="O1499" i="8"/>
  <c r="N576" i="2"/>
  <c r="M84" i="12"/>
  <c r="M235" i="8"/>
  <c r="M236" i="8" s="1"/>
  <c r="P1513" i="8"/>
  <c r="P1503" i="8"/>
  <c r="N519" i="2"/>
  <c r="M75" i="12"/>
  <c r="M211" i="8"/>
  <c r="M212" i="8" s="1"/>
  <c r="P81" i="13"/>
  <c r="P78" i="13"/>
  <c r="F1498" i="8"/>
  <c r="M235" i="2"/>
  <c r="Q1509" i="8"/>
  <c r="Q199" i="13"/>
  <c r="L1513" i="8"/>
  <c r="M633" i="2"/>
  <c r="O1509" i="8"/>
  <c r="O199" i="13"/>
  <c r="N177" i="2"/>
  <c r="M33" i="12"/>
  <c r="M91" i="8"/>
  <c r="M92" i="8" s="1"/>
  <c r="S81" i="13"/>
  <c r="S78" i="13"/>
  <c r="N518" i="2"/>
  <c r="M74" i="12"/>
  <c r="M207" i="8"/>
  <c r="M208" i="8" s="1"/>
  <c r="R1500" i="8"/>
  <c r="X1499" i="8"/>
  <c r="X60" i="13"/>
  <c r="X70" i="13"/>
  <c r="M1513" i="8"/>
  <c r="W235" i="13"/>
  <c r="W212" i="13"/>
  <c r="W234" i="13" s="1"/>
  <c r="S1431" i="8"/>
  <c r="S137" i="13"/>
  <c r="O121" i="2"/>
  <c r="N71" i="8"/>
  <c r="N72" i="8" s="1"/>
  <c r="N25" i="12"/>
  <c r="M167" i="8"/>
  <c r="M168" i="8" s="1"/>
  <c r="M61" i="12"/>
  <c r="T1499" i="8"/>
  <c r="T60" i="13"/>
  <c r="O179" i="2"/>
  <c r="N35" i="12"/>
  <c r="N99" i="8"/>
  <c r="N100" i="8" s="1"/>
  <c r="O578" i="2"/>
  <c r="N243" i="8"/>
  <c r="N244" i="8" s="1"/>
  <c r="N86" i="12"/>
  <c r="N115" i="2"/>
  <c r="M47" i="8"/>
  <c r="M48" i="8" s="1"/>
  <c r="M19" i="12"/>
  <c r="N517" i="2"/>
  <c r="M73" i="12"/>
  <c r="M203" i="8"/>
  <c r="M204" i="8" s="1"/>
  <c r="O180" i="2"/>
  <c r="N36" i="12"/>
  <c r="V236" i="13"/>
  <c r="N520" i="2"/>
  <c r="M76" i="12"/>
  <c r="M215" i="8"/>
  <c r="M216" i="8" s="1"/>
  <c r="L1499" i="8"/>
  <c r="L60" i="13"/>
  <c r="U1499" i="8"/>
  <c r="U60" i="13"/>
  <c r="N178" i="2"/>
  <c r="M34" i="12"/>
  <c r="M95" i="8"/>
  <c r="M96" i="8" s="1"/>
  <c r="W1499" i="8"/>
  <c r="AD1499" i="8"/>
  <c r="AD60" i="13"/>
  <c r="N176" i="2"/>
  <c r="M32" i="12"/>
  <c r="M87" i="8"/>
  <c r="M88" i="8" s="1"/>
  <c r="N61" i="2"/>
  <c r="M35" i="8"/>
  <c r="M36" i="8" s="1"/>
  <c r="W124" i="13"/>
  <c r="W125" i="13" s="1"/>
  <c r="R78" i="13"/>
  <c r="R81" i="13"/>
  <c r="L1509" i="8"/>
  <c r="M220" i="13"/>
  <c r="M217" i="13"/>
  <c r="AB1499" i="8"/>
  <c r="AB60" i="13"/>
  <c r="N181" i="2"/>
  <c r="M107" i="8"/>
  <c r="M108" i="8" s="1"/>
  <c r="M37" i="12"/>
  <c r="N56" i="2"/>
  <c r="M15" i="8"/>
  <c r="M16" i="8" s="1"/>
  <c r="M455" i="2"/>
  <c r="V1500" i="8"/>
  <c r="X110" i="13"/>
  <c r="X111" i="13" s="1"/>
  <c r="X77" i="13"/>
  <c r="X109" i="13" s="1"/>
  <c r="U217" i="13"/>
  <c r="U220" i="13"/>
  <c r="U222" i="13" s="1"/>
  <c r="L1510" i="8"/>
  <c r="M453" i="2"/>
  <c r="R220" i="13"/>
  <c r="R222" i="13" s="1"/>
  <c r="R217" i="13"/>
  <c r="W1502" i="8"/>
  <c r="AE1499" i="8"/>
  <c r="AE60" i="13"/>
  <c r="P1499" i="8"/>
  <c r="N1509" i="8"/>
  <c r="N199" i="13"/>
  <c r="S1500" i="8"/>
  <c r="AC1509" i="8"/>
  <c r="T799" i="2"/>
  <c r="T276" i="13" s="1"/>
  <c r="U777" i="2"/>
  <c r="U1312" i="8" s="1"/>
  <c r="U1313" i="8" s="1"/>
  <c r="W657" i="2"/>
  <c r="W659" i="2"/>
  <c r="U1228" i="8"/>
  <c r="U1229" i="8" s="1"/>
  <c r="V836" i="8"/>
  <c r="V837" i="8" s="1"/>
  <c r="U794" i="2"/>
  <c r="U1356" i="8" s="1"/>
  <c r="U1357" i="8" s="1"/>
  <c r="V782" i="2"/>
  <c r="W259" i="2"/>
  <c r="V791" i="2"/>
  <c r="V1344" i="8" s="1"/>
  <c r="V1345" i="8" s="1"/>
  <c r="V392" i="2"/>
  <c r="V948" i="8" s="1"/>
  <c r="V949" i="8" s="1"/>
  <c r="U395" i="2"/>
  <c r="U960" i="8" s="1"/>
  <c r="U961" i="8" s="1"/>
  <c r="U797" i="2"/>
  <c r="U1368" i="8" s="1"/>
  <c r="U1369" i="8" s="1"/>
  <c r="W660" i="2"/>
  <c r="W258" i="2"/>
  <c r="V795" i="2"/>
  <c r="V1360" i="8" s="1"/>
  <c r="V1361" i="8" s="1"/>
  <c r="U964" i="8"/>
  <c r="U965" i="8" s="1"/>
  <c r="V399" i="2"/>
  <c r="V976" i="8" s="1"/>
  <c r="V977" i="8" s="1"/>
  <c r="W363" i="2"/>
  <c r="W261" i="2"/>
  <c r="U793" i="2"/>
  <c r="U1352" i="8" s="1"/>
  <c r="U1353" i="8" s="1"/>
  <c r="V383" i="2"/>
  <c r="V956" i="8"/>
  <c r="V957" i="8" s="1"/>
  <c r="W260" i="2"/>
  <c r="W1372" i="8"/>
  <c r="W1373" i="8" s="1"/>
  <c r="X397" i="2"/>
  <c r="X968" i="8" s="1"/>
  <c r="X969" i="8" s="1"/>
  <c r="W762" i="2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R779" i="2"/>
  <c r="R1448" i="8" s="1"/>
  <c r="V376" i="2"/>
  <c r="V908" i="8" s="1"/>
  <c r="V909" i="8" s="1"/>
  <c r="W658" i="2"/>
  <c r="T400" i="2"/>
  <c r="U844" i="8"/>
  <c r="U845" i="8" s="1"/>
  <c r="U781" i="2"/>
  <c r="U382" i="2"/>
  <c r="X868" i="8"/>
  <c r="X869" i="8" s="1"/>
  <c r="W892" i="8"/>
  <c r="W893" i="8" s="1"/>
  <c r="W952" i="8"/>
  <c r="W953" i="8" s="1"/>
  <c r="U876" i="8"/>
  <c r="U877" i="8" s="1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N250" i="2"/>
  <c r="N980" i="8"/>
  <c r="N981" i="8" s="1"/>
  <c r="N1432" i="8"/>
  <c r="N1431" i="8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Q380" i="2"/>
  <c r="P1340" i="8"/>
  <c r="P779" i="2"/>
  <c r="P944" i="8"/>
  <c r="P380" i="2"/>
  <c r="V757" i="2"/>
  <c r="V797" i="2" s="1"/>
  <c r="V375" i="2"/>
  <c r="V904" i="8" s="1"/>
  <c r="V905" i="8" s="1"/>
  <c r="S250" i="2"/>
  <c r="X758" i="2"/>
  <c r="X1252" i="8" s="1"/>
  <c r="X1253" i="8" s="1"/>
  <c r="U378" i="2"/>
  <c r="U916" i="8" s="1"/>
  <c r="U917" i="8" s="1"/>
  <c r="W352" i="2"/>
  <c r="W756" i="2"/>
  <c r="W796" i="2" s="1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S1432" i="8"/>
  <c r="M1431" i="8"/>
  <c r="M1432" i="8"/>
  <c r="M980" i="8"/>
  <c r="M981" i="8" s="1"/>
  <c r="M250" i="2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V396" i="2" s="1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436" i="8"/>
  <c r="U784" i="2"/>
  <c r="U1320" i="8" s="1"/>
  <c r="U1321" i="8" s="1"/>
  <c r="V737" i="2"/>
  <c r="V1184" i="8" s="1"/>
  <c r="V1185" i="8" s="1"/>
  <c r="V752" i="2"/>
  <c r="V792" i="2" s="1"/>
  <c r="W786" i="2"/>
  <c r="W1328" i="8" s="1"/>
  <c r="W1329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X280" i="2"/>
  <c r="W334" i="2"/>
  <c r="W345" i="2"/>
  <c r="W367" i="2" s="1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X729" i="2"/>
  <c r="V1224" i="8"/>
  <c r="V1225" i="8" s="1"/>
  <c r="W1168" i="8"/>
  <c r="W1169" i="8" s="1"/>
  <c r="W1000" i="8"/>
  <c r="W1001" i="8" s="1"/>
  <c r="X677" i="2"/>
  <c r="X211" i="13" s="1"/>
  <c r="W742" i="2"/>
  <c r="W764" i="2" s="1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67" i="2" s="1"/>
  <c r="Y680" i="2"/>
  <c r="Y214" i="13" s="1"/>
  <c r="X734" i="2"/>
  <c r="U770" i="2"/>
  <c r="U1292" i="8" s="1"/>
  <c r="U1293" i="8" s="1"/>
  <c r="W608" i="8"/>
  <c r="W609" i="8" s="1"/>
  <c r="W333" i="2"/>
  <c r="W344" i="2"/>
  <c r="W366" i="2" s="1"/>
  <c r="X279" i="2"/>
  <c r="Y1020" i="8"/>
  <c r="Y1021" i="8" s="1"/>
  <c r="Y747" i="2"/>
  <c r="Y769" i="2" s="1"/>
  <c r="Z682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X370" i="2" s="1"/>
  <c r="Y283" i="2"/>
  <c r="W620" i="8"/>
  <c r="W621" i="8" s="1"/>
  <c r="X282" i="2"/>
  <c r="X76" i="13" s="1"/>
  <c r="W336" i="2"/>
  <c r="W347" i="2"/>
  <c r="W369" i="2" s="1"/>
  <c r="X796" i="8"/>
  <c r="X797" i="8" s="1"/>
  <c r="U371" i="2"/>
  <c r="U896" i="8" s="1"/>
  <c r="U897" i="8" s="1"/>
  <c r="V1192" i="8"/>
  <c r="V1193" i="8" s="1"/>
  <c r="W732" i="2"/>
  <c r="W743" i="2"/>
  <c r="W765" i="2" s="1"/>
  <c r="W1004" i="8"/>
  <c r="W1005" i="8" s="1"/>
  <c r="X678" i="2"/>
  <c r="W996" i="8"/>
  <c r="W997" i="8" s="1"/>
  <c r="W730" i="2"/>
  <c r="W741" i="2"/>
  <c r="W763" i="2" s="1"/>
  <c r="X676" i="2"/>
  <c r="X210" i="13" s="1"/>
  <c r="V1212" i="8"/>
  <c r="V1213" i="8" s="1"/>
  <c r="U389" i="2"/>
  <c r="U940" i="8" s="1"/>
  <c r="U941" i="8" s="1"/>
  <c r="V1164" i="8"/>
  <c r="V1165" i="8" s="1"/>
  <c r="Z277" i="2"/>
  <c r="Z71" i="13" s="1"/>
  <c r="Y600" i="8"/>
  <c r="Y601" i="8" s="1"/>
  <c r="Y342" i="2"/>
  <c r="Y364" i="2" s="1"/>
  <c r="Y331" i="2"/>
  <c r="V828" i="8"/>
  <c r="V829" i="8" s="1"/>
  <c r="U360" i="2"/>
  <c r="Z616" i="8"/>
  <c r="Z617" i="8" s="1"/>
  <c r="Z346" i="2"/>
  <c r="Z368" i="2" s="1"/>
  <c r="AA281" i="2"/>
  <c r="AA75" i="13" s="1"/>
  <c r="Z335" i="2"/>
  <c r="V1156" i="8"/>
  <c r="V1157" i="8" s="1"/>
  <c r="V1176" i="8"/>
  <c r="V1177" i="8" s="1"/>
  <c r="T789" i="2"/>
  <c r="T1340" i="8" s="1"/>
  <c r="Y276" i="2"/>
  <c r="X330" i="2"/>
  <c r="X596" i="8"/>
  <c r="X597" i="8" s="1"/>
  <c r="X341" i="2"/>
  <c r="Y812" i="8"/>
  <c r="Y813" i="8" s="1"/>
  <c r="X604" i="8"/>
  <c r="X605" i="8" s="1"/>
  <c r="Y278" i="2"/>
  <c r="Y72" i="13" s="1"/>
  <c r="X343" i="2"/>
  <c r="X365" i="2" s="1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X215" i="13" s="1"/>
  <c r="X262" i="13" s="1"/>
  <c r="W746" i="2"/>
  <c r="W768" i="2" s="1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679" i="2"/>
  <c r="X744" i="2"/>
  <c r="X766" i="2" s="1"/>
  <c r="X1008" i="8"/>
  <c r="X1009" i="8" s="1"/>
  <c r="X733" i="2"/>
  <c r="W1188" i="8"/>
  <c r="W1189" i="8" s="1"/>
  <c r="W756" i="8"/>
  <c r="W757" i="8" s="1"/>
  <c r="V748" i="2"/>
  <c r="V1220" i="8" s="1"/>
  <c r="V1221" i="8" s="1"/>
  <c r="N75" i="8" l="1"/>
  <c r="N76" i="8" s="1"/>
  <c r="N26" i="12"/>
  <c r="N460" i="2"/>
  <c r="M63" i="12"/>
  <c r="M175" i="8"/>
  <c r="M176" i="8" s="1"/>
  <c r="N111" i="8"/>
  <c r="N112" i="8" s="1"/>
  <c r="N38" i="12"/>
  <c r="W222" i="13"/>
  <c r="W223" i="13" s="1"/>
  <c r="M179" i="8"/>
  <c r="M180" i="8" s="1"/>
  <c r="M131" i="8"/>
  <c r="M132" i="8" s="1"/>
  <c r="M46" i="12"/>
  <c r="X91" i="13"/>
  <c r="M14" i="12"/>
  <c r="N59" i="2"/>
  <c r="O59" i="2" s="1"/>
  <c r="M48" i="12"/>
  <c r="M139" i="8"/>
  <c r="M140" i="8" s="1"/>
  <c r="M267" i="8"/>
  <c r="M268" i="8" s="1"/>
  <c r="N62" i="2"/>
  <c r="O62" i="2" s="1"/>
  <c r="X89" i="13"/>
  <c r="X88" i="13"/>
  <c r="X87" i="13"/>
  <c r="N640" i="2"/>
  <c r="O640" i="2" s="1"/>
  <c r="X86" i="13"/>
  <c r="X84" i="13"/>
  <c r="M98" i="12"/>
  <c r="X85" i="13"/>
  <c r="M279" i="8"/>
  <c r="M280" i="8" s="1"/>
  <c r="X92" i="13"/>
  <c r="M19" i="8"/>
  <c r="M20" i="8" s="1"/>
  <c r="M60" i="12"/>
  <c r="M9" i="12"/>
  <c r="M163" i="8"/>
  <c r="M164" i="8" s="1"/>
  <c r="M291" i="8"/>
  <c r="M292" i="8" s="1"/>
  <c r="V1503" i="8"/>
  <c r="V1513" i="8"/>
  <c r="M27" i="8"/>
  <c r="M28" i="8" s="1"/>
  <c r="M39" i="12"/>
  <c r="M1482" i="8" s="1"/>
  <c r="M1483" i="8" s="1"/>
  <c r="W1500" i="8"/>
  <c r="W236" i="13"/>
  <c r="W245" i="13" s="1"/>
  <c r="W269" i="13"/>
  <c r="W266" i="13"/>
  <c r="W270" i="13"/>
  <c r="W1543" i="8"/>
  <c r="W265" i="13"/>
  <c r="W273" i="13"/>
  <c r="W271" i="13"/>
  <c r="W272" i="13"/>
  <c r="W268" i="13"/>
  <c r="W267" i="13"/>
  <c r="M135" i="8"/>
  <c r="M136" i="8" s="1"/>
  <c r="M47" i="12"/>
  <c r="X1512" i="8"/>
  <c r="M62" i="12"/>
  <c r="M171" i="8"/>
  <c r="M172" i="8" s="1"/>
  <c r="M287" i="8"/>
  <c r="M288" i="8" s="1"/>
  <c r="M101" i="12"/>
  <c r="W78" i="13"/>
  <c r="W138" i="13" s="1"/>
  <c r="W1540" i="8"/>
  <c r="W227" i="13"/>
  <c r="W228" i="13"/>
  <c r="W230" i="13"/>
  <c r="W226" i="13"/>
  <c r="W225" i="13"/>
  <c r="N461" i="2"/>
  <c r="M65" i="12"/>
  <c r="M183" i="8"/>
  <c r="M184" i="8" s="1"/>
  <c r="N54" i="2"/>
  <c r="M6" i="12"/>
  <c r="M7" i="8"/>
  <c r="M8" i="8" s="1"/>
  <c r="M63" i="2"/>
  <c r="M1522" i="8" s="1"/>
  <c r="O1505" i="8"/>
  <c r="O1506" i="8"/>
  <c r="O138" i="13"/>
  <c r="O139" i="13" s="1"/>
  <c r="O1507" i="8" s="1"/>
  <c r="U1506" i="8"/>
  <c r="U1505" i="8"/>
  <c r="U138" i="13"/>
  <c r="M1536" i="8"/>
  <c r="M1528" i="8"/>
  <c r="O634" i="2"/>
  <c r="N263" i="8"/>
  <c r="N264" i="8" s="1"/>
  <c r="N94" i="12"/>
  <c r="O178" i="2"/>
  <c r="N34" i="12"/>
  <c r="N95" i="8"/>
  <c r="N96" i="8" s="1"/>
  <c r="O457" i="2"/>
  <c r="N167" i="8"/>
  <c r="N168" i="8" s="1"/>
  <c r="N61" i="12"/>
  <c r="N60" i="2"/>
  <c r="M31" i="8"/>
  <c r="M32" i="8" s="1"/>
  <c r="M12" i="12"/>
  <c r="N1505" i="8"/>
  <c r="N1506" i="8"/>
  <c r="N138" i="13"/>
  <c r="N139" i="13" s="1"/>
  <c r="N1507" i="8" s="1"/>
  <c r="M1489" i="8"/>
  <c r="M90" i="12"/>
  <c r="M1472" i="8" s="1"/>
  <c r="P180" i="2"/>
  <c r="O36" i="12"/>
  <c r="O103" i="8"/>
  <c r="O104" i="8" s="1"/>
  <c r="N241" i="2"/>
  <c r="M143" i="8"/>
  <c r="M144" i="8" s="1"/>
  <c r="M49" i="12"/>
  <c r="P182" i="2"/>
  <c r="O38" i="12"/>
  <c r="O111" i="8"/>
  <c r="O112" i="8" s="1"/>
  <c r="N453" i="2"/>
  <c r="M57" i="12"/>
  <c r="M462" i="2"/>
  <c r="M1530" i="8" s="1"/>
  <c r="M151" i="8"/>
  <c r="M152" i="8" s="1"/>
  <c r="X212" i="13"/>
  <c r="X234" i="13" s="1"/>
  <c r="X235" i="13"/>
  <c r="O181" i="2"/>
  <c r="N107" i="8"/>
  <c r="N108" i="8" s="1"/>
  <c r="N37" i="12"/>
  <c r="O517" i="2"/>
  <c r="N203" i="8"/>
  <c r="N204" i="8" s="1"/>
  <c r="N73" i="12"/>
  <c r="U1513" i="8"/>
  <c r="S1515" i="8"/>
  <c r="S1538" i="8"/>
  <c r="S1516" i="8"/>
  <c r="S277" i="13"/>
  <c r="S278" i="13" s="1"/>
  <c r="T1376" i="8"/>
  <c r="T1377" i="8" s="1"/>
  <c r="U1540" i="8"/>
  <c r="U1514" i="8"/>
  <c r="U229" i="13"/>
  <c r="U227" i="13"/>
  <c r="U223" i="13"/>
  <c r="U225" i="13"/>
  <c r="U226" i="13"/>
  <c r="U228" i="13"/>
  <c r="U230" i="13"/>
  <c r="U224" i="13"/>
  <c r="U231" i="13"/>
  <c r="O176" i="2"/>
  <c r="N32" i="12"/>
  <c r="N87" i="8"/>
  <c r="N88" i="8" s="1"/>
  <c r="W217" i="13"/>
  <c r="X221" i="13"/>
  <c r="M27" i="12"/>
  <c r="O514" i="2"/>
  <c r="N191" i="8"/>
  <c r="N192" i="8" s="1"/>
  <c r="N70" i="12"/>
  <c r="N55" i="2"/>
  <c r="M7" i="12"/>
  <c r="M11" i="8"/>
  <c r="M12" i="8" s="1"/>
  <c r="Q1505" i="8"/>
  <c r="Q1506" i="8"/>
  <c r="Q138" i="13"/>
  <c r="Q139" i="13" s="1"/>
  <c r="Q1507" i="8" s="1"/>
  <c r="O573" i="2"/>
  <c r="N81" i="12"/>
  <c r="N582" i="2"/>
  <c r="N1532" i="8" s="1"/>
  <c r="N223" i="8"/>
  <c r="N224" i="8" s="1"/>
  <c r="O460" i="2"/>
  <c r="N179" i="8"/>
  <c r="N180" i="8" s="1"/>
  <c r="N64" i="12"/>
  <c r="P119" i="2"/>
  <c r="O23" i="12"/>
  <c r="O63" i="8"/>
  <c r="O64" i="8" s="1"/>
  <c r="O117" i="2"/>
  <c r="N21" i="12"/>
  <c r="N55" i="8"/>
  <c r="N56" i="8" s="1"/>
  <c r="Y110" i="13"/>
  <c r="Y111" i="13" s="1"/>
  <c r="Y77" i="13"/>
  <c r="Y109" i="13" s="1"/>
  <c r="Q1515" i="8"/>
  <c r="Q1516" i="8"/>
  <c r="Q1538" i="8"/>
  <c r="Q277" i="13"/>
  <c r="Q278" i="13" s="1"/>
  <c r="O574" i="2"/>
  <c r="N82" i="12"/>
  <c r="N227" i="8"/>
  <c r="N228" i="8" s="1"/>
  <c r="O577" i="2"/>
  <c r="N239" i="8"/>
  <c r="N240" i="8" s="1"/>
  <c r="N85" i="12"/>
  <c r="O240" i="2"/>
  <c r="N48" i="12"/>
  <c r="N139" i="8"/>
  <c r="N140" i="8" s="1"/>
  <c r="Q1514" i="8"/>
  <c r="Q1540" i="8"/>
  <c r="Q223" i="13"/>
  <c r="Q230" i="13"/>
  <c r="Q224" i="13"/>
  <c r="Q231" i="13"/>
  <c r="Q225" i="13"/>
  <c r="Q226" i="13"/>
  <c r="Q228" i="13"/>
  <c r="Q229" i="13"/>
  <c r="Q227" i="13"/>
  <c r="S1514" i="8"/>
  <c r="S1540" i="8"/>
  <c r="S227" i="13"/>
  <c r="S225" i="13"/>
  <c r="S224" i="13"/>
  <c r="S229" i="13"/>
  <c r="S228" i="13"/>
  <c r="S223" i="13"/>
  <c r="S231" i="13"/>
  <c r="S230" i="13"/>
  <c r="S226" i="13"/>
  <c r="T649" i="2"/>
  <c r="O576" i="2"/>
  <c r="N235" i="8"/>
  <c r="N236" i="8" s="1"/>
  <c r="N84" i="12"/>
  <c r="P1515" i="8"/>
  <c r="P1516" i="8"/>
  <c r="P1538" i="8"/>
  <c r="P277" i="13"/>
  <c r="P278" i="13" s="1"/>
  <c r="U1538" i="8"/>
  <c r="U1516" i="8"/>
  <c r="U1515" i="8"/>
  <c r="U277" i="13"/>
  <c r="N235" i="2"/>
  <c r="M119" i="8"/>
  <c r="M120" i="8" s="1"/>
  <c r="M43" i="12"/>
  <c r="O635" i="2"/>
  <c r="N95" i="12"/>
  <c r="N267" i="8"/>
  <c r="N268" i="8" s="1"/>
  <c r="N637" i="2"/>
  <c r="M275" i="8"/>
  <c r="M276" i="8" s="1"/>
  <c r="M97" i="12"/>
  <c r="O581" i="2"/>
  <c r="N255" i="8"/>
  <c r="N256" i="8" s="1"/>
  <c r="N89" i="12"/>
  <c r="M1535" i="8"/>
  <c r="M1527" i="8"/>
  <c r="Q1513" i="8"/>
  <c r="O120" i="2"/>
  <c r="N67" i="8"/>
  <c r="N68" i="8" s="1"/>
  <c r="N24" i="12"/>
  <c r="R1515" i="8"/>
  <c r="R1538" i="8"/>
  <c r="R1516" i="8"/>
  <c r="R277" i="13"/>
  <c r="R278" i="13" s="1"/>
  <c r="R1540" i="8"/>
  <c r="R1514" i="8"/>
  <c r="R225" i="13"/>
  <c r="R229" i="13"/>
  <c r="R227" i="13"/>
  <c r="R226" i="13"/>
  <c r="R228" i="13"/>
  <c r="R230" i="13"/>
  <c r="R223" i="13"/>
  <c r="R224" i="13"/>
  <c r="R231" i="13"/>
  <c r="P515" i="2"/>
  <c r="O71" i="12"/>
  <c r="O195" i="8"/>
  <c r="O196" i="8" s="1"/>
  <c r="O456" i="2"/>
  <c r="N163" i="8"/>
  <c r="N164" i="8" s="1"/>
  <c r="N60" i="12"/>
  <c r="X124" i="13"/>
  <c r="X125" i="13" s="1"/>
  <c r="X74" i="13"/>
  <c r="X123" i="13" s="1"/>
  <c r="N633" i="2"/>
  <c r="M642" i="2"/>
  <c r="M1533" i="8" s="1"/>
  <c r="M259" i="8"/>
  <c r="M260" i="8" s="1"/>
  <c r="M93" i="12"/>
  <c r="M1515" i="8"/>
  <c r="M1516" i="8"/>
  <c r="M1538" i="8"/>
  <c r="M277" i="13"/>
  <c r="M278" i="13" s="1"/>
  <c r="O115" i="2"/>
  <c r="N19" i="12"/>
  <c r="N47" i="8"/>
  <c r="N48" i="8" s="1"/>
  <c r="T980" i="8"/>
  <c r="T981" i="8" s="1"/>
  <c r="T137" i="13"/>
  <c r="O638" i="2"/>
  <c r="N98" i="12"/>
  <c r="N279" i="8"/>
  <c r="N280" i="8" s="1"/>
  <c r="F1499" i="8"/>
  <c r="O518" i="2"/>
  <c r="N207" i="8"/>
  <c r="N208" i="8" s="1"/>
  <c r="N74" i="12"/>
  <c r="Y250" i="13"/>
  <c r="T1513" i="8"/>
  <c r="O114" i="2"/>
  <c r="N18" i="12"/>
  <c r="N43" i="8"/>
  <c r="N44" i="8" s="1"/>
  <c r="N123" i="2"/>
  <c r="N1523" i="8" s="1"/>
  <c r="N237" i="2"/>
  <c r="M45" i="12"/>
  <c r="M127" i="8"/>
  <c r="M128" i="8" s="1"/>
  <c r="M1488" i="8"/>
  <c r="M78" i="12"/>
  <c r="M1471" i="8" s="1"/>
  <c r="P121" i="2"/>
  <c r="O25" i="12"/>
  <c r="O71" i="8"/>
  <c r="O72" i="8" s="1"/>
  <c r="R1513" i="8"/>
  <c r="F1509" i="8"/>
  <c r="X263" i="13"/>
  <c r="X264" i="13" s="1"/>
  <c r="S1505" i="8"/>
  <c r="S1506" i="8"/>
  <c r="S138" i="13"/>
  <c r="S139" i="13" s="1"/>
  <c r="S1507" i="8" s="1"/>
  <c r="P1505" i="8"/>
  <c r="P1506" i="8"/>
  <c r="P138" i="13"/>
  <c r="P139" i="13" s="1"/>
  <c r="P1507" i="8" s="1"/>
  <c r="V1540" i="8"/>
  <c r="V1514" i="8"/>
  <c r="V231" i="13"/>
  <c r="V226" i="13"/>
  <c r="V229" i="13"/>
  <c r="V223" i="13"/>
  <c r="V224" i="13"/>
  <c r="V228" i="13"/>
  <c r="V227" i="13"/>
  <c r="V225" i="13"/>
  <c r="V230" i="13"/>
  <c r="O174" i="2"/>
  <c r="N30" i="12"/>
  <c r="N79" i="8"/>
  <c r="N80" i="8" s="1"/>
  <c r="N183" i="2"/>
  <c r="N1524" i="8" s="1"/>
  <c r="P122" i="2"/>
  <c r="O26" i="12"/>
  <c r="O75" i="8"/>
  <c r="O76" i="8" s="1"/>
  <c r="O521" i="2"/>
  <c r="N219" i="8"/>
  <c r="N220" i="8" s="1"/>
  <c r="N77" i="12"/>
  <c r="N454" i="2"/>
  <c r="M155" i="8"/>
  <c r="M156" i="8" s="1"/>
  <c r="M58" i="12"/>
  <c r="L1538" i="8"/>
  <c r="L1516" i="8"/>
  <c r="L1515" i="8"/>
  <c r="L277" i="13"/>
  <c r="L278" i="13" s="1"/>
  <c r="O641" i="2"/>
  <c r="N291" i="8"/>
  <c r="N292" i="8" s="1"/>
  <c r="N101" i="12"/>
  <c r="O513" i="2"/>
  <c r="N69" i="12"/>
  <c r="N522" i="2"/>
  <c r="N1531" i="8" s="1"/>
  <c r="N187" i="8"/>
  <c r="N188" i="8" s="1"/>
  <c r="X96" i="13"/>
  <c r="X97" i="13" s="1"/>
  <c r="X73" i="13"/>
  <c r="X95" i="13" s="1"/>
  <c r="N234" i="2"/>
  <c r="M42" i="12"/>
  <c r="M115" i="8"/>
  <c r="M116" i="8" s="1"/>
  <c r="M243" i="2"/>
  <c r="M1525" i="8" s="1"/>
  <c r="P116" i="2"/>
  <c r="O20" i="12"/>
  <c r="O51" i="8"/>
  <c r="O52" i="8" s="1"/>
  <c r="X118" i="13"/>
  <c r="X113" i="13"/>
  <c r="X116" i="13"/>
  <c r="X120" i="13"/>
  <c r="X119" i="13"/>
  <c r="X115" i="13"/>
  <c r="X117" i="13"/>
  <c r="X112" i="13"/>
  <c r="X114" i="13"/>
  <c r="P578" i="2"/>
  <c r="O86" i="12"/>
  <c r="O243" i="8"/>
  <c r="O244" i="8" s="1"/>
  <c r="V1538" i="8"/>
  <c r="V1516" i="8"/>
  <c r="V1515" i="8"/>
  <c r="V277" i="13"/>
  <c r="T1506" i="8"/>
  <c r="T1505" i="8"/>
  <c r="T138" i="13"/>
  <c r="N39" i="8"/>
  <c r="N40" i="8" s="1"/>
  <c r="O516" i="2"/>
  <c r="N199" i="8"/>
  <c r="N200" i="8" s="1"/>
  <c r="N72" i="12"/>
  <c r="O118" i="2"/>
  <c r="N22" i="12"/>
  <c r="N59" i="8"/>
  <c r="N60" i="8" s="1"/>
  <c r="T1538" i="8"/>
  <c r="T1516" i="8"/>
  <c r="T1515" i="8"/>
  <c r="T277" i="13"/>
  <c r="T278" i="13" s="1"/>
  <c r="W105" i="13"/>
  <c r="W106" i="13"/>
  <c r="W99" i="13"/>
  <c r="W101" i="13"/>
  <c r="W98" i="13"/>
  <c r="W104" i="13"/>
  <c r="W100" i="13"/>
  <c r="W102" i="13"/>
  <c r="W103" i="13"/>
  <c r="W1504" i="8"/>
  <c r="O56" i="2"/>
  <c r="N15" i="8"/>
  <c r="N16" i="8" s="1"/>
  <c r="N8" i="12"/>
  <c r="O61" i="2"/>
  <c r="N35" i="8"/>
  <c r="N36" i="8" s="1"/>
  <c r="N13" i="12"/>
  <c r="O459" i="2"/>
  <c r="N175" i="8"/>
  <c r="N176" i="8" s="1"/>
  <c r="N63" i="12"/>
  <c r="Y82" i="13"/>
  <c r="Y83" i="13" s="1"/>
  <c r="Y70" i="13"/>
  <c r="Z216" i="13"/>
  <c r="Z248" i="13" s="1"/>
  <c r="Z249" i="13"/>
  <c r="Y209" i="13"/>
  <c r="R1505" i="8"/>
  <c r="R1506" i="8"/>
  <c r="R138" i="13"/>
  <c r="R139" i="13" s="1"/>
  <c r="R1507" i="8" s="1"/>
  <c r="O520" i="2"/>
  <c r="N215" i="8"/>
  <c r="N216" i="8" s="1"/>
  <c r="N76" i="12"/>
  <c r="M1505" i="8"/>
  <c r="M1506" i="8"/>
  <c r="M138" i="13"/>
  <c r="M139" i="13" s="1"/>
  <c r="M1507" i="8" s="1"/>
  <c r="O1515" i="8"/>
  <c r="O1538" i="8"/>
  <c r="O1516" i="8"/>
  <c r="O277" i="13"/>
  <c r="O278" i="13" s="1"/>
  <c r="N636" i="2"/>
  <c r="M96" i="12"/>
  <c r="M271" i="8"/>
  <c r="M272" i="8" s="1"/>
  <c r="O57" i="2"/>
  <c r="N9" i="12"/>
  <c r="N19" i="8"/>
  <c r="N20" i="8" s="1"/>
  <c r="N1515" i="8"/>
  <c r="N1538" i="8"/>
  <c r="N1516" i="8"/>
  <c r="N277" i="13"/>
  <c r="N278" i="13" s="1"/>
  <c r="T1540" i="8"/>
  <c r="T1514" i="8"/>
  <c r="T224" i="13"/>
  <c r="T229" i="13"/>
  <c r="T223" i="13"/>
  <c r="T228" i="13"/>
  <c r="T226" i="13"/>
  <c r="T227" i="13"/>
  <c r="T231" i="13"/>
  <c r="T230" i="13"/>
  <c r="T225" i="13"/>
  <c r="P580" i="2"/>
  <c r="O251" i="8"/>
  <c r="O252" i="8" s="1"/>
  <c r="O88" i="12"/>
  <c r="O458" i="2"/>
  <c r="N171" i="8"/>
  <c r="N172" i="8" s="1"/>
  <c r="N62" i="12"/>
  <c r="V1541" i="8"/>
  <c r="V239" i="13"/>
  <c r="V243" i="13"/>
  <c r="V242" i="13"/>
  <c r="V244" i="13"/>
  <c r="V241" i="13"/>
  <c r="V240" i="13"/>
  <c r="V245" i="13"/>
  <c r="V237" i="13"/>
  <c r="V238" i="13"/>
  <c r="L1506" i="8"/>
  <c r="L1505" i="8"/>
  <c r="L138" i="13"/>
  <c r="L139" i="13" s="1"/>
  <c r="L1507" i="8" s="1"/>
  <c r="N236" i="2"/>
  <c r="M44" i="12"/>
  <c r="M123" i="8"/>
  <c r="M124" i="8" s="1"/>
  <c r="O579" i="2"/>
  <c r="N247" i="8"/>
  <c r="N248" i="8" s="1"/>
  <c r="N87" i="12"/>
  <c r="O238" i="2"/>
  <c r="N46" i="12"/>
  <c r="N131" i="8"/>
  <c r="N132" i="8" s="1"/>
  <c r="S1513" i="8"/>
  <c r="V1506" i="8"/>
  <c r="V1505" i="8"/>
  <c r="V138" i="13"/>
  <c r="X220" i="13"/>
  <c r="Y213" i="13"/>
  <c r="N455" i="2"/>
  <c r="M59" i="12"/>
  <c r="M159" i="8"/>
  <c r="M160" i="8" s="1"/>
  <c r="T1435" i="8"/>
  <c r="W126" i="13"/>
  <c r="W132" i="13"/>
  <c r="W130" i="13"/>
  <c r="W131" i="13"/>
  <c r="W133" i="13"/>
  <c r="W129" i="13"/>
  <c r="W128" i="13"/>
  <c r="W134" i="13"/>
  <c r="W127" i="13"/>
  <c r="P179" i="2"/>
  <c r="O35" i="12"/>
  <c r="O99" i="8"/>
  <c r="O100" i="8" s="1"/>
  <c r="X81" i="13"/>
  <c r="O177" i="2"/>
  <c r="N33" i="12"/>
  <c r="N91" i="8"/>
  <c r="N92" i="8" s="1"/>
  <c r="O519" i="2"/>
  <c r="N211" i="8"/>
  <c r="N212" i="8" s="1"/>
  <c r="N75" i="12"/>
  <c r="N242" i="2"/>
  <c r="M50" i="12"/>
  <c r="M147" i="8"/>
  <c r="M148" i="8" s="1"/>
  <c r="P175" i="2"/>
  <c r="O31" i="12"/>
  <c r="O83" i="8"/>
  <c r="O84" i="8" s="1"/>
  <c r="O639" i="2"/>
  <c r="N283" i="8"/>
  <c r="N284" i="8" s="1"/>
  <c r="N99" i="12"/>
  <c r="P575" i="2"/>
  <c r="O83" i="12"/>
  <c r="O231" i="8"/>
  <c r="O232" i="8" s="1"/>
  <c r="N58" i="2"/>
  <c r="M23" i="8"/>
  <c r="M24" i="8" s="1"/>
  <c r="M10" i="12"/>
  <c r="O239" i="2"/>
  <c r="N47" i="12"/>
  <c r="N135" i="8"/>
  <c r="N136" i="8" s="1"/>
  <c r="W392" i="2"/>
  <c r="W948" i="8" s="1"/>
  <c r="W949" i="8" s="1"/>
  <c r="R1437" i="8"/>
  <c r="X260" i="2"/>
  <c r="V398" i="2"/>
  <c r="V972" i="8" s="1"/>
  <c r="V973" i="8" s="1"/>
  <c r="W394" i="2"/>
  <c r="W956" i="8" s="1"/>
  <c r="W957" i="8" s="1"/>
  <c r="Y397" i="2"/>
  <c r="Y968" i="8" s="1"/>
  <c r="Y969" i="8" s="1"/>
  <c r="W1244" i="8"/>
  <c r="W1245" i="8" s="1"/>
  <c r="V844" i="8"/>
  <c r="V845" i="8" s="1"/>
  <c r="X798" i="2"/>
  <c r="X1372" i="8" s="1"/>
  <c r="X1373" i="8" s="1"/>
  <c r="W791" i="2"/>
  <c r="W1344" i="8" s="1"/>
  <c r="W1345" i="8" s="1"/>
  <c r="U400" i="2"/>
  <c r="X657" i="2"/>
  <c r="X259" i="2"/>
  <c r="X261" i="2"/>
  <c r="X363" i="2"/>
  <c r="X762" i="2"/>
  <c r="X832" i="8"/>
  <c r="X833" i="8" s="1"/>
  <c r="W782" i="2"/>
  <c r="W383" i="2"/>
  <c r="W399" i="2"/>
  <c r="W976" i="8" s="1"/>
  <c r="W977" i="8" s="1"/>
  <c r="V793" i="2"/>
  <c r="V1352" i="8" s="1"/>
  <c r="V1353" i="8" s="1"/>
  <c r="V395" i="2"/>
  <c r="V960" i="8" s="1"/>
  <c r="V961" i="8" s="1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V1348" i="8"/>
  <c r="V1349" i="8" s="1"/>
  <c r="T1432" i="8"/>
  <c r="X258" i="2"/>
  <c r="Y884" i="8"/>
  <c r="Y885" i="8" s="1"/>
  <c r="V964" i="8"/>
  <c r="V965" i="8" s="1"/>
  <c r="X658" i="2"/>
  <c r="T250" i="2"/>
  <c r="U799" i="2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P1433" i="8"/>
  <c r="P1445" i="8"/>
  <c r="W880" i="8"/>
  <c r="W881" i="8" s="1"/>
  <c r="S1433" i="8"/>
  <c r="S1445" i="8"/>
  <c r="P1437" i="8"/>
  <c r="P1448" i="8"/>
  <c r="Q1437" i="8"/>
  <c r="Q1448" i="8"/>
  <c r="Q1433" i="8"/>
  <c r="Q1445" i="8"/>
  <c r="O1437" i="8"/>
  <c r="O1448" i="8"/>
  <c r="S1437" i="8"/>
  <c r="S1448" i="8"/>
  <c r="R1433" i="8"/>
  <c r="R1445" i="8"/>
  <c r="X755" i="2"/>
  <c r="X1240" i="8" s="1"/>
  <c r="X1241" i="8" s="1"/>
  <c r="W355" i="2"/>
  <c r="W395" i="2" s="1"/>
  <c r="T920" i="8"/>
  <c r="T921" i="8" s="1"/>
  <c r="T380" i="2"/>
  <c r="W356" i="2"/>
  <c r="W844" i="8" s="1"/>
  <c r="W845" i="8" s="1"/>
  <c r="X756" i="2"/>
  <c r="X1244" i="8" s="1"/>
  <c r="X1245" i="8" s="1"/>
  <c r="W757" i="2"/>
  <c r="W1248" i="8" s="1"/>
  <c r="W1249" i="8" s="1"/>
  <c r="X751" i="2"/>
  <c r="X352" i="2"/>
  <c r="U860" i="8"/>
  <c r="U861" i="8" s="1"/>
  <c r="U381" i="2"/>
  <c r="U1434" i="8" s="1"/>
  <c r="W752" i="2"/>
  <c r="W358" i="2"/>
  <c r="W852" i="8" s="1"/>
  <c r="W853" i="8" s="1"/>
  <c r="Y758" i="2"/>
  <c r="Y798" i="2" s="1"/>
  <c r="T779" i="2"/>
  <c r="X354" i="2"/>
  <c r="X836" i="8" s="1"/>
  <c r="X837" i="8" s="1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Y353" i="2"/>
  <c r="Y393" i="2" s="1"/>
  <c r="W754" i="2"/>
  <c r="W1236" i="8" s="1"/>
  <c r="W1237" i="8" s="1"/>
  <c r="X359" i="2"/>
  <c r="X399" i="2" s="1"/>
  <c r="X976" i="8" s="1"/>
  <c r="X977" i="8" s="1"/>
  <c r="W753" i="2"/>
  <c r="W1232" i="8" s="1"/>
  <c r="W1233" i="8" s="1"/>
  <c r="W748" i="2"/>
  <c r="W1220" i="8" s="1"/>
  <c r="W1221" i="8" s="1"/>
  <c r="W386" i="2"/>
  <c r="W928" i="8" s="1"/>
  <c r="W929" i="8" s="1"/>
  <c r="V788" i="2"/>
  <c r="V1336" i="8" s="1"/>
  <c r="V1337" i="8" s="1"/>
  <c r="U789" i="2"/>
  <c r="U1340" i="8" s="1"/>
  <c r="V385" i="2"/>
  <c r="V924" i="8" s="1"/>
  <c r="V925" i="8" s="1"/>
  <c r="W808" i="8"/>
  <c r="W809" i="8" s="1"/>
  <c r="W772" i="8"/>
  <c r="W773" i="8" s="1"/>
  <c r="X612" i="8"/>
  <c r="X613" i="8" s="1"/>
  <c r="Y280" i="2"/>
  <c r="X345" i="2"/>
  <c r="X367" i="2" s="1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Y365" i="2" s="1"/>
  <c r="Z278" i="2"/>
  <c r="Z72" i="13" s="1"/>
  <c r="W1164" i="8"/>
  <c r="W1165" i="8" s="1"/>
  <c r="X620" i="8"/>
  <c r="X621" i="8" s="1"/>
  <c r="X336" i="2"/>
  <c r="Y282" i="2"/>
  <c r="Y76" i="13" s="1"/>
  <c r="X347" i="2"/>
  <c r="X369" i="2" s="1"/>
  <c r="V389" i="2"/>
  <c r="V940" i="8" s="1"/>
  <c r="V941" i="8" s="1"/>
  <c r="Y1008" i="8"/>
  <c r="Y1009" i="8" s="1"/>
  <c r="Z679" i="2"/>
  <c r="Y733" i="2"/>
  <c r="Y744" i="2"/>
  <c r="Y766" i="2" s="1"/>
  <c r="AB281" i="2"/>
  <c r="AB75" i="13" s="1"/>
  <c r="AA616" i="8"/>
  <c r="AA617" i="8" s="1"/>
  <c r="AA346" i="2"/>
  <c r="AA368" i="2" s="1"/>
  <c r="AA335" i="2"/>
  <c r="V1264" i="8"/>
  <c r="V1265" i="8" s="1"/>
  <c r="V785" i="2"/>
  <c r="V1324" i="8" s="1"/>
  <c r="V1325" i="8" s="1"/>
  <c r="Y624" i="8"/>
  <c r="Y625" i="8" s="1"/>
  <c r="Y348" i="2"/>
  <c r="Y370" i="2" s="1"/>
  <c r="Y337" i="2"/>
  <c r="Z283" i="2"/>
  <c r="Y1012" i="8"/>
  <c r="Y1013" i="8" s="1"/>
  <c r="Y745" i="2"/>
  <c r="Y767" i="2" s="1"/>
  <c r="Z680" i="2"/>
  <c r="Z214" i="13" s="1"/>
  <c r="Y734" i="2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Z1020" i="8"/>
  <c r="Z1021" i="8" s="1"/>
  <c r="Z736" i="2"/>
  <c r="AA682" i="2"/>
  <c r="Z747" i="2"/>
  <c r="Z769" i="2" s="1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X763" i="2" s="1"/>
  <c r="Y676" i="2"/>
  <c r="Y210" i="13" s="1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344" i="2"/>
  <c r="X366" i="2" s="1"/>
  <c r="Y279" i="2"/>
  <c r="W1196" i="8"/>
  <c r="W1197" i="8" s="1"/>
  <c r="W1268" i="8"/>
  <c r="W1269" i="8" s="1"/>
  <c r="V770" i="2"/>
  <c r="V1292" i="8" s="1"/>
  <c r="V1293" i="8" s="1"/>
  <c r="X1016" i="8"/>
  <c r="X1017" i="8" s="1"/>
  <c r="X735" i="2"/>
  <c r="X746" i="2"/>
  <c r="X768" i="2" s="1"/>
  <c r="Y681" i="2"/>
  <c r="Y215" i="13" s="1"/>
  <c r="V1248" i="8"/>
  <c r="V1249" i="8" s="1"/>
  <c r="V773" i="2"/>
  <c r="AA277" i="2"/>
  <c r="AA71" i="13" s="1"/>
  <c r="Z331" i="2"/>
  <c r="Z600" i="8"/>
  <c r="Z601" i="8" s="1"/>
  <c r="Z342" i="2"/>
  <c r="Z364" i="2" s="1"/>
  <c r="X1004" i="8"/>
  <c r="X1005" i="8" s="1"/>
  <c r="X743" i="2"/>
  <c r="X765" i="2" s="1"/>
  <c r="X732" i="2"/>
  <c r="Y678" i="2"/>
  <c r="W804" i="8"/>
  <c r="W805" i="8" s="1"/>
  <c r="W876" i="8"/>
  <c r="W877" i="8" s="1"/>
  <c r="W376" i="2"/>
  <c r="W908" i="8" s="1"/>
  <c r="W909" i="8" s="1"/>
  <c r="X1000" i="8"/>
  <c r="X1001" i="8" s="1"/>
  <c r="Y677" i="2"/>
  <c r="Y211" i="13" s="1"/>
  <c r="X742" i="2"/>
  <c r="X764" i="2" s="1"/>
  <c r="X731" i="2"/>
  <c r="V774" i="2"/>
  <c r="V1300" i="8" s="1"/>
  <c r="V1301" i="8" s="1"/>
  <c r="W244" i="13" l="1"/>
  <c r="W1505" i="8"/>
  <c r="W1506" i="8"/>
  <c r="N27" i="8"/>
  <c r="N28" i="8" s="1"/>
  <c r="W231" i="13"/>
  <c r="N11" i="12"/>
  <c r="W229" i="13"/>
  <c r="W224" i="13"/>
  <c r="W1510" i="8" s="1"/>
  <c r="W242" i="13"/>
  <c r="M1468" i="8"/>
  <c r="X1500" i="8"/>
  <c r="N100" i="12"/>
  <c r="N287" i="8"/>
  <c r="N288" i="8" s="1"/>
  <c r="W1541" i="8"/>
  <c r="N14" i="12"/>
  <c r="W237" i="13"/>
  <c r="W238" i="13"/>
  <c r="W240" i="13"/>
  <c r="W239" i="13"/>
  <c r="X236" i="13"/>
  <c r="X239" i="13" s="1"/>
  <c r="W1514" i="8"/>
  <c r="W243" i="13"/>
  <c r="W241" i="13"/>
  <c r="M15" i="12"/>
  <c r="M1466" i="8" s="1"/>
  <c r="T139" i="13"/>
  <c r="T1507" i="8" s="1"/>
  <c r="W1513" i="8"/>
  <c r="T1510" i="8"/>
  <c r="W1501" i="8"/>
  <c r="T1517" i="8"/>
  <c r="T1539" i="8"/>
  <c r="P516" i="2"/>
  <c r="O199" i="8"/>
  <c r="O200" i="8" s="1"/>
  <c r="O72" i="12"/>
  <c r="N1489" i="8"/>
  <c r="N90" i="12"/>
  <c r="N1472" i="8" s="1"/>
  <c r="P459" i="2"/>
  <c r="O63" i="12"/>
  <c r="O175" i="8"/>
  <c r="O176" i="8" s="1"/>
  <c r="P174" i="2"/>
  <c r="O30" i="12"/>
  <c r="O79" i="8"/>
  <c r="O80" i="8" s="1"/>
  <c r="O183" i="2"/>
  <c r="O1524" i="8" s="1"/>
  <c r="P635" i="2"/>
  <c r="O95" i="12"/>
  <c r="O267" i="8"/>
  <c r="O268" i="8" s="1"/>
  <c r="M51" i="12"/>
  <c r="M1490" i="8"/>
  <c r="M102" i="12"/>
  <c r="M1473" i="8" s="1"/>
  <c r="Z110" i="13"/>
  <c r="Z111" i="13" s="1"/>
  <c r="Z77" i="13"/>
  <c r="Z109" i="13" s="1"/>
  <c r="P519" i="2"/>
  <c r="O75" i="12"/>
  <c r="O211" i="8"/>
  <c r="O212" i="8" s="1"/>
  <c r="V1511" i="8"/>
  <c r="Q580" i="2"/>
  <c r="P88" i="12"/>
  <c r="P251" i="8"/>
  <c r="P252" i="8" s="1"/>
  <c r="P520" i="2"/>
  <c r="O215" i="8"/>
  <c r="O216" i="8" s="1"/>
  <c r="O76" i="12"/>
  <c r="O234" i="2"/>
  <c r="N42" i="12"/>
  <c r="N115" i="8"/>
  <c r="N116" i="8" s="1"/>
  <c r="N243" i="2"/>
  <c r="N1525" i="8" s="1"/>
  <c r="P120" i="2"/>
  <c r="O24" i="12"/>
  <c r="O67" i="8"/>
  <c r="O68" i="8" s="1"/>
  <c r="S1539" i="8"/>
  <c r="S1517" i="8"/>
  <c r="M1534" i="8"/>
  <c r="M1526" i="8"/>
  <c r="Q116" i="2"/>
  <c r="P20" i="12"/>
  <c r="P51" i="8"/>
  <c r="P52" i="8" s="1"/>
  <c r="P518" i="2"/>
  <c r="O74" i="12"/>
  <c r="O207" i="8"/>
  <c r="O208" i="8" s="1"/>
  <c r="N1539" i="8"/>
  <c r="N1517" i="8"/>
  <c r="Y114" i="13"/>
  <c r="Y120" i="13"/>
  <c r="Y117" i="13"/>
  <c r="Y119" i="13"/>
  <c r="Y112" i="13"/>
  <c r="Y115" i="13"/>
  <c r="Y113" i="13"/>
  <c r="Y116" i="13"/>
  <c r="Y118" i="13"/>
  <c r="W1538" i="8"/>
  <c r="W1516" i="8"/>
  <c r="W1515" i="8"/>
  <c r="W277" i="13"/>
  <c r="P178" i="2"/>
  <c r="O34" i="12"/>
  <c r="O95" i="8"/>
  <c r="O96" i="8" s="1"/>
  <c r="Y235" i="13"/>
  <c r="Y212" i="13"/>
  <c r="Y234" i="13" s="1"/>
  <c r="O58" i="2"/>
  <c r="N23" i="8"/>
  <c r="N24" i="8" s="1"/>
  <c r="N10" i="12"/>
  <c r="P62" i="2"/>
  <c r="O14" i="12"/>
  <c r="O39" i="8"/>
  <c r="O40" i="8" s="1"/>
  <c r="R1510" i="8"/>
  <c r="P576" i="2"/>
  <c r="O84" i="12"/>
  <c r="O235" i="8"/>
  <c r="O236" i="8" s="1"/>
  <c r="P240" i="2"/>
  <c r="O48" i="12"/>
  <c r="O139" i="8"/>
  <c r="O140" i="8" s="1"/>
  <c r="P61" i="2"/>
  <c r="O13" i="12"/>
  <c r="O35" i="8"/>
  <c r="O36" i="8" s="1"/>
  <c r="O237" i="2"/>
  <c r="N127" i="8"/>
  <c r="N128" i="8" s="1"/>
  <c r="N45" i="12"/>
  <c r="M1537" i="8"/>
  <c r="M1529" i="8"/>
  <c r="P117" i="2"/>
  <c r="O55" i="8"/>
  <c r="O56" i="8" s="1"/>
  <c r="O21" i="12"/>
  <c r="P176" i="2"/>
  <c r="O87" i="8"/>
  <c r="O88" i="8" s="1"/>
  <c r="O32" i="12"/>
  <c r="M66" i="12"/>
  <c r="M1470" i="8" s="1"/>
  <c r="M1487" i="8"/>
  <c r="P634" i="2"/>
  <c r="O94" i="12"/>
  <c r="O263" i="8"/>
  <c r="O264" i="8" s="1"/>
  <c r="O54" i="2"/>
  <c r="N6" i="12"/>
  <c r="N7" i="8"/>
  <c r="N8" i="8" s="1"/>
  <c r="N63" i="2"/>
  <c r="N1522" i="8" s="1"/>
  <c r="L1539" i="8"/>
  <c r="L1517" i="8"/>
  <c r="P181" i="2"/>
  <c r="O37" i="12"/>
  <c r="O107" i="8"/>
  <c r="O108" i="8" s="1"/>
  <c r="P640" i="2"/>
  <c r="O287" i="8"/>
  <c r="O288" i="8" s="1"/>
  <c r="O100" i="12"/>
  <c r="Y96" i="13"/>
  <c r="Y97" i="13" s="1"/>
  <c r="Y73" i="13"/>
  <c r="Y95" i="13" s="1"/>
  <c r="Q575" i="2"/>
  <c r="P231" i="8"/>
  <c r="P232" i="8" s="1"/>
  <c r="P83" i="12"/>
  <c r="X99" i="13"/>
  <c r="X102" i="13"/>
  <c r="X105" i="13"/>
  <c r="X100" i="13"/>
  <c r="X106" i="13"/>
  <c r="X101" i="13"/>
  <c r="X98" i="13"/>
  <c r="X103" i="13"/>
  <c r="X104" i="13"/>
  <c r="X1504" i="8"/>
  <c r="O454" i="2"/>
  <c r="N58" i="12"/>
  <c r="N155" i="8"/>
  <c r="N156" i="8" s="1"/>
  <c r="X1543" i="8"/>
  <c r="X270" i="13"/>
  <c r="X273" i="13"/>
  <c r="X269" i="13"/>
  <c r="X272" i="13"/>
  <c r="X271" i="13"/>
  <c r="X266" i="13"/>
  <c r="X268" i="13"/>
  <c r="X265" i="13"/>
  <c r="X267" i="13"/>
  <c r="P638" i="2"/>
  <c r="O98" i="12"/>
  <c r="O279" i="8"/>
  <c r="O280" i="8" s="1"/>
  <c r="O633" i="2"/>
  <c r="N259" i="8"/>
  <c r="N260" i="8" s="1"/>
  <c r="N93" i="12"/>
  <c r="N642" i="2"/>
  <c r="N1533" i="8" s="1"/>
  <c r="O235" i="2"/>
  <c r="N43" i="12"/>
  <c r="N119" i="8"/>
  <c r="N120" i="8" s="1"/>
  <c r="P577" i="2"/>
  <c r="O85" i="12"/>
  <c r="O239" i="8"/>
  <c r="O240" i="8" s="1"/>
  <c r="O453" i="2"/>
  <c r="N151" i="8"/>
  <c r="N152" i="8" s="1"/>
  <c r="N462" i="2"/>
  <c r="N1530" i="8" s="1"/>
  <c r="N57" i="12"/>
  <c r="X240" i="13"/>
  <c r="X242" i="13"/>
  <c r="Z209" i="13"/>
  <c r="P177" i="2"/>
  <c r="O33" i="12"/>
  <c r="O91" i="8"/>
  <c r="O92" i="8" s="1"/>
  <c r="O55" i="2"/>
  <c r="N7" i="12"/>
  <c r="N11" i="8"/>
  <c r="N12" i="8" s="1"/>
  <c r="P57" i="2"/>
  <c r="O19" i="8"/>
  <c r="O20" i="8" s="1"/>
  <c r="O9" i="12"/>
  <c r="Y220" i="13"/>
  <c r="P56" i="2"/>
  <c r="O8" i="12"/>
  <c r="O15" i="8"/>
  <c r="O16" i="8" s="1"/>
  <c r="N1535" i="8"/>
  <c r="N1527" i="8"/>
  <c r="V1510" i="8"/>
  <c r="N27" i="12"/>
  <c r="X127" i="13"/>
  <c r="X132" i="13"/>
  <c r="X128" i="13"/>
  <c r="X130" i="13"/>
  <c r="X134" i="13"/>
  <c r="X129" i="13"/>
  <c r="X133" i="13"/>
  <c r="X126" i="13"/>
  <c r="X131" i="13"/>
  <c r="Q119" i="2"/>
  <c r="P23" i="12"/>
  <c r="P63" i="8"/>
  <c r="P64" i="8" s="1"/>
  <c r="P239" i="2"/>
  <c r="O47" i="12"/>
  <c r="O135" i="8"/>
  <c r="O136" i="8" s="1"/>
  <c r="P238" i="2"/>
  <c r="O131" i="8"/>
  <c r="O132" i="8" s="1"/>
  <c r="O46" i="12"/>
  <c r="P639" i="2"/>
  <c r="O99" i="12"/>
  <c r="O283" i="8"/>
  <c r="O284" i="8" s="1"/>
  <c r="X78" i="13"/>
  <c r="Y221" i="13"/>
  <c r="N1488" i="8"/>
  <c r="N78" i="12"/>
  <c r="N1471" i="8" s="1"/>
  <c r="P521" i="2"/>
  <c r="O77" i="12"/>
  <c r="O219" i="8"/>
  <c r="O220" i="8" s="1"/>
  <c r="P114" i="2"/>
  <c r="O18" i="12"/>
  <c r="O43" i="8"/>
  <c r="O44" i="8" s="1"/>
  <c r="O123" i="2"/>
  <c r="O1523" i="8" s="1"/>
  <c r="S1510" i="8"/>
  <c r="P574" i="2"/>
  <c r="O82" i="12"/>
  <c r="O227" i="8"/>
  <c r="O228" i="8" s="1"/>
  <c r="Q182" i="2"/>
  <c r="P111" i="8"/>
  <c r="P112" i="8" s="1"/>
  <c r="P38" i="12"/>
  <c r="O60" i="2"/>
  <c r="N12" i="12"/>
  <c r="N31" i="8"/>
  <c r="N32" i="8" s="1"/>
  <c r="Q515" i="2"/>
  <c r="P71" i="12"/>
  <c r="P195" i="8"/>
  <c r="P196" i="8" s="1"/>
  <c r="P458" i="2"/>
  <c r="O62" i="12"/>
  <c r="O171" i="8"/>
  <c r="O172" i="8" s="1"/>
  <c r="Z213" i="13"/>
  <c r="W1503" i="8"/>
  <c r="P579" i="2"/>
  <c r="O87" i="12"/>
  <c r="O247" i="8"/>
  <c r="O248" i="8" s="1"/>
  <c r="Z250" i="13"/>
  <c r="P513" i="2"/>
  <c r="O69" i="12"/>
  <c r="O187" i="8"/>
  <c r="O188" i="8" s="1"/>
  <c r="O522" i="2"/>
  <c r="O1531" i="8" s="1"/>
  <c r="P581" i="2"/>
  <c r="O89" i="12"/>
  <c r="O255" i="8"/>
  <c r="O256" i="8" s="1"/>
  <c r="P59" i="2"/>
  <c r="O11" i="12"/>
  <c r="O27" i="8"/>
  <c r="O28" i="8" s="1"/>
  <c r="O461" i="2"/>
  <c r="N183" i="8"/>
  <c r="N184" i="8" s="1"/>
  <c r="N65" i="12"/>
  <c r="M1467" i="8"/>
  <c r="M1479" i="8"/>
  <c r="M1480" i="8" s="1"/>
  <c r="X1502" i="8"/>
  <c r="P573" i="2"/>
  <c r="O81" i="12"/>
  <c r="O223" i="8"/>
  <c r="O224" i="8" s="1"/>
  <c r="O582" i="2"/>
  <c r="O1532" i="8" s="1"/>
  <c r="O636" i="2"/>
  <c r="N271" i="8"/>
  <c r="N272" i="8" s="1"/>
  <c r="N96" i="12"/>
  <c r="P118" i="2"/>
  <c r="O22" i="12"/>
  <c r="O59" i="8"/>
  <c r="O60" i="8" s="1"/>
  <c r="Q121" i="2"/>
  <c r="P25" i="12"/>
  <c r="P71" i="8"/>
  <c r="P72" i="8" s="1"/>
  <c r="P456" i="2"/>
  <c r="O60" i="12"/>
  <c r="O163" i="8"/>
  <c r="O164" i="8" s="1"/>
  <c r="P1539" i="8"/>
  <c r="P1517" i="8"/>
  <c r="Q1510" i="8"/>
  <c r="Q1539" i="8"/>
  <c r="Q1517" i="8"/>
  <c r="P460" i="2"/>
  <c r="O64" i="12"/>
  <c r="O179" i="8"/>
  <c r="O180" i="8" s="1"/>
  <c r="P517" i="2"/>
  <c r="O203" i="8"/>
  <c r="O204" i="8" s="1"/>
  <c r="O73" i="12"/>
  <c r="Q180" i="2"/>
  <c r="P36" i="12"/>
  <c r="P103" i="8"/>
  <c r="P104" i="8" s="1"/>
  <c r="U980" i="8"/>
  <c r="U981" i="8" s="1"/>
  <c r="U137" i="13"/>
  <c r="U139" i="13" s="1"/>
  <c r="U1507" i="8" s="1"/>
  <c r="O455" i="2"/>
  <c r="N59" i="12"/>
  <c r="N159" i="8"/>
  <c r="N160" i="8" s="1"/>
  <c r="Y1542" i="8"/>
  <c r="Y254" i="13"/>
  <c r="Y251" i="13"/>
  <c r="Y257" i="13"/>
  <c r="Y256" i="13"/>
  <c r="Y259" i="13"/>
  <c r="Y258" i="13"/>
  <c r="Y255" i="13"/>
  <c r="Y252" i="13"/>
  <c r="Y253" i="13"/>
  <c r="Z82" i="13"/>
  <c r="Z83" i="13" s="1"/>
  <c r="Z70" i="13"/>
  <c r="AA216" i="13"/>
  <c r="AA248" i="13" s="1"/>
  <c r="AA249" i="13"/>
  <c r="Q175" i="2"/>
  <c r="P31" i="12"/>
  <c r="P83" i="8"/>
  <c r="P84" i="8" s="1"/>
  <c r="Q179" i="2"/>
  <c r="P35" i="12"/>
  <c r="P99" i="8"/>
  <c r="P100" i="8" s="1"/>
  <c r="Y262" i="13"/>
  <c r="Y81" i="13"/>
  <c r="Q122" i="2"/>
  <c r="P26" i="12"/>
  <c r="P75" i="8"/>
  <c r="P76" i="8" s="1"/>
  <c r="P115" i="2"/>
  <c r="O19" i="12"/>
  <c r="O47" i="8"/>
  <c r="O48" i="8" s="1"/>
  <c r="R1539" i="8"/>
  <c r="R1517" i="8"/>
  <c r="U1510" i="8"/>
  <c r="N39" i="12"/>
  <c r="O241" i="2"/>
  <c r="N49" i="12"/>
  <c r="N143" i="8"/>
  <c r="N144" i="8" s="1"/>
  <c r="O242" i="2"/>
  <c r="N50" i="12"/>
  <c r="N147" i="8"/>
  <c r="N148" i="8" s="1"/>
  <c r="X222" i="13"/>
  <c r="Y124" i="13"/>
  <c r="Y125" i="13" s="1"/>
  <c r="Y74" i="13"/>
  <c r="Y123" i="13" s="1"/>
  <c r="U1436" i="8"/>
  <c r="U276" i="13"/>
  <c r="U278" i="13" s="1"/>
  <c r="Y263" i="13"/>
  <c r="O236" i="2"/>
  <c r="N44" i="12"/>
  <c r="N123" i="8"/>
  <c r="N124" i="8" s="1"/>
  <c r="O1539" i="8"/>
  <c r="O1517" i="8"/>
  <c r="Y86" i="13"/>
  <c r="Y84" i="13"/>
  <c r="Y88" i="13"/>
  <c r="Y87" i="13"/>
  <c r="Y92" i="13"/>
  <c r="Y91" i="13"/>
  <c r="Y89" i="13"/>
  <c r="Y90" i="13"/>
  <c r="Y85" i="13"/>
  <c r="Q578" i="2"/>
  <c r="P86" i="12"/>
  <c r="P243" i="8"/>
  <c r="P244" i="8" s="1"/>
  <c r="P641" i="2"/>
  <c r="O101" i="12"/>
  <c r="O291" i="8"/>
  <c r="O292" i="8" s="1"/>
  <c r="M1539" i="8"/>
  <c r="M1517" i="8"/>
  <c r="O637" i="2"/>
  <c r="N275" i="8"/>
  <c r="N276" i="8" s="1"/>
  <c r="N97" i="12"/>
  <c r="N1536" i="8"/>
  <c r="N1528" i="8"/>
  <c r="P514" i="2"/>
  <c r="O70" i="12"/>
  <c r="O191" i="8"/>
  <c r="O192" i="8" s="1"/>
  <c r="P457" i="2"/>
  <c r="O167" i="8"/>
  <c r="O168" i="8" s="1"/>
  <c r="O61" i="12"/>
  <c r="X217" i="13"/>
  <c r="X375" i="2"/>
  <c r="X904" i="8" s="1"/>
  <c r="X905" i="8" s="1"/>
  <c r="V400" i="2"/>
  <c r="V137" i="13" s="1"/>
  <c r="V139" i="13" s="1"/>
  <c r="V1507" i="8" s="1"/>
  <c r="U1432" i="8"/>
  <c r="Y261" i="2"/>
  <c r="X791" i="2"/>
  <c r="X1344" i="8" s="1"/>
  <c r="X1345" i="8" s="1"/>
  <c r="U250" i="2"/>
  <c r="U1431" i="8"/>
  <c r="X782" i="2"/>
  <c r="X795" i="2"/>
  <c r="X1360" i="8" s="1"/>
  <c r="X1361" i="8" s="1"/>
  <c r="W396" i="2"/>
  <c r="W964" i="8" s="1"/>
  <c r="W965" i="8" s="1"/>
  <c r="Y659" i="2"/>
  <c r="W793" i="2"/>
  <c r="W1352" i="8" s="1"/>
  <c r="W1353" i="8" s="1"/>
  <c r="Y658" i="2"/>
  <c r="U649" i="2"/>
  <c r="Y260" i="2"/>
  <c r="U1435" i="8"/>
  <c r="U1376" i="8"/>
  <c r="U1377" i="8" s="1"/>
  <c r="Z397" i="2"/>
  <c r="Z968" i="8" s="1"/>
  <c r="Z969" i="8" s="1"/>
  <c r="X392" i="2"/>
  <c r="X948" i="8" s="1"/>
  <c r="X949" i="8" s="1"/>
  <c r="X856" i="8"/>
  <c r="X857" i="8" s="1"/>
  <c r="Y660" i="2"/>
  <c r="Y259" i="2"/>
  <c r="X394" i="2"/>
  <c r="X956" i="8" s="1"/>
  <c r="X957" i="8" s="1"/>
  <c r="W794" i="2"/>
  <c r="X383" i="2"/>
  <c r="W781" i="2"/>
  <c r="Y762" i="2"/>
  <c r="W797" i="2"/>
  <c r="W1368" i="8" s="1"/>
  <c r="W1369" i="8" s="1"/>
  <c r="Y657" i="2"/>
  <c r="W398" i="2"/>
  <c r="W972" i="8" s="1"/>
  <c r="W973" i="8" s="1"/>
  <c r="X796" i="2"/>
  <c r="X1364" i="8" s="1"/>
  <c r="X1365" i="8" s="1"/>
  <c r="Y363" i="2"/>
  <c r="W792" i="2"/>
  <c r="W1348" i="8" s="1"/>
  <c r="W1349" i="8" s="1"/>
  <c r="X1280" i="8"/>
  <c r="X1281" i="8" s="1"/>
  <c r="X387" i="2"/>
  <c r="X932" i="8" s="1"/>
  <c r="X933" i="8" s="1"/>
  <c r="Y258" i="2"/>
  <c r="W960" i="8"/>
  <c r="W961" i="8" s="1"/>
  <c r="Y1372" i="8"/>
  <c r="Y1373" i="8" s="1"/>
  <c r="Y952" i="8"/>
  <c r="Y953" i="8" s="1"/>
  <c r="V799" i="2"/>
  <c r="W840" i="8"/>
  <c r="W841" i="8" s="1"/>
  <c r="W382" i="2"/>
  <c r="X888" i="8"/>
  <c r="X889" i="8" s="1"/>
  <c r="Y1280" i="8"/>
  <c r="Y1281" i="8" s="1"/>
  <c r="Y1276" i="8"/>
  <c r="Y1277" i="8" s="1"/>
  <c r="X880" i="8"/>
  <c r="X881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AA397" i="2" s="1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Z758" i="2"/>
  <c r="Z1252" i="8" s="1"/>
  <c r="Z1253" i="8" s="1"/>
  <c r="Y354" i="2"/>
  <c r="Y836" i="8" s="1"/>
  <c r="Y837" i="8" s="1"/>
  <c r="Y756" i="2"/>
  <c r="Y796" i="2" s="1"/>
  <c r="X752" i="2"/>
  <c r="Y751" i="2"/>
  <c r="Y1252" i="8"/>
  <c r="Y1253" i="8" s="1"/>
  <c r="Y359" i="2"/>
  <c r="Y376" i="2" s="1"/>
  <c r="Y908" i="8" s="1"/>
  <c r="Y909" i="8" s="1"/>
  <c r="W1228" i="8"/>
  <c r="W1229" i="8" s="1"/>
  <c r="Y755" i="2"/>
  <c r="Y795" i="2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96" i="2" s="1"/>
  <c r="X355" i="2"/>
  <c r="X840" i="8" s="1"/>
  <c r="X841" i="8" s="1"/>
  <c r="V1256" i="8"/>
  <c r="V1257" i="8" s="1"/>
  <c r="V780" i="2"/>
  <c r="V1438" i="8" s="1"/>
  <c r="Y352" i="2"/>
  <c r="W788" i="2"/>
  <c r="W1336" i="8" s="1"/>
  <c r="W1337" i="8" s="1"/>
  <c r="W770" i="2"/>
  <c r="W1292" i="8" s="1"/>
  <c r="W1293" i="8" s="1"/>
  <c r="X772" i="8"/>
  <c r="X773" i="8" s="1"/>
  <c r="W389" i="2"/>
  <c r="W940" i="8" s="1"/>
  <c r="W941" i="8" s="1"/>
  <c r="X808" i="8"/>
  <c r="X809" i="8" s="1"/>
  <c r="Z280" i="2"/>
  <c r="Y345" i="2"/>
  <c r="Y367" i="2" s="1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682" i="2"/>
  <c r="AA736" i="2"/>
  <c r="AA747" i="2"/>
  <c r="AA769" i="2" s="1"/>
  <c r="Y775" i="2"/>
  <c r="Y1304" i="8" s="1"/>
  <c r="Y1305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Z76" i="13" s="1"/>
  <c r="Y347" i="2"/>
  <c r="Y369" i="2" s="1"/>
  <c r="Y1016" i="8"/>
  <c r="Y1017" i="8" s="1"/>
  <c r="Y746" i="2"/>
  <c r="Y768" i="2" s="1"/>
  <c r="Z681" i="2"/>
  <c r="Z215" i="13" s="1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63" i="2" s="1"/>
  <c r="Y730" i="2"/>
  <c r="Z676" i="2"/>
  <c r="Z210" i="13" s="1"/>
  <c r="AA776" i="8"/>
  <c r="AA777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281" i="2"/>
  <c r="AC75" i="13" s="1"/>
  <c r="AB616" i="8"/>
  <c r="AB617" i="8" s="1"/>
  <c r="AB346" i="2"/>
  <c r="AB368" i="2" s="1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Y765" i="2" s="1"/>
  <c r="Z678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Z744" i="2"/>
  <c r="Z766" i="2" s="1"/>
  <c r="Z733" i="2"/>
  <c r="Z796" i="8"/>
  <c r="Z797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AA72" i="13" s="1"/>
  <c r="Z343" i="2"/>
  <c r="Z365" i="2" s="1"/>
  <c r="X1160" i="8"/>
  <c r="X1161" i="8" s="1"/>
  <c r="Y756" i="8"/>
  <c r="Y757" i="8" s="1"/>
  <c r="Y1188" i="8"/>
  <c r="Y1189" i="8" s="1"/>
  <c r="Z624" i="8"/>
  <c r="Z625" i="8" s="1"/>
  <c r="Z348" i="2"/>
  <c r="Z370" i="2" s="1"/>
  <c r="Z337" i="2"/>
  <c r="AA283" i="2"/>
  <c r="W773" i="2"/>
  <c r="W385" i="2"/>
  <c r="Z1012" i="8"/>
  <c r="Z1013" i="8" s="1"/>
  <c r="AA680" i="2"/>
  <c r="AA214" i="13" s="1"/>
  <c r="Z745" i="2"/>
  <c r="Z767" i="2" s="1"/>
  <c r="Z734" i="2"/>
  <c r="X1196" i="8"/>
  <c r="X1197" i="8" s="1"/>
  <c r="Z760" i="8"/>
  <c r="Z761" i="8" s="1"/>
  <c r="Z279" i="2"/>
  <c r="Y333" i="2"/>
  <c r="Y608" i="8"/>
  <c r="Y609" i="8" s="1"/>
  <c r="Y344" i="2"/>
  <c r="Y366" i="2" s="1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Y764" i="2" s="1"/>
  <c r="Z677" i="2"/>
  <c r="Z211" i="13" s="1"/>
  <c r="Y731" i="2"/>
  <c r="AA331" i="2"/>
  <c r="AA600" i="8"/>
  <c r="AA601" i="8" s="1"/>
  <c r="AB277" i="2"/>
  <c r="AB71" i="13" s="1"/>
  <c r="AA342" i="2"/>
  <c r="AA364" i="2" s="1"/>
  <c r="X804" i="8"/>
  <c r="X805" i="8" s="1"/>
  <c r="X876" i="8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X1541" i="8" l="1"/>
  <c r="M1476" i="8"/>
  <c r="M1477" i="8" s="1"/>
  <c r="X237" i="13"/>
  <c r="W1511" i="8"/>
  <c r="V250" i="2"/>
  <c r="X241" i="13"/>
  <c r="X243" i="13"/>
  <c r="X244" i="13"/>
  <c r="X245" i="13"/>
  <c r="X238" i="13"/>
  <c r="V1432" i="8"/>
  <c r="V980" i="8"/>
  <c r="V981" i="8" s="1"/>
  <c r="Y222" i="13"/>
  <c r="Y226" i="13" s="1"/>
  <c r="Z262" i="13"/>
  <c r="Y236" i="13"/>
  <c r="Y239" i="13" s="1"/>
  <c r="Y217" i="13"/>
  <c r="Y1516" i="8" s="1"/>
  <c r="Y1504" i="8"/>
  <c r="AA848" i="8"/>
  <c r="AA849" i="8" s="1"/>
  <c r="X1540" i="8"/>
  <c r="X1514" i="8"/>
  <c r="X228" i="13"/>
  <c r="X226" i="13"/>
  <c r="X227" i="13"/>
  <c r="X231" i="13"/>
  <c r="X225" i="13"/>
  <c r="X224" i="13"/>
  <c r="X229" i="13"/>
  <c r="X223" i="13"/>
  <c r="X230" i="13"/>
  <c r="Q573" i="2"/>
  <c r="P81" i="12"/>
  <c r="P223" i="8"/>
  <c r="P224" i="8" s="1"/>
  <c r="P582" i="2"/>
  <c r="P1532" i="8" s="1"/>
  <c r="P236" i="2"/>
  <c r="O44" i="12"/>
  <c r="O123" i="8"/>
  <c r="O124" i="8" s="1"/>
  <c r="N1468" i="8"/>
  <c r="N1482" i="8"/>
  <c r="N1483" i="8" s="1"/>
  <c r="R180" i="2"/>
  <c r="Q36" i="12"/>
  <c r="Q103" i="8"/>
  <c r="Q104" i="8" s="1"/>
  <c r="Q456" i="2"/>
  <c r="P60" i="12"/>
  <c r="P163" i="8"/>
  <c r="P164" i="8" s="1"/>
  <c r="O1535" i="8"/>
  <c r="O1527" i="8"/>
  <c r="Q639" i="2"/>
  <c r="P283" i="8"/>
  <c r="P284" i="8" s="1"/>
  <c r="P99" i="12"/>
  <c r="P453" i="2"/>
  <c r="O151" i="8"/>
  <c r="O152" i="8" s="1"/>
  <c r="O57" i="12"/>
  <c r="O462" i="2"/>
  <c r="O1530" i="8" s="1"/>
  <c r="Q638" i="2"/>
  <c r="P98" i="12"/>
  <c r="P279" i="8"/>
  <c r="P280" i="8" s="1"/>
  <c r="Y105" i="13"/>
  <c r="Y102" i="13"/>
  <c r="Y99" i="13"/>
  <c r="Y101" i="13"/>
  <c r="Y103" i="13"/>
  <c r="Y100" i="13"/>
  <c r="Y104" i="13"/>
  <c r="Y106" i="13"/>
  <c r="Y98" i="13"/>
  <c r="Q62" i="2"/>
  <c r="P14" i="12"/>
  <c r="P39" i="8"/>
  <c r="P40" i="8" s="1"/>
  <c r="R175" i="2"/>
  <c r="Q31" i="12"/>
  <c r="Q83" i="8"/>
  <c r="Q84" i="8" s="1"/>
  <c r="Q514" i="2"/>
  <c r="P70" i="12"/>
  <c r="P191" i="8"/>
  <c r="P192" i="8" s="1"/>
  <c r="Q458" i="2"/>
  <c r="P62" i="12"/>
  <c r="P171" i="8"/>
  <c r="P172" i="8" s="1"/>
  <c r="Z221" i="13"/>
  <c r="AA82" i="13"/>
  <c r="AA83" i="13" s="1"/>
  <c r="AA70" i="13"/>
  <c r="AA110" i="13"/>
  <c r="AA111" i="13" s="1"/>
  <c r="AA77" i="13"/>
  <c r="AA109" i="13" s="1"/>
  <c r="Y264" i="13"/>
  <c r="Y277" i="13"/>
  <c r="P237" i="2"/>
  <c r="O127" i="8"/>
  <c r="O128" i="8" s="1"/>
  <c r="O45" i="12"/>
  <c r="N15" i="12"/>
  <c r="R116" i="2"/>
  <c r="Q20" i="12"/>
  <c r="Q51" i="8"/>
  <c r="Q52" i="8" s="1"/>
  <c r="Q520" i="2"/>
  <c r="P76" i="12"/>
  <c r="P215" i="8"/>
  <c r="P216" i="8" s="1"/>
  <c r="Q460" i="2"/>
  <c r="P64" i="12"/>
  <c r="P179" i="8"/>
  <c r="P180" i="8" s="1"/>
  <c r="R182" i="2"/>
  <c r="Q38" i="12"/>
  <c r="Q111" i="8"/>
  <c r="Q112" i="8" s="1"/>
  <c r="Q634" i="2"/>
  <c r="P94" i="12"/>
  <c r="P263" i="8"/>
  <c r="P264" i="8" s="1"/>
  <c r="P60" i="2"/>
  <c r="O12" i="12"/>
  <c r="O31" i="8"/>
  <c r="O32" i="8" s="1"/>
  <c r="Q581" i="2"/>
  <c r="P89" i="12"/>
  <c r="P255" i="8"/>
  <c r="P256" i="8" s="1"/>
  <c r="P54" i="2"/>
  <c r="O6" i="12"/>
  <c r="O7" i="8"/>
  <c r="O8" i="8" s="1"/>
  <c r="O63" i="2"/>
  <c r="O1522" i="8" s="1"/>
  <c r="AA209" i="13"/>
  <c r="AB249" i="13"/>
  <c r="AB216" i="13"/>
  <c r="AB248" i="13" s="1"/>
  <c r="X1513" i="8"/>
  <c r="V1431" i="8"/>
  <c r="R179" i="2"/>
  <c r="Q35" i="12"/>
  <c r="Q99" i="8"/>
  <c r="Q100" i="8" s="1"/>
  <c r="Q517" i="2"/>
  <c r="P203" i="8"/>
  <c r="P204" i="8" s="1"/>
  <c r="P73" i="12"/>
  <c r="R121" i="2"/>
  <c r="Q25" i="12"/>
  <c r="Q71" i="8"/>
  <c r="Q72" i="8" s="1"/>
  <c r="Q513" i="2"/>
  <c r="P69" i="12"/>
  <c r="P522" i="2"/>
  <c r="P1531" i="8" s="1"/>
  <c r="P187" i="8"/>
  <c r="P188" i="8" s="1"/>
  <c r="Q114" i="2"/>
  <c r="P18" i="12"/>
  <c r="P43" i="8"/>
  <c r="P44" i="8" s="1"/>
  <c r="P123" i="2"/>
  <c r="P1523" i="8" s="1"/>
  <c r="Q238" i="2"/>
  <c r="P131" i="8"/>
  <c r="P132" i="8" s="1"/>
  <c r="P46" i="12"/>
  <c r="Q577" i="2"/>
  <c r="P85" i="12"/>
  <c r="P239" i="8"/>
  <c r="P240" i="8" s="1"/>
  <c r="X1501" i="8"/>
  <c r="P58" i="2"/>
  <c r="O10" i="12"/>
  <c r="O23" i="8"/>
  <c r="O24" i="8" s="1"/>
  <c r="Y1502" i="8"/>
  <c r="Q635" i="2"/>
  <c r="P95" i="12"/>
  <c r="P267" i="8"/>
  <c r="P268" i="8" s="1"/>
  <c r="Z81" i="13"/>
  <c r="R578" i="2"/>
  <c r="Q86" i="12"/>
  <c r="Q243" i="8"/>
  <c r="Q244" i="8" s="1"/>
  <c r="X1503" i="8"/>
  <c r="M1469" i="8"/>
  <c r="M1485" i="8"/>
  <c r="M1486" i="8" s="1"/>
  <c r="O78" i="12"/>
  <c r="O1471" i="8" s="1"/>
  <c r="O1488" i="8"/>
  <c r="Z235" i="13"/>
  <c r="Z212" i="13"/>
  <c r="Z234" i="13" s="1"/>
  <c r="V649" i="2"/>
  <c r="V276" i="13"/>
  <c r="V278" i="13" s="1"/>
  <c r="Y1512" i="8"/>
  <c r="Z1542" i="8"/>
  <c r="Z252" i="13"/>
  <c r="Z257" i="13"/>
  <c r="Z254" i="13"/>
  <c r="Z256" i="13"/>
  <c r="Z253" i="13"/>
  <c r="Z258" i="13"/>
  <c r="Z255" i="13"/>
  <c r="Z259" i="13"/>
  <c r="Z251" i="13"/>
  <c r="Q57" i="2"/>
  <c r="P9" i="12"/>
  <c r="P19" i="8"/>
  <c r="P20" i="8" s="1"/>
  <c r="Q640" i="2"/>
  <c r="P100" i="12"/>
  <c r="P287" i="8"/>
  <c r="P288" i="8" s="1"/>
  <c r="Q61" i="2"/>
  <c r="P13" i="12"/>
  <c r="P35" i="8"/>
  <c r="P36" i="8" s="1"/>
  <c r="R580" i="2"/>
  <c r="Q88" i="12"/>
  <c r="Q251" i="8"/>
  <c r="Q252" i="8" s="1"/>
  <c r="Q521" i="2"/>
  <c r="P219" i="8"/>
  <c r="P220" i="8" s="1"/>
  <c r="P77" i="12"/>
  <c r="P241" i="2"/>
  <c r="O143" i="8"/>
  <c r="O144" i="8" s="1"/>
  <c r="O49" i="12"/>
  <c r="Q56" i="2"/>
  <c r="P8" i="12"/>
  <c r="P15" i="8"/>
  <c r="P16" i="8" s="1"/>
  <c r="P454" i="2"/>
  <c r="O58" i="12"/>
  <c r="O155" i="8"/>
  <c r="O156" i="8" s="1"/>
  <c r="U1539" i="8"/>
  <c r="U1517" i="8"/>
  <c r="R515" i="2"/>
  <c r="Q71" i="12"/>
  <c r="Q195" i="8"/>
  <c r="Q196" i="8" s="1"/>
  <c r="P637" i="2"/>
  <c r="O97" i="12"/>
  <c r="O275" i="8"/>
  <c r="O276" i="8" s="1"/>
  <c r="Y126" i="13"/>
  <c r="Y129" i="13"/>
  <c r="Y130" i="13"/>
  <c r="Y132" i="13"/>
  <c r="Y131" i="13"/>
  <c r="Y134" i="13"/>
  <c r="Y133" i="13"/>
  <c r="Y127" i="13"/>
  <c r="Y128" i="13"/>
  <c r="Q516" i="2"/>
  <c r="P72" i="12"/>
  <c r="P199" i="8"/>
  <c r="P200" i="8" s="1"/>
  <c r="X1538" i="8"/>
  <c r="X1516" i="8"/>
  <c r="X1515" i="8"/>
  <c r="X277" i="13"/>
  <c r="Y1500" i="8"/>
  <c r="Q115" i="2"/>
  <c r="P19" i="12"/>
  <c r="P47" i="8"/>
  <c r="P48" i="8" s="1"/>
  <c r="AA250" i="13"/>
  <c r="P461" i="2"/>
  <c r="O65" i="12"/>
  <c r="O183" i="8"/>
  <c r="O184" i="8" s="1"/>
  <c r="Q579" i="2"/>
  <c r="P247" i="8"/>
  <c r="P248" i="8" s="1"/>
  <c r="P87" i="12"/>
  <c r="Q239" i="2"/>
  <c r="P47" i="12"/>
  <c r="P135" i="8"/>
  <c r="P136" i="8" s="1"/>
  <c r="N1467" i="8"/>
  <c r="N1479" i="8"/>
  <c r="N1480" i="8" s="1"/>
  <c r="P55" i="2"/>
  <c r="O7" i="12"/>
  <c r="O11" i="8"/>
  <c r="O12" i="8" s="1"/>
  <c r="Q181" i="2"/>
  <c r="P37" i="12"/>
  <c r="P107" i="8"/>
  <c r="P108" i="8" s="1"/>
  <c r="Q176" i="2"/>
  <c r="P32" i="12"/>
  <c r="P87" i="8"/>
  <c r="P88" i="8" s="1"/>
  <c r="Q240" i="2"/>
  <c r="P48" i="12"/>
  <c r="P139" i="8"/>
  <c r="P140" i="8" s="1"/>
  <c r="Q174" i="2"/>
  <c r="P30" i="12"/>
  <c r="P79" i="8"/>
  <c r="P80" i="8" s="1"/>
  <c r="P183" i="2"/>
  <c r="P1524" i="8" s="1"/>
  <c r="Z96" i="13"/>
  <c r="Z97" i="13" s="1"/>
  <c r="Z73" i="13"/>
  <c r="Z95" i="13" s="1"/>
  <c r="Q118" i="2"/>
  <c r="P59" i="8"/>
  <c r="P60" i="8" s="1"/>
  <c r="P22" i="12"/>
  <c r="AA213" i="13"/>
  <c r="N1537" i="8"/>
  <c r="N1529" i="8"/>
  <c r="O27" i="12"/>
  <c r="Q178" i="2"/>
  <c r="P34" i="12"/>
  <c r="P95" i="8"/>
  <c r="P96" i="8" s="1"/>
  <c r="Q120" i="2"/>
  <c r="P24" i="12"/>
  <c r="P67" i="8"/>
  <c r="P68" i="8" s="1"/>
  <c r="Q519" i="2"/>
  <c r="P75" i="12"/>
  <c r="P211" i="8"/>
  <c r="P212" i="8" s="1"/>
  <c r="P235" i="2"/>
  <c r="O43" i="12"/>
  <c r="O119" i="8"/>
  <c r="O120" i="8" s="1"/>
  <c r="Q117" i="2"/>
  <c r="P21" i="12"/>
  <c r="P55" i="8"/>
  <c r="P56" i="8" s="1"/>
  <c r="Q576" i="2"/>
  <c r="P84" i="12"/>
  <c r="P235" i="8"/>
  <c r="P236" i="8" s="1"/>
  <c r="Z118" i="13"/>
  <c r="Z117" i="13"/>
  <c r="Z119" i="13"/>
  <c r="Z115" i="13"/>
  <c r="Z120" i="13"/>
  <c r="Z113" i="13"/>
  <c r="Z114" i="13"/>
  <c r="Z112" i="13"/>
  <c r="Z116" i="13"/>
  <c r="O39" i="12"/>
  <c r="P455" i="2"/>
  <c r="O159" i="8"/>
  <c r="O160" i="8" s="1"/>
  <c r="O59" i="12"/>
  <c r="N1490" i="8"/>
  <c r="N102" i="12"/>
  <c r="N1473" i="8" s="1"/>
  <c r="Q457" i="2"/>
  <c r="P61" i="12"/>
  <c r="P167" i="8"/>
  <c r="P168" i="8" s="1"/>
  <c r="R122" i="2"/>
  <c r="Q26" i="12"/>
  <c r="Q75" i="8"/>
  <c r="Q76" i="8" s="1"/>
  <c r="O1536" i="8"/>
  <c r="O1528" i="8"/>
  <c r="Z263" i="13"/>
  <c r="Y78" i="13"/>
  <c r="X1506" i="8"/>
  <c r="X1505" i="8"/>
  <c r="X138" i="13"/>
  <c r="R119" i="2"/>
  <c r="Q63" i="8"/>
  <c r="Q64" i="8" s="1"/>
  <c r="Q23" i="12"/>
  <c r="Q177" i="2"/>
  <c r="P33" i="12"/>
  <c r="P91" i="8"/>
  <c r="P92" i="8" s="1"/>
  <c r="N1487" i="8"/>
  <c r="N66" i="12"/>
  <c r="N1470" i="8" s="1"/>
  <c r="P633" i="2"/>
  <c r="O642" i="2"/>
  <c r="O1533" i="8" s="1"/>
  <c r="O259" i="8"/>
  <c r="O260" i="8" s="1"/>
  <c r="O93" i="12"/>
  <c r="N51" i="12"/>
  <c r="Q459" i="2"/>
  <c r="P63" i="12"/>
  <c r="P175" i="8"/>
  <c r="P176" i="8" s="1"/>
  <c r="P636" i="2"/>
  <c r="O96" i="12"/>
  <c r="O271" i="8"/>
  <c r="O272" i="8" s="1"/>
  <c r="Z124" i="13"/>
  <c r="Z125" i="13" s="1"/>
  <c r="Z74" i="13"/>
  <c r="Z123" i="13" s="1"/>
  <c r="Q641" i="2"/>
  <c r="P101" i="12"/>
  <c r="P291" i="8"/>
  <c r="P292" i="8" s="1"/>
  <c r="P242" i="2"/>
  <c r="O50" i="12"/>
  <c r="O147" i="8"/>
  <c r="O148" i="8" s="1"/>
  <c r="Z92" i="13"/>
  <c r="Z90" i="13"/>
  <c r="Z88" i="13"/>
  <c r="Z91" i="13"/>
  <c r="Z89" i="13"/>
  <c r="Z87" i="13"/>
  <c r="Z86" i="13"/>
  <c r="Z85" i="13"/>
  <c r="Z84" i="13"/>
  <c r="Q59" i="2"/>
  <c r="P11" i="12"/>
  <c r="P27" i="8"/>
  <c r="P28" i="8" s="1"/>
  <c r="O1489" i="8"/>
  <c r="O90" i="12"/>
  <c r="O1472" i="8" s="1"/>
  <c r="Q574" i="2"/>
  <c r="P82" i="12"/>
  <c r="P227" i="8"/>
  <c r="P228" i="8" s="1"/>
  <c r="Z220" i="13"/>
  <c r="N1534" i="8"/>
  <c r="N1526" i="8"/>
  <c r="R575" i="2"/>
  <c r="Q83" i="12"/>
  <c r="Q231" i="8"/>
  <c r="Q232" i="8" s="1"/>
  <c r="Q518" i="2"/>
  <c r="P74" i="12"/>
  <c r="P207" i="8"/>
  <c r="P208" i="8" s="1"/>
  <c r="P234" i="2"/>
  <c r="O42" i="12"/>
  <c r="O115" i="8"/>
  <c r="O116" i="8" s="1"/>
  <c r="O243" i="2"/>
  <c r="O1525" i="8" s="1"/>
  <c r="Z798" i="2"/>
  <c r="Z1372" i="8" s="1"/>
  <c r="Z1373" i="8" s="1"/>
  <c r="Z260" i="2"/>
  <c r="Z660" i="2"/>
  <c r="Y383" i="2"/>
  <c r="Y399" i="2"/>
  <c r="Y976" i="8" s="1"/>
  <c r="Y977" i="8" s="1"/>
  <c r="V1435" i="8"/>
  <c r="V1376" i="8"/>
  <c r="V1377" i="8" s="1"/>
  <c r="Y791" i="2"/>
  <c r="Y1344" i="8" s="1"/>
  <c r="Y1345" i="8" s="1"/>
  <c r="X781" i="2"/>
  <c r="X844" i="8"/>
  <c r="X845" i="8" s="1"/>
  <c r="X395" i="2"/>
  <c r="X960" i="8" s="1"/>
  <c r="X961" i="8" s="1"/>
  <c r="Z393" i="2"/>
  <c r="Z952" i="8" s="1"/>
  <c r="Z953" i="8" s="1"/>
  <c r="Y392" i="2"/>
  <c r="Y948" i="8" s="1"/>
  <c r="Y949" i="8" s="1"/>
  <c r="W799" i="2"/>
  <c r="Y1244" i="8"/>
  <c r="Y1245" i="8" s="1"/>
  <c r="Z363" i="2"/>
  <c r="Y1240" i="8"/>
  <c r="Y1241" i="8" s="1"/>
  <c r="Z762" i="2"/>
  <c r="W400" i="2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X972" i="8" s="1"/>
  <c r="X973" i="8" s="1"/>
  <c r="Z658" i="2"/>
  <c r="Z659" i="2"/>
  <c r="X797" i="2"/>
  <c r="X1368" i="8" s="1"/>
  <c r="X1369" i="8" s="1"/>
  <c r="X792" i="2"/>
  <c r="Y394" i="2"/>
  <c r="Y956" i="8" s="1"/>
  <c r="Y957" i="8" s="1"/>
  <c r="V1436" i="8"/>
  <c r="X1268" i="8"/>
  <c r="X1269" i="8" s="1"/>
  <c r="Z657" i="2"/>
  <c r="Z259" i="2"/>
  <c r="Z258" i="2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Y1364" i="8"/>
  <c r="Y1365" i="8" s="1"/>
  <c r="X759" i="2"/>
  <c r="Z756" i="2"/>
  <c r="Z1244" i="8" s="1"/>
  <c r="Z1245" i="8" s="1"/>
  <c r="Y356" i="2"/>
  <c r="Y396" i="2" s="1"/>
  <c r="Y754" i="2"/>
  <c r="Y1236" i="8" s="1"/>
  <c r="Y1237" i="8" s="1"/>
  <c r="W1256" i="8"/>
  <c r="W1257" i="8" s="1"/>
  <c r="W780" i="2"/>
  <c r="W1438" i="8" s="1"/>
  <c r="AB357" i="2"/>
  <c r="AB397" i="2" s="1"/>
  <c r="Y757" i="2"/>
  <c r="Y797" i="2" s="1"/>
  <c r="Y358" i="2"/>
  <c r="Y852" i="8" s="1"/>
  <c r="Y853" i="8" s="1"/>
  <c r="Z352" i="2"/>
  <c r="Y752" i="2"/>
  <c r="Y792" i="2" s="1"/>
  <c r="X784" i="2"/>
  <c r="X1320" i="8" s="1"/>
  <c r="X1321" i="8" s="1"/>
  <c r="Z755" i="2"/>
  <c r="Z795" i="2" s="1"/>
  <c r="Z1360" i="8" s="1"/>
  <c r="Z1361" i="8" s="1"/>
  <c r="W860" i="8"/>
  <c r="W861" i="8" s="1"/>
  <c r="W381" i="2"/>
  <c r="W1434" i="8" s="1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Z367" i="2" s="1"/>
  <c r="AA280" i="2"/>
  <c r="X385" i="2"/>
  <c r="X924" i="8" s="1"/>
  <c r="X925" i="8" s="1"/>
  <c r="X777" i="2"/>
  <c r="X1312" i="8" s="1"/>
  <c r="X1313" i="8" s="1"/>
  <c r="Z786" i="2"/>
  <c r="Z1328" i="8" s="1"/>
  <c r="Z1329" i="8" s="1"/>
  <c r="Y780" i="8"/>
  <c r="Y781" i="8" s="1"/>
  <c r="Z792" i="8"/>
  <c r="Z793" i="8" s="1"/>
  <c r="Y1196" i="8"/>
  <c r="Y1197" i="8" s="1"/>
  <c r="Z1172" i="8"/>
  <c r="Z1173" i="8" s="1"/>
  <c r="X788" i="2"/>
  <c r="X1336" i="8" s="1"/>
  <c r="X1337" i="8" s="1"/>
  <c r="AA1008" i="8"/>
  <c r="AA1009" i="8" s="1"/>
  <c r="AA733" i="2"/>
  <c r="AB679" i="2"/>
  <c r="AA744" i="2"/>
  <c r="AA766" i="2" s="1"/>
  <c r="AA596" i="8"/>
  <c r="AA597" i="8" s="1"/>
  <c r="AB276" i="2"/>
  <c r="AA341" i="2"/>
  <c r="AA330" i="2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Z765" i="2" s="1"/>
  <c r="AA678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D75" i="13" s="1"/>
  <c r="AC335" i="2"/>
  <c r="AC616" i="8"/>
  <c r="AC617" i="8" s="1"/>
  <c r="AC346" i="2"/>
  <c r="AC368" i="2" s="1"/>
  <c r="AA1216" i="8"/>
  <c r="AA1217" i="8" s="1"/>
  <c r="Y864" i="8"/>
  <c r="Y865" i="8" s="1"/>
  <c r="Z1152" i="8"/>
  <c r="Z1153" i="8" s="1"/>
  <c r="AA624" i="8"/>
  <c r="AA625" i="8" s="1"/>
  <c r="AA348" i="2"/>
  <c r="AA370" i="2" s="1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B214" i="13" s="1"/>
  <c r="AA745" i="2"/>
  <c r="AA767" i="2" s="1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B769" i="2" s="1"/>
  <c r="AC682" i="2"/>
  <c r="AA796" i="8"/>
  <c r="AA797" i="8" s="1"/>
  <c r="AA279" i="2"/>
  <c r="Z333" i="2"/>
  <c r="Z608" i="8"/>
  <c r="Z609" i="8" s="1"/>
  <c r="Z344" i="2"/>
  <c r="Z366" i="2" s="1"/>
  <c r="Z820" i="8"/>
  <c r="Z821" i="8" s="1"/>
  <c r="Z996" i="8"/>
  <c r="Z997" i="8" s="1"/>
  <c r="Z730" i="2"/>
  <c r="Z741" i="2"/>
  <c r="Z763" i="2" s="1"/>
  <c r="AA676" i="2"/>
  <c r="AA210" i="13" s="1"/>
  <c r="Z1016" i="8"/>
  <c r="Z1017" i="8" s="1"/>
  <c r="AA681" i="2"/>
  <c r="AA215" i="13" s="1"/>
  <c r="Z746" i="2"/>
  <c r="Z768" i="2" s="1"/>
  <c r="Z735" i="2"/>
  <c r="AB600" i="8"/>
  <c r="AB601" i="8" s="1"/>
  <c r="AB331" i="2"/>
  <c r="AB342" i="2"/>
  <c r="AB364" i="2" s="1"/>
  <c r="AC277" i="2"/>
  <c r="AC71" i="13" s="1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64" i="2" s="1"/>
  <c r="Z731" i="2"/>
  <c r="AA677" i="2"/>
  <c r="AA211" i="13" s="1"/>
  <c r="X774" i="2"/>
  <c r="X1300" i="8" s="1"/>
  <c r="X1301" i="8" s="1"/>
  <c r="AA343" i="2"/>
  <c r="AA365" i="2" s="1"/>
  <c r="AA604" i="8"/>
  <c r="AA605" i="8" s="1"/>
  <c r="AA332" i="2"/>
  <c r="AB278" i="2"/>
  <c r="AB72" i="13" s="1"/>
  <c r="Y1192" i="8"/>
  <c r="Y1193" i="8" s="1"/>
  <c r="AA760" i="8"/>
  <c r="AA761" i="8" s="1"/>
  <c r="Z764" i="8"/>
  <c r="Z765" i="8" s="1"/>
  <c r="Z1168" i="8"/>
  <c r="Z1169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Z369" i="2" s="1"/>
  <c r="AA282" i="2"/>
  <c r="AA76" i="13" s="1"/>
  <c r="X773" i="2"/>
  <c r="Z264" i="13" l="1"/>
  <c r="Y241" i="13"/>
  <c r="Y240" i="13"/>
  <c r="Y244" i="13"/>
  <c r="Y245" i="13"/>
  <c r="Y237" i="13"/>
  <c r="Y238" i="13"/>
  <c r="Y225" i="13"/>
  <c r="Y242" i="13"/>
  <c r="Y1541" i="8"/>
  <c r="Y243" i="13"/>
  <c r="X1511" i="8"/>
  <c r="Y1514" i="8"/>
  <c r="Y1515" i="8"/>
  <c r="Y228" i="13"/>
  <c r="Y1538" i="8"/>
  <c r="Y230" i="13"/>
  <c r="Y1540" i="8"/>
  <c r="Z1504" i="8"/>
  <c r="Y229" i="13"/>
  <c r="Y223" i="13"/>
  <c r="Y231" i="13"/>
  <c r="Y224" i="13"/>
  <c r="Z217" i="13"/>
  <c r="Z1538" i="8" s="1"/>
  <c r="Y227" i="13"/>
  <c r="AB250" i="13"/>
  <c r="AB257" i="13" s="1"/>
  <c r="P27" i="12"/>
  <c r="P1479" i="8" s="1"/>
  <c r="P1480" i="8" s="1"/>
  <c r="Z236" i="13"/>
  <c r="Z244" i="13" s="1"/>
  <c r="AA262" i="13"/>
  <c r="AA263" i="13"/>
  <c r="Z1543" i="8"/>
  <c r="Z270" i="13"/>
  <c r="Z265" i="13"/>
  <c r="Z266" i="13"/>
  <c r="Z272" i="13"/>
  <c r="Z268" i="13"/>
  <c r="Z271" i="13"/>
  <c r="Z269" i="13"/>
  <c r="Z267" i="13"/>
  <c r="Z273" i="13"/>
  <c r="R634" i="2"/>
  <c r="Q94" i="12"/>
  <c r="Q263" i="8"/>
  <c r="Q264" i="8" s="1"/>
  <c r="R117" i="2"/>
  <c r="Q21" i="12"/>
  <c r="Q55" i="8"/>
  <c r="Q56" i="8" s="1"/>
  <c r="R458" i="2"/>
  <c r="Q171" i="8"/>
  <c r="Q172" i="8" s="1"/>
  <c r="Q62" i="12"/>
  <c r="R639" i="2"/>
  <c r="Q99" i="12"/>
  <c r="Q283" i="8"/>
  <c r="Q284" i="8" s="1"/>
  <c r="O1467" i="8"/>
  <c r="O1479" i="8"/>
  <c r="O1480" i="8" s="1"/>
  <c r="R577" i="2"/>
  <c r="Q85" i="12"/>
  <c r="Q239" i="8"/>
  <c r="Q240" i="8" s="1"/>
  <c r="Z130" i="13"/>
  <c r="Z129" i="13"/>
  <c r="Z126" i="13"/>
  <c r="Z134" i="13"/>
  <c r="Z133" i="13"/>
  <c r="Z132" i="13"/>
  <c r="Z127" i="13"/>
  <c r="Z128" i="13"/>
  <c r="Z131" i="13"/>
  <c r="Z1502" i="8"/>
  <c r="P39" i="12"/>
  <c r="R115" i="2"/>
  <c r="Q19" i="12"/>
  <c r="Q47" i="8"/>
  <c r="Q48" i="8" s="1"/>
  <c r="Y1503" i="8"/>
  <c r="R56" i="2"/>
  <c r="Q8" i="12"/>
  <c r="Q15" i="8"/>
  <c r="Q16" i="8" s="1"/>
  <c r="Q237" i="2"/>
  <c r="P45" i="12"/>
  <c r="P127" i="8"/>
  <c r="P128" i="8" s="1"/>
  <c r="Q236" i="2"/>
  <c r="P123" i="8"/>
  <c r="P124" i="8" s="1"/>
  <c r="P44" i="12"/>
  <c r="AB110" i="13"/>
  <c r="AB111" i="13" s="1"/>
  <c r="AB77" i="13"/>
  <c r="AB109" i="13" s="1"/>
  <c r="Q633" i="2"/>
  <c r="P259" i="8"/>
  <c r="P260" i="8" s="1"/>
  <c r="P93" i="12"/>
  <c r="P642" i="2"/>
  <c r="P1533" i="8" s="1"/>
  <c r="S121" i="2"/>
  <c r="R25" i="12"/>
  <c r="R71" i="8"/>
  <c r="R72" i="8" s="1"/>
  <c r="S575" i="2"/>
  <c r="R83" i="12"/>
  <c r="R231" i="8"/>
  <c r="R232" i="8" s="1"/>
  <c r="R640" i="2"/>
  <c r="Q100" i="12"/>
  <c r="Q287" i="8"/>
  <c r="Q288" i="8" s="1"/>
  <c r="P1536" i="8"/>
  <c r="P1528" i="8"/>
  <c r="AB82" i="13"/>
  <c r="AB83" i="13" s="1"/>
  <c r="AB70" i="13"/>
  <c r="W649" i="2"/>
  <c r="W276" i="13"/>
  <c r="W278" i="13" s="1"/>
  <c r="V1539" i="8"/>
  <c r="V1517" i="8"/>
  <c r="R238" i="2"/>
  <c r="Q46" i="12"/>
  <c r="Q131" i="8"/>
  <c r="Q132" i="8" s="1"/>
  <c r="R517" i="2"/>
  <c r="Q203" i="8"/>
  <c r="Q204" i="8" s="1"/>
  <c r="Q73" i="12"/>
  <c r="R514" i="2"/>
  <c r="Q70" i="12"/>
  <c r="Q191" i="8"/>
  <c r="Q192" i="8" s="1"/>
  <c r="R174" i="2"/>
  <c r="Q30" i="12"/>
  <c r="Q79" i="8"/>
  <c r="Q80" i="8" s="1"/>
  <c r="Q183" i="2"/>
  <c r="Q1524" i="8" s="1"/>
  <c r="S122" i="2"/>
  <c r="R26" i="12"/>
  <c r="R75" i="8"/>
  <c r="R76" i="8" s="1"/>
  <c r="Q235" i="2"/>
  <c r="P43" i="12"/>
  <c r="P119" i="8"/>
  <c r="P120" i="8" s="1"/>
  <c r="Q637" i="2"/>
  <c r="P97" i="12"/>
  <c r="P275" i="8"/>
  <c r="P276" i="8" s="1"/>
  <c r="Q241" i="2"/>
  <c r="P49" i="12"/>
  <c r="P143" i="8"/>
  <c r="P144" i="8" s="1"/>
  <c r="P90" i="12"/>
  <c r="P1472" i="8" s="1"/>
  <c r="P1489" i="8"/>
  <c r="R641" i="2"/>
  <c r="Q101" i="12"/>
  <c r="Q291" i="8"/>
  <c r="Q292" i="8" s="1"/>
  <c r="R178" i="2"/>
  <c r="Q34" i="12"/>
  <c r="Q95" i="8"/>
  <c r="Q96" i="8" s="1"/>
  <c r="R61" i="2"/>
  <c r="Q35" i="8"/>
  <c r="Q36" i="8" s="1"/>
  <c r="Q13" i="12"/>
  <c r="Q55" i="2"/>
  <c r="P7" i="12"/>
  <c r="P11" i="8"/>
  <c r="P12" i="8" s="1"/>
  <c r="S578" i="2"/>
  <c r="R86" i="12"/>
  <c r="R243" i="8"/>
  <c r="R244" i="8" s="1"/>
  <c r="AA235" i="13"/>
  <c r="AA212" i="13"/>
  <c r="AA234" i="13" s="1"/>
  <c r="O51" i="12"/>
  <c r="Z78" i="13"/>
  <c r="Q54" i="2"/>
  <c r="P6" i="12"/>
  <c r="P7" i="8"/>
  <c r="P8" i="8" s="1"/>
  <c r="P63" i="2"/>
  <c r="P1522" i="8" s="1"/>
  <c r="S182" i="2"/>
  <c r="R38" i="12"/>
  <c r="R111" i="8"/>
  <c r="R112" i="8" s="1"/>
  <c r="AA124" i="13"/>
  <c r="AA125" i="13" s="1"/>
  <c r="AA74" i="13"/>
  <c r="AA123" i="13" s="1"/>
  <c r="Z1516" i="8"/>
  <c r="Q636" i="2"/>
  <c r="P271" i="8"/>
  <c r="P272" i="8" s="1"/>
  <c r="P96" i="12"/>
  <c r="R177" i="2"/>
  <c r="Q33" i="12"/>
  <c r="Q91" i="8"/>
  <c r="Q92" i="8" s="1"/>
  <c r="R240" i="2"/>
  <c r="Q48" i="12"/>
  <c r="Q139" i="8"/>
  <c r="Q140" i="8" s="1"/>
  <c r="R239" i="2"/>
  <c r="Q47" i="12"/>
  <c r="Q135" i="8"/>
  <c r="Q136" i="8" s="1"/>
  <c r="R57" i="2"/>
  <c r="Q9" i="12"/>
  <c r="Q19" i="8"/>
  <c r="Q20" i="8" s="1"/>
  <c r="R635" i="2"/>
  <c r="Q95" i="12"/>
  <c r="Q267" i="8"/>
  <c r="Q268" i="8" s="1"/>
  <c r="R581" i="2"/>
  <c r="Q89" i="12"/>
  <c r="Q255" i="8"/>
  <c r="Q256" i="8" s="1"/>
  <c r="R460" i="2"/>
  <c r="Q64" i="12"/>
  <c r="Q179" i="8"/>
  <c r="Q180" i="8" s="1"/>
  <c r="R573" i="2"/>
  <c r="Q81" i="12"/>
  <c r="Q223" i="8"/>
  <c r="Q224" i="8" s="1"/>
  <c r="Q582" i="2"/>
  <c r="Q1532" i="8" s="1"/>
  <c r="Z1512" i="8"/>
  <c r="S179" i="2"/>
  <c r="R35" i="12"/>
  <c r="R99" i="8"/>
  <c r="R100" i="8" s="1"/>
  <c r="Y1543" i="8"/>
  <c r="Y273" i="13"/>
  <c r="Y270" i="13"/>
  <c r="Y266" i="13"/>
  <c r="Y271" i="13"/>
  <c r="Y269" i="13"/>
  <c r="Y268" i="13"/>
  <c r="Y272" i="13"/>
  <c r="Y267" i="13"/>
  <c r="Y265" i="13"/>
  <c r="S175" i="2"/>
  <c r="R31" i="12"/>
  <c r="R83" i="8"/>
  <c r="R84" i="8" s="1"/>
  <c r="R114" i="2"/>
  <c r="Q18" i="12"/>
  <c r="Q43" i="8"/>
  <c r="Q44" i="8" s="1"/>
  <c r="Q123" i="2"/>
  <c r="Q1523" i="8" s="1"/>
  <c r="R638" i="2"/>
  <c r="Q98" i="12"/>
  <c r="Q279" i="8"/>
  <c r="Q280" i="8" s="1"/>
  <c r="R456" i="2"/>
  <c r="Q163" i="8"/>
  <c r="Q164" i="8" s="1"/>
  <c r="Q60" i="12"/>
  <c r="X1510" i="8"/>
  <c r="O1468" i="8"/>
  <c r="O1482" i="8"/>
  <c r="O1483" i="8" s="1"/>
  <c r="R579" i="2"/>
  <c r="Q87" i="12"/>
  <c r="Q247" i="8"/>
  <c r="Q248" i="8" s="1"/>
  <c r="AA117" i="13"/>
  <c r="AA112" i="13"/>
  <c r="AA118" i="13"/>
  <c r="AA116" i="13"/>
  <c r="AA115" i="13"/>
  <c r="AA114" i="13"/>
  <c r="AA119" i="13"/>
  <c r="AA120" i="13"/>
  <c r="AA113" i="13"/>
  <c r="R457" i="2"/>
  <c r="Q167" i="8"/>
  <c r="Q168" i="8" s="1"/>
  <c r="Q61" i="12"/>
  <c r="S515" i="2"/>
  <c r="R71" i="12"/>
  <c r="R195" i="8"/>
  <c r="R196" i="8" s="1"/>
  <c r="S119" i="2"/>
  <c r="R23" i="12"/>
  <c r="R63" i="8"/>
  <c r="R64" i="8" s="1"/>
  <c r="AB209" i="13"/>
  <c r="Q234" i="2"/>
  <c r="P42" i="12"/>
  <c r="P115" i="8"/>
  <c r="P116" i="8" s="1"/>
  <c r="P243" i="2"/>
  <c r="P1525" i="8" s="1"/>
  <c r="R574" i="2"/>
  <c r="Q82" i="12"/>
  <c r="Q227" i="8"/>
  <c r="Q228" i="8" s="1"/>
  <c r="N1469" i="8"/>
  <c r="N1485" i="8"/>
  <c r="N1486" i="8" s="1"/>
  <c r="R516" i="2"/>
  <c r="Q199" i="8"/>
  <c r="Q200" i="8" s="1"/>
  <c r="Q72" i="12"/>
  <c r="O15" i="12"/>
  <c r="P1535" i="8"/>
  <c r="P1527" i="8"/>
  <c r="Q60" i="2"/>
  <c r="P12" i="12"/>
  <c r="P31" i="8"/>
  <c r="P32" i="8" s="1"/>
  <c r="AA81" i="13"/>
  <c r="R62" i="2"/>
  <c r="Q14" i="12"/>
  <c r="Q39" i="8"/>
  <c r="Q40" i="8" s="1"/>
  <c r="O66" i="12"/>
  <c r="O1470" i="8" s="1"/>
  <c r="O1487" i="8"/>
  <c r="R519" i="2"/>
  <c r="Q211" i="8"/>
  <c r="Q212" i="8" s="1"/>
  <c r="Q75" i="12"/>
  <c r="R521" i="2"/>
  <c r="Q219" i="8"/>
  <c r="Q220" i="8" s="1"/>
  <c r="Q77" i="12"/>
  <c r="AC249" i="13"/>
  <c r="AC216" i="13"/>
  <c r="AC248" i="13" s="1"/>
  <c r="R459" i="2"/>
  <c r="Q175" i="8"/>
  <c r="Q176" i="8" s="1"/>
  <c r="Q63" i="12"/>
  <c r="R176" i="2"/>
  <c r="Q32" i="12"/>
  <c r="Q87" i="8"/>
  <c r="Q88" i="8" s="1"/>
  <c r="R520" i="2"/>
  <c r="Q76" i="12"/>
  <c r="Q215" i="8"/>
  <c r="Q216" i="8" s="1"/>
  <c r="O1534" i="8"/>
  <c r="O1526" i="8"/>
  <c r="W250" i="2"/>
  <c r="W137" i="13"/>
  <c r="W139" i="13" s="1"/>
  <c r="W1507" i="8" s="1"/>
  <c r="Q242" i="2"/>
  <c r="P50" i="12"/>
  <c r="P147" i="8"/>
  <c r="P148" i="8" s="1"/>
  <c r="R120" i="2"/>
  <c r="Q24" i="12"/>
  <c r="Q67" i="8"/>
  <c r="Q68" i="8" s="1"/>
  <c r="R118" i="2"/>
  <c r="Q22" i="12"/>
  <c r="Q59" i="8"/>
  <c r="Q60" i="8" s="1"/>
  <c r="S580" i="2"/>
  <c r="R88" i="12"/>
  <c r="R251" i="8"/>
  <c r="R252" i="8" s="1"/>
  <c r="Q58" i="2"/>
  <c r="P23" i="8"/>
  <c r="P24" i="8" s="1"/>
  <c r="P10" i="12"/>
  <c r="P78" i="12"/>
  <c r="P1471" i="8" s="1"/>
  <c r="P1488" i="8"/>
  <c r="AB252" i="13"/>
  <c r="AB259" i="13"/>
  <c r="AB258" i="13"/>
  <c r="AA89" i="13"/>
  <c r="AA92" i="13"/>
  <c r="AA85" i="13"/>
  <c r="AA86" i="13"/>
  <c r="AA90" i="13"/>
  <c r="AA88" i="13"/>
  <c r="AA91" i="13"/>
  <c r="AA84" i="13"/>
  <c r="AA87" i="13"/>
  <c r="Y1501" i="8"/>
  <c r="S180" i="2"/>
  <c r="R36" i="12"/>
  <c r="R103" i="8"/>
  <c r="R104" i="8" s="1"/>
  <c r="O1537" i="8"/>
  <c r="O1529" i="8"/>
  <c r="AA96" i="13"/>
  <c r="AA97" i="13" s="1"/>
  <c r="AA73" i="13"/>
  <c r="AA95" i="13" s="1"/>
  <c r="AB213" i="13"/>
  <c r="R59" i="2"/>
  <c r="Q27" i="8"/>
  <c r="Q28" i="8" s="1"/>
  <c r="Q11" i="12"/>
  <c r="O102" i="12"/>
  <c r="O1473" i="8" s="1"/>
  <c r="O1490" i="8"/>
  <c r="R576" i="2"/>
  <c r="Q84" i="12"/>
  <c r="Q235" i="8"/>
  <c r="Q236" i="8" s="1"/>
  <c r="R181" i="2"/>
  <c r="Q107" i="8"/>
  <c r="Q108" i="8" s="1"/>
  <c r="Q37" i="12"/>
  <c r="Q461" i="2"/>
  <c r="P183" i="8"/>
  <c r="P184" i="8" s="1"/>
  <c r="P65" i="12"/>
  <c r="R513" i="2"/>
  <c r="Q69" i="12"/>
  <c r="Q522" i="2"/>
  <c r="Q1531" i="8" s="1"/>
  <c r="Q187" i="8"/>
  <c r="Q188" i="8" s="1"/>
  <c r="AA220" i="13"/>
  <c r="S116" i="2"/>
  <c r="R20" i="12"/>
  <c r="R51" i="8"/>
  <c r="R52" i="8" s="1"/>
  <c r="Z222" i="13"/>
  <c r="Q453" i="2"/>
  <c r="P57" i="12"/>
  <c r="P151" i="8"/>
  <c r="P152" i="8" s="1"/>
  <c r="P462" i="2"/>
  <c r="P1530" i="8" s="1"/>
  <c r="R518" i="2"/>
  <c r="Q74" i="12"/>
  <c r="Q207" i="8"/>
  <c r="Q208" i="8" s="1"/>
  <c r="Z1500" i="8"/>
  <c r="Y1506" i="8"/>
  <c r="Y1505" i="8"/>
  <c r="Y138" i="13"/>
  <c r="Q455" i="2"/>
  <c r="P59" i="12"/>
  <c r="P159" i="8"/>
  <c r="P160" i="8" s="1"/>
  <c r="Z100" i="13"/>
  <c r="Z105" i="13"/>
  <c r="Z106" i="13"/>
  <c r="Z103" i="13"/>
  <c r="Z99" i="13"/>
  <c r="Z102" i="13"/>
  <c r="Z98" i="13"/>
  <c r="Z101" i="13"/>
  <c r="Z104" i="13"/>
  <c r="AA1542" i="8"/>
  <c r="AA258" i="13"/>
  <c r="AA259" i="13"/>
  <c r="AA251" i="13"/>
  <c r="AA253" i="13"/>
  <c r="AA254" i="13"/>
  <c r="AA255" i="13"/>
  <c r="AA256" i="13"/>
  <c r="AA257" i="13"/>
  <c r="AA252" i="13"/>
  <c r="Q454" i="2"/>
  <c r="P58" i="12"/>
  <c r="P155" i="8"/>
  <c r="P156" i="8" s="1"/>
  <c r="AA221" i="13"/>
  <c r="N1476" i="8"/>
  <c r="N1477" i="8" s="1"/>
  <c r="N1466" i="8"/>
  <c r="W1431" i="8"/>
  <c r="W980" i="8"/>
  <c r="W981" i="8" s="1"/>
  <c r="W1432" i="8"/>
  <c r="Z791" i="2"/>
  <c r="Z1344" i="8" s="1"/>
  <c r="Z1345" i="8" s="1"/>
  <c r="W1436" i="8"/>
  <c r="Z1240" i="8"/>
  <c r="Z1241" i="8" s="1"/>
  <c r="Z856" i="8"/>
  <c r="Z857" i="8" s="1"/>
  <c r="AA798" i="2"/>
  <c r="AA1372" i="8" s="1"/>
  <c r="AA1373" i="8" s="1"/>
  <c r="AA258" i="2"/>
  <c r="Y398" i="2"/>
  <c r="Y972" i="8" s="1"/>
  <c r="Y973" i="8" s="1"/>
  <c r="Z782" i="2"/>
  <c r="W1376" i="8"/>
  <c r="W1377" i="8" s="1"/>
  <c r="AA658" i="2"/>
  <c r="W1435" i="8"/>
  <c r="Z383" i="2"/>
  <c r="AA260" i="2"/>
  <c r="Z392" i="2"/>
  <c r="Z948" i="8" s="1"/>
  <c r="Z949" i="8" s="1"/>
  <c r="Y773" i="2"/>
  <c r="Y1296" i="8" s="1"/>
  <c r="Y1297" i="8" s="1"/>
  <c r="Y382" i="2"/>
  <c r="AA393" i="2"/>
  <c r="AA952" i="8" s="1"/>
  <c r="AA953" i="8" s="1"/>
  <c r="AA363" i="2"/>
  <c r="AA660" i="2"/>
  <c r="Y1248" i="8"/>
  <c r="Y1249" i="8" s="1"/>
  <c r="AA259" i="2"/>
  <c r="Z796" i="2"/>
  <c r="Z1364" i="8" s="1"/>
  <c r="Z1365" i="8" s="1"/>
  <c r="Y794" i="2"/>
  <c r="Y1356" i="8" s="1"/>
  <c r="Y1357" i="8" s="1"/>
  <c r="AA659" i="2"/>
  <c r="AB968" i="8"/>
  <c r="AB969" i="8" s="1"/>
  <c r="Y781" i="2"/>
  <c r="Y793" i="2"/>
  <c r="Y1352" i="8" s="1"/>
  <c r="Y1353" i="8" s="1"/>
  <c r="AA762" i="2"/>
  <c r="X799" i="2"/>
  <c r="AA261" i="2"/>
  <c r="Z836" i="8"/>
  <c r="Z837" i="8" s="1"/>
  <c r="X1348" i="8"/>
  <c r="X1349" i="8" s="1"/>
  <c r="AA657" i="2"/>
  <c r="Z976" i="8"/>
  <c r="Z977" i="8" s="1"/>
  <c r="X400" i="2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Y777" i="2"/>
  <c r="Y1312" i="8" s="1"/>
  <c r="Y1313" i="8" s="1"/>
  <c r="Z757" i="2"/>
  <c r="Z797" i="2" s="1"/>
  <c r="AC357" i="2"/>
  <c r="AC848" i="8" s="1"/>
  <c r="AC849" i="8" s="1"/>
  <c r="Z754" i="2"/>
  <c r="Z1236" i="8" s="1"/>
  <c r="Z1237" i="8" s="1"/>
  <c r="AA352" i="2"/>
  <c r="X1256" i="8"/>
  <c r="X1257" i="8" s="1"/>
  <c r="X780" i="2"/>
  <c r="X1438" i="8" s="1"/>
  <c r="Y840" i="8"/>
  <c r="Y841" i="8" s="1"/>
  <c r="Z358" i="2"/>
  <c r="Z852" i="8" s="1"/>
  <c r="Z853" i="8" s="1"/>
  <c r="Z752" i="2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796" i="2" s="1"/>
  <c r="AA1364" i="8" s="1"/>
  <c r="AA1365" i="8" s="1"/>
  <c r="AA755" i="2"/>
  <c r="AA1240" i="8" s="1"/>
  <c r="AA1241" i="8" s="1"/>
  <c r="X860" i="8"/>
  <c r="X861" i="8" s="1"/>
  <c r="X381" i="2"/>
  <c r="X1434" i="8" s="1"/>
  <c r="Z956" i="8"/>
  <c r="Z957" i="8" s="1"/>
  <c r="Z753" i="2"/>
  <c r="Z1232" i="8" s="1"/>
  <c r="Z1233" i="8" s="1"/>
  <c r="AB353" i="2"/>
  <c r="X789" i="2"/>
  <c r="X1340" i="8" s="1"/>
  <c r="Z349" i="2"/>
  <c r="Z824" i="8" s="1"/>
  <c r="Z825" i="8" s="1"/>
  <c r="Z338" i="2"/>
  <c r="Z788" i="8" s="1"/>
  <c r="Z789" i="8" s="1"/>
  <c r="Z355" i="2"/>
  <c r="Z395" i="2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AA367" i="2" s="1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A333" i="2"/>
  <c r="AA608" i="8"/>
  <c r="AA609" i="8" s="1"/>
  <c r="AA344" i="2"/>
  <c r="AA366" i="2" s="1"/>
  <c r="Y378" i="2"/>
  <c r="Y916" i="8" s="1"/>
  <c r="Y917" i="8" s="1"/>
  <c r="AA1172" i="8"/>
  <c r="AA1173" i="8" s="1"/>
  <c r="AA1188" i="8"/>
  <c r="AA1189" i="8" s="1"/>
  <c r="AA1016" i="8"/>
  <c r="AA1017" i="8" s="1"/>
  <c r="AB681" i="2"/>
  <c r="AB215" i="13" s="1"/>
  <c r="AA746" i="2"/>
  <c r="AA768" i="2" s="1"/>
  <c r="AA735" i="2"/>
  <c r="AA1152" i="8"/>
  <c r="AA1153" i="8" s="1"/>
  <c r="Y770" i="2"/>
  <c r="Y1292" i="8" s="1"/>
  <c r="Y1293" i="8" s="1"/>
  <c r="AB348" i="2"/>
  <c r="AB370" i="2" s="1"/>
  <c r="AB624" i="8"/>
  <c r="AB625" i="8" s="1"/>
  <c r="AC283" i="2"/>
  <c r="AB337" i="2"/>
  <c r="AC812" i="8"/>
  <c r="AC813" i="8" s="1"/>
  <c r="AC884" i="8"/>
  <c r="AC885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A763" i="2" s="1"/>
  <c r="AB676" i="2"/>
  <c r="AB210" i="13" s="1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1192" i="8"/>
  <c r="Z1193" i="8" s="1"/>
  <c r="AA820" i="8"/>
  <c r="AA821" i="8" s="1"/>
  <c r="AB596" i="8"/>
  <c r="AB597" i="8" s="1"/>
  <c r="AC276" i="2"/>
  <c r="AB341" i="2"/>
  <c r="AB330" i="2"/>
  <c r="Z1260" i="8"/>
  <c r="Z1261" i="8" s="1"/>
  <c r="AA775" i="2"/>
  <c r="AA1304" i="8" s="1"/>
  <c r="AA1305" i="8" s="1"/>
  <c r="AA1004" i="8"/>
  <c r="AA1005" i="8" s="1"/>
  <c r="AA732" i="2"/>
  <c r="AA743" i="2"/>
  <c r="AA765" i="2" s="1"/>
  <c r="AB678" i="2"/>
  <c r="AA1204" i="8"/>
  <c r="AA1205" i="8" s="1"/>
  <c r="Z864" i="8"/>
  <c r="Z865" i="8" s="1"/>
  <c r="AB343" i="2"/>
  <c r="AB365" i="2" s="1"/>
  <c r="AB332" i="2"/>
  <c r="AB604" i="8"/>
  <c r="AB605" i="8" s="1"/>
  <c r="AC278" i="2"/>
  <c r="AC72" i="13" s="1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E75" i="13" s="1"/>
  <c r="AD335" i="2"/>
  <c r="AD346" i="2"/>
  <c r="AD368" i="2" s="1"/>
  <c r="AB1180" i="8"/>
  <c r="AB1181" i="8" s="1"/>
  <c r="Z1200" i="8"/>
  <c r="Z1201" i="8" s="1"/>
  <c r="AB1008" i="8"/>
  <c r="AB1009" i="8" s="1"/>
  <c r="AB744" i="2"/>
  <c r="AB766" i="2" s="1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B76" i="13" s="1"/>
  <c r="AA347" i="2"/>
  <c r="AA369" i="2" s="1"/>
  <c r="Z816" i="8"/>
  <c r="Z817" i="8" s="1"/>
  <c r="AA1000" i="8"/>
  <c r="AA1001" i="8" s="1"/>
  <c r="AA742" i="2"/>
  <c r="AA764" i="2" s="1"/>
  <c r="AB677" i="2"/>
  <c r="AB211" i="13" s="1"/>
  <c r="AA731" i="2"/>
  <c r="AC600" i="8"/>
  <c r="AC601" i="8" s="1"/>
  <c r="AC331" i="2"/>
  <c r="AC342" i="2"/>
  <c r="AC364" i="2" s="1"/>
  <c r="AD277" i="2"/>
  <c r="AD71" i="13" s="1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C769" i="2" s="1"/>
  <c r="AD682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768" i="8"/>
  <c r="Z769" i="8" s="1"/>
  <c r="AB1012" i="8"/>
  <c r="AB1013" i="8" s="1"/>
  <c r="AB745" i="2"/>
  <c r="AB767" i="2" s="1"/>
  <c r="AB734" i="2"/>
  <c r="AC680" i="2"/>
  <c r="AC214" i="13" s="1"/>
  <c r="AA786" i="2"/>
  <c r="AA1328" i="8" s="1"/>
  <c r="AA1329" i="8" s="1"/>
  <c r="AB1542" i="8" l="1"/>
  <c r="Z239" i="13"/>
  <c r="AB254" i="13"/>
  <c r="Z241" i="13"/>
  <c r="Z242" i="13"/>
  <c r="Y1511" i="8"/>
  <c r="AB255" i="13"/>
  <c r="AB256" i="13"/>
  <c r="Z240" i="13"/>
  <c r="Z237" i="13"/>
  <c r="Z245" i="13"/>
  <c r="Z243" i="13"/>
  <c r="Z1541" i="8"/>
  <c r="Z238" i="13"/>
  <c r="Z1511" i="8" s="1"/>
  <c r="AA264" i="13"/>
  <c r="AB251" i="13"/>
  <c r="AB253" i="13"/>
  <c r="Y1510" i="8"/>
  <c r="Z277" i="13"/>
  <c r="Z1515" i="8"/>
  <c r="P1467" i="8"/>
  <c r="AA222" i="13"/>
  <c r="AA230" i="13" s="1"/>
  <c r="AA217" i="13"/>
  <c r="AA1515" i="8" s="1"/>
  <c r="Q27" i="12"/>
  <c r="Q1479" i="8" s="1"/>
  <c r="Q1480" i="8" s="1"/>
  <c r="AC250" i="13"/>
  <c r="AC254" i="13" s="1"/>
  <c r="AA78" i="13"/>
  <c r="AA1506" i="8" s="1"/>
  <c r="AB221" i="13"/>
  <c r="AB263" i="13"/>
  <c r="S118" i="2"/>
  <c r="R22" i="12"/>
  <c r="R59" i="8"/>
  <c r="R60" i="8" s="1"/>
  <c r="P1468" i="8"/>
  <c r="P1482" i="8"/>
  <c r="P1483" i="8" s="1"/>
  <c r="AC213" i="13"/>
  <c r="S519" i="2"/>
  <c r="R75" i="12"/>
  <c r="R211" i="8"/>
  <c r="R212" i="8" s="1"/>
  <c r="T578" i="2"/>
  <c r="S86" i="12"/>
  <c r="S243" i="8"/>
  <c r="S244" i="8" s="1"/>
  <c r="S640" i="2"/>
  <c r="R100" i="12"/>
  <c r="R287" i="8"/>
  <c r="R288" i="8" s="1"/>
  <c r="AC82" i="13"/>
  <c r="AC83" i="13" s="1"/>
  <c r="AC70" i="13"/>
  <c r="AB262" i="13"/>
  <c r="S240" i="2"/>
  <c r="R48" i="12"/>
  <c r="R139" i="8"/>
  <c r="R140" i="8" s="1"/>
  <c r="S456" i="2"/>
  <c r="R60" i="12"/>
  <c r="R163" i="8"/>
  <c r="R164" i="8" s="1"/>
  <c r="S516" i="2"/>
  <c r="R72" i="12"/>
  <c r="R199" i="8"/>
  <c r="R200" i="8" s="1"/>
  <c r="T119" i="2"/>
  <c r="S23" i="12"/>
  <c r="S63" i="8"/>
  <c r="S64" i="8" s="1"/>
  <c r="AA1502" i="8"/>
  <c r="S638" i="2"/>
  <c r="R98" i="12"/>
  <c r="R279" i="8"/>
  <c r="R280" i="8" s="1"/>
  <c r="S581" i="2"/>
  <c r="R89" i="12"/>
  <c r="R255" i="8"/>
  <c r="R256" i="8" s="1"/>
  <c r="T182" i="2"/>
  <c r="S38" i="12"/>
  <c r="S111" i="8"/>
  <c r="S112" i="8" s="1"/>
  <c r="S238" i="2"/>
  <c r="R46" i="12"/>
  <c r="R131" i="8"/>
  <c r="R132" i="8" s="1"/>
  <c r="R236" i="2"/>
  <c r="Q44" i="12"/>
  <c r="Q123" i="8"/>
  <c r="Q124" i="8" s="1"/>
  <c r="R453" i="2"/>
  <c r="Q151" i="8"/>
  <c r="Q152" i="8" s="1"/>
  <c r="Q57" i="12"/>
  <c r="Q462" i="2"/>
  <c r="Q1530" i="8" s="1"/>
  <c r="R55" i="2"/>
  <c r="Q7" i="12"/>
  <c r="Q11" i="8"/>
  <c r="Q12" i="8" s="1"/>
  <c r="R241" i="2"/>
  <c r="Q49" i="12"/>
  <c r="Q143" i="8"/>
  <c r="Q144" i="8" s="1"/>
  <c r="Q39" i="12"/>
  <c r="T575" i="2"/>
  <c r="S83" i="12"/>
  <c r="S231" i="8"/>
  <c r="S232" i="8" s="1"/>
  <c r="S639" i="2"/>
  <c r="R283" i="8"/>
  <c r="R284" i="8" s="1"/>
  <c r="R99" i="12"/>
  <c r="R461" i="2"/>
  <c r="Q183" i="8"/>
  <c r="Q184" i="8" s="1"/>
  <c r="Q65" i="12"/>
  <c r="Z1540" i="8"/>
  <c r="Z1514" i="8"/>
  <c r="Z226" i="13"/>
  <c r="Z225" i="13"/>
  <c r="Z223" i="13"/>
  <c r="Z231" i="13"/>
  <c r="Z227" i="13"/>
  <c r="Z224" i="13"/>
  <c r="Z228" i="13"/>
  <c r="Z229" i="13"/>
  <c r="Z230" i="13"/>
  <c r="AA103" i="13"/>
  <c r="AA98" i="13"/>
  <c r="AA104" i="13"/>
  <c r="AA106" i="13"/>
  <c r="AA102" i="13"/>
  <c r="AA99" i="13"/>
  <c r="AA105" i="13"/>
  <c r="AA101" i="13"/>
  <c r="AA100" i="13"/>
  <c r="S177" i="2"/>
  <c r="R33" i="12"/>
  <c r="R91" i="8"/>
  <c r="R92" i="8" s="1"/>
  <c r="S174" i="2"/>
  <c r="R30" i="12"/>
  <c r="R79" i="8"/>
  <c r="R80" i="8" s="1"/>
  <c r="R183" i="2"/>
  <c r="R1524" i="8" s="1"/>
  <c r="T122" i="2"/>
  <c r="S26" i="12"/>
  <c r="S75" i="8"/>
  <c r="S76" i="8" s="1"/>
  <c r="S59" i="2"/>
  <c r="R11" i="12"/>
  <c r="R27" i="8"/>
  <c r="R28" i="8" s="1"/>
  <c r="P66" i="12"/>
  <c r="P1470" i="8" s="1"/>
  <c r="P1487" i="8"/>
  <c r="S120" i="2"/>
  <c r="R24" i="12"/>
  <c r="R67" i="8"/>
  <c r="R68" i="8" s="1"/>
  <c r="AA1512" i="8"/>
  <c r="S181" i="2"/>
  <c r="R37" i="12"/>
  <c r="R107" i="8"/>
  <c r="R108" i="8" s="1"/>
  <c r="P15" i="12"/>
  <c r="S459" i="2"/>
  <c r="R63" i="12"/>
  <c r="R175" i="8"/>
  <c r="R176" i="8" s="1"/>
  <c r="S62" i="2"/>
  <c r="R14" i="12"/>
  <c r="R39" i="8"/>
  <c r="R40" i="8" s="1"/>
  <c r="T515" i="2"/>
  <c r="S71" i="12"/>
  <c r="S195" i="8"/>
  <c r="S196" i="8" s="1"/>
  <c r="S635" i="2"/>
  <c r="R95" i="12"/>
  <c r="R267" i="8"/>
  <c r="R268" i="8" s="1"/>
  <c r="W1517" i="8"/>
  <c r="W1539" i="8"/>
  <c r="R237" i="2"/>
  <c r="Q45" i="12"/>
  <c r="Q127" i="8"/>
  <c r="Q128" i="8" s="1"/>
  <c r="X1436" i="8"/>
  <c r="X276" i="13"/>
  <c r="X278" i="13" s="1"/>
  <c r="AD249" i="13"/>
  <c r="AD216" i="13"/>
  <c r="AD248" i="13" s="1"/>
  <c r="S176" i="2"/>
  <c r="R32" i="12"/>
  <c r="R87" i="8"/>
  <c r="R88" i="8" s="1"/>
  <c r="AC209" i="13"/>
  <c r="R455" i="2"/>
  <c r="Q159" i="8"/>
  <c r="Q160" i="8" s="1"/>
  <c r="Q59" i="12"/>
  <c r="AA1504" i="8"/>
  <c r="R242" i="2"/>
  <c r="Q50" i="12"/>
  <c r="Q147" i="8"/>
  <c r="Q148" i="8" s="1"/>
  <c r="S114" i="2"/>
  <c r="R18" i="12"/>
  <c r="R43" i="8"/>
  <c r="R44" i="8" s="1"/>
  <c r="R123" i="2"/>
  <c r="R1523" i="8" s="1"/>
  <c r="R54" i="2"/>
  <c r="Q6" i="12"/>
  <c r="Q7" i="8"/>
  <c r="Q8" i="8" s="1"/>
  <c r="Q63" i="2"/>
  <c r="Q1522" i="8" s="1"/>
  <c r="S61" i="2"/>
  <c r="R13" i="12"/>
  <c r="R35" i="8"/>
  <c r="R36" i="8" s="1"/>
  <c r="R637" i="2"/>
  <c r="Q97" i="12"/>
  <c r="Q275" i="8"/>
  <c r="Q276" i="8" s="1"/>
  <c r="T121" i="2"/>
  <c r="S25" i="12"/>
  <c r="S71" i="8"/>
  <c r="S72" i="8" s="1"/>
  <c r="S458" i="2"/>
  <c r="R171" i="8"/>
  <c r="R172" i="8" s="1"/>
  <c r="R62" i="12"/>
  <c r="Z1513" i="8"/>
  <c r="O1466" i="8"/>
  <c r="O1476" i="8"/>
  <c r="O1477" i="8" s="1"/>
  <c r="P1534" i="8"/>
  <c r="P1526" i="8"/>
  <c r="AB235" i="13"/>
  <c r="AB212" i="13"/>
  <c r="AB234" i="13" s="1"/>
  <c r="X1431" i="8"/>
  <c r="X137" i="13"/>
  <c r="X139" i="13" s="1"/>
  <c r="X1507" i="8" s="1"/>
  <c r="T116" i="2"/>
  <c r="S20" i="12"/>
  <c r="S51" i="8"/>
  <c r="S52" i="8" s="1"/>
  <c r="R58" i="2"/>
  <c r="Q10" i="12"/>
  <c r="Q23" i="8"/>
  <c r="Q24" i="8" s="1"/>
  <c r="S574" i="2"/>
  <c r="R82" i="12"/>
  <c r="R227" i="8"/>
  <c r="R228" i="8" s="1"/>
  <c r="S579" i="2"/>
  <c r="R87" i="12"/>
  <c r="R247" i="8"/>
  <c r="R248" i="8" s="1"/>
  <c r="Q1536" i="8"/>
  <c r="Q1528" i="8"/>
  <c r="R636" i="2"/>
  <c r="Q96" i="12"/>
  <c r="Q271" i="8"/>
  <c r="Q272" i="8" s="1"/>
  <c r="Z1506" i="8"/>
  <c r="Z1505" i="8"/>
  <c r="Z138" i="13"/>
  <c r="AB81" i="13"/>
  <c r="P1537" i="8"/>
  <c r="P1529" i="8"/>
  <c r="Z1503" i="8"/>
  <c r="S518" i="2"/>
  <c r="R74" i="12"/>
  <c r="R207" i="8"/>
  <c r="R208" i="8" s="1"/>
  <c r="S520" i="2"/>
  <c r="R76" i="12"/>
  <c r="R215" i="8"/>
  <c r="R216" i="8" s="1"/>
  <c r="S517" i="2"/>
  <c r="R73" i="12"/>
  <c r="R203" i="8"/>
  <c r="R204" i="8" s="1"/>
  <c r="S576" i="2"/>
  <c r="R84" i="12"/>
  <c r="R235" i="8"/>
  <c r="R236" i="8" s="1"/>
  <c r="S457" i="2"/>
  <c r="R167" i="8"/>
  <c r="R168" i="8" s="1"/>
  <c r="R61" i="12"/>
  <c r="T179" i="2"/>
  <c r="S35" i="12"/>
  <c r="S99" i="8"/>
  <c r="S100" i="8" s="1"/>
  <c r="S57" i="2"/>
  <c r="R9" i="12"/>
  <c r="R19" i="8"/>
  <c r="R20" i="8" s="1"/>
  <c r="O1469" i="8"/>
  <c r="O1485" i="8"/>
  <c r="O1486" i="8" s="1"/>
  <c r="AB90" i="13"/>
  <c r="AB88" i="13"/>
  <c r="AB92" i="13"/>
  <c r="AB91" i="13"/>
  <c r="AB84" i="13"/>
  <c r="AB85" i="13"/>
  <c r="AB86" i="13"/>
  <c r="AB89" i="13"/>
  <c r="AB87" i="13"/>
  <c r="P102" i="12"/>
  <c r="P1473" i="8" s="1"/>
  <c r="P1490" i="8"/>
  <c r="S56" i="2"/>
  <c r="R8" i="12"/>
  <c r="R15" i="8"/>
  <c r="R16" i="8" s="1"/>
  <c r="AB96" i="13"/>
  <c r="AB97" i="13" s="1"/>
  <c r="AB73" i="13"/>
  <c r="AB95" i="13" s="1"/>
  <c r="AA277" i="13"/>
  <c r="AA231" i="13"/>
  <c r="T180" i="2"/>
  <c r="S36" i="12"/>
  <c r="S103" i="8"/>
  <c r="S104" i="8" s="1"/>
  <c r="T175" i="2"/>
  <c r="S31" i="12"/>
  <c r="S83" i="8"/>
  <c r="S84" i="8" s="1"/>
  <c r="Q90" i="12"/>
  <c r="Q1472" i="8" s="1"/>
  <c r="Q1489" i="8"/>
  <c r="S178" i="2"/>
  <c r="R34" i="12"/>
  <c r="R95" i="8"/>
  <c r="R96" i="8" s="1"/>
  <c r="S117" i="2"/>
  <c r="R21" i="12"/>
  <c r="R55" i="8"/>
  <c r="R56" i="8" s="1"/>
  <c r="S513" i="2"/>
  <c r="R69" i="12"/>
  <c r="R522" i="2"/>
  <c r="R1531" i="8" s="1"/>
  <c r="R187" i="8"/>
  <c r="R188" i="8" s="1"/>
  <c r="T580" i="2"/>
  <c r="S88" i="12"/>
  <c r="S251" i="8"/>
  <c r="S252" i="8" s="1"/>
  <c r="S521" i="2"/>
  <c r="R219" i="8"/>
  <c r="R220" i="8" s="1"/>
  <c r="R77" i="12"/>
  <c r="R60" i="2"/>
  <c r="Q12" i="12"/>
  <c r="Q31" i="8"/>
  <c r="Q32" i="8" s="1"/>
  <c r="P51" i="12"/>
  <c r="Y1513" i="8"/>
  <c r="S573" i="2"/>
  <c r="R81" i="12"/>
  <c r="R223" i="8"/>
  <c r="R224" i="8" s="1"/>
  <c r="R582" i="2"/>
  <c r="R1532" i="8" s="1"/>
  <c r="R235" i="2"/>
  <c r="Q43" i="12"/>
  <c r="Q119" i="8"/>
  <c r="Q120" i="8" s="1"/>
  <c r="S514" i="2"/>
  <c r="R70" i="12"/>
  <c r="R191" i="8"/>
  <c r="R192" i="8" s="1"/>
  <c r="R633" i="2"/>
  <c r="Q93" i="12"/>
  <c r="Q642" i="2"/>
  <c r="Q1533" i="8" s="1"/>
  <c r="Q259" i="8"/>
  <c r="Q260" i="8" s="1"/>
  <c r="S460" i="2"/>
  <c r="R64" i="12"/>
  <c r="R179" i="8"/>
  <c r="R180" i="8" s="1"/>
  <c r="Z1501" i="8"/>
  <c r="Q1535" i="8"/>
  <c r="Q1527" i="8"/>
  <c r="AA1543" i="8"/>
  <c r="AA267" i="13"/>
  <c r="AA269" i="13"/>
  <c r="AA270" i="13"/>
  <c r="AA266" i="13"/>
  <c r="AA268" i="13"/>
  <c r="AA265" i="13"/>
  <c r="AA273" i="13"/>
  <c r="AA272" i="13"/>
  <c r="AA271" i="13"/>
  <c r="R234" i="2"/>
  <c r="Q115" i="8"/>
  <c r="Q116" i="8" s="1"/>
  <c r="Q42" i="12"/>
  <c r="Q243" i="2"/>
  <c r="Q1525" i="8" s="1"/>
  <c r="AA236" i="13"/>
  <c r="AA1514" i="8" s="1"/>
  <c r="AA128" i="13"/>
  <c r="AA127" i="13"/>
  <c r="AA133" i="13"/>
  <c r="AA129" i="13"/>
  <c r="AA126" i="13"/>
  <c r="AA134" i="13"/>
  <c r="AA131" i="13"/>
  <c r="AA132" i="13"/>
  <c r="AA130" i="13"/>
  <c r="AB124" i="13"/>
  <c r="AB125" i="13" s="1"/>
  <c r="AB74" i="13"/>
  <c r="AB123" i="13" s="1"/>
  <c r="AC110" i="13"/>
  <c r="AC111" i="13" s="1"/>
  <c r="AC77" i="13"/>
  <c r="AC109" i="13" s="1"/>
  <c r="R454" i="2"/>
  <c r="Q58" i="12"/>
  <c r="Q155" i="8"/>
  <c r="Q156" i="8" s="1"/>
  <c r="Q1488" i="8"/>
  <c r="Q78" i="12"/>
  <c r="Q1471" i="8" s="1"/>
  <c r="AA1500" i="8"/>
  <c r="AB220" i="13"/>
  <c r="S239" i="2"/>
  <c r="R47" i="12"/>
  <c r="R135" i="8"/>
  <c r="R136" i="8" s="1"/>
  <c r="S641" i="2"/>
  <c r="R291" i="8"/>
  <c r="R292" i="8" s="1"/>
  <c r="R101" i="12"/>
  <c r="AB116" i="13"/>
  <c r="AB117" i="13"/>
  <c r="AB119" i="13"/>
  <c r="AB118" i="13"/>
  <c r="AB114" i="13"/>
  <c r="AB120" i="13"/>
  <c r="AB112" i="13"/>
  <c r="AB113" i="13"/>
  <c r="AB115" i="13"/>
  <c r="S115" i="2"/>
  <c r="R47" i="8"/>
  <c r="R48" i="8" s="1"/>
  <c r="R19" i="12"/>
  <c r="S577" i="2"/>
  <c r="R85" i="12"/>
  <c r="R239" i="8"/>
  <c r="R240" i="8" s="1"/>
  <c r="S634" i="2"/>
  <c r="R263" i="8"/>
  <c r="R264" i="8" s="1"/>
  <c r="R94" i="12"/>
  <c r="X1376" i="8"/>
  <c r="X1377" i="8" s="1"/>
  <c r="X649" i="2"/>
  <c r="X1432" i="8"/>
  <c r="X1435" i="8"/>
  <c r="AA392" i="2"/>
  <c r="AA948" i="8" s="1"/>
  <c r="AA949" i="8" s="1"/>
  <c r="AA1244" i="8"/>
  <c r="AA1245" i="8" s="1"/>
  <c r="AB660" i="2"/>
  <c r="AB259" i="2"/>
  <c r="AA795" i="2"/>
  <c r="AA1360" i="8" s="1"/>
  <c r="AA1361" i="8" s="1"/>
  <c r="Z1248" i="8"/>
  <c r="Z1249" i="8" s="1"/>
  <c r="AA791" i="2"/>
  <c r="AA1344" i="8" s="1"/>
  <c r="AA1345" i="8" s="1"/>
  <c r="AB658" i="2"/>
  <c r="AB258" i="2"/>
  <c r="AB659" i="2"/>
  <c r="AA383" i="2"/>
  <c r="X250" i="2"/>
  <c r="Z774" i="2"/>
  <c r="Z1300" i="8" s="1"/>
  <c r="Z1301" i="8" s="1"/>
  <c r="X980" i="8"/>
  <c r="X981" i="8" s="1"/>
  <c r="Z374" i="2"/>
  <c r="Z900" i="8" s="1"/>
  <c r="Z901" i="8" s="1"/>
  <c r="Z398" i="2"/>
  <c r="Z972" i="8" s="1"/>
  <c r="Z973" i="8" s="1"/>
  <c r="Z794" i="2"/>
  <c r="Z1356" i="8" s="1"/>
  <c r="Z1357" i="8" s="1"/>
  <c r="AB363" i="2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762" i="2"/>
  <c r="AB832" i="8"/>
  <c r="AB833" i="8" s="1"/>
  <c r="AB260" i="2"/>
  <c r="AB261" i="2"/>
  <c r="AC397" i="2"/>
  <c r="AC968" i="8" s="1"/>
  <c r="AC969" i="8" s="1"/>
  <c r="Z793" i="2"/>
  <c r="Z792" i="2"/>
  <c r="Y799" i="2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55" i="2"/>
  <c r="AB795" i="2" s="1"/>
  <c r="X920" i="8"/>
  <c r="X921" i="8" s="1"/>
  <c r="X380" i="2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AA752" i="2"/>
  <c r="AA356" i="2"/>
  <c r="AA396" i="2" s="1"/>
  <c r="Y860" i="8"/>
  <c r="Y861" i="8" s="1"/>
  <c r="Y381" i="2"/>
  <c r="Y1434" i="8" s="1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A757" i="2"/>
  <c r="AA1248" i="8" s="1"/>
  <c r="AA1249" i="8" s="1"/>
  <c r="AC353" i="2"/>
  <c r="AC832" i="8" s="1"/>
  <c r="AC833" i="8" s="1"/>
  <c r="AD357" i="2"/>
  <c r="AD397" i="2" s="1"/>
  <c r="X1316" i="8"/>
  <c r="X1317" i="8" s="1"/>
  <c r="X779" i="2"/>
  <c r="AA737" i="2"/>
  <c r="AA1184" i="8" s="1"/>
  <c r="AA1185" i="8" s="1"/>
  <c r="AA753" i="2"/>
  <c r="AA1232" i="8" s="1"/>
  <c r="AA1233" i="8" s="1"/>
  <c r="AA772" i="8"/>
  <c r="AA773" i="8" s="1"/>
  <c r="AB334" i="2"/>
  <c r="AC280" i="2"/>
  <c r="AB612" i="8"/>
  <c r="AB613" i="8" s="1"/>
  <c r="AB345" i="2"/>
  <c r="AB367" i="2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B765" i="2" s="1"/>
  <c r="AC678" i="2"/>
  <c r="Z759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C766" i="2" s="1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D769" i="2" s="1"/>
  <c r="AE682" i="2"/>
  <c r="AC1012" i="8"/>
  <c r="AC1013" i="8" s="1"/>
  <c r="AC745" i="2"/>
  <c r="AC767" i="2" s="1"/>
  <c r="AC734" i="2"/>
  <c r="AD680" i="2"/>
  <c r="AD214" i="13" s="1"/>
  <c r="AC1216" i="8"/>
  <c r="AC1217" i="8" s="1"/>
  <c r="Z385" i="2"/>
  <c r="AC604" i="8"/>
  <c r="AC605" i="8" s="1"/>
  <c r="AC343" i="2"/>
  <c r="AC365" i="2" s="1"/>
  <c r="AC332" i="2"/>
  <c r="AD278" i="2"/>
  <c r="AD72" i="13" s="1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C676" i="2"/>
  <c r="AC210" i="13" s="1"/>
  <c r="AB741" i="2"/>
  <c r="AB763" i="2" s="1"/>
  <c r="AB730" i="2"/>
  <c r="AB1016" i="8"/>
  <c r="AB1017" i="8" s="1"/>
  <c r="AC681" i="2"/>
  <c r="AC215" i="13" s="1"/>
  <c r="AB746" i="2"/>
  <c r="AB768" i="2" s="1"/>
  <c r="AB735" i="2"/>
  <c r="AB608" i="8"/>
  <c r="AB609" i="8" s="1"/>
  <c r="AB333" i="2"/>
  <c r="AB344" i="2"/>
  <c r="AB366" i="2" s="1"/>
  <c r="AC279" i="2"/>
  <c r="AC760" i="8"/>
  <c r="AC761" i="8" s="1"/>
  <c r="AB1000" i="8"/>
  <c r="AB1001" i="8" s="1"/>
  <c r="AB731" i="2"/>
  <c r="AB742" i="2"/>
  <c r="AB764" i="2" s="1"/>
  <c r="AC677" i="2"/>
  <c r="AC211" i="13" s="1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AE335" i="2"/>
  <c r="AE616" i="8"/>
  <c r="AE617" i="8" s="1"/>
  <c r="F617" i="8" s="1"/>
  <c r="AE346" i="2"/>
  <c r="AE368" i="2" s="1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620" i="8"/>
  <c r="AB621" i="8" s="1"/>
  <c r="AC282" i="2"/>
  <c r="AC76" i="13" s="1"/>
  <c r="AB347" i="2"/>
  <c r="AB369" i="2" s="1"/>
  <c r="AB336" i="2"/>
  <c r="Z788" i="2"/>
  <c r="Z1336" i="8" s="1"/>
  <c r="Z1337" i="8" s="1"/>
  <c r="AD283" i="2"/>
  <c r="AC337" i="2"/>
  <c r="AC624" i="8"/>
  <c r="AC625" i="8" s="1"/>
  <c r="AC348" i="2"/>
  <c r="AC370" i="2" s="1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D364" i="2" s="1"/>
  <c r="AE277" i="2"/>
  <c r="AE71" i="13" s="1"/>
  <c r="AA780" i="8"/>
  <c r="AA781" i="8" s="1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AB222" i="13" l="1"/>
  <c r="AB1512" i="8"/>
  <c r="AC1542" i="8"/>
  <c r="AB264" i="13"/>
  <c r="AA229" i="13"/>
  <c r="AA224" i="13"/>
  <c r="AA1540" i="8"/>
  <c r="Q1467" i="8"/>
  <c r="AA1505" i="8"/>
  <c r="AA1516" i="8"/>
  <c r="AA1538" i="8"/>
  <c r="AC256" i="13"/>
  <c r="AA228" i="13"/>
  <c r="AC257" i="13"/>
  <c r="AA223" i="13"/>
  <c r="AC251" i="13"/>
  <c r="AC258" i="13"/>
  <c r="AC255" i="13"/>
  <c r="AC252" i="13"/>
  <c r="AC259" i="13"/>
  <c r="AA226" i="13"/>
  <c r="AA227" i="13"/>
  <c r="AA225" i="13"/>
  <c r="AC253" i="13"/>
  <c r="AA138" i="13"/>
  <c r="AD250" i="13"/>
  <c r="AD258" i="13" s="1"/>
  <c r="Q15" i="12"/>
  <c r="Q1466" i="8" s="1"/>
  <c r="AB217" i="13"/>
  <c r="AB1515" i="8" s="1"/>
  <c r="AB1504" i="8"/>
  <c r="AB1540" i="8"/>
  <c r="AB224" i="13"/>
  <c r="AB223" i="13"/>
  <c r="AB226" i="13"/>
  <c r="AB229" i="13"/>
  <c r="AB228" i="13"/>
  <c r="AB230" i="13"/>
  <c r="AB225" i="13"/>
  <c r="AB231" i="13"/>
  <c r="AB227" i="13"/>
  <c r="AB1543" i="8"/>
  <c r="AB272" i="13"/>
  <c r="AB273" i="13"/>
  <c r="AB266" i="13"/>
  <c r="AB271" i="13"/>
  <c r="AB268" i="13"/>
  <c r="AB270" i="13"/>
  <c r="AB269" i="13"/>
  <c r="AB265" i="13"/>
  <c r="AB267" i="13"/>
  <c r="Y980" i="8"/>
  <c r="Y981" i="8" s="1"/>
  <c r="Y137" i="13"/>
  <c r="Y139" i="13" s="1"/>
  <c r="Y1507" i="8" s="1"/>
  <c r="AC212" i="13"/>
  <c r="AC234" i="13" s="1"/>
  <c r="AC235" i="13"/>
  <c r="P1469" i="8"/>
  <c r="P1485" i="8"/>
  <c r="P1486" i="8" s="1"/>
  <c r="S633" i="2"/>
  <c r="R93" i="12"/>
  <c r="R259" i="8"/>
  <c r="R260" i="8" s="1"/>
  <c r="R642" i="2"/>
  <c r="R1533" i="8" s="1"/>
  <c r="Q1487" i="8"/>
  <c r="Q66" i="12"/>
  <c r="Q1470" i="8" s="1"/>
  <c r="AD209" i="13"/>
  <c r="AC124" i="13"/>
  <c r="AC125" i="13" s="1"/>
  <c r="AC74" i="13"/>
  <c r="AC123" i="13" s="1"/>
  <c r="R27" i="12"/>
  <c r="U180" i="2"/>
  <c r="T36" i="12"/>
  <c r="T103" i="8"/>
  <c r="T104" i="8" s="1"/>
  <c r="U179" i="2"/>
  <c r="T35" i="12"/>
  <c r="T99" i="8"/>
  <c r="T100" i="8" s="1"/>
  <c r="U121" i="2"/>
  <c r="T25" i="12"/>
  <c r="T71" i="8"/>
  <c r="T72" i="8" s="1"/>
  <c r="T114" i="2"/>
  <c r="S18" i="12"/>
  <c r="S43" i="8"/>
  <c r="S44" i="8" s="1"/>
  <c r="S123" i="2"/>
  <c r="S1523" i="8" s="1"/>
  <c r="T174" i="2"/>
  <c r="S30" i="12"/>
  <c r="S79" i="8"/>
  <c r="S80" i="8" s="1"/>
  <c r="S183" i="2"/>
  <c r="S1524" i="8" s="1"/>
  <c r="T115" i="2"/>
  <c r="S19" i="12"/>
  <c r="S47" i="8"/>
  <c r="S48" i="8" s="1"/>
  <c r="U580" i="2"/>
  <c r="T88" i="12"/>
  <c r="T251" i="8"/>
  <c r="T252" i="8" s="1"/>
  <c r="AA1503" i="8"/>
  <c r="T513" i="2"/>
  <c r="S69" i="12"/>
  <c r="S522" i="2"/>
  <c r="S1531" i="8" s="1"/>
  <c r="S187" i="8"/>
  <c r="S188" i="8" s="1"/>
  <c r="T176" i="2"/>
  <c r="S32" i="12"/>
  <c r="S87" i="8"/>
  <c r="S88" i="8" s="1"/>
  <c r="R39" i="12"/>
  <c r="T581" i="2"/>
  <c r="S89" i="12"/>
  <c r="S255" i="8"/>
  <c r="S256" i="8" s="1"/>
  <c r="AD213" i="13"/>
  <c r="S60" i="2"/>
  <c r="R12" i="12"/>
  <c r="R31" i="8"/>
  <c r="R32" i="8" s="1"/>
  <c r="T117" i="2"/>
  <c r="S21" i="12"/>
  <c r="S55" i="8"/>
  <c r="S56" i="8" s="1"/>
  <c r="AB1500" i="8"/>
  <c r="T518" i="2"/>
  <c r="S74" i="12"/>
  <c r="S207" i="8"/>
  <c r="S208" i="8" s="1"/>
  <c r="AD1542" i="8"/>
  <c r="AD253" i="13"/>
  <c r="AD255" i="13"/>
  <c r="U515" i="2"/>
  <c r="T71" i="12"/>
  <c r="T195" i="8"/>
  <c r="T196" i="8" s="1"/>
  <c r="T120" i="2"/>
  <c r="S24" i="12"/>
  <c r="S67" i="8"/>
  <c r="S68" i="8" s="1"/>
  <c r="T639" i="2"/>
  <c r="S99" i="12"/>
  <c r="S283" i="8"/>
  <c r="S284" i="8" s="1"/>
  <c r="S453" i="2"/>
  <c r="R57" i="12"/>
  <c r="R151" i="8"/>
  <c r="R152" i="8" s="1"/>
  <c r="R462" i="2"/>
  <c r="R1530" i="8" s="1"/>
  <c r="T519" i="2"/>
  <c r="S75" i="12"/>
  <c r="S211" i="8"/>
  <c r="S212" i="8" s="1"/>
  <c r="T56" i="2"/>
  <c r="S8" i="12"/>
  <c r="S15" i="8"/>
  <c r="S16" i="8" s="1"/>
  <c r="T520" i="2"/>
  <c r="S76" i="12"/>
  <c r="S215" i="8"/>
  <c r="S216" i="8" s="1"/>
  <c r="T635" i="2"/>
  <c r="S95" i="12"/>
  <c r="S267" i="8"/>
  <c r="S268" i="8" s="1"/>
  <c r="U578" i="2"/>
  <c r="T86" i="12"/>
  <c r="T243" i="8"/>
  <c r="T244" i="8" s="1"/>
  <c r="U116" i="2"/>
  <c r="T20" i="12"/>
  <c r="T51" i="8"/>
  <c r="T52" i="8" s="1"/>
  <c r="T634" i="2"/>
  <c r="S94" i="12"/>
  <c r="S263" i="8"/>
  <c r="S264" i="8" s="1"/>
  <c r="T514" i="2"/>
  <c r="S70" i="12"/>
  <c r="S191" i="8"/>
  <c r="S192" i="8" s="1"/>
  <c r="T638" i="2"/>
  <c r="S98" i="12"/>
  <c r="S279" i="8"/>
  <c r="S280" i="8" s="1"/>
  <c r="T240" i="2"/>
  <c r="S48" i="12"/>
  <c r="S139" i="8"/>
  <c r="S140" i="8" s="1"/>
  <c r="AC262" i="13"/>
  <c r="S636" i="2"/>
  <c r="R96" i="12"/>
  <c r="R271" i="8"/>
  <c r="R272" i="8" s="1"/>
  <c r="T456" i="2"/>
  <c r="S60" i="12"/>
  <c r="S163" i="8"/>
  <c r="S164" i="8" s="1"/>
  <c r="AD110" i="13"/>
  <c r="AD111" i="13" s="1"/>
  <c r="AD77" i="13"/>
  <c r="AD109" i="13" s="1"/>
  <c r="S454" i="2"/>
  <c r="R58" i="12"/>
  <c r="R155" i="8"/>
  <c r="R156" i="8" s="1"/>
  <c r="AA1541" i="8"/>
  <c r="AA242" i="13"/>
  <c r="AA244" i="13"/>
  <c r="AA243" i="13"/>
  <c r="AA237" i="13"/>
  <c r="AA240" i="13"/>
  <c r="AA238" i="13"/>
  <c r="AA241" i="13"/>
  <c r="AA239" i="13"/>
  <c r="AA245" i="13"/>
  <c r="AB102" i="13"/>
  <c r="AB99" i="13"/>
  <c r="AB103" i="13"/>
  <c r="AB106" i="13"/>
  <c r="AB98" i="13"/>
  <c r="AB105" i="13"/>
  <c r="AB101" i="13"/>
  <c r="AB104" i="13"/>
  <c r="AB100" i="13"/>
  <c r="T457" i="2"/>
  <c r="S167" i="8"/>
  <c r="S168" i="8" s="1"/>
  <c r="S61" i="12"/>
  <c r="T579" i="2"/>
  <c r="S87" i="12"/>
  <c r="S247" i="8"/>
  <c r="S248" i="8" s="1"/>
  <c r="AB236" i="13"/>
  <c r="S637" i="2"/>
  <c r="R97" i="12"/>
  <c r="R275" i="8"/>
  <c r="R276" i="8" s="1"/>
  <c r="S242" i="2"/>
  <c r="R50" i="12"/>
  <c r="R147" i="8"/>
  <c r="R148" i="8" s="1"/>
  <c r="X1517" i="8"/>
  <c r="X1539" i="8"/>
  <c r="T177" i="2"/>
  <c r="S33" i="12"/>
  <c r="S91" i="8"/>
  <c r="S92" i="8" s="1"/>
  <c r="AC263" i="13"/>
  <c r="AD82" i="13"/>
  <c r="AD83" i="13" s="1"/>
  <c r="AD70" i="13"/>
  <c r="Q1534" i="8"/>
  <c r="Q1526" i="8"/>
  <c r="T521" i="2"/>
  <c r="S219" i="8"/>
  <c r="S220" i="8" s="1"/>
  <c r="S77" i="12"/>
  <c r="T62" i="2"/>
  <c r="S14" i="12"/>
  <c r="S39" i="8"/>
  <c r="S40" i="8" s="1"/>
  <c r="U575" i="2"/>
  <c r="T231" i="8"/>
  <c r="T232" i="8" s="1"/>
  <c r="T83" i="12"/>
  <c r="S236" i="2"/>
  <c r="R123" i="8"/>
  <c r="R124" i="8" s="1"/>
  <c r="R44" i="12"/>
  <c r="T577" i="2"/>
  <c r="S85" i="12"/>
  <c r="S239" i="8"/>
  <c r="S240" i="8" s="1"/>
  <c r="AC114" i="13"/>
  <c r="AC119" i="13"/>
  <c r="AC117" i="13"/>
  <c r="AC112" i="13"/>
  <c r="AC113" i="13"/>
  <c r="AC116" i="13"/>
  <c r="AC120" i="13"/>
  <c r="AC118" i="13"/>
  <c r="AC115" i="13"/>
  <c r="Q51" i="12"/>
  <c r="S235" i="2"/>
  <c r="R43" i="12"/>
  <c r="R119" i="8"/>
  <c r="R120" i="8" s="1"/>
  <c r="T178" i="2"/>
  <c r="S34" i="12"/>
  <c r="S95" i="8"/>
  <c r="S96" i="8" s="1"/>
  <c r="Z1510" i="8"/>
  <c r="Q1482" i="8"/>
  <c r="Q1483" i="8" s="1"/>
  <c r="Q1468" i="8"/>
  <c r="AC81" i="13"/>
  <c r="S234" i="2"/>
  <c r="R42" i="12"/>
  <c r="R115" i="8"/>
  <c r="R116" i="8" s="1"/>
  <c r="R243" i="2"/>
  <c r="R1525" i="8" s="1"/>
  <c r="Q1490" i="8"/>
  <c r="Q102" i="12"/>
  <c r="Q1473" i="8" s="1"/>
  <c r="S461" i="2"/>
  <c r="R65" i="12"/>
  <c r="R183" i="8"/>
  <c r="R184" i="8" s="1"/>
  <c r="AE249" i="13"/>
  <c r="AE216" i="13"/>
  <c r="AE248" i="13" s="1"/>
  <c r="Y1435" i="8"/>
  <c r="Y276" i="13"/>
  <c r="Y278" i="13" s="1"/>
  <c r="T641" i="2"/>
  <c r="S101" i="12"/>
  <c r="S291" i="8"/>
  <c r="S292" i="8" s="1"/>
  <c r="R1536" i="8"/>
  <c r="R1528" i="8"/>
  <c r="T576" i="2"/>
  <c r="S84" i="12"/>
  <c r="S235" i="8"/>
  <c r="S236" i="8" s="1"/>
  <c r="AB78" i="13"/>
  <c r="T574" i="2"/>
  <c r="S227" i="8"/>
  <c r="S228" i="8" s="1"/>
  <c r="S82" i="12"/>
  <c r="T61" i="2"/>
  <c r="S13" i="12"/>
  <c r="S35" i="8"/>
  <c r="S36" i="8" s="1"/>
  <c r="T59" i="2"/>
  <c r="S11" i="12"/>
  <c r="S27" i="8"/>
  <c r="S28" i="8" s="1"/>
  <c r="U119" i="2"/>
  <c r="T23" i="12"/>
  <c r="T63" i="8"/>
  <c r="T64" i="8" s="1"/>
  <c r="AC87" i="13"/>
  <c r="AC89" i="13"/>
  <c r="AC91" i="13"/>
  <c r="AC86" i="13"/>
  <c r="AC85" i="13"/>
  <c r="AC90" i="13"/>
  <c r="AC92" i="13"/>
  <c r="AC84" i="13"/>
  <c r="AC88" i="13"/>
  <c r="S237" i="2"/>
  <c r="R45" i="12"/>
  <c r="R127" i="8"/>
  <c r="R128" i="8" s="1"/>
  <c r="T459" i="2"/>
  <c r="S63" i="12"/>
  <c r="S175" i="8"/>
  <c r="S176" i="8" s="1"/>
  <c r="T238" i="2"/>
  <c r="S46" i="12"/>
  <c r="S131" i="8"/>
  <c r="S132" i="8" s="1"/>
  <c r="S455" i="2"/>
  <c r="R59" i="12"/>
  <c r="R159" i="8"/>
  <c r="R160" i="8" s="1"/>
  <c r="P1466" i="8"/>
  <c r="P1476" i="8"/>
  <c r="P1477" i="8" s="1"/>
  <c r="S241" i="2"/>
  <c r="R49" i="12"/>
  <c r="R143" i="8"/>
  <c r="R144" i="8" s="1"/>
  <c r="T118" i="2"/>
  <c r="S22" i="12"/>
  <c r="S59" i="8"/>
  <c r="S60" i="8" s="1"/>
  <c r="R90" i="12"/>
  <c r="R1472" i="8" s="1"/>
  <c r="R1489" i="8"/>
  <c r="AB126" i="13"/>
  <c r="AB128" i="13"/>
  <c r="AB134" i="13"/>
  <c r="AB132" i="13"/>
  <c r="AB133" i="13"/>
  <c r="AB127" i="13"/>
  <c r="AB130" i="13"/>
  <c r="AB131" i="13"/>
  <c r="AB129" i="13"/>
  <c r="T573" i="2"/>
  <c r="S81" i="12"/>
  <c r="S582" i="2"/>
  <c r="S1532" i="8" s="1"/>
  <c r="S223" i="8"/>
  <c r="S224" i="8" s="1"/>
  <c r="T640" i="2"/>
  <c r="S100" i="12"/>
  <c r="S287" i="8"/>
  <c r="S288" i="8" s="1"/>
  <c r="R1535" i="8"/>
  <c r="R1527" i="8"/>
  <c r="S54" i="2"/>
  <c r="R6" i="12"/>
  <c r="R7" i="8"/>
  <c r="R8" i="8" s="1"/>
  <c r="R63" i="2"/>
  <c r="R1522" i="8" s="1"/>
  <c r="AC221" i="13"/>
  <c r="U182" i="2"/>
  <c r="T38" i="12"/>
  <c r="T111" i="8"/>
  <c r="T112" i="8" s="1"/>
  <c r="AC96" i="13"/>
  <c r="AC97" i="13" s="1"/>
  <c r="AC73" i="13"/>
  <c r="AC95" i="13" s="1"/>
  <c r="T239" i="2"/>
  <c r="S47" i="12"/>
  <c r="S135" i="8"/>
  <c r="S136" i="8" s="1"/>
  <c r="T460" i="2"/>
  <c r="S64" i="12"/>
  <c r="S179" i="8"/>
  <c r="S180" i="8" s="1"/>
  <c r="T517" i="2"/>
  <c r="S73" i="12"/>
  <c r="S203" i="8"/>
  <c r="S204" i="8" s="1"/>
  <c r="S58" i="2"/>
  <c r="R10" i="12"/>
  <c r="R23" i="8"/>
  <c r="R24" i="8" s="1"/>
  <c r="AC220" i="13"/>
  <c r="U122" i="2"/>
  <c r="T26" i="12"/>
  <c r="T75" i="8"/>
  <c r="T76" i="8" s="1"/>
  <c r="T516" i="2"/>
  <c r="S72" i="12"/>
  <c r="S199" i="8"/>
  <c r="S200" i="8" s="1"/>
  <c r="AB1502" i="8"/>
  <c r="AA1513" i="8"/>
  <c r="Q1537" i="8"/>
  <c r="Q1529" i="8"/>
  <c r="R1488" i="8"/>
  <c r="R78" i="12"/>
  <c r="R1471" i="8" s="1"/>
  <c r="U175" i="2"/>
  <c r="T83" i="8"/>
  <c r="T84" i="8" s="1"/>
  <c r="T31" i="12"/>
  <c r="T57" i="2"/>
  <c r="S9" i="12"/>
  <c r="S19" i="8"/>
  <c r="S20" i="8" s="1"/>
  <c r="T458" i="2"/>
  <c r="S62" i="12"/>
  <c r="S171" i="8"/>
  <c r="S172" i="8" s="1"/>
  <c r="T181" i="2"/>
  <c r="S37" i="12"/>
  <c r="S107" i="8"/>
  <c r="S108" i="8" s="1"/>
  <c r="AA1501" i="8"/>
  <c r="S55" i="2"/>
  <c r="R11" i="8"/>
  <c r="R12" i="8" s="1"/>
  <c r="R7" i="12"/>
  <c r="Y649" i="2"/>
  <c r="Z799" i="2"/>
  <c r="Z1435" i="8" s="1"/>
  <c r="AC658" i="2"/>
  <c r="AC1252" i="8"/>
  <c r="AC1253" i="8" s="1"/>
  <c r="AB392" i="2"/>
  <c r="AB948" i="8" s="1"/>
  <c r="AB949" i="8" s="1"/>
  <c r="AA797" i="2"/>
  <c r="AA1368" i="8" s="1"/>
  <c r="AA1369" i="8" s="1"/>
  <c r="AB796" i="2"/>
  <c r="AB1364" i="8" s="1"/>
  <c r="AB1365" i="8" s="1"/>
  <c r="Y1436" i="8"/>
  <c r="AA382" i="2"/>
  <c r="AB376" i="2"/>
  <c r="AB908" i="8" s="1"/>
  <c r="AB909" i="8" s="1"/>
  <c r="AB791" i="2"/>
  <c r="AB1344" i="8" s="1"/>
  <c r="AB1345" i="8" s="1"/>
  <c r="Z1348" i="8"/>
  <c r="Z1349" i="8" s="1"/>
  <c r="AC393" i="2"/>
  <c r="AC952" i="8" s="1"/>
  <c r="AC953" i="8" s="1"/>
  <c r="AC260" i="2"/>
  <c r="AA844" i="8"/>
  <c r="AA845" i="8" s="1"/>
  <c r="AB394" i="2"/>
  <c r="AB956" i="8" s="1"/>
  <c r="AB957" i="8" s="1"/>
  <c r="AA374" i="2"/>
  <c r="AA900" i="8" s="1"/>
  <c r="AA901" i="8" s="1"/>
  <c r="Y1376" i="8"/>
  <c r="Y1377" i="8" s="1"/>
  <c r="AA781" i="2"/>
  <c r="AC762" i="2"/>
  <c r="AA794" i="2"/>
  <c r="AA1356" i="8" s="1"/>
  <c r="AA1357" i="8" s="1"/>
  <c r="AA793" i="2"/>
  <c r="AA1352" i="8" s="1"/>
  <c r="AA1353" i="8" s="1"/>
  <c r="AC259" i="2"/>
  <c r="AB399" i="2"/>
  <c r="AB976" i="8" s="1"/>
  <c r="AB977" i="8" s="1"/>
  <c r="Z400" i="2"/>
  <c r="AA792" i="2"/>
  <c r="AA1348" i="8" s="1"/>
  <c r="AA1349" i="8" s="1"/>
  <c r="AB383" i="2"/>
  <c r="AC261" i="2"/>
  <c r="AC660" i="2"/>
  <c r="AC363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E357" i="2"/>
  <c r="AE848" i="8" s="1"/>
  <c r="AE849" i="8" s="1"/>
  <c r="Z860" i="8"/>
  <c r="Z861" i="8" s="1"/>
  <c r="Z381" i="2"/>
  <c r="Z1434" i="8" s="1"/>
  <c r="AC755" i="2"/>
  <c r="AC1240" i="8" s="1"/>
  <c r="AC1241" i="8" s="1"/>
  <c r="AB358" i="2"/>
  <c r="AB398" i="2" s="1"/>
  <c r="AB752" i="2"/>
  <c r="AB1228" i="8" s="1"/>
  <c r="AB1229" i="8" s="1"/>
  <c r="AA1228" i="8"/>
  <c r="AA1229" i="8" s="1"/>
  <c r="AD353" i="2"/>
  <c r="AD393" i="2" s="1"/>
  <c r="AD758" i="2"/>
  <c r="AD1252" i="8" s="1"/>
  <c r="AD1253" i="8" s="1"/>
  <c r="Z1256" i="8"/>
  <c r="Z1257" i="8" s="1"/>
  <c r="Z780" i="2"/>
  <c r="Z1438" i="8" s="1"/>
  <c r="AB356" i="2"/>
  <c r="AB844" i="8" s="1"/>
  <c r="AB845" i="8" s="1"/>
  <c r="AC751" i="2"/>
  <c r="AC354" i="2"/>
  <c r="AC352" i="2"/>
  <c r="AB754" i="2"/>
  <c r="AB1236" i="8" s="1"/>
  <c r="AB1237" i="8" s="1"/>
  <c r="AB355" i="2"/>
  <c r="AA840" i="8"/>
  <c r="AA841" i="8" s="1"/>
  <c r="Y1316" i="8"/>
  <c r="Y1317" i="8" s="1"/>
  <c r="Y779" i="2"/>
  <c r="AA960" i="8"/>
  <c r="AA961" i="8" s="1"/>
  <c r="AB387" i="2"/>
  <c r="AB932" i="8" s="1"/>
  <c r="AB933" i="8" s="1"/>
  <c r="AB737" i="2"/>
  <c r="AB1184" i="8" s="1"/>
  <c r="AB1185" i="8" s="1"/>
  <c r="AB753" i="2"/>
  <c r="AB793" i="2" s="1"/>
  <c r="AA385" i="2"/>
  <c r="AA924" i="8" s="1"/>
  <c r="AA925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67" i="2" s="1"/>
  <c r="AC334" i="2"/>
  <c r="AD280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676" i="2"/>
  <c r="AD210" i="13" s="1"/>
  <c r="AC741" i="2"/>
  <c r="AC763" i="2" s="1"/>
  <c r="AC730" i="2"/>
  <c r="AD1008" i="8"/>
  <c r="AD1009" i="8" s="1"/>
  <c r="AE679" i="2"/>
  <c r="AD744" i="2"/>
  <c r="AD766" i="2" s="1"/>
  <c r="AD733" i="2"/>
  <c r="AD1012" i="8"/>
  <c r="AD1013" i="8" s="1"/>
  <c r="AD745" i="2"/>
  <c r="AD767" i="2" s="1"/>
  <c r="AD734" i="2"/>
  <c r="AE680" i="2"/>
  <c r="AE214" i="13" s="1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D211" i="13" s="1"/>
  <c r="AC731" i="2"/>
  <c r="AC742" i="2"/>
  <c r="AC764" i="2" s="1"/>
  <c r="AD760" i="8"/>
  <c r="AD761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66" i="2" s="1"/>
  <c r="AC333" i="2"/>
  <c r="AD279" i="2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769" i="2" s="1"/>
  <c r="AE283" i="2"/>
  <c r="AD337" i="2"/>
  <c r="AD624" i="8"/>
  <c r="AD625" i="8" s="1"/>
  <c r="AD348" i="2"/>
  <c r="AD370" i="2" s="1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D365" i="2" s="1"/>
  <c r="AE278" i="2"/>
  <c r="AE72" i="13" s="1"/>
  <c r="AD332" i="2"/>
  <c r="AD1216" i="8"/>
  <c r="AD1217" i="8" s="1"/>
  <c r="AB1224" i="8"/>
  <c r="AB1225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D681" i="2"/>
  <c r="AD215" i="13" s="1"/>
  <c r="AC746" i="2"/>
  <c r="AC768" i="2" s="1"/>
  <c r="AC735" i="2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E364" i="2" s="1"/>
  <c r="AC620" i="8"/>
  <c r="AC621" i="8" s="1"/>
  <c r="AD282" i="2"/>
  <c r="AD76" i="13" s="1"/>
  <c r="AC347" i="2"/>
  <c r="AC369" i="2" s="1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C765" i="2" s="1"/>
  <c r="AA371" i="2"/>
  <c r="AA896" i="8" s="1"/>
  <c r="AA897" i="8" s="1"/>
  <c r="AA774" i="2"/>
  <c r="AA1300" i="8" s="1"/>
  <c r="AA1301" i="8" s="1"/>
  <c r="AD257" i="13" l="1"/>
  <c r="AA1510" i="8"/>
  <c r="AC1512" i="8"/>
  <c r="AB1538" i="8"/>
  <c r="AD252" i="13"/>
  <c r="AD254" i="13"/>
  <c r="AD259" i="13"/>
  <c r="AD256" i="13"/>
  <c r="AB277" i="13"/>
  <c r="AD251" i="13"/>
  <c r="AB1516" i="8"/>
  <c r="AC217" i="13"/>
  <c r="AC1538" i="8" s="1"/>
  <c r="Q1476" i="8"/>
  <c r="Q1477" i="8" s="1"/>
  <c r="S27" i="12"/>
  <c r="S1479" i="8" s="1"/>
  <c r="S1480" i="8" s="1"/>
  <c r="S39" i="12"/>
  <c r="S1482" i="8" s="1"/>
  <c r="S1483" i="8" s="1"/>
  <c r="AB1501" i="8"/>
  <c r="AC264" i="13"/>
  <c r="AC265" i="13" s="1"/>
  <c r="AC222" i="13"/>
  <c r="AC224" i="13" s="1"/>
  <c r="U57" i="2"/>
  <c r="T9" i="12"/>
  <c r="T19" i="8"/>
  <c r="T20" i="8" s="1"/>
  <c r="U174" i="2"/>
  <c r="T30" i="12"/>
  <c r="T79" i="8"/>
  <c r="T80" i="8" s="1"/>
  <c r="T183" i="2"/>
  <c r="T1524" i="8" s="1"/>
  <c r="AE110" i="13"/>
  <c r="AE111" i="13" s="1"/>
  <c r="AE77" i="13"/>
  <c r="AE109" i="13" s="1"/>
  <c r="AE213" i="13"/>
  <c r="V122" i="2"/>
  <c r="U26" i="12"/>
  <c r="U75" i="8"/>
  <c r="U76" i="8" s="1"/>
  <c r="U239" i="2"/>
  <c r="T47" i="12"/>
  <c r="T135" i="8"/>
  <c r="T136" i="8" s="1"/>
  <c r="R51" i="12"/>
  <c r="V119" i="2"/>
  <c r="U23" i="12"/>
  <c r="U63" i="8"/>
  <c r="U64" i="8" s="1"/>
  <c r="T235" i="2"/>
  <c r="S43" i="12"/>
  <c r="S119" i="8"/>
  <c r="S120" i="8" s="1"/>
  <c r="T637" i="2"/>
  <c r="S275" i="8"/>
  <c r="S276" i="8" s="1"/>
  <c r="S97" i="12"/>
  <c r="V578" i="2"/>
  <c r="U243" i="8"/>
  <c r="U244" i="8" s="1"/>
  <c r="U86" i="12"/>
  <c r="U117" i="2"/>
  <c r="T55" i="8"/>
  <c r="T56" i="8" s="1"/>
  <c r="T21" i="12"/>
  <c r="S1535" i="8"/>
  <c r="S1527" i="8"/>
  <c r="V180" i="2"/>
  <c r="U36" i="12"/>
  <c r="U103" i="8"/>
  <c r="U104" i="8" s="1"/>
  <c r="AC236" i="13"/>
  <c r="AD124" i="13"/>
  <c r="AD125" i="13" s="1"/>
  <c r="AD74" i="13"/>
  <c r="AD123" i="13" s="1"/>
  <c r="U118" i="2"/>
  <c r="T22" i="12"/>
  <c r="T59" i="8"/>
  <c r="T60" i="8" s="1"/>
  <c r="R1534" i="8"/>
  <c r="R1526" i="8"/>
  <c r="T454" i="2"/>
  <c r="S58" i="12"/>
  <c r="S155" i="8"/>
  <c r="S156" i="8" s="1"/>
  <c r="R66" i="12"/>
  <c r="R1470" i="8" s="1"/>
  <c r="R1487" i="8"/>
  <c r="S78" i="12"/>
  <c r="S1471" i="8" s="1"/>
  <c r="S1488" i="8"/>
  <c r="R1467" i="8"/>
  <c r="R1479" i="8"/>
  <c r="R1480" i="8" s="1"/>
  <c r="V175" i="2"/>
  <c r="U31" i="12"/>
  <c r="U83" i="8"/>
  <c r="U84" i="8" s="1"/>
  <c r="AC104" i="13"/>
  <c r="AC101" i="13"/>
  <c r="AC103" i="13"/>
  <c r="AC102" i="13"/>
  <c r="AC98" i="13"/>
  <c r="AC100" i="13"/>
  <c r="AC105" i="13"/>
  <c r="AC99" i="13"/>
  <c r="AC106" i="13"/>
  <c r="T236" i="2"/>
  <c r="S44" i="12"/>
  <c r="S123" i="8"/>
  <c r="S124" i="8" s="1"/>
  <c r="AD85" i="13"/>
  <c r="AD90" i="13"/>
  <c r="AD91" i="13"/>
  <c r="AD92" i="13"/>
  <c r="AD86" i="13"/>
  <c r="AD89" i="13"/>
  <c r="AD84" i="13"/>
  <c r="AD88" i="13"/>
  <c r="AD87" i="13"/>
  <c r="U638" i="2"/>
  <c r="T98" i="12"/>
  <c r="T279" i="8"/>
  <c r="T280" i="8" s="1"/>
  <c r="T453" i="2"/>
  <c r="S57" i="12"/>
  <c r="S151" i="8"/>
  <c r="S152" i="8" s="1"/>
  <c r="S462" i="2"/>
  <c r="S1530" i="8" s="1"/>
  <c r="U513" i="2"/>
  <c r="T69" i="12"/>
  <c r="T187" i="8"/>
  <c r="T188" i="8" s="1"/>
  <c r="T522" i="2"/>
  <c r="T1531" i="8" s="1"/>
  <c r="U459" i="2"/>
  <c r="T63" i="12"/>
  <c r="T175" i="8"/>
  <c r="T176" i="8" s="1"/>
  <c r="U519" i="2"/>
  <c r="T211" i="8"/>
  <c r="T212" i="8" s="1"/>
  <c r="T75" i="12"/>
  <c r="U240" i="2"/>
  <c r="T48" i="12"/>
  <c r="T139" i="8"/>
  <c r="T140" i="8" s="1"/>
  <c r="T241" i="2"/>
  <c r="S49" i="12"/>
  <c r="S143" i="8"/>
  <c r="S144" i="8" s="1"/>
  <c r="Q1485" i="8"/>
  <c r="Q1486" i="8" s="1"/>
  <c r="Q1469" i="8"/>
  <c r="T55" i="2"/>
  <c r="S7" i="12"/>
  <c r="S11" i="8"/>
  <c r="S12" i="8" s="1"/>
  <c r="AC1500" i="8"/>
  <c r="U59" i="2"/>
  <c r="T11" i="12"/>
  <c r="T27" i="8"/>
  <c r="T28" i="8" s="1"/>
  <c r="T234" i="2"/>
  <c r="S42" i="12"/>
  <c r="S243" i="2"/>
  <c r="S1525" i="8" s="1"/>
  <c r="S115" i="8"/>
  <c r="S116" i="8" s="1"/>
  <c r="AD112" i="13"/>
  <c r="AD117" i="13"/>
  <c r="AD114" i="13"/>
  <c r="AD119" i="13"/>
  <c r="AD118" i="13"/>
  <c r="AD113" i="13"/>
  <c r="AD115" i="13"/>
  <c r="AD116" i="13"/>
  <c r="AD120" i="13"/>
  <c r="U635" i="2"/>
  <c r="T95" i="12"/>
  <c r="T267" i="8"/>
  <c r="T268" i="8" s="1"/>
  <c r="T60" i="2"/>
  <c r="S12" i="12"/>
  <c r="S31" i="8"/>
  <c r="S32" i="8" s="1"/>
  <c r="U114" i="2"/>
  <c r="T18" i="12"/>
  <c r="T123" i="2"/>
  <c r="T1523" i="8" s="1"/>
  <c r="T43" i="8"/>
  <c r="T44" i="8" s="1"/>
  <c r="AC127" i="13"/>
  <c r="AC131" i="13"/>
  <c r="AC132" i="13"/>
  <c r="AC126" i="13"/>
  <c r="AC130" i="13"/>
  <c r="AC134" i="13"/>
  <c r="AC133" i="13"/>
  <c r="AC128" i="13"/>
  <c r="AC129" i="13"/>
  <c r="U576" i="2"/>
  <c r="T235" i="8"/>
  <c r="T236" i="8" s="1"/>
  <c r="T84" i="12"/>
  <c r="AC1516" i="8"/>
  <c r="AC277" i="13"/>
  <c r="AD81" i="13"/>
  <c r="AB1541" i="8"/>
  <c r="AB240" i="13"/>
  <c r="AB237" i="13"/>
  <c r="AB245" i="13"/>
  <c r="AB242" i="13"/>
  <c r="AB241" i="13"/>
  <c r="AB243" i="13"/>
  <c r="AB238" i="13"/>
  <c r="AB244" i="13"/>
  <c r="AB239" i="13"/>
  <c r="AE209" i="13"/>
  <c r="R15" i="12"/>
  <c r="U641" i="2"/>
  <c r="T101" i="12"/>
  <c r="T291" i="8"/>
  <c r="T292" i="8" s="1"/>
  <c r="AC78" i="13"/>
  <c r="U579" i="2"/>
  <c r="T247" i="8"/>
  <c r="T248" i="8" s="1"/>
  <c r="T87" i="12"/>
  <c r="AD262" i="13"/>
  <c r="AD220" i="13"/>
  <c r="AD96" i="13"/>
  <c r="AD97" i="13" s="1"/>
  <c r="AD73" i="13"/>
  <c r="AD95" i="13" s="1"/>
  <c r="Z980" i="8"/>
  <c r="Z981" i="8" s="1"/>
  <c r="Z137" i="13"/>
  <c r="Z139" i="13" s="1"/>
  <c r="Z1507" i="8" s="1"/>
  <c r="T237" i="2"/>
  <c r="S45" i="12"/>
  <c r="S127" i="8"/>
  <c r="S128" i="8" s="1"/>
  <c r="T58" i="2"/>
  <c r="S10" i="12"/>
  <c r="S23" i="8"/>
  <c r="S24" i="8" s="1"/>
  <c r="V182" i="2"/>
  <c r="U38" i="12"/>
  <c r="U111" i="8"/>
  <c r="U112" i="8" s="1"/>
  <c r="U640" i="2"/>
  <c r="T100" i="12"/>
  <c r="T287" i="8"/>
  <c r="T288" i="8" s="1"/>
  <c r="Y1539" i="8"/>
  <c r="Y1517" i="8"/>
  <c r="V575" i="2"/>
  <c r="U83" i="12"/>
  <c r="U231" i="8"/>
  <c r="U232" i="8" s="1"/>
  <c r="U514" i="2"/>
  <c r="T191" i="8"/>
  <c r="T192" i="8" s="1"/>
  <c r="T70" i="12"/>
  <c r="U639" i="2"/>
  <c r="T283" i="8"/>
  <c r="T284" i="8" s="1"/>
  <c r="T99" i="12"/>
  <c r="AD263" i="13"/>
  <c r="AD221" i="13"/>
  <c r="AB1513" i="8"/>
  <c r="U176" i="2"/>
  <c r="T32" i="12"/>
  <c r="T87" i="8"/>
  <c r="T88" i="8" s="1"/>
  <c r="U577" i="2"/>
  <c r="T239" i="8"/>
  <c r="T240" i="8" s="1"/>
  <c r="T85" i="12"/>
  <c r="AE82" i="13"/>
  <c r="AE83" i="13" s="1"/>
  <c r="AE70" i="13"/>
  <c r="T455" i="2"/>
  <c r="S59" i="12"/>
  <c r="S159" i="8"/>
  <c r="S160" i="8" s="1"/>
  <c r="U61" i="2"/>
  <c r="T13" i="12"/>
  <c r="T35" i="8"/>
  <c r="T36" i="8" s="1"/>
  <c r="U177" i="2"/>
  <c r="T33" i="12"/>
  <c r="T91" i="8"/>
  <c r="T92" i="8" s="1"/>
  <c r="U456" i="2"/>
  <c r="T60" i="12"/>
  <c r="T163" i="8"/>
  <c r="T164" i="8" s="1"/>
  <c r="U520" i="2"/>
  <c r="T76" i="12"/>
  <c r="T215" i="8"/>
  <c r="T216" i="8" s="1"/>
  <c r="V580" i="2"/>
  <c r="U88" i="12"/>
  <c r="U251" i="8"/>
  <c r="U252" i="8" s="1"/>
  <c r="V121" i="2"/>
  <c r="U25" i="12"/>
  <c r="U71" i="8"/>
  <c r="U72" i="8" s="1"/>
  <c r="AB1503" i="8"/>
  <c r="AC1502" i="8"/>
  <c r="U457" i="2"/>
  <c r="T167" i="8"/>
  <c r="T168" i="8" s="1"/>
  <c r="T61" i="12"/>
  <c r="AB1510" i="8"/>
  <c r="Z1376" i="8"/>
  <c r="Z1377" i="8" s="1"/>
  <c r="Z276" i="13"/>
  <c r="Z278" i="13" s="1"/>
  <c r="U517" i="2"/>
  <c r="T73" i="12"/>
  <c r="T203" i="8"/>
  <c r="T204" i="8" s="1"/>
  <c r="S1536" i="8"/>
  <c r="S1528" i="8"/>
  <c r="AE250" i="13"/>
  <c r="U62" i="2"/>
  <c r="T14" i="12"/>
  <c r="T39" i="8"/>
  <c r="T40" i="8" s="1"/>
  <c r="AA1511" i="8"/>
  <c r="U634" i="2"/>
  <c r="T94" i="12"/>
  <c r="T263" i="8"/>
  <c r="T264" i="8" s="1"/>
  <c r="U120" i="2"/>
  <c r="T24" i="12"/>
  <c r="T67" i="8"/>
  <c r="T68" i="8" s="1"/>
  <c r="U581" i="2"/>
  <c r="T89" i="12"/>
  <c r="T255" i="8"/>
  <c r="T256" i="8" s="1"/>
  <c r="R1537" i="8"/>
  <c r="R1529" i="8"/>
  <c r="U181" i="2"/>
  <c r="T37" i="12"/>
  <c r="T107" i="8"/>
  <c r="T108" i="8" s="1"/>
  <c r="R1482" i="8"/>
  <c r="R1483" i="8" s="1"/>
  <c r="R1468" i="8"/>
  <c r="U115" i="2"/>
  <c r="T19" i="12"/>
  <c r="T47" i="8"/>
  <c r="T48" i="8" s="1"/>
  <c r="AB1514" i="8"/>
  <c r="U574" i="2"/>
  <c r="T82" i="12"/>
  <c r="T227" i="8"/>
  <c r="T228" i="8" s="1"/>
  <c r="U56" i="2"/>
  <c r="T8" i="12"/>
  <c r="T15" i="8"/>
  <c r="T16" i="8" s="1"/>
  <c r="U458" i="2"/>
  <c r="T62" i="12"/>
  <c r="T171" i="8"/>
  <c r="T172" i="8" s="1"/>
  <c r="T54" i="2"/>
  <c r="S6" i="12"/>
  <c r="S7" i="8"/>
  <c r="S8" i="8" s="1"/>
  <c r="S63" i="2"/>
  <c r="S1522" i="8" s="1"/>
  <c r="U573" i="2"/>
  <c r="T81" i="12"/>
  <c r="T223" i="8"/>
  <c r="T224" i="8" s="1"/>
  <c r="T582" i="2"/>
  <c r="T1532" i="8" s="1"/>
  <c r="AB1505" i="8"/>
  <c r="AB1506" i="8"/>
  <c r="AB138" i="13"/>
  <c r="U518" i="2"/>
  <c r="T74" i="12"/>
  <c r="T207" i="8"/>
  <c r="T208" i="8" s="1"/>
  <c r="V179" i="2"/>
  <c r="U35" i="12"/>
  <c r="U99" i="8"/>
  <c r="U100" i="8" s="1"/>
  <c r="R1490" i="8"/>
  <c r="R102" i="12"/>
  <c r="R1473" i="8" s="1"/>
  <c r="S1489" i="8"/>
  <c r="S90" i="12"/>
  <c r="S1472" i="8" s="1"/>
  <c r="U238" i="2"/>
  <c r="T46" i="12"/>
  <c r="T131" i="8"/>
  <c r="T132" i="8" s="1"/>
  <c r="T636" i="2"/>
  <c r="S96" i="12"/>
  <c r="S271" i="8"/>
  <c r="S272" i="8" s="1"/>
  <c r="AD212" i="13"/>
  <c r="AD234" i="13" s="1"/>
  <c r="AD235" i="13"/>
  <c r="Z1436" i="8"/>
  <c r="U516" i="2"/>
  <c r="T199" i="8"/>
  <c r="T200" i="8" s="1"/>
  <c r="T72" i="12"/>
  <c r="U460" i="2"/>
  <c r="T64" i="12"/>
  <c r="T179" i="8"/>
  <c r="T180" i="8" s="1"/>
  <c r="AC1504" i="8"/>
  <c r="T461" i="2"/>
  <c r="S183" i="8"/>
  <c r="S184" i="8" s="1"/>
  <c r="S65" i="12"/>
  <c r="U178" i="2"/>
  <c r="T34" i="12"/>
  <c r="T95" i="8"/>
  <c r="T96" i="8" s="1"/>
  <c r="U521" i="2"/>
  <c r="T77" i="12"/>
  <c r="T219" i="8"/>
  <c r="T220" i="8" s="1"/>
  <c r="T242" i="2"/>
  <c r="S50" i="12"/>
  <c r="S147" i="8"/>
  <c r="S148" i="8" s="1"/>
  <c r="V116" i="2"/>
  <c r="U20" i="12"/>
  <c r="U51" i="8"/>
  <c r="U52" i="8" s="1"/>
  <c r="V515" i="2"/>
  <c r="U71" i="12"/>
  <c r="U195" i="8"/>
  <c r="U196" i="8" s="1"/>
  <c r="T633" i="2"/>
  <c r="S93" i="12"/>
  <c r="S259" i="8"/>
  <c r="S260" i="8" s="1"/>
  <c r="S642" i="2"/>
  <c r="S1533" i="8" s="1"/>
  <c r="AD832" i="8"/>
  <c r="AD833" i="8" s="1"/>
  <c r="Z649" i="2"/>
  <c r="AC392" i="2"/>
  <c r="AC948" i="8" s="1"/>
  <c r="AC949" i="8" s="1"/>
  <c r="AC791" i="2"/>
  <c r="AC1344" i="8" s="1"/>
  <c r="AC1345" i="8" s="1"/>
  <c r="F849" i="8"/>
  <c r="AC796" i="2"/>
  <c r="AC1364" i="8" s="1"/>
  <c r="AC1365" i="8" s="1"/>
  <c r="AD258" i="2"/>
  <c r="AC795" i="2"/>
  <c r="AC1360" i="8" s="1"/>
  <c r="AC1361" i="8" s="1"/>
  <c r="AB382" i="2"/>
  <c r="AC375" i="2"/>
  <c r="AC904" i="8" s="1"/>
  <c r="AC905" i="8" s="1"/>
  <c r="Z1432" i="8"/>
  <c r="AD798" i="2"/>
  <c r="AD1372" i="8" s="1"/>
  <c r="AD1373" i="8" s="1"/>
  <c r="AC856" i="8"/>
  <c r="AC857" i="8" s="1"/>
  <c r="AD660" i="2"/>
  <c r="AC394" i="2"/>
  <c r="AC956" i="8" s="1"/>
  <c r="AC957" i="8" s="1"/>
  <c r="Z1431" i="8"/>
  <c r="AC836" i="8"/>
  <c r="AC837" i="8" s="1"/>
  <c r="AD775" i="2"/>
  <c r="AD1304" i="8" s="1"/>
  <c r="AD1305" i="8" s="1"/>
  <c r="AB1232" i="8"/>
  <c r="AB1233" i="8" s="1"/>
  <c r="Z250" i="2"/>
  <c r="AB792" i="2"/>
  <c r="AB1348" i="8" s="1"/>
  <c r="AB1349" i="8" s="1"/>
  <c r="AD261" i="2"/>
  <c r="AD260" i="2"/>
  <c r="AB395" i="2"/>
  <c r="AB960" i="8" s="1"/>
  <c r="AB961" i="8" s="1"/>
  <c r="AD363" i="2"/>
  <c r="AB794" i="2"/>
  <c r="AB1356" i="8" s="1"/>
  <c r="AB1357" i="8" s="1"/>
  <c r="AC383" i="2"/>
  <c r="AE397" i="2"/>
  <c r="AE968" i="8" s="1"/>
  <c r="AE969" i="8" s="1"/>
  <c r="F969" i="8" s="1"/>
  <c r="AB781" i="2"/>
  <c r="AD259" i="2"/>
  <c r="AB396" i="2"/>
  <c r="AB964" i="8" s="1"/>
  <c r="AB965" i="8" s="1"/>
  <c r="AD659" i="2"/>
  <c r="AD658" i="2"/>
  <c r="AC782" i="2"/>
  <c r="AD762" i="2"/>
  <c r="AB1248" i="8"/>
  <c r="AB1249" i="8" s="1"/>
  <c r="AC386" i="2"/>
  <c r="AC928" i="8" s="1"/>
  <c r="AC929" i="8" s="1"/>
  <c r="AB972" i="8"/>
  <c r="AB973" i="8" s="1"/>
  <c r="AD657" i="2"/>
  <c r="AB852" i="8"/>
  <c r="AB853" i="8" s="1"/>
  <c r="AB1352" i="8"/>
  <c r="AB1353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C840" i="8" s="1"/>
  <c r="AC841" i="8" s="1"/>
  <c r="AA400" i="2"/>
  <c r="AB840" i="8"/>
  <c r="AB841" i="8" s="1"/>
  <c r="AA799" i="2"/>
  <c r="AB1368" i="8"/>
  <c r="AB1369" i="8" s="1"/>
  <c r="AC358" i="2"/>
  <c r="AC398" i="2" s="1"/>
  <c r="AD751" i="2"/>
  <c r="AD756" i="2"/>
  <c r="AD796" i="2" s="1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E393" i="2" s="1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B385" i="2"/>
  <c r="AB924" i="8" s="1"/>
  <c r="AB925" i="8" s="1"/>
  <c r="AA390" i="2"/>
  <c r="AA944" i="8" s="1"/>
  <c r="AA778" i="2"/>
  <c r="AB371" i="2"/>
  <c r="AB896" i="8" s="1"/>
  <c r="AB897" i="8" s="1"/>
  <c r="AD786" i="2"/>
  <c r="AD1328" i="8" s="1"/>
  <c r="AD1329" i="8" s="1"/>
  <c r="AD345" i="2"/>
  <c r="AD367" i="2" s="1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65" i="2" s="1"/>
  <c r="AE332" i="2"/>
  <c r="AE337" i="2"/>
  <c r="AE624" i="8"/>
  <c r="AE625" i="8" s="1"/>
  <c r="F625" i="8" s="1"/>
  <c r="AE348" i="2"/>
  <c r="AE370" i="2" s="1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D344" i="2"/>
  <c r="AD366" i="2" s="1"/>
  <c r="AD333" i="2"/>
  <c r="AC1260" i="8"/>
  <c r="AC1261" i="8" s="1"/>
  <c r="AC768" i="8"/>
  <c r="AC769" i="8" s="1"/>
  <c r="AC1156" i="8"/>
  <c r="AC1157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E210" i="13" s="1"/>
  <c r="AD741" i="2"/>
  <c r="AD763" i="2" s="1"/>
  <c r="AD730" i="2"/>
  <c r="AE760" i="8"/>
  <c r="AE761" i="8" s="1"/>
  <c r="F761" i="8" s="1"/>
  <c r="AD1000" i="8"/>
  <c r="AD1001" i="8" s="1"/>
  <c r="AD731" i="2"/>
  <c r="AE677" i="2"/>
  <c r="AE211" i="13" s="1"/>
  <c r="AD742" i="2"/>
  <c r="AD764" i="2" s="1"/>
  <c r="AD756" i="8"/>
  <c r="AD757" i="8" s="1"/>
  <c r="AC780" i="8"/>
  <c r="AC781" i="8" s="1"/>
  <c r="AB770" i="2"/>
  <c r="AB1292" i="8" s="1"/>
  <c r="AB1293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282" i="2"/>
  <c r="AE76" i="13" s="1"/>
  <c r="AD347" i="2"/>
  <c r="AD369" i="2" s="1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E1008" i="8"/>
  <c r="AE1009" i="8" s="1"/>
  <c r="F1009" i="8" s="1"/>
  <c r="AE733" i="2"/>
  <c r="AE744" i="2"/>
  <c r="AE766" i="2" s="1"/>
  <c r="AC1200" i="8"/>
  <c r="AC1201" i="8" s="1"/>
  <c r="AD746" i="2"/>
  <c r="AD768" i="2" s="1"/>
  <c r="AD1016" i="8"/>
  <c r="AD1017" i="8" s="1"/>
  <c r="AE681" i="2"/>
  <c r="AE215" i="13" s="1"/>
  <c r="AD735" i="2"/>
  <c r="AE1012" i="8"/>
  <c r="AE1013" i="8" s="1"/>
  <c r="F1013" i="8" s="1"/>
  <c r="AE745" i="2"/>
  <c r="AE767" i="2" s="1"/>
  <c r="AE734" i="2"/>
  <c r="AB784" i="2"/>
  <c r="AD1004" i="8"/>
  <c r="AD1005" i="8" s="1"/>
  <c r="AE678" i="2"/>
  <c r="AD732" i="2"/>
  <c r="AD743" i="2"/>
  <c r="AD765" i="2" s="1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C1515" i="8" l="1"/>
  <c r="AD1512" i="8"/>
  <c r="AC229" i="13"/>
  <c r="AC223" i="13"/>
  <c r="AC227" i="13"/>
  <c r="AC231" i="13"/>
  <c r="S1468" i="8"/>
  <c r="S1467" i="8"/>
  <c r="AC273" i="13"/>
  <c r="AC268" i="13"/>
  <c r="AD78" i="13"/>
  <c r="AD1505" i="8" s="1"/>
  <c r="AD236" i="13"/>
  <c r="AD241" i="13" s="1"/>
  <c r="AD217" i="13"/>
  <c r="AD277" i="13" s="1"/>
  <c r="AC226" i="13"/>
  <c r="AC266" i="13"/>
  <c r="AC225" i="13"/>
  <c r="AC270" i="13"/>
  <c r="T39" i="12"/>
  <c r="T1468" i="8" s="1"/>
  <c r="AC228" i="13"/>
  <c r="AD222" i="13"/>
  <c r="AD231" i="13" s="1"/>
  <c r="AC1543" i="8"/>
  <c r="AC1540" i="8"/>
  <c r="AC269" i="13"/>
  <c r="AC1514" i="8"/>
  <c r="AC267" i="13"/>
  <c r="AC272" i="13"/>
  <c r="AE263" i="13"/>
  <c r="AC230" i="13"/>
  <c r="AC1503" i="8"/>
  <c r="AC271" i="13"/>
  <c r="V456" i="2"/>
  <c r="U163" i="8"/>
  <c r="U164" i="8" s="1"/>
  <c r="U60" i="12"/>
  <c r="R1466" i="8"/>
  <c r="R1476" i="8"/>
  <c r="R1477" i="8" s="1"/>
  <c r="AE115" i="13"/>
  <c r="AE114" i="13"/>
  <c r="AE119" i="13"/>
  <c r="AE117" i="13"/>
  <c r="AE116" i="13"/>
  <c r="AE112" i="13"/>
  <c r="AE113" i="13"/>
  <c r="AE118" i="13"/>
  <c r="AE120" i="13"/>
  <c r="U461" i="2"/>
  <c r="T183" i="8"/>
  <c r="T184" i="8" s="1"/>
  <c r="T65" i="12"/>
  <c r="V62" i="2"/>
  <c r="U14" i="12"/>
  <c r="U39" i="8"/>
  <c r="U40" i="8" s="1"/>
  <c r="AE221" i="13"/>
  <c r="AE96" i="13"/>
  <c r="AE97" i="13" s="1"/>
  <c r="AE73" i="13"/>
  <c r="AE95" i="13" s="1"/>
  <c r="V56" i="2"/>
  <c r="U8" i="12"/>
  <c r="U15" i="8"/>
  <c r="U16" i="8" s="1"/>
  <c r="AE1542" i="8"/>
  <c r="F1542" i="8" s="1"/>
  <c r="AE258" i="13"/>
  <c r="AE254" i="13"/>
  <c r="AE255" i="13"/>
  <c r="AE251" i="13"/>
  <c r="AE253" i="13"/>
  <c r="AE252" i="13"/>
  <c r="AE259" i="13"/>
  <c r="AE257" i="13"/>
  <c r="AE256" i="13"/>
  <c r="V177" i="2"/>
  <c r="U33" i="12"/>
  <c r="U91" i="8"/>
  <c r="U92" i="8" s="1"/>
  <c r="AD264" i="13"/>
  <c r="AD105" i="13"/>
  <c r="AD102" i="13"/>
  <c r="AD103" i="13"/>
  <c r="AD98" i="13"/>
  <c r="AD106" i="13"/>
  <c r="AD101" i="13"/>
  <c r="AD100" i="13"/>
  <c r="AD99" i="13"/>
  <c r="AD104" i="13"/>
  <c r="T78" i="12"/>
  <c r="T1471" i="8" s="1"/>
  <c r="T1488" i="8"/>
  <c r="U454" i="2"/>
  <c r="T58" i="12"/>
  <c r="T155" i="8"/>
  <c r="T156" i="8" s="1"/>
  <c r="T27" i="12"/>
  <c r="W119" i="2"/>
  <c r="V23" i="12"/>
  <c r="V63" i="8"/>
  <c r="V64" i="8" s="1"/>
  <c r="W515" i="2"/>
  <c r="V71" i="12"/>
  <c r="V195" i="8"/>
  <c r="V196" i="8" s="1"/>
  <c r="T1535" i="8"/>
  <c r="T1527" i="8"/>
  <c r="V640" i="2"/>
  <c r="U100" i="12"/>
  <c r="U287" i="8"/>
  <c r="U288" i="8" s="1"/>
  <c r="AD1538" i="8"/>
  <c r="V513" i="2"/>
  <c r="U69" i="12"/>
  <c r="U522" i="2"/>
  <c r="U1531" i="8" s="1"/>
  <c r="U187" i="8"/>
  <c r="U188" i="8" s="1"/>
  <c r="R1485" i="8"/>
  <c r="R1486" i="8" s="1"/>
  <c r="R1469" i="8"/>
  <c r="AD1500" i="8"/>
  <c r="AE124" i="13"/>
  <c r="AE125" i="13" s="1"/>
  <c r="AE74" i="13"/>
  <c r="AE123" i="13" s="1"/>
  <c r="W121" i="2"/>
  <c r="V25" i="12"/>
  <c r="V71" i="8"/>
  <c r="V72" i="8" s="1"/>
  <c r="U241" i="2"/>
  <c r="T49" i="12"/>
  <c r="T143" i="8"/>
  <c r="T144" i="8" s="1"/>
  <c r="S1534" i="8"/>
  <c r="S1526" i="8"/>
  <c r="V117" i="2"/>
  <c r="U21" i="12"/>
  <c r="U55" i="8"/>
  <c r="U56" i="8" s="1"/>
  <c r="V174" i="2"/>
  <c r="U30" i="12"/>
  <c r="U79" i="8"/>
  <c r="U80" i="8" s="1"/>
  <c r="U183" i="2"/>
  <c r="U1524" i="8" s="1"/>
  <c r="V518" i="2"/>
  <c r="U74" i="12"/>
  <c r="U207" i="8"/>
  <c r="U208" i="8" s="1"/>
  <c r="U235" i="2"/>
  <c r="T43" i="12"/>
  <c r="T119" i="8"/>
  <c r="T120" i="8" s="1"/>
  <c r="T1536" i="8"/>
  <c r="T1528" i="8"/>
  <c r="V460" i="2"/>
  <c r="U179" i="8"/>
  <c r="U180" i="8" s="1"/>
  <c r="U64" i="12"/>
  <c r="T1489" i="8"/>
  <c r="T90" i="12"/>
  <c r="T1472" i="8" s="1"/>
  <c r="V574" i="2"/>
  <c r="U82" i="12"/>
  <c r="U227" i="8"/>
  <c r="U228" i="8" s="1"/>
  <c r="V581" i="2"/>
  <c r="U89" i="12"/>
  <c r="U255" i="8"/>
  <c r="U256" i="8" s="1"/>
  <c r="V61" i="2"/>
  <c r="U13" i="12"/>
  <c r="U35" i="8"/>
  <c r="U36" i="8" s="1"/>
  <c r="V114" i="2"/>
  <c r="U18" i="12"/>
  <c r="U43" i="8"/>
  <c r="U44" i="8" s="1"/>
  <c r="U123" i="2"/>
  <c r="U1523" i="8" s="1"/>
  <c r="S51" i="12"/>
  <c r="U237" i="2"/>
  <c r="T45" i="12"/>
  <c r="T127" i="8"/>
  <c r="T128" i="8" s="1"/>
  <c r="V176" i="2"/>
  <c r="U32" i="12"/>
  <c r="U87" i="8"/>
  <c r="U88" i="8" s="1"/>
  <c r="U636" i="2"/>
  <c r="T96" i="12"/>
  <c r="T271" i="8"/>
  <c r="T272" i="8" s="1"/>
  <c r="U242" i="2"/>
  <c r="T50" i="12"/>
  <c r="T147" i="8"/>
  <c r="T148" i="8" s="1"/>
  <c r="V573" i="2"/>
  <c r="U81" i="12"/>
  <c r="U223" i="8"/>
  <c r="U224" i="8" s="1"/>
  <c r="U582" i="2"/>
  <c r="U1532" i="8" s="1"/>
  <c r="AE81" i="13"/>
  <c r="V639" i="2"/>
  <c r="U99" i="12"/>
  <c r="U283" i="8"/>
  <c r="U284" i="8" s="1"/>
  <c r="W182" i="2"/>
  <c r="V38" i="12"/>
  <c r="V111" i="8"/>
  <c r="V112" i="8" s="1"/>
  <c r="V576" i="2"/>
  <c r="U84" i="12"/>
  <c r="U235" i="8"/>
  <c r="U236" i="8" s="1"/>
  <c r="AD1502" i="8"/>
  <c r="U234" i="2"/>
  <c r="T42" i="12"/>
  <c r="T115" i="8"/>
  <c r="T116" i="8" s="1"/>
  <c r="T243" i="2"/>
  <c r="T1525" i="8" s="1"/>
  <c r="S1487" i="8"/>
  <c r="S66" i="12"/>
  <c r="S1470" i="8" s="1"/>
  <c r="AD1504" i="8"/>
  <c r="V239" i="2"/>
  <c r="U47" i="12"/>
  <c r="U135" i="8"/>
  <c r="U136" i="8" s="1"/>
  <c r="AE235" i="13"/>
  <c r="AE212" i="13"/>
  <c r="AE234" i="13" s="1"/>
  <c r="V517" i="2"/>
  <c r="U203" i="8"/>
  <c r="U204" i="8" s="1"/>
  <c r="U73" i="12"/>
  <c r="W580" i="2"/>
  <c r="V251" i="8"/>
  <c r="V252" i="8" s="1"/>
  <c r="V88" i="12"/>
  <c r="AE86" i="13"/>
  <c r="AE85" i="13"/>
  <c r="AE84" i="13"/>
  <c r="AE92" i="13"/>
  <c r="AE88" i="13"/>
  <c r="AE91" i="13"/>
  <c r="AE87" i="13"/>
  <c r="AE89" i="13"/>
  <c r="AE90" i="13"/>
  <c r="V240" i="2"/>
  <c r="U48" i="12"/>
  <c r="U139" i="8"/>
  <c r="U140" i="8" s="1"/>
  <c r="U453" i="2"/>
  <c r="T57" i="12"/>
  <c r="T151" i="8"/>
  <c r="T152" i="8" s="1"/>
  <c r="T462" i="2"/>
  <c r="T1530" i="8" s="1"/>
  <c r="W175" i="2"/>
  <c r="V31" i="12"/>
  <c r="V83" i="8"/>
  <c r="V84" i="8" s="1"/>
  <c r="V118" i="2"/>
  <c r="U22" i="12"/>
  <c r="U59" i="8"/>
  <c r="U60" i="8" s="1"/>
  <c r="W578" i="2"/>
  <c r="V86" i="12"/>
  <c r="V243" i="8"/>
  <c r="V244" i="8" s="1"/>
  <c r="V457" i="2"/>
  <c r="U61" i="12"/>
  <c r="U167" i="8"/>
  <c r="U168" i="8" s="1"/>
  <c r="W180" i="2"/>
  <c r="V36" i="12"/>
  <c r="V103" i="8"/>
  <c r="V104" i="8" s="1"/>
  <c r="V181" i="2"/>
  <c r="U37" i="12"/>
  <c r="U107" i="8"/>
  <c r="U108" i="8" s="1"/>
  <c r="AC1501" i="8"/>
  <c r="V238" i="2"/>
  <c r="U46" i="12"/>
  <c r="U131" i="8"/>
  <c r="U132" i="8" s="1"/>
  <c r="AA1376" i="8"/>
  <c r="AA1377" i="8" s="1"/>
  <c r="AA276" i="13"/>
  <c r="AA278" i="13" s="1"/>
  <c r="S1537" i="8"/>
  <c r="S1529" i="8"/>
  <c r="V516" i="2"/>
  <c r="U72" i="12"/>
  <c r="U199" i="8"/>
  <c r="U200" i="8" s="1"/>
  <c r="V120" i="2"/>
  <c r="U24" i="12"/>
  <c r="U67" i="8"/>
  <c r="U68" i="8" s="1"/>
  <c r="Z1517" i="8"/>
  <c r="Z1539" i="8"/>
  <c r="U455" i="2"/>
  <c r="T59" i="12"/>
  <c r="T159" i="8"/>
  <c r="T160" i="8" s="1"/>
  <c r="S15" i="12"/>
  <c r="V579" i="2"/>
  <c r="U247" i="8"/>
  <c r="U248" i="8" s="1"/>
  <c r="U87" i="12"/>
  <c r="U60" i="2"/>
  <c r="T12" i="12"/>
  <c r="T31" i="8"/>
  <c r="T32" i="8" s="1"/>
  <c r="V178" i="2"/>
  <c r="U34" i="12"/>
  <c r="U95" i="8"/>
  <c r="U96" i="8" s="1"/>
  <c r="AB1511" i="8"/>
  <c r="AD130" i="13"/>
  <c r="AD127" i="13"/>
  <c r="AD126" i="13"/>
  <c r="AD134" i="13"/>
  <c r="AD132" i="13"/>
  <c r="AD131" i="13"/>
  <c r="AD133" i="13"/>
  <c r="AD128" i="13"/>
  <c r="AD129" i="13"/>
  <c r="W122" i="2"/>
  <c r="V26" i="12"/>
  <c r="V75" i="8"/>
  <c r="V76" i="8" s="1"/>
  <c r="V57" i="2"/>
  <c r="U9" i="12"/>
  <c r="U19" i="8"/>
  <c r="U20" i="8" s="1"/>
  <c r="V641" i="2"/>
  <c r="U101" i="12"/>
  <c r="U291" i="8"/>
  <c r="U292" i="8" s="1"/>
  <c r="U55" i="2"/>
  <c r="T11" i="8"/>
  <c r="T12" i="8" s="1"/>
  <c r="T7" i="12"/>
  <c r="AE220" i="13"/>
  <c r="V115" i="2"/>
  <c r="U19" i="12"/>
  <c r="U47" i="8"/>
  <c r="U48" i="8" s="1"/>
  <c r="V514" i="2"/>
  <c r="U70" i="12"/>
  <c r="U191" i="8"/>
  <c r="U192" i="8" s="1"/>
  <c r="AC1505" i="8"/>
  <c r="AC1506" i="8"/>
  <c r="AC138" i="13"/>
  <c r="U236" i="2"/>
  <c r="T44" i="12"/>
  <c r="T123" i="8"/>
  <c r="T124" i="8" s="1"/>
  <c r="AD245" i="13"/>
  <c r="W179" i="2"/>
  <c r="V35" i="12"/>
  <c r="V99" i="8"/>
  <c r="V100" i="8" s="1"/>
  <c r="U54" i="2"/>
  <c r="T6" i="12"/>
  <c r="T7" i="8"/>
  <c r="T8" i="8" s="1"/>
  <c r="T63" i="2"/>
  <c r="T1522" i="8" s="1"/>
  <c r="V520" i="2"/>
  <c r="U76" i="12"/>
  <c r="U215" i="8"/>
  <c r="U216" i="8" s="1"/>
  <c r="V577" i="2"/>
  <c r="U85" i="12"/>
  <c r="U239" i="8"/>
  <c r="U240" i="8" s="1"/>
  <c r="V519" i="2"/>
  <c r="U75" i="12"/>
  <c r="U211" i="8"/>
  <c r="U212" i="8" s="1"/>
  <c r="V638" i="2"/>
  <c r="U98" i="12"/>
  <c r="U279" i="8"/>
  <c r="U280" i="8" s="1"/>
  <c r="AC1541" i="8"/>
  <c r="AC239" i="13"/>
  <c r="AC237" i="13"/>
  <c r="AC238" i="13"/>
  <c r="AC242" i="13"/>
  <c r="AC244" i="13"/>
  <c r="AC240" i="13"/>
  <c r="AC245" i="13"/>
  <c r="AC243" i="13"/>
  <c r="AC241" i="13"/>
  <c r="U637" i="2"/>
  <c r="T97" i="12"/>
  <c r="T275" i="8"/>
  <c r="T276" i="8" s="1"/>
  <c r="W575" i="2"/>
  <c r="V231" i="8"/>
  <c r="V232" i="8" s="1"/>
  <c r="V83" i="12"/>
  <c r="V458" i="2"/>
  <c r="U62" i="12"/>
  <c r="U171" i="8"/>
  <c r="U172" i="8" s="1"/>
  <c r="V459" i="2"/>
  <c r="U175" i="8"/>
  <c r="U176" i="8" s="1"/>
  <c r="U63" i="12"/>
  <c r="W116" i="2"/>
  <c r="V20" i="12"/>
  <c r="V51" i="8"/>
  <c r="V52" i="8" s="1"/>
  <c r="AA1432" i="8"/>
  <c r="AA137" i="13"/>
  <c r="AA139" i="13" s="1"/>
  <c r="AA1507" i="8" s="1"/>
  <c r="V521" i="2"/>
  <c r="U77" i="12"/>
  <c r="U219" i="8"/>
  <c r="U220" i="8" s="1"/>
  <c r="U58" i="2"/>
  <c r="T10" i="12"/>
  <c r="T23" i="8"/>
  <c r="T24" i="8" s="1"/>
  <c r="V59" i="2"/>
  <c r="U11" i="12"/>
  <c r="U27" i="8"/>
  <c r="U28" i="8" s="1"/>
  <c r="S102" i="12"/>
  <c r="S1473" i="8" s="1"/>
  <c r="S1490" i="8"/>
  <c r="U633" i="2"/>
  <c r="T93" i="12"/>
  <c r="T642" i="2"/>
  <c r="T1533" i="8" s="1"/>
  <c r="T259" i="8"/>
  <c r="T260" i="8" s="1"/>
  <c r="V634" i="2"/>
  <c r="U263" i="8"/>
  <c r="U264" i="8" s="1"/>
  <c r="U94" i="12"/>
  <c r="V635" i="2"/>
  <c r="U95" i="12"/>
  <c r="U267" i="8"/>
  <c r="U268" i="8" s="1"/>
  <c r="AE262" i="13"/>
  <c r="AD791" i="2"/>
  <c r="AD1344" i="8" s="1"/>
  <c r="AD1345" i="8" s="1"/>
  <c r="AD383" i="2"/>
  <c r="AD392" i="2"/>
  <c r="AD948" i="8" s="1"/>
  <c r="AD949" i="8" s="1"/>
  <c r="AD782" i="2"/>
  <c r="AE659" i="2"/>
  <c r="AA1436" i="8"/>
  <c r="AA1435" i="8"/>
  <c r="AC1228" i="8"/>
  <c r="AC1229" i="8" s="1"/>
  <c r="AC396" i="2"/>
  <c r="AC964" i="8" s="1"/>
  <c r="AC965" i="8" s="1"/>
  <c r="AE259" i="2"/>
  <c r="AB799" i="2"/>
  <c r="AD394" i="2"/>
  <c r="AD956" i="8" s="1"/>
  <c r="AD957" i="8" s="1"/>
  <c r="AE261" i="2"/>
  <c r="AE260" i="2"/>
  <c r="AE660" i="2"/>
  <c r="AE658" i="2"/>
  <c r="AA1431" i="8"/>
  <c r="AE798" i="2"/>
  <c r="AE1372" i="8" s="1"/>
  <c r="AE1373" i="8" s="1"/>
  <c r="F1373" i="8" s="1"/>
  <c r="AC395" i="2"/>
  <c r="AC960" i="8" s="1"/>
  <c r="AC961" i="8" s="1"/>
  <c r="AE363" i="2"/>
  <c r="AD399" i="2"/>
  <c r="AD976" i="8" s="1"/>
  <c r="AD977" i="8" s="1"/>
  <c r="AC793" i="2"/>
  <c r="AC1352" i="8" s="1"/>
  <c r="AC1353" i="8" s="1"/>
  <c r="AE762" i="2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C1368" i="8" s="1"/>
  <c r="AC1369" i="8" s="1"/>
  <c r="AA649" i="2"/>
  <c r="AC777" i="2"/>
  <c r="AC1312" i="8" s="1"/>
  <c r="AC1313" i="8" s="1"/>
  <c r="AC852" i="8"/>
  <c r="AC853" i="8" s="1"/>
  <c r="AD1364" i="8"/>
  <c r="AD1365" i="8" s="1"/>
  <c r="AC781" i="2"/>
  <c r="AE258" i="2"/>
  <c r="AC972" i="8"/>
  <c r="AC973" i="8" s="1"/>
  <c r="AE832" i="8"/>
  <c r="AE833" i="8" s="1"/>
  <c r="F833" i="8" s="1"/>
  <c r="AE657" i="2"/>
  <c r="AB400" i="2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D792" i="2" s="1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B1256" i="8"/>
  <c r="AB1257" i="8" s="1"/>
  <c r="AB780" i="2"/>
  <c r="AB1438" i="8" s="1"/>
  <c r="AE352" i="2"/>
  <c r="AD349" i="2"/>
  <c r="AD824" i="8" s="1"/>
  <c r="AD825" i="8" s="1"/>
  <c r="AD753" i="2"/>
  <c r="AD1232" i="8" s="1"/>
  <c r="AD1233" i="8" s="1"/>
  <c r="AD1244" i="8"/>
  <c r="AD1245" i="8" s="1"/>
  <c r="AD358" i="2"/>
  <c r="AD398" i="2" s="1"/>
  <c r="AD1240" i="8"/>
  <c r="AD1241" i="8" s="1"/>
  <c r="AB390" i="2"/>
  <c r="AB944" i="8" s="1"/>
  <c r="AC389" i="2"/>
  <c r="AC940" i="8" s="1"/>
  <c r="AC941" i="8" s="1"/>
  <c r="AC385" i="2"/>
  <c r="AC924" i="8" s="1"/>
  <c r="AC925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67" i="2" s="1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68" i="2" s="1"/>
  <c r="AE735" i="2"/>
  <c r="AB900" i="8"/>
  <c r="AB901" i="8" s="1"/>
  <c r="AB379" i="2"/>
  <c r="AD1196" i="8"/>
  <c r="AD1197" i="8" s="1"/>
  <c r="AD1260" i="8"/>
  <c r="AD1261" i="8" s="1"/>
  <c r="AE756" i="8"/>
  <c r="AE757" i="8" s="1"/>
  <c r="F757" i="8" s="1"/>
  <c r="AC360" i="2"/>
  <c r="AE1000" i="8"/>
  <c r="AE1001" i="8" s="1"/>
  <c r="F1001" i="8" s="1"/>
  <c r="AE731" i="2"/>
  <c r="AE742" i="2"/>
  <c r="AE764" i="2" s="1"/>
  <c r="AC788" i="2"/>
  <c r="AC1336" i="8" s="1"/>
  <c r="AC1337" i="8" s="1"/>
  <c r="AD816" i="8"/>
  <c r="AD817" i="8" s="1"/>
  <c r="AD1200" i="8"/>
  <c r="AD1201" i="8" s="1"/>
  <c r="AE347" i="2"/>
  <c r="AE369" i="2" s="1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C784" i="2"/>
  <c r="AE1188" i="8"/>
  <c r="AE1189" i="8" s="1"/>
  <c r="F1189" i="8" s="1"/>
  <c r="AE1004" i="8"/>
  <c r="AE1005" i="8" s="1"/>
  <c r="F1005" i="8" s="1"/>
  <c r="AE732" i="2"/>
  <c r="AE743" i="2"/>
  <c r="AE765" i="2" s="1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B1320" i="8"/>
  <c r="AB1321" i="8" s="1"/>
  <c r="AB789" i="2"/>
  <c r="AB1340" i="8" s="1"/>
  <c r="AE996" i="8"/>
  <c r="AE997" i="8" s="1"/>
  <c r="F997" i="8" s="1"/>
  <c r="AE741" i="2"/>
  <c r="AE763" i="2" s="1"/>
  <c r="AE730" i="2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66" i="2" s="1"/>
  <c r="AE333" i="2"/>
  <c r="AE764" i="8"/>
  <c r="AE765" i="8" s="1"/>
  <c r="F765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D240" i="13" l="1"/>
  <c r="AD243" i="13"/>
  <c r="AD138" i="13"/>
  <c r="AD1506" i="8"/>
  <c r="AD239" i="13"/>
  <c r="AD244" i="13"/>
  <c r="AD1541" i="8"/>
  <c r="AD1515" i="8"/>
  <c r="AD1516" i="8"/>
  <c r="AD237" i="13"/>
  <c r="AE264" i="13"/>
  <c r="AE265" i="13" s="1"/>
  <c r="AD238" i="13"/>
  <c r="T1482" i="8"/>
  <c r="T1483" i="8" s="1"/>
  <c r="AD242" i="13"/>
  <c r="AE1504" i="8"/>
  <c r="F1504" i="8" s="1"/>
  <c r="AD223" i="13"/>
  <c r="AD230" i="13"/>
  <c r="AD225" i="13"/>
  <c r="AC1510" i="8"/>
  <c r="AD227" i="13"/>
  <c r="AD224" i="13"/>
  <c r="AD228" i="13"/>
  <c r="AD226" i="13"/>
  <c r="AD1514" i="8"/>
  <c r="AD1540" i="8"/>
  <c r="AC1513" i="8"/>
  <c r="AE78" i="13"/>
  <c r="AE1505" i="8" s="1"/>
  <c r="F1505" i="8" s="1"/>
  <c r="AE236" i="13"/>
  <c r="AE243" i="13" s="1"/>
  <c r="AE217" i="13"/>
  <c r="AE1538" i="8" s="1"/>
  <c r="F1538" i="8" s="1"/>
  <c r="AD229" i="13"/>
  <c r="W514" i="2"/>
  <c r="V70" i="12"/>
  <c r="V191" i="8"/>
  <c r="V192" i="8" s="1"/>
  <c r="W238" i="2"/>
  <c r="V46" i="12"/>
  <c r="V131" i="8"/>
  <c r="V132" i="8" s="1"/>
  <c r="X580" i="2"/>
  <c r="W251" i="8"/>
  <c r="W252" i="8" s="1"/>
  <c r="W88" i="12"/>
  <c r="T51" i="12"/>
  <c r="U1536" i="8"/>
  <c r="U1528" i="8"/>
  <c r="W518" i="2"/>
  <c r="V74" i="12"/>
  <c r="V207" i="8"/>
  <c r="V208" i="8" s="1"/>
  <c r="AD1543" i="8"/>
  <c r="AD265" i="13"/>
  <c r="AD271" i="13"/>
  <c r="AD266" i="13"/>
  <c r="AD273" i="13"/>
  <c r="AD270" i="13"/>
  <c r="AD269" i="13"/>
  <c r="AD267" i="13"/>
  <c r="AD268" i="13"/>
  <c r="AD272" i="13"/>
  <c r="W641" i="2"/>
  <c r="V101" i="12"/>
  <c r="V291" i="8"/>
  <c r="V292" i="8" s="1"/>
  <c r="V455" i="2"/>
  <c r="U59" i="12"/>
  <c r="U159" i="8"/>
  <c r="U160" i="8" s="1"/>
  <c r="W240" i="2"/>
  <c r="V48" i="12"/>
  <c r="V139" i="8"/>
  <c r="V140" i="8" s="1"/>
  <c r="AC1511" i="8"/>
  <c r="X578" i="2"/>
  <c r="W243" i="8"/>
  <c r="W244" i="8" s="1"/>
  <c r="W86" i="12"/>
  <c r="V454" i="2"/>
  <c r="U58" i="12"/>
  <c r="U155" i="8"/>
  <c r="U156" i="8" s="1"/>
  <c r="W115" i="2"/>
  <c r="V19" i="12"/>
  <c r="V47" i="8"/>
  <c r="V48" i="8" s="1"/>
  <c r="W178" i="2"/>
  <c r="V34" i="12"/>
  <c r="V95" i="8"/>
  <c r="V96" i="8" s="1"/>
  <c r="W517" i="2"/>
  <c r="V73" i="12"/>
  <c r="V203" i="8"/>
  <c r="V204" i="8" s="1"/>
  <c r="W573" i="2"/>
  <c r="V81" i="12"/>
  <c r="V223" i="8"/>
  <c r="V224" i="8" s="1"/>
  <c r="V582" i="2"/>
  <c r="V1532" i="8" s="1"/>
  <c r="U39" i="12"/>
  <c r="AE132" i="13"/>
  <c r="AE131" i="13"/>
  <c r="AE130" i="13"/>
  <c r="AE129" i="13"/>
  <c r="AE134" i="13"/>
  <c r="AE133" i="13"/>
  <c r="AE126" i="13"/>
  <c r="AE128" i="13"/>
  <c r="AE127" i="13"/>
  <c r="W640" i="2"/>
  <c r="V100" i="12"/>
  <c r="V287" i="8"/>
  <c r="V288" i="8" s="1"/>
  <c r="W56" i="2"/>
  <c r="V8" i="12"/>
  <c r="V15" i="8"/>
  <c r="V16" i="8" s="1"/>
  <c r="V453" i="2"/>
  <c r="U57" i="12"/>
  <c r="U151" i="8"/>
  <c r="U152" i="8" s="1"/>
  <c r="U462" i="2"/>
  <c r="U1530" i="8" s="1"/>
  <c r="V241" i="2"/>
  <c r="U49" i="12"/>
  <c r="U143" i="8"/>
  <c r="U144" i="8" s="1"/>
  <c r="W577" i="2"/>
  <c r="V85" i="12"/>
  <c r="V239" i="8"/>
  <c r="V240" i="8" s="1"/>
  <c r="AB1431" i="8"/>
  <c r="AB137" i="13"/>
  <c r="AB139" i="13" s="1"/>
  <c r="AB1507" i="8" s="1"/>
  <c r="V234" i="2"/>
  <c r="U42" i="12"/>
  <c r="U243" i="2"/>
  <c r="U1525" i="8" s="1"/>
  <c r="U115" i="8"/>
  <c r="U116" i="8" s="1"/>
  <c r="V237" i="2"/>
  <c r="U45" i="12"/>
  <c r="U127" i="8"/>
  <c r="U128" i="8" s="1"/>
  <c r="W574" i="2"/>
  <c r="V82" i="12"/>
  <c r="V227" i="8"/>
  <c r="V228" i="8" s="1"/>
  <c r="X121" i="2"/>
  <c r="W25" i="12"/>
  <c r="W71" i="8"/>
  <c r="W72" i="8" s="1"/>
  <c r="V58" i="2"/>
  <c r="U10" i="12"/>
  <c r="U23" i="8"/>
  <c r="U24" i="8" s="1"/>
  <c r="W458" i="2"/>
  <c r="V171" i="8"/>
  <c r="V172" i="8" s="1"/>
  <c r="V62" i="12"/>
  <c r="W520" i="2"/>
  <c r="V76" i="12"/>
  <c r="V215" i="8"/>
  <c r="V216" i="8" s="1"/>
  <c r="U90" i="12"/>
  <c r="U1472" i="8" s="1"/>
  <c r="U1489" i="8"/>
  <c r="S1469" i="8"/>
  <c r="S1485" i="8"/>
  <c r="S1486" i="8" s="1"/>
  <c r="W634" i="2"/>
  <c r="V263" i="8"/>
  <c r="V264" i="8" s="1"/>
  <c r="V94" i="12"/>
  <c r="X122" i="2"/>
  <c r="W26" i="12"/>
  <c r="W75" i="8"/>
  <c r="W76" i="8" s="1"/>
  <c r="W120" i="2"/>
  <c r="V24" i="12"/>
  <c r="V67" i="8"/>
  <c r="V68" i="8" s="1"/>
  <c r="W181" i="2"/>
  <c r="V37" i="12"/>
  <c r="V107" i="8"/>
  <c r="V108" i="8" s="1"/>
  <c r="W174" i="2"/>
  <c r="V30" i="12"/>
  <c r="V79" i="8"/>
  <c r="V80" i="8" s="1"/>
  <c r="V183" i="2"/>
  <c r="V1524" i="8" s="1"/>
  <c r="W177" i="2"/>
  <c r="V33" i="12"/>
  <c r="V91" i="8"/>
  <c r="V92" i="8" s="1"/>
  <c r="W581" i="2"/>
  <c r="V89" i="12"/>
  <c r="V255" i="8"/>
  <c r="V256" i="8" s="1"/>
  <c r="W59" i="2"/>
  <c r="V11" i="12"/>
  <c r="V27" i="8"/>
  <c r="V28" i="8" s="1"/>
  <c r="T1479" i="8"/>
  <c r="T1480" i="8" s="1"/>
  <c r="T1467" i="8"/>
  <c r="W57" i="2"/>
  <c r="V9" i="12"/>
  <c r="V19" i="8"/>
  <c r="V20" i="8" s="1"/>
  <c r="W521" i="2"/>
  <c r="V77" i="12"/>
  <c r="V219" i="8"/>
  <c r="V220" i="8" s="1"/>
  <c r="X575" i="2"/>
  <c r="W231" i="8"/>
  <c r="W232" i="8" s="1"/>
  <c r="W83" i="12"/>
  <c r="T15" i="12"/>
  <c r="W118" i="2"/>
  <c r="V22" i="12"/>
  <c r="V59" i="8"/>
  <c r="V60" i="8" s="1"/>
  <c r="W576" i="2"/>
  <c r="V84" i="12"/>
  <c r="V235" i="8"/>
  <c r="V236" i="8" s="1"/>
  <c r="AE105" i="13"/>
  <c r="AE104" i="13"/>
  <c r="AE106" i="13"/>
  <c r="AE102" i="13"/>
  <c r="AE101" i="13"/>
  <c r="AE100" i="13"/>
  <c r="AE103" i="13"/>
  <c r="AE99" i="13"/>
  <c r="AE98" i="13"/>
  <c r="AE1502" i="8"/>
  <c r="F1502" i="8" s="1"/>
  <c r="T1537" i="8"/>
  <c r="T1529" i="8"/>
  <c r="V54" i="2"/>
  <c r="U6" i="12"/>
  <c r="U7" i="8"/>
  <c r="U8" i="8" s="1"/>
  <c r="U63" i="2"/>
  <c r="U1522" i="8" s="1"/>
  <c r="V60" i="2"/>
  <c r="U12" i="12"/>
  <c r="U31" i="8"/>
  <c r="U32" i="8" s="1"/>
  <c r="V242" i="2"/>
  <c r="U50" i="12"/>
  <c r="U147" i="8"/>
  <c r="U148" i="8" s="1"/>
  <c r="W114" i="2"/>
  <c r="V18" i="12"/>
  <c r="V43" i="8"/>
  <c r="V44" i="8" s="1"/>
  <c r="V123" i="2"/>
  <c r="V1523" i="8" s="1"/>
  <c r="W460" i="2"/>
  <c r="V64" i="12"/>
  <c r="V179" i="8"/>
  <c r="V180" i="8" s="1"/>
  <c r="U27" i="12"/>
  <c r="AE222" i="13"/>
  <c r="W62" i="2"/>
  <c r="V14" i="12"/>
  <c r="V39" i="8"/>
  <c r="V40" i="8" s="1"/>
  <c r="W176" i="2"/>
  <c r="V32" i="12"/>
  <c r="V87" i="8"/>
  <c r="V88" i="8" s="1"/>
  <c r="W459" i="2"/>
  <c r="V175" i="8"/>
  <c r="V176" i="8" s="1"/>
  <c r="V63" i="12"/>
  <c r="T102" i="12"/>
  <c r="T1473" i="8" s="1"/>
  <c r="T1490" i="8"/>
  <c r="W638" i="2"/>
  <c r="V98" i="12"/>
  <c r="V279" i="8"/>
  <c r="V280" i="8" s="1"/>
  <c r="W516" i="2"/>
  <c r="V72" i="12"/>
  <c r="V199" i="8"/>
  <c r="V200" i="8" s="1"/>
  <c r="X180" i="2"/>
  <c r="W36" i="12"/>
  <c r="W103" i="8"/>
  <c r="W104" i="8" s="1"/>
  <c r="W117" i="2"/>
  <c r="V21" i="12"/>
  <c r="V55" i="8"/>
  <c r="V56" i="8" s="1"/>
  <c r="AB1435" i="8"/>
  <c r="AB276" i="13"/>
  <c r="AB278" i="13" s="1"/>
  <c r="W635" i="2"/>
  <c r="V267" i="8"/>
  <c r="V268" i="8" s="1"/>
  <c r="V95" i="12"/>
  <c r="V633" i="2"/>
  <c r="U642" i="2"/>
  <c r="U1533" i="8" s="1"/>
  <c r="U93" i="12"/>
  <c r="U259" i="8"/>
  <c r="U260" i="8" s="1"/>
  <c r="V637" i="2"/>
  <c r="U97" i="12"/>
  <c r="U275" i="8"/>
  <c r="U276" i="8" s="1"/>
  <c r="V236" i="2"/>
  <c r="U44" i="12"/>
  <c r="U123" i="8"/>
  <c r="U124" i="8" s="1"/>
  <c r="V55" i="2"/>
  <c r="U7" i="12"/>
  <c r="U11" i="8"/>
  <c r="U12" i="8" s="1"/>
  <c r="X175" i="2"/>
  <c r="W31" i="12"/>
  <c r="W83" i="8"/>
  <c r="W84" i="8" s="1"/>
  <c r="AE1500" i="8"/>
  <c r="F1500" i="8" s="1"/>
  <c r="W239" i="2"/>
  <c r="V47" i="12"/>
  <c r="V135" i="8"/>
  <c r="V136" i="8" s="1"/>
  <c r="X182" i="2"/>
  <c r="W38" i="12"/>
  <c r="W111" i="8"/>
  <c r="W112" i="8" s="1"/>
  <c r="U1535" i="8"/>
  <c r="U1527" i="8"/>
  <c r="X515" i="2"/>
  <c r="W195" i="8"/>
  <c r="W196" i="8" s="1"/>
  <c r="W71" i="12"/>
  <c r="X119" i="2"/>
  <c r="W23" i="12"/>
  <c r="W63" i="8"/>
  <c r="W64" i="8" s="1"/>
  <c r="W579" i="2"/>
  <c r="V87" i="12"/>
  <c r="V247" i="8"/>
  <c r="V248" i="8" s="1"/>
  <c r="T1534" i="8"/>
  <c r="T1526" i="8"/>
  <c r="W61" i="2"/>
  <c r="V13" i="12"/>
  <c r="V35" i="8"/>
  <c r="V36" i="8" s="1"/>
  <c r="U1488" i="8"/>
  <c r="U78" i="12"/>
  <c r="U1471" i="8" s="1"/>
  <c r="V461" i="2"/>
  <c r="U65" i="12"/>
  <c r="U183" i="8"/>
  <c r="U184" i="8" s="1"/>
  <c r="W456" i="2"/>
  <c r="V60" i="12"/>
  <c r="V163" i="8"/>
  <c r="V164" i="8" s="1"/>
  <c r="X179" i="2"/>
  <c r="W35" i="12"/>
  <c r="W99" i="8"/>
  <c r="W100" i="8" s="1"/>
  <c r="V636" i="2"/>
  <c r="U271" i="8"/>
  <c r="U272" i="8" s="1"/>
  <c r="U96" i="12"/>
  <c r="X116" i="2"/>
  <c r="W20" i="12"/>
  <c r="W51" i="8"/>
  <c r="W52" i="8" s="1"/>
  <c r="W519" i="2"/>
  <c r="V75" i="12"/>
  <c r="V211" i="8"/>
  <c r="V212" i="8" s="1"/>
  <c r="S1476" i="8"/>
  <c r="S1477" i="8" s="1"/>
  <c r="S1466" i="8"/>
  <c r="AA1539" i="8"/>
  <c r="AA1517" i="8"/>
  <c r="W457" i="2"/>
  <c r="V61" i="12"/>
  <c r="V167" i="8"/>
  <c r="V168" i="8" s="1"/>
  <c r="W513" i="2"/>
  <c r="V69" i="12"/>
  <c r="V187" i="8"/>
  <c r="V188" i="8" s="1"/>
  <c r="V522" i="2"/>
  <c r="V1531" i="8" s="1"/>
  <c r="AD1501" i="8"/>
  <c r="AE1512" i="8"/>
  <c r="F1512" i="8" s="1"/>
  <c r="AD1503" i="8"/>
  <c r="T1487" i="8"/>
  <c r="T66" i="12"/>
  <c r="T1470" i="8" s="1"/>
  <c r="W639" i="2"/>
  <c r="V99" i="12"/>
  <c r="V283" i="8"/>
  <c r="V284" i="8" s="1"/>
  <c r="V235" i="2"/>
  <c r="U43" i="12"/>
  <c r="U119" i="8"/>
  <c r="U120" i="8" s="1"/>
  <c r="AE392" i="2"/>
  <c r="AE948" i="8" s="1"/>
  <c r="AE949" i="8" s="1"/>
  <c r="F949" i="8" s="1"/>
  <c r="AD852" i="8"/>
  <c r="AD853" i="8" s="1"/>
  <c r="AE836" i="8"/>
  <c r="AE837" i="8" s="1"/>
  <c r="F837" i="8" s="1"/>
  <c r="AE376" i="2"/>
  <c r="AE908" i="8" s="1"/>
  <c r="AE909" i="8" s="1"/>
  <c r="F909" i="8" s="1"/>
  <c r="AB1436" i="8"/>
  <c r="AB649" i="2"/>
  <c r="AB1376" i="8"/>
  <c r="AB1377" i="8" s="1"/>
  <c r="AE383" i="2"/>
  <c r="AC400" i="2"/>
  <c r="AE791" i="2"/>
  <c r="AE1344" i="8" s="1"/>
  <c r="AE1345" i="8" s="1"/>
  <c r="F1345" i="8" s="1"/>
  <c r="AE795" i="2"/>
  <c r="AE1360" i="8" s="1"/>
  <c r="AE1361" i="8" s="1"/>
  <c r="F1361" i="8" s="1"/>
  <c r="AD1236" i="8"/>
  <c r="AD1237" i="8" s="1"/>
  <c r="AD395" i="2"/>
  <c r="AD960" i="8" s="1"/>
  <c r="AD961" i="8" s="1"/>
  <c r="AD396" i="2"/>
  <c r="AD964" i="8" s="1"/>
  <c r="AD965" i="8" s="1"/>
  <c r="AD793" i="2"/>
  <c r="AD799" i="2" s="1"/>
  <c r="AD276" i="13" s="1"/>
  <c r="AD278" i="13" s="1"/>
  <c r="AE1244" i="8"/>
  <c r="AE1245" i="8" s="1"/>
  <c r="F1245" i="8" s="1"/>
  <c r="AD378" i="2"/>
  <c r="AD916" i="8" s="1"/>
  <c r="AD917" i="8" s="1"/>
  <c r="AE782" i="2"/>
  <c r="AB1432" i="8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844" i="8" s="1"/>
  <c r="AE845" i="8" s="1"/>
  <c r="F845" i="8" s="1"/>
  <c r="AE753" i="2"/>
  <c r="AE1232" i="8" s="1"/>
  <c r="AE1233" i="8" s="1"/>
  <c r="F1233" i="8" s="1"/>
  <c r="AD1348" i="8"/>
  <c r="AD1349" i="8" s="1"/>
  <c r="AE757" i="2"/>
  <c r="AE797" i="2" s="1"/>
  <c r="AE754" i="2"/>
  <c r="AE1236" i="8" s="1"/>
  <c r="AE1237" i="8" s="1"/>
  <c r="AC799" i="2"/>
  <c r="AE358" i="2"/>
  <c r="AE852" i="8" s="1"/>
  <c r="AE853" i="8" s="1"/>
  <c r="AE752" i="2"/>
  <c r="F1241" i="8"/>
  <c r="AC379" i="2"/>
  <c r="AB920" i="8"/>
  <c r="AB921" i="8" s="1"/>
  <c r="AB380" i="2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AD759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1200" i="8"/>
  <c r="AE1201" i="8" s="1"/>
  <c r="F1201" i="8" s="1"/>
  <c r="AE1272" i="8"/>
  <c r="AE1273" i="8" s="1"/>
  <c r="F1273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85" i="2"/>
  <c r="AD1324" i="8" s="1"/>
  <c r="AD1325" i="8" s="1"/>
  <c r="AE245" i="13" l="1"/>
  <c r="AE138" i="13"/>
  <c r="AE268" i="13"/>
  <c r="AE1543" i="8"/>
  <c r="AD1511" i="8"/>
  <c r="AE1515" i="8"/>
  <c r="F1515" i="8" s="1"/>
  <c r="AE266" i="13"/>
  <c r="AE269" i="13"/>
  <c r="AE273" i="13"/>
  <c r="AE270" i="13"/>
  <c r="AE271" i="13"/>
  <c r="AE242" i="13"/>
  <c r="AE238" i="13"/>
  <c r="AE241" i="13"/>
  <c r="AE237" i="13"/>
  <c r="AE240" i="13"/>
  <c r="AE272" i="13"/>
  <c r="AE1541" i="8"/>
  <c r="F1541" i="8" s="1"/>
  <c r="AD1510" i="8"/>
  <c r="AE267" i="13"/>
  <c r="AE244" i="13"/>
  <c r="AE277" i="13"/>
  <c r="AE1506" i="8"/>
  <c r="F1506" i="8" s="1"/>
  <c r="AE239" i="13"/>
  <c r="AE1516" i="8"/>
  <c r="F1516" i="8" s="1"/>
  <c r="U51" i="12"/>
  <c r="U1485" i="8" s="1"/>
  <c r="U1486" i="8" s="1"/>
  <c r="X62" i="2"/>
  <c r="W14" i="12"/>
  <c r="W39" i="8"/>
  <c r="W40" i="8" s="1"/>
  <c r="W60" i="2"/>
  <c r="V12" i="12"/>
  <c r="V31" i="8"/>
  <c r="V32" i="8" s="1"/>
  <c r="V39" i="12"/>
  <c r="U15" i="12"/>
  <c r="W58" i="2"/>
  <c r="V10" i="12"/>
  <c r="V23" i="8"/>
  <c r="V24" i="8" s="1"/>
  <c r="W55" i="2"/>
  <c r="V7" i="12"/>
  <c r="V11" i="8"/>
  <c r="V12" i="8" s="1"/>
  <c r="AB1539" i="8"/>
  <c r="AB1517" i="8"/>
  <c r="X634" i="2"/>
  <c r="W94" i="12"/>
  <c r="W263" i="8"/>
  <c r="W264" i="8" s="1"/>
  <c r="X115" i="2"/>
  <c r="W19" i="12"/>
  <c r="W47" i="8"/>
  <c r="W48" i="8" s="1"/>
  <c r="AC980" i="8"/>
  <c r="AC981" i="8" s="1"/>
  <c r="AC137" i="13"/>
  <c r="AC139" i="13" s="1"/>
  <c r="AC1507" i="8" s="1"/>
  <c r="W636" i="2"/>
  <c r="V96" i="12"/>
  <c r="V271" i="8"/>
  <c r="V272" i="8" s="1"/>
  <c r="X61" i="2"/>
  <c r="W13" i="12"/>
  <c r="W35" i="8"/>
  <c r="W36" i="8" s="1"/>
  <c r="X460" i="2"/>
  <c r="W64" i="12"/>
  <c r="W179" i="8"/>
  <c r="W180" i="8" s="1"/>
  <c r="W54" i="2"/>
  <c r="V6" i="12"/>
  <c r="V7" i="8"/>
  <c r="V8" i="8" s="1"/>
  <c r="V63" i="2"/>
  <c r="V1522" i="8" s="1"/>
  <c r="X118" i="2"/>
  <c r="W22" i="12"/>
  <c r="W59" i="8"/>
  <c r="W60" i="8" s="1"/>
  <c r="X181" i="2"/>
  <c r="W37" i="12"/>
  <c r="W107" i="8"/>
  <c r="W108" i="8" s="1"/>
  <c r="U1468" i="8"/>
  <c r="U1482" i="8"/>
  <c r="U1483" i="8" s="1"/>
  <c r="X518" i="2"/>
  <c r="W207" i="8"/>
  <c r="W208" i="8" s="1"/>
  <c r="W74" i="12"/>
  <c r="W461" i="2"/>
  <c r="V65" i="12"/>
  <c r="V183" i="8"/>
  <c r="V184" i="8" s="1"/>
  <c r="X240" i="2"/>
  <c r="W48" i="12"/>
  <c r="W139" i="8"/>
  <c r="W140" i="8" s="1"/>
  <c r="Y175" i="2"/>
  <c r="X31" i="12"/>
  <c r="X83" i="8"/>
  <c r="X84" i="8" s="1"/>
  <c r="V78" i="12"/>
  <c r="V1471" i="8" s="1"/>
  <c r="V1488" i="8"/>
  <c r="U1487" i="8"/>
  <c r="U66" i="12"/>
  <c r="U1470" i="8" s="1"/>
  <c r="X513" i="2"/>
  <c r="W69" i="12"/>
  <c r="W522" i="2"/>
  <c r="W1531" i="8" s="1"/>
  <c r="W187" i="8"/>
  <c r="W188" i="8" s="1"/>
  <c r="X638" i="2"/>
  <c r="W98" i="12"/>
  <c r="W279" i="8"/>
  <c r="W280" i="8" s="1"/>
  <c r="X639" i="2"/>
  <c r="W283" i="8"/>
  <c r="W284" i="8" s="1"/>
  <c r="W99" i="12"/>
  <c r="X457" i="2"/>
  <c r="W61" i="12"/>
  <c r="W167" i="8"/>
  <c r="W168" i="8" s="1"/>
  <c r="X576" i="2"/>
  <c r="W235" i="8"/>
  <c r="W236" i="8" s="1"/>
  <c r="W84" i="12"/>
  <c r="T1476" i="8"/>
  <c r="T1477" i="8" s="1"/>
  <c r="T1466" i="8"/>
  <c r="X59" i="2"/>
  <c r="W11" i="12"/>
  <c r="W27" i="8"/>
  <c r="W28" i="8" s="1"/>
  <c r="Y121" i="2"/>
  <c r="X25" i="12"/>
  <c r="X71" i="8"/>
  <c r="X72" i="8" s="1"/>
  <c r="X56" i="2"/>
  <c r="W8" i="12"/>
  <c r="W15" i="8"/>
  <c r="W16" i="8" s="1"/>
  <c r="V1536" i="8"/>
  <c r="V1528" i="8"/>
  <c r="X641" i="2"/>
  <c r="W101" i="12"/>
  <c r="W291" i="8"/>
  <c r="W292" i="8" s="1"/>
  <c r="W633" i="2"/>
  <c r="V642" i="2"/>
  <c r="V1533" i="8" s="1"/>
  <c r="V259" i="8"/>
  <c r="V260" i="8" s="1"/>
  <c r="V93" i="12"/>
  <c r="W236" i="2"/>
  <c r="V44" i="12"/>
  <c r="V123" i="8"/>
  <c r="V124" i="8" s="1"/>
  <c r="V27" i="12"/>
  <c r="X577" i="2"/>
  <c r="W85" i="12"/>
  <c r="W239" i="8"/>
  <c r="W240" i="8" s="1"/>
  <c r="W454" i="2"/>
  <c r="V58" i="12"/>
  <c r="V155" i="8"/>
  <c r="V156" i="8" s="1"/>
  <c r="X238" i="2"/>
  <c r="W46" i="12"/>
  <c r="W131" i="8"/>
  <c r="W132" i="8" s="1"/>
  <c r="AE1540" i="8"/>
  <c r="F1540" i="8" s="1"/>
  <c r="AE1514" i="8"/>
  <c r="F1514" i="8" s="1"/>
  <c r="AE224" i="13"/>
  <c r="AE223" i="13"/>
  <c r="AE229" i="13"/>
  <c r="AE231" i="13"/>
  <c r="AE228" i="13"/>
  <c r="AE225" i="13"/>
  <c r="AE226" i="13"/>
  <c r="AE230" i="13"/>
  <c r="AE227" i="13"/>
  <c r="X178" i="2"/>
  <c r="W34" i="12"/>
  <c r="W95" i="8"/>
  <c r="W96" i="8" s="1"/>
  <c r="Y116" i="2"/>
  <c r="X20" i="12"/>
  <c r="X51" i="8"/>
  <c r="X52" i="8" s="1"/>
  <c r="Y515" i="2"/>
  <c r="X195" i="8"/>
  <c r="X196" i="8" s="1"/>
  <c r="X71" i="12"/>
  <c r="Y179" i="2"/>
  <c r="X35" i="12"/>
  <c r="X99" i="8"/>
  <c r="X100" i="8" s="1"/>
  <c r="Y182" i="2"/>
  <c r="X38" i="12"/>
  <c r="X111" i="8"/>
  <c r="X112" i="8" s="1"/>
  <c r="X117" i="2"/>
  <c r="W21" i="12"/>
  <c r="W55" i="8"/>
  <c r="W56" i="8" s="1"/>
  <c r="X459" i="2"/>
  <c r="W63" i="12"/>
  <c r="W175" i="8"/>
  <c r="W176" i="8" s="1"/>
  <c r="X120" i="2"/>
  <c r="W24" i="12"/>
  <c r="W67" i="8"/>
  <c r="W68" i="8" s="1"/>
  <c r="V1489" i="8"/>
  <c r="V90" i="12"/>
  <c r="V1472" i="8" s="1"/>
  <c r="T1485" i="8"/>
  <c r="T1486" i="8" s="1"/>
  <c r="T1469" i="8"/>
  <c r="X516" i="2"/>
  <c r="W199" i="8"/>
  <c r="W200" i="8" s="1"/>
  <c r="W72" i="12"/>
  <c r="U1534" i="8"/>
  <c r="U1526" i="8"/>
  <c r="AD1513" i="8"/>
  <c r="U1467" i="8"/>
  <c r="U1479" i="8"/>
  <c r="U1480" i="8" s="1"/>
  <c r="X635" i="2"/>
  <c r="W95" i="12"/>
  <c r="W267" i="8"/>
  <c r="W268" i="8" s="1"/>
  <c r="X114" i="2"/>
  <c r="W18" i="12"/>
  <c r="W123" i="2"/>
  <c r="W1523" i="8" s="1"/>
  <c r="W43" i="8"/>
  <c r="W44" i="8" s="1"/>
  <c r="AE1501" i="8"/>
  <c r="F1501" i="8" s="1"/>
  <c r="Y575" i="2"/>
  <c r="X83" i="12"/>
  <c r="X231" i="8"/>
  <c r="X232" i="8" s="1"/>
  <c r="X581" i="2"/>
  <c r="W89" i="12"/>
  <c r="W255" i="8"/>
  <c r="W256" i="8" s="1"/>
  <c r="X574" i="2"/>
  <c r="W82" i="12"/>
  <c r="W227" i="8"/>
  <c r="W228" i="8" s="1"/>
  <c r="X640" i="2"/>
  <c r="W100" i="12"/>
  <c r="W287" i="8"/>
  <c r="W288" i="8" s="1"/>
  <c r="X573" i="2"/>
  <c r="W81" i="12"/>
  <c r="W223" i="8"/>
  <c r="W224" i="8" s="1"/>
  <c r="W582" i="2"/>
  <c r="W1532" i="8" s="1"/>
  <c r="W234" i="2"/>
  <c r="V42" i="12"/>
  <c r="V243" i="2"/>
  <c r="V1525" i="8" s="1"/>
  <c r="V115" i="8"/>
  <c r="V116" i="8" s="1"/>
  <c r="AC1436" i="8"/>
  <c r="AC276" i="13"/>
  <c r="AC278" i="13" s="1"/>
  <c r="X514" i="2"/>
  <c r="W191" i="8"/>
  <c r="W192" i="8" s="1"/>
  <c r="W70" i="12"/>
  <c r="X579" i="2"/>
  <c r="W247" i="8"/>
  <c r="W248" i="8" s="1"/>
  <c r="W87" i="12"/>
  <c r="W637" i="2"/>
  <c r="V275" i="8"/>
  <c r="V276" i="8" s="1"/>
  <c r="V97" i="12"/>
  <c r="W241" i="2"/>
  <c r="V49" i="12"/>
  <c r="V143" i="8"/>
  <c r="V144" i="8" s="1"/>
  <c r="Y578" i="2"/>
  <c r="X86" i="12"/>
  <c r="X243" i="8"/>
  <c r="X244" i="8" s="1"/>
  <c r="X174" i="2"/>
  <c r="W30" i="12"/>
  <c r="W79" i="8"/>
  <c r="W80" i="8" s="1"/>
  <c r="W183" i="2"/>
  <c r="W1524" i="8" s="1"/>
  <c r="W235" i="2"/>
  <c r="V43" i="12"/>
  <c r="V119" i="8"/>
  <c r="V120" i="8" s="1"/>
  <c r="W455" i="2"/>
  <c r="V59" i="12"/>
  <c r="V159" i="8"/>
  <c r="V160" i="8" s="1"/>
  <c r="X456" i="2"/>
  <c r="W163" i="8"/>
  <c r="W164" i="8" s="1"/>
  <c r="W60" i="12"/>
  <c r="X239" i="2"/>
  <c r="W47" i="12"/>
  <c r="W135" i="8"/>
  <c r="W136" i="8" s="1"/>
  <c r="Y180" i="2"/>
  <c r="X36" i="12"/>
  <c r="X103" i="8"/>
  <c r="X104" i="8" s="1"/>
  <c r="X176" i="2"/>
  <c r="W32" i="12"/>
  <c r="W87" i="8"/>
  <c r="W88" i="8" s="1"/>
  <c r="Y122" i="2"/>
  <c r="X26" i="12"/>
  <c r="X75" i="8"/>
  <c r="X76" i="8" s="1"/>
  <c r="X520" i="2"/>
  <c r="W215" i="8"/>
  <c r="W216" i="8" s="1"/>
  <c r="W76" i="12"/>
  <c r="Y580" i="2"/>
  <c r="X88" i="12"/>
  <c r="X251" i="8"/>
  <c r="X252" i="8" s="1"/>
  <c r="V1535" i="8"/>
  <c r="V1527" i="8"/>
  <c r="X458" i="2"/>
  <c r="W62" i="12"/>
  <c r="W171" i="8"/>
  <c r="W172" i="8" s="1"/>
  <c r="X57" i="2"/>
  <c r="W9" i="12"/>
  <c r="W19" i="8"/>
  <c r="W20" i="8" s="1"/>
  <c r="W453" i="2"/>
  <c r="V57" i="12"/>
  <c r="V151" i="8"/>
  <c r="V152" i="8" s="1"/>
  <c r="V462" i="2"/>
  <c r="V1530" i="8" s="1"/>
  <c r="AD1539" i="8"/>
  <c r="AD1517" i="8"/>
  <c r="U1490" i="8"/>
  <c r="U102" i="12"/>
  <c r="U1473" i="8" s="1"/>
  <c r="W242" i="2"/>
  <c r="V50" i="12"/>
  <c r="V147" i="8"/>
  <c r="V148" i="8" s="1"/>
  <c r="X521" i="2"/>
  <c r="W219" i="8"/>
  <c r="W220" i="8" s="1"/>
  <c r="W77" i="12"/>
  <c r="X177" i="2"/>
  <c r="W33" i="12"/>
  <c r="W91" i="8"/>
  <c r="W92" i="8" s="1"/>
  <c r="W237" i="2"/>
  <c r="V45" i="12"/>
  <c r="V127" i="8"/>
  <c r="V128" i="8" s="1"/>
  <c r="AE1503" i="8"/>
  <c r="F1503" i="8" s="1"/>
  <c r="X517" i="2"/>
  <c r="W73" i="12"/>
  <c r="W203" i="8"/>
  <c r="W204" i="8" s="1"/>
  <c r="X519" i="2"/>
  <c r="W211" i="8"/>
  <c r="W212" i="8" s="1"/>
  <c r="W75" i="12"/>
  <c r="Y119" i="2"/>
  <c r="X23" i="12"/>
  <c r="X63" i="8"/>
  <c r="X64" i="8" s="1"/>
  <c r="U1537" i="8"/>
  <c r="U1529" i="8"/>
  <c r="F1543" i="8"/>
  <c r="F853" i="8"/>
  <c r="AC1431" i="8"/>
  <c r="AC1432" i="8"/>
  <c r="AD1352" i="8"/>
  <c r="AD1353" i="8" s="1"/>
  <c r="AE794" i="2"/>
  <c r="AE1356" i="8" s="1"/>
  <c r="AE1357" i="8" s="1"/>
  <c r="F1357" i="8" s="1"/>
  <c r="F877" i="8"/>
  <c r="AC250" i="2"/>
  <c r="AE781" i="2"/>
  <c r="AE396" i="2"/>
  <c r="AE964" i="8" s="1"/>
  <c r="AE965" i="8" s="1"/>
  <c r="F965" i="8" s="1"/>
  <c r="AE773" i="2"/>
  <c r="AE1296" i="8" s="1"/>
  <c r="AE1297" i="8" s="1"/>
  <c r="F1297" i="8" s="1"/>
  <c r="F1237" i="8"/>
  <c r="AE398" i="2"/>
  <c r="AE972" i="8" s="1"/>
  <c r="AE973" i="8" s="1"/>
  <c r="F973" i="8" s="1"/>
  <c r="AE382" i="2"/>
  <c r="AE1248" i="8"/>
  <c r="AE1249" i="8" s="1"/>
  <c r="F1249" i="8" s="1"/>
  <c r="AC649" i="2"/>
  <c r="AE792" i="2"/>
  <c r="AE793" i="2"/>
  <c r="AE1352" i="8" s="1"/>
  <c r="AE1353" i="8" s="1"/>
  <c r="F1269" i="8"/>
  <c r="AE1264" i="8"/>
  <c r="AE1265" i="8" s="1"/>
  <c r="F1265" i="8" s="1"/>
  <c r="AD400" i="2"/>
  <c r="AC1376" i="8"/>
  <c r="AC1377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E788" i="2"/>
  <c r="AE1336" i="8" s="1"/>
  <c r="AE1337" i="8" s="1"/>
  <c r="F1337" i="8" s="1"/>
  <c r="AD1376" i="8"/>
  <c r="AD1377" i="8" s="1"/>
  <c r="AD649" i="2"/>
  <c r="AD390" i="2"/>
  <c r="AD944" i="8" s="1"/>
  <c r="AE374" i="2"/>
  <c r="AE900" i="8" s="1"/>
  <c r="AE901" i="8" s="1"/>
  <c r="AE777" i="2"/>
  <c r="AE1312" i="8" s="1"/>
  <c r="AE1313" i="8" s="1"/>
  <c r="F1313" i="8" s="1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513" i="8" l="1"/>
  <c r="F1513" i="8" s="1"/>
  <c r="U1469" i="8"/>
  <c r="AE1511" i="8"/>
  <c r="F1511" i="8" s="1"/>
  <c r="F1353" i="8"/>
  <c r="V15" i="12"/>
  <c r="W27" i="12"/>
  <c r="Z182" i="2"/>
  <c r="Y38" i="12"/>
  <c r="Y111" i="8"/>
  <c r="Y112" i="8" s="1"/>
  <c r="U1466" i="8"/>
  <c r="U1476" i="8"/>
  <c r="U1477" i="8" s="1"/>
  <c r="X55" i="2"/>
  <c r="W7" i="12"/>
  <c r="W11" i="8"/>
  <c r="W12" i="8" s="1"/>
  <c r="Y117" i="2"/>
  <c r="X21" i="12"/>
  <c r="X55" i="8"/>
  <c r="X56" i="8" s="1"/>
  <c r="Z180" i="2"/>
  <c r="Y36" i="12"/>
  <c r="Y103" i="8"/>
  <c r="Y104" i="8" s="1"/>
  <c r="Y573" i="2"/>
  <c r="X81" i="12"/>
  <c r="X223" i="8"/>
  <c r="X224" i="8" s="1"/>
  <c r="X582" i="2"/>
  <c r="X1532" i="8" s="1"/>
  <c r="Y178" i="2"/>
  <c r="X34" i="12"/>
  <c r="X95" i="8"/>
  <c r="X96" i="8" s="1"/>
  <c r="Y174" i="2"/>
  <c r="X30" i="12"/>
  <c r="X79" i="8"/>
  <c r="X80" i="8" s="1"/>
  <c r="X183" i="2"/>
  <c r="X1524" i="8" s="1"/>
  <c r="W1535" i="8"/>
  <c r="W1527" i="8"/>
  <c r="Y177" i="2"/>
  <c r="X33" i="12"/>
  <c r="X91" i="8"/>
  <c r="X92" i="8" s="1"/>
  <c r="Y239" i="2"/>
  <c r="X47" i="12"/>
  <c r="X135" i="8"/>
  <c r="X136" i="8" s="1"/>
  <c r="Y640" i="2"/>
  <c r="X287" i="8"/>
  <c r="X288" i="8" s="1"/>
  <c r="X100" i="12"/>
  <c r="Y114" i="2"/>
  <c r="X18" i="12"/>
  <c r="X123" i="2"/>
  <c r="X1523" i="8" s="1"/>
  <c r="X43" i="8"/>
  <c r="X44" i="8" s="1"/>
  <c r="X454" i="2"/>
  <c r="W58" i="12"/>
  <c r="W155" i="8"/>
  <c r="W156" i="8" s="1"/>
  <c r="Y641" i="2"/>
  <c r="X291" i="8"/>
  <c r="X292" i="8" s="1"/>
  <c r="X101" i="12"/>
  <c r="W78" i="12"/>
  <c r="W1471" i="8" s="1"/>
  <c r="W1488" i="8"/>
  <c r="X461" i="2"/>
  <c r="W65" i="12"/>
  <c r="W183" i="8"/>
  <c r="W184" i="8" s="1"/>
  <c r="Z575" i="2"/>
  <c r="Y231" i="8"/>
  <c r="Y232" i="8" s="1"/>
  <c r="Y83" i="12"/>
  <c r="W1467" i="8"/>
  <c r="W1479" i="8"/>
  <c r="W1480" i="8" s="1"/>
  <c r="Y118" i="2"/>
  <c r="X22" i="12"/>
  <c r="X59" i="8"/>
  <c r="X60" i="8" s="1"/>
  <c r="V1534" i="8"/>
  <c r="V1526" i="8"/>
  <c r="Z119" i="2"/>
  <c r="Y23" i="12"/>
  <c r="Y63" i="8"/>
  <c r="Y64" i="8" s="1"/>
  <c r="V1487" i="8"/>
  <c r="V66" i="12"/>
  <c r="V1470" i="8" s="1"/>
  <c r="Y514" i="2"/>
  <c r="X191" i="8"/>
  <c r="X192" i="8" s="1"/>
  <c r="X70" i="12"/>
  <c r="Y513" i="2"/>
  <c r="X69" i="12"/>
  <c r="X522" i="2"/>
  <c r="X1531" i="8" s="1"/>
  <c r="X187" i="8"/>
  <c r="X188" i="8" s="1"/>
  <c r="X54" i="2"/>
  <c r="W6" i="12"/>
  <c r="W7" i="8"/>
  <c r="W8" i="8" s="1"/>
  <c r="W63" i="2"/>
  <c r="W1522" i="8" s="1"/>
  <c r="Y115" i="2"/>
  <c r="X19" i="12"/>
  <c r="X47" i="8"/>
  <c r="X48" i="8" s="1"/>
  <c r="W90" i="12"/>
  <c r="W1472" i="8" s="1"/>
  <c r="W1489" i="8"/>
  <c r="Y59" i="2"/>
  <c r="X11" i="12"/>
  <c r="X27" i="8"/>
  <c r="X28" i="8" s="1"/>
  <c r="AD250" i="2"/>
  <c r="AD137" i="13"/>
  <c r="AD139" i="13" s="1"/>
  <c r="AD1507" i="8" s="1"/>
  <c r="X453" i="2"/>
  <c r="W57" i="12"/>
  <c r="W151" i="8"/>
  <c r="W152" i="8" s="1"/>
  <c r="W462" i="2"/>
  <c r="W1530" i="8" s="1"/>
  <c r="Y520" i="2"/>
  <c r="X76" i="12"/>
  <c r="X215" i="8"/>
  <c r="X216" i="8" s="1"/>
  <c r="AC1539" i="8"/>
  <c r="AC1517" i="8"/>
  <c r="Z179" i="2"/>
  <c r="Y35" i="12"/>
  <c r="Y99" i="8"/>
  <c r="Y100" i="8" s="1"/>
  <c r="Y576" i="2"/>
  <c r="X84" i="12"/>
  <c r="X235" i="8"/>
  <c r="X236" i="8" s="1"/>
  <c r="V1468" i="8"/>
  <c r="V1482" i="8"/>
  <c r="V1483" i="8" s="1"/>
  <c r="X637" i="2"/>
  <c r="W275" i="8"/>
  <c r="W276" i="8" s="1"/>
  <c r="W97" i="12"/>
  <c r="X237" i="2"/>
  <c r="W45" i="12"/>
  <c r="W127" i="8"/>
  <c r="W128" i="8" s="1"/>
  <c r="Y638" i="2"/>
  <c r="X98" i="12"/>
  <c r="X279" i="8"/>
  <c r="X280" i="8" s="1"/>
  <c r="Y521" i="2"/>
  <c r="X77" i="12"/>
  <c r="X219" i="8"/>
  <c r="X220" i="8" s="1"/>
  <c r="Y456" i="2"/>
  <c r="X60" i="12"/>
  <c r="X163" i="8"/>
  <c r="X164" i="8" s="1"/>
  <c r="Z578" i="2"/>
  <c r="Y243" i="8"/>
  <c r="Y244" i="8" s="1"/>
  <c r="Y86" i="12"/>
  <c r="Y574" i="2"/>
  <c r="X82" i="12"/>
  <c r="X227" i="8"/>
  <c r="X228" i="8" s="1"/>
  <c r="Y635" i="2"/>
  <c r="X95" i="12"/>
  <c r="X267" i="8"/>
  <c r="X268" i="8" s="1"/>
  <c r="Y577" i="2"/>
  <c r="X239" i="8"/>
  <c r="X240" i="8" s="1"/>
  <c r="X85" i="12"/>
  <c r="Y518" i="2"/>
  <c r="X74" i="12"/>
  <c r="X207" i="8"/>
  <c r="X208" i="8" s="1"/>
  <c r="X636" i="2"/>
  <c r="W96" i="12"/>
  <c r="W271" i="8"/>
  <c r="W272" i="8" s="1"/>
  <c r="X633" i="2"/>
  <c r="W259" i="8"/>
  <c r="W260" i="8" s="1"/>
  <c r="W642" i="2"/>
  <c r="W1533" i="8" s="1"/>
  <c r="W93" i="12"/>
  <c r="Z580" i="2"/>
  <c r="Y88" i="12"/>
  <c r="Y251" i="8"/>
  <c r="Y252" i="8" s="1"/>
  <c r="Y519" i="2"/>
  <c r="X211" i="8"/>
  <c r="X212" i="8" s="1"/>
  <c r="X75" i="12"/>
  <c r="Y120" i="2"/>
  <c r="X24" i="12"/>
  <c r="X67" i="8"/>
  <c r="X68" i="8" s="1"/>
  <c r="V1479" i="8"/>
  <c r="V1480" i="8" s="1"/>
  <c r="V1467" i="8"/>
  <c r="Y460" i="2"/>
  <c r="X64" i="12"/>
  <c r="X179" i="8"/>
  <c r="X180" i="8" s="1"/>
  <c r="Y634" i="2"/>
  <c r="X94" i="12"/>
  <c r="X263" i="8"/>
  <c r="X264" i="8" s="1"/>
  <c r="X235" i="2"/>
  <c r="W43" i="12"/>
  <c r="W119" i="8"/>
  <c r="W120" i="8" s="1"/>
  <c r="Y516" i="2"/>
  <c r="X72" i="12"/>
  <c r="X199" i="8"/>
  <c r="X200" i="8" s="1"/>
  <c r="V1466" i="8"/>
  <c r="V1476" i="8"/>
  <c r="V1477" i="8" s="1"/>
  <c r="W39" i="12"/>
  <c r="Y57" i="2"/>
  <c r="X9" i="12"/>
  <c r="X19" i="8"/>
  <c r="X20" i="8" s="1"/>
  <c r="Z122" i="2"/>
  <c r="Y26" i="12"/>
  <c r="Y75" i="8"/>
  <c r="Y76" i="8" s="1"/>
  <c r="Z515" i="2"/>
  <c r="Y71" i="12"/>
  <c r="Y195" i="8"/>
  <c r="Y196" i="8" s="1"/>
  <c r="AE1510" i="8"/>
  <c r="F1510" i="8" s="1"/>
  <c r="Y56" i="2"/>
  <c r="X8" i="12"/>
  <c r="X15" i="8"/>
  <c r="X16" i="8" s="1"/>
  <c r="Y457" i="2"/>
  <c r="X61" i="12"/>
  <c r="X167" i="8"/>
  <c r="X168" i="8" s="1"/>
  <c r="X60" i="2"/>
  <c r="W12" i="12"/>
  <c r="W31" i="8"/>
  <c r="W32" i="8" s="1"/>
  <c r="V1537" i="8"/>
  <c r="V1529" i="8"/>
  <c r="Y240" i="2"/>
  <c r="X48" i="12"/>
  <c r="X139" i="8"/>
  <c r="X140" i="8" s="1"/>
  <c r="Y579" i="2"/>
  <c r="X247" i="8"/>
  <c r="X248" i="8" s="1"/>
  <c r="X87" i="12"/>
  <c r="X455" i="2"/>
  <c r="W59" i="12"/>
  <c r="W159" i="8"/>
  <c r="W160" i="8" s="1"/>
  <c r="X241" i="2"/>
  <c r="W49" i="12"/>
  <c r="W143" i="8"/>
  <c r="W144" i="8" s="1"/>
  <c r="V51" i="12"/>
  <c r="Y581" i="2"/>
  <c r="X89" i="12"/>
  <c r="X255" i="8"/>
  <c r="X256" i="8" s="1"/>
  <c r="Y238" i="2"/>
  <c r="X46" i="12"/>
  <c r="X131" i="8"/>
  <c r="X132" i="8" s="1"/>
  <c r="X58" i="2"/>
  <c r="W10" i="12"/>
  <c r="W23" i="8"/>
  <c r="W24" i="8" s="1"/>
  <c r="Y517" i="2"/>
  <c r="X203" i="8"/>
  <c r="X204" i="8" s="1"/>
  <c r="X73" i="12"/>
  <c r="X242" i="2"/>
  <c r="W50" i="12"/>
  <c r="W147" i="8"/>
  <c r="W148" i="8" s="1"/>
  <c r="X234" i="2"/>
  <c r="W42" i="12"/>
  <c r="W243" i="2"/>
  <c r="W1525" i="8" s="1"/>
  <c r="W115" i="8"/>
  <c r="W116" i="8" s="1"/>
  <c r="Y459" i="2"/>
  <c r="X63" i="12"/>
  <c r="X175" i="8"/>
  <c r="X176" i="8" s="1"/>
  <c r="X236" i="2"/>
  <c r="W44" i="12"/>
  <c r="W123" i="8"/>
  <c r="W124" i="8" s="1"/>
  <c r="Y61" i="2"/>
  <c r="X13" i="12"/>
  <c r="X35" i="8"/>
  <c r="X36" i="8" s="1"/>
  <c r="Y458" i="2"/>
  <c r="X171" i="8"/>
  <c r="X172" i="8" s="1"/>
  <c r="X62" i="12"/>
  <c r="Y176" i="2"/>
  <c r="X32" i="12"/>
  <c r="X87" i="8"/>
  <c r="X88" i="8" s="1"/>
  <c r="W1536" i="8"/>
  <c r="W1528" i="8"/>
  <c r="Z116" i="2"/>
  <c r="Y20" i="12"/>
  <c r="Y51" i="8"/>
  <c r="Y52" i="8" s="1"/>
  <c r="V1490" i="8"/>
  <c r="V102" i="12"/>
  <c r="V1473" i="8" s="1"/>
  <c r="Z121" i="2"/>
  <c r="Y25" i="12"/>
  <c r="Y71" i="8"/>
  <c r="Y72" i="8" s="1"/>
  <c r="Y639" i="2"/>
  <c r="X99" i="12"/>
  <c r="X283" i="8"/>
  <c r="X284" i="8" s="1"/>
  <c r="Z175" i="2"/>
  <c r="Y31" i="12"/>
  <c r="Y83" i="8"/>
  <c r="Y84" i="8" s="1"/>
  <c r="Y181" i="2"/>
  <c r="X37" i="12"/>
  <c r="X107" i="8"/>
  <c r="X108" i="8" s="1"/>
  <c r="Y62" i="2"/>
  <c r="X14" i="12"/>
  <c r="X39" i="8"/>
  <c r="X40" i="8" s="1"/>
  <c r="AE400" i="2"/>
  <c r="AE137" i="13" s="1"/>
  <c r="AE139" i="13" s="1"/>
  <c r="AE1507" i="8" s="1"/>
  <c r="F1507" i="8" s="1"/>
  <c r="AE799" i="2"/>
  <c r="AD1431" i="8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390" i="2"/>
  <c r="AE944" i="8" s="1"/>
  <c r="AE778" i="2"/>
  <c r="AE1320" i="8"/>
  <c r="AE1321" i="8" s="1"/>
  <c r="F1321" i="8" s="1"/>
  <c r="AE789" i="2"/>
  <c r="AE1340" i="8" s="1"/>
  <c r="F901" i="8"/>
  <c r="AE1432" i="8" l="1"/>
  <c r="W15" i="12"/>
  <c r="AE1431" i="8"/>
  <c r="Z574" i="2"/>
  <c r="Y82" i="12"/>
  <c r="Y227" i="8"/>
  <c r="Y228" i="8" s="1"/>
  <c r="Z514" i="2"/>
  <c r="Y70" i="12"/>
  <c r="Y191" i="8"/>
  <c r="Y192" i="8" s="1"/>
  <c r="AA180" i="2"/>
  <c r="Z36" i="12"/>
  <c r="Z103" i="8"/>
  <c r="Z104" i="8" s="1"/>
  <c r="AA179" i="2"/>
  <c r="Z35" i="12"/>
  <c r="Z99" i="8"/>
  <c r="Z100" i="8" s="1"/>
  <c r="Z56" i="2"/>
  <c r="Y8" i="12"/>
  <c r="Y15" i="8"/>
  <c r="Y16" i="8" s="1"/>
  <c r="Y455" i="2"/>
  <c r="X59" i="12"/>
  <c r="X159" i="8"/>
  <c r="X160" i="8" s="1"/>
  <c r="Z638" i="2"/>
  <c r="Y98" i="12"/>
  <c r="Y279" i="8"/>
  <c r="Y280" i="8" s="1"/>
  <c r="Z177" i="2"/>
  <c r="Y33" i="12"/>
  <c r="Y91" i="8"/>
  <c r="Y92" i="8" s="1"/>
  <c r="AE649" i="2"/>
  <c r="AE276" i="13"/>
  <c r="AE278" i="13" s="1"/>
  <c r="Z238" i="2"/>
  <c r="Y46" i="12"/>
  <c r="Y131" i="8"/>
  <c r="Y132" i="8" s="1"/>
  <c r="Y636" i="2"/>
  <c r="X271" i="8"/>
  <c r="X272" i="8" s="1"/>
  <c r="X96" i="12"/>
  <c r="X27" i="12"/>
  <c r="Z639" i="2"/>
  <c r="Y99" i="12"/>
  <c r="Y283" i="8"/>
  <c r="Y284" i="8" s="1"/>
  <c r="W51" i="12"/>
  <c r="Z516" i="2"/>
  <c r="Y72" i="12"/>
  <c r="Y199" i="8"/>
  <c r="Y200" i="8" s="1"/>
  <c r="Z120" i="2"/>
  <c r="Y24" i="12"/>
  <c r="Y67" i="8"/>
  <c r="Y68" i="8" s="1"/>
  <c r="AA578" i="2"/>
  <c r="Z86" i="12"/>
  <c r="Z243" i="8"/>
  <c r="Z244" i="8" s="1"/>
  <c r="Z520" i="2"/>
  <c r="Y76" i="12"/>
  <c r="Y215" i="8"/>
  <c r="Y216" i="8" s="1"/>
  <c r="Z115" i="2"/>
  <c r="Y19" i="12"/>
  <c r="Y47" i="8"/>
  <c r="Y48" i="8" s="1"/>
  <c r="X39" i="12"/>
  <c r="Z117" i="2"/>
  <c r="Y21" i="12"/>
  <c r="Y55" i="8"/>
  <c r="Y56" i="8" s="1"/>
  <c r="Z460" i="2"/>
  <c r="Y179" i="8"/>
  <c r="Y180" i="8" s="1"/>
  <c r="Y64" i="12"/>
  <c r="Z579" i="2"/>
  <c r="Y87" i="12"/>
  <c r="Y247" i="8"/>
  <c r="Y248" i="8" s="1"/>
  <c r="AA575" i="2"/>
  <c r="Z83" i="12"/>
  <c r="Z231" i="8"/>
  <c r="Z232" i="8" s="1"/>
  <c r="Z176" i="2"/>
  <c r="Y32" i="12"/>
  <c r="Y87" i="8"/>
  <c r="Y88" i="8" s="1"/>
  <c r="Z114" i="2"/>
  <c r="Y18" i="12"/>
  <c r="Y43" i="8"/>
  <c r="Y44" i="8" s="1"/>
  <c r="Y123" i="2"/>
  <c r="Y1523" i="8" s="1"/>
  <c r="Y234" i="2"/>
  <c r="X42" i="12"/>
  <c r="X243" i="2"/>
  <c r="X1525" i="8" s="1"/>
  <c r="X115" i="8"/>
  <c r="X116" i="8" s="1"/>
  <c r="Z240" i="2"/>
  <c r="Y48" i="12"/>
  <c r="Y139" i="8"/>
  <c r="Y140" i="8" s="1"/>
  <c r="Y637" i="2"/>
  <c r="X97" i="12"/>
  <c r="X275" i="8"/>
  <c r="X276" i="8" s="1"/>
  <c r="W1534" i="8"/>
  <c r="W1526" i="8"/>
  <c r="Y461" i="2"/>
  <c r="X65" i="12"/>
  <c r="X183" i="8"/>
  <c r="X184" i="8" s="1"/>
  <c r="Z174" i="2"/>
  <c r="Y30" i="12"/>
  <c r="Y79" i="8"/>
  <c r="Y80" i="8" s="1"/>
  <c r="Y183" i="2"/>
  <c r="Y1524" i="8" s="1"/>
  <c r="Z458" i="2"/>
  <c r="Y62" i="12"/>
  <c r="Y171" i="8"/>
  <c r="Y172" i="8" s="1"/>
  <c r="AA515" i="2"/>
  <c r="Z71" i="12"/>
  <c r="Z195" i="8"/>
  <c r="Z196" i="8" s="1"/>
  <c r="Z518" i="2"/>
  <c r="Y74" i="12"/>
  <c r="Y207" i="8"/>
  <c r="Y208" i="8" s="1"/>
  <c r="AA119" i="2"/>
  <c r="Z23" i="12"/>
  <c r="Z63" i="8"/>
  <c r="Z64" i="8" s="1"/>
  <c r="Z640" i="2"/>
  <c r="Y100" i="12"/>
  <c r="Y287" i="8"/>
  <c r="Y288" i="8" s="1"/>
  <c r="Z519" i="2"/>
  <c r="Y75" i="12"/>
  <c r="Y211" i="8"/>
  <c r="Y212" i="8" s="1"/>
  <c r="Z456" i="2"/>
  <c r="Y60" i="12"/>
  <c r="Y163" i="8"/>
  <c r="Y164" i="8" s="1"/>
  <c r="W66" i="12"/>
  <c r="W1470" i="8" s="1"/>
  <c r="W1487" i="8"/>
  <c r="Y55" i="2"/>
  <c r="X11" i="8"/>
  <c r="X12" i="8" s="1"/>
  <c r="X7" i="12"/>
  <c r="Z59" i="2"/>
  <c r="Y11" i="12"/>
  <c r="Y27" i="8"/>
  <c r="Y28" i="8" s="1"/>
  <c r="Y633" i="2"/>
  <c r="X259" i="8"/>
  <c r="X260" i="8" s="1"/>
  <c r="X93" i="12"/>
  <c r="X642" i="2"/>
  <c r="X1533" i="8" s="1"/>
  <c r="V1469" i="8"/>
  <c r="V1485" i="8"/>
  <c r="V1486" i="8" s="1"/>
  <c r="Y235" i="2"/>
  <c r="X43" i="12"/>
  <c r="X119" i="8"/>
  <c r="X120" i="8" s="1"/>
  <c r="AE250" i="2"/>
  <c r="Y242" i="2"/>
  <c r="X50" i="12"/>
  <c r="X147" i="8"/>
  <c r="X148" i="8" s="1"/>
  <c r="Y453" i="2"/>
  <c r="X57" i="12"/>
  <c r="X151" i="8"/>
  <c r="X152" i="8" s="1"/>
  <c r="X462" i="2"/>
  <c r="X1530" i="8" s="1"/>
  <c r="Y54" i="2"/>
  <c r="X6" i="12"/>
  <c r="X7" i="8"/>
  <c r="X8" i="8" s="1"/>
  <c r="X63" i="2"/>
  <c r="X1522" i="8" s="1"/>
  <c r="Z178" i="2"/>
  <c r="Y34" i="12"/>
  <c r="Y95" i="8"/>
  <c r="Y96" i="8" s="1"/>
  <c r="W1468" i="8"/>
  <c r="W1482" i="8"/>
  <c r="W1483" i="8" s="1"/>
  <c r="Y58" i="2"/>
  <c r="X10" i="12"/>
  <c r="X23" i="8"/>
  <c r="X24" i="8" s="1"/>
  <c r="AE980" i="8"/>
  <c r="AE981" i="8" s="1"/>
  <c r="F981" i="8" s="1"/>
  <c r="Z62" i="2"/>
  <c r="Y14" i="12"/>
  <c r="Y39" i="8"/>
  <c r="Y40" i="8" s="1"/>
  <c r="Z61" i="2"/>
  <c r="Y13" i="12"/>
  <c r="Y35" i="8"/>
  <c r="Y36" i="8" s="1"/>
  <c r="AA122" i="2"/>
  <c r="Z26" i="12"/>
  <c r="Z75" i="8"/>
  <c r="Z76" i="8" s="1"/>
  <c r="Z577" i="2"/>
  <c r="Y85" i="12"/>
  <c r="Y239" i="8"/>
  <c r="Y240" i="8" s="1"/>
  <c r="X1536" i="8"/>
  <c r="X1528" i="8"/>
  <c r="Y454" i="2"/>
  <c r="X58" i="12"/>
  <c r="X155" i="8"/>
  <c r="X156" i="8" s="1"/>
  <c r="Z459" i="2"/>
  <c r="Y63" i="12"/>
  <c r="Y175" i="8"/>
  <c r="Y176" i="8" s="1"/>
  <c r="Y237" i="2"/>
  <c r="X45" i="12"/>
  <c r="X127" i="8"/>
  <c r="X128" i="8" s="1"/>
  <c r="Y241" i="2"/>
  <c r="X49" i="12"/>
  <c r="X143" i="8"/>
  <c r="X144" i="8" s="1"/>
  <c r="Y60" i="2"/>
  <c r="X12" i="12"/>
  <c r="X31" i="8"/>
  <c r="X32" i="8" s="1"/>
  <c r="Z634" i="2"/>
  <c r="Y94" i="12"/>
  <c r="Y263" i="8"/>
  <c r="Y264" i="8" s="1"/>
  <c r="AA580" i="2"/>
  <c r="Z88" i="12"/>
  <c r="Z251" i="8"/>
  <c r="Z252" i="8" s="1"/>
  <c r="Z521" i="2"/>
  <c r="Y77" i="12"/>
  <c r="Y219" i="8"/>
  <c r="Y220" i="8" s="1"/>
  <c r="Z576" i="2"/>
  <c r="Y84" i="12"/>
  <c r="Y235" i="8"/>
  <c r="Y236" i="8" s="1"/>
  <c r="X1535" i="8"/>
  <c r="X1527" i="8"/>
  <c r="Z641" i="2"/>
  <c r="Y101" i="12"/>
  <c r="Y291" i="8"/>
  <c r="Y292" i="8" s="1"/>
  <c r="Z239" i="2"/>
  <c r="Y47" i="12"/>
  <c r="Y135" i="8"/>
  <c r="Y136" i="8" s="1"/>
  <c r="Z457" i="2"/>
  <c r="Y61" i="12"/>
  <c r="Y167" i="8"/>
  <c r="Y168" i="8" s="1"/>
  <c r="AA175" i="2"/>
  <c r="Z31" i="12"/>
  <c r="Z83" i="8"/>
  <c r="Z84" i="8" s="1"/>
  <c r="Z517" i="2"/>
  <c r="Y203" i="8"/>
  <c r="Y204" i="8" s="1"/>
  <c r="Y73" i="12"/>
  <c r="W1490" i="8"/>
  <c r="W102" i="12"/>
  <c r="W1473" i="8" s="1"/>
  <c r="X78" i="12"/>
  <c r="X1471" i="8" s="1"/>
  <c r="X1488" i="8"/>
  <c r="Z118" i="2"/>
  <c r="Y22" i="12"/>
  <c r="Y59" i="8"/>
  <c r="Y60" i="8" s="1"/>
  <c r="X90" i="12"/>
  <c r="X1472" i="8" s="1"/>
  <c r="X1489" i="8"/>
  <c r="W1466" i="8"/>
  <c r="W1476" i="8"/>
  <c r="W1477" i="8" s="1"/>
  <c r="Z581" i="2"/>
  <c r="Y255" i="8"/>
  <c r="Y256" i="8" s="1"/>
  <c r="Y89" i="12"/>
  <c r="AA121" i="2"/>
  <c r="Z25" i="12"/>
  <c r="Z71" i="8"/>
  <c r="Z72" i="8" s="1"/>
  <c r="Z181" i="2"/>
  <c r="Y37" i="12"/>
  <c r="Y107" i="8"/>
  <c r="Y108" i="8" s="1"/>
  <c r="AA116" i="2"/>
  <c r="Z20" i="12"/>
  <c r="Z51" i="8"/>
  <c r="Z52" i="8" s="1"/>
  <c r="Y236" i="2"/>
  <c r="X44" i="12"/>
  <c r="X123" i="8"/>
  <c r="X124" i="8" s="1"/>
  <c r="Z57" i="2"/>
  <c r="Y9" i="12"/>
  <c r="Y19" i="8"/>
  <c r="Y20" i="8" s="1"/>
  <c r="W1537" i="8"/>
  <c r="W1529" i="8"/>
  <c r="Z635" i="2"/>
  <c r="Y95" i="12"/>
  <c r="Y267" i="8"/>
  <c r="Y268" i="8" s="1"/>
  <c r="Z513" i="2"/>
  <c r="Y69" i="12"/>
  <c r="Y522" i="2"/>
  <c r="Y1531" i="8" s="1"/>
  <c r="Y187" i="8"/>
  <c r="Y188" i="8" s="1"/>
  <c r="Z573" i="2"/>
  <c r="Y81" i="12"/>
  <c r="Y582" i="2"/>
  <c r="Y1532" i="8" s="1"/>
  <c r="Y223" i="8"/>
  <c r="Y224" i="8" s="1"/>
  <c r="AA182" i="2"/>
  <c r="Z38" i="12"/>
  <c r="Z111" i="8"/>
  <c r="Z112" i="8" s="1"/>
  <c r="AE1435" i="8"/>
  <c r="F1435" i="8" s="1"/>
  <c r="F1432" i="8"/>
  <c r="AE1376" i="8"/>
  <c r="AE1377" i="8" s="1"/>
  <c r="F1377" i="8" s="1"/>
  <c r="F1431" i="8"/>
  <c r="AE1436" i="8"/>
  <c r="F1436" i="8" s="1"/>
  <c r="AD1437" i="8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D584" i="8" l="1"/>
  <c r="D585" i="8"/>
  <c r="X15" i="12"/>
  <c r="X1476" i="8" s="1"/>
  <c r="X1477" i="8" s="1"/>
  <c r="AB182" i="2"/>
  <c r="AA38" i="12"/>
  <c r="AA111" i="8"/>
  <c r="AA112" i="8" s="1"/>
  <c r="Z54" i="2"/>
  <c r="Y6" i="12"/>
  <c r="Y7" i="8"/>
  <c r="Y8" i="8" s="1"/>
  <c r="Y63" i="2"/>
  <c r="Y1522" i="8" s="1"/>
  <c r="AA117" i="2"/>
  <c r="Z55" i="8"/>
  <c r="Z56" i="8" s="1"/>
  <c r="Z21" i="12"/>
  <c r="AE1539" i="8"/>
  <c r="F1539" i="8" s="1"/>
  <c r="AE1517" i="8"/>
  <c r="F1517" i="8" s="1"/>
  <c r="AA459" i="2"/>
  <c r="Z63" i="12"/>
  <c r="Z175" i="8"/>
  <c r="Z176" i="8" s="1"/>
  <c r="Y27" i="12"/>
  <c r="AA641" i="2"/>
  <c r="Z291" i="8"/>
  <c r="Z292" i="8" s="1"/>
  <c r="Z101" i="12"/>
  <c r="X1537" i="8"/>
  <c r="X1529" i="8"/>
  <c r="AA57" i="2"/>
  <c r="Z9" i="12"/>
  <c r="Z19" i="8"/>
  <c r="Z20" i="8" s="1"/>
  <c r="Z454" i="2"/>
  <c r="Y58" i="12"/>
  <c r="Y155" i="8"/>
  <c r="Y156" i="8" s="1"/>
  <c r="AA62" i="2"/>
  <c r="Z14" i="12"/>
  <c r="Z39" i="8"/>
  <c r="Z40" i="8" s="1"/>
  <c r="X1534" i="8"/>
  <c r="X1526" i="8"/>
  <c r="X1490" i="8"/>
  <c r="X102" i="12"/>
  <c r="X1473" i="8" s="1"/>
  <c r="Y1489" i="8"/>
  <c r="Y90" i="12"/>
  <c r="Y1472" i="8" s="1"/>
  <c r="AA581" i="2"/>
  <c r="Z89" i="12"/>
  <c r="Z255" i="8"/>
  <c r="Z256" i="8" s="1"/>
  <c r="AA517" i="2"/>
  <c r="Z73" i="12"/>
  <c r="Z203" i="8"/>
  <c r="Z204" i="8" s="1"/>
  <c r="Z637" i="2"/>
  <c r="Y97" i="12"/>
  <c r="Y275" i="8"/>
  <c r="Y276" i="8" s="1"/>
  <c r="AA176" i="2"/>
  <c r="Z32" i="12"/>
  <c r="Z87" i="8"/>
  <c r="Z88" i="8" s="1"/>
  <c r="AA516" i="2"/>
  <c r="Z72" i="12"/>
  <c r="Z199" i="8"/>
  <c r="Z200" i="8" s="1"/>
  <c r="AB179" i="2"/>
  <c r="AA35" i="12"/>
  <c r="AA99" i="8"/>
  <c r="AA100" i="8" s="1"/>
  <c r="AA114" i="2"/>
  <c r="Z18" i="12"/>
  <c r="Z123" i="2"/>
  <c r="Z1523" i="8" s="1"/>
  <c r="Z43" i="8"/>
  <c r="Z44" i="8" s="1"/>
  <c r="AA634" i="2"/>
  <c r="Z94" i="12"/>
  <c r="Z263" i="8"/>
  <c r="Z264" i="8" s="1"/>
  <c r="AA456" i="2"/>
  <c r="Z60" i="12"/>
  <c r="Z163" i="8"/>
  <c r="Z164" i="8" s="1"/>
  <c r="Y1536" i="8"/>
  <c r="Y1528" i="8"/>
  <c r="AB515" i="2"/>
  <c r="AA195" i="8"/>
  <c r="AA196" i="8" s="1"/>
  <c r="AA71" i="12"/>
  <c r="X1468" i="8"/>
  <c r="X1482" i="8"/>
  <c r="X1483" i="8" s="1"/>
  <c r="AA573" i="2"/>
  <c r="Z81" i="12"/>
  <c r="Z582" i="2"/>
  <c r="Z1532" i="8" s="1"/>
  <c r="Z223" i="8"/>
  <c r="Z224" i="8" s="1"/>
  <c r="Z60" i="2"/>
  <c r="Y12" i="12"/>
  <c r="Y31" i="8"/>
  <c r="Y32" i="8" s="1"/>
  <c r="X66" i="12"/>
  <c r="X1470" i="8" s="1"/>
  <c r="X1487" i="8"/>
  <c r="Z633" i="2"/>
  <c r="Y642" i="2"/>
  <c r="Y1533" i="8" s="1"/>
  <c r="Y93" i="12"/>
  <c r="Y259" i="8"/>
  <c r="Y260" i="8" s="1"/>
  <c r="AA519" i="2"/>
  <c r="Z75" i="12"/>
  <c r="Z211" i="8"/>
  <c r="Z212" i="8" s="1"/>
  <c r="W1469" i="8"/>
  <c r="W1485" i="8"/>
  <c r="W1486" i="8" s="1"/>
  <c r="AA61" i="2"/>
  <c r="Z13" i="12"/>
  <c r="Z35" i="8"/>
  <c r="Z36" i="8" s="1"/>
  <c r="Z236" i="2"/>
  <c r="Y44" i="12"/>
  <c r="Y123" i="8"/>
  <c r="Y124" i="8" s="1"/>
  <c r="Z453" i="2"/>
  <c r="Y57" i="12"/>
  <c r="Y151" i="8"/>
  <c r="Y152" i="8" s="1"/>
  <c r="Y462" i="2"/>
  <c r="Y1530" i="8" s="1"/>
  <c r="AA458" i="2"/>
  <c r="Z62" i="12"/>
  <c r="Z171" i="8"/>
  <c r="Z172" i="8" s="1"/>
  <c r="AA115" i="2"/>
  <c r="Z19" i="12"/>
  <c r="Z47" i="8"/>
  <c r="Z48" i="8" s="1"/>
  <c r="AA177" i="2"/>
  <c r="Z33" i="12"/>
  <c r="Z91" i="8"/>
  <c r="Z92" i="8" s="1"/>
  <c r="AA518" i="2"/>
  <c r="Z74" i="12"/>
  <c r="Z207" i="8"/>
  <c r="Z208" i="8" s="1"/>
  <c r="AB180" i="2"/>
  <c r="AA36" i="12"/>
  <c r="AA103" i="8"/>
  <c r="AA104" i="8" s="1"/>
  <c r="AA576" i="2"/>
  <c r="Z84" i="12"/>
  <c r="Z235" i="8"/>
  <c r="Z236" i="8" s="1"/>
  <c r="Y78" i="12"/>
  <c r="Y1471" i="8" s="1"/>
  <c r="Y1488" i="8"/>
  <c r="Z241" i="2"/>
  <c r="Y49" i="12"/>
  <c r="Y143" i="8"/>
  <c r="Y144" i="8" s="1"/>
  <c r="AA577" i="2"/>
  <c r="Z239" i="8"/>
  <c r="Z240" i="8" s="1"/>
  <c r="Z85" i="12"/>
  <c r="AA59" i="2"/>
  <c r="Z11" i="12"/>
  <c r="Z27" i="8"/>
  <c r="Z28" i="8" s="1"/>
  <c r="AA640" i="2"/>
  <c r="Z100" i="12"/>
  <c r="Z287" i="8"/>
  <c r="Z288" i="8" s="1"/>
  <c r="AA639" i="2"/>
  <c r="Z283" i="8"/>
  <c r="Z284" i="8" s="1"/>
  <c r="Z99" i="12"/>
  <c r="AA56" i="2"/>
  <c r="Z8" i="12"/>
  <c r="Z15" i="8"/>
  <c r="Z16" i="8" s="1"/>
  <c r="Y1535" i="8"/>
  <c r="Y1527" i="8"/>
  <c r="AA513" i="2"/>
  <c r="Z69" i="12"/>
  <c r="Z522" i="2"/>
  <c r="Z1531" i="8" s="1"/>
  <c r="Z187" i="8"/>
  <c r="Z188" i="8" s="1"/>
  <c r="AB116" i="2"/>
  <c r="AA20" i="12"/>
  <c r="AA51" i="8"/>
  <c r="AA52" i="8" s="1"/>
  <c r="Z242" i="2"/>
  <c r="Y50" i="12"/>
  <c r="Y147" i="8"/>
  <c r="Y148" i="8" s="1"/>
  <c r="Y39" i="12"/>
  <c r="AA520" i="2"/>
  <c r="Z215" i="8"/>
  <c r="Z216" i="8" s="1"/>
  <c r="Z76" i="12"/>
  <c r="X1467" i="8"/>
  <c r="X1479" i="8"/>
  <c r="X1480" i="8" s="1"/>
  <c r="AA638" i="2"/>
  <c r="Z98" i="12"/>
  <c r="Z279" i="8"/>
  <c r="Z280" i="8" s="1"/>
  <c r="AA238" i="2"/>
  <c r="Z46" i="12"/>
  <c r="Z131" i="8"/>
  <c r="Z132" i="8" s="1"/>
  <c r="AA457" i="2"/>
  <c r="Z61" i="12"/>
  <c r="Z167" i="8"/>
  <c r="Z168" i="8" s="1"/>
  <c r="AA521" i="2"/>
  <c r="Z77" i="12"/>
  <c r="Z219" i="8"/>
  <c r="Z220" i="8" s="1"/>
  <c r="AA174" i="2"/>
  <c r="Z30" i="12"/>
  <c r="Z79" i="8"/>
  <c r="Z80" i="8" s="1"/>
  <c r="Z183" i="2"/>
  <c r="Z1524" i="8" s="1"/>
  <c r="X51" i="12"/>
  <c r="AA579" i="2"/>
  <c r="Z87" i="12"/>
  <c r="Z247" i="8"/>
  <c r="Z248" i="8" s="1"/>
  <c r="AA514" i="2"/>
  <c r="Z70" i="12"/>
  <c r="Z191" i="8"/>
  <c r="Z192" i="8" s="1"/>
  <c r="AB121" i="2"/>
  <c r="AA25" i="12"/>
  <c r="AA71" i="8"/>
  <c r="AA72" i="8" s="1"/>
  <c r="AB175" i="2"/>
  <c r="AA31" i="12"/>
  <c r="AA83" i="8"/>
  <c r="AA84" i="8" s="1"/>
  <c r="AB575" i="2"/>
  <c r="AA83" i="12"/>
  <c r="AA231" i="8"/>
  <c r="AA232" i="8" s="1"/>
  <c r="AA118" i="2"/>
  <c r="Z22" i="12"/>
  <c r="Z59" i="8"/>
  <c r="Z60" i="8" s="1"/>
  <c r="Z237" i="2"/>
  <c r="Y45" i="12"/>
  <c r="Y127" i="8"/>
  <c r="Y128" i="8" s="1"/>
  <c r="AB122" i="2"/>
  <c r="AA26" i="12"/>
  <c r="AA75" i="8"/>
  <c r="AA76" i="8" s="1"/>
  <c r="Z55" i="2"/>
  <c r="Y7" i="12"/>
  <c r="Y11" i="8"/>
  <c r="Y12" i="8" s="1"/>
  <c r="AB119" i="2"/>
  <c r="AA23" i="12"/>
  <c r="AA63" i="8"/>
  <c r="AA64" i="8" s="1"/>
  <c r="Z234" i="2"/>
  <c r="Y42" i="12"/>
  <c r="Y243" i="2"/>
  <c r="Y1525" i="8" s="1"/>
  <c r="Y115" i="8"/>
  <c r="Y116" i="8" s="1"/>
  <c r="AA120" i="2"/>
  <c r="Z24" i="12"/>
  <c r="Z67" i="8"/>
  <c r="Z68" i="8" s="1"/>
  <c r="Z58" i="2"/>
  <c r="Y10" i="12"/>
  <c r="Y23" i="8"/>
  <c r="Y24" i="8" s="1"/>
  <c r="AA240" i="2"/>
  <c r="Z48" i="12"/>
  <c r="Z139" i="8"/>
  <c r="Z140" i="8" s="1"/>
  <c r="AA635" i="2"/>
  <c r="Z267" i="8"/>
  <c r="Z268" i="8" s="1"/>
  <c r="Z95" i="12"/>
  <c r="AA181" i="2"/>
  <c r="Z37" i="12"/>
  <c r="Z107" i="8"/>
  <c r="Z108" i="8" s="1"/>
  <c r="AA178" i="2"/>
  <c r="Z34" i="12"/>
  <c r="Z95" i="8"/>
  <c r="Z96" i="8" s="1"/>
  <c r="AB578" i="2"/>
  <c r="AA243" i="8"/>
  <c r="AA244" i="8" s="1"/>
  <c r="AA86" i="12"/>
  <c r="Z636" i="2"/>
  <c r="Y96" i="12"/>
  <c r="Y271" i="8"/>
  <c r="Y272" i="8" s="1"/>
  <c r="Z455" i="2"/>
  <c r="Y159" i="8"/>
  <c r="Y160" i="8" s="1"/>
  <c r="Y59" i="12"/>
  <c r="AA239" i="2"/>
  <c r="Z47" i="12"/>
  <c r="Z135" i="8"/>
  <c r="Z136" i="8" s="1"/>
  <c r="AB580" i="2"/>
  <c r="AA251" i="8"/>
  <c r="AA252" i="8" s="1"/>
  <c r="AA88" i="12"/>
  <c r="Z235" i="2"/>
  <c r="Y43" i="12"/>
  <c r="Y119" i="8"/>
  <c r="Y120" i="8" s="1"/>
  <c r="Z461" i="2"/>
  <c r="Y183" i="8"/>
  <c r="Y184" i="8" s="1"/>
  <c r="Y65" i="12"/>
  <c r="AA460" i="2"/>
  <c r="Z64" i="12"/>
  <c r="Z179" i="8"/>
  <c r="Z180" i="8" s="1"/>
  <c r="AA574" i="2"/>
  <c r="Z82" i="12"/>
  <c r="Z227" i="8"/>
  <c r="Z228" i="8" s="1"/>
  <c r="AE1437" i="8"/>
  <c r="F1437" i="8" s="1"/>
  <c r="AE1448" i="8"/>
  <c r="F1448" i="8" s="1"/>
  <c r="AE1433" i="8"/>
  <c r="F1433" i="8" s="1"/>
  <c r="AE1445" i="8"/>
  <c r="F1445" i="8" s="1"/>
  <c r="X1466" i="8" l="1"/>
  <c r="AB521" i="2"/>
  <c r="AA77" i="12"/>
  <c r="AA219" i="8"/>
  <c r="AA220" i="8" s="1"/>
  <c r="AA454" i="2"/>
  <c r="Z58" i="12"/>
  <c r="Z155" i="8"/>
  <c r="Z156" i="8" s="1"/>
  <c r="AB56" i="2"/>
  <c r="AA8" i="12"/>
  <c r="AA15" i="8"/>
  <c r="AA16" i="8" s="1"/>
  <c r="AB460" i="2"/>
  <c r="AA179" i="8"/>
  <c r="AA180" i="8" s="1"/>
  <c r="AA64" i="12"/>
  <c r="AB514" i="2"/>
  <c r="AA70" i="12"/>
  <c r="AA191" i="8"/>
  <c r="AA192" i="8" s="1"/>
  <c r="AA241" i="2"/>
  <c r="Z49" i="12"/>
  <c r="Z143" i="8"/>
  <c r="Z144" i="8" s="1"/>
  <c r="AB177" i="2"/>
  <c r="AA33" i="12"/>
  <c r="AA91" i="8"/>
  <c r="AA92" i="8" s="1"/>
  <c r="AB57" i="2"/>
  <c r="AA9" i="12"/>
  <c r="AA19" i="8"/>
  <c r="AA20" i="8" s="1"/>
  <c r="Z27" i="12"/>
  <c r="AA455" i="2"/>
  <c r="Z59" i="12"/>
  <c r="Z159" i="8"/>
  <c r="Z160" i="8" s="1"/>
  <c r="AA234" i="2"/>
  <c r="Z42" i="12"/>
  <c r="Z243" i="2"/>
  <c r="Z1525" i="8" s="1"/>
  <c r="Z115" i="8"/>
  <c r="Z116" i="8" s="1"/>
  <c r="AA242" i="2"/>
  <c r="Z50" i="12"/>
  <c r="Z147" i="8"/>
  <c r="Z148" i="8" s="1"/>
  <c r="AB516" i="2"/>
  <c r="AA72" i="12"/>
  <c r="AA199" i="8"/>
  <c r="AA200" i="8" s="1"/>
  <c r="AB120" i="2"/>
  <c r="AA24" i="12"/>
  <c r="AA67" i="8"/>
  <c r="AA68" i="8" s="1"/>
  <c r="AA633" i="2"/>
  <c r="Z259" i="8"/>
  <c r="Z260" i="8" s="1"/>
  <c r="Z642" i="2"/>
  <c r="Z1533" i="8" s="1"/>
  <c r="Z93" i="12"/>
  <c r="AB459" i="2"/>
  <c r="AA63" i="12"/>
  <c r="AA175" i="8"/>
  <c r="AA176" i="8" s="1"/>
  <c r="AC179" i="2"/>
  <c r="AB35" i="12"/>
  <c r="AB99" i="8"/>
  <c r="AB100" i="8" s="1"/>
  <c r="Y51" i="12"/>
  <c r="AB457" i="2"/>
  <c r="AA167" i="8"/>
  <c r="AA168" i="8" s="1"/>
  <c r="AA61" i="12"/>
  <c r="AB635" i="2"/>
  <c r="AA95" i="12"/>
  <c r="AA267" i="8"/>
  <c r="AA268" i="8" s="1"/>
  <c r="AB118" i="2"/>
  <c r="AA22" i="12"/>
  <c r="AA59" i="8"/>
  <c r="AA60" i="8" s="1"/>
  <c r="AB639" i="2"/>
  <c r="AA283" i="8"/>
  <c r="AA284" i="8" s="1"/>
  <c r="AA99" i="12"/>
  <c r="AB61" i="2"/>
  <c r="AA13" i="12"/>
  <c r="AA35" i="8"/>
  <c r="AA36" i="8" s="1"/>
  <c r="AA60" i="2"/>
  <c r="Z12" i="12"/>
  <c r="Z31" i="8"/>
  <c r="Z32" i="8" s="1"/>
  <c r="AB456" i="2"/>
  <c r="AA60" i="12"/>
  <c r="AA163" i="8"/>
  <c r="AA164" i="8" s="1"/>
  <c r="AB117" i="2"/>
  <c r="AA21" i="12"/>
  <c r="AA55" i="8"/>
  <c r="AA56" i="8" s="1"/>
  <c r="AB178" i="2"/>
  <c r="AA34" i="12"/>
  <c r="AA95" i="8"/>
  <c r="AA96" i="8" s="1"/>
  <c r="AA453" i="2"/>
  <c r="Z151" i="8"/>
  <c r="Z152" i="8" s="1"/>
  <c r="Z57" i="12"/>
  <c r="Z462" i="2"/>
  <c r="Z1530" i="8" s="1"/>
  <c r="AB577" i="2"/>
  <c r="AA85" i="12"/>
  <c r="AA239" i="8"/>
  <c r="AA240" i="8" s="1"/>
  <c r="AA237" i="2"/>
  <c r="Z45" i="12"/>
  <c r="Z127" i="8"/>
  <c r="Z128" i="8" s="1"/>
  <c r="AA461" i="2"/>
  <c r="Z65" i="12"/>
  <c r="Z183" i="8"/>
  <c r="Z184" i="8" s="1"/>
  <c r="AB579" i="2"/>
  <c r="AA87" i="12"/>
  <c r="AA247" i="8"/>
  <c r="AA248" i="8" s="1"/>
  <c r="AB238" i="2"/>
  <c r="AA46" i="12"/>
  <c r="AA131" i="8"/>
  <c r="AA132" i="8" s="1"/>
  <c r="AB115" i="2"/>
  <c r="AA19" i="12"/>
  <c r="AA47" i="8"/>
  <c r="AA48" i="8" s="1"/>
  <c r="AC580" i="2"/>
  <c r="AB88" i="12"/>
  <c r="AB251" i="8"/>
  <c r="AB252" i="8" s="1"/>
  <c r="Y1537" i="8"/>
  <c r="Y1529" i="8"/>
  <c r="AB518" i="2"/>
  <c r="AA74" i="12"/>
  <c r="AA207" i="8"/>
  <c r="AA208" i="8" s="1"/>
  <c r="AA236" i="2"/>
  <c r="Z44" i="12"/>
  <c r="Z123" i="8"/>
  <c r="Z124" i="8" s="1"/>
  <c r="AC119" i="2"/>
  <c r="AB23" i="12"/>
  <c r="AB63" i="8"/>
  <c r="AB64" i="8" s="1"/>
  <c r="X1469" i="8"/>
  <c r="X1485" i="8"/>
  <c r="X1486" i="8" s="1"/>
  <c r="AC116" i="2"/>
  <c r="AB20" i="12"/>
  <c r="AB51" i="8"/>
  <c r="AB52" i="8" s="1"/>
  <c r="Z1536" i="8"/>
  <c r="Z1528" i="8"/>
  <c r="AB176" i="2"/>
  <c r="AA32" i="12"/>
  <c r="AA87" i="8"/>
  <c r="AA88" i="8" s="1"/>
  <c r="AB574" i="2"/>
  <c r="AA82" i="12"/>
  <c r="AA227" i="8"/>
  <c r="AA228" i="8" s="1"/>
  <c r="AC515" i="2"/>
  <c r="AB71" i="12"/>
  <c r="AB195" i="8"/>
  <c r="AB196" i="8" s="1"/>
  <c r="AB239" i="2"/>
  <c r="AA47" i="12"/>
  <c r="AA135" i="8"/>
  <c r="AA136" i="8" s="1"/>
  <c r="AA636" i="2"/>
  <c r="Z96" i="12"/>
  <c r="Z271" i="8"/>
  <c r="Z272" i="8" s="1"/>
  <c r="AB240" i="2"/>
  <c r="AA48" i="12"/>
  <c r="AA139" i="8"/>
  <c r="AA140" i="8" s="1"/>
  <c r="AC575" i="2"/>
  <c r="AB231" i="8"/>
  <c r="AB232" i="8" s="1"/>
  <c r="AB83" i="12"/>
  <c r="AB640" i="2"/>
  <c r="AA100" i="12"/>
  <c r="AA287" i="8"/>
  <c r="AA288" i="8" s="1"/>
  <c r="AB576" i="2"/>
  <c r="AA84" i="12"/>
  <c r="AA235" i="8"/>
  <c r="AA236" i="8" s="1"/>
  <c r="Z1489" i="8"/>
  <c r="Z90" i="12"/>
  <c r="Z1472" i="8" s="1"/>
  <c r="AB634" i="2"/>
  <c r="AA94" i="12"/>
  <c r="AA263" i="8"/>
  <c r="AA264" i="8" s="1"/>
  <c r="AB641" i="2"/>
  <c r="AA291" i="8"/>
  <c r="AA292" i="8" s="1"/>
  <c r="AA101" i="12"/>
  <c r="AB181" i="2"/>
  <c r="AA37" i="12"/>
  <c r="AA107" i="8"/>
  <c r="AA108" i="8" s="1"/>
  <c r="AB638" i="2"/>
  <c r="AA98" i="12"/>
  <c r="AA279" i="8"/>
  <c r="AA280" i="8" s="1"/>
  <c r="Z1535" i="8"/>
  <c r="Z1527" i="8"/>
  <c r="AB458" i="2"/>
  <c r="AA62" i="12"/>
  <c r="AA171" i="8"/>
  <c r="AA172" i="8" s="1"/>
  <c r="AB573" i="2"/>
  <c r="AA81" i="12"/>
  <c r="AA582" i="2"/>
  <c r="AA1532" i="8" s="1"/>
  <c r="AA223" i="8"/>
  <c r="AA224" i="8" s="1"/>
  <c r="Y1467" i="8"/>
  <c r="Y1479" i="8"/>
  <c r="Y1480" i="8" s="1"/>
  <c r="AA54" i="2"/>
  <c r="Z6" i="12"/>
  <c r="Z7" i="8"/>
  <c r="Z8" i="8" s="1"/>
  <c r="Z63" i="2"/>
  <c r="Z1522" i="8" s="1"/>
  <c r="AC121" i="2"/>
  <c r="AB25" i="12"/>
  <c r="AB71" i="8"/>
  <c r="AB72" i="8" s="1"/>
  <c r="AA235" i="2"/>
  <c r="Z43" i="12"/>
  <c r="Z119" i="8"/>
  <c r="Z120" i="8" s="1"/>
  <c r="AC578" i="2"/>
  <c r="AB243" i="8"/>
  <c r="AB244" i="8" s="1"/>
  <c r="AB86" i="12"/>
  <c r="Y15" i="12"/>
  <c r="AA55" i="2"/>
  <c r="Z7" i="12"/>
  <c r="Z11" i="8"/>
  <c r="Z12" i="8" s="1"/>
  <c r="Z39" i="12"/>
  <c r="Z78" i="12"/>
  <c r="Z1471" i="8" s="1"/>
  <c r="Z1488" i="8"/>
  <c r="Y1534" i="8"/>
  <c r="Y1526" i="8"/>
  <c r="AB519" i="2"/>
  <c r="AA75" i="12"/>
  <c r="AA211" i="8"/>
  <c r="AA212" i="8" s="1"/>
  <c r="AA637" i="2"/>
  <c r="Z97" i="12"/>
  <c r="Z275" i="8"/>
  <c r="Z276" i="8" s="1"/>
  <c r="AC122" i="2"/>
  <c r="AB26" i="12"/>
  <c r="AB75" i="8"/>
  <c r="AB76" i="8" s="1"/>
  <c r="AB517" i="2"/>
  <c r="AA73" i="12"/>
  <c r="AA203" i="8"/>
  <c r="AA204" i="8" s="1"/>
  <c r="AB520" i="2"/>
  <c r="AA76" i="12"/>
  <c r="AA215" i="8"/>
  <c r="AA216" i="8" s="1"/>
  <c r="Y1468" i="8"/>
  <c r="Y1482" i="8"/>
  <c r="Y1483" i="8" s="1"/>
  <c r="AB581" i="2"/>
  <c r="AA255" i="8"/>
  <c r="AA256" i="8" s="1"/>
  <c r="AA89" i="12"/>
  <c r="AA58" i="2"/>
  <c r="Z10" i="12"/>
  <c r="Z23" i="8"/>
  <c r="Z24" i="8" s="1"/>
  <c r="AC175" i="2"/>
  <c r="AB31" i="12"/>
  <c r="AB83" i="8"/>
  <c r="AB84" i="8" s="1"/>
  <c r="AB174" i="2"/>
  <c r="AA30" i="12"/>
  <c r="AA79" i="8"/>
  <c r="AA80" i="8" s="1"/>
  <c r="AA183" i="2"/>
  <c r="AA1524" i="8" s="1"/>
  <c r="AB513" i="2"/>
  <c r="AA69" i="12"/>
  <c r="AA187" i="8"/>
  <c r="AA188" i="8" s="1"/>
  <c r="AA522" i="2"/>
  <c r="AA1531" i="8" s="1"/>
  <c r="AB59" i="2"/>
  <c r="AA11" i="12"/>
  <c r="AA27" i="8"/>
  <c r="AA28" i="8" s="1"/>
  <c r="AC180" i="2"/>
  <c r="AB36" i="12"/>
  <c r="AB103" i="8"/>
  <c r="AB104" i="8" s="1"/>
  <c r="AB62" i="2"/>
  <c r="AA14" i="12"/>
  <c r="AA39" i="8"/>
  <c r="AA40" i="8" s="1"/>
  <c r="Y66" i="12"/>
  <c r="Y1470" i="8" s="1"/>
  <c r="Y1487" i="8"/>
  <c r="Y1490" i="8"/>
  <c r="Y102" i="12"/>
  <c r="Y1473" i="8" s="1"/>
  <c r="AB114" i="2"/>
  <c r="AA18" i="12"/>
  <c r="AA123" i="2"/>
  <c r="AA1523" i="8" s="1"/>
  <c r="AA43" i="8"/>
  <c r="AA44" i="8" s="1"/>
  <c r="AC182" i="2"/>
  <c r="AB38" i="12"/>
  <c r="AB111" i="8"/>
  <c r="AB112" i="8" s="1"/>
  <c r="D1429" i="8"/>
  <c r="D1443" i="8"/>
  <c r="AA39" i="12" l="1"/>
  <c r="AC573" i="2"/>
  <c r="AB81" i="12"/>
  <c r="AB223" i="8"/>
  <c r="AB224" i="8" s="1"/>
  <c r="AB582" i="2"/>
  <c r="AB1532" i="8" s="1"/>
  <c r="AD119" i="2"/>
  <c r="AC23" i="12"/>
  <c r="AC63" i="8"/>
  <c r="AC64" i="8" s="1"/>
  <c r="AB235" i="2"/>
  <c r="AA43" i="12"/>
  <c r="AA119" i="8"/>
  <c r="AA120" i="8" s="1"/>
  <c r="Z1534" i="8"/>
  <c r="Z1526" i="8"/>
  <c r="AC634" i="2"/>
  <c r="AB94" i="12"/>
  <c r="AB263" i="8"/>
  <c r="AB264" i="8" s="1"/>
  <c r="AB236" i="2"/>
  <c r="AA44" i="12"/>
  <c r="AA123" i="8"/>
  <c r="AA124" i="8" s="1"/>
  <c r="AC238" i="2"/>
  <c r="AB46" i="12"/>
  <c r="AB131" i="8"/>
  <c r="AB132" i="8" s="1"/>
  <c r="Z1487" i="8"/>
  <c r="Z66" i="12"/>
  <c r="Z1470" i="8" s="1"/>
  <c r="AB60" i="2"/>
  <c r="AA12" i="12"/>
  <c r="AA31" i="8"/>
  <c r="AA32" i="8" s="1"/>
  <c r="AB455" i="2"/>
  <c r="AA159" i="8"/>
  <c r="AA160" i="8" s="1"/>
  <c r="AA59" i="12"/>
  <c r="AC514" i="2"/>
  <c r="AB191" i="8"/>
  <c r="AB192" i="8" s="1"/>
  <c r="AB70" i="12"/>
  <c r="AC458" i="2"/>
  <c r="AB171" i="8"/>
  <c r="AB172" i="8" s="1"/>
  <c r="AB62" i="12"/>
  <c r="AC240" i="2"/>
  <c r="AB48" i="12"/>
  <c r="AB139" i="8"/>
  <c r="AB140" i="8" s="1"/>
  <c r="AD121" i="2"/>
  <c r="AC25" i="12"/>
  <c r="AC71" i="8"/>
  <c r="AC72" i="8" s="1"/>
  <c r="AC176" i="2"/>
  <c r="AB32" i="12"/>
  <c r="AB87" i="8"/>
  <c r="AB88" i="8" s="1"/>
  <c r="AC457" i="2"/>
  <c r="AB167" i="8"/>
  <c r="AB168" i="8" s="1"/>
  <c r="AB61" i="12"/>
  <c r="AC120" i="2"/>
  <c r="AB24" i="12"/>
  <c r="AB67" i="8"/>
  <c r="AB68" i="8" s="1"/>
  <c r="Z1467" i="8"/>
  <c r="Z1479" i="8"/>
  <c r="Z1480" i="8" s="1"/>
  <c r="AD182" i="2"/>
  <c r="AC38" i="12"/>
  <c r="AC111" i="8"/>
  <c r="AC112" i="8" s="1"/>
  <c r="AB453" i="2"/>
  <c r="AA151" i="8"/>
  <c r="AA152" i="8" s="1"/>
  <c r="AA57" i="12"/>
  <c r="AA462" i="2"/>
  <c r="AA1530" i="8" s="1"/>
  <c r="Y1485" i="8"/>
  <c r="Y1486" i="8" s="1"/>
  <c r="Y1469" i="8"/>
  <c r="AC460" i="2"/>
  <c r="AB179" i="8"/>
  <c r="AB180" i="8" s="1"/>
  <c r="AB64" i="12"/>
  <c r="AC641" i="2"/>
  <c r="AB101" i="12"/>
  <c r="AB291" i="8"/>
  <c r="AB292" i="8" s="1"/>
  <c r="AB636" i="2"/>
  <c r="AA271" i="8"/>
  <c r="AA272" i="8" s="1"/>
  <c r="AA96" i="12"/>
  <c r="AC518" i="2"/>
  <c r="AB74" i="12"/>
  <c r="AB207" i="8"/>
  <c r="AB208" i="8" s="1"/>
  <c r="AC579" i="2"/>
  <c r="AB87" i="12"/>
  <c r="AB247" i="8"/>
  <c r="AB248" i="8" s="1"/>
  <c r="AC61" i="2"/>
  <c r="AB13" i="12"/>
  <c r="AB35" i="8"/>
  <c r="AB36" i="8" s="1"/>
  <c r="AD575" i="2"/>
  <c r="AC83" i="12"/>
  <c r="AC231" i="8"/>
  <c r="AC232" i="8" s="1"/>
  <c r="AB633" i="2"/>
  <c r="AA93" i="12"/>
  <c r="AA259" i="8"/>
  <c r="AA260" i="8" s="1"/>
  <c r="AA642" i="2"/>
  <c r="AA1533" i="8" s="1"/>
  <c r="AD175" i="2"/>
  <c r="AC31" i="12"/>
  <c r="AC83" i="8"/>
  <c r="AC84" i="8" s="1"/>
  <c r="Z15" i="12"/>
  <c r="AC516" i="2"/>
  <c r="AB72" i="12"/>
  <c r="AB199" i="8"/>
  <c r="AB200" i="8" s="1"/>
  <c r="AC57" i="2"/>
  <c r="AB9" i="12"/>
  <c r="AB19" i="8"/>
  <c r="AB20" i="8" s="1"/>
  <c r="AC519" i="2"/>
  <c r="AB75" i="12"/>
  <c r="AB211" i="8"/>
  <c r="AB212" i="8" s="1"/>
  <c r="AB234" i="2"/>
  <c r="AA42" i="12"/>
  <c r="AA243" i="2"/>
  <c r="AA1525" i="8" s="1"/>
  <c r="AA115" i="8"/>
  <c r="AA116" i="8" s="1"/>
  <c r="AC174" i="2"/>
  <c r="AB30" i="12"/>
  <c r="AB79" i="8"/>
  <c r="AB80" i="8" s="1"/>
  <c r="AB183" i="2"/>
  <c r="AB1524" i="8" s="1"/>
  <c r="AC517" i="2"/>
  <c r="AB73" i="12"/>
  <c r="AB203" i="8"/>
  <c r="AB204" i="8" s="1"/>
  <c r="AC59" i="2"/>
  <c r="AB11" i="12"/>
  <c r="AB27" i="8"/>
  <c r="AB28" i="8" s="1"/>
  <c r="AB58" i="2"/>
  <c r="AA10" i="12"/>
  <c r="AA23" i="8"/>
  <c r="AA24" i="8" s="1"/>
  <c r="AD122" i="2"/>
  <c r="AC26" i="12"/>
  <c r="AC75" i="8"/>
  <c r="AC76" i="8" s="1"/>
  <c r="AB55" i="2"/>
  <c r="AA11" i="8"/>
  <c r="AA12" i="8" s="1"/>
  <c r="AA7" i="12"/>
  <c r="AB54" i="2"/>
  <c r="AA6" i="12"/>
  <c r="AA7" i="8"/>
  <c r="AA8" i="8" s="1"/>
  <c r="AA63" i="2"/>
  <c r="AA1522" i="8" s="1"/>
  <c r="AC638" i="2"/>
  <c r="AB98" i="12"/>
  <c r="AB279" i="8"/>
  <c r="AB280" i="8" s="1"/>
  <c r="AC576" i="2"/>
  <c r="AB235" i="8"/>
  <c r="AB236" i="8" s="1"/>
  <c r="AB84" i="12"/>
  <c r="AC178" i="2"/>
  <c r="AB34" i="12"/>
  <c r="AB95" i="8"/>
  <c r="AB96" i="8" s="1"/>
  <c r="AD179" i="2"/>
  <c r="AC35" i="12"/>
  <c r="AC99" i="8"/>
  <c r="AC100" i="8" s="1"/>
  <c r="AC56" i="2"/>
  <c r="AB8" i="12"/>
  <c r="AB15" i="8"/>
  <c r="AB16" i="8" s="1"/>
  <c r="AC456" i="2"/>
  <c r="AB60" i="12"/>
  <c r="AB163" i="8"/>
  <c r="AB164" i="8" s="1"/>
  <c r="AC62" i="2"/>
  <c r="AB14" i="12"/>
  <c r="AB39" i="8"/>
  <c r="AB40" i="8" s="1"/>
  <c r="AD180" i="2"/>
  <c r="AC36" i="12"/>
  <c r="AC103" i="8"/>
  <c r="AC104" i="8" s="1"/>
  <c r="AC114" i="2"/>
  <c r="AB18" i="12"/>
  <c r="AB43" i="8"/>
  <c r="AB44" i="8" s="1"/>
  <c r="AB123" i="2"/>
  <c r="AB1523" i="8" s="1"/>
  <c r="AA1535" i="8"/>
  <c r="AA1527" i="8"/>
  <c r="Y1476" i="8"/>
  <c r="Y1477" i="8" s="1"/>
  <c r="Y1466" i="8"/>
  <c r="AC239" i="2"/>
  <c r="AB47" i="12"/>
  <c r="AB135" i="8"/>
  <c r="AB136" i="8" s="1"/>
  <c r="AD116" i="2"/>
  <c r="AC20" i="12"/>
  <c r="AC51" i="8"/>
  <c r="AC52" i="8" s="1"/>
  <c r="AB461" i="2"/>
  <c r="AA65" i="12"/>
  <c r="AA183" i="8"/>
  <c r="AA184" i="8" s="1"/>
  <c r="AC639" i="2"/>
  <c r="AB99" i="12"/>
  <c r="AB283" i="8"/>
  <c r="AB284" i="8" s="1"/>
  <c r="AA1468" i="8"/>
  <c r="AA1482" i="8"/>
  <c r="AA1483" i="8" s="1"/>
  <c r="AC574" i="2"/>
  <c r="AB82" i="12"/>
  <c r="AB227" i="8"/>
  <c r="AB228" i="8" s="1"/>
  <c r="AC577" i="2"/>
  <c r="AB239" i="8"/>
  <c r="AB240" i="8" s="1"/>
  <c r="AB85" i="12"/>
  <c r="AC520" i="2"/>
  <c r="AB215" i="8"/>
  <c r="AB216" i="8" s="1"/>
  <c r="AB76" i="12"/>
  <c r="AA27" i="12"/>
  <c r="AB242" i="2"/>
  <c r="AA50" i="12"/>
  <c r="AA147" i="8"/>
  <c r="AA148" i="8" s="1"/>
  <c r="AC177" i="2"/>
  <c r="AB33" i="12"/>
  <c r="AB91" i="8"/>
  <c r="AB92" i="8" s="1"/>
  <c r="AA1488" i="8"/>
  <c r="AA78" i="12"/>
  <c r="AA1471" i="8" s="1"/>
  <c r="AC581" i="2"/>
  <c r="AB89" i="12"/>
  <c r="AB255" i="8"/>
  <c r="AB256" i="8" s="1"/>
  <c r="AB637" i="2"/>
  <c r="AA275" i="8"/>
  <c r="AA276" i="8" s="1"/>
  <c r="AA97" i="12"/>
  <c r="AC181" i="2"/>
  <c r="AB37" i="12"/>
  <c r="AB107" i="8"/>
  <c r="AB108" i="8" s="1"/>
  <c r="AC640" i="2"/>
  <c r="AB287" i="8"/>
  <c r="AB288" i="8" s="1"/>
  <c r="AB100" i="12"/>
  <c r="AD580" i="2"/>
  <c r="AC251" i="8"/>
  <c r="AC252" i="8" s="1"/>
  <c r="AC88" i="12"/>
  <c r="AC117" i="2"/>
  <c r="AB21" i="12"/>
  <c r="AB55" i="8"/>
  <c r="AB56" i="8" s="1"/>
  <c r="AC459" i="2"/>
  <c r="AB63" i="12"/>
  <c r="AB175" i="8"/>
  <c r="AB176" i="8" s="1"/>
  <c r="AB454" i="2"/>
  <c r="AA58" i="12"/>
  <c r="AA155" i="8"/>
  <c r="AA156" i="8" s="1"/>
  <c r="AC115" i="2"/>
  <c r="AB19" i="12"/>
  <c r="AB47" i="8"/>
  <c r="AB48" i="8" s="1"/>
  <c r="AC635" i="2"/>
  <c r="AB95" i="12"/>
  <c r="AB267" i="8"/>
  <c r="AB268" i="8" s="1"/>
  <c r="Z1468" i="8"/>
  <c r="Z1482" i="8"/>
  <c r="Z1483" i="8" s="1"/>
  <c r="AC513" i="2"/>
  <c r="AB69" i="12"/>
  <c r="AB522" i="2"/>
  <c r="AB1531" i="8" s="1"/>
  <c r="AB187" i="8"/>
  <c r="AB188" i="8" s="1"/>
  <c r="AD578" i="2"/>
  <c r="AC86" i="12"/>
  <c r="AC243" i="8"/>
  <c r="AC244" i="8" s="1"/>
  <c r="AA1536" i="8"/>
  <c r="AA1528" i="8"/>
  <c r="AD515" i="2"/>
  <c r="AC71" i="12"/>
  <c r="AC195" i="8"/>
  <c r="AC196" i="8" s="1"/>
  <c r="AB237" i="2"/>
  <c r="AA45" i="12"/>
  <c r="AA127" i="8"/>
  <c r="AA128" i="8" s="1"/>
  <c r="AC118" i="2"/>
  <c r="AB22" i="12"/>
  <c r="AB59" i="8"/>
  <c r="AB60" i="8" s="1"/>
  <c r="Z1490" i="8"/>
  <c r="Z102" i="12"/>
  <c r="Z1473" i="8" s="1"/>
  <c r="AA90" i="12"/>
  <c r="AA1472" i="8" s="1"/>
  <c r="AA1489" i="8"/>
  <c r="Z1537" i="8"/>
  <c r="Z1529" i="8"/>
  <c r="Z51" i="12"/>
  <c r="AB241" i="2"/>
  <c r="AA49" i="12"/>
  <c r="AA143" i="8"/>
  <c r="AA144" i="8" s="1"/>
  <c r="AC521" i="2"/>
  <c r="AB77" i="12"/>
  <c r="AB219" i="8"/>
  <c r="AB220" i="8" s="1"/>
  <c r="AD176" i="2" l="1"/>
  <c r="AC32" i="12"/>
  <c r="AC87" i="8"/>
  <c r="AC88" i="8" s="1"/>
  <c r="AC633" i="2"/>
  <c r="AB93" i="12"/>
  <c r="AB259" i="8"/>
  <c r="AB260" i="8" s="1"/>
  <c r="AB642" i="2"/>
  <c r="AB1533" i="8" s="1"/>
  <c r="AC237" i="2"/>
  <c r="AB45" i="12"/>
  <c r="AB127" i="8"/>
  <c r="AB128" i="8" s="1"/>
  <c r="AD114" i="2"/>
  <c r="AC18" i="12"/>
  <c r="AC43" i="8"/>
  <c r="AC44" i="8" s="1"/>
  <c r="AC123" i="2"/>
  <c r="AC1523" i="8" s="1"/>
  <c r="AE182" i="2"/>
  <c r="AD38" i="12"/>
  <c r="AD111" i="8"/>
  <c r="AD112" i="8" s="1"/>
  <c r="AE121" i="2"/>
  <c r="AD25" i="12"/>
  <c r="AD71" i="8"/>
  <c r="AD72" i="8" s="1"/>
  <c r="AC241" i="2"/>
  <c r="AB49" i="12"/>
  <c r="AB143" i="8"/>
  <c r="AB144" i="8" s="1"/>
  <c r="AD117" i="2"/>
  <c r="AC55" i="8"/>
  <c r="AC56" i="8" s="1"/>
  <c r="AC21" i="12"/>
  <c r="AE179" i="2"/>
  <c r="AD35" i="12"/>
  <c r="AD99" i="8"/>
  <c r="AD100" i="8" s="1"/>
  <c r="AD517" i="2"/>
  <c r="AC73" i="12"/>
  <c r="AC203" i="8"/>
  <c r="AC204" i="8" s="1"/>
  <c r="AD57" i="2"/>
  <c r="AC9" i="12"/>
  <c r="AC19" i="8"/>
  <c r="AC20" i="8" s="1"/>
  <c r="AE575" i="2"/>
  <c r="AD83" i="12"/>
  <c r="AD231" i="8"/>
  <c r="AD232" i="8" s="1"/>
  <c r="AC60" i="2"/>
  <c r="AB12" i="12"/>
  <c r="AB31" i="8"/>
  <c r="AB32" i="8" s="1"/>
  <c r="AC54" i="2"/>
  <c r="AB6" i="12"/>
  <c r="AB7" i="8"/>
  <c r="AB8" i="8" s="1"/>
  <c r="AB63" i="2"/>
  <c r="AB1522" i="8" s="1"/>
  <c r="AD641" i="2"/>
  <c r="AC291" i="8"/>
  <c r="AC292" i="8" s="1"/>
  <c r="AC101" i="12"/>
  <c r="AB1488" i="8"/>
  <c r="AB78" i="12"/>
  <c r="AB1471" i="8" s="1"/>
  <c r="AD639" i="2"/>
  <c r="AC283" i="8"/>
  <c r="AC284" i="8" s="1"/>
  <c r="AC99" i="12"/>
  <c r="AD519" i="2"/>
  <c r="AC75" i="12"/>
  <c r="AC211" i="8"/>
  <c r="AC212" i="8" s="1"/>
  <c r="AD581" i="2"/>
  <c r="AC89" i="12"/>
  <c r="AC255" i="8"/>
  <c r="AC256" i="8" s="1"/>
  <c r="AE515" i="2"/>
  <c r="AD71" i="12"/>
  <c r="AD195" i="8"/>
  <c r="AD196" i="8" s="1"/>
  <c r="AD635" i="2"/>
  <c r="AC267" i="8"/>
  <c r="AC268" i="8" s="1"/>
  <c r="AC95" i="12"/>
  <c r="AD577" i="2"/>
  <c r="AC85" i="12"/>
  <c r="AC239" i="8"/>
  <c r="AC240" i="8" s="1"/>
  <c r="AE116" i="2"/>
  <c r="AD20" i="12"/>
  <c r="AD51" i="8"/>
  <c r="AD52" i="8" s="1"/>
  <c r="AE180" i="2"/>
  <c r="AD36" i="12"/>
  <c r="AD103" i="8"/>
  <c r="AD104" i="8" s="1"/>
  <c r="AC55" i="2"/>
  <c r="AB11" i="8"/>
  <c r="AB12" i="8" s="1"/>
  <c r="AB7" i="12"/>
  <c r="AD240" i="2"/>
  <c r="AC48" i="12"/>
  <c r="AC139" i="8"/>
  <c r="AC140" i="8" s="1"/>
  <c r="AC235" i="2"/>
  <c r="AB43" i="12"/>
  <c r="AB119" i="8"/>
  <c r="AB120" i="8" s="1"/>
  <c r="AB27" i="12"/>
  <c r="AE580" i="2"/>
  <c r="AD88" i="12"/>
  <c r="AD251" i="8"/>
  <c r="AD252" i="8" s="1"/>
  <c r="AD178" i="2"/>
  <c r="AC34" i="12"/>
  <c r="AC95" i="8"/>
  <c r="AC96" i="8" s="1"/>
  <c r="AB39" i="12"/>
  <c r="AD516" i="2"/>
  <c r="AC72" i="12"/>
  <c r="AC199" i="8"/>
  <c r="AC200" i="8" s="1"/>
  <c r="AD61" i="2"/>
  <c r="AC13" i="12"/>
  <c r="AC35" i="8"/>
  <c r="AC36" i="8" s="1"/>
  <c r="AD513" i="2"/>
  <c r="AC69" i="12"/>
  <c r="AC522" i="2"/>
  <c r="AC1531" i="8" s="1"/>
  <c r="AC187" i="8"/>
  <c r="AC188" i="8" s="1"/>
  <c r="AC637" i="2"/>
  <c r="AB275" i="8"/>
  <c r="AB276" i="8" s="1"/>
  <c r="AB97" i="12"/>
  <c r="AC461" i="2"/>
  <c r="AB65" i="12"/>
  <c r="AB183" i="8"/>
  <c r="AB184" i="8" s="1"/>
  <c r="AD174" i="2"/>
  <c r="AC30" i="12"/>
  <c r="AC79" i="8"/>
  <c r="AC80" i="8" s="1"/>
  <c r="AC183" i="2"/>
  <c r="AC1524" i="8" s="1"/>
  <c r="Z1466" i="8"/>
  <c r="Z1476" i="8"/>
  <c r="Z1477" i="8" s="1"/>
  <c r="AD460" i="2"/>
  <c r="AC64" i="12"/>
  <c r="AC179" i="8"/>
  <c r="AC180" i="8" s="1"/>
  <c r="AD120" i="2"/>
  <c r="AC24" i="12"/>
  <c r="AC67" i="8"/>
  <c r="AC68" i="8" s="1"/>
  <c r="AD118" i="2"/>
  <c r="AC22" i="12"/>
  <c r="AC59" i="8"/>
  <c r="AC60" i="8" s="1"/>
  <c r="AA1490" i="8"/>
  <c r="AA102" i="12"/>
  <c r="AA1473" i="8" s="1"/>
  <c r="AD459" i="2"/>
  <c r="AC63" i="12"/>
  <c r="AC175" i="8"/>
  <c r="AC176" i="8" s="1"/>
  <c r="AD520" i="2"/>
  <c r="AC76" i="12"/>
  <c r="AC215" i="8"/>
  <c r="AC216" i="8" s="1"/>
  <c r="Z1469" i="8"/>
  <c r="Z1485" i="8"/>
  <c r="Z1486" i="8" s="1"/>
  <c r="AD115" i="2"/>
  <c r="AC19" i="12"/>
  <c r="AC47" i="8"/>
  <c r="AC48" i="8" s="1"/>
  <c r="AD574" i="2"/>
  <c r="AC82" i="12"/>
  <c r="AC227" i="8"/>
  <c r="AC228" i="8" s="1"/>
  <c r="AD239" i="2"/>
  <c r="AC47" i="12"/>
  <c r="AC135" i="8"/>
  <c r="AC136" i="8" s="1"/>
  <c r="AD62" i="2"/>
  <c r="AC14" i="12"/>
  <c r="AC39" i="8"/>
  <c r="AC40" i="8" s="1"/>
  <c r="AE122" i="2"/>
  <c r="AD26" i="12"/>
  <c r="AD75" i="8"/>
  <c r="AD76" i="8" s="1"/>
  <c r="AD458" i="2"/>
  <c r="AC62" i="12"/>
  <c r="AC171" i="8"/>
  <c r="AC172" i="8" s="1"/>
  <c r="AD238" i="2"/>
  <c r="AC46" i="12"/>
  <c r="AC131" i="8"/>
  <c r="AC132" i="8" s="1"/>
  <c r="AE119" i="2"/>
  <c r="AD23" i="12"/>
  <c r="AD63" i="8"/>
  <c r="AD64" i="8" s="1"/>
  <c r="AD56" i="2"/>
  <c r="AC8" i="12"/>
  <c r="AC15" i="8"/>
  <c r="AC16" i="8" s="1"/>
  <c r="AD634" i="2"/>
  <c r="AC94" i="12"/>
  <c r="AC263" i="8"/>
  <c r="AC264" i="8" s="1"/>
  <c r="AC636" i="2"/>
  <c r="AB96" i="12"/>
  <c r="AB271" i="8"/>
  <c r="AB272" i="8" s="1"/>
  <c r="AD640" i="2"/>
  <c r="AC287" i="8"/>
  <c r="AC288" i="8" s="1"/>
  <c r="AC100" i="12"/>
  <c r="AD177" i="2"/>
  <c r="AC33" i="12"/>
  <c r="AC91" i="8"/>
  <c r="AC92" i="8" s="1"/>
  <c r="AD576" i="2"/>
  <c r="AC84" i="12"/>
  <c r="AC235" i="8"/>
  <c r="AC236" i="8" s="1"/>
  <c r="AD579" i="2"/>
  <c r="AC247" i="8"/>
  <c r="AC248" i="8" s="1"/>
  <c r="AC87" i="12"/>
  <c r="AB1536" i="8"/>
  <c r="AB1528" i="8"/>
  <c r="AC453" i="2"/>
  <c r="AB57" i="12"/>
  <c r="AB151" i="8"/>
  <c r="AB152" i="8" s="1"/>
  <c r="AB462" i="2"/>
  <c r="AB1530" i="8" s="1"/>
  <c r="AA51" i="12"/>
  <c r="AE175" i="2"/>
  <c r="AD31" i="12"/>
  <c r="AD83" i="8"/>
  <c r="AD84" i="8" s="1"/>
  <c r="AA1534" i="8"/>
  <c r="AA1526" i="8"/>
  <c r="AD457" i="2"/>
  <c r="AC61" i="12"/>
  <c r="AC167" i="8"/>
  <c r="AC168" i="8" s="1"/>
  <c r="AA1467" i="8"/>
  <c r="AA1479" i="8"/>
  <c r="AA1480" i="8" s="1"/>
  <c r="AD521" i="2"/>
  <c r="AC77" i="12"/>
  <c r="AC219" i="8"/>
  <c r="AC220" i="8" s="1"/>
  <c r="AD59" i="2"/>
  <c r="AC11" i="12"/>
  <c r="AC27" i="8"/>
  <c r="AC28" i="8" s="1"/>
  <c r="AE578" i="2"/>
  <c r="AD86" i="12"/>
  <c r="AD243" i="8"/>
  <c r="AD244" i="8" s="1"/>
  <c r="AA15" i="12"/>
  <c r="AC454" i="2"/>
  <c r="AB58" i="12"/>
  <c r="AB155" i="8"/>
  <c r="AB156" i="8" s="1"/>
  <c r="AD456" i="2"/>
  <c r="AC60" i="12"/>
  <c r="AC163" i="8"/>
  <c r="AC164" i="8" s="1"/>
  <c r="AC58" i="2"/>
  <c r="AB23" i="8"/>
  <c r="AB24" i="8" s="1"/>
  <c r="AB10" i="12"/>
  <c r="AC234" i="2"/>
  <c r="AB42" i="12"/>
  <c r="AB243" i="2"/>
  <c r="AB1525" i="8" s="1"/>
  <c r="AB115" i="8"/>
  <c r="AB116" i="8" s="1"/>
  <c r="AA1537" i="8"/>
  <c r="AA1529" i="8"/>
  <c r="AA1487" i="8"/>
  <c r="AA66" i="12"/>
  <c r="AA1470" i="8" s="1"/>
  <c r="AD514" i="2"/>
  <c r="AC70" i="12"/>
  <c r="AC191" i="8"/>
  <c r="AC192" i="8" s="1"/>
  <c r="AC236" i="2"/>
  <c r="AB44" i="12"/>
  <c r="AB123" i="8"/>
  <c r="AB124" i="8" s="1"/>
  <c r="AB90" i="12"/>
  <c r="AB1472" i="8" s="1"/>
  <c r="AB1489" i="8"/>
  <c r="AC455" i="2"/>
  <c r="AB159" i="8"/>
  <c r="AB160" i="8" s="1"/>
  <c r="AB59" i="12"/>
  <c r="AB1535" i="8"/>
  <c r="AB1527" i="8"/>
  <c r="AD181" i="2"/>
  <c r="AC37" i="12"/>
  <c r="AC107" i="8"/>
  <c r="AC108" i="8" s="1"/>
  <c r="AC242" i="2"/>
  <c r="AB50" i="12"/>
  <c r="AB147" i="8"/>
  <c r="AB148" i="8" s="1"/>
  <c r="AD638" i="2"/>
  <c r="AC98" i="12"/>
  <c r="AC279" i="8"/>
  <c r="AC280" i="8" s="1"/>
  <c r="AD518" i="2"/>
  <c r="AC74" i="12"/>
  <c r="AC207" i="8"/>
  <c r="AC208" i="8" s="1"/>
  <c r="AD573" i="2"/>
  <c r="AC81" i="12"/>
  <c r="AC223" i="8"/>
  <c r="AC224" i="8" s="1"/>
  <c r="AC582" i="2"/>
  <c r="AC1532" i="8" s="1"/>
  <c r="AC39" i="12" l="1"/>
  <c r="AC1482" i="8" s="1"/>
  <c r="AC1483" i="8" s="1"/>
  <c r="AE20" i="12"/>
  <c r="AE51" i="8"/>
  <c r="AE52" i="8" s="1"/>
  <c r="F52" i="8" s="1"/>
  <c r="AE99" i="8"/>
  <c r="AE100" i="8" s="1"/>
  <c r="F100" i="8" s="1"/>
  <c r="AE35" i="12"/>
  <c r="AC1536" i="8"/>
  <c r="AC1528" i="8"/>
  <c r="AE514" i="2"/>
  <c r="AD70" i="12"/>
  <c r="AD191" i="8"/>
  <c r="AD192" i="8" s="1"/>
  <c r="AE456" i="2"/>
  <c r="AD60" i="12"/>
  <c r="AD163" i="8"/>
  <c r="AD164" i="8" s="1"/>
  <c r="AD453" i="2"/>
  <c r="AC57" i="12"/>
  <c r="AC151" i="8"/>
  <c r="AC152" i="8" s="1"/>
  <c r="AC462" i="2"/>
  <c r="AC1530" i="8" s="1"/>
  <c r="AE640" i="2"/>
  <c r="AD287" i="8"/>
  <c r="AD288" i="8" s="1"/>
  <c r="AD100" i="12"/>
  <c r="AE519" i="2"/>
  <c r="AD75" i="12"/>
  <c r="AD211" i="8"/>
  <c r="AD212" i="8" s="1"/>
  <c r="AC27" i="12"/>
  <c r="AD60" i="2"/>
  <c r="AC12" i="12"/>
  <c r="AC31" i="8"/>
  <c r="AC32" i="8" s="1"/>
  <c r="AE574" i="2"/>
  <c r="AD82" i="12"/>
  <c r="AD227" i="8"/>
  <c r="AD228" i="8" s="1"/>
  <c r="AE573" i="2"/>
  <c r="AD81" i="12"/>
  <c r="AD223" i="8"/>
  <c r="AD224" i="8" s="1"/>
  <c r="AD582" i="2"/>
  <c r="AD1532" i="8" s="1"/>
  <c r="AD454" i="2"/>
  <c r="AC58" i="12"/>
  <c r="AC155" i="8"/>
  <c r="AC156" i="8" s="1"/>
  <c r="AD636" i="2"/>
  <c r="AC96" i="12"/>
  <c r="AC271" i="8"/>
  <c r="AC272" i="8" s="1"/>
  <c r="AE639" i="2"/>
  <c r="AD99" i="12"/>
  <c r="AD283" i="8"/>
  <c r="AD284" i="8" s="1"/>
  <c r="AE23" i="12"/>
  <c r="AE63" i="8"/>
  <c r="AE64" i="8" s="1"/>
  <c r="F64" i="8" s="1"/>
  <c r="AB1467" i="8"/>
  <c r="AB1479" i="8"/>
  <c r="AB1480" i="8" s="1"/>
  <c r="AE239" i="2"/>
  <c r="AD47" i="12"/>
  <c r="AD135" i="8"/>
  <c r="AD136" i="8" s="1"/>
  <c r="AE61" i="2"/>
  <c r="AD13" i="12"/>
  <c r="AD35" i="8"/>
  <c r="AD36" i="8" s="1"/>
  <c r="AC90" i="12"/>
  <c r="AC1472" i="8" s="1"/>
  <c r="AC1489" i="8"/>
  <c r="AE240" i="2"/>
  <c r="AD48" i="12"/>
  <c r="AD139" i="8"/>
  <c r="AD140" i="8" s="1"/>
  <c r="AE231" i="8"/>
  <c r="AE232" i="8" s="1"/>
  <c r="F232" i="8" s="1"/>
  <c r="AE83" i="12"/>
  <c r="AD237" i="2"/>
  <c r="AC45" i="12"/>
  <c r="AC127" i="8"/>
  <c r="AC128" i="8" s="1"/>
  <c r="AE521" i="2"/>
  <c r="AD77" i="12"/>
  <c r="AD219" i="8"/>
  <c r="AD220" i="8" s="1"/>
  <c r="AE635" i="2"/>
  <c r="AD95" i="12"/>
  <c r="AD267" i="8"/>
  <c r="AD268" i="8" s="1"/>
  <c r="AD241" i="2"/>
  <c r="AC49" i="12"/>
  <c r="AC143" i="8"/>
  <c r="AC144" i="8" s="1"/>
  <c r="AB1537" i="8"/>
  <c r="AB1529" i="8"/>
  <c r="AD242" i="2"/>
  <c r="AC50" i="12"/>
  <c r="AC147" i="8"/>
  <c r="AC148" i="8" s="1"/>
  <c r="AE459" i="2"/>
  <c r="AD63" i="12"/>
  <c r="AD175" i="8"/>
  <c r="AD176" i="8" s="1"/>
  <c r="AE174" i="2"/>
  <c r="AD30" i="12"/>
  <c r="AD79" i="8"/>
  <c r="AD80" i="8" s="1"/>
  <c r="AD183" i="2"/>
  <c r="AD1524" i="8" s="1"/>
  <c r="AE457" i="2"/>
  <c r="AD61" i="12"/>
  <c r="AD167" i="8"/>
  <c r="AD168" i="8" s="1"/>
  <c r="AE516" i="2"/>
  <c r="AD199" i="8"/>
  <c r="AD200" i="8" s="1"/>
  <c r="AD72" i="12"/>
  <c r="AE115" i="2"/>
  <c r="AD19" i="12"/>
  <c r="AD47" i="8"/>
  <c r="AD48" i="8" s="1"/>
  <c r="AD461" i="2"/>
  <c r="AC183" i="8"/>
  <c r="AC184" i="8" s="1"/>
  <c r="AC65" i="12"/>
  <c r="AB1468" i="8"/>
  <c r="AB1482" i="8"/>
  <c r="AB1483" i="8" s="1"/>
  <c r="AE518" i="2"/>
  <c r="AD74" i="12"/>
  <c r="AD207" i="8"/>
  <c r="AD208" i="8" s="1"/>
  <c r="AD455" i="2"/>
  <c r="AC59" i="12"/>
  <c r="AC159" i="8"/>
  <c r="AC160" i="8" s="1"/>
  <c r="AE634" i="2"/>
  <c r="AD263" i="8"/>
  <c r="AD264" i="8" s="1"/>
  <c r="AD94" i="12"/>
  <c r="AE513" i="2"/>
  <c r="AD69" i="12"/>
  <c r="AD522" i="2"/>
  <c r="AD1531" i="8" s="1"/>
  <c r="AD187" i="8"/>
  <c r="AD188" i="8" s="1"/>
  <c r="AE117" i="2"/>
  <c r="AD21" i="12"/>
  <c r="AD55" i="8"/>
  <c r="AD56" i="8" s="1"/>
  <c r="AA1466" i="8"/>
  <c r="AA1476" i="8"/>
  <c r="AA1477" i="8" s="1"/>
  <c r="AE579" i="2"/>
  <c r="AD247" i="8"/>
  <c r="AD248" i="8" s="1"/>
  <c r="AD87" i="12"/>
  <c r="AB51" i="12"/>
  <c r="AE243" i="8"/>
  <c r="AE244" i="8" s="1"/>
  <c r="F244" i="8" s="1"/>
  <c r="AE86" i="12"/>
  <c r="AE75" i="8"/>
  <c r="AE76" i="8" s="1"/>
  <c r="F76" i="8" s="1"/>
  <c r="AE26" i="12"/>
  <c r="AE120" i="2"/>
  <c r="AD24" i="12"/>
  <c r="AD67" i="8"/>
  <c r="AD68" i="8" s="1"/>
  <c r="AD55" i="2"/>
  <c r="AC7" i="12"/>
  <c r="AC11" i="8"/>
  <c r="AC12" i="8" s="1"/>
  <c r="AE57" i="2"/>
  <c r="AD9" i="12"/>
  <c r="AD19" i="8"/>
  <c r="AD20" i="8" s="1"/>
  <c r="AB1490" i="8"/>
  <c r="AB102" i="12"/>
  <c r="AB1473" i="8" s="1"/>
  <c r="AB1487" i="8"/>
  <c r="AB66" i="12"/>
  <c r="AB1470" i="8" s="1"/>
  <c r="AE238" i="2"/>
  <c r="AD46" i="12"/>
  <c r="AD131" i="8"/>
  <c r="AD132" i="8" s="1"/>
  <c r="AE118" i="2"/>
  <c r="AD22" i="12"/>
  <c r="AD59" i="8"/>
  <c r="AD60" i="8" s="1"/>
  <c r="AD637" i="2"/>
  <c r="AC97" i="12"/>
  <c r="AC275" i="8"/>
  <c r="AC276" i="8" s="1"/>
  <c r="AE178" i="2"/>
  <c r="AD34" i="12"/>
  <c r="AD95" i="8"/>
  <c r="AD96" i="8" s="1"/>
  <c r="AE195" i="8"/>
  <c r="AE196" i="8" s="1"/>
  <c r="F196" i="8" s="1"/>
  <c r="AE71" i="12"/>
  <c r="AE641" i="2"/>
  <c r="AD291" i="8"/>
  <c r="AD292" i="8" s="1"/>
  <c r="AD101" i="12"/>
  <c r="AE25" i="12"/>
  <c r="AE71" i="8"/>
  <c r="AE72" i="8" s="1"/>
  <c r="F72" i="8" s="1"/>
  <c r="AD633" i="2"/>
  <c r="AC642" i="2"/>
  <c r="AC1533" i="8" s="1"/>
  <c r="AC93" i="12"/>
  <c r="AC259" i="8"/>
  <c r="AC260" i="8" s="1"/>
  <c r="AD54" i="2"/>
  <c r="AC6" i="12"/>
  <c r="AC7" i="8"/>
  <c r="AC8" i="8" s="1"/>
  <c r="AC63" i="2"/>
  <c r="AC1522" i="8" s="1"/>
  <c r="AD235" i="2"/>
  <c r="AC43" i="12"/>
  <c r="AC119" i="8"/>
  <c r="AC120" i="8" s="1"/>
  <c r="AE638" i="2"/>
  <c r="AD98" i="12"/>
  <c r="AD279" i="8"/>
  <c r="AD280" i="8" s="1"/>
  <c r="AB15" i="12"/>
  <c r="AE83" i="8"/>
  <c r="AE84" i="8" s="1"/>
  <c r="F84" i="8" s="1"/>
  <c r="AE31" i="12"/>
  <c r="AE56" i="2"/>
  <c r="AD8" i="12"/>
  <c r="AD15" i="8"/>
  <c r="AD16" i="8" s="1"/>
  <c r="AE181" i="2"/>
  <c r="AD37" i="12"/>
  <c r="AD107" i="8"/>
  <c r="AD108" i="8" s="1"/>
  <c r="AE114" i="2"/>
  <c r="AD18" i="12"/>
  <c r="AD43" i="8"/>
  <c r="AD44" i="8" s="1"/>
  <c r="AD123" i="2"/>
  <c r="AD1523" i="8" s="1"/>
  <c r="AD234" i="2"/>
  <c r="AC42" i="12"/>
  <c r="AC243" i="2"/>
  <c r="AC1525" i="8" s="1"/>
  <c r="AC115" i="8"/>
  <c r="AC116" i="8" s="1"/>
  <c r="AE576" i="2"/>
  <c r="AD235" i="8"/>
  <c r="AD236" i="8" s="1"/>
  <c r="AD84" i="12"/>
  <c r="AE59" i="2"/>
  <c r="AD11" i="12"/>
  <c r="AD27" i="8"/>
  <c r="AD28" i="8" s="1"/>
  <c r="AA1469" i="8"/>
  <c r="AA1485" i="8"/>
  <c r="AA1486" i="8" s="1"/>
  <c r="AE62" i="2"/>
  <c r="AD14" i="12"/>
  <c r="AD39" i="8"/>
  <c r="AD40" i="8" s="1"/>
  <c r="AE520" i="2"/>
  <c r="AD215" i="8"/>
  <c r="AD216" i="8" s="1"/>
  <c r="AD76" i="12"/>
  <c r="AE460" i="2"/>
  <c r="AD64" i="12"/>
  <c r="AD179" i="8"/>
  <c r="AD180" i="8" s="1"/>
  <c r="AC1535" i="8"/>
  <c r="AC1527" i="8"/>
  <c r="AE36" i="12"/>
  <c r="AE103" i="8"/>
  <c r="AE104" i="8" s="1"/>
  <c r="F104" i="8" s="1"/>
  <c r="AE517" i="2"/>
  <c r="AD73" i="12"/>
  <c r="AD203" i="8"/>
  <c r="AD204" i="8" s="1"/>
  <c r="AE577" i="2"/>
  <c r="AD239" i="8"/>
  <c r="AD240" i="8" s="1"/>
  <c r="AD85" i="12"/>
  <c r="AE458" i="2"/>
  <c r="AD171" i="8"/>
  <c r="AD172" i="8" s="1"/>
  <c r="AD62" i="12"/>
  <c r="AD236" i="2"/>
  <c r="AC44" i="12"/>
  <c r="AC123" i="8"/>
  <c r="AC124" i="8" s="1"/>
  <c r="AD58" i="2"/>
  <c r="AC10" i="12"/>
  <c r="AC23" i="8"/>
  <c r="AC24" i="8" s="1"/>
  <c r="AB1534" i="8"/>
  <c r="AB1526" i="8"/>
  <c r="AE177" i="2"/>
  <c r="AD33" i="12"/>
  <c r="AD91" i="8"/>
  <c r="AD92" i="8" s="1"/>
  <c r="AC1488" i="8"/>
  <c r="AC78" i="12"/>
  <c r="AC1471" i="8" s="1"/>
  <c r="AE251" i="8"/>
  <c r="AE252" i="8" s="1"/>
  <c r="F252" i="8" s="1"/>
  <c r="AE88" i="12"/>
  <c r="AE581" i="2"/>
  <c r="AD89" i="12"/>
  <c r="AD255" i="8"/>
  <c r="AD256" i="8" s="1"/>
  <c r="AE111" i="8"/>
  <c r="AE112" i="8" s="1"/>
  <c r="F112" i="8" s="1"/>
  <c r="AE38" i="12"/>
  <c r="AE176" i="2"/>
  <c r="AD32" i="12"/>
  <c r="AD87" i="8"/>
  <c r="AD88" i="8" s="1"/>
  <c r="AC1468" i="8" l="1"/>
  <c r="AC15" i="12"/>
  <c r="AE291" i="8"/>
  <c r="AE292" i="8" s="1"/>
  <c r="F292" i="8" s="1"/>
  <c r="AE101" i="12"/>
  <c r="AD1535" i="8"/>
  <c r="AD1527" i="8"/>
  <c r="AE453" i="2"/>
  <c r="AD151" i="8"/>
  <c r="AD152" i="8" s="1"/>
  <c r="AD57" i="12"/>
  <c r="AD462" i="2"/>
  <c r="AD1530" i="8" s="1"/>
  <c r="AE58" i="2"/>
  <c r="AD23" i="8"/>
  <c r="AD24" i="8" s="1"/>
  <c r="AD10" i="12"/>
  <c r="AE235" i="2"/>
  <c r="AD43" i="12"/>
  <c r="AD119" i="8"/>
  <c r="AD120" i="8" s="1"/>
  <c r="AD78" i="12"/>
  <c r="AD1471" i="8" s="1"/>
  <c r="AD1488" i="8"/>
  <c r="AE30" i="12"/>
  <c r="AE79" i="8"/>
  <c r="AE80" i="8" s="1"/>
  <c r="F80" i="8" s="1"/>
  <c r="AE183" i="2"/>
  <c r="AE1524" i="8" s="1"/>
  <c r="F1524" i="8" s="1"/>
  <c r="AE99" i="12"/>
  <c r="AE283" i="8"/>
  <c r="AE284" i="8" s="1"/>
  <c r="F284" i="8" s="1"/>
  <c r="AE203" i="8"/>
  <c r="AE204" i="8" s="1"/>
  <c r="F204" i="8" s="1"/>
  <c r="AE73" i="12"/>
  <c r="AC1476" i="8"/>
  <c r="AC1477" i="8" s="1"/>
  <c r="AC1466" i="8"/>
  <c r="AE461" i="2"/>
  <c r="AD65" i="12"/>
  <c r="AD183" i="8"/>
  <c r="AD184" i="8" s="1"/>
  <c r="AE60" i="2"/>
  <c r="AD12" i="12"/>
  <c r="AD31" i="8"/>
  <c r="AD32" i="8" s="1"/>
  <c r="AB1469" i="8"/>
  <c r="AB1485" i="8"/>
  <c r="AB1486" i="8" s="1"/>
  <c r="AE636" i="2"/>
  <c r="AD96" i="12"/>
  <c r="AD271" i="8"/>
  <c r="AD272" i="8" s="1"/>
  <c r="AC1467" i="8"/>
  <c r="AC1479" i="8"/>
  <c r="AC1480" i="8" s="1"/>
  <c r="AE18" i="12"/>
  <c r="AE123" i="2"/>
  <c r="AE1523" i="8" s="1"/>
  <c r="F1523" i="8" s="1"/>
  <c r="AE43" i="8"/>
  <c r="AE44" i="8" s="1"/>
  <c r="F44" i="8" s="1"/>
  <c r="AE27" i="8"/>
  <c r="AE28" i="8" s="1"/>
  <c r="F28" i="8" s="1"/>
  <c r="AE11" i="12"/>
  <c r="AE267" i="8"/>
  <c r="AE268" i="8" s="1"/>
  <c r="F268" i="8" s="1"/>
  <c r="AE95" i="12"/>
  <c r="AE163" i="8"/>
  <c r="AE164" i="8" s="1"/>
  <c r="F164" i="8" s="1"/>
  <c r="AE60" i="12"/>
  <c r="AE236" i="2"/>
  <c r="AD44" i="12"/>
  <c r="AD123" i="8"/>
  <c r="AD124" i="8" s="1"/>
  <c r="AE54" i="2"/>
  <c r="AD6" i="12"/>
  <c r="AD7" i="8"/>
  <c r="AD8" i="8" s="1"/>
  <c r="AD63" i="2"/>
  <c r="AD1522" i="8" s="1"/>
  <c r="AE34" i="12"/>
  <c r="AE95" i="8"/>
  <c r="AE96" i="8" s="1"/>
  <c r="F96" i="8" s="1"/>
  <c r="AE263" i="8"/>
  <c r="AE264" i="8" s="1"/>
  <c r="F264" i="8" s="1"/>
  <c r="AE94" i="12"/>
  <c r="AE47" i="8"/>
  <c r="AE48" i="8" s="1"/>
  <c r="F48" i="8" s="1"/>
  <c r="AE19" i="12"/>
  <c r="AE13" i="12"/>
  <c r="AE35" i="8"/>
  <c r="AE36" i="8" s="1"/>
  <c r="F36" i="8" s="1"/>
  <c r="AE67" i="8"/>
  <c r="AE68" i="8" s="1"/>
  <c r="F68" i="8" s="1"/>
  <c r="AE24" i="12"/>
  <c r="AE241" i="2"/>
  <c r="AD49" i="12"/>
  <c r="AD143" i="8"/>
  <c r="AD144" i="8" s="1"/>
  <c r="AE179" i="8"/>
  <c r="AE180" i="8" s="1"/>
  <c r="F180" i="8" s="1"/>
  <c r="AE64" i="12"/>
  <c r="AE84" i="12"/>
  <c r="AE235" i="8"/>
  <c r="AE236" i="8" s="1"/>
  <c r="F236" i="8" s="1"/>
  <c r="AE8" i="12"/>
  <c r="AE15" i="8"/>
  <c r="AE16" i="8" s="1"/>
  <c r="F16" i="8" s="1"/>
  <c r="AE175" i="8"/>
  <c r="AE176" i="8" s="1"/>
  <c r="F176" i="8" s="1"/>
  <c r="AE63" i="12"/>
  <c r="AE219" i="8"/>
  <c r="AE220" i="8" s="1"/>
  <c r="F220" i="8" s="1"/>
  <c r="AE77" i="12"/>
  <c r="AE191" i="8"/>
  <c r="AE192" i="8" s="1"/>
  <c r="F192" i="8" s="1"/>
  <c r="AE70" i="12"/>
  <c r="AC66" i="12"/>
  <c r="AC1470" i="8" s="1"/>
  <c r="AC1487" i="8"/>
  <c r="AE171" i="8"/>
  <c r="AE172" i="8" s="1"/>
  <c r="F172" i="8" s="1"/>
  <c r="AE62" i="12"/>
  <c r="AE454" i="2"/>
  <c r="AD58" i="12"/>
  <c r="AD155" i="8"/>
  <c r="AD156" i="8" s="1"/>
  <c r="AE211" i="8"/>
  <c r="AE212" i="8" s="1"/>
  <c r="F212" i="8" s="1"/>
  <c r="AE75" i="12"/>
  <c r="AE107" i="8"/>
  <c r="AE108" i="8" s="1"/>
  <c r="F108" i="8" s="1"/>
  <c r="AE37" i="12"/>
  <c r="AC1490" i="8"/>
  <c r="AC102" i="12"/>
  <c r="AC1473" i="8" s="1"/>
  <c r="AE247" i="8"/>
  <c r="AE248" i="8" s="1"/>
  <c r="F248" i="8" s="1"/>
  <c r="AE87" i="12"/>
  <c r="AC1537" i="8"/>
  <c r="AC1529" i="8"/>
  <c r="AE637" i="2"/>
  <c r="AD97" i="12"/>
  <c r="AD275" i="8"/>
  <c r="AD276" i="8" s="1"/>
  <c r="AE455" i="2"/>
  <c r="AD159" i="8"/>
  <c r="AD160" i="8" s="1"/>
  <c r="AD59" i="12"/>
  <c r="AE72" i="12"/>
  <c r="AE199" i="8"/>
  <c r="AE200" i="8" s="1"/>
  <c r="F200" i="8" s="1"/>
  <c r="AE135" i="8"/>
  <c r="AE136" i="8" s="1"/>
  <c r="F136" i="8" s="1"/>
  <c r="AE47" i="12"/>
  <c r="AD1536" i="8"/>
  <c r="AD1528" i="8"/>
  <c r="AE46" i="12"/>
  <c r="AE131" i="8"/>
  <c r="AE132" i="8" s="1"/>
  <c r="F132" i="8" s="1"/>
  <c r="AE9" i="12"/>
  <c r="AE19" i="8"/>
  <c r="AE20" i="8" s="1"/>
  <c r="F20" i="8" s="1"/>
  <c r="AE76" i="12"/>
  <c r="AE215" i="8"/>
  <c r="AE216" i="8" s="1"/>
  <c r="F216" i="8" s="1"/>
  <c r="AC51" i="12"/>
  <c r="AB1476" i="8"/>
  <c r="AB1477" i="8" s="1"/>
  <c r="AB1466" i="8"/>
  <c r="AE633" i="2"/>
  <c r="AD642" i="2"/>
  <c r="AD1533" i="8" s="1"/>
  <c r="AD93" i="12"/>
  <c r="AD259" i="8"/>
  <c r="AD260" i="8" s="1"/>
  <c r="AE242" i="2"/>
  <c r="AD50" i="12"/>
  <c r="AD147" i="8"/>
  <c r="AD148" i="8" s="1"/>
  <c r="AE237" i="2"/>
  <c r="AD45" i="12"/>
  <c r="AD127" i="8"/>
  <c r="AD128" i="8" s="1"/>
  <c r="AE48" i="12"/>
  <c r="AE139" i="8"/>
  <c r="AE140" i="8" s="1"/>
  <c r="F140" i="8" s="1"/>
  <c r="AE239" i="8"/>
  <c r="AE240" i="8" s="1"/>
  <c r="F240" i="8" s="1"/>
  <c r="AE85" i="12"/>
  <c r="AE234" i="2"/>
  <c r="AD42" i="12"/>
  <c r="AD243" i="2"/>
  <c r="AD1525" i="8" s="1"/>
  <c r="AD115" i="8"/>
  <c r="AD116" i="8" s="1"/>
  <c r="AE55" i="2"/>
  <c r="AD7" i="12"/>
  <c r="AD11" i="8"/>
  <c r="AD12" i="8" s="1"/>
  <c r="AD90" i="12"/>
  <c r="AD1472" i="8" s="1"/>
  <c r="AD1489" i="8"/>
  <c r="AE287" i="8"/>
  <c r="AE288" i="8" s="1"/>
  <c r="F288" i="8" s="1"/>
  <c r="AE100" i="12"/>
  <c r="AD39" i="12"/>
  <c r="AE227" i="8"/>
  <c r="AE228" i="8" s="1"/>
  <c r="F228" i="8" s="1"/>
  <c r="AE82" i="12"/>
  <c r="AE69" i="12"/>
  <c r="AE187" i="8"/>
  <c r="AE188" i="8" s="1"/>
  <c r="F188" i="8" s="1"/>
  <c r="AE522" i="2"/>
  <c r="AE1531" i="8" s="1"/>
  <c r="F1531" i="8" s="1"/>
  <c r="AE89" i="12"/>
  <c r="AE255" i="8"/>
  <c r="AE256" i="8" s="1"/>
  <c r="F256" i="8" s="1"/>
  <c r="AE33" i="12"/>
  <c r="AE91" i="8"/>
  <c r="AE92" i="8" s="1"/>
  <c r="F92" i="8" s="1"/>
  <c r="AE59" i="8"/>
  <c r="AE60" i="8" s="1"/>
  <c r="F60" i="8" s="1"/>
  <c r="AE22" i="12"/>
  <c r="AD27" i="12"/>
  <c r="AE74" i="12"/>
  <c r="AE207" i="8"/>
  <c r="AE208" i="8" s="1"/>
  <c r="F208" i="8" s="1"/>
  <c r="AE167" i="8"/>
  <c r="AE168" i="8" s="1"/>
  <c r="F168" i="8" s="1"/>
  <c r="AE61" i="12"/>
  <c r="AE81" i="12"/>
  <c r="AE582" i="2"/>
  <c r="AE1532" i="8" s="1"/>
  <c r="F1532" i="8" s="1"/>
  <c r="AE223" i="8"/>
  <c r="AE224" i="8" s="1"/>
  <c r="F224" i="8" s="1"/>
  <c r="AC1534" i="8"/>
  <c r="AC1526" i="8"/>
  <c r="AE87" i="8"/>
  <c r="AE88" i="8" s="1"/>
  <c r="F88" i="8" s="1"/>
  <c r="AE32" i="12"/>
  <c r="AE39" i="8"/>
  <c r="AE40" i="8" s="1"/>
  <c r="F40" i="8" s="1"/>
  <c r="AE14" i="12"/>
  <c r="AE98" i="12"/>
  <c r="AE279" i="8"/>
  <c r="AE280" i="8" s="1"/>
  <c r="F280" i="8" s="1"/>
  <c r="AE55" i="8"/>
  <c r="AE56" i="8" s="1"/>
  <c r="F56" i="8" s="1"/>
  <c r="AE21" i="12"/>
  <c r="AE50" i="12" l="1"/>
  <c r="AE147" i="8"/>
  <c r="AE148" i="8" s="1"/>
  <c r="F148" i="8" s="1"/>
  <c r="AE143" i="8"/>
  <c r="AE144" i="8" s="1"/>
  <c r="F144" i="8" s="1"/>
  <c r="AE49" i="12"/>
  <c r="AE6" i="12"/>
  <c r="AE7" i="8"/>
  <c r="AE8" i="8" s="1"/>
  <c r="F8" i="8" s="1"/>
  <c r="AE63" i="2"/>
  <c r="AE1522" i="8" s="1"/>
  <c r="F1522" i="8" s="1"/>
  <c r="AE10" i="12"/>
  <c r="AE23" i="8"/>
  <c r="AE24" i="8" s="1"/>
  <c r="F24" i="8" s="1"/>
  <c r="AE127" i="8"/>
  <c r="AE128" i="8" s="1"/>
  <c r="F128" i="8" s="1"/>
  <c r="AE45" i="12"/>
  <c r="AE65" i="12"/>
  <c r="AE183" i="8"/>
  <c r="AE184" i="8" s="1"/>
  <c r="F184" i="8" s="1"/>
  <c r="AE11" i="8"/>
  <c r="AE12" i="8" s="1"/>
  <c r="F12" i="8" s="1"/>
  <c r="AE7" i="12"/>
  <c r="AE1535" i="8"/>
  <c r="F1535" i="8" s="1"/>
  <c r="AE1527" i="8"/>
  <c r="F1527" i="8" s="1"/>
  <c r="AD102" i="12"/>
  <c r="AD1473" i="8" s="1"/>
  <c r="AD1490" i="8"/>
  <c r="AD1534" i="8"/>
  <c r="AD1526" i="8"/>
  <c r="AD1487" i="8"/>
  <c r="AD66" i="12"/>
  <c r="AD1470" i="8" s="1"/>
  <c r="AE90" i="12"/>
  <c r="AE1472" i="8" s="1"/>
  <c r="F1472" i="8" s="1"/>
  <c r="AE1489" i="8"/>
  <c r="F1489" i="8" s="1"/>
  <c r="AE44" i="12"/>
  <c r="AE123" i="8"/>
  <c r="AE124" i="8" s="1"/>
  <c r="F124" i="8" s="1"/>
  <c r="AE271" i="8"/>
  <c r="AE272" i="8" s="1"/>
  <c r="F272" i="8" s="1"/>
  <c r="AE96" i="12"/>
  <c r="AD51" i="12"/>
  <c r="AE42" i="12"/>
  <c r="AE115" i="8"/>
  <c r="AE116" i="8" s="1"/>
  <c r="F116" i="8" s="1"/>
  <c r="AE243" i="2"/>
  <c r="AE1525" i="8" s="1"/>
  <c r="F1525" i="8" s="1"/>
  <c r="AE57" i="12"/>
  <c r="AE151" i="8"/>
  <c r="AE152" i="8" s="1"/>
  <c r="F152" i="8" s="1"/>
  <c r="AE462" i="2"/>
  <c r="AE1530" i="8" s="1"/>
  <c r="F1530" i="8" s="1"/>
  <c r="AD15" i="12"/>
  <c r="AE1536" i="8"/>
  <c r="F1536" i="8" s="1"/>
  <c r="AE1528" i="8"/>
  <c r="F1528" i="8" s="1"/>
  <c r="AD1537" i="8"/>
  <c r="AD1529" i="8"/>
  <c r="AE93" i="12"/>
  <c r="AE259" i="8"/>
  <c r="AE260" i="8" s="1"/>
  <c r="F260" i="8" s="1"/>
  <c r="AE642" i="2"/>
  <c r="AE1533" i="8" s="1"/>
  <c r="F1533" i="8" s="1"/>
  <c r="AE27" i="12"/>
  <c r="AE275" i="8"/>
  <c r="AE276" i="8" s="1"/>
  <c r="F276" i="8" s="1"/>
  <c r="AE97" i="12"/>
  <c r="AE119" i="8"/>
  <c r="AE120" i="8" s="1"/>
  <c r="F120" i="8" s="1"/>
  <c r="AE43" i="12"/>
  <c r="AE1488" i="8"/>
  <c r="F1488" i="8" s="1"/>
  <c r="AE78" i="12"/>
  <c r="AE1471" i="8" s="1"/>
  <c r="F1471" i="8" s="1"/>
  <c r="AD1468" i="8"/>
  <c r="AD1482" i="8"/>
  <c r="AD1483" i="8" s="1"/>
  <c r="AC1469" i="8"/>
  <c r="AC1485" i="8"/>
  <c r="AC1486" i="8" s="1"/>
  <c r="AE39" i="12"/>
  <c r="AE58" i="12"/>
  <c r="AE155" i="8"/>
  <c r="AE156" i="8" s="1"/>
  <c r="F156" i="8" s="1"/>
  <c r="AE59" i="12"/>
  <c r="AE159" i="8"/>
  <c r="AE160" i="8" s="1"/>
  <c r="F160" i="8" s="1"/>
  <c r="AD1467" i="8"/>
  <c r="AD1479" i="8"/>
  <c r="AD1480" i="8" s="1"/>
  <c r="AE31" i="8"/>
  <c r="AE32" i="8" s="1"/>
  <c r="F32" i="8" s="1"/>
  <c r="AE12" i="12"/>
  <c r="AE1468" i="8" l="1"/>
  <c r="F1468" i="8" s="1"/>
  <c r="AE1482" i="8"/>
  <c r="AE1483" i="8" s="1"/>
  <c r="F1483" i="8" s="1"/>
  <c r="AD1476" i="8"/>
  <c r="AD1477" i="8" s="1"/>
  <c r="AD1466" i="8"/>
  <c r="AE1534" i="8"/>
  <c r="F1534" i="8" s="1"/>
  <c r="AE1526" i="8"/>
  <c r="F1526" i="8" s="1"/>
  <c r="AE15" i="12"/>
  <c r="AE1487" i="8"/>
  <c r="F1487" i="8" s="1"/>
  <c r="AE66" i="12"/>
  <c r="AE1470" i="8" s="1"/>
  <c r="F1470" i="8" s="1"/>
  <c r="D2" i="8"/>
  <c r="AE1490" i="8"/>
  <c r="F1490" i="8" s="1"/>
  <c r="AE102" i="12"/>
  <c r="AE1473" i="8" s="1"/>
  <c r="F1473" i="8" s="1"/>
  <c r="D3" i="8"/>
  <c r="AE1479" i="8"/>
  <c r="AE1480" i="8" s="1"/>
  <c r="F1480" i="8" s="1"/>
  <c r="G1480" i="8" s="1"/>
  <c r="AE1467" i="8"/>
  <c r="F1467" i="8" s="1"/>
  <c r="AE51" i="12"/>
  <c r="AE1537" i="8"/>
  <c r="F1537" i="8" s="1"/>
  <c r="AE1529" i="8"/>
  <c r="F1529" i="8" s="1"/>
  <c r="AD1485" i="8"/>
  <c r="AD1486" i="8" s="1"/>
  <c r="AD1469" i="8"/>
  <c r="D1496" i="8" l="1"/>
  <c r="AE1476" i="8"/>
  <c r="AE1477" i="8" s="1"/>
  <c r="F1477" i="8" s="1"/>
  <c r="G1477" i="8" s="1"/>
  <c r="AE1466" i="8"/>
  <c r="F1466" i="8" s="1"/>
  <c r="AE1469" i="8"/>
  <c r="F1469" i="8" s="1"/>
  <c r="AE1485" i="8"/>
  <c r="AE1486" i="8" s="1"/>
  <c r="F1486" i="8" s="1"/>
  <c r="D1464" i="8" l="1"/>
</calcChain>
</file>

<file path=xl/sharedStrings.xml><?xml version="1.0" encoding="utf-8"?>
<sst xmlns="http://schemas.openxmlformats.org/spreadsheetml/2006/main" count="12213" uniqueCount="2458">
  <si>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</si>
  <si>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</si>
  <si>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</si>
  <si>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</si>
  <si>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</si>
  <si>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</si>
  <si>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</si>
  <si>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</si>
  <si>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</si>
  <si>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</si>
  <si>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</si>
  <si>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</si>
  <si>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</si>
  <si>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</si>
  <si>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</si>
  <si>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</si>
  <si>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</si>
  <si>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</si>
  <si>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</si>
  <si>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</si>
  <si>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</si>
  <si>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</si>
  <si>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</si>
  <si>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</si>
  <si>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</si>
  <si>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</si>
  <si>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</si>
  <si>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</si>
  <si>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</si>
  <si>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</si>
  <si>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</si>
  <si>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</si>
  <si>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</si>
  <si>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</si>
  <si>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</si>
  <si>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</si>
  <si>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</si>
  <si>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</si>
  <si>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</si>
  <si>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</si>
  <si>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</si>
  <si>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</si>
  <si>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</si>
  <si>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</si>
  <si>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</si>
  <si>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</si>
  <si>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</si>
  <si>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</si>
  <si>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</si>
  <si>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</si>
  <si>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</si>
  <si>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</si>
  <si>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</si>
  <si>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</si>
  <si>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</si>
  <si>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</si>
  <si>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</si>
  <si>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</si>
  <si>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</si>
  <si>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</si>
  <si>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</si>
  <si>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</si>
  <si>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</si>
  <si>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</si>
  <si>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</si>
  <si>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</si>
  <si>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</si>
  <si>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</si>
  <si>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</si>
  <si>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</si>
  <si>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</si>
  <si>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</si>
  <si>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</si>
  <si>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</si>
  <si>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</si>
  <si>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</si>
  <si>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</si>
  <si>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</si>
  <si>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</si>
  <si>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</si>
  <si>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</si>
  <si>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</si>
  <si>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</si>
  <si>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</si>
  <si>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</si>
  <si>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</si>
  <si>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</si>
  <si>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</si>
  <si>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</si>
  <si>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</si>
  <si>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</si>
  <si>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</si>
  <si>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</si>
  <si>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</si>
  <si>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</si>
  <si>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</si>
  <si>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</si>
  <si>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</si>
  <si>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</si>
  <si>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</si>
  <si>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</si>
  <si>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</si>
  <si>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</si>
  <si>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</si>
  <si>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</si>
  <si>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</si>
  <si>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</si>
  <si>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</si>
  <si>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</si>
  <si>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</si>
  <si>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</si>
  <si>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</si>
  <si>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</si>
  <si>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</si>
  <si>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</si>
  <si>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</si>
  <si>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</si>
  <si>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</si>
  <si>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</si>
  <si>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</si>
  <si>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</si>
  <si>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</si>
  <si>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</si>
  <si>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</si>
  <si>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</si>
  <si>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</si>
  <si>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</si>
  <si>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</si>
  <si>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</si>
  <si>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</si>
  <si>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</si>
  <si>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</si>
  <si>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</si>
  <si>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</si>
  <si>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</si>
  <si>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</si>
  <si>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</si>
  <si>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</si>
  <si>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</si>
  <si>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</si>
  <si>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</si>
  <si>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</si>
  <si>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</si>
  <si>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</si>
  <si>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</si>
  <si>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</si>
  <si>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</si>
  <si>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</si>
  <si>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</si>
  <si>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</si>
  <si>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</si>
  <si>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</si>
  <si>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</si>
  <si>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</si>
  <si>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</si>
  <si>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</si>
  <si>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</si>
  <si>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</si>
  <si>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</si>
  <si>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</si>
  <si>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</si>
  <si>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</si>
  <si>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</si>
  <si>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</si>
  <si>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</si>
  <si>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</si>
  <si>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</si>
  <si>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</si>
  <si>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</si>
  <si>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</si>
  <si>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</si>
  <si>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</si>
  <si>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</si>
  <si>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</si>
  <si>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</si>
  <si>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</si>
  <si>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</si>
  <si>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</si>
  <si>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</si>
  <si>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</si>
  <si>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</si>
  <si>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</si>
  <si>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</si>
  <si>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</si>
  <si>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</si>
  <si>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</si>
  <si>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</si>
  <si>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</si>
  <si>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</si>
  <si>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</si>
  <si>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</si>
  <si>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</si>
  <si>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</si>
  <si>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</si>
  <si>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</si>
  <si>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</si>
  <si>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</si>
  <si>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</si>
  <si>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</si>
  <si>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</si>
  <si>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</si>
  <si>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</si>
  <si>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</si>
  <si>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</si>
  <si>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</si>
  <si>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</si>
  <si>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</si>
  <si>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</si>
  <si>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</si>
  <si>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</si>
  <si>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</si>
  <si>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</si>
  <si>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</si>
  <si>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</si>
  <si>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</si>
  <si>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</si>
  <si>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</si>
  <si>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</si>
  <si>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</si>
  <si>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</si>
  <si>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</si>
  <si>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</si>
  <si>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</si>
  <si>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</si>
  <si>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</si>
  <si>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</si>
  <si>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</si>
  <si>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</si>
  <si>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</si>
  <si>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</si>
  <si>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</si>
  <si>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</si>
  <si>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</si>
  <si>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</si>
  <si>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</si>
  <si>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</si>
  <si>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</si>
  <si>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</si>
  <si>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</si>
  <si>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</si>
  <si>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</si>
  <si>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</si>
  <si>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</si>
  <si>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</si>
  <si>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</si>
  <si>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</si>
  <si>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</si>
  <si>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</si>
  <si>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</si>
  <si>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</si>
  <si>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</si>
  <si>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</si>
  <si>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</si>
  <si>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</si>
  <si>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</si>
  <si>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</si>
  <si>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</si>
  <si>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</si>
  <si>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</si>
  <si>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</si>
  <si>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</si>
  <si>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</si>
  <si>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</si>
  <si>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</si>
  <si>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</si>
  <si>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</si>
  <si>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</si>
  <si>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</si>
  <si>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</si>
  <si>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</si>
  <si>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</si>
  <si>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</si>
  <si>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</si>
  <si>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</si>
  <si>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</si>
  <si>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</si>
  <si>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</si>
  <si>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</si>
  <si>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</si>
  <si>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</si>
  <si>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</si>
  <si>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</si>
  <si>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</si>
  <si>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</si>
  <si>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</si>
  <si>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</si>
  <si>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</si>
  <si>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</si>
  <si>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</si>
  <si>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</si>
  <si>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</si>
  <si>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</si>
  <si>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</si>
  <si>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</si>
  <si>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</si>
  <si>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</si>
  <si>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</si>
  <si>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</si>
  <si>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</si>
  <si>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</si>
  <si>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</si>
  <si>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</si>
  <si>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</si>
  <si>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</si>
  <si>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</si>
  <si>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</si>
  <si>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</si>
  <si>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</si>
  <si>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</si>
  <si>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</si>
  <si>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</si>
  <si>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</si>
  <si>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</si>
  <si>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</si>
  <si>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</si>
  <si>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</si>
  <si>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</si>
  <si>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</si>
  <si>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</si>
  <si>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</si>
  <si>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</si>
  <si>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</si>
  <si>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</si>
  <si>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</si>
  <si>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</si>
  <si>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</si>
  <si>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</si>
  <si>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</si>
  <si>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</si>
  <si>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</si>
  <si>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</si>
  <si>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</si>
  <si>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</si>
  <si>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</si>
  <si>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</si>
  <si>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</si>
  <si>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</si>
  <si>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</si>
  <si>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</si>
  <si>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</si>
  <si>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</si>
  <si>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</si>
  <si>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</si>
  <si>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</si>
  <si>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</si>
  <si>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</si>
  <si>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</si>
  <si>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</si>
  <si>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</si>
  <si>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</si>
  <si>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</si>
  <si>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</si>
  <si>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</si>
  <si>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</si>
  <si>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</si>
  <si>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</si>
  <si>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</si>
  <si>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</si>
  <si>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</si>
  <si>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</si>
  <si>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</si>
  <si>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</si>
  <si>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</si>
  <si>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</si>
  <si>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</si>
  <si>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</si>
  <si>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</si>
  <si>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</si>
  <si>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</si>
  <si>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</si>
  <si>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</si>
  <si>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</si>
  <si>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</si>
  <si>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</si>
  <si>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</si>
  <si>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</si>
  <si>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</si>
  <si>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</si>
  <si>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</si>
  <si>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</si>
  <si>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</si>
  <si>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</si>
  <si>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</si>
  <si>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</si>
  <si>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</si>
  <si>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</si>
  <si>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</si>
  <si>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</si>
  <si>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</si>
  <si>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</si>
  <si>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</si>
  <si>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</si>
  <si>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</si>
  <si>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</si>
  <si>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</si>
  <si>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</si>
  <si>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</si>
  <si>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</si>
  <si>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</si>
  <si>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</si>
  <si>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</si>
  <si>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</si>
  <si>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</si>
  <si>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</si>
  <si>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</si>
  <si>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</si>
  <si>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</si>
  <si>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</si>
  <si>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</si>
  <si>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</si>
  <si>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</si>
  <si>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</si>
  <si>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</si>
  <si>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</si>
  <si>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</si>
  <si>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</si>
  <si>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</si>
  <si>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</si>
  <si>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</si>
  <si>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</si>
  <si>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</si>
  <si>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</si>
  <si>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</si>
  <si>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</si>
  <si>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</si>
  <si>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</si>
  <si>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</si>
  <si>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</si>
  <si>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</si>
  <si>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</si>
  <si>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</si>
  <si>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</si>
  <si>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</si>
  <si>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</si>
  <si>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</si>
  <si>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</si>
  <si>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</si>
  <si>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</si>
  <si>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</si>
  <si>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</si>
  <si>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</si>
  <si>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</si>
  <si>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</si>
  <si>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</si>
  <si>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</si>
  <si>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</si>
  <si>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</si>
  <si>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</si>
  <si>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</si>
  <si>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</si>
  <si>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</si>
  <si>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</si>
  <si>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</si>
  <si>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</si>
  <si>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</si>
  <si>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</si>
  <si>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</si>
  <si>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</si>
  <si>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</si>
  <si>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</si>
  <si>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</si>
  <si>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</si>
  <si>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</si>
  <si>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</si>
  <si>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</si>
  <si>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</si>
  <si>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</si>
  <si>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</si>
  <si>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</si>
  <si>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</si>
  <si>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</si>
  <si>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</si>
  <si>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</si>
  <si>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</si>
  <si>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</si>
  <si>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</si>
  <si>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</si>
  <si>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</si>
  <si>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</si>
  <si>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</si>
  <si>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</si>
  <si>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</si>
  <si>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</si>
  <si>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</si>
  <si>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</si>
  <si>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</si>
  <si>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</si>
  <si>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</si>
  <si>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</si>
  <si>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</si>
  <si>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</si>
  <si>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</si>
  <si>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</si>
  <si>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</si>
  <si>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</si>
  <si>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</si>
  <si>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</si>
  <si>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</si>
  <si>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</si>
  <si>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</si>
  <si>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</si>
  <si>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</si>
  <si>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</si>
  <si>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</si>
  <si>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</si>
  <si>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</si>
  <si>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</si>
  <si>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</si>
  <si>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</si>
  <si>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</si>
  <si>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</si>
  <si>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</si>
  <si>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</si>
  <si>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</si>
  <si>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</si>
  <si>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</si>
  <si>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</si>
  <si>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</si>
  <si>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</si>
  <si>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</si>
  <si>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</si>
  <si>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</si>
  <si>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</si>
  <si>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</si>
  <si>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</si>
  <si>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</si>
  <si>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</si>
  <si>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</si>
  <si>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</si>
  <si>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</si>
  <si>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</si>
  <si>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</si>
  <si>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</si>
  <si>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</si>
  <si>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</si>
  <si>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</si>
  <si>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</si>
  <si>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</si>
  <si>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</si>
  <si>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</si>
  <si>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</si>
  <si>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</si>
  <si>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</si>
  <si>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</si>
  <si>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</si>
  <si>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</si>
  <si>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</si>
  <si>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</si>
  <si>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</si>
  <si>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</si>
  <si>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</si>
  <si>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</si>
  <si>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</si>
  <si>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</si>
  <si>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</si>
  <si>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</si>
  <si>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</si>
  <si>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</si>
  <si>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</si>
  <si>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</si>
  <si>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</si>
  <si>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</si>
  <si>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</si>
  <si>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</si>
  <si>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</si>
  <si>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</si>
  <si>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</si>
  <si>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</si>
  <si>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</si>
  <si>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</si>
  <si>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</si>
  <si>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</si>
  <si>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</si>
  <si>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</si>
  <si>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</si>
  <si>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</si>
  <si>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</si>
  <si>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</si>
  <si>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</si>
  <si>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</si>
  <si>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</si>
  <si>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</si>
  <si>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</si>
  <si>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</si>
  <si>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</si>
  <si>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</si>
  <si>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</si>
  <si>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</si>
  <si>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</si>
  <si>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</si>
  <si>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</si>
  <si>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</si>
  <si>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</si>
  <si>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</si>
  <si>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</si>
  <si>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</si>
  <si>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</si>
  <si>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</si>
  <si>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</si>
  <si>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</si>
  <si>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</si>
  <si>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</si>
  <si>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</si>
  <si>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</si>
  <si>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</si>
  <si>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</si>
  <si>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</si>
  <si>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</si>
  <si>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</si>
  <si>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</si>
  <si>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</si>
  <si>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</si>
  <si>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</si>
  <si>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</si>
  <si>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</si>
  <si>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</si>
  <si>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</si>
  <si>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</si>
  <si>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</si>
  <si>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</si>
  <si>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</si>
  <si>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</si>
  <si>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</si>
  <si>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</si>
  <si>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</si>
  <si>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</si>
  <si>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</si>
  <si>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</si>
  <si>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</si>
  <si>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</si>
  <si>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</si>
  <si>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</si>
  <si>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</si>
  <si>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</si>
  <si>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</si>
  <si>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</si>
  <si>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</si>
  <si>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</si>
  <si>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</si>
  <si>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</si>
  <si>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</si>
  <si>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</si>
  <si>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</si>
  <si>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</si>
  <si>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</si>
  <si>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</si>
  <si>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</si>
  <si>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</si>
  <si>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</si>
  <si>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</si>
  <si>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</si>
  <si>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</si>
  <si>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</si>
  <si>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</si>
  <si>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</si>
  <si>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</si>
  <si>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</si>
  <si>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</si>
  <si>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</si>
  <si>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</si>
  <si>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</si>
  <si>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</si>
  <si>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</si>
  <si>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</si>
  <si>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</si>
  <si>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</si>
  <si>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</si>
  <si>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</si>
  <si>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</si>
  <si>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</si>
  <si>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</si>
  <si>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</si>
  <si>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</si>
  <si>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</si>
  <si>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</si>
  <si>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</si>
  <si>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</si>
  <si>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</si>
  <si>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</si>
  <si>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</si>
  <si>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</si>
  <si>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</si>
  <si>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</si>
  <si>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</si>
  <si>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</si>
  <si>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</si>
  <si>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</si>
  <si>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</si>
  <si>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</si>
  <si>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</si>
  <si>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</si>
  <si>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</si>
  <si>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</si>
  <si>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</si>
  <si>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</si>
  <si>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</si>
  <si>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</si>
  <si>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</si>
  <si>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</si>
  <si>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</si>
  <si>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</si>
  <si>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</si>
  <si>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</si>
  <si>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</si>
  <si>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</si>
  <si>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</si>
  <si>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</si>
  <si>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</si>
  <si>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</si>
  <si>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</si>
  <si>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</si>
  <si>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</si>
  <si>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</si>
  <si>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</si>
  <si>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</si>
  <si>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</si>
  <si>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</si>
  <si>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</si>
  <si>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</si>
  <si>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</si>
  <si>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</si>
  <si>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</si>
  <si>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</si>
  <si>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</si>
  <si>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</si>
  <si>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</si>
  <si>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</si>
  <si>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</si>
  <si>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</si>
  <si>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</si>
  <si>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</si>
  <si>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</si>
  <si>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</si>
  <si>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</si>
  <si>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</si>
  <si>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</si>
  <si>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</si>
  <si>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</si>
  <si>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</si>
  <si>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</si>
  <si>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</si>
  <si>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</si>
  <si>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</si>
  <si>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</si>
  <si>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</si>
  <si>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</si>
  <si>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</si>
  <si>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</si>
  <si>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</si>
  <si>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</si>
  <si>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</si>
  <si>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</si>
  <si>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</si>
  <si>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</si>
  <si>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</si>
  <si>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</si>
  <si>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</si>
  <si>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</si>
  <si>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</si>
  <si>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</si>
  <si>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</si>
  <si>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</si>
  <si>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</si>
  <si>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</si>
  <si>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</si>
  <si>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</si>
  <si>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</si>
  <si>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</si>
  <si>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</si>
  <si>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</si>
  <si>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</si>
  <si>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</si>
  <si>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</si>
  <si>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</si>
  <si>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</si>
  <si>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</si>
  <si>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</si>
  <si>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</si>
  <si>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</si>
  <si>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</si>
  <si>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</si>
  <si>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</si>
  <si>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</si>
  <si>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</si>
  <si>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</si>
  <si>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</si>
  <si>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</si>
  <si>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</si>
  <si>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</si>
  <si>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</si>
  <si>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</si>
  <si>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</si>
  <si>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</si>
  <si>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</si>
  <si>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</si>
  <si>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</si>
  <si>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</si>
  <si>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</si>
  <si>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</si>
  <si>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</si>
  <si>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</si>
  <si>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</si>
  <si>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</si>
  <si>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</si>
  <si>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</si>
  <si>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</si>
  <si>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</si>
  <si>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</si>
  <si>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</si>
  <si>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</si>
  <si>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</si>
  <si>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</si>
  <si>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</si>
  <si>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</si>
  <si>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</si>
  <si>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</si>
  <si>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</si>
  <si>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</si>
  <si>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</si>
  <si>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</si>
  <si>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</si>
  <si>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</si>
  <si>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</si>
  <si>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</si>
  <si>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</si>
  <si>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</si>
  <si>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</si>
  <si>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</si>
  <si>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</si>
  <si>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</si>
  <si>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</si>
  <si>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</si>
  <si>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</si>
  <si>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</si>
  <si>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</si>
  <si>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</si>
  <si>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</si>
  <si>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</si>
  <si>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</si>
  <si>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</si>
  <si>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</si>
  <si>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</si>
  <si>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</si>
  <si>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</si>
  <si>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</si>
  <si>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</si>
  <si>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</si>
  <si>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</si>
  <si>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</si>
  <si>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</si>
  <si>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</si>
  <si>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</si>
  <si>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</si>
  <si>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</si>
  <si>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</si>
  <si>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</si>
  <si>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</si>
  <si>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</si>
  <si>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</si>
  <si>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</si>
  <si>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</si>
  <si>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</si>
  <si>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</si>
  <si>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</si>
  <si>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</si>
  <si>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</si>
  <si>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</si>
  <si>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</si>
  <si>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</si>
  <si>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</si>
  <si>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</si>
  <si>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</si>
  <si>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</si>
  <si>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</si>
  <si>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</si>
  <si>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</si>
  <si>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</si>
  <si>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</si>
  <si>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</si>
  <si>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</si>
  <si>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</si>
  <si>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</si>
  <si>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</si>
  <si>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</si>
  <si>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</si>
  <si>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</si>
  <si>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</si>
  <si>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</si>
  <si>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</si>
  <si>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</si>
  <si>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</si>
  <si>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</si>
  <si>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</si>
  <si>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</si>
  <si>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</si>
  <si>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</si>
  <si>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</si>
  <si>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</si>
  <si>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</si>
  <si>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</si>
  <si>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</si>
  <si>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</si>
  <si>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</si>
  <si>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</si>
  <si>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</si>
  <si>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</si>
  <si>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</si>
  <si>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</si>
  <si>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</si>
  <si>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</si>
  <si>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</si>
  <si>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</si>
  <si>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</si>
  <si>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</si>
  <si>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</si>
  <si>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</si>
  <si>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</si>
  <si>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</si>
  <si>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</si>
  <si>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</si>
  <si>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</si>
  <si>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</si>
  <si>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</si>
  <si>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</si>
  <si>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</si>
  <si>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</si>
  <si>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</si>
  <si>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</si>
  <si>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</si>
  <si>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</si>
  <si>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</si>
  <si>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</si>
  <si>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</si>
  <si>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</si>
  <si>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</si>
  <si>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</si>
  <si>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</si>
  <si>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</si>
  <si>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</si>
  <si>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</si>
  <si>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</si>
  <si>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</si>
  <si>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</si>
  <si>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</si>
  <si>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</si>
  <si>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</si>
  <si>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</si>
  <si>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</si>
  <si>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</si>
  <si>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</si>
  <si>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</si>
  <si>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</si>
  <si>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</si>
  <si>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</si>
  <si>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</si>
  <si>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</si>
  <si>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</si>
  <si>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</si>
  <si>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</si>
  <si>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</si>
  <si>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</si>
  <si>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</si>
  <si>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</si>
  <si>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</si>
  <si>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</si>
  <si>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</si>
  <si>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</si>
  <si>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</si>
  <si>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</si>
  <si>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</si>
  <si>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</si>
  <si>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</si>
  <si>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</si>
  <si>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</si>
  <si>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</si>
  <si>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</si>
  <si>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</si>
  <si>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</si>
  <si>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</si>
  <si>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</si>
  <si>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</si>
  <si>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</si>
  <si>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</si>
  <si>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</si>
  <si>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</si>
  <si>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</si>
  <si>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</si>
  <si>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</si>
  <si>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</si>
  <si>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</si>
  <si>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</si>
  <si>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</si>
  <si>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</si>
  <si>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</si>
  <si>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</si>
  <si>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</si>
  <si>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</si>
  <si>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</si>
  <si>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</si>
  <si>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</si>
  <si>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</si>
  <si>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</si>
  <si>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</si>
  <si>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</si>
  <si>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</si>
  <si>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</si>
  <si>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</si>
  <si>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</si>
  <si>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</si>
  <si>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</si>
  <si>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</si>
  <si>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</si>
  <si>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</si>
  <si>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</si>
  <si>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</si>
  <si>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</si>
  <si>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</si>
  <si>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</si>
  <si>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</si>
  <si>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</si>
  <si>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</si>
  <si>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</si>
  <si>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</si>
  <si>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</si>
  <si>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</si>
  <si>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</si>
  <si>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</si>
  <si>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</si>
  <si>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</si>
  <si>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</si>
  <si>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</si>
  <si>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</si>
  <si>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</si>
  <si>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</si>
  <si>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</si>
  <si>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</si>
  <si>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</si>
  <si>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</si>
  <si>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</si>
  <si>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</si>
  <si>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</si>
  <si>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</si>
  <si>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</si>
  <si>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</si>
  <si>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</si>
  <si>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</si>
  <si>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</si>
  <si>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</si>
  <si>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</si>
  <si>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</si>
  <si>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</si>
  <si>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</si>
  <si>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</si>
  <si>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</si>
  <si>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</si>
  <si>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</si>
  <si>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</si>
  <si>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</si>
  <si>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</si>
  <si>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</si>
  <si>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</si>
  <si>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</si>
  <si>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</si>
  <si>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</si>
  <si>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</si>
  <si>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</si>
  <si>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</si>
  <si>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</si>
  <si>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</si>
  <si>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</si>
  <si>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</si>
  <si>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</si>
  <si>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</si>
  <si>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</si>
  <si>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</si>
  <si>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</si>
  <si>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</si>
  <si>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</si>
  <si>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</si>
  <si>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</si>
  <si>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</si>
  <si>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</si>
  <si>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</si>
  <si>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</si>
  <si>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</si>
  <si>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</si>
  <si>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</si>
  <si>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</si>
  <si>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</si>
  <si>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</si>
  <si>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</si>
  <si>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</si>
  <si>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</si>
  <si>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</si>
  <si>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</si>
  <si>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</si>
  <si>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</si>
  <si>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</si>
  <si>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</si>
  <si>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</si>
  <si>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</si>
  <si>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</si>
  <si>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</si>
  <si>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</si>
  <si>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</si>
  <si>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</si>
  <si>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</si>
  <si>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</si>
  <si>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</si>
  <si>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</si>
  <si>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</si>
  <si>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</si>
  <si>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</si>
  <si>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</si>
  <si>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</si>
  <si>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</si>
  <si>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</si>
  <si>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</si>
  <si>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</si>
  <si>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</si>
  <si>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</si>
  <si>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</si>
  <si>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</si>
  <si>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</si>
  <si>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</si>
  <si>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</si>
  <si>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</si>
  <si>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</si>
  <si>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</si>
  <si>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</si>
  <si>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</si>
  <si>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</si>
  <si>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</si>
  <si>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</si>
  <si>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</si>
  <si>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</si>
  <si>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</si>
  <si>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</si>
  <si>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</si>
  <si>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</si>
  <si>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</si>
  <si>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</si>
  <si>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</si>
  <si>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</si>
  <si>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</si>
  <si>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</si>
  <si>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</si>
  <si>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</si>
  <si>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</si>
  <si>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</si>
  <si>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</si>
  <si>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</si>
  <si>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</si>
  <si>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</si>
  <si>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</si>
  <si>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</si>
  <si>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</si>
  <si>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</si>
  <si>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</si>
  <si>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</si>
  <si>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</si>
  <si>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</si>
  <si>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</si>
  <si>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</si>
  <si>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</si>
  <si>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</si>
  <si>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</si>
  <si>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</si>
  <si>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</si>
  <si>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</si>
  <si>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</si>
  <si>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</si>
  <si>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</si>
  <si>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</si>
  <si>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</si>
  <si>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</si>
  <si>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</si>
  <si>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</si>
  <si>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</si>
  <si>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</si>
  <si>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</si>
  <si>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</si>
  <si>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</si>
  <si>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</si>
  <si>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</si>
  <si>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</si>
  <si>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</si>
  <si>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</si>
  <si>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</si>
  <si>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</si>
  <si>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</si>
  <si>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</si>
  <si>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</si>
  <si>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</si>
  <si>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</si>
  <si>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</si>
  <si>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</si>
  <si>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</si>
  <si>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</si>
  <si>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</si>
  <si>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</si>
  <si>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</si>
  <si>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</si>
  <si>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</si>
  <si>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</si>
  <si>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</si>
  <si>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</si>
  <si>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</si>
  <si>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</si>
  <si>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</si>
  <si>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</si>
  <si>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</si>
  <si>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</si>
  <si>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</si>
  <si>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</si>
  <si>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</si>
  <si>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</si>
  <si>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</si>
  <si>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</si>
  <si>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</si>
  <si>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</si>
  <si>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</si>
  <si>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</si>
  <si>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</si>
  <si>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</si>
  <si>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</si>
  <si>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</si>
  <si>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</si>
  <si>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</si>
  <si>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</si>
  <si>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</si>
  <si>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</si>
  <si>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</si>
  <si>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</si>
  <si>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</si>
  <si>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</si>
  <si>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</si>
  <si>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</si>
  <si>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</si>
  <si>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</si>
  <si>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</si>
  <si>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</si>
  <si>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</si>
  <si>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</si>
  <si>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</si>
  <si>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</si>
  <si>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</si>
  <si>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</si>
  <si>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</si>
  <si>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</si>
  <si>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</si>
  <si>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</si>
  <si>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</si>
  <si>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</si>
  <si>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</si>
  <si>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</si>
  <si>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</si>
  <si>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</si>
  <si>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</si>
  <si>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</si>
  <si>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</si>
  <si>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</si>
  <si>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</si>
  <si>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</si>
  <si>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</si>
  <si>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</si>
  <si>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</si>
  <si>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</si>
  <si>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</si>
  <si>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</si>
  <si>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</si>
  <si>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</si>
  <si>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</si>
  <si>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</si>
  <si>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</si>
  <si>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</si>
  <si>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</si>
  <si>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</si>
  <si>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</si>
  <si>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</si>
  <si>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</si>
  <si>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</si>
  <si>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</si>
  <si>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</si>
  <si>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</si>
  <si>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</si>
  <si>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</si>
  <si>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</si>
  <si>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</si>
  <si>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</si>
  <si>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</si>
  <si>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</si>
  <si>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</si>
  <si>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</si>
  <si>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</si>
  <si>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</si>
  <si>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</si>
  <si>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</si>
  <si>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</si>
  <si>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</si>
  <si>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</si>
  <si>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</si>
  <si>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</si>
  <si>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</si>
  <si>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</si>
  <si>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</si>
  <si>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</si>
  <si>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</si>
  <si>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</si>
  <si>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</si>
  <si>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</si>
  <si>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</si>
  <si>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</si>
  <si>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</si>
  <si>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</si>
  <si>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</si>
  <si>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</si>
  <si>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</si>
  <si>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</si>
  <si>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</si>
  <si>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</si>
  <si>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</si>
  <si>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</si>
  <si>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</si>
  <si>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</si>
  <si>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</si>
  <si>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</si>
  <si>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</si>
  <si>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</si>
  <si>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</si>
  <si>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</si>
  <si>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</si>
  <si>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</si>
  <si>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</si>
  <si>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</si>
  <si>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</si>
  <si>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</si>
  <si>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</si>
  <si>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</si>
  <si>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</si>
  <si>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</si>
  <si>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</si>
  <si>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</si>
  <si>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</si>
  <si>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</si>
  <si>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</si>
  <si>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</si>
  <si>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</si>
  <si>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</si>
  <si>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</si>
  <si>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</si>
  <si>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</si>
  <si>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</si>
  <si>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</si>
  <si>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</si>
  <si>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</si>
  <si>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</si>
  <si>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</si>
  <si>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</si>
  <si>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</si>
  <si>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</si>
  <si>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</si>
  <si>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</si>
  <si>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</si>
  <si>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</si>
  <si>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</si>
  <si>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</si>
  <si>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</si>
  <si>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</si>
  <si>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</si>
  <si>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</si>
  <si>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</si>
  <si>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</si>
  <si>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</si>
  <si>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</si>
  <si>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</si>
  <si>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</si>
  <si>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</si>
  <si>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</si>
  <si>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</si>
  <si>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</si>
  <si>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</si>
  <si>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</si>
  <si>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</si>
  <si>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</si>
  <si>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</si>
  <si>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</si>
  <si>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</si>
  <si>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</si>
  <si>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</si>
  <si>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</si>
  <si>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</si>
  <si>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</si>
  <si>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</si>
  <si>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</si>
  <si>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</si>
  <si>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</si>
  <si>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</si>
  <si>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</si>
  <si>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</si>
  <si>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</si>
  <si>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</si>
  <si>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</si>
  <si>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</si>
  <si>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</si>
  <si>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</si>
  <si>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</si>
  <si>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</si>
  <si>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</si>
  <si>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</si>
  <si>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</si>
  <si>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</si>
  <si>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</si>
  <si>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</si>
  <si>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</si>
  <si>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</si>
  <si>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</si>
  <si>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</si>
  <si>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</si>
  <si>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</si>
  <si>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</si>
  <si>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</si>
  <si>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</si>
  <si>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</si>
  <si>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</si>
  <si>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</si>
  <si>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</si>
  <si>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</si>
  <si>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</si>
  <si>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</si>
  <si>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</si>
  <si>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</si>
  <si>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</si>
  <si>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</si>
  <si>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</si>
  <si>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</si>
  <si>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</si>
  <si>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</si>
  <si>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</si>
  <si>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</si>
  <si>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</si>
  <si>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</si>
  <si>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</si>
  <si>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</si>
  <si>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</si>
  <si>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</si>
  <si>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</si>
  <si>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</si>
  <si>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</si>
  <si>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</si>
  <si>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</si>
  <si>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</si>
  <si>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</si>
  <si>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</si>
  <si>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</si>
  <si>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</si>
  <si>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</si>
  <si>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</si>
  <si>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</si>
  <si>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</si>
  <si>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</si>
  <si>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</si>
  <si>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</si>
  <si>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</si>
  <si>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</si>
  <si>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</si>
  <si>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</si>
  <si>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</si>
  <si>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</si>
  <si>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</si>
  <si>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</si>
  <si>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</si>
  <si>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</si>
  <si>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</si>
  <si>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</si>
  <si>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</si>
  <si>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</si>
  <si>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</si>
  <si>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</si>
  <si>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</si>
  <si>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</si>
  <si>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</si>
  <si>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</si>
  <si>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</si>
  <si>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</si>
  <si>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</si>
  <si>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</si>
  <si>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</si>
  <si>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</si>
  <si>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</si>
  <si>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</si>
  <si>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</si>
  <si>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</si>
  <si>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</si>
  <si>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</si>
  <si>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</si>
  <si>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</si>
  <si>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</si>
  <si>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</si>
  <si>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</si>
  <si>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</si>
  <si>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</si>
  <si>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</si>
  <si>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</si>
  <si>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</si>
  <si>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</si>
  <si>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</si>
  <si>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</si>
  <si>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</si>
  <si>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</si>
  <si>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</si>
  <si>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</si>
  <si>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</si>
  <si>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</si>
  <si>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</si>
  <si>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</si>
  <si>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</si>
  <si>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</si>
  <si>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</si>
  <si>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</si>
  <si>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</si>
  <si>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</si>
  <si>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</si>
  <si>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</si>
  <si>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</si>
  <si>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</si>
  <si>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</si>
  <si>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</si>
  <si>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</si>
  <si>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</si>
  <si>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</si>
  <si>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</si>
  <si>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</si>
  <si>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</si>
  <si>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</si>
  <si>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</si>
  <si>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</si>
  <si>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</si>
  <si>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</si>
  <si>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</si>
  <si>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</si>
  <si>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</si>
  <si>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</si>
  <si>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</si>
  <si>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</si>
  <si>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</si>
  <si>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</si>
  <si>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</si>
  <si>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</si>
  <si>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</si>
  <si>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</si>
  <si>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</si>
  <si>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</si>
  <si>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</si>
  <si>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</si>
  <si>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</si>
  <si>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</si>
  <si>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</si>
  <si>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</si>
  <si>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</si>
  <si>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</si>
  <si>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</si>
  <si>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</si>
  <si>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</si>
  <si>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</si>
  <si>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</si>
  <si>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</si>
  <si>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</si>
  <si>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</si>
  <si>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</si>
  <si>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</si>
  <si>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</si>
  <si>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</si>
  <si>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</si>
  <si>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</si>
  <si>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</si>
  <si>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</si>
  <si>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</si>
  <si>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</si>
  <si>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</si>
  <si>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</si>
  <si>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</si>
  <si>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</si>
  <si>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</si>
  <si>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</si>
  <si>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</si>
  <si>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</si>
  <si>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</si>
  <si>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</si>
  <si>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</si>
  <si>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</si>
  <si>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</si>
  <si>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</si>
  <si>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</si>
  <si>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</si>
  <si>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</si>
  <si>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</si>
  <si>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</si>
  <si>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</si>
  <si>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</si>
  <si>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</si>
  <si>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</si>
  <si>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</si>
  <si>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</si>
  <si>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</si>
  <si>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</si>
  <si>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</si>
  <si>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</si>
  <si>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</si>
  <si>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</si>
  <si>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</si>
  <si>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</si>
  <si>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</si>
  <si>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</si>
  <si>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</si>
  <si>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</si>
  <si>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</si>
  <si>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</si>
  <si>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</si>
  <si>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</si>
  <si>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</si>
  <si>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</si>
  <si>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</si>
  <si>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</si>
  <si>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</si>
  <si>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</si>
  <si>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</si>
  <si>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</si>
  <si>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</si>
  <si>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</si>
  <si>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</si>
  <si>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</si>
  <si>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</si>
  <si>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</si>
  <si>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</si>
  <si>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</si>
  <si>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</si>
  <si>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</si>
  <si>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</si>
  <si>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</si>
  <si>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</si>
  <si>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</si>
  <si>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</si>
  <si>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</si>
  <si>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</si>
  <si>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</si>
  <si>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</si>
  <si>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</si>
  <si>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</si>
  <si>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</si>
  <si>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</si>
  <si>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</si>
  <si>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</si>
  <si>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</si>
  <si>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</si>
  <si>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</si>
  <si>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</si>
  <si>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</si>
  <si>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</si>
  <si>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</si>
  <si>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</si>
  <si>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</si>
  <si>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</si>
  <si>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</si>
  <si>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</si>
  <si>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</si>
  <si>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</si>
  <si>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</si>
  <si>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</si>
  <si>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</si>
  <si>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</si>
  <si>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</si>
  <si>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</si>
  <si>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</si>
  <si>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</si>
  <si>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</si>
  <si>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</si>
  <si>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</si>
  <si>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</si>
  <si>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</si>
  <si>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</si>
  <si>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</si>
  <si>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</si>
  <si>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</si>
  <si>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</si>
  <si>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</si>
  <si>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</si>
  <si>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</si>
  <si>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</si>
  <si>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</si>
  <si>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</si>
  <si>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</si>
  <si>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</si>
  <si>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</si>
  <si>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</si>
  <si>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</si>
  <si>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</si>
  <si>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</si>
  <si>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</si>
  <si>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</si>
  <si>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</si>
  <si>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</si>
  <si>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</si>
  <si>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</si>
  <si>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</si>
  <si>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</si>
  <si>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</si>
  <si>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</si>
  <si>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</si>
  <si>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</si>
  <si>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</si>
  <si>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</si>
  <si>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</si>
  <si>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</si>
  <si>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</si>
  <si>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</si>
  <si>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</si>
  <si>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</si>
  <si>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</si>
  <si>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</si>
  <si>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</si>
  <si>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</si>
  <si>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</si>
  <si>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</si>
  <si>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</si>
  <si>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</si>
  <si>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</si>
  <si>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</si>
  <si>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</si>
  <si>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</si>
  <si>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</si>
  <si>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</si>
  <si>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</si>
  <si>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</si>
  <si>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</si>
  <si>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</si>
  <si>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</si>
  <si>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</si>
  <si>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</si>
  <si>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</si>
  <si>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</si>
  <si>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</si>
  <si>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</si>
  <si>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</si>
  <si>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</si>
  <si>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</si>
  <si>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</si>
  <si>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</si>
  <si>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</si>
  <si>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</si>
  <si>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</si>
  <si>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</si>
  <si>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</si>
  <si>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</si>
  <si>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</si>
  <si>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</si>
  <si>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</si>
  <si>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</si>
  <si>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</si>
  <si>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</si>
  <si>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</si>
  <si>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</si>
  <si>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</si>
  <si>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</si>
  <si>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</si>
  <si>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</si>
  <si>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</si>
  <si>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</si>
  <si>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</si>
  <si>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</si>
  <si>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</si>
  <si>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</si>
  <si>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</si>
  <si>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</si>
  <si>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</si>
  <si>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</si>
  <si>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</si>
  <si>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</si>
  <si>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</si>
  <si>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</si>
  <si>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</si>
  <si>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</si>
  <si>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</si>
  <si>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</si>
  <si>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</si>
  <si>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</si>
  <si>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</si>
  <si>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</si>
  <si>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</si>
  <si>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</si>
  <si>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</si>
  <si>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</si>
  <si>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</si>
  <si>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</si>
  <si>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</si>
  <si>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</si>
  <si>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</si>
  <si>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</si>
  <si>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</si>
  <si>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</si>
  <si>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</si>
  <si>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</si>
  <si>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</si>
  <si>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</si>
  <si>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</si>
  <si>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</si>
  <si>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</si>
  <si>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</si>
  <si>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</si>
  <si>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</si>
  <si>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</si>
  <si>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</si>
  <si>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</si>
  <si>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</si>
  <si>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</si>
  <si>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</si>
  <si>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</si>
  <si>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</si>
  <si>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</si>
  <si>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</si>
  <si>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</si>
  <si>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</si>
  <si>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</si>
  <si>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</si>
  <si>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</si>
  <si>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</si>
  <si>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</si>
  <si>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</si>
  <si>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</si>
  <si>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</si>
  <si>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</si>
  <si>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</si>
  <si>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</si>
  <si>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</si>
  <si>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</si>
  <si>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</si>
  <si>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</si>
  <si>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</si>
  <si>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</si>
  <si>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</si>
  <si>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</si>
  <si>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</si>
  <si>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</si>
  <si>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</si>
  <si>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</si>
  <si>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</si>
  <si>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</si>
  <si>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</si>
  <si>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</si>
  <si>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</si>
  <si>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</si>
  <si>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</si>
  <si>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</si>
  <si>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</si>
  <si>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</si>
  <si>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</si>
  <si>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</si>
  <si>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</si>
  <si>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</si>
  <si>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</si>
  <si>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</si>
  <si>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</si>
  <si>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</si>
  <si>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</si>
  <si>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</si>
  <si>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</si>
  <si>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</si>
  <si>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</si>
  <si>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</si>
  <si>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</si>
  <si>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</si>
  <si>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</si>
  <si>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</si>
  <si>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</si>
  <si>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</si>
  <si>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</si>
  <si>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</si>
  <si>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</si>
  <si>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</si>
  <si>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</si>
  <si>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</si>
  <si>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</si>
  <si>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</si>
  <si>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</si>
  <si>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</si>
  <si>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</si>
  <si>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</si>
  <si>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</si>
  <si>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</si>
  <si>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</si>
  <si>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</si>
  <si>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</si>
  <si>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</si>
  <si>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</si>
  <si>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</si>
  <si>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</si>
  <si>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</si>
  <si>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</si>
  <si>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</si>
  <si>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</si>
  <si>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</si>
  <si>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</si>
  <si>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</si>
  <si>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</si>
  <si>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</si>
  <si>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</si>
  <si>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</si>
  <si>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</si>
  <si>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</si>
  <si>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</si>
  <si>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</si>
  <si>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</si>
  <si>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</si>
  <si>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</si>
  <si>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</si>
  <si>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</si>
  <si>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</si>
  <si>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</si>
  <si>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</si>
  <si>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</si>
  <si>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</si>
  <si>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</si>
  <si>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</si>
  <si>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</si>
  <si>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</si>
  <si>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</si>
  <si>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</si>
  <si>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</si>
  <si>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</si>
  <si>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</si>
  <si>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</si>
  <si>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</si>
  <si>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</si>
  <si>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</si>
  <si>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</si>
  <si>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</si>
  <si>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</si>
  <si>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</si>
  <si>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</si>
  <si>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</si>
  <si>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</si>
  <si>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</si>
  <si>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</si>
  <si>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</si>
  <si>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</si>
  <si>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</si>
  <si>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</si>
  <si>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</si>
  <si>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</si>
  <si>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</si>
  <si>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</si>
  <si>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</si>
  <si>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</si>
  <si>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</si>
  <si>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</si>
  <si>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</si>
  <si>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</si>
  <si>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</si>
  <si>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</si>
  <si>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</si>
  <si>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</si>
  <si>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</si>
  <si>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</si>
  <si>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</si>
  <si>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</si>
  <si>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</si>
  <si>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</si>
  <si>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</si>
  <si>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</si>
  <si>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</si>
  <si>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</si>
  <si>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</si>
  <si>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</si>
  <si>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</si>
  <si>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</si>
  <si>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</si>
  <si>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</si>
  <si>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</si>
  <si>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</si>
  <si>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</si>
  <si>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</si>
  <si>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</si>
  <si>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</si>
  <si>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</si>
  <si>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</si>
  <si>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</si>
  <si>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</si>
  <si>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</si>
  <si>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</si>
  <si>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</si>
  <si>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</si>
  <si>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</si>
  <si>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</si>
  <si>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</si>
  <si>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</si>
  <si>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</si>
  <si>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</si>
  <si>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</si>
  <si>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</si>
  <si>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</si>
  <si>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</si>
  <si>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</si>
  <si>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</si>
  <si>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</si>
  <si>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</si>
  <si>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</si>
  <si>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</si>
  <si>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</si>
  <si>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</si>
  <si>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</si>
  <si>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</si>
  <si>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</si>
  <si>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</si>
  <si>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</si>
  <si>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</si>
  <si>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</si>
  <si>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</si>
  <si>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</si>
  <si>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</si>
  <si>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</si>
  <si>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</si>
  <si>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</si>
  <si>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</si>
  <si>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</si>
  <si>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</si>
  <si>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</si>
  <si>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</si>
  <si>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</si>
  <si>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</si>
  <si>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</si>
  <si>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</si>
  <si>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</si>
  <si>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</si>
  <si>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</si>
  <si>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</si>
  <si>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</si>
  <si>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</si>
  <si>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</si>
  <si>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</si>
  <si>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</si>
  <si>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</si>
  <si>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</si>
  <si>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</si>
  <si>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</si>
  <si>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</si>
  <si>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</si>
  <si>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v0.7branch_Stream2_v1):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</si>
  <si>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</si>
  <si>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</si>
  <si>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</si>
  <si>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</si>
  <si>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</si>
  <si>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</si>
  <si>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</si>
  <si>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</si>
  <si>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</si>
  <si>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</si>
  <si>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</si>
  <si>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</si>
  <si>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</si>
  <si>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</si>
  <si>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</si>
  <si>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</si>
  <si>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</si>
  <si>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</si>
  <si>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</si>
  <si>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</si>
  <si>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</si>
  <si>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</si>
  <si>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</si>
  <si>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Scenario 2 eco2 &gt; scenario 1 eco2 while explicit carbon price (block o1, row 645) &gt; 0 (count of fuel-years, irn)</t>
  </si>
  <si>
    <t>count</t>
  </si>
  <si>
    <t>Scenario 2 eco2 &gt; scenario 1 eco2 while explicit carbon price (block o1, row 645) &gt; 0 (count of fuel-years, cem)</t>
  </si>
  <si>
    <t>Scenario 2 eco2 &gt; scenario 1 eco2 while explicit carbon price (block o1, row 645) &gt; 0 (count of fuel-years, nfm)</t>
  </si>
  <si>
    <t>Scenario 2 eco2 &gt; scenario 1 eco2 while explicit carbon price (block o1, row 645) &gt; 0 (count of fuel-years, mch)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</si>
  <si>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</si>
  <si>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</si>
  <si>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v0.7branch_Stream2_v1</t>
  </si>
  <si>
    <t>Task F (Stream 2, branched from v0.7): energy CO2 by sector x fuel x scenario. NEW SHEETS ONLY: Data_EF (after Data_Elast; IIASA industry fuel EFs from CPAT_1_0pre_456 Mitigation rows 1001-1009 x 41868 GJ/ktoe x inventory adjustment 0.92962 (row 977, applied while MTInputs EFsAdjustmentNonAnnexI = Yes); codes egy.mit.efc.&lt;fuel&gt;, tCO2/ktoe; bio and ren = 0 as in CPAT) and Emissions_Industry (after Mitigation_Industry; same columns/years; eco2 = ener x EF / 1e6, MtCO2; codes egy.mit.eco2.&lt;sector&gt;.&lt;fuel&gt;.e.&lt;s&gt; and .tot; scenario 1 rows 5-51, scenario 2 rows 56-102). Chosen because Mitigation_Industry has no spare rows after the sector sections (single blank separators) and the CBAM spare rows are used by Stream 1; references into Mitigation_Industry are by cell (ener rows h+49..h+58 for headers 5/65/125/185 and 404/464/524/584). Merge = add the two sheets, this row, the Check section, the Scenarios note, MTInputs green on rows EmissionsFactCO2 / EFsAdjustmentNonAnnexI, and Data_EF / Emissions_Industry entries in the Sheets list above (not inserted here to keep row 25 fixed). No existing value changes. IPPU/process reconciliation is Task G.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</si>
  <si>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</si>
  <si>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</si>
  <si>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</si>
  <si>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</si>
  <si>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</si>
  <si>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</si>
  <si>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</si>
  <si>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</si>
  <si>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</si>
  <si>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</si>
  <si>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</si>
  <si>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</si>
  <si>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</si>
  <si>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</si>
  <si>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</si>
  <si>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</si>
  <si>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</si>
  <si>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</si>
  <si>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</si>
  <si>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</si>
  <si>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</si>
  <si>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</si>
  <si>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</si>
  <si>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</si>
  <si>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</si>
  <si>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</si>
  <si>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</si>
  <si>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</si>
  <si>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</si>
  <si>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</si>
  <si>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</si>
  <si>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</si>
  <si>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</si>
  <si>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</si>
  <si>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</si>
  <si>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</si>
  <si>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</si>
  <si>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</si>
  <si>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</si>
  <si>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</si>
  <si>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</si>
  <si>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</si>
  <si>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</si>
  <si>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</si>
  <si>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</si>
  <si>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</si>
  <si>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</si>
  <si>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</si>
  <si>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</si>
  <si>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</si>
  <si>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</si>
  <si>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</si>
  <si>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</si>
  <si>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</si>
  <si>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</si>
  <si>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</si>
  <si>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</si>
  <si>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</si>
  <si>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</si>
  <si>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</si>
  <si>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</si>
  <si>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</si>
  <si>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</si>
  <si>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</si>
  <si>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</si>
  <si>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</si>
  <si>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</si>
  <si>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</si>
  <si>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</si>
  <si>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</si>
  <si>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</si>
  <si>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</si>
  <si>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</si>
  <si>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</si>
  <si>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</si>
  <si>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</si>
  <si>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</si>
  <si>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</si>
  <si>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</si>
  <si>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</si>
  <si>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</si>
  <si>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</si>
  <si>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</si>
  <si>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</si>
  <si>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</si>
  <si>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</si>
  <si>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</si>
  <si>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</si>
  <si>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</si>
  <si>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</si>
  <si>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</si>
  <si>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</si>
  <si>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</si>
  <si>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</si>
  <si>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</si>
  <si>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</si>
  <si>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</si>
  <si>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</si>
  <si>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</si>
  <si>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</si>
  <si>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</si>
  <si>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</si>
  <si>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</si>
  <si>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</si>
  <si>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</si>
  <si>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</si>
  <si>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</si>
  <si>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</si>
  <si>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</si>
  <si>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</si>
  <si>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</si>
  <si>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</si>
  <si>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</si>
  <si>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</si>
  <si>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</si>
  <si>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</si>
  <si>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</si>
  <si>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</si>
  <si>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</si>
  <si>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</si>
  <si>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</si>
  <si>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</si>
  <si>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</si>
  <si>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</si>
  <si>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</si>
  <si>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</si>
  <si>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</si>
  <si>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</si>
  <si>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</si>
  <si>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</si>
  <si>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</si>
  <si>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</si>
  <si>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</si>
  <si>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</si>
  <si>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</si>
  <si>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</si>
  <si>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</si>
  <si>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</si>
  <si>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</si>
  <si>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</si>
  <si>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</si>
  <si>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</si>
  <si>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</si>
  <si>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</si>
  <si>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</si>
  <si>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</si>
  <si>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</si>
  <si>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</si>
  <si>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</si>
  <si>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</si>
  <si>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</si>
  <si>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</si>
  <si>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</si>
  <si>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</si>
  <si>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</si>
  <si>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</si>
  <si>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</si>
  <si>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</si>
  <si>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</si>
  <si>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</si>
  <si>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</si>
  <si>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</si>
  <si>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</si>
  <si>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</si>
  <si>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</si>
  <si>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</si>
  <si>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</si>
  <si>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</si>
  <si>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</si>
  <si>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</si>
  <si>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</si>
  <si>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</si>
  <si>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</si>
  <si>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</si>
  <si>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</si>
  <si>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</si>
  <si>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</si>
  <si>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</si>
  <si>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</si>
  <si>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</si>
  <si>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</si>
  <si>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</si>
  <si>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</si>
  <si>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</si>
  <si>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</si>
  <si>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</si>
  <si>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</si>
  <si>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</si>
  <si>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</si>
  <si>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</si>
  <si>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</si>
  <si>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</si>
  <si>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</si>
  <si>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</si>
  <si>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</si>
  <si>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</si>
  <si>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</si>
  <si>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</si>
  <si>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</si>
  <si>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</si>
  <si>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</si>
  <si>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</si>
  <si>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</si>
  <si>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</si>
  <si>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</si>
  <si>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</si>
  <si>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</si>
  <si>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</si>
  <si>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</si>
  <si>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</si>
  <si>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</si>
  <si>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</si>
  <si>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</si>
  <si>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</si>
  <si>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</si>
  <si>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</si>
  <si>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</si>
  <si>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</si>
  <si>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</si>
  <si>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</si>
  <si>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</si>
  <si>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</si>
  <si>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</si>
  <si>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</si>
  <si>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</si>
  <si>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</si>
  <si>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</si>
  <si>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</si>
  <si>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</si>
  <si>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</si>
  <si>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</si>
  <si>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</si>
  <si>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</si>
  <si>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</si>
  <si>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</si>
  <si>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</si>
  <si>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</si>
  <si>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</si>
  <si>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</si>
  <si>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</si>
  <si>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</si>
  <si>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</si>
  <si>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</si>
  <si>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</si>
  <si>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</si>
  <si>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</si>
  <si>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</si>
  <si>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</si>
  <si>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</si>
  <si>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</si>
  <si>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</si>
  <si>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</si>
  <si>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</si>
  <si>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</si>
  <si>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</si>
  <si>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v0.7branch_Stream2_v2):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</si>
  <si>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</si>
  <si>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max |diff| / count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</si>
  <si>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</si>
  <si>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</si>
  <si>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</si>
  <si>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</si>
  <si>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</si>
  <si>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</si>
  <si>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</si>
  <si>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</si>
  <si>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</si>
  <si>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</si>
  <si>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Efficiency-term price unchanged: sum of shp over fuels (scenario 2, irn) - v1, active bundle</t>
  </si>
  <si>
    <t>Efficiency-term price unchanged: sum of shp over fuels (scenario 2, cem) - v1, active bundle</t>
  </si>
  <si>
    <t>Efficiency-term price unchanged: sum of shp over fuels (scenario 2, nfm) - v1, active bundle</t>
  </si>
  <si>
    <t>Efficiency-term price unchanged: sum of shp over fuels (scenario 2, mch) - v1, active bundle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</si>
  <si>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</si>
  <si>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</si>
  <si>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</si>
  <si>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</si>
  <si>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- v1 for the active bundle when its theta = 0 (else 0)</t>
  </si>
  <si>
    <t>ener total scenario 2 (cem) - v1 for the active bundle when its theta = 0 (else 0)</t>
  </si>
  <si>
    <t>ener total scenario 2 (nfm) - v1 for the active bundle when its theta = 0 (else 0)</t>
  </si>
  <si>
    <t>ener total scenario 2 (mch) - v1 for the active bundle when its theta = 0 (else 0)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</si>
  <si>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</si>
  <si>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</si>
  <si>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</si>
  <si>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</si>
  <si>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</si>
  <si>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</si>
  <si>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</si>
  <si>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</si>
  <si>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</si>
  <si>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</si>
  <si>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</si>
  <si>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</si>
  <si>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</si>
  <si>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</si>
  <si>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</si>
  <si>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is exogenous until Task H.</t>
  </si>
  <si>
    <t>Stored v1 values (CPAT_Industry_Kernel_Egypt_v0.7branch_Stream2_v1, computed per bundle by looping Settings!B10 before the Task I changes); key = v1:&lt;var&gt;:&lt;scenario&gt;:&lt;sector&gt;:&lt;bundle&gt;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</si>
  <si>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</si>
  <si>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</si>
  <si>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</si>
  <si>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</si>
  <si>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</si>
  <si>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</si>
  <si>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</si>
  <si>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</si>
  <si>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</si>
  <si>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</si>
  <si>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</si>
  <si>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</si>
  <si>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</si>
  <si>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</si>
  <si>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</si>
  <si>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</si>
  <si>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</si>
  <si>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</si>
  <si>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</si>
  <si>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</si>
  <si>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</si>
  <si>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</si>
  <si>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</si>
  <si>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</si>
  <si>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</si>
  <si>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</si>
  <si>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</si>
  <si>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</si>
  <si>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</si>
  <si>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</si>
  <si>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</si>
  <si>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</si>
  <si>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</si>
  <si>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</si>
  <si>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</si>
  <si>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</si>
  <si>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</si>
  <si>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</si>
  <si>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</si>
  <si>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</si>
  <si>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</si>
  <si>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</si>
  <si>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</si>
  <si>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</si>
  <si>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</si>
  <si>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</si>
  <si>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</si>
  <si>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</si>
  <si>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</si>
  <si>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</si>
  <si>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</si>
  <si>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</si>
  <si>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</si>
  <si>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</si>
  <si>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</si>
  <si>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</si>
  <si>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</si>
  <si>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</si>
  <si>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</si>
  <si>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</si>
  <si>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</si>
  <si>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</si>
  <si>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</si>
  <si>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</si>
  <si>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</si>
  <si>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</si>
  <si>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</si>
  <si>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</si>
  <si>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</si>
  <si>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</si>
  <si>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</si>
  <si>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</si>
  <si>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</si>
  <si>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</si>
  <si>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</si>
  <si>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</si>
  <si>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</si>
  <si>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1498-1529, counts rows 1530-1533</t>
  </si>
  <si>
    <t>CPAT industry kernel - Egypt prototype v0.7branch_Stream2_v2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</si>
  <si>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v0.7branch_Stream2_v1: Task F section (row 1464). v0.7branch_Stream2_v2: Task I section (row 1496).</t>
  </si>
  <si>
    <t>v0.7branch_Stream2_v2</t>
  </si>
  <si>
    <t>Task I (Stream 2, from Stream2_v1): output-based rebating. NEW SHEET Rebate_Industry (after Emissions_Industry; Mitigation_Industry layout; scenario 1 rows 5-139, scenario 2 rows 144-278): per product rebate per t = MIN(obrrb x EU benchmark [block col Z, Manual inputs Z30:Z37], fuel + process price increase per t [block o54-o61 + o65-o72]) (cap keeps the net price &gt;= pre-tax price), net carbon cost per t, net product price increase share ppin (TASK H HOOK: wire into output; production is exogenous until Task H, so the output/usage effect acts only through the kernel energy usage term), rebate cost obr = rebate x production / 1000 (USD million) + total obr.cbam.tot; per sector rebate share rsh = MIN(1, sum rebate / sum carbon cost) and 9 net fuel prices atpn = atp - (atp - ptp) x rsh; net revenue revnet.cbam.tot = rev.cbam.tot - obr.cbam.tot. ONE FORMULA EDIT in Mitigation_Industry: the ener usage term IF(atp(t-1)&lt;=0,1,atp(t)/atp(t-1))^eU now reads the Rebate_Industry atpn row (1368 cells: columns M..AE of rows h+49..h+57 for headers 5/65/125/185 and 404/464/524/584, each asserted against the v1 R1C1 pattern first; column I note added); the efficiency term still reads shp (full price) and the block process-ER rows keep the full process price. MECHANISM CHOICE: explicit net-price rows rather than the shp/ssc wedge, because shp/ssc are separable per-fuel x per-sector series reserved for the Task J fund shadow price and carrying the rebate through them would require rewriting the atp rows; atp, shp, Data_Prices, Manual inputs and the CBAM block are untouched (block col Z benchmarks and o31-o38 / o43-o50 / o54-o61 / o65-o72 / o155 are now read). obrrb = theta x cptraj (Task E; ETS not included). Only bundle 3B (theta = 1) changes; LEGACY and every theta = 0 bundle reproduce v1 exactly (Check Task I section stores the v1 values per bundle; the build loops Settings!B10 over all bundles and asserts the section is 0). Merge = add the sheet, apply the same ener usage-term R1C1 edit, this row, the Check section, the Scenarios note and 'Read by' text; Sheets list above not extended (keeps row 25 fixed).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</si>
</sst>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10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8" zoomScaleNormal="100" workbookViewId="0">
      <selection activeCell="A36" sqref="A36:XFD36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2454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1835</v>
      </c>
      <c r="B10" s="43" t="s">
        <v>1754</v>
      </c>
      <c r="C10" t="s">
        <v>1836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1837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1838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2455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1839</v>
      </c>
      <c r="B31" s="95" t="s">
        <v>1840</v>
      </c>
      <c r="C31" t="s">
        <v>1841</v>
      </c>
    </row>
    <row r="32" spans="1:3" x14ac:dyDescent="0.45">
      <c r="A32" t="s">
        <v>1887</v>
      </c>
      <c r="B32" s="95" t="s">
        <v>1840</v>
      </c>
      <c r="C32" t="s">
        <v>1888</v>
      </c>
    </row>
    <row r="33" spans="1:3" x14ac:dyDescent="0.45">
      <c r="A33" t="s">
        <v>1916</v>
      </c>
      <c r="B33" s="95" t="s">
        <v>1840</v>
      </c>
      <c r="C33" t="s">
        <v>1917</v>
      </c>
    </row>
    <row r="34" spans="1:3" x14ac:dyDescent="0.45">
      <c r="A34" t="s">
        <v>1929</v>
      </c>
      <c r="B34" s="95" t="s">
        <v>1840</v>
      </c>
      <c r="C34" t="s">
        <v>1930</v>
      </c>
    </row>
    <row r="35" spans="1:3" x14ac:dyDescent="0.45">
      <c r="A35" t="s">
        <v>2077</v>
      </c>
      <c r="B35" s="95" t="s">
        <v>1840</v>
      </c>
      <c r="C35" t="s">
        <v>2078</v>
      </c>
    </row>
    <row r="36" spans="1:3" x14ac:dyDescent="0.45">
      <c r="A36" t="s">
        <v>2456</v>
      </c>
      <c r="B36" s="95" t="s">
        <v>1840</v>
      </c>
      <c r="C36" s="120" t="s">
        <v>2457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1868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3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1889</v>
      </c>
      <c r="N16" s="58" t="s">
        <v>1890</v>
      </c>
      <c r="O16" s="58" t="s">
        <v>1891</v>
      </c>
      <c r="P16" s="58" t="s">
        <v>1892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1889</v>
      </c>
      <c r="N26" s="56" t="s">
        <v>1890</v>
      </c>
      <c r="O26" s="56" t="s">
        <v>1891</v>
      </c>
      <c r="P26" s="56" t="s">
        <v>1892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1918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1790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1791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1792</v>
      </c>
      <c r="C44" s="53" t="s">
        <v>1793</v>
      </c>
      <c r="D44" s="53" t="s">
        <v>1788</v>
      </c>
      <c r="E44" s="53" t="s">
        <v>1415</v>
      </c>
      <c r="F44" s="53" t="s">
        <v>1789</v>
      </c>
      <c r="G44" s="94" t="s">
        <v>1794</v>
      </c>
      <c r="H44" s="53" t="s">
        <v>1919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1795</v>
      </c>
      <c r="C45" s="53" t="s">
        <v>1796</v>
      </c>
      <c r="D45" s="53" t="s">
        <v>1788</v>
      </c>
      <c r="E45" s="53" t="s">
        <v>79</v>
      </c>
      <c r="F45" s="53" t="s">
        <v>1789</v>
      </c>
      <c r="G45" s="94" t="s">
        <v>1797</v>
      </c>
      <c r="H45" s="53" t="s">
        <v>1798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1799</v>
      </c>
      <c r="C46" s="53" t="s">
        <v>1800</v>
      </c>
      <c r="D46" s="53" t="s">
        <v>1801</v>
      </c>
      <c r="E46" s="53" t="s">
        <v>79</v>
      </c>
      <c r="F46" s="53" t="s">
        <v>1789</v>
      </c>
      <c r="G46" s="94" t="s">
        <v>1802</v>
      </c>
      <c r="H46" s="53" t="s">
        <v>2332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1803</v>
      </c>
      <c r="C47" s="53" t="s">
        <v>1804</v>
      </c>
      <c r="D47" s="53" t="s">
        <v>1801</v>
      </c>
      <c r="E47" s="53" t="s">
        <v>1415</v>
      </c>
      <c r="F47" s="53" t="s">
        <v>1789</v>
      </c>
      <c r="G47" s="94" t="s">
        <v>1805</v>
      </c>
      <c r="H47" s="53" t="s">
        <v>2333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1806</v>
      </c>
      <c r="C48" s="53" t="s">
        <v>1807</v>
      </c>
      <c r="D48" s="53" t="s">
        <v>1808</v>
      </c>
      <c r="E48" s="53" t="s">
        <v>79</v>
      </c>
      <c r="F48" s="53" t="s">
        <v>1789</v>
      </c>
      <c r="G48" s="94" t="s">
        <v>1809</v>
      </c>
      <c r="H48" s="53" t="s">
        <v>1810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1811</v>
      </c>
      <c r="C49" s="53" t="s">
        <v>1812</v>
      </c>
      <c r="D49" s="53" t="s">
        <v>1813</v>
      </c>
      <c r="E49" s="53" t="s">
        <v>1415</v>
      </c>
      <c r="F49" s="53" t="s">
        <v>1789</v>
      </c>
      <c r="G49" s="94" t="s">
        <v>1814</v>
      </c>
      <c r="H49" s="53" t="s">
        <v>1815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1816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1817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1818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1817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1819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1817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1820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1817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1821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1817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1822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1817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1823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1817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1824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1817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1825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1817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1826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1827</v>
      </c>
    </row>
    <row r="62" spans="1:35" ht="13.15" x14ac:dyDescent="0.4">
      <c r="A62" s="56"/>
      <c r="B62" s="53" t="s">
        <v>1828</v>
      </c>
    </row>
    <row r="63" spans="1:35" ht="13.15" x14ac:dyDescent="0.4">
      <c r="A63" s="56"/>
      <c r="B63" s="53" t="s">
        <v>1829</v>
      </c>
    </row>
    <row r="64" spans="1:35" ht="13.15" x14ac:dyDescent="0.4">
      <c r="A64" s="56"/>
      <c r="B64" s="53" t="s">
        <v>1830</v>
      </c>
    </row>
    <row r="65" spans="1:2" ht="13.15" x14ac:dyDescent="0.4">
      <c r="A65" s="56"/>
      <c r="B65" s="53" t="s">
        <v>1831</v>
      </c>
    </row>
    <row r="66" spans="1:2" ht="13.15" x14ac:dyDescent="0.4">
      <c r="A66" s="56"/>
      <c r="B66" s="53" t="s">
        <v>1832</v>
      </c>
    </row>
    <row r="67" spans="1:2" ht="13.15" x14ac:dyDescent="0.4">
      <c r="A67" s="56"/>
      <c r="B67" s="53" t="s">
        <v>1833</v>
      </c>
    </row>
    <row r="68" spans="1:2" ht="13.15" x14ac:dyDescent="0.4">
      <c r="A68" s="56"/>
      <c r="B68" s="53" t="s">
        <v>1834</v>
      </c>
    </row>
    <row r="69" spans="1:2" x14ac:dyDescent="0.35">
      <c r="B69" s="53" t="s">
        <v>1878</v>
      </c>
    </row>
    <row r="70" spans="1:2" x14ac:dyDescent="0.35">
      <c r="B70" s="53" t="s">
        <v>1893</v>
      </c>
    </row>
    <row r="71" spans="1:2" x14ac:dyDescent="0.35">
      <c r="B71" s="53" t="s">
        <v>1920</v>
      </c>
    </row>
    <row r="72" spans="1:2" x14ac:dyDescent="0.35">
      <c r="B72" s="53" t="s">
        <v>2046</v>
      </c>
    </row>
    <row r="73" spans="1:2" x14ac:dyDescent="0.35">
      <c r="B73" s="53" t="s">
        <v>2334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91" activePane="bottomRight" state="frozen"/>
      <selection pane="topRight" activeCell="E1" sqref="E1"/>
      <selection pane="bottomLeft" activeCell="A2" sqref="A2"/>
      <selection pane="bottomRight" activeCell="A707" sqref="A707:XFD707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2260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2261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2262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2263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2264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2265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2266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2267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2268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2269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2270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2271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2272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2273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2274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2275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2276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2277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2278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2279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2280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2281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2282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2283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2284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2285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2286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2287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2288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2289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2290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2291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2292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2293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2294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2295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1863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1865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1866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1867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1905</v>
      </c>
      <c r="D258" s="72" t="s">
        <v>1906</v>
      </c>
      <c r="E258" s="72" t="s">
        <v>1873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15.80851477988204</v>
      </c>
      <c r="M258" s="72">
        <f t="shared" si="25"/>
        <v>16.333156432126469</v>
      </c>
      <c r="N258" s="72">
        <f t="shared" si="25"/>
        <v>16.8755025</v>
      </c>
      <c r="O258" s="72">
        <f t="shared" si="25"/>
        <v>17.436160520999998</v>
      </c>
      <c r="P258" s="72">
        <f t="shared" si="25"/>
        <v>18.015759258365996</v>
      </c>
      <c r="Q258" s="72">
        <f t="shared" si="25"/>
        <v>18.614949457680826</v>
      </c>
      <c r="R258" s="72">
        <f t="shared" si="25"/>
        <v>19.234404631062102</v>
      </c>
      <c r="S258" s="72">
        <f t="shared" si="25"/>
        <v>19.874821869976433</v>
      </c>
      <c r="T258" s="72">
        <f t="shared" si="25"/>
        <v>20.536922687748202</v>
      </c>
      <c r="U258" s="72">
        <f t="shared" si="25"/>
        <v>21.221453892876493</v>
      </c>
      <c r="V258" s="72">
        <f t="shared" si="25"/>
        <v>21.929188494316183</v>
      </c>
      <c r="W258" s="72">
        <f t="shared" si="25"/>
        <v>22.660926639924462</v>
      </c>
      <c r="X258" s="72">
        <f t="shared" si="25"/>
        <v>23.417496589319807</v>
      </c>
      <c r="Y258" s="72">
        <f t="shared" si="25"/>
        <v>24.199755722449424</v>
      </c>
      <c r="Z258" s="72">
        <f t="shared" si="25"/>
        <v>25.008591585210855</v>
      </c>
      <c r="AA258" s="72">
        <f t="shared" si="25"/>
        <v>25.844922973525978</v>
      </c>
      <c r="AB258" s="72">
        <f t="shared" si="25"/>
        <v>26.70970105731983</v>
      </c>
      <c r="AC258" s="72">
        <f t="shared" si="25"/>
        <v>27.603910545913184</v>
      </c>
      <c r="AD258" s="72">
        <f t="shared" si="25"/>
        <v>28.528570896396591</v>
      </c>
      <c r="AE258" s="72">
        <f t="shared" si="25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1907</v>
      </c>
      <c r="E259" s="72" t="s">
        <v>1873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5.1177315778627914</v>
      </c>
      <c r="M259" s="72">
        <f t="shared" si="26"/>
        <v>5.2880720358998579</v>
      </c>
      <c r="N259" s="72">
        <f t="shared" si="26"/>
        <v>5.4647009999999998</v>
      </c>
      <c r="O259" s="72">
        <f t="shared" si="26"/>
        <v>5.6478686219999998</v>
      </c>
      <c r="P259" s="72">
        <f t="shared" si="26"/>
        <v>5.8378354764840008</v>
      </c>
      <c r="Q259" s="72">
        <f t="shared" si="26"/>
        <v>6.0348730065378478</v>
      </c>
      <c r="R259" s="72">
        <f t="shared" si="26"/>
        <v>6.2392639888340149</v>
      </c>
      <c r="S259" s="72">
        <f t="shared" si="26"/>
        <v>6.451303018891398</v>
      </c>
      <c r="T259" s="72">
        <f t="shared" si="26"/>
        <v>6.6712970173913781</v>
      </c>
      <c r="U259" s="72">
        <f t="shared" si="26"/>
        <v>6.8995657584700698</v>
      </c>
      <c r="V259" s="72">
        <f t="shared" si="26"/>
        <v>7.1364424209471196</v>
      </c>
      <c r="W259" s="72">
        <f t="shared" si="26"/>
        <v>7.3822741634934586</v>
      </c>
      <c r="X259" s="72">
        <f t="shared" si="26"/>
        <v>7.6374227247843764</v>
      </c>
      <c r="Y259" s="72">
        <f t="shared" si="26"/>
        <v>7.9022650497302331</v>
      </c>
      <c r="Z259" s="72">
        <f t="shared" si="26"/>
        <v>8.1771939429249265</v>
      </c>
      <c r="AA259" s="72">
        <f t="shared" si="26"/>
        <v>8.4626187505023296</v>
      </c>
      <c r="AB259" s="72">
        <f t="shared" si="26"/>
        <v>8.7589660716430906</v>
      </c>
      <c r="AC259" s="72">
        <f t="shared" si="26"/>
        <v>9.0666805010286549</v>
      </c>
      <c r="AD259" s="72">
        <f t="shared" si="26"/>
        <v>9.3862254035963169</v>
      </c>
      <c r="AE259" s="72">
        <f t="shared" si="26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1908</v>
      </c>
      <c r="E260" s="72" t="s">
        <v>1873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27">SUMPRODUCT(L$276:L$283*($J$264:$J$271&gt;0)*$J$264:$J$271*(1+$J$273*(EXP(-$E$363:$E$370*($F$310:$F$317*L$308+$G$310:$G$317*L$248))-1)))/1000</f>
        <v>25.304020994313927</v>
      </c>
      <c r="M260" s="72">
        <f t="shared" si="27"/>
        <v>26.150733850694163</v>
      </c>
      <c r="N260" s="72">
        <f t="shared" si="27"/>
        <v>27.026</v>
      </c>
      <c r="O260" s="72">
        <f t="shared" si="27"/>
        <v>27.930793999999999</v>
      </c>
      <c r="P260" s="72">
        <f t="shared" si="27"/>
        <v>28.866124285999998</v>
      </c>
      <c r="Q260" s="72">
        <f t="shared" si="27"/>
        <v>29.833034380633993</v>
      </c>
      <c r="R260" s="72">
        <f t="shared" si="27"/>
        <v>30.832604148514033</v>
      </c>
      <c r="S260" s="72">
        <f t="shared" si="27"/>
        <v>31.865951097485905</v>
      </c>
      <c r="T260" s="72">
        <f t="shared" si="27"/>
        <v>32.934231728309406</v>
      </c>
      <c r="U260" s="72">
        <f t="shared" si="27"/>
        <v>34.038642934657474</v>
      </c>
      <c r="V260" s="72">
        <f t="shared" si="27"/>
        <v>35.180423455406491</v>
      </c>
      <c r="W260" s="72">
        <f t="shared" si="27"/>
        <v>36.360855381272714</v>
      </c>
      <c r="X260" s="72">
        <f t="shared" si="27"/>
        <v>37.581265717934862</v>
      </c>
      <c r="Y260" s="72">
        <f t="shared" si="27"/>
        <v>38.843028007872753</v>
      </c>
      <c r="Z260" s="72">
        <f t="shared" si="27"/>
        <v>40.147564013244939</v>
      </c>
      <c r="AA260" s="72">
        <f t="shared" si="27"/>
        <v>41.496345462226095</v>
      </c>
      <c r="AB260" s="72">
        <f t="shared" si="27"/>
        <v>42.890895861326769</v>
      </c>
      <c r="AC260" s="72">
        <f t="shared" si="27"/>
        <v>44.332792376324477</v>
      </c>
      <c r="AD260" s="72">
        <f t="shared" si="27"/>
        <v>45.823667784546558</v>
      </c>
      <c r="AE260" s="72">
        <f t="shared" si="27"/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1909</v>
      </c>
      <c r="E261" s="72" t="s">
        <v>1873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SUMPRODUCT(L$276:L$283*($K$264:$K$271&gt;0)*$K$264:$K$271*(1+$K$273*(EXP(-$E$363:$E$370*($F$310:$F$317*L$308+$G$310:$G$317*L$248))-1)))/1000</f>
        <v>0.78631830560210647</v>
      </c>
      <c r="M261" s="72">
        <f t="shared" si="28"/>
        <v>0.81117778540358554</v>
      </c>
      <c r="N261" s="72">
        <f t="shared" si="28"/>
        <v>0.83699999999999997</v>
      </c>
      <c r="O261" s="72">
        <f t="shared" si="28"/>
        <v>0.86382899999999996</v>
      </c>
      <c r="P261" s="72">
        <f t="shared" si="28"/>
        <v>0.89171106300000003</v>
      </c>
      <c r="Q261" s="72">
        <f t="shared" si="28"/>
        <v>0.92069481176099999</v>
      </c>
      <c r="R261" s="72">
        <f t="shared" si="28"/>
        <v>0.95083133879036696</v>
      </c>
      <c r="S261" s="72">
        <f t="shared" si="28"/>
        <v>0.9821743376787645</v>
      </c>
      <c r="T261" s="72">
        <f t="shared" si="28"/>
        <v>1.0147802415616323</v>
      </c>
      <c r="U261" s="72">
        <f t="shared" si="28"/>
        <v>1.0487083690948893</v>
      </c>
      <c r="V261" s="72">
        <f t="shared" si="28"/>
        <v>1.0840210783559179</v>
      </c>
      <c r="W261" s="72">
        <f t="shared" si="28"/>
        <v>1.1207839291034407</v>
      </c>
      <c r="X261" s="72">
        <f t="shared" si="28"/>
        <v>1.1590658538537117</v>
      </c>
      <c r="Y261" s="72">
        <f t="shared" si="28"/>
        <v>1.1989393382555391</v>
      </c>
      <c r="Z261" s="72">
        <f t="shared" si="28"/>
        <v>1.2404806112731439</v>
      </c>
      <c r="AA261" s="72">
        <f t="shared" si="28"/>
        <v>1.2837698457138154</v>
      </c>
      <c r="AB261" s="72">
        <f t="shared" si="28"/>
        <v>1.3288913696667775</v>
      </c>
      <c r="AC261" s="72">
        <f t="shared" si="28"/>
        <v>1.3759338894508044</v>
      </c>
      <c r="AD261" s="72">
        <f t="shared" si="28"/>
        <v>1.4249907247009044</v>
      </c>
      <c r="AE261" s="72">
        <f t="shared" si="28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29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0.98003000000000007</v>
      </c>
      <c r="R264" s="76">
        <f t="shared" ref="R264:R271" si="31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29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30"/>
        <v>0.40525</v>
      </c>
      <c r="R265" s="76">
        <f t="shared" si="31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29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30"/>
        <v>2.3595000000000002</v>
      </c>
      <c r="R266" s="76">
        <f t="shared" si="31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29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0.87055000000000005</v>
      </c>
      <c r="R267" s="76">
        <f t="shared" si="31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29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1.8888</v>
      </c>
      <c r="R268" s="76">
        <f t="shared" si="31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29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0.48764960000000002</v>
      </c>
      <c r="R269" s="76">
        <f t="shared" si="31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29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1.52732</v>
      </c>
      <c r="R270" s="76">
        <f t="shared" si="31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29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30"/>
        <v>9.2560000000000002</v>
      </c>
      <c r="R271" s="76">
        <f t="shared" si="31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1894</v>
      </c>
      <c r="D272" s="73"/>
      <c r="E272" s="71"/>
      <c r="F272" s="71"/>
      <c r="G272" s="71"/>
      <c r="H272" s="71" t="s">
        <v>1896</v>
      </c>
      <c r="I272" s="71" t="s">
        <v>1897</v>
      </c>
      <c r="J272" s="71" t="s">
        <v>1898</v>
      </c>
      <c r="K272" s="71" t="s">
        <v>1899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1895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O283" si="34">N276*(1+G276)</f>
        <v>5324.4000000000005</v>
      </c>
      <c r="P276" s="72">
        <f t="shared" ref="P276:P283" si="35">O276*(1+G276)</f>
        <v>5558.673600000001</v>
      </c>
      <c r="Q276" s="72">
        <f t="shared" ref="Q276:Q283" si="36">P276*(1+G276)</f>
        <v>5803.255238400001</v>
      </c>
      <c r="R276" s="72">
        <f t="shared" ref="R276:R283" si="37">Q276*(1+G276)</f>
        <v>6058.5984688896015</v>
      </c>
      <c r="S276" s="72">
        <f t="shared" ref="S276:S283" si="38">R276*(1+G276)</f>
        <v>6325.1768015207444</v>
      </c>
      <c r="T276" s="72">
        <f t="shared" ref="T276:T283" si="39">S276*(1+G276)</f>
        <v>6603.4845807876573</v>
      </c>
      <c r="U276" s="72">
        <f t="shared" ref="U276:U283" si="40">T276*(1+G276)</f>
        <v>6894.0379023423147</v>
      </c>
      <c r="V276" s="72">
        <f t="shared" ref="V276:V283" si="41">U276*(1+G276)</f>
        <v>7197.3755700453767</v>
      </c>
      <c r="W276" s="72">
        <f t="shared" ref="W276:W283" si="42">V276*(1+G276)</f>
        <v>7514.0600951273736</v>
      </c>
      <c r="X276" s="72">
        <f t="shared" ref="X276:X283" si="43">W276*(1+G276)</f>
        <v>7844.678739312978</v>
      </c>
      <c r="Y276" s="72">
        <f t="shared" ref="Y276:Y283" si="44">X276*(1+G276)</f>
        <v>8189.8446038427492</v>
      </c>
      <c r="Z276" s="72">
        <f t="shared" ref="Z276:Z283" si="45">Y276*(1+G276)</f>
        <v>8550.1977664118313</v>
      </c>
      <c r="AA276" s="72">
        <f t="shared" ref="AA276:AA283" si="46">Z276*(1+G276)</f>
        <v>8926.4064681339514</v>
      </c>
      <c r="AB276" s="72">
        <f t="shared" ref="AB276:AB283" si="47">AA276*(1+G276)</f>
        <v>9319.1683527318455</v>
      </c>
      <c r="AC276" s="72">
        <f t="shared" ref="AC276:AC283" si="48">AB276*(1+G276)</f>
        <v>9729.2117602520466</v>
      </c>
      <c r="AD276" s="72">
        <f t="shared" ref="AD276:AD283" si="49">AC276*(1+G276)</f>
        <v>10157.297077703137</v>
      </c>
      <c r="AE276" s="72">
        <f t="shared" ref="AE276:AE283" si="50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si="34"/>
        <v>5011.2</v>
      </c>
      <c r="P277" s="72">
        <f t="shared" si="35"/>
        <v>5231.6927999999998</v>
      </c>
      <c r="Q277" s="72">
        <f t="shared" si="36"/>
        <v>5461.8872831999997</v>
      </c>
      <c r="R277" s="72">
        <f t="shared" si="37"/>
        <v>5702.2103236608</v>
      </c>
      <c r="S277" s="72">
        <f t="shared" si="38"/>
        <v>5953.1075779018756</v>
      </c>
      <c r="T277" s="72">
        <f t="shared" si="39"/>
        <v>6215.0443113295587</v>
      </c>
      <c r="U277" s="72">
        <f t="shared" si="40"/>
        <v>6488.5062610280593</v>
      </c>
      <c r="V277" s="72">
        <f t="shared" si="41"/>
        <v>6774.0005365132938</v>
      </c>
      <c r="W277" s="72">
        <f t="shared" si="42"/>
        <v>7072.0565601198787</v>
      </c>
      <c r="X277" s="72">
        <f t="shared" si="43"/>
        <v>7383.227048765154</v>
      </c>
      <c r="Y277" s="72">
        <f t="shared" si="44"/>
        <v>7708.0890389108208</v>
      </c>
      <c r="Z277" s="72">
        <f t="shared" si="45"/>
        <v>8047.244956622897</v>
      </c>
      <c r="AA277" s="72">
        <f t="shared" si="46"/>
        <v>8401.323734714304</v>
      </c>
      <c r="AB277" s="72">
        <f t="shared" si="47"/>
        <v>8770.9819790417332</v>
      </c>
      <c r="AC277" s="72">
        <f t="shared" si="48"/>
        <v>9156.9051861195694</v>
      </c>
      <c r="AD277" s="72">
        <f t="shared" si="49"/>
        <v>9559.8090143088302</v>
      </c>
      <c r="AE277" s="72">
        <f t="shared" si="50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si="34"/>
        <v>0</v>
      </c>
      <c r="P278" s="72">
        <f t="shared" si="35"/>
        <v>0</v>
      </c>
      <c r="Q278" s="72">
        <f t="shared" si="36"/>
        <v>0</v>
      </c>
      <c r="R278" s="72">
        <f t="shared" si="37"/>
        <v>0</v>
      </c>
      <c r="S278" s="72">
        <f t="shared" si="38"/>
        <v>0</v>
      </c>
      <c r="T278" s="72">
        <f t="shared" si="39"/>
        <v>0</v>
      </c>
      <c r="U278" s="72">
        <f t="shared" si="40"/>
        <v>0</v>
      </c>
      <c r="V278" s="72">
        <f t="shared" si="41"/>
        <v>0</v>
      </c>
      <c r="W278" s="72">
        <f t="shared" si="42"/>
        <v>0</v>
      </c>
      <c r="X278" s="72">
        <f t="shared" si="43"/>
        <v>0</v>
      </c>
      <c r="Y278" s="72">
        <f t="shared" si="44"/>
        <v>0</v>
      </c>
      <c r="Z278" s="72">
        <f t="shared" si="45"/>
        <v>0</v>
      </c>
      <c r="AA278" s="72">
        <f t="shared" si="46"/>
        <v>0</v>
      </c>
      <c r="AB278" s="72">
        <f t="shared" si="47"/>
        <v>0</v>
      </c>
      <c r="AC278" s="72">
        <f t="shared" si="48"/>
        <v>0</v>
      </c>
      <c r="AD278" s="72">
        <f t="shared" si="49"/>
        <v>0</v>
      </c>
      <c r="AE278" s="72">
        <f t="shared" si="50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si="34"/>
        <v>51649.999999999993</v>
      </c>
      <c r="P279" s="72">
        <f t="shared" si="35"/>
        <v>53354.44999999999</v>
      </c>
      <c r="Q279" s="72">
        <f t="shared" si="36"/>
        <v>55115.146849999983</v>
      </c>
      <c r="R279" s="72">
        <f t="shared" si="37"/>
        <v>56933.946696049978</v>
      </c>
      <c r="S279" s="72">
        <f t="shared" si="38"/>
        <v>58812.766937019624</v>
      </c>
      <c r="T279" s="72">
        <f t="shared" si="39"/>
        <v>60753.588245941268</v>
      </c>
      <c r="U279" s="72">
        <f t="shared" si="40"/>
        <v>62758.456658057323</v>
      </c>
      <c r="V279" s="72">
        <f t="shared" si="41"/>
        <v>64829.485727773208</v>
      </c>
      <c r="W279" s="72">
        <f t="shared" si="42"/>
        <v>66968.858756789719</v>
      </c>
      <c r="X279" s="72">
        <f t="shared" si="43"/>
        <v>69178.831095763773</v>
      </c>
      <c r="Y279" s="72">
        <f t="shared" si="44"/>
        <v>71461.732521923972</v>
      </c>
      <c r="Z279" s="72">
        <f t="shared" si="45"/>
        <v>73819.969695147462</v>
      </c>
      <c r="AA279" s="72">
        <f t="shared" si="46"/>
        <v>76256.028695087327</v>
      </c>
      <c r="AB279" s="72">
        <f t="shared" si="47"/>
        <v>78772.477642025202</v>
      </c>
      <c r="AC279" s="72">
        <f t="shared" si="48"/>
        <v>81371.969404212025</v>
      </c>
      <c r="AD279" s="72">
        <f t="shared" si="49"/>
        <v>84057.244394551017</v>
      </c>
      <c r="AE279" s="72">
        <f t="shared" si="50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si="34"/>
        <v>1824.27</v>
      </c>
      <c r="P280" s="72">
        <f t="shared" si="35"/>
        <v>1864.4039399999999</v>
      </c>
      <c r="Q280" s="72">
        <f t="shared" si="36"/>
        <v>1905.4208266799999</v>
      </c>
      <c r="R280" s="72">
        <f t="shared" si="37"/>
        <v>1947.3400848669598</v>
      </c>
      <c r="S280" s="72">
        <f t="shared" si="38"/>
        <v>1990.1815667340329</v>
      </c>
      <c r="T280" s="72">
        <f t="shared" si="39"/>
        <v>2033.9655612021818</v>
      </c>
      <c r="U280" s="72">
        <f t="shared" si="40"/>
        <v>2078.7128035486298</v>
      </c>
      <c r="V280" s="72">
        <f t="shared" si="41"/>
        <v>2124.4444852266997</v>
      </c>
      <c r="W280" s="72">
        <f t="shared" si="42"/>
        <v>2171.1822639016873</v>
      </c>
      <c r="X280" s="72">
        <f t="shared" si="43"/>
        <v>2218.9482737075245</v>
      </c>
      <c r="Y280" s="72">
        <f t="shared" si="44"/>
        <v>2267.7651357290902</v>
      </c>
      <c r="Z280" s="72">
        <f t="shared" si="45"/>
        <v>2317.6559687151303</v>
      </c>
      <c r="AA280" s="72">
        <f t="shared" si="46"/>
        <v>2368.644400026863</v>
      </c>
      <c r="AB280" s="72">
        <f t="shared" si="47"/>
        <v>2420.754576827454</v>
      </c>
      <c r="AC280" s="72">
        <f t="shared" si="48"/>
        <v>2474.0111775176579</v>
      </c>
      <c r="AD280" s="72">
        <f t="shared" si="49"/>
        <v>2528.4394234230463</v>
      </c>
      <c r="AE280" s="72">
        <f t="shared" si="50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si="34"/>
        <v>2861.6</v>
      </c>
      <c r="P281" s="72">
        <f t="shared" si="35"/>
        <v>2924.5551999999998</v>
      </c>
      <c r="Q281" s="72">
        <f t="shared" si="36"/>
        <v>2988.8954143999999</v>
      </c>
      <c r="R281" s="72">
        <f t="shared" si="37"/>
        <v>3054.6511135167998</v>
      </c>
      <c r="S281" s="72">
        <f t="shared" si="38"/>
        <v>3121.8534380141696</v>
      </c>
      <c r="T281" s="72">
        <f t="shared" si="39"/>
        <v>3190.5342136504814</v>
      </c>
      <c r="U281" s="72">
        <f t="shared" si="40"/>
        <v>3260.7259663507921</v>
      </c>
      <c r="V281" s="72">
        <f t="shared" si="41"/>
        <v>3332.4619376105097</v>
      </c>
      <c r="W281" s="72">
        <f t="shared" si="42"/>
        <v>3405.7761002379411</v>
      </c>
      <c r="X281" s="72">
        <f t="shared" si="43"/>
        <v>3480.7031744431761</v>
      </c>
      <c r="Y281" s="72">
        <f t="shared" si="44"/>
        <v>3557.2786442809261</v>
      </c>
      <c r="Z281" s="72">
        <f t="shared" si="45"/>
        <v>3635.5387744551067</v>
      </c>
      <c r="AA281" s="72">
        <f t="shared" si="46"/>
        <v>3715.5206274931193</v>
      </c>
      <c r="AB281" s="72">
        <f t="shared" si="47"/>
        <v>3797.2620812979681</v>
      </c>
      <c r="AC281" s="72">
        <f t="shared" si="48"/>
        <v>3880.8018470865236</v>
      </c>
      <c r="AD281" s="72">
        <f t="shared" si="49"/>
        <v>3966.179487722427</v>
      </c>
      <c r="AE281" s="72">
        <f t="shared" si="50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si="34"/>
        <v>613.20000000000005</v>
      </c>
      <c r="P282" s="72">
        <f t="shared" si="35"/>
        <v>626.69040000000007</v>
      </c>
      <c r="Q282" s="72">
        <f t="shared" si="36"/>
        <v>640.47758880000004</v>
      </c>
      <c r="R282" s="72">
        <f t="shared" si="37"/>
        <v>654.56809575360001</v>
      </c>
      <c r="S282" s="72">
        <f t="shared" si="38"/>
        <v>668.96859386017923</v>
      </c>
      <c r="T282" s="72">
        <f t="shared" si="39"/>
        <v>683.68590292510316</v>
      </c>
      <c r="U282" s="72">
        <f t="shared" si="40"/>
        <v>698.72699278945549</v>
      </c>
      <c r="V282" s="72">
        <f t="shared" si="41"/>
        <v>714.09898663082356</v>
      </c>
      <c r="W282" s="72">
        <f t="shared" si="42"/>
        <v>729.80916433670166</v>
      </c>
      <c r="X282" s="72">
        <f t="shared" si="43"/>
        <v>745.86496595210906</v>
      </c>
      <c r="Y282" s="72">
        <f t="shared" si="44"/>
        <v>762.27399520305551</v>
      </c>
      <c r="Z282" s="72">
        <f t="shared" si="45"/>
        <v>779.04402309752277</v>
      </c>
      <c r="AA282" s="72">
        <f t="shared" si="46"/>
        <v>796.18299160566824</v>
      </c>
      <c r="AB282" s="72">
        <f t="shared" si="47"/>
        <v>813.69901742099296</v>
      </c>
      <c r="AC282" s="72">
        <f t="shared" si="48"/>
        <v>831.60039580425484</v>
      </c>
      <c r="AD282" s="72">
        <f t="shared" si="49"/>
        <v>849.89560451194848</v>
      </c>
      <c r="AE282" s="72">
        <f t="shared" si="50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si="34"/>
        <v>316.5</v>
      </c>
      <c r="P283" s="72">
        <f t="shared" si="35"/>
        <v>333.90749999999997</v>
      </c>
      <c r="Q283" s="72">
        <f t="shared" si="36"/>
        <v>352.27241249999997</v>
      </c>
      <c r="R283" s="72">
        <f t="shared" si="37"/>
        <v>371.64739518749997</v>
      </c>
      <c r="S283" s="72">
        <f t="shared" si="38"/>
        <v>392.08800192281245</v>
      </c>
      <c r="T283" s="72">
        <f t="shared" si="39"/>
        <v>413.65284202856714</v>
      </c>
      <c r="U283" s="72">
        <f t="shared" si="40"/>
        <v>436.40374834013829</v>
      </c>
      <c r="V283" s="72">
        <f t="shared" si="41"/>
        <v>460.40595449884586</v>
      </c>
      <c r="W283" s="72">
        <f t="shared" si="42"/>
        <v>485.72828199628236</v>
      </c>
      <c r="X283" s="72">
        <f t="shared" si="43"/>
        <v>512.44333750607791</v>
      </c>
      <c r="Y283" s="72">
        <f t="shared" si="44"/>
        <v>540.62772106891214</v>
      </c>
      <c r="Z283" s="72">
        <f t="shared" si="45"/>
        <v>570.36224572770232</v>
      </c>
      <c r="AA283" s="72">
        <f t="shared" si="46"/>
        <v>601.73216924272594</v>
      </c>
      <c r="AB283" s="72">
        <f t="shared" si="47"/>
        <v>634.82743855107583</v>
      </c>
      <c r="AC283" s="72">
        <f t="shared" si="48"/>
        <v>669.74294767138497</v>
      </c>
      <c r="AD283" s="72">
        <f t="shared" si="49"/>
        <v>706.57880979331105</v>
      </c>
      <c r="AE283" s="72">
        <f t="shared" si="50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51">L274</f>
        <v>2022</v>
      </c>
      <c r="M287" s="74">
        <f t="shared" si="51"/>
        <v>2023</v>
      </c>
      <c r="N287" s="74">
        <f t="shared" si="51"/>
        <v>2024</v>
      </c>
      <c r="O287" s="74">
        <f t="shared" si="51"/>
        <v>2025</v>
      </c>
      <c r="P287" s="74">
        <f t="shared" si="51"/>
        <v>2026</v>
      </c>
      <c r="Q287" s="74">
        <f t="shared" si="51"/>
        <v>2027</v>
      </c>
      <c r="R287" s="74">
        <f t="shared" si="51"/>
        <v>2028</v>
      </c>
      <c r="S287" s="74">
        <f t="shared" si="51"/>
        <v>2029</v>
      </c>
      <c r="T287" s="74">
        <f t="shared" si="51"/>
        <v>2030</v>
      </c>
      <c r="U287" s="74">
        <f t="shared" si="51"/>
        <v>2031</v>
      </c>
      <c r="V287" s="74">
        <f t="shared" si="51"/>
        <v>2032</v>
      </c>
      <c r="W287" s="74">
        <f t="shared" si="51"/>
        <v>2033</v>
      </c>
      <c r="X287" s="74">
        <f t="shared" si="51"/>
        <v>2034</v>
      </c>
      <c r="Y287" s="74">
        <f t="shared" si="51"/>
        <v>2035</v>
      </c>
      <c r="Z287" s="74">
        <f t="shared" si="51"/>
        <v>2036</v>
      </c>
      <c r="AA287" s="74">
        <f t="shared" si="51"/>
        <v>2037</v>
      </c>
      <c r="AB287" s="74">
        <f t="shared" si="51"/>
        <v>2038</v>
      </c>
      <c r="AC287" s="74">
        <f t="shared" si="51"/>
        <v>2039</v>
      </c>
      <c r="AD287" s="74">
        <f t="shared" si="51"/>
        <v>2040</v>
      </c>
      <c r="AE287" s="74">
        <f t="shared" si="51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52">G288</f>
        <v>750</v>
      </c>
      <c r="M288" s="72">
        <f t="shared" ref="M288:M295" si="53">G288</f>
        <v>750</v>
      </c>
      <c r="N288" s="72">
        <f t="shared" ref="N288:N295" si="54">G288</f>
        <v>750</v>
      </c>
      <c r="O288" s="72">
        <f t="shared" ref="O288:O295" si="55">G288</f>
        <v>750</v>
      </c>
      <c r="P288" s="72">
        <f t="shared" ref="P288:P295" si="56">G288</f>
        <v>750</v>
      </c>
      <c r="Q288" s="72">
        <f t="shared" ref="Q288:Q295" si="57">G288</f>
        <v>750</v>
      </c>
      <c r="R288" s="72">
        <f t="shared" ref="R288:R295" si="58">G288</f>
        <v>750</v>
      </c>
      <c r="S288" s="72">
        <f t="shared" ref="S288:S295" si="59">G288</f>
        <v>750</v>
      </c>
      <c r="T288" s="72">
        <f t="shared" ref="T288:T295" si="60">G288</f>
        <v>750</v>
      </c>
      <c r="U288" s="72">
        <f t="shared" ref="U288:U295" si="61">G288</f>
        <v>750</v>
      </c>
      <c r="V288" s="72">
        <f t="shared" ref="V288:V295" si="62">G288</f>
        <v>750</v>
      </c>
      <c r="W288" s="72">
        <f t="shared" ref="W288:W295" si="63">G288</f>
        <v>750</v>
      </c>
      <c r="X288" s="72">
        <f t="shared" ref="X288:X295" si="64">G288</f>
        <v>750</v>
      </c>
      <c r="Y288" s="72">
        <f t="shared" ref="Y288:Y295" si="65">G288</f>
        <v>750</v>
      </c>
      <c r="Z288" s="72">
        <f t="shared" ref="Z288:Z295" si="66">G288</f>
        <v>750</v>
      </c>
      <c r="AA288" s="72">
        <f t="shared" ref="AA288:AA295" si="67">G288</f>
        <v>750</v>
      </c>
      <c r="AB288" s="72">
        <f t="shared" ref="AB288:AB295" si="68">G288</f>
        <v>750</v>
      </c>
      <c r="AC288" s="72">
        <f t="shared" ref="AC288:AC295" si="69">G288</f>
        <v>750</v>
      </c>
      <c r="AD288" s="72">
        <f t="shared" ref="AD288:AD295" si="70">G288</f>
        <v>750</v>
      </c>
      <c r="AE288" s="72">
        <f t="shared" ref="AE288:AE295" si="71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52"/>
        <v>680</v>
      </c>
      <c r="M289" s="72">
        <f t="shared" si="53"/>
        <v>680</v>
      </c>
      <c r="N289" s="72">
        <f t="shared" si="54"/>
        <v>680</v>
      </c>
      <c r="O289" s="72">
        <f t="shared" si="55"/>
        <v>680</v>
      </c>
      <c r="P289" s="72">
        <f t="shared" si="56"/>
        <v>680</v>
      </c>
      <c r="Q289" s="72">
        <f t="shared" si="57"/>
        <v>680</v>
      </c>
      <c r="R289" s="72">
        <f t="shared" si="58"/>
        <v>680</v>
      </c>
      <c r="S289" s="72">
        <f t="shared" si="59"/>
        <v>680</v>
      </c>
      <c r="T289" s="72">
        <f t="shared" si="60"/>
        <v>680</v>
      </c>
      <c r="U289" s="72">
        <f t="shared" si="61"/>
        <v>680</v>
      </c>
      <c r="V289" s="72">
        <f t="shared" si="62"/>
        <v>680</v>
      </c>
      <c r="W289" s="72">
        <f t="shared" si="63"/>
        <v>680</v>
      </c>
      <c r="X289" s="72">
        <f t="shared" si="64"/>
        <v>680</v>
      </c>
      <c r="Y289" s="72">
        <f t="shared" si="65"/>
        <v>680</v>
      </c>
      <c r="Z289" s="72">
        <f t="shared" si="66"/>
        <v>680</v>
      </c>
      <c r="AA289" s="72">
        <f t="shared" si="67"/>
        <v>680</v>
      </c>
      <c r="AB289" s="72">
        <f t="shared" si="68"/>
        <v>680</v>
      </c>
      <c r="AC289" s="72">
        <f t="shared" si="69"/>
        <v>680</v>
      </c>
      <c r="AD289" s="72">
        <f t="shared" si="70"/>
        <v>680</v>
      </c>
      <c r="AE289" s="72">
        <f t="shared" si="71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52"/>
        <v>620</v>
      </c>
      <c r="M290" s="72">
        <f t="shared" si="53"/>
        <v>620</v>
      </c>
      <c r="N290" s="72">
        <f t="shared" si="54"/>
        <v>620</v>
      </c>
      <c r="O290" s="72">
        <f t="shared" si="55"/>
        <v>620</v>
      </c>
      <c r="P290" s="72">
        <f t="shared" si="56"/>
        <v>620</v>
      </c>
      <c r="Q290" s="72">
        <f t="shared" si="57"/>
        <v>620</v>
      </c>
      <c r="R290" s="72">
        <f t="shared" si="58"/>
        <v>620</v>
      </c>
      <c r="S290" s="72">
        <f t="shared" si="59"/>
        <v>620</v>
      </c>
      <c r="T290" s="72">
        <f t="shared" si="60"/>
        <v>620</v>
      </c>
      <c r="U290" s="72">
        <f t="shared" si="61"/>
        <v>620</v>
      </c>
      <c r="V290" s="72">
        <f t="shared" si="62"/>
        <v>620</v>
      </c>
      <c r="W290" s="72">
        <f t="shared" si="63"/>
        <v>620</v>
      </c>
      <c r="X290" s="72">
        <f t="shared" si="64"/>
        <v>620</v>
      </c>
      <c r="Y290" s="72">
        <f t="shared" si="65"/>
        <v>620</v>
      </c>
      <c r="Z290" s="72">
        <f t="shared" si="66"/>
        <v>620</v>
      </c>
      <c r="AA290" s="72">
        <f t="shared" si="67"/>
        <v>620</v>
      </c>
      <c r="AB290" s="72">
        <f t="shared" si="68"/>
        <v>620</v>
      </c>
      <c r="AC290" s="72">
        <f t="shared" si="69"/>
        <v>620</v>
      </c>
      <c r="AD290" s="72">
        <f t="shared" si="70"/>
        <v>620</v>
      </c>
      <c r="AE290" s="72">
        <f t="shared" si="71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52"/>
        <v>110</v>
      </c>
      <c r="M291" s="72">
        <f t="shared" si="53"/>
        <v>110</v>
      </c>
      <c r="N291" s="72">
        <f t="shared" si="54"/>
        <v>110</v>
      </c>
      <c r="O291" s="72">
        <f t="shared" si="55"/>
        <v>110</v>
      </c>
      <c r="P291" s="72">
        <f t="shared" si="56"/>
        <v>110</v>
      </c>
      <c r="Q291" s="72">
        <f t="shared" si="57"/>
        <v>110</v>
      </c>
      <c r="R291" s="72">
        <f t="shared" si="58"/>
        <v>110</v>
      </c>
      <c r="S291" s="72">
        <f t="shared" si="59"/>
        <v>110</v>
      </c>
      <c r="T291" s="72">
        <f t="shared" si="60"/>
        <v>110</v>
      </c>
      <c r="U291" s="72">
        <f t="shared" si="61"/>
        <v>110</v>
      </c>
      <c r="V291" s="72">
        <f t="shared" si="62"/>
        <v>110</v>
      </c>
      <c r="W291" s="72">
        <f t="shared" si="63"/>
        <v>110</v>
      </c>
      <c r="X291" s="72">
        <f t="shared" si="64"/>
        <v>110</v>
      </c>
      <c r="Y291" s="72">
        <f t="shared" si="65"/>
        <v>110</v>
      </c>
      <c r="Z291" s="72">
        <f t="shared" si="66"/>
        <v>110</v>
      </c>
      <c r="AA291" s="72">
        <f t="shared" si="67"/>
        <v>110</v>
      </c>
      <c r="AB291" s="72">
        <f t="shared" si="68"/>
        <v>110</v>
      </c>
      <c r="AC291" s="72">
        <f t="shared" si="69"/>
        <v>110</v>
      </c>
      <c r="AD291" s="72">
        <f t="shared" si="70"/>
        <v>110</v>
      </c>
      <c r="AE291" s="72">
        <f t="shared" si="71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52"/>
        <v>450</v>
      </c>
      <c r="M292" s="72">
        <f t="shared" si="53"/>
        <v>450</v>
      </c>
      <c r="N292" s="72">
        <f t="shared" si="54"/>
        <v>450</v>
      </c>
      <c r="O292" s="72">
        <f t="shared" si="55"/>
        <v>450</v>
      </c>
      <c r="P292" s="72">
        <f t="shared" si="56"/>
        <v>450</v>
      </c>
      <c r="Q292" s="72">
        <f t="shared" si="57"/>
        <v>450</v>
      </c>
      <c r="R292" s="72">
        <f t="shared" si="58"/>
        <v>450</v>
      </c>
      <c r="S292" s="72">
        <f t="shared" si="59"/>
        <v>450</v>
      </c>
      <c r="T292" s="72">
        <f t="shared" si="60"/>
        <v>450</v>
      </c>
      <c r="U292" s="72">
        <f t="shared" si="61"/>
        <v>450</v>
      </c>
      <c r="V292" s="72">
        <f t="shared" si="62"/>
        <v>450</v>
      </c>
      <c r="W292" s="72">
        <f t="shared" si="63"/>
        <v>450</v>
      </c>
      <c r="X292" s="72">
        <f t="shared" si="64"/>
        <v>450</v>
      </c>
      <c r="Y292" s="72">
        <f t="shared" si="65"/>
        <v>450</v>
      </c>
      <c r="Z292" s="72">
        <f t="shared" si="66"/>
        <v>450</v>
      </c>
      <c r="AA292" s="72">
        <f t="shared" si="67"/>
        <v>450</v>
      </c>
      <c r="AB292" s="72">
        <f t="shared" si="68"/>
        <v>450</v>
      </c>
      <c r="AC292" s="72">
        <f t="shared" si="69"/>
        <v>450</v>
      </c>
      <c r="AD292" s="72">
        <f t="shared" si="70"/>
        <v>450</v>
      </c>
      <c r="AE292" s="72">
        <f t="shared" si="71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52"/>
        <v>380</v>
      </c>
      <c r="M293" s="72">
        <f t="shared" si="53"/>
        <v>380</v>
      </c>
      <c r="N293" s="72">
        <f t="shared" si="54"/>
        <v>380</v>
      </c>
      <c r="O293" s="72">
        <f t="shared" si="55"/>
        <v>380</v>
      </c>
      <c r="P293" s="72">
        <f t="shared" si="56"/>
        <v>380</v>
      </c>
      <c r="Q293" s="72">
        <f t="shared" si="57"/>
        <v>380</v>
      </c>
      <c r="R293" s="72">
        <f t="shared" si="58"/>
        <v>380</v>
      </c>
      <c r="S293" s="72">
        <f t="shared" si="59"/>
        <v>380</v>
      </c>
      <c r="T293" s="72">
        <f t="shared" si="60"/>
        <v>380</v>
      </c>
      <c r="U293" s="72">
        <f t="shared" si="61"/>
        <v>380</v>
      </c>
      <c r="V293" s="72">
        <f t="shared" si="62"/>
        <v>380</v>
      </c>
      <c r="W293" s="72">
        <f t="shared" si="63"/>
        <v>380</v>
      </c>
      <c r="X293" s="72">
        <f t="shared" si="64"/>
        <v>380</v>
      </c>
      <c r="Y293" s="72">
        <f t="shared" si="65"/>
        <v>380</v>
      </c>
      <c r="Z293" s="72">
        <f t="shared" si="66"/>
        <v>380</v>
      </c>
      <c r="AA293" s="72">
        <f t="shared" si="67"/>
        <v>380</v>
      </c>
      <c r="AB293" s="72">
        <f t="shared" si="68"/>
        <v>380</v>
      </c>
      <c r="AC293" s="72">
        <f t="shared" si="69"/>
        <v>380</v>
      </c>
      <c r="AD293" s="72">
        <f t="shared" si="70"/>
        <v>380</v>
      </c>
      <c r="AE293" s="72">
        <f t="shared" si="71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52"/>
        <v>320</v>
      </c>
      <c r="M294" s="72">
        <f t="shared" si="53"/>
        <v>320</v>
      </c>
      <c r="N294" s="72">
        <f t="shared" si="54"/>
        <v>320</v>
      </c>
      <c r="O294" s="72">
        <f t="shared" si="55"/>
        <v>320</v>
      </c>
      <c r="P294" s="72">
        <f t="shared" si="56"/>
        <v>320</v>
      </c>
      <c r="Q294" s="72">
        <f t="shared" si="57"/>
        <v>320</v>
      </c>
      <c r="R294" s="72">
        <f t="shared" si="58"/>
        <v>320</v>
      </c>
      <c r="S294" s="72">
        <f t="shared" si="59"/>
        <v>320</v>
      </c>
      <c r="T294" s="72">
        <f t="shared" si="60"/>
        <v>320</v>
      </c>
      <c r="U294" s="72">
        <f t="shared" si="61"/>
        <v>320</v>
      </c>
      <c r="V294" s="72">
        <f t="shared" si="62"/>
        <v>320</v>
      </c>
      <c r="W294" s="72">
        <f t="shared" si="63"/>
        <v>320</v>
      </c>
      <c r="X294" s="72">
        <f t="shared" si="64"/>
        <v>320</v>
      </c>
      <c r="Y294" s="72">
        <f t="shared" si="65"/>
        <v>320</v>
      </c>
      <c r="Z294" s="72">
        <f t="shared" si="66"/>
        <v>320</v>
      </c>
      <c r="AA294" s="72">
        <f t="shared" si="67"/>
        <v>320</v>
      </c>
      <c r="AB294" s="72">
        <f t="shared" si="68"/>
        <v>320</v>
      </c>
      <c r="AC294" s="72">
        <f t="shared" si="69"/>
        <v>320</v>
      </c>
      <c r="AD294" s="72">
        <f t="shared" si="70"/>
        <v>320</v>
      </c>
      <c r="AE294" s="72">
        <f t="shared" si="71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52"/>
        <v>2400</v>
      </c>
      <c r="M295" s="72">
        <f t="shared" si="53"/>
        <v>2400</v>
      </c>
      <c r="N295" s="72">
        <f t="shared" si="54"/>
        <v>2400</v>
      </c>
      <c r="O295" s="72">
        <f t="shared" si="55"/>
        <v>2400</v>
      </c>
      <c r="P295" s="72">
        <f t="shared" si="56"/>
        <v>2400</v>
      </c>
      <c r="Q295" s="72">
        <f t="shared" si="57"/>
        <v>2400</v>
      </c>
      <c r="R295" s="72">
        <f t="shared" si="58"/>
        <v>2400</v>
      </c>
      <c r="S295" s="72">
        <f t="shared" si="59"/>
        <v>2400</v>
      </c>
      <c r="T295" s="72">
        <f t="shared" si="60"/>
        <v>2400</v>
      </c>
      <c r="U295" s="72">
        <f t="shared" si="61"/>
        <v>2400</v>
      </c>
      <c r="V295" s="72">
        <f t="shared" si="62"/>
        <v>2400</v>
      </c>
      <c r="W295" s="72">
        <f t="shared" si="63"/>
        <v>2400</v>
      </c>
      <c r="X295" s="72">
        <f t="shared" si="64"/>
        <v>2400</v>
      </c>
      <c r="Y295" s="72">
        <f t="shared" si="65"/>
        <v>2400</v>
      </c>
      <c r="Z295" s="72">
        <f t="shared" si="66"/>
        <v>2400</v>
      </c>
      <c r="AA295" s="72">
        <f t="shared" si="67"/>
        <v>2400</v>
      </c>
      <c r="AB295" s="72">
        <f t="shared" si="68"/>
        <v>2400</v>
      </c>
      <c r="AC295" s="72">
        <f t="shared" si="69"/>
        <v>2400</v>
      </c>
      <c r="AD295" s="72">
        <f t="shared" si="70"/>
        <v>2400</v>
      </c>
      <c r="AE295" s="72">
        <f t="shared" si="71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1900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72">L246</f>
        <v>2022</v>
      </c>
      <c r="M298" s="74">
        <f t="shared" si="72"/>
        <v>2023</v>
      </c>
      <c r="N298" s="74">
        <f t="shared" si="72"/>
        <v>2024</v>
      </c>
      <c r="O298" s="74">
        <f t="shared" si="72"/>
        <v>2025</v>
      </c>
      <c r="P298" s="74">
        <f t="shared" si="72"/>
        <v>2026</v>
      </c>
      <c r="Q298" s="74">
        <f t="shared" si="72"/>
        <v>2027</v>
      </c>
      <c r="R298" s="74">
        <f t="shared" si="72"/>
        <v>2028</v>
      </c>
      <c r="S298" s="74">
        <f t="shared" si="72"/>
        <v>2029</v>
      </c>
      <c r="T298" s="74">
        <f t="shared" si="72"/>
        <v>2030</v>
      </c>
      <c r="U298" s="74">
        <f t="shared" si="72"/>
        <v>2031</v>
      </c>
      <c r="V298" s="74">
        <f t="shared" si="72"/>
        <v>2032</v>
      </c>
      <c r="W298" s="74">
        <f t="shared" si="72"/>
        <v>2033</v>
      </c>
      <c r="X298" s="74">
        <f t="shared" si="72"/>
        <v>2034</v>
      </c>
      <c r="Y298" s="74">
        <f t="shared" si="72"/>
        <v>2035</v>
      </c>
      <c r="Z298" s="74">
        <f t="shared" si="72"/>
        <v>2036</v>
      </c>
      <c r="AA298" s="74">
        <f t="shared" si="72"/>
        <v>2037</v>
      </c>
      <c r="AB298" s="74">
        <f t="shared" si="72"/>
        <v>2038</v>
      </c>
      <c r="AC298" s="74">
        <f t="shared" si="72"/>
        <v>2039</v>
      </c>
      <c r="AD298" s="74">
        <f t="shared" si="72"/>
        <v>2040</v>
      </c>
      <c r="AE298" s="74">
        <f t="shared" si="72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ref="E299:E306" si="73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73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73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73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73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73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73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73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1921</v>
      </c>
      <c r="E308" s="71" t="s">
        <v>1415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1922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1901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74">L298</f>
        <v>2022</v>
      </c>
      <c r="M309" s="74">
        <f t="shared" si="74"/>
        <v>2023</v>
      </c>
      <c r="N309" s="74">
        <f t="shared" si="74"/>
        <v>2024</v>
      </c>
      <c r="O309" s="74">
        <f t="shared" si="74"/>
        <v>2025</v>
      </c>
      <c r="P309" s="74">
        <f t="shared" si="74"/>
        <v>2026</v>
      </c>
      <c r="Q309" s="74">
        <f t="shared" si="74"/>
        <v>2027</v>
      </c>
      <c r="R309" s="74">
        <f t="shared" si="74"/>
        <v>2028</v>
      </c>
      <c r="S309" s="74">
        <f t="shared" si="74"/>
        <v>2029</v>
      </c>
      <c r="T309" s="74">
        <f t="shared" si="74"/>
        <v>2030</v>
      </c>
      <c r="U309" s="74">
        <f t="shared" si="74"/>
        <v>2031</v>
      </c>
      <c r="V309" s="74">
        <f t="shared" si="74"/>
        <v>2032</v>
      </c>
      <c r="W309" s="74">
        <f t="shared" si="74"/>
        <v>2033</v>
      </c>
      <c r="X309" s="74">
        <f t="shared" si="74"/>
        <v>2034</v>
      </c>
      <c r="Y309" s="74">
        <f t="shared" si="74"/>
        <v>2035</v>
      </c>
      <c r="Z309" s="74">
        <f t="shared" si="74"/>
        <v>2036</v>
      </c>
      <c r="AA309" s="74">
        <f t="shared" si="74"/>
        <v>2037</v>
      </c>
      <c r="AB309" s="74">
        <f t="shared" si="74"/>
        <v>2038</v>
      </c>
      <c r="AC309" s="74">
        <f t="shared" si="74"/>
        <v>2039</v>
      </c>
      <c r="AD309" s="74">
        <f t="shared" si="74"/>
        <v>2040</v>
      </c>
      <c r="AE309" s="74">
        <f t="shared" si="74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ref="E310:E317" si="75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6">($F310*L$308+$G310*L$248)*$E310</f>
        <v>0</v>
      </c>
      <c r="M310" s="81">
        <f t="shared" si="76"/>
        <v>0</v>
      </c>
      <c r="N310" s="81">
        <f t="shared" si="76"/>
        <v>0</v>
      </c>
      <c r="O310" s="81">
        <f t="shared" si="76"/>
        <v>0</v>
      </c>
      <c r="P310" s="81">
        <f t="shared" si="76"/>
        <v>0</v>
      </c>
      <c r="Q310" s="81">
        <f t="shared" si="76"/>
        <v>0</v>
      </c>
      <c r="R310" s="81">
        <f t="shared" si="76"/>
        <v>0</v>
      </c>
      <c r="S310" s="81">
        <f t="shared" si="76"/>
        <v>0</v>
      </c>
      <c r="T310" s="81">
        <f t="shared" si="76"/>
        <v>0</v>
      </c>
      <c r="U310" s="81">
        <f t="shared" si="76"/>
        <v>0</v>
      </c>
      <c r="V310" s="81">
        <f t="shared" ref="V310:AE317" si="77">($F310*V$308+$G310*V$248)*$E310</f>
        <v>0</v>
      </c>
      <c r="W310" s="81">
        <f t="shared" si="77"/>
        <v>0</v>
      </c>
      <c r="X310" s="81">
        <f t="shared" si="77"/>
        <v>0</v>
      </c>
      <c r="Y310" s="81">
        <f t="shared" si="77"/>
        <v>0</v>
      </c>
      <c r="Z310" s="81">
        <f t="shared" si="77"/>
        <v>0</v>
      </c>
      <c r="AA310" s="81">
        <f t="shared" si="77"/>
        <v>0</v>
      </c>
      <c r="AB310" s="81">
        <f t="shared" si="77"/>
        <v>0</v>
      </c>
      <c r="AC310" s="81">
        <f t="shared" si="77"/>
        <v>0</v>
      </c>
      <c r="AD310" s="81">
        <f t="shared" si="77"/>
        <v>0</v>
      </c>
      <c r="AE310" s="81">
        <f t="shared" si="77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75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6"/>
        <v>0</v>
      </c>
      <c r="M311" s="81">
        <f t="shared" si="76"/>
        <v>0</v>
      </c>
      <c r="N311" s="81">
        <f t="shared" si="76"/>
        <v>0</v>
      </c>
      <c r="O311" s="81">
        <f t="shared" si="76"/>
        <v>0</v>
      </c>
      <c r="P311" s="81">
        <f t="shared" si="76"/>
        <v>0</v>
      </c>
      <c r="Q311" s="81">
        <f t="shared" si="76"/>
        <v>0</v>
      </c>
      <c r="R311" s="81">
        <f t="shared" si="76"/>
        <v>0</v>
      </c>
      <c r="S311" s="81">
        <f t="shared" si="76"/>
        <v>0</v>
      </c>
      <c r="T311" s="81">
        <f t="shared" si="76"/>
        <v>0</v>
      </c>
      <c r="U311" s="81">
        <f t="shared" si="76"/>
        <v>0</v>
      </c>
      <c r="V311" s="81">
        <f t="shared" si="77"/>
        <v>0</v>
      </c>
      <c r="W311" s="81">
        <f t="shared" si="77"/>
        <v>0</v>
      </c>
      <c r="X311" s="81">
        <f t="shared" si="77"/>
        <v>0</v>
      </c>
      <c r="Y311" s="81">
        <f t="shared" si="77"/>
        <v>0</v>
      </c>
      <c r="Z311" s="81">
        <f t="shared" si="77"/>
        <v>0</v>
      </c>
      <c r="AA311" s="81">
        <f t="shared" si="77"/>
        <v>0</v>
      </c>
      <c r="AB311" s="81">
        <f t="shared" si="77"/>
        <v>0</v>
      </c>
      <c r="AC311" s="81">
        <f t="shared" si="77"/>
        <v>0</v>
      </c>
      <c r="AD311" s="81">
        <f t="shared" si="77"/>
        <v>0</v>
      </c>
      <c r="AE311" s="81">
        <f t="shared" si="77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75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6"/>
        <v>0</v>
      </c>
      <c r="M312" s="81">
        <f t="shared" si="76"/>
        <v>0</v>
      </c>
      <c r="N312" s="81">
        <f t="shared" si="76"/>
        <v>0</v>
      </c>
      <c r="O312" s="81">
        <f t="shared" si="76"/>
        <v>0</v>
      </c>
      <c r="P312" s="81">
        <f t="shared" si="76"/>
        <v>0</v>
      </c>
      <c r="Q312" s="81">
        <f t="shared" si="76"/>
        <v>0</v>
      </c>
      <c r="R312" s="81">
        <f t="shared" si="76"/>
        <v>0</v>
      </c>
      <c r="S312" s="81">
        <f t="shared" si="76"/>
        <v>0</v>
      </c>
      <c r="T312" s="81">
        <f t="shared" si="76"/>
        <v>0</v>
      </c>
      <c r="U312" s="81">
        <f t="shared" si="76"/>
        <v>0</v>
      </c>
      <c r="V312" s="81">
        <f t="shared" si="77"/>
        <v>0</v>
      </c>
      <c r="W312" s="81">
        <f t="shared" si="77"/>
        <v>0</v>
      </c>
      <c r="X312" s="81">
        <f t="shared" si="77"/>
        <v>0</v>
      </c>
      <c r="Y312" s="81">
        <f t="shared" si="77"/>
        <v>0</v>
      </c>
      <c r="Z312" s="81">
        <f t="shared" si="77"/>
        <v>0</v>
      </c>
      <c r="AA312" s="81">
        <f t="shared" si="77"/>
        <v>0</v>
      </c>
      <c r="AB312" s="81">
        <f t="shared" si="77"/>
        <v>0</v>
      </c>
      <c r="AC312" s="81">
        <f t="shared" si="77"/>
        <v>0</v>
      </c>
      <c r="AD312" s="81">
        <f t="shared" si="77"/>
        <v>0</v>
      </c>
      <c r="AE312" s="81">
        <f t="shared" si="77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75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6"/>
        <v>0</v>
      </c>
      <c r="M313" s="81">
        <f t="shared" si="76"/>
        <v>0</v>
      </c>
      <c r="N313" s="81">
        <f t="shared" si="76"/>
        <v>0</v>
      </c>
      <c r="O313" s="81">
        <f t="shared" si="76"/>
        <v>0</v>
      </c>
      <c r="P313" s="81">
        <f t="shared" si="76"/>
        <v>0</v>
      </c>
      <c r="Q313" s="81">
        <f t="shared" si="76"/>
        <v>0</v>
      </c>
      <c r="R313" s="81">
        <f t="shared" si="76"/>
        <v>0</v>
      </c>
      <c r="S313" s="81">
        <f t="shared" si="76"/>
        <v>0</v>
      </c>
      <c r="T313" s="81">
        <f t="shared" si="76"/>
        <v>0</v>
      </c>
      <c r="U313" s="81">
        <f t="shared" si="76"/>
        <v>0</v>
      </c>
      <c r="V313" s="81">
        <f t="shared" si="77"/>
        <v>0</v>
      </c>
      <c r="W313" s="81">
        <f t="shared" si="77"/>
        <v>0</v>
      </c>
      <c r="X313" s="81">
        <f t="shared" si="77"/>
        <v>0</v>
      </c>
      <c r="Y313" s="81">
        <f t="shared" si="77"/>
        <v>0</v>
      </c>
      <c r="Z313" s="81">
        <f t="shared" si="77"/>
        <v>0</v>
      </c>
      <c r="AA313" s="81">
        <f t="shared" si="77"/>
        <v>0</v>
      </c>
      <c r="AB313" s="81">
        <f t="shared" si="77"/>
        <v>0</v>
      </c>
      <c r="AC313" s="81">
        <f t="shared" si="77"/>
        <v>0</v>
      </c>
      <c r="AD313" s="81">
        <f t="shared" si="77"/>
        <v>0</v>
      </c>
      <c r="AE313" s="81">
        <f t="shared" si="77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75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6"/>
        <v>0</v>
      </c>
      <c r="M314" s="81">
        <f t="shared" si="76"/>
        <v>0</v>
      </c>
      <c r="N314" s="81">
        <f t="shared" si="76"/>
        <v>0</v>
      </c>
      <c r="O314" s="81">
        <f t="shared" si="76"/>
        <v>0</v>
      </c>
      <c r="P314" s="81">
        <f t="shared" si="76"/>
        <v>0</v>
      </c>
      <c r="Q314" s="81">
        <f t="shared" si="76"/>
        <v>0</v>
      </c>
      <c r="R314" s="81">
        <f t="shared" si="76"/>
        <v>0</v>
      </c>
      <c r="S314" s="81">
        <f t="shared" si="76"/>
        <v>0</v>
      </c>
      <c r="T314" s="81">
        <f t="shared" si="76"/>
        <v>0</v>
      </c>
      <c r="U314" s="81">
        <f t="shared" si="76"/>
        <v>0</v>
      </c>
      <c r="V314" s="81">
        <f t="shared" si="77"/>
        <v>0</v>
      </c>
      <c r="W314" s="81">
        <f t="shared" si="77"/>
        <v>0</v>
      </c>
      <c r="X314" s="81">
        <f t="shared" si="77"/>
        <v>0</v>
      </c>
      <c r="Y314" s="81">
        <f t="shared" si="77"/>
        <v>0</v>
      </c>
      <c r="Z314" s="81">
        <f t="shared" si="77"/>
        <v>0</v>
      </c>
      <c r="AA314" s="81">
        <f t="shared" si="77"/>
        <v>0</v>
      </c>
      <c r="AB314" s="81">
        <f t="shared" si="77"/>
        <v>0</v>
      </c>
      <c r="AC314" s="81">
        <f t="shared" si="77"/>
        <v>0</v>
      </c>
      <c r="AD314" s="81">
        <f t="shared" si="77"/>
        <v>0</v>
      </c>
      <c r="AE314" s="81">
        <f t="shared" si="77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75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6"/>
        <v>0</v>
      </c>
      <c r="M315" s="81">
        <f t="shared" si="76"/>
        <v>0</v>
      </c>
      <c r="N315" s="81">
        <f t="shared" si="76"/>
        <v>0</v>
      </c>
      <c r="O315" s="81">
        <f t="shared" si="76"/>
        <v>0</v>
      </c>
      <c r="P315" s="81">
        <f t="shared" si="76"/>
        <v>0</v>
      </c>
      <c r="Q315" s="81">
        <f t="shared" si="76"/>
        <v>0</v>
      </c>
      <c r="R315" s="81">
        <f t="shared" si="76"/>
        <v>0</v>
      </c>
      <c r="S315" s="81">
        <f t="shared" si="76"/>
        <v>0</v>
      </c>
      <c r="T315" s="81">
        <f t="shared" si="76"/>
        <v>0</v>
      </c>
      <c r="U315" s="81">
        <f t="shared" si="76"/>
        <v>0</v>
      </c>
      <c r="V315" s="81">
        <f t="shared" si="77"/>
        <v>0</v>
      </c>
      <c r="W315" s="81">
        <f t="shared" si="77"/>
        <v>0</v>
      </c>
      <c r="X315" s="81">
        <f t="shared" si="77"/>
        <v>0</v>
      </c>
      <c r="Y315" s="81">
        <f t="shared" si="77"/>
        <v>0</v>
      </c>
      <c r="Z315" s="81">
        <f t="shared" si="77"/>
        <v>0</v>
      </c>
      <c r="AA315" s="81">
        <f t="shared" si="77"/>
        <v>0</v>
      </c>
      <c r="AB315" s="81">
        <f t="shared" si="77"/>
        <v>0</v>
      </c>
      <c r="AC315" s="81">
        <f t="shared" si="77"/>
        <v>0</v>
      </c>
      <c r="AD315" s="81">
        <f t="shared" si="77"/>
        <v>0</v>
      </c>
      <c r="AE315" s="81">
        <f t="shared" si="77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75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6"/>
        <v>0</v>
      </c>
      <c r="M316" s="81">
        <f t="shared" si="76"/>
        <v>0</v>
      </c>
      <c r="N316" s="81">
        <f t="shared" si="76"/>
        <v>0</v>
      </c>
      <c r="O316" s="81">
        <f t="shared" si="76"/>
        <v>0</v>
      </c>
      <c r="P316" s="81">
        <f t="shared" si="76"/>
        <v>0</v>
      </c>
      <c r="Q316" s="81">
        <f t="shared" si="76"/>
        <v>0</v>
      </c>
      <c r="R316" s="81">
        <f t="shared" si="76"/>
        <v>0</v>
      </c>
      <c r="S316" s="81">
        <f t="shared" si="76"/>
        <v>0</v>
      </c>
      <c r="T316" s="81">
        <f t="shared" si="76"/>
        <v>0</v>
      </c>
      <c r="U316" s="81">
        <f t="shared" si="76"/>
        <v>0</v>
      </c>
      <c r="V316" s="81">
        <f t="shared" si="77"/>
        <v>0</v>
      </c>
      <c r="W316" s="81">
        <f t="shared" si="77"/>
        <v>0</v>
      </c>
      <c r="X316" s="81">
        <f t="shared" si="77"/>
        <v>0</v>
      </c>
      <c r="Y316" s="81">
        <f t="shared" si="77"/>
        <v>0</v>
      </c>
      <c r="Z316" s="81">
        <f t="shared" si="77"/>
        <v>0</v>
      </c>
      <c r="AA316" s="81">
        <f t="shared" si="77"/>
        <v>0</v>
      </c>
      <c r="AB316" s="81">
        <f t="shared" si="77"/>
        <v>0</v>
      </c>
      <c r="AC316" s="81">
        <f t="shared" si="77"/>
        <v>0</v>
      </c>
      <c r="AD316" s="81">
        <f t="shared" si="77"/>
        <v>0</v>
      </c>
      <c r="AE316" s="81">
        <f t="shared" si="77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75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6"/>
        <v>0</v>
      </c>
      <c r="M317" s="81">
        <f t="shared" si="76"/>
        <v>0</v>
      </c>
      <c r="N317" s="81">
        <f t="shared" si="76"/>
        <v>0</v>
      </c>
      <c r="O317" s="81">
        <f t="shared" si="76"/>
        <v>0</v>
      </c>
      <c r="P317" s="81">
        <f t="shared" si="76"/>
        <v>0</v>
      </c>
      <c r="Q317" s="81">
        <f t="shared" si="76"/>
        <v>0</v>
      </c>
      <c r="R317" s="81">
        <f t="shared" si="76"/>
        <v>0</v>
      </c>
      <c r="S317" s="81">
        <f t="shared" si="76"/>
        <v>0</v>
      </c>
      <c r="T317" s="81">
        <f t="shared" si="76"/>
        <v>0</v>
      </c>
      <c r="U317" s="81">
        <f t="shared" si="76"/>
        <v>0</v>
      </c>
      <c r="V317" s="81">
        <f t="shared" si="77"/>
        <v>0</v>
      </c>
      <c r="W317" s="81">
        <f t="shared" si="77"/>
        <v>0</v>
      </c>
      <c r="X317" s="81">
        <f t="shared" si="77"/>
        <v>0</v>
      </c>
      <c r="Y317" s="81">
        <f t="shared" si="77"/>
        <v>0</v>
      </c>
      <c r="Z317" s="81">
        <f t="shared" si="77"/>
        <v>0</v>
      </c>
      <c r="AA317" s="81">
        <f t="shared" si="77"/>
        <v>0</v>
      </c>
      <c r="AB317" s="81">
        <f t="shared" si="77"/>
        <v>0</v>
      </c>
      <c r="AC317" s="81">
        <f t="shared" si="77"/>
        <v>0</v>
      </c>
      <c r="AD317" s="81">
        <f t="shared" si="77"/>
        <v>0</v>
      </c>
      <c r="AE317" s="81">
        <f t="shared" si="77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8">L309</f>
        <v>2022</v>
      </c>
      <c r="M319" s="74">
        <f t="shared" si="78"/>
        <v>2023</v>
      </c>
      <c r="N319" s="74">
        <f t="shared" si="78"/>
        <v>2024</v>
      </c>
      <c r="O319" s="74">
        <f t="shared" si="78"/>
        <v>2025</v>
      </c>
      <c r="P319" s="74">
        <f t="shared" si="78"/>
        <v>2026</v>
      </c>
      <c r="Q319" s="74">
        <f t="shared" si="78"/>
        <v>2027</v>
      </c>
      <c r="R319" s="74">
        <f t="shared" si="78"/>
        <v>2028</v>
      </c>
      <c r="S319" s="74">
        <f t="shared" si="78"/>
        <v>2029</v>
      </c>
      <c r="T319" s="74">
        <f t="shared" si="78"/>
        <v>2030</v>
      </c>
      <c r="U319" s="74">
        <f t="shared" si="78"/>
        <v>2031</v>
      </c>
      <c r="V319" s="74">
        <f t="shared" si="78"/>
        <v>2032</v>
      </c>
      <c r="W319" s="74">
        <f t="shared" si="78"/>
        <v>2033</v>
      </c>
      <c r="X319" s="74">
        <f t="shared" si="78"/>
        <v>2034</v>
      </c>
      <c r="Y319" s="74">
        <f t="shared" si="78"/>
        <v>2035</v>
      </c>
      <c r="Z319" s="74">
        <f t="shared" si="78"/>
        <v>2036</v>
      </c>
      <c r="AA319" s="74">
        <f t="shared" si="78"/>
        <v>2037</v>
      </c>
      <c r="AB319" s="74">
        <f t="shared" si="78"/>
        <v>2038</v>
      </c>
      <c r="AC319" s="74">
        <f t="shared" si="78"/>
        <v>2039</v>
      </c>
      <c r="AD319" s="74">
        <f t="shared" si="78"/>
        <v>2040</v>
      </c>
      <c r="AE319" s="74">
        <f t="shared" si="78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79">(L310+L299)/L288</f>
        <v>0</v>
      </c>
      <c r="M320" s="78">
        <f t="shared" si="79"/>
        <v>0</v>
      </c>
      <c r="N320" s="78">
        <f t="shared" si="79"/>
        <v>0</v>
      </c>
      <c r="O320" s="78">
        <f t="shared" si="79"/>
        <v>0</v>
      </c>
      <c r="P320" s="78">
        <f t="shared" si="79"/>
        <v>0</v>
      </c>
      <c r="Q320" s="78">
        <f t="shared" si="79"/>
        <v>0</v>
      </c>
      <c r="R320" s="78">
        <f t="shared" si="79"/>
        <v>0</v>
      </c>
      <c r="S320" s="78">
        <f t="shared" si="79"/>
        <v>0</v>
      </c>
      <c r="T320" s="78">
        <f t="shared" si="79"/>
        <v>0</v>
      </c>
      <c r="U320" s="78">
        <f t="shared" si="79"/>
        <v>0</v>
      </c>
      <c r="V320" s="78">
        <f t="shared" si="79"/>
        <v>0</v>
      </c>
      <c r="W320" s="78">
        <f t="shared" si="79"/>
        <v>0</v>
      </c>
      <c r="X320" s="78">
        <f t="shared" si="79"/>
        <v>0</v>
      </c>
      <c r="Y320" s="78">
        <f t="shared" si="79"/>
        <v>0</v>
      </c>
      <c r="Z320" s="78">
        <f t="shared" si="79"/>
        <v>0</v>
      </c>
      <c r="AA320" s="78">
        <f t="shared" si="79"/>
        <v>0</v>
      </c>
      <c r="AB320" s="78">
        <f t="shared" si="79"/>
        <v>0</v>
      </c>
      <c r="AC320" s="78">
        <f t="shared" si="79"/>
        <v>0</v>
      </c>
      <c r="AD320" s="78">
        <f t="shared" si="79"/>
        <v>0</v>
      </c>
      <c r="AE320" s="78">
        <f t="shared" si="79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80">(L311+L300)/L289</f>
        <v>0</v>
      </c>
      <c r="M321" s="78">
        <f t="shared" si="80"/>
        <v>0</v>
      </c>
      <c r="N321" s="78">
        <f t="shared" si="80"/>
        <v>0</v>
      </c>
      <c r="O321" s="78">
        <f t="shared" si="80"/>
        <v>0</v>
      </c>
      <c r="P321" s="78">
        <f t="shared" si="80"/>
        <v>0</v>
      </c>
      <c r="Q321" s="78">
        <f t="shared" si="80"/>
        <v>0</v>
      </c>
      <c r="R321" s="78">
        <f t="shared" si="80"/>
        <v>0</v>
      </c>
      <c r="S321" s="78">
        <f t="shared" si="80"/>
        <v>0</v>
      </c>
      <c r="T321" s="78">
        <f t="shared" si="80"/>
        <v>0</v>
      </c>
      <c r="U321" s="78">
        <f t="shared" si="80"/>
        <v>0</v>
      </c>
      <c r="V321" s="78">
        <f t="shared" si="80"/>
        <v>0</v>
      </c>
      <c r="W321" s="78">
        <f t="shared" si="80"/>
        <v>0</v>
      </c>
      <c r="X321" s="78">
        <f t="shared" si="80"/>
        <v>0</v>
      </c>
      <c r="Y321" s="78">
        <f t="shared" si="80"/>
        <v>0</v>
      </c>
      <c r="Z321" s="78">
        <f t="shared" si="80"/>
        <v>0</v>
      </c>
      <c r="AA321" s="78">
        <f t="shared" si="80"/>
        <v>0</v>
      </c>
      <c r="AB321" s="78">
        <f t="shared" si="80"/>
        <v>0</v>
      </c>
      <c r="AC321" s="78">
        <f t="shared" si="80"/>
        <v>0</v>
      </c>
      <c r="AD321" s="78">
        <f t="shared" si="80"/>
        <v>0</v>
      </c>
      <c r="AE321" s="78">
        <f t="shared" si="80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81">(L312+L301)/L290</f>
        <v>0</v>
      </c>
      <c r="M322" s="78">
        <f t="shared" si="81"/>
        <v>0</v>
      </c>
      <c r="N322" s="78">
        <f t="shared" si="81"/>
        <v>0</v>
      </c>
      <c r="O322" s="78">
        <f t="shared" si="81"/>
        <v>0</v>
      </c>
      <c r="P322" s="78">
        <f t="shared" si="81"/>
        <v>0</v>
      </c>
      <c r="Q322" s="78">
        <f t="shared" si="81"/>
        <v>0</v>
      </c>
      <c r="R322" s="78">
        <f t="shared" si="81"/>
        <v>0</v>
      </c>
      <c r="S322" s="78">
        <f t="shared" si="81"/>
        <v>0</v>
      </c>
      <c r="T322" s="78">
        <f t="shared" si="81"/>
        <v>0</v>
      </c>
      <c r="U322" s="78">
        <f t="shared" si="81"/>
        <v>0</v>
      </c>
      <c r="V322" s="78">
        <f t="shared" si="81"/>
        <v>0</v>
      </c>
      <c r="W322" s="78">
        <f t="shared" si="81"/>
        <v>0</v>
      </c>
      <c r="X322" s="78">
        <f t="shared" si="81"/>
        <v>0</v>
      </c>
      <c r="Y322" s="78">
        <f t="shared" si="81"/>
        <v>0</v>
      </c>
      <c r="Z322" s="78">
        <f t="shared" si="81"/>
        <v>0</v>
      </c>
      <c r="AA322" s="78">
        <f t="shared" si="81"/>
        <v>0</v>
      </c>
      <c r="AB322" s="78">
        <f t="shared" si="81"/>
        <v>0</v>
      </c>
      <c r="AC322" s="78">
        <f t="shared" si="81"/>
        <v>0</v>
      </c>
      <c r="AD322" s="78">
        <f t="shared" si="81"/>
        <v>0</v>
      </c>
      <c r="AE322" s="78">
        <f t="shared" si="81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82">(L313+L302)/L291</f>
        <v>0</v>
      </c>
      <c r="M323" s="78">
        <f t="shared" si="82"/>
        <v>0</v>
      </c>
      <c r="N323" s="78">
        <f t="shared" si="82"/>
        <v>0</v>
      </c>
      <c r="O323" s="78">
        <f t="shared" si="82"/>
        <v>0</v>
      </c>
      <c r="P323" s="78">
        <f t="shared" si="82"/>
        <v>0</v>
      </c>
      <c r="Q323" s="78">
        <f t="shared" si="82"/>
        <v>0</v>
      </c>
      <c r="R323" s="78">
        <f t="shared" si="82"/>
        <v>0</v>
      </c>
      <c r="S323" s="78">
        <f t="shared" si="82"/>
        <v>0</v>
      </c>
      <c r="T323" s="78">
        <f t="shared" si="82"/>
        <v>0</v>
      </c>
      <c r="U323" s="78">
        <f t="shared" si="82"/>
        <v>0</v>
      </c>
      <c r="V323" s="78">
        <f t="shared" si="82"/>
        <v>0</v>
      </c>
      <c r="W323" s="78">
        <f t="shared" si="82"/>
        <v>0</v>
      </c>
      <c r="X323" s="78">
        <f t="shared" si="82"/>
        <v>0</v>
      </c>
      <c r="Y323" s="78">
        <f t="shared" si="82"/>
        <v>0</v>
      </c>
      <c r="Z323" s="78">
        <f t="shared" si="82"/>
        <v>0</v>
      </c>
      <c r="AA323" s="78">
        <f t="shared" si="82"/>
        <v>0</v>
      </c>
      <c r="AB323" s="78">
        <f t="shared" si="82"/>
        <v>0</v>
      </c>
      <c r="AC323" s="78">
        <f t="shared" si="82"/>
        <v>0</v>
      </c>
      <c r="AD323" s="78">
        <f t="shared" si="82"/>
        <v>0</v>
      </c>
      <c r="AE323" s="78">
        <f t="shared" si="82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83">(L314+L303)/L292</f>
        <v>0</v>
      </c>
      <c r="M324" s="78">
        <f t="shared" si="83"/>
        <v>0</v>
      </c>
      <c r="N324" s="78">
        <f t="shared" si="83"/>
        <v>0</v>
      </c>
      <c r="O324" s="78">
        <f t="shared" si="83"/>
        <v>0</v>
      </c>
      <c r="P324" s="78">
        <f t="shared" si="83"/>
        <v>0</v>
      </c>
      <c r="Q324" s="78">
        <f t="shared" si="83"/>
        <v>0</v>
      </c>
      <c r="R324" s="78">
        <f t="shared" si="83"/>
        <v>0</v>
      </c>
      <c r="S324" s="78">
        <f t="shared" si="83"/>
        <v>0</v>
      </c>
      <c r="T324" s="78">
        <f t="shared" si="83"/>
        <v>0</v>
      </c>
      <c r="U324" s="78">
        <f t="shared" si="83"/>
        <v>0</v>
      </c>
      <c r="V324" s="78">
        <f t="shared" si="83"/>
        <v>0</v>
      </c>
      <c r="W324" s="78">
        <f t="shared" si="83"/>
        <v>0</v>
      </c>
      <c r="X324" s="78">
        <f t="shared" si="83"/>
        <v>0</v>
      </c>
      <c r="Y324" s="78">
        <f t="shared" si="83"/>
        <v>0</v>
      </c>
      <c r="Z324" s="78">
        <f t="shared" si="83"/>
        <v>0</v>
      </c>
      <c r="AA324" s="78">
        <f t="shared" si="83"/>
        <v>0</v>
      </c>
      <c r="AB324" s="78">
        <f t="shared" si="83"/>
        <v>0</v>
      </c>
      <c r="AC324" s="78">
        <f t="shared" si="83"/>
        <v>0</v>
      </c>
      <c r="AD324" s="78">
        <f t="shared" si="83"/>
        <v>0</v>
      </c>
      <c r="AE324" s="78">
        <f t="shared" si="83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84">(L315+L304)/L293</f>
        <v>0</v>
      </c>
      <c r="M325" s="78">
        <f t="shared" si="84"/>
        <v>0</v>
      </c>
      <c r="N325" s="78">
        <f t="shared" si="84"/>
        <v>0</v>
      </c>
      <c r="O325" s="78">
        <f t="shared" si="84"/>
        <v>0</v>
      </c>
      <c r="P325" s="78">
        <f t="shared" si="84"/>
        <v>0</v>
      </c>
      <c r="Q325" s="78">
        <f t="shared" si="84"/>
        <v>0</v>
      </c>
      <c r="R325" s="78">
        <f t="shared" si="84"/>
        <v>0</v>
      </c>
      <c r="S325" s="78">
        <f t="shared" si="84"/>
        <v>0</v>
      </c>
      <c r="T325" s="78">
        <f t="shared" si="84"/>
        <v>0</v>
      </c>
      <c r="U325" s="78">
        <f t="shared" si="84"/>
        <v>0</v>
      </c>
      <c r="V325" s="78">
        <f t="shared" si="84"/>
        <v>0</v>
      </c>
      <c r="W325" s="78">
        <f t="shared" si="84"/>
        <v>0</v>
      </c>
      <c r="X325" s="78">
        <f t="shared" si="84"/>
        <v>0</v>
      </c>
      <c r="Y325" s="78">
        <f t="shared" si="84"/>
        <v>0</v>
      </c>
      <c r="Z325" s="78">
        <f t="shared" si="84"/>
        <v>0</v>
      </c>
      <c r="AA325" s="78">
        <f t="shared" si="84"/>
        <v>0</v>
      </c>
      <c r="AB325" s="78">
        <f t="shared" si="84"/>
        <v>0</v>
      </c>
      <c r="AC325" s="78">
        <f t="shared" si="84"/>
        <v>0</v>
      </c>
      <c r="AD325" s="78">
        <f t="shared" si="84"/>
        <v>0</v>
      </c>
      <c r="AE325" s="78">
        <f t="shared" si="84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85">(L316+L305)/L294</f>
        <v>0</v>
      </c>
      <c r="M326" s="78">
        <f t="shared" si="85"/>
        <v>0</v>
      </c>
      <c r="N326" s="78">
        <f t="shared" si="85"/>
        <v>0</v>
      </c>
      <c r="O326" s="78">
        <f t="shared" si="85"/>
        <v>0</v>
      </c>
      <c r="P326" s="78">
        <f t="shared" si="85"/>
        <v>0</v>
      </c>
      <c r="Q326" s="78">
        <f t="shared" si="85"/>
        <v>0</v>
      </c>
      <c r="R326" s="78">
        <f t="shared" si="85"/>
        <v>0</v>
      </c>
      <c r="S326" s="78">
        <f t="shared" si="85"/>
        <v>0</v>
      </c>
      <c r="T326" s="78">
        <f t="shared" si="85"/>
        <v>0</v>
      </c>
      <c r="U326" s="78">
        <f t="shared" si="85"/>
        <v>0</v>
      </c>
      <c r="V326" s="78">
        <f t="shared" si="85"/>
        <v>0</v>
      </c>
      <c r="W326" s="78">
        <f t="shared" si="85"/>
        <v>0</v>
      </c>
      <c r="X326" s="78">
        <f t="shared" si="85"/>
        <v>0</v>
      </c>
      <c r="Y326" s="78">
        <f t="shared" si="85"/>
        <v>0</v>
      </c>
      <c r="Z326" s="78">
        <f t="shared" si="85"/>
        <v>0</v>
      </c>
      <c r="AA326" s="78">
        <f t="shared" si="85"/>
        <v>0</v>
      </c>
      <c r="AB326" s="78">
        <f t="shared" si="85"/>
        <v>0</v>
      </c>
      <c r="AC326" s="78">
        <f t="shared" si="85"/>
        <v>0</v>
      </c>
      <c r="AD326" s="78">
        <f t="shared" si="85"/>
        <v>0</v>
      </c>
      <c r="AE326" s="78">
        <f t="shared" si="85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86">(L317+L306)/L295</f>
        <v>0</v>
      </c>
      <c r="M327" s="78">
        <f t="shared" si="86"/>
        <v>0</v>
      </c>
      <c r="N327" s="78">
        <f t="shared" si="86"/>
        <v>0</v>
      </c>
      <c r="O327" s="78">
        <f t="shared" si="86"/>
        <v>0</v>
      </c>
      <c r="P327" s="78">
        <f t="shared" si="86"/>
        <v>0</v>
      </c>
      <c r="Q327" s="78">
        <f t="shared" si="86"/>
        <v>0</v>
      </c>
      <c r="R327" s="78">
        <f t="shared" si="86"/>
        <v>0</v>
      </c>
      <c r="S327" s="78">
        <f t="shared" si="86"/>
        <v>0</v>
      </c>
      <c r="T327" s="78">
        <f t="shared" si="86"/>
        <v>0</v>
      </c>
      <c r="U327" s="78">
        <f t="shared" si="86"/>
        <v>0</v>
      </c>
      <c r="V327" s="78">
        <f t="shared" si="86"/>
        <v>0</v>
      </c>
      <c r="W327" s="78">
        <f t="shared" si="86"/>
        <v>0</v>
      </c>
      <c r="X327" s="78">
        <f t="shared" si="86"/>
        <v>0</v>
      </c>
      <c r="Y327" s="78">
        <f t="shared" si="86"/>
        <v>0</v>
      </c>
      <c r="Z327" s="78">
        <f t="shared" si="86"/>
        <v>0</v>
      </c>
      <c r="AA327" s="78">
        <f t="shared" si="86"/>
        <v>0</v>
      </c>
      <c r="AB327" s="78">
        <f t="shared" si="86"/>
        <v>0</v>
      </c>
      <c r="AC327" s="78">
        <f t="shared" si="86"/>
        <v>0</v>
      </c>
      <c r="AD327" s="78">
        <f t="shared" si="86"/>
        <v>0</v>
      </c>
      <c r="AE327" s="78">
        <f t="shared" si="86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1902</v>
      </c>
      <c r="J329" s="72" t="s">
        <v>1903</v>
      </c>
      <c r="K329" s="72"/>
      <c r="L329" s="74">
        <f t="shared" ref="L329:AE329" si="87">L340</f>
        <v>2022</v>
      </c>
      <c r="M329" s="74">
        <f t="shared" si="87"/>
        <v>2023</v>
      </c>
      <c r="N329" s="74">
        <f t="shared" si="87"/>
        <v>2024</v>
      </c>
      <c r="O329" s="74">
        <f t="shared" si="87"/>
        <v>2025</v>
      </c>
      <c r="P329" s="74">
        <f t="shared" si="87"/>
        <v>2026</v>
      </c>
      <c r="Q329" s="74">
        <f t="shared" si="87"/>
        <v>2027</v>
      </c>
      <c r="R329" s="74">
        <f t="shared" si="87"/>
        <v>2028</v>
      </c>
      <c r="S329" s="74">
        <f t="shared" si="87"/>
        <v>2029</v>
      </c>
      <c r="T329" s="74">
        <f t="shared" si="87"/>
        <v>2030</v>
      </c>
      <c r="U329" s="74">
        <f t="shared" si="87"/>
        <v>2031</v>
      </c>
      <c r="V329" s="74">
        <f t="shared" si="87"/>
        <v>2032</v>
      </c>
      <c r="W329" s="74">
        <f t="shared" si="87"/>
        <v>2033</v>
      </c>
      <c r="X329" s="74">
        <f t="shared" si="87"/>
        <v>2034</v>
      </c>
      <c r="Y329" s="74">
        <f t="shared" si="87"/>
        <v>2035</v>
      </c>
      <c r="Z329" s="74">
        <f t="shared" si="87"/>
        <v>2036</v>
      </c>
      <c r="AA329" s="74">
        <f t="shared" si="87"/>
        <v>2037</v>
      </c>
      <c r="AB329" s="74">
        <f t="shared" si="87"/>
        <v>2038</v>
      </c>
      <c r="AC329" s="74">
        <f t="shared" si="87"/>
        <v>2039</v>
      </c>
      <c r="AD329" s="74">
        <f t="shared" si="87"/>
        <v>2040</v>
      </c>
      <c r="AE329" s="74">
        <f t="shared" si="87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88">H264+I264</f>
        <v>0.69003000000000003</v>
      </c>
      <c r="G330" s="72">
        <f t="shared" ref="G330:G337" si="89">MAX($J264,0)+MAX($K264,0)</f>
        <v>0.04</v>
      </c>
      <c r="H330" s="72">
        <f t="shared" ref="H330:H337" si="90">G330/F330</f>
        <v>5.7968494123443903E-2</v>
      </c>
      <c r="I330" s="100">
        <f t="shared" ref="I330:I337" si="91">IF($F330=0,0,$E299/$F330)</f>
        <v>1</v>
      </c>
      <c r="J330" s="100">
        <f t="shared" ref="J330:J337" si="92">IF($G330=0,0,$E310/$G330)</f>
        <v>1</v>
      </c>
      <c r="K330" s="72"/>
      <c r="L330" s="72">
        <f t="shared" ref="L330:AE330" si="93">L276*$F330/1000</f>
        <v>3.2287703131193024</v>
      </c>
      <c r="M330" s="72">
        <f t="shared" si="93"/>
        <v>3.3708362068965516</v>
      </c>
      <c r="N330" s="72">
        <f t="shared" si="93"/>
        <v>3.5191530000000002</v>
      </c>
      <c r="O330" s="72">
        <f t="shared" si="93"/>
        <v>3.6739957320000007</v>
      </c>
      <c r="P330" s="72">
        <f t="shared" si="93"/>
        <v>3.8356515442080008</v>
      </c>
      <c r="Q330" s="72">
        <f t="shared" si="93"/>
        <v>4.0044202121531534</v>
      </c>
      <c r="R330" s="72">
        <f t="shared" si="93"/>
        <v>4.1806147014878912</v>
      </c>
      <c r="S330" s="72">
        <f t="shared" si="93"/>
        <v>4.3645617483533599</v>
      </c>
      <c r="T330" s="72">
        <f t="shared" si="93"/>
        <v>4.556602465280907</v>
      </c>
      <c r="U330" s="72">
        <f t="shared" si="93"/>
        <v>4.7570929737532675</v>
      </c>
      <c r="V330" s="72">
        <f t="shared" si="93"/>
        <v>4.9664050645984119</v>
      </c>
      <c r="W330" s="72">
        <f t="shared" si="93"/>
        <v>5.1849268874407413</v>
      </c>
      <c r="X330" s="72">
        <f t="shared" si="93"/>
        <v>5.4130636704881345</v>
      </c>
      <c r="Y330" s="72">
        <f t="shared" si="93"/>
        <v>5.6512384719896129</v>
      </c>
      <c r="Z330" s="72">
        <f t="shared" si="93"/>
        <v>5.8998929647571554</v>
      </c>
      <c r="AA330" s="72">
        <f t="shared" si="93"/>
        <v>6.1594882552064707</v>
      </c>
      <c r="AB330" s="72">
        <f t="shared" si="93"/>
        <v>6.4305057384355555</v>
      </c>
      <c r="AC330" s="72">
        <f t="shared" si="93"/>
        <v>6.7134479909267206</v>
      </c>
      <c r="AD330" s="72">
        <f t="shared" si="93"/>
        <v>7.0088397025274967</v>
      </c>
      <c r="AE330" s="72">
        <f t="shared" si="93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88"/>
        <v>0.14025000000000001</v>
      </c>
      <c r="G331" s="72">
        <f t="shared" si="89"/>
        <v>1.4999999999999999E-2</v>
      </c>
      <c r="H331" s="72">
        <f t="shared" si="90"/>
        <v>0.10695187165775399</v>
      </c>
      <c r="I331" s="100">
        <f t="shared" si="91"/>
        <v>1</v>
      </c>
      <c r="J331" s="100">
        <f t="shared" si="92"/>
        <v>1</v>
      </c>
      <c r="K331" s="72"/>
      <c r="L331" s="72">
        <f t="shared" ref="L331:AE331" si="94">L277*$F331/1000</f>
        <v>0.61765094464262127</v>
      </c>
      <c r="M331" s="72">
        <f t="shared" si="94"/>
        <v>0.64482758620689662</v>
      </c>
      <c r="N331" s="72">
        <f t="shared" si="94"/>
        <v>0.67320000000000002</v>
      </c>
      <c r="O331" s="72">
        <f t="shared" si="94"/>
        <v>0.70282080000000002</v>
      </c>
      <c r="P331" s="72">
        <f t="shared" si="94"/>
        <v>0.73374491520000007</v>
      </c>
      <c r="Q331" s="72">
        <f t="shared" si="94"/>
        <v>0.76602969146880007</v>
      </c>
      <c r="R331" s="72">
        <f t="shared" si="94"/>
        <v>0.79973499789342728</v>
      </c>
      <c r="S331" s="72">
        <f t="shared" si="94"/>
        <v>0.83492333780073813</v>
      </c>
      <c r="T331" s="72">
        <f t="shared" si="94"/>
        <v>0.87165996466397067</v>
      </c>
      <c r="U331" s="72">
        <f t="shared" si="94"/>
        <v>0.91001300310918543</v>
      </c>
      <c r="V331" s="72">
        <f t="shared" si="94"/>
        <v>0.95005357524598955</v>
      </c>
      <c r="W331" s="72">
        <f t="shared" si="94"/>
        <v>0.99185593255681304</v>
      </c>
      <c r="X331" s="72">
        <f t="shared" si="94"/>
        <v>1.0354975935893131</v>
      </c>
      <c r="Y331" s="72">
        <f t="shared" si="94"/>
        <v>1.0810594877072426</v>
      </c>
      <c r="Z331" s="72">
        <f t="shared" si="94"/>
        <v>1.1286261051663613</v>
      </c>
      <c r="AA331" s="72">
        <f t="shared" si="94"/>
        <v>1.1782856537936812</v>
      </c>
      <c r="AB331" s="72">
        <f t="shared" si="94"/>
        <v>1.2301302225606032</v>
      </c>
      <c r="AC331" s="72">
        <f t="shared" si="94"/>
        <v>1.2842559523532697</v>
      </c>
      <c r="AD331" s="72">
        <f t="shared" si="94"/>
        <v>1.3407632142568136</v>
      </c>
      <c r="AE331" s="72">
        <f t="shared" si="94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88"/>
        <v>1.9220000000000002</v>
      </c>
      <c r="G332" s="72">
        <f t="shared" si="89"/>
        <v>0.25</v>
      </c>
      <c r="H332" s="72">
        <f t="shared" si="90"/>
        <v>0.13007284079084286</v>
      </c>
      <c r="I332" s="100">
        <f t="shared" si="91"/>
        <v>1</v>
      </c>
      <c r="J332" s="100">
        <f t="shared" si="92"/>
        <v>1</v>
      </c>
      <c r="K332" s="72"/>
      <c r="L332" s="72">
        <f t="shared" ref="L332:AE332" si="95">L278*$F332/1000</f>
        <v>0</v>
      </c>
      <c r="M332" s="72">
        <f t="shared" si="95"/>
        <v>0</v>
      </c>
      <c r="N332" s="72">
        <f t="shared" si="95"/>
        <v>0</v>
      </c>
      <c r="O332" s="72">
        <f t="shared" si="95"/>
        <v>0</v>
      </c>
      <c r="P332" s="72">
        <f t="shared" si="95"/>
        <v>0</v>
      </c>
      <c r="Q332" s="72">
        <f t="shared" si="95"/>
        <v>0</v>
      </c>
      <c r="R332" s="72">
        <f t="shared" si="95"/>
        <v>0</v>
      </c>
      <c r="S332" s="72">
        <f t="shared" si="95"/>
        <v>0</v>
      </c>
      <c r="T332" s="72">
        <f t="shared" si="95"/>
        <v>0</v>
      </c>
      <c r="U332" s="72">
        <f t="shared" si="95"/>
        <v>0</v>
      </c>
      <c r="V332" s="72">
        <f t="shared" si="95"/>
        <v>0</v>
      </c>
      <c r="W332" s="72">
        <f t="shared" si="95"/>
        <v>0</v>
      </c>
      <c r="X332" s="72">
        <f t="shared" si="95"/>
        <v>0</v>
      </c>
      <c r="Y332" s="72">
        <f t="shared" si="95"/>
        <v>0</v>
      </c>
      <c r="Z332" s="72">
        <f t="shared" si="95"/>
        <v>0</v>
      </c>
      <c r="AA332" s="72">
        <f t="shared" si="95"/>
        <v>0</v>
      </c>
      <c r="AB332" s="72">
        <f t="shared" si="95"/>
        <v>0</v>
      </c>
      <c r="AC332" s="72">
        <f t="shared" si="95"/>
        <v>0</v>
      </c>
      <c r="AD332" s="72">
        <f t="shared" si="95"/>
        <v>0</v>
      </c>
      <c r="AE332" s="72">
        <f t="shared" si="95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88"/>
        <v>0.2883</v>
      </c>
      <c r="G333" s="72">
        <f t="shared" si="89"/>
        <v>0.52600000000000002</v>
      </c>
      <c r="H333" s="72">
        <f t="shared" si="90"/>
        <v>1.8244883801595562</v>
      </c>
      <c r="I333" s="100">
        <f t="shared" si="91"/>
        <v>1</v>
      </c>
      <c r="J333" s="100">
        <f t="shared" si="92"/>
        <v>1</v>
      </c>
      <c r="K333" s="72"/>
      <c r="L333" s="72">
        <f t="shared" ref="L333:AE333" si="96">L279*$F333/1000</f>
        <v>13.508713893592759</v>
      </c>
      <c r="M333" s="72">
        <f t="shared" si="96"/>
        <v>13.954501452081319</v>
      </c>
      <c r="N333" s="72">
        <f t="shared" si="96"/>
        <v>14.414999999999999</v>
      </c>
      <c r="O333" s="72">
        <f t="shared" si="96"/>
        <v>14.890694999999997</v>
      </c>
      <c r="P333" s="72">
        <f t="shared" si="96"/>
        <v>15.382087934999998</v>
      </c>
      <c r="Q333" s="72">
        <f t="shared" si="96"/>
        <v>15.889696836854995</v>
      </c>
      <c r="R333" s="72">
        <f t="shared" si="96"/>
        <v>16.414056832471207</v>
      </c>
      <c r="S333" s="72">
        <f t="shared" si="96"/>
        <v>16.955720707942756</v>
      </c>
      <c r="T333" s="72">
        <f t="shared" si="96"/>
        <v>17.515259491304867</v>
      </c>
      <c r="U333" s="72">
        <f t="shared" si="96"/>
        <v>18.093263054517926</v>
      </c>
      <c r="V333" s="72">
        <f t="shared" si="96"/>
        <v>18.690340735317015</v>
      </c>
      <c r="W333" s="72">
        <f t="shared" si="96"/>
        <v>19.307121979582476</v>
      </c>
      <c r="X333" s="72">
        <f t="shared" si="96"/>
        <v>19.944257004908696</v>
      </c>
      <c r="Y333" s="72">
        <f t="shared" si="96"/>
        <v>20.602417486070681</v>
      </c>
      <c r="Z333" s="72">
        <f t="shared" si="96"/>
        <v>21.282297263111012</v>
      </c>
      <c r="AA333" s="72">
        <f t="shared" si="96"/>
        <v>21.984613072793675</v>
      </c>
      <c r="AB333" s="72">
        <f t="shared" si="96"/>
        <v>22.710105304195867</v>
      </c>
      <c r="AC333" s="72">
        <f t="shared" si="96"/>
        <v>23.459538779234329</v>
      </c>
      <c r="AD333" s="72">
        <f t="shared" si="96"/>
        <v>24.23370355894906</v>
      </c>
      <c r="AE333" s="72">
        <f t="shared" si="96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88"/>
        <v>1.8512999999999999</v>
      </c>
      <c r="G334" s="72">
        <f t="shared" si="89"/>
        <v>0</v>
      </c>
      <c r="H334" s="72">
        <f t="shared" si="90"/>
        <v>0</v>
      </c>
      <c r="I334" s="100">
        <f t="shared" si="91"/>
        <v>1</v>
      </c>
      <c r="J334" s="100">
        <f t="shared" si="92"/>
        <v>0</v>
      </c>
      <c r="K334" s="72"/>
      <c r="L334" s="72">
        <f t="shared" ref="L334:AE334" si="97">L280*$F334/1000</f>
        <v>3.1638306570517116</v>
      </c>
      <c r="M334" s="72">
        <f t="shared" si="97"/>
        <v>3.2334349315068494</v>
      </c>
      <c r="N334" s="72">
        <f t="shared" si="97"/>
        <v>3.3045704999999996</v>
      </c>
      <c r="O334" s="72">
        <f t="shared" si="97"/>
        <v>3.3772710509999997</v>
      </c>
      <c r="P334" s="72">
        <f t="shared" si="97"/>
        <v>3.4515710141219995</v>
      </c>
      <c r="Q334" s="72">
        <f t="shared" si="97"/>
        <v>3.5275055764326835</v>
      </c>
      <c r="R334" s="72">
        <f t="shared" si="97"/>
        <v>3.6051106991142028</v>
      </c>
      <c r="S334" s="72">
        <f t="shared" si="97"/>
        <v>3.6844231344947151</v>
      </c>
      <c r="T334" s="72">
        <f t="shared" si="97"/>
        <v>3.7654804434535989</v>
      </c>
      <c r="U334" s="72">
        <f t="shared" si="97"/>
        <v>3.8483210132095782</v>
      </c>
      <c r="V334" s="72">
        <f t="shared" si="97"/>
        <v>3.932984075500189</v>
      </c>
      <c r="W334" s="72">
        <f t="shared" si="97"/>
        <v>4.0195097251611935</v>
      </c>
      <c r="X334" s="72">
        <f t="shared" si="97"/>
        <v>4.1079389391147396</v>
      </c>
      <c r="Y334" s="72">
        <f t="shared" si="97"/>
        <v>4.1983135957752644</v>
      </c>
      <c r="Z334" s="72">
        <f t="shared" si="97"/>
        <v>4.2906764948823204</v>
      </c>
      <c r="AA334" s="72">
        <f t="shared" si="97"/>
        <v>4.385071377769731</v>
      </c>
      <c r="AB334" s="72">
        <f t="shared" si="97"/>
        <v>4.4815429480806648</v>
      </c>
      <c r="AC334" s="72">
        <f t="shared" si="97"/>
        <v>4.5801368929384401</v>
      </c>
      <c r="AD334" s="72">
        <f t="shared" si="97"/>
        <v>4.680899904583085</v>
      </c>
      <c r="AE334" s="72">
        <f t="shared" si="97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88"/>
        <v>0.11219999999999999</v>
      </c>
      <c r="G335" s="72">
        <f t="shared" si="89"/>
        <v>0</v>
      </c>
      <c r="H335" s="72">
        <f t="shared" si="90"/>
        <v>0</v>
      </c>
      <c r="I335" s="100">
        <f t="shared" si="91"/>
        <v>1</v>
      </c>
      <c r="J335" s="100">
        <f t="shared" si="92"/>
        <v>0</v>
      </c>
      <c r="K335" s="72"/>
      <c r="L335" s="72">
        <f t="shared" ref="L335:AE335" si="98">L281*$F335/1000</f>
        <v>0.30078009811543305</v>
      </c>
      <c r="M335" s="72">
        <f t="shared" si="98"/>
        <v>0.30739726027397257</v>
      </c>
      <c r="N335" s="72">
        <f t="shared" si="98"/>
        <v>0.31415999999999999</v>
      </c>
      <c r="O335" s="72">
        <f t="shared" si="98"/>
        <v>0.32107151999999994</v>
      </c>
      <c r="P335" s="72">
        <f t="shared" si="98"/>
        <v>0.32813509343999991</v>
      </c>
      <c r="Q335" s="72">
        <f t="shared" si="98"/>
        <v>0.33535406549567992</v>
      </c>
      <c r="R335" s="72">
        <f t="shared" si="98"/>
        <v>0.34273185493658492</v>
      </c>
      <c r="S335" s="72">
        <f t="shared" si="98"/>
        <v>0.35027195574518982</v>
      </c>
      <c r="T335" s="72">
        <f t="shared" si="98"/>
        <v>0.35797793877158396</v>
      </c>
      <c r="U335" s="72">
        <f t="shared" si="98"/>
        <v>0.36585345342455883</v>
      </c>
      <c r="V335" s="72">
        <f t="shared" si="98"/>
        <v>0.37390222939989914</v>
      </c>
      <c r="W335" s="72">
        <f t="shared" si="98"/>
        <v>0.38212807844669699</v>
      </c>
      <c r="X335" s="72">
        <f t="shared" si="98"/>
        <v>0.39053489617252435</v>
      </c>
      <c r="Y335" s="72">
        <f t="shared" si="98"/>
        <v>0.39912666388831991</v>
      </c>
      <c r="Z335" s="72">
        <f t="shared" si="98"/>
        <v>0.40790745049386296</v>
      </c>
      <c r="AA335" s="72">
        <f t="shared" si="98"/>
        <v>0.41688141440472792</v>
      </c>
      <c r="AB335" s="72">
        <f t="shared" si="98"/>
        <v>0.42605280552163199</v>
      </c>
      <c r="AC335" s="72">
        <f t="shared" si="98"/>
        <v>0.43542596724310795</v>
      </c>
      <c r="AD335" s="72">
        <f t="shared" si="98"/>
        <v>0.44500533852245627</v>
      </c>
      <c r="AE335" s="72">
        <f t="shared" si="98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88"/>
        <v>0.11219999999999999</v>
      </c>
      <c r="G336" s="72">
        <f t="shared" si="89"/>
        <v>0.97</v>
      </c>
      <c r="H336" s="72">
        <f t="shared" si="90"/>
        <v>8.6452762923351152</v>
      </c>
      <c r="I336" s="100">
        <f t="shared" si="91"/>
        <v>1</v>
      </c>
      <c r="J336" s="100">
        <f t="shared" si="92"/>
        <v>1</v>
      </c>
      <c r="K336" s="72"/>
      <c r="L336" s="72">
        <f t="shared" ref="L336:AE336" si="99">L282*$F336/1000</f>
        <v>6.4452878167592806E-2</v>
      </c>
      <c r="M336" s="72">
        <f t="shared" si="99"/>
        <v>6.5870841487279841E-2</v>
      </c>
      <c r="N336" s="72">
        <f t="shared" si="99"/>
        <v>6.7319999999999991E-2</v>
      </c>
      <c r="O336" s="72">
        <f t="shared" si="99"/>
        <v>6.8801039999999994E-2</v>
      </c>
      <c r="P336" s="72">
        <f t="shared" si="99"/>
        <v>7.0314662880000003E-2</v>
      </c>
      <c r="Q336" s="72">
        <f t="shared" si="99"/>
        <v>7.1861585463359995E-2</v>
      </c>
      <c r="R336" s="72">
        <f t="shared" si="99"/>
        <v>7.3442540343553922E-2</v>
      </c>
      <c r="S336" s="72">
        <f t="shared" si="99"/>
        <v>7.5058276231112109E-2</v>
      </c>
      <c r="T336" s="72">
        <f t="shared" si="99"/>
        <v>7.6709558308196577E-2</v>
      </c>
      <c r="U336" s="72">
        <f t="shared" si="99"/>
        <v>7.8397168590976909E-2</v>
      </c>
      <c r="V336" s="72">
        <f t="shared" si="99"/>
        <v>8.012190629997841E-2</v>
      </c>
      <c r="W336" s="72">
        <f t="shared" si="99"/>
        <v>8.1884588238577916E-2</v>
      </c>
      <c r="X336" s="72">
        <f t="shared" si="99"/>
        <v>8.3686049179826624E-2</v>
      </c>
      <c r="Y336" s="72">
        <f t="shared" si="99"/>
        <v>8.5527142261782832E-2</v>
      </c>
      <c r="Z336" s="72">
        <f t="shared" si="99"/>
        <v>8.7408739391542062E-2</v>
      </c>
      <c r="AA336" s="72">
        <f t="shared" si="99"/>
        <v>8.9331731658155972E-2</v>
      </c>
      <c r="AB336" s="72">
        <f t="shared" si="99"/>
        <v>9.1297029754635398E-2</v>
      </c>
      <c r="AC336" s="72">
        <f t="shared" si="99"/>
        <v>9.3305564409237388E-2</v>
      </c>
      <c r="AD336" s="72">
        <f t="shared" si="99"/>
        <v>9.5358286826240618E-2</v>
      </c>
      <c r="AE336" s="72">
        <f t="shared" si="99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88"/>
        <v>0.156</v>
      </c>
      <c r="G337" s="72">
        <f t="shared" si="89"/>
        <v>2.35</v>
      </c>
      <c r="H337" s="72">
        <f t="shared" si="90"/>
        <v>15.064102564102564</v>
      </c>
      <c r="I337" s="100">
        <f t="shared" si="91"/>
        <v>1</v>
      </c>
      <c r="J337" s="100">
        <f t="shared" si="92"/>
        <v>1</v>
      </c>
      <c r="K337" s="72"/>
      <c r="L337" s="72">
        <f t="shared" ref="L337:AE337" si="100">L283*$F337/1000</f>
        <v>4.2047573055412055E-2</v>
      </c>
      <c r="M337" s="72">
        <f t="shared" si="100"/>
        <v>4.4360189573459712E-2</v>
      </c>
      <c r="N337" s="72">
        <f t="shared" si="100"/>
        <v>4.6799999999999994E-2</v>
      </c>
      <c r="O337" s="72">
        <f t="shared" si="100"/>
        <v>4.9374000000000001E-2</v>
      </c>
      <c r="P337" s="72">
        <f t="shared" si="100"/>
        <v>5.2089569999999995E-2</v>
      </c>
      <c r="Q337" s="72">
        <f t="shared" si="100"/>
        <v>5.4954496349999993E-2</v>
      </c>
      <c r="R337" s="72">
        <f t="shared" si="100"/>
        <v>5.7976993649249998E-2</v>
      </c>
      <c r="S337" s="72">
        <f t="shared" si="100"/>
        <v>6.1165728299958741E-2</v>
      </c>
      <c r="T337" s="72">
        <f t="shared" si="100"/>
        <v>6.4529843356456465E-2</v>
      </c>
      <c r="U337" s="72">
        <f t="shared" si="100"/>
        <v>6.8078984741061568E-2</v>
      </c>
      <c r="V337" s="72">
        <f t="shared" si="100"/>
        <v>7.1823328901819944E-2</v>
      </c>
      <c r="W337" s="72">
        <f t="shared" si="100"/>
        <v>7.5773611991420048E-2</v>
      </c>
      <c r="X337" s="72">
        <f t="shared" si="100"/>
        <v>7.9941160650948154E-2</v>
      </c>
      <c r="Y337" s="72">
        <f t="shared" si="100"/>
        <v>8.4337924486750301E-2</v>
      </c>
      <c r="Z337" s="72">
        <f t="shared" si="100"/>
        <v>8.8976510333521566E-2</v>
      </c>
      <c r="AA337" s="72">
        <f t="shared" si="100"/>
        <v>9.3870218401865241E-2</v>
      </c>
      <c r="AB337" s="72">
        <f t="shared" si="100"/>
        <v>9.9033080413967828E-2</v>
      </c>
      <c r="AC337" s="72">
        <f t="shared" si="100"/>
        <v>0.10447989983673606</v>
      </c>
      <c r="AD337" s="72">
        <f t="shared" si="100"/>
        <v>0.11022629432775652</v>
      </c>
      <c r="AE337" s="72">
        <f t="shared" si="100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01">SUM(L330:L337)</f>
        <v>20.926246357744834</v>
      </c>
      <c r="M338" s="72">
        <f t="shared" si="101"/>
        <v>21.621228468026327</v>
      </c>
      <c r="N338" s="72">
        <f t="shared" si="101"/>
        <v>22.340203500000001</v>
      </c>
      <c r="O338" s="72">
        <f t="shared" si="101"/>
        <v>23.084029143000002</v>
      </c>
      <c r="P338" s="72">
        <f t="shared" si="101"/>
        <v>23.853594734849999</v>
      </c>
      <c r="Q338" s="72">
        <f t="shared" si="101"/>
        <v>24.649822464218669</v>
      </c>
      <c r="R338" s="72">
        <f t="shared" si="101"/>
        <v>25.473668619896113</v>
      </c>
      <c r="S338" s="72">
        <f t="shared" si="101"/>
        <v>26.326124888867827</v>
      </c>
      <c r="T338" s="72">
        <f t="shared" si="101"/>
        <v>27.20821970513958</v>
      </c>
      <c r="U338" s="72">
        <f t="shared" si="101"/>
        <v>28.121019651346554</v>
      </c>
      <c r="V338" s="72">
        <f t="shared" si="101"/>
        <v>29.065630915263306</v>
      </c>
      <c r="W338" s="72">
        <f t="shared" si="101"/>
        <v>30.043200803417918</v>
      </c>
      <c r="X338" s="72">
        <f t="shared" si="101"/>
        <v>31.054919314104183</v>
      </c>
      <c r="Y338" s="72">
        <f t="shared" si="101"/>
        <v>32.102020772179657</v>
      </c>
      <c r="Z338" s="72">
        <f t="shared" si="101"/>
        <v>33.185785528135781</v>
      </c>
      <c r="AA338" s="72">
        <f t="shared" si="101"/>
        <v>34.307541724028312</v>
      </c>
      <c r="AB338" s="72">
        <f t="shared" si="101"/>
        <v>35.468667128962927</v>
      </c>
      <c r="AC338" s="72">
        <f t="shared" si="101"/>
        <v>36.67059104694183</v>
      </c>
      <c r="AD338" s="72">
        <f t="shared" si="101"/>
        <v>37.914796299992908</v>
      </c>
      <c r="AE338" s="72">
        <f t="shared" si="101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2">L274</f>
        <v>2022</v>
      </c>
      <c r="M340" s="74">
        <f t="shared" si="102"/>
        <v>2023</v>
      </c>
      <c r="N340" s="74">
        <f t="shared" si="102"/>
        <v>2024</v>
      </c>
      <c r="O340" s="74">
        <f t="shared" si="102"/>
        <v>2025</v>
      </c>
      <c r="P340" s="74">
        <f t="shared" si="102"/>
        <v>2026</v>
      </c>
      <c r="Q340" s="74">
        <f t="shared" si="102"/>
        <v>2027</v>
      </c>
      <c r="R340" s="74">
        <f t="shared" si="102"/>
        <v>2028</v>
      </c>
      <c r="S340" s="74">
        <f t="shared" si="102"/>
        <v>2029</v>
      </c>
      <c r="T340" s="74">
        <f t="shared" si="102"/>
        <v>2030</v>
      </c>
      <c r="U340" s="74">
        <f t="shared" si="102"/>
        <v>2031</v>
      </c>
      <c r="V340" s="74">
        <f t="shared" si="102"/>
        <v>2032</v>
      </c>
      <c r="W340" s="74">
        <f t="shared" si="102"/>
        <v>2033</v>
      </c>
      <c r="X340" s="74">
        <f t="shared" si="102"/>
        <v>2034</v>
      </c>
      <c r="Y340" s="74">
        <f t="shared" si="102"/>
        <v>2035</v>
      </c>
      <c r="Z340" s="74">
        <f t="shared" si="102"/>
        <v>2036</v>
      </c>
      <c r="AA340" s="74">
        <f t="shared" si="102"/>
        <v>2037</v>
      </c>
      <c r="AB340" s="74">
        <f t="shared" si="102"/>
        <v>2038</v>
      </c>
      <c r="AC340" s="74">
        <f t="shared" si="102"/>
        <v>2039</v>
      </c>
      <c r="AD340" s="74">
        <f t="shared" si="102"/>
        <v>2040</v>
      </c>
      <c r="AE340" s="74">
        <f t="shared" si="102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03">L276*G330/1000</f>
        <v>0.18716695292200644</v>
      </c>
      <c r="M341" s="72">
        <f t="shared" ref="M341:M348" si="104">M276*G330/1000</f>
        <v>0.1954022988505747</v>
      </c>
      <c r="N341" s="72">
        <f t="shared" ref="N341:N348" si="105">N276*G330/1000</f>
        <v>0.20399999999999999</v>
      </c>
      <c r="O341" s="72">
        <f t="shared" ref="O341:O348" si="106">O276*G330/1000</f>
        <v>0.21297600000000003</v>
      </c>
      <c r="P341" s="72">
        <f t="shared" ref="P341:P348" si="107">P276*G330/1000</f>
        <v>0.22234694400000005</v>
      </c>
      <c r="Q341" s="72">
        <f t="shared" ref="Q341:Q348" si="108">Q276*G330/1000</f>
        <v>0.23213020953600005</v>
      </c>
      <c r="R341" s="72">
        <f t="shared" ref="R341:R348" si="109">R276*G330/1000</f>
        <v>0.24234393875558408</v>
      </c>
      <c r="S341" s="72">
        <f t="shared" ref="S341:S348" si="110">S276*G330/1000</f>
        <v>0.25300707206082979</v>
      </c>
      <c r="T341" s="72">
        <f t="shared" ref="T341:T348" si="111">T276*G330/1000</f>
        <v>0.26413938323150632</v>
      </c>
      <c r="U341" s="72">
        <f t="shared" ref="U341:U348" si="112">U276*G330/1000</f>
        <v>0.27576151609369259</v>
      </c>
      <c r="V341" s="72">
        <f t="shared" ref="V341:V348" si="113">V276*G330/1000</f>
        <v>0.28789502280181506</v>
      </c>
      <c r="W341" s="72">
        <f t="shared" ref="W341:W348" si="114">W276*G330/1000</f>
        <v>0.30056240380509497</v>
      </c>
      <c r="X341" s="72">
        <f t="shared" ref="X341:X348" si="115">X276*G330/1000</f>
        <v>0.31378714957251913</v>
      </c>
      <c r="Y341" s="72">
        <f t="shared" ref="Y341:Y348" si="116">Y276*G330/1000</f>
        <v>0.32759378415370999</v>
      </c>
      <c r="Z341" s="72">
        <f t="shared" ref="Z341:Z348" si="117">Z276*G330/1000</f>
        <v>0.34200791065647324</v>
      </c>
      <c r="AA341" s="72">
        <f t="shared" ref="AA341:AA348" si="118">AA276*G330/1000</f>
        <v>0.35705625872535807</v>
      </c>
      <c r="AB341" s="72">
        <f t="shared" ref="AB341:AB348" si="119">AB276*G330/1000</f>
        <v>0.37276673410927386</v>
      </c>
      <c r="AC341" s="72">
        <f t="shared" ref="AC341:AC348" si="120">AC276*G330/1000</f>
        <v>0.38916847041008185</v>
      </c>
      <c r="AD341" s="72">
        <f t="shared" ref="AD341:AD348" si="121">AD276*G330/1000</f>
        <v>0.40629188310812547</v>
      </c>
      <c r="AE341" s="72">
        <f t="shared" ref="AE341:AE348" si="122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03"/>
        <v>6.6058924560708152E-2</v>
      </c>
      <c r="M342" s="72">
        <f t="shared" si="104"/>
        <v>6.8965517241379309E-2</v>
      </c>
      <c r="N342" s="72">
        <f t="shared" si="105"/>
        <v>7.1999999999999995E-2</v>
      </c>
      <c r="O342" s="72">
        <f t="shared" si="106"/>
        <v>7.5167999999999999E-2</v>
      </c>
      <c r="P342" s="72">
        <f t="shared" si="107"/>
        <v>7.8475392000000005E-2</v>
      </c>
      <c r="Q342" s="72">
        <f t="shared" si="108"/>
        <v>8.1928309247999986E-2</v>
      </c>
      <c r="R342" s="72">
        <f t="shared" si="109"/>
        <v>8.5533154854912002E-2</v>
      </c>
      <c r="S342" s="72">
        <f t="shared" si="110"/>
        <v>8.9296613668528119E-2</v>
      </c>
      <c r="T342" s="72">
        <f t="shared" si="111"/>
        <v>9.3225664669943364E-2</v>
      </c>
      <c r="U342" s="72">
        <f t="shared" si="112"/>
        <v>9.7327593915420896E-2</v>
      </c>
      <c r="V342" s="72">
        <f t="shared" si="113"/>
        <v>0.10161000804769942</v>
      </c>
      <c r="W342" s="72">
        <f t="shared" si="114"/>
        <v>0.10608084840179818</v>
      </c>
      <c r="X342" s="72">
        <f t="shared" si="115"/>
        <v>0.1107484057314773</v>
      </c>
      <c r="Y342" s="72">
        <f t="shared" si="116"/>
        <v>0.1156213355836623</v>
      </c>
      <c r="Z342" s="72">
        <f t="shared" si="117"/>
        <v>0.12070867434934346</v>
      </c>
      <c r="AA342" s="72">
        <f t="shared" si="118"/>
        <v>0.12601985602071455</v>
      </c>
      <c r="AB342" s="72">
        <f t="shared" si="119"/>
        <v>0.13156472968562599</v>
      </c>
      <c r="AC342" s="72">
        <f t="shared" si="120"/>
        <v>0.13735357779179352</v>
      </c>
      <c r="AD342" s="72">
        <f t="shared" si="121"/>
        <v>0.14339713521463243</v>
      </c>
      <c r="AE342" s="72">
        <f t="shared" si="122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03"/>
        <v>0</v>
      </c>
      <c r="M343" s="72">
        <f t="shared" si="104"/>
        <v>0</v>
      </c>
      <c r="N343" s="72">
        <f t="shared" si="105"/>
        <v>0</v>
      </c>
      <c r="O343" s="72">
        <f t="shared" si="106"/>
        <v>0</v>
      </c>
      <c r="P343" s="72">
        <f t="shared" si="107"/>
        <v>0</v>
      </c>
      <c r="Q343" s="72">
        <f t="shared" si="108"/>
        <v>0</v>
      </c>
      <c r="R343" s="72">
        <f t="shared" si="109"/>
        <v>0</v>
      </c>
      <c r="S343" s="72">
        <f t="shared" si="110"/>
        <v>0</v>
      </c>
      <c r="T343" s="72">
        <f t="shared" si="111"/>
        <v>0</v>
      </c>
      <c r="U343" s="72">
        <f t="shared" si="112"/>
        <v>0</v>
      </c>
      <c r="V343" s="72">
        <f t="shared" si="113"/>
        <v>0</v>
      </c>
      <c r="W343" s="72">
        <f t="shared" si="114"/>
        <v>0</v>
      </c>
      <c r="X343" s="72">
        <f t="shared" si="115"/>
        <v>0</v>
      </c>
      <c r="Y343" s="72">
        <f t="shared" si="116"/>
        <v>0</v>
      </c>
      <c r="Z343" s="72">
        <f t="shared" si="117"/>
        <v>0</v>
      </c>
      <c r="AA343" s="72">
        <f t="shared" si="118"/>
        <v>0</v>
      </c>
      <c r="AB343" s="72">
        <f t="shared" si="119"/>
        <v>0</v>
      </c>
      <c r="AC343" s="72">
        <f t="shared" si="120"/>
        <v>0</v>
      </c>
      <c r="AD343" s="72">
        <f t="shared" si="121"/>
        <v>0</v>
      </c>
      <c r="AE343" s="72">
        <f t="shared" si="122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03"/>
        <v>24.646491529759945</v>
      </c>
      <c r="M344" s="72">
        <f t="shared" si="104"/>
        <v>25.459825750242022</v>
      </c>
      <c r="N344" s="72">
        <f t="shared" si="105"/>
        <v>26.3</v>
      </c>
      <c r="O344" s="72">
        <f t="shared" si="106"/>
        <v>27.167899999999999</v>
      </c>
      <c r="P344" s="72">
        <f t="shared" si="107"/>
        <v>28.064440699999995</v>
      </c>
      <c r="Q344" s="72">
        <f t="shared" si="108"/>
        <v>28.990567243099992</v>
      </c>
      <c r="R344" s="72">
        <f t="shared" si="109"/>
        <v>29.947255962122291</v>
      </c>
      <c r="S344" s="72">
        <f t="shared" si="110"/>
        <v>30.935515408872323</v>
      </c>
      <c r="T344" s="72">
        <f t="shared" si="111"/>
        <v>31.956387417365111</v>
      </c>
      <c r="U344" s="72">
        <f t="shared" si="112"/>
        <v>33.010948202138152</v>
      </c>
      <c r="V344" s="72">
        <f t="shared" si="113"/>
        <v>34.100309492808705</v>
      </c>
      <c r="W344" s="72">
        <f t="shared" si="114"/>
        <v>35.225619706071399</v>
      </c>
      <c r="X344" s="72">
        <f t="shared" si="115"/>
        <v>36.388065156371745</v>
      </c>
      <c r="Y344" s="72">
        <f t="shared" si="116"/>
        <v>37.588871306532013</v>
      </c>
      <c r="Z344" s="72">
        <f t="shared" si="117"/>
        <v>38.829304059647569</v>
      </c>
      <c r="AA344" s="72">
        <f t="shared" si="118"/>
        <v>40.110671093615935</v>
      </c>
      <c r="AB344" s="72">
        <f t="shared" si="119"/>
        <v>41.434323239705257</v>
      </c>
      <c r="AC344" s="72">
        <f t="shared" si="120"/>
        <v>42.801655906615522</v>
      </c>
      <c r="AD344" s="72">
        <f t="shared" si="121"/>
        <v>44.214110551533835</v>
      </c>
      <c r="AE344" s="72">
        <f t="shared" si="122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03"/>
        <v>0</v>
      </c>
      <c r="M345" s="72">
        <f t="shared" si="104"/>
        <v>0</v>
      </c>
      <c r="N345" s="72">
        <f t="shared" si="105"/>
        <v>0</v>
      </c>
      <c r="O345" s="72">
        <f t="shared" si="106"/>
        <v>0</v>
      </c>
      <c r="P345" s="72">
        <f t="shared" si="107"/>
        <v>0</v>
      </c>
      <c r="Q345" s="72">
        <f t="shared" si="108"/>
        <v>0</v>
      </c>
      <c r="R345" s="72">
        <f t="shared" si="109"/>
        <v>0</v>
      </c>
      <c r="S345" s="72">
        <f t="shared" si="110"/>
        <v>0</v>
      </c>
      <c r="T345" s="72">
        <f t="shared" si="111"/>
        <v>0</v>
      </c>
      <c r="U345" s="72">
        <f t="shared" si="112"/>
        <v>0</v>
      </c>
      <c r="V345" s="72">
        <f t="shared" si="113"/>
        <v>0</v>
      </c>
      <c r="W345" s="72">
        <f t="shared" si="114"/>
        <v>0</v>
      </c>
      <c r="X345" s="72">
        <f t="shared" si="115"/>
        <v>0</v>
      </c>
      <c r="Y345" s="72">
        <f t="shared" si="116"/>
        <v>0</v>
      </c>
      <c r="Z345" s="72">
        <f t="shared" si="117"/>
        <v>0</v>
      </c>
      <c r="AA345" s="72">
        <f t="shared" si="118"/>
        <v>0</v>
      </c>
      <c r="AB345" s="72">
        <f t="shared" si="119"/>
        <v>0</v>
      </c>
      <c r="AC345" s="72">
        <f t="shared" si="120"/>
        <v>0</v>
      </c>
      <c r="AD345" s="72">
        <f t="shared" si="121"/>
        <v>0</v>
      </c>
      <c r="AE345" s="72">
        <f t="shared" si="122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03"/>
        <v>0</v>
      </c>
      <c r="M346" s="72">
        <f t="shared" si="104"/>
        <v>0</v>
      </c>
      <c r="N346" s="72">
        <f t="shared" si="105"/>
        <v>0</v>
      </c>
      <c r="O346" s="72">
        <f t="shared" si="106"/>
        <v>0</v>
      </c>
      <c r="P346" s="72">
        <f t="shared" si="107"/>
        <v>0</v>
      </c>
      <c r="Q346" s="72">
        <f t="shared" si="108"/>
        <v>0</v>
      </c>
      <c r="R346" s="72">
        <f t="shared" si="109"/>
        <v>0</v>
      </c>
      <c r="S346" s="72">
        <f t="shared" si="110"/>
        <v>0</v>
      </c>
      <c r="T346" s="72">
        <f t="shared" si="111"/>
        <v>0</v>
      </c>
      <c r="U346" s="72">
        <f t="shared" si="112"/>
        <v>0</v>
      </c>
      <c r="V346" s="72">
        <f t="shared" si="113"/>
        <v>0</v>
      </c>
      <c r="W346" s="72">
        <f t="shared" si="114"/>
        <v>0</v>
      </c>
      <c r="X346" s="72">
        <f t="shared" si="115"/>
        <v>0</v>
      </c>
      <c r="Y346" s="72">
        <f t="shared" si="116"/>
        <v>0</v>
      </c>
      <c r="Z346" s="72">
        <f t="shared" si="117"/>
        <v>0</v>
      </c>
      <c r="AA346" s="72">
        <f t="shared" si="118"/>
        <v>0</v>
      </c>
      <c r="AB346" s="72">
        <f t="shared" si="119"/>
        <v>0</v>
      </c>
      <c r="AC346" s="72">
        <f t="shared" si="120"/>
        <v>0</v>
      </c>
      <c r="AD346" s="72">
        <f t="shared" si="121"/>
        <v>0</v>
      </c>
      <c r="AE346" s="72">
        <f t="shared" si="122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03"/>
        <v>0.55721293959505358</v>
      </c>
      <c r="M347" s="72">
        <f t="shared" si="104"/>
        <v>0.56947162426614473</v>
      </c>
      <c r="N347" s="72">
        <f t="shared" si="105"/>
        <v>0.58199999999999996</v>
      </c>
      <c r="O347" s="72">
        <f t="shared" si="106"/>
        <v>0.594804</v>
      </c>
      <c r="P347" s="72">
        <f t="shared" si="107"/>
        <v>0.60788968800000009</v>
      </c>
      <c r="Q347" s="72">
        <f t="shared" si="108"/>
        <v>0.62126326113599994</v>
      </c>
      <c r="R347" s="72">
        <f t="shared" si="109"/>
        <v>0.63493105288099194</v>
      </c>
      <c r="S347" s="72">
        <f t="shared" si="110"/>
        <v>0.64889953604437378</v>
      </c>
      <c r="T347" s="72">
        <f t="shared" si="111"/>
        <v>0.66317532583735006</v>
      </c>
      <c r="U347" s="72">
        <f t="shared" si="112"/>
        <v>0.67776518300577182</v>
      </c>
      <c r="V347" s="72">
        <f t="shared" si="113"/>
        <v>0.69267601703189885</v>
      </c>
      <c r="W347" s="72">
        <f t="shared" si="114"/>
        <v>0.70791488940660052</v>
      </c>
      <c r="X347" s="72">
        <f t="shared" si="115"/>
        <v>0.72348901697354573</v>
      </c>
      <c r="Y347" s="72">
        <f t="shared" si="116"/>
        <v>0.73940577534696372</v>
      </c>
      <c r="Z347" s="72">
        <f t="shared" si="117"/>
        <v>0.75567270240459705</v>
      </c>
      <c r="AA347" s="72">
        <f t="shared" si="118"/>
        <v>0.77229750185749824</v>
      </c>
      <c r="AB347" s="72">
        <f t="shared" si="119"/>
        <v>0.78928804689836318</v>
      </c>
      <c r="AC347" s="72">
        <f t="shared" si="120"/>
        <v>0.80665238393012717</v>
      </c>
      <c r="AD347" s="72">
        <f t="shared" si="121"/>
        <v>0.82439873637659</v>
      </c>
      <c r="AE347" s="72">
        <f t="shared" si="122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03"/>
        <v>0.63340895307832257</v>
      </c>
      <c r="M348" s="72">
        <f t="shared" si="104"/>
        <v>0.66824644549763035</v>
      </c>
      <c r="N348" s="72">
        <f t="shared" si="105"/>
        <v>0.70499999999999996</v>
      </c>
      <c r="O348" s="72">
        <f t="shared" si="106"/>
        <v>0.74377499999999996</v>
      </c>
      <c r="P348" s="72">
        <f t="shared" si="107"/>
        <v>0.78468262499999997</v>
      </c>
      <c r="Q348" s="72">
        <f t="shared" si="108"/>
        <v>0.82784016937499993</v>
      </c>
      <c r="R348" s="72">
        <f t="shared" si="109"/>
        <v>0.87337137869062498</v>
      </c>
      <c r="S348" s="72">
        <f t="shared" si="110"/>
        <v>0.92140680451860935</v>
      </c>
      <c r="T348" s="72">
        <f t="shared" si="111"/>
        <v>0.97208417876713282</v>
      </c>
      <c r="U348" s="72">
        <f t="shared" si="112"/>
        <v>1.025548808599325</v>
      </c>
      <c r="V348" s="72">
        <f t="shared" si="113"/>
        <v>1.0819539930722879</v>
      </c>
      <c r="W348" s="72">
        <f t="shared" si="114"/>
        <v>1.1414614626912638</v>
      </c>
      <c r="X348" s="72">
        <f t="shared" si="115"/>
        <v>1.2042418431392832</v>
      </c>
      <c r="Y348" s="72">
        <f t="shared" si="116"/>
        <v>1.2704751445119435</v>
      </c>
      <c r="Z348" s="72">
        <f t="shared" si="117"/>
        <v>1.3403512774601003</v>
      </c>
      <c r="AA348" s="72">
        <f t="shared" si="118"/>
        <v>1.4140705977204062</v>
      </c>
      <c r="AB348" s="72">
        <f t="shared" si="119"/>
        <v>1.4918444805950282</v>
      </c>
      <c r="AC348" s="72">
        <f t="shared" si="120"/>
        <v>1.5738959270277546</v>
      </c>
      <c r="AD348" s="72">
        <f t="shared" si="121"/>
        <v>1.660460203014281</v>
      </c>
      <c r="AE348" s="72">
        <f t="shared" si="122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23">SUM(L341:L348)</f>
        <v>26.090339299916039</v>
      </c>
      <c r="M349" s="72">
        <f t="shared" si="123"/>
        <v>26.961911636097753</v>
      </c>
      <c r="N349" s="72">
        <f t="shared" si="123"/>
        <v>27.863</v>
      </c>
      <c r="O349" s="72">
        <f t="shared" si="123"/>
        <v>28.794622999999998</v>
      </c>
      <c r="P349" s="72">
        <f t="shared" si="123"/>
        <v>29.757835348999993</v>
      </c>
      <c r="Q349" s="72">
        <f t="shared" si="123"/>
        <v>30.753729192394996</v>
      </c>
      <c r="R349" s="72">
        <f t="shared" si="123"/>
        <v>31.783435487304406</v>
      </c>
      <c r="S349" s="72">
        <f t="shared" si="123"/>
        <v>32.848125435164668</v>
      </c>
      <c r="T349" s="72">
        <f t="shared" si="123"/>
        <v>33.949011969871044</v>
      </c>
      <c r="U349" s="72">
        <f t="shared" si="123"/>
        <v>35.087351303752364</v>
      </c>
      <c r="V349" s="72">
        <f t="shared" si="123"/>
        <v>36.264444533762408</v>
      </c>
      <c r="W349" s="72">
        <f t="shared" si="123"/>
        <v>37.481639310376153</v>
      </c>
      <c r="X349" s="72">
        <f t="shared" si="123"/>
        <v>38.740331571788573</v>
      </c>
      <c r="Y349" s="72">
        <f t="shared" si="123"/>
        <v>40.041967346128295</v>
      </c>
      <c r="Z349" s="72">
        <f t="shared" si="123"/>
        <v>41.388044624518081</v>
      </c>
      <c r="AA349" s="72">
        <f t="shared" si="123"/>
        <v>42.780115307939909</v>
      </c>
      <c r="AB349" s="72">
        <f t="shared" si="123"/>
        <v>44.219787230993546</v>
      </c>
      <c r="AC349" s="72">
        <f t="shared" si="123"/>
        <v>45.708726265775283</v>
      </c>
      <c r="AD349" s="72">
        <f t="shared" si="123"/>
        <v>47.248658509247463</v>
      </c>
      <c r="AE349" s="72">
        <f t="shared" si="123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24">L298</f>
        <v>2022</v>
      </c>
      <c r="M351" s="74">
        <f t="shared" si="124"/>
        <v>2023</v>
      </c>
      <c r="N351" s="74">
        <f t="shared" si="124"/>
        <v>2024</v>
      </c>
      <c r="O351" s="74">
        <f t="shared" si="124"/>
        <v>2025</v>
      </c>
      <c r="P351" s="74">
        <f t="shared" si="124"/>
        <v>2026</v>
      </c>
      <c r="Q351" s="74">
        <f t="shared" si="124"/>
        <v>2027</v>
      </c>
      <c r="R351" s="74">
        <f t="shared" si="124"/>
        <v>2028</v>
      </c>
      <c r="S351" s="74">
        <f t="shared" si="124"/>
        <v>2029</v>
      </c>
      <c r="T351" s="74">
        <f t="shared" si="124"/>
        <v>2030</v>
      </c>
      <c r="U351" s="74">
        <f t="shared" si="124"/>
        <v>2031</v>
      </c>
      <c r="V351" s="74">
        <f t="shared" si="124"/>
        <v>2032</v>
      </c>
      <c r="W351" s="74">
        <f t="shared" si="124"/>
        <v>2033</v>
      </c>
      <c r="X351" s="74">
        <f t="shared" si="124"/>
        <v>2034</v>
      </c>
      <c r="Y351" s="74">
        <f t="shared" si="124"/>
        <v>2035</v>
      </c>
      <c r="Z351" s="74">
        <f t="shared" si="124"/>
        <v>2036</v>
      </c>
      <c r="AA351" s="74">
        <f t="shared" si="124"/>
        <v>2037</v>
      </c>
      <c r="AB351" s="74">
        <f t="shared" si="124"/>
        <v>2038</v>
      </c>
      <c r="AC351" s="74">
        <f t="shared" si="124"/>
        <v>2039</v>
      </c>
      <c r="AD351" s="74">
        <f t="shared" si="124"/>
        <v>2040</v>
      </c>
      <c r="AE351" s="74">
        <f t="shared" si="124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5">L330*(EXP(-($E352)*(L249))-1)</f>
        <v>0</v>
      </c>
      <c r="M352" s="72">
        <f t="shared" si="125"/>
        <v>0</v>
      </c>
      <c r="N352" s="72">
        <f t="shared" si="125"/>
        <v>0</v>
      </c>
      <c r="O352" s="72">
        <f t="shared" si="125"/>
        <v>0</v>
      </c>
      <c r="P352" s="72">
        <f t="shared" si="125"/>
        <v>0</v>
      </c>
      <c r="Q352" s="72">
        <f t="shared" si="125"/>
        <v>0</v>
      </c>
      <c r="R352" s="72">
        <f t="shared" si="125"/>
        <v>0</v>
      </c>
      <c r="S352" s="72">
        <f t="shared" si="125"/>
        <v>0</v>
      </c>
      <c r="T352" s="72">
        <f t="shared" si="125"/>
        <v>0</v>
      </c>
      <c r="U352" s="72">
        <f t="shared" si="125"/>
        <v>0</v>
      </c>
      <c r="V352" s="72">
        <f t="shared" si="125"/>
        <v>0</v>
      </c>
      <c r="W352" s="72">
        <f t="shared" si="125"/>
        <v>0</v>
      </c>
      <c r="X352" s="72">
        <f t="shared" si="125"/>
        <v>0</v>
      </c>
      <c r="Y352" s="72">
        <f t="shared" si="125"/>
        <v>0</v>
      </c>
      <c r="Z352" s="72">
        <f t="shared" si="125"/>
        <v>0</v>
      </c>
      <c r="AA352" s="72">
        <f t="shared" si="125"/>
        <v>0</v>
      </c>
      <c r="AB352" s="72">
        <f t="shared" si="125"/>
        <v>0</v>
      </c>
      <c r="AC352" s="72">
        <f t="shared" si="125"/>
        <v>0</v>
      </c>
      <c r="AD352" s="72">
        <f t="shared" si="125"/>
        <v>0</v>
      </c>
      <c r="AE352" s="72">
        <f t="shared" si="125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6">L331*(EXP(-($E353)*(L249))-1)</f>
        <v>0</v>
      </c>
      <c r="M353" s="72">
        <f t="shared" si="126"/>
        <v>0</v>
      </c>
      <c r="N353" s="72">
        <f t="shared" si="126"/>
        <v>0</v>
      </c>
      <c r="O353" s="72">
        <f t="shared" si="126"/>
        <v>0</v>
      </c>
      <c r="P353" s="72">
        <f t="shared" si="126"/>
        <v>0</v>
      </c>
      <c r="Q353" s="72">
        <f t="shared" si="126"/>
        <v>0</v>
      </c>
      <c r="R353" s="72">
        <f t="shared" si="126"/>
        <v>0</v>
      </c>
      <c r="S353" s="72">
        <f t="shared" si="126"/>
        <v>0</v>
      </c>
      <c r="T353" s="72">
        <f t="shared" si="126"/>
        <v>0</v>
      </c>
      <c r="U353" s="72">
        <f t="shared" si="126"/>
        <v>0</v>
      </c>
      <c r="V353" s="72">
        <f t="shared" si="126"/>
        <v>0</v>
      </c>
      <c r="W353" s="72">
        <f t="shared" si="126"/>
        <v>0</v>
      </c>
      <c r="X353" s="72">
        <f t="shared" si="126"/>
        <v>0</v>
      </c>
      <c r="Y353" s="72">
        <f t="shared" si="126"/>
        <v>0</v>
      </c>
      <c r="Z353" s="72">
        <f t="shared" si="126"/>
        <v>0</v>
      </c>
      <c r="AA353" s="72">
        <f t="shared" si="126"/>
        <v>0</v>
      </c>
      <c r="AB353" s="72">
        <f t="shared" si="126"/>
        <v>0</v>
      </c>
      <c r="AC353" s="72">
        <f t="shared" si="126"/>
        <v>0</v>
      </c>
      <c r="AD353" s="72">
        <f t="shared" si="126"/>
        <v>0</v>
      </c>
      <c r="AE353" s="72">
        <f t="shared" si="126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7">L332*(EXP(-($E354)*(L249))-1)</f>
        <v>0</v>
      </c>
      <c r="M354" s="72">
        <f t="shared" si="127"/>
        <v>0</v>
      </c>
      <c r="N354" s="72">
        <f t="shared" si="127"/>
        <v>0</v>
      </c>
      <c r="O354" s="72">
        <f t="shared" si="127"/>
        <v>0</v>
      </c>
      <c r="P354" s="72">
        <f t="shared" si="127"/>
        <v>0</v>
      </c>
      <c r="Q354" s="72">
        <f t="shared" si="127"/>
        <v>0</v>
      </c>
      <c r="R354" s="72">
        <f t="shared" si="127"/>
        <v>0</v>
      </c>
      <c r="S354" s="72">
        <f t="shared" si="127"/>
        <v>0</v>
      </c>
      <c r="T354" s="72">
        <f t="shared" si="127"/>
        <v>0</v>
      </c>
      <c r="U354" s="72">
        <f t="shared" si="127"/>
        <v>0</v>
      </c>
      <c r="V354" s="72">
        <f t="shared" si="127"/>
        <v>0</v>
      </c>
      <c r="W354" s="72">
        <f t="shared" si="127"/>
        <v>0</v>
      </c>
      <c r="X354" s="72">
        <f t="shared" si="127"/>
        <v>0</v>
      </c>
      <c r="Y354" s="72">
        <f t="shared" si="127"/>
        <v>0</v>
      </c>
      <c r="Z354" s="72">
        <f t="shared" si="127"/>
        <v>0</v>
      </c>
      <c r="AA354" s="72">
        <f t="shared" si="127"/>
        <v>0</v>
      </c>
      <c r="AB354" s="72">
        <f t="shared" si="127"/>
        <v>0</v>
      </c>
      <c r="AC354" s="72">
        <f t="shared" si="127"/>
        <v>0</v>
      </c>
      <c r="AD354" s="72">
        <f t="shared" si="127"/>
        <v>0</v>
      </c>
      <c r="AE354" s="72">
        <f t="shared" si="127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8">L333*(EXP(-($E355)*(L249))-1)</f>
        <v>0</v>
      </c>
      <c r="M355" s="72">
        <f t="shared" si="128"/>
        <v>0</v>
      </c>
      <c r="N355" s="72">
        <f t="shared" si="128"/>
        <v>0</v>
      </c>
      <c r="O355" s="72">
        <f t="shared" si="128"/>
        <v>0</v>
      </c>
      <c r="P355" s="72">
        <f t="shared" si="128"/>
        <v>0</v>
      </c>
      <c r="Q355" s="72">
        <f t="shared" si="128"/>
        <v>0</v>
      </c>
      <c r="R355" s="72">
        <f t="shared" si="128"/>
        <v>0</v>
      </c>
      <c r="S355" s="72">
        <f t="shared" si="128"/>
        <v>0</v>
      </c>
      <c r="T355" s="72">
        <f t="shared" si="128"/>
        <v>0</v>
      </c>
      <c r="U355" s="72">
        <f t="shared" si="128"/>
        <v>0</v>
      </c>
      <c r="V355" s="72">
        <f t="shared" si="128"/>
        <v>0</v>
      </c>
      <c r="W355" s="72">
        <f t="shared" si="128"/>
        <v>0</v>
      </c>
      <c r="X355" s="72">
        <f t="shared" si="128"/>
        <v>0</v>
      </c>
      <c r="Y355" s="72">
        <f t="shared" si="128"/>
        <v>0</v>
      </c>
      <c r="Z355" s="72">
        <f t="shared" si="128"/>
        <v>0</v>
      </c>
      <c r="AA355" s="72">
        <f t="shared" si="128"/>
        <v>0</v>
      </c>
      <c r="AB355" s="72">
        <f t="shared" si="128"/>
        <v>0</v>
      </c>
      <c r="AC355" s="72">
        <f t="shared" si="128"/>
        <v>0</v>
      </c>
      <c r="AD355" s="72">
        <f t="shared" si="128"/>
        <v>0</v>
      </c>
      <c r="AE355" s="72">
        <f t="shared" si="128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9">L334*(EXP(-($E356)*(L249))-1)</f>
        <v>0</v>
      </c>
      <c r="M356" s="72">
        <f t="shared" si="129"/>
        <v>0</v>
      </c>
      <c r="N356" s="72">
        <f t="shared" si="129"/>
        <v>0</v>
      </c>
      <c r="O356" s="72">
        <f t="shared" si="129"/>
        <v>0</v>
      </c>
      <c r="P356" s="72">
        <f t="shared" si="129"/>
        <v>0</v>
      </c>
      <c r="Q356" s="72">
        <f t="shared" si="129"/>
        <v>0</v>
      </c>
      <c r="R356" s="72">
        <f t="shared" si="129"/>
        <v>0</v>
      </c>
      <c r="S356" s="72">
        <f t="shared" si="129"/>
        <v>0</v>
      </c>
      <c r="T356" s="72">
        <f t="shared" si="129"/>
        <v>0</v>
      </c>
      <c r="U356" s="72">
        <f t="shared" si="129"/>
        <v>0</v>
      </c>
      <c r="V356" s="72">
        <f t="shared" si="129"/>
        <v>0</v>
      </c>
      <c r="W356" s="72">
        <f t="shared" si="129"/>
        <v>0</v>
      </c>
      <c r="X356" s="72">
        <f t="shared" si="129"/>
        <v>0</v>
      </c>
      <c r="Y356" s="72">
        <f t="shared" si="129"/>
        <v>0</v>
      </c>
      <c r="Z356" s="72">
        <f t="shared" si="129"/>
        <v>0</v>
      </c>
      <c r="AA356" s="72">
        <f t="shared" si="129"/>
        <v>0</v>
      </c>
      <c r="AB356" s="72">
        <f t="shared" si="129"/>
        <v>0</v>
      </c>
      <c r="AC356" s="72">
        <f t="shared" si="129"/>
        <v>0</v>
      </c>
      <c r="AD356" s="72">
        <f t="shared" si="129"/>
        <v>0</v>
      </c>
      <c r="AE356" s="72">
        <f t="shared" si="129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30">L335*(EXP(-($E357)*(L249))-1)</f>
        <v>0</v>
      </c>
      <c r="M357" s="72">
        <f t="shared" si="130"/>
        <v>0</v>
      </c>
      <c r="N357" s="72">
        <f t="shared" si="130"/>
        <v>0</v>
      </c>
      <c r="O357" s="72">
        <f t="shared" si="130"/>
        <v>0</v>
      </c>
      <c r="P357" s="72">
        <f t="shared" si="130"/>
        <v>0</v>
      </c>
      <c r="Q357" s="72">
        <f t="shared" si="130"/>
        <v>0</v>
      </c>
      <c r="R357" s="72">
        <f t="shared" si="130"/>
        <v>0</v>
      </c>
      <c r="S357" s="72">
        <f t="shared" si="130"/>
        <v>0</v>
      </c>
      <c r="T357" s="72">
        <f t="shared" si="130"/>
        <v>0</v>
      </c>
      <c r="U357" s="72">
        <f t="shared" si="130"/>
        <v>0</v>
      </c>
      <c r="V357" s="72">
        <f t="shared" si="130"/>
        <v>0</v>
      </c>
      <c r="W357" s="72">
        <f t="shared" si="130"/>
        <v>0</v>
      </c>
      <c r="X357" s="72">
        <f t="shared" si="130"/>
        <v>0</v>
      </c>
      <c r="Y357" s="72">
        <f t="shared" si="130"/>
        <v>0</v>
      </c>
      <c r="Z357" s="72">
        <f t="shared" si="130"/>
        <v>0</v>
      </c>
      <c r="AA357" s="72">
        <f t="shared" si="130"/>
        <v>0</v>
      </c>
      <c r="AB357" s="72">
        <f t="shared" si="130"/>
        <v>0</v>
      </c>
      <c r="AC357" s="72">
        <f t="shared" si="130"/>
        <v>0</v>
      </c>
      <c r="AD357" s="72">
        <f t="shared" si="130"/>
        <v>0</v>
      </c>
      <c r="AE357" s="72">
        <f t="shared" si="130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1">L336*(EXP(-($E358)*(L249))-1)</f>
        <v>0</v>
      </c>
      <c r="M358" s="72">
        <f t="shared" si="131"/>
        <v>0</v>
      </c>
      <c r="N358" s="72">
        <f t="shared" si="131"/>
        <v>0</v>
      </c>
      <c r="O358" s="72">
        <f t="shared" si="131"/>
        <v>0</v>
      </c>
      <c r="P358" s="72">
        <f t="shared" si="131"/>
        <v>0</v>
      </c>
      <c r="Q358" s="72">
        <f t="shared" si="131"/>
        <v>0</v>
      </c>
      <c r="R358" s="72">
        <f t="shared" si="131"/>
        <v>0</v>
      </c>
      <c r="S358" s="72">
        <f t="shared" si="131"/>
        <v>0</v>
      </c>
      <c r="T358" s="72">
        <f t="shared" si="131"/>
        <v>0</v>
      </c>
      <c r="U358" s="72">
        <f t="shared" si="131"/>
        <v>0</v>
      </c>
      <c r="V358" s="72">
        <f t="shared" si="131"/>
        <v>0</v>
      </c>
      <c r="W358" s="72">
        <f t="shared" si="131"/>
        <v>0</v>
      </c>
      <c r="X358" s="72">
        <f t="shared" si="131"/>
        <v>0</v>
      </c>
      <c r="Y358" s="72">
        <f t="shared" si="131"/>
        <v>0</v>
      </c>
      <c r="Z358" s="72">
        <f t="shared" si="131"/>
        <v>0</v>
      </c>
      <c r="AA358" s="72">
        <f t="shared" si="131"/>
        <v>0</v>
      </c>
      <c r="AB358" s="72">
        <f t="shared" si="131"/>
        <v>0</v>
      </c>
      <c r="AC358" s="72">
        <f t="shared" si="131"/>
        <v>0</v>
      </c>
      <c r="AD358" s="72">
        <f t="shared" si="131"/>
        <v>0</v>
      </c>
      <c r="AE358" s="72">
        <f t="shared" si="131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2">L337*(EXP(-($E359)*(L249))-1)</f>
        <v>0</v>
      </c>
      <c r="M359" s="72">
        <f t="shared" si="132"/>
        <v>0</v>
      </c>
      <c r="N359" s="72">
        <f t="shared" si="132"/>
        <v>0</v>
      </c>
      <c r="O359" s="72">
        <f t="shared" si="132"/>
        <v>0</v>
      </c>
      <c r="P359" s="72">
        <f t="shared" si="132"/>
        <v>0</v>
      </c>
      <c r="Q359" s="72">
        <f t="shared" si="132"/>
        <v>0</v>
      </c>
      <c r="R359" s="72">
        <f t="shared" si="132"/>
        <v>0</v>
      </c>
      <c r="S359" s="72">
        <f t="shared" si="132"/>
        <v>0</v>
      </c>
      <c r="T359" s="72">
        <f t="shared" si="132"/>
        <v>0</v>
      </c>
      <c r="U359" s="72">
        <f t="shared" si="132"/>
        <v>0</v>
      </c>
      <c r="V359" s="72">
        <f t="shared" si="132"/>
        <v>0</v>
      </c>
      <c r="W359" s="72">
        <f t="shared" si="132"/>
        <v>0</v>
      </c>
      <c r="X359" s="72">
        <f t="shared" si="132"/>
        <v>0</v>
      </c>
      <c r="Y359" s="72">
        <f t="shared" si="132"/>
        <v>0</v>
      </c>
      <c r="Z359" s="72">
        <f t="shared" si="132"/>
        <v>0</v>
      </c>
      <c r="AA359" s="72">
        <f t="shared" si="132"/>
        <v>0</v>
      </c>
      <c r="AB359" s="72">
        <f t="shared" si="132"/>
        <v>0</v>
      </c>
      <c r="AC359" s="72">
        <f t="shared" si="132"/>
        <v>0</v>
      </c>
      <c r="AD359" s="72">
        <f t="shared" si="132"/>
        <v>0</v>
      </c>
      <c r="AE359" s="72">
        <f t="shared" si="132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3">SUM(L352:L359)</f>
        <v>0</v>
      </c>
      <c r="M360" s="72">
        <f t="shared" si="133"/>
        <v>0</v>
      </c>
      <c r="N360" s="72">
        <f t="shared" si="133"/>
        <v>0</v>
      </c>
      <c r="O360" s="72">
        <f t="shared" si="133"/>
        <v>0</v>
      </c>
      <c r="P360" s="72">
        <f t="shared" si="133"/>
        <v>0</v>
      </c>
      <c r="Q360" s="72">
        <f t="shared" si="133"/>
        <v>0</v>
      </c>
      <c r="R360" s="72">
        <f t="shared" si="133"/>
        <v>0</v>
      </c>
      <c r="S360" s="72">
        <f t="shared" si="133"/>
        <v>0</v>
      </c>
      <c r="T360" s="72">
        <f t="shared" si="133"/>
        <v>0</v>
      </c>
      <c r="U360" s="72">
        <f t="shared" si="133"/>
        <v>0</v>
      </c>
      <c r="V360" s="72">
        <f t="shared" si="133"/>
        <v>0</v>
      </c>
      <c r="W360" s="72">
        <f t="shared" si="133"/>
        <v>0</v>
      </c>
      <c r="X360" s="72">
        <f t="shared" si="133"/>
        <v>0</v>
      </c>
      <c r="Y360" s="72">
        <f t="shared" si="133"/>
        <v>0</v>
      </c>
      <c r="Z360" s="72">
        <f t="shared" si="133"/>
        <v>0</v>
      </c>
      <c r="AA360" s="72">
        <f t="shared" si="133"/>
        <v>0</v>
      </c>
      <c r="AB360" s="72">
        <f t="shared" si="133"/>
        <v>0</v>
      </c>
      <c r="AC360" s="72">
        <f t="shared" si="133"/>
        <v>0</v>
      </c>
      <c r="AD360" s="72">
        <f t="shared" si="133"/>
        <v>0</v>
      </c>
      <c r="AE360" s="72">
        <f t="shared" si="133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 t="shared" ref="L363:AE363" si="135">L341*$J330*(EXP(-($E363)*($F310*L$308+$G310*L$248))-1)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 t="shared" ref="L364:AE364" si="136">L342*$J331*(EXP(-($E364)*($F311*L$308+$G311*L$248))-1)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 t="shared" ref="L365:AE365" si="137">L343*$J332*(EXP(-($E365)*($F312*L$308+$G312*L$248))-1)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 t="shared" ref="L366:AE366" si="138">L344*$J333*(EXP(-($E366)*($F313*L$308+$G313*L$248))-1)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 t="shared" ref="L367:AE367" si="139">L345*$J334*(EXP(-($E367)*($F314*L$308+$G314*L$248))-1)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 t="shared" ref="L368:AE368" si="140">L346*$J335*(EXP(-($E368)*($F315*L$308+$G315*L$248))-1)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 t="shared" ref="L369:AE369" si="141">L347*$J336*(EXP(-($E369)*($F316*L$308+$G316*L$248))-1)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 t="shared" ref="L370:AE370" si="142">L348*$J337*(EXP(-($E370)*($F317*L$308+$G317*L$248))-1)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3.5290636333347374</v>
      </c>
      <c r="M374" s="72">
        <f t="shared" si="144"/>
        <v>3.6067030332681016</v>
      </c>
      <c r="N374" s="72">
        <f t="shared" si="144"/>
        <v>3.6860504999999999</v>
      </c>
      <c r="O374" s="72">
        <f t="shared" si="144"/>
        <v>3.7671436109999994</v>
      </c>
      <c r="P374" s="72">
        <f t="shared" si="144"/>
        <v>3.8500207704419993</v>
      </c>
      <c r="Q374" s="72">
        <f t="shared" si="144"/>
        <v>3.9347212273917234</v>
      </c>
      <c r="R374" s="72">
        <f t="shared" si="144"/>
        <v>4.0212850943943419</v>
      </c>
      <c r="S374" s="72">
        <f t="shared" si="144"/>
        <v>4.1097533664710166</v>
      </c>
      <c r="T374" s="72">
        <f t="shared" si="144"/>
        <v>4.2001679405333787</v>
      </c>
      <c r="U374" s="72">
        <f t="shared" si="144"/>
        <v>4.292571635225114</v>
      </c>
      <c r="V374" s="72">
        <f t="shared" si="144"/>
        <v>4.3870082112000661</v>
      </c>
      <c r="W374" s="72">
        <f t="shared" si="144"/>
        <v>4.4835223918464688</v>
      </c>
      <c r="X374" s="72">
        <f t="shared" si="144"/>
        <v>4.5821598844670905</v>
      </c>
      <c r="Y374" s="72">
        <f t="shared" si="144"/>
        <v>4.6829674019253673</v>
      </c>
      <c r="Z374" s="72">
        <f t="shared" si="144"/>
        <v>4.7859926847677254</v>
      </c>
      <c r="AA374" s="72">
        <f t="shared" si="144"/>
        <v>4.8912845238326152</v>
      </c>
      <c r="AB374" s="72">
        <f t="shared" si="144"/>
        <v>4.9988927833569319</v>
      </c>
      <c r="AC374" s="72">
        <f t="shared" si="144"/>
        <v>5.1088684245907858</v>
      </c>
      <c r="AD374" s="72">
        <f t="shared" si="144"/>
        <v>5.2212635299317824</v>
      </c>
      <c r="AE374" s="72">
        <f t="shared" si="14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3.8464212577619237</v>
      </c>
      <c r="M375" s="72">
        <f t="shared" si="145"/>
        <v>4.0156637931034478</v>
      </c>
      <c r="N375" s="72">
        <f t="shared" si="145"/>
        <v>4.1923530000000007</v>
      </c>
      <c r="O375" s="72">
        <f t="shared" si="145"/>
        <v>4.3768165320000012</v>
      </c>
      <c r="P375" s="72">
        <f t="shared" si="145"/>
        <v>4.5693964594080008</v>
      </c>
      <c r="Q375" s="72">
        <f t="shared" si="145"/>
        <v>4.7704499036219534</v>
      </c>
      <c r="R375" s="72">
        <f t="shared" si="145"/>
        <v>4.9803496993813186</v>
      </c>
      <c r="S375" s="72">
        <f t="shared" si="145"/>
        <v>5.1994850861540982</v>
      </c>
      <c r="T375" s="72">
        <f t="shared" si="145"/>
        <v>5.4282624299448781</v>
      </c>
      <c r="U375" s="72">
        <f t="shared" si="145"/>
        <v>5.6671059768624525</v>
      </c>
      <c r="V375" s="72">
        <f t="shared" si="145"/>
        <v>5.9164586398444019</v>
      </c>
      <c r="W375" s="72">
        <f t="shared" si="145"/>
        <v>6.1767828199975545</v>
      </c>
      <c r="X375" s="72">
        <f t="shared" si="145"/>
        <v>6.4485612640774477</v>
      </c>
      <c r="Y375" s="72">
        <f t="shared" si="145"/>
        <v>6.7322979596968553</v>
      </c>
      <c r="Z375" s="72">
        <f t="shared" si="145"/>
        <v>7.0285190699235169</v>
      </c>
      <c r="AA375" s="72">
        <f t="shared" si="145"/>
        <v>7.3377739090001519</v>
      </c>
      <c r="AB375" s="72">
        <f t="shared" si="145"/>
        <v>7.6606359609961583</v>
      </c>
      <c r="AC375" s="72">
        <f t="shared" si="145"/>
        <v>7.9977039432799906</v>
      </c>
      <c r="AD375" s="72">
        <f t="shared" si="145"/>
        <v>8.3496029167843098</v>
      </c>
      <c r="AE375" s="72">
        <f t="shared" si="145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4.2047573055412055E-2</v>
      </c>
      <c r="M376" s="72">
        <f t="shared" si="146"/>
        <v>4.4360189573459712E-2</v>
      </c>
      <c r="N376" s="72">
        <f t="shared" si="146"/>
        <v>4.6799999999999994E-2</v>
      </c>
      <c r="O376" s="72">
        <f t="shared" si="146"/>
        <v>4.9374000000000001E-2</v>
      </c>
      <c r="P376" s="72">
        <f t="shared" si="146"/>
        <v>5.2089569999999995E-2</v>
      </c>
      <c r="Q376" s="72">
        <f t="shared" si="146"/>
        <v>5.4954496349999993E-2</v>
      </c>
      <c r="R376" s="72">
        <f t="shared" si="146"/>
        <v>5.7976993649249998E-2</v>
      </c>
      <c r="S376" s="72">
        <f t="shared" si="146"/>
        <v>6.1165728299958741E-2</v>
      </c>
      <c r="T376" s="72">
        <f t="shared" si="146"/>
        <v>6.4529843356456465E-2</v>
      </c>
      <c r="U376" s="72">
        <f t="shared" si="146"/>
        <v>6.8078984741061568E-2</v>
      </c>
      <c r="V376" s="72">
        <f t="shared" si="146"/>
        <v>7.1823328901819944E-2</v>
      </c>
      <c r="W376" s="72">
        <f t="shared" si="146"/>
        <v>7.5773611991420048E-2</v>
      </c>
      <c r="X376" s="72">
        <f t="shared" si="146"/>
        <v>7.9941160650948154E-2</v>
      </c>
      <c r="Y376" s="72">
        <f t="shared" si="146"/>
        <v>8.4337924486750301E-2</v>
      </c>
      <c r="Z376" s="72">
        <f t="shared" si="146"/>
        <v>8.8976510333521566E-2</v>
      </c>
      <c r="AA376" s="72">
        <f t="shared" si="146"/>
        <v>9.3870218401865241E-2</v>
      </c>
      <c r="AB376" s="72">
        <f t="shared" si="146"/>
        <v>9.9033080413967828E-2</v>
      </c>
      <c r="AC376" s="72">
        <f t="shared" si="146"/>
        <v>0.10447989983673606</v>
      </c>
      <c r="AD376" s="72">
        <f t="shared" si="146"/>
        <v>0.11022629432775652</v>
      </c>
      <c r="AE376" s="72">
        <f t="shared" si="14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13.508713893592759</v>
      </c>
      <c r="M378" s="72">
        <f t="shared" si="147"/>
        <v>13.954501452081319</v>
      </c>
      <c r="N378" s="72">
        <f t="shared" si="147"/>
        <v>14.414999999999999</v>
      </c>
      <c r="O378" s="72">
        <f t="shared" si="147"/>
        <v>14.890694999999997</v>
      </c>
      <c r="P378" s="72">
        <f t="shared" si="147"/>
        <v>15.382087934999998</v>
      </c>
      <c r="Q378" s="72">
        <f t="shared" si="147"/>
        <v>15.889696836854995</v>
      </c>
      <c r="R378" s="72">
        <f t="shared" si="147"/>
        <v>16.414056832471207</v>
      </c>
      <c r="S378" s="72">
        <f t="shared" si="147"/>
        <v>16.955720707942756</v>
      </c>
      <c r="T378" s="72">
        <f t="shared" si="147"/>
        <v>17.515259491304867</v>
      </c>
      <c r="U378" s="72">
        <f t="shared" si="147"/>
        <v>18.093263054517926</v>
      </c>
      <c r="V378" s="72">
        <f t="shared" si="147"/>
        <v>18.690340735317015</v>
      </c>
      <c r="W378" s="72">
        <f t="shared" si="147"/>
        <v>19.307121979582476</v>
      </c>
      <c r="X378" s="72">
        <f t="shared" si="147"/>
        <v>19.944257004908696</v>
      </c>
      <c r="Y378" s="72">
        <f t="shared" si="147"/>
        <v>20.602417486070681</v>
      </c>
      <c r="Z378" s="72">
        <f t="shared" si="147"/>
        <v>21.282297263111012</v>
      </c>
      <c r="AA378" s="72">
        <f t="shared" si="147"/>
        <v>21.984613072793675</v>
      </c>
      <c r="AB378" s="72">
        <f t="shared" si="147"/>
        <v>22.710105304195867</v>
      </c>
      <c r="AC378" s="72">
        <f t="shared" si="147"/>
        <v>23.459538779234329</v>
      </c>
      <c r="AD378" s="72">
        <f t="shared" si="147"/>
        <v>24.23370355894906</v>
      </c>
      <c r="AE378" s="72">
        <f t="shared" si="147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20.926246357744834</v>
      </c>
      <c r="M379" s="72">
        <f t="shared" si="148"/>
        <v>21.621228468026327</v>
      </c>
      <c r="N379" s="72">
        <f t="shared" si="148"/>
        <v>22.340203500000001</v>
      </c>
      <c r="O379" s="72">
        <f t="shared" si="148"/>
        <v>23.084029142999999</v>
      </c>
      <c r="P379" s="72">
        <f t="shared" si="148"/>
        <v>23.853594734849999</v>
      </c>
      <c r="Q379" s="72">
        <f t="shared" si="148"/>
        <v>24.649822464218673</v>
      </c>
      <c r="R379" s="72">
        <f t="shared" si="148"/>
        <v>25.473668619896117</v>
      </c>
      <c r="S379" s="72">
        <f t="shared" si="148"/>
        <v>26.326124888867831</v>
      </c>
      <c r="T379" s="72">
        <f t="shared" si="148"/>
        <v>27.20821970513958</v>
      </c>
      <c r="U379" s="72">
        <f t="shared" si="148"/>
        <v>28.121019651346558</v>
      </c>
      <c r="V379" s="72">
        <f t="shared" si="148"/>
        <v>29.065630915263306</v>
      </c>
      <c r="W379" s="72">
        <f t="shared" si="148"/>
        <v>30.043200803417918</v>
      </c>
      <c r="X379" s="72">
        <f t="shared" si="148"/>
        <v>31.054919314104183</v>
      </c>
      <c r="Y379" s="72">
        <f t="shared" si="148"/>
        <v>32.102020772179657</v>
      </c>
      <c r="Z379" s="72">
        <f t="shared" si="148"/>
        <v>33.185785528135774</v>
      </c>
      <c r="AA379" s="72">
        <f t="shared" si="148"/>
        <v>34.307541724028304</v>
      </c>
      <c r="AB379" s="72">
        <f t="shared" si="148"/>
        <v>35.46866712896292</v>
      </c>
      <c r="AC379" s="72">
        <f t="shared" si="148"/>
        <v>36.670591046941837</v>
      </c>
      <c r="AD379" s="72">
        <f t="shared" si="148"/>
        <v>37.914796299992908</v>
      </c>
      <c r="AE379" s="72">
        <f t="shared" si="148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1872</v>
      </c>
      <c r="E380" s="72" t="s">
        <v>1873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47.016585657660869</v>
      </c>
      <c r="M380" s="72">
        <f t="shared" si="149"/>
        <v>48.583140104124077</v>
      </c>
      <c r="N380" s="72">
        <f t="shared" si="149"/>
        <v>50.203203500000001</v>
      </c>
      <c r="O380" s="72">
        <f t="shared" si="149"/>
        <v>51.878652142999996</v>
      </c>
      <c r="P380" s="72">
        <f t="shared" si="149"/>
        <v>53.611430083849996</v>
      </c>
      <c r="Q380" s="72">
        <f t="shared" si="149"/>
        <v>55.403551656613665</v>
      </c>
      <c r="R380" s="72">
        <f t="shared" si="149"/>
        <v>57.257104107200519</v>
      </c>
      <c r="S380" s="72">
        <f t="shared" si="149"/>
        <v>59.174250324032492</v>
      </c>
      <c r="T380" s="72">
        <f t="shared" si="149"/>
        <v>61.157231675010621</v>
      </c>
      <c r="U380" s="72">
        <f t="shared" si="149"/>
        <v>63.208370955098921</v>
      </c>
      <c r="V380" s="72">
        <f t="shared" si="149"/>
        <v>65.330075449025713</v>
      </c>
      <c r="W380" s="72">
        <f t="shared" si="149"/>
        <v>67.52484011379407</v>
      </c>
      <c r="X380" s="72">
        <f t="shared" si="149"/>
        <v>69.795250885892756</v>
      </c>
      <c r="Y380" s="72">
        <f t="shared" si="149"/>
        <v>72.143988118307959</v>
      </c>
      <c r="Z380" s="72">
        <f t="shared" si="149"/>
        <v>74.573830152653855</v>
      </c>
      <c r="AA380" s="72">
        <f t="shared" si="149"/>
        <v>77.087657031968206</v>
      </c>
      <c r="AB380" s="72">
        <f t="shared" si="149"/>
        <v>79.688454359956467</v>
      </c>
      <c r="AC380" s="72">
        <f t="shared" si="149"/>
        <v>82.37931731271712</v>
      </c>
      <c r="AD380" s="72">
        <f t="shared" si="149"/>
        <v>85.163454809240363</v>
      </c>
      <c r="AE380" s="72">
        <f t="shared" si="149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1874</v>
      </c>
      <c r="E381" s="72" t="s">
        <v>1873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1904</v>
      </c>
      <c r="E382" s="72" t="s">
        <v>1875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1923</v>
      </c>
      <c r="E383" s="72" t="s">
        <v>1875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0.55721293959505358</v>
      </c>
      <c r="M385" s="72">
        <f t="shared" si="153"/>
        <v>0.56947162426614473</v>
      </c>
      <c r="N385" s="72">
        <f t="shared" si="153"/>
        <v>0.58199999999999996</v>
      </c>
      <c r="O385" s="72">
        <f t="shared" si="153"/>
        <v>0.594804</v>
      </c>
      <c r="P385" s="72">
        <f t="shared" si="153"/>
        <v>0.60788968800000009</v>
      </c>
      <c r="Q385" s="72">
        <f t="shared" si="153"/>
        <v>0.62126326113599994</v>
      </c>
      <c r="R385" s="72">
        <f t="shared" si="153"/>
        <v>0.63493105288099194</v>
      </c>
      <c r="S385" s="72">
        <f t="shared" si="153"/>
        <v>0.64889953604437378</v>
      </c>
      <c r="T385" s="72">
        <f t="shared" si="153"/>
        <v>0.66317532583735006</v>
      </c>
      <c r="U385" s="72">
        <f t="shared" si="153"/>
        <v>0.67776518300577182</v>
      </c>
      <c r="V385" s="72">
        <f t="shared" si="153"/>
        <v>0.69267601703189885</v>
      </c>
      <c r="W385" s="72">
        <f t="shared" si="153"/>
        <v>0.70791488940660052</v>
      </c>
      <c r="X385" s="72">
        <f t="shared" si="153"/>
        <v>0.72348901697354573</v>
      </c>
      <c r="Y385" s="72">
        <f t="shared" si="153"/>
        <v>0.73940577534696372</v>
      </c>
      <c r="Z385" s="72">
        <f t="shared" si="153"/>
        <v>0.75567270240459705</v>
      </c>
      <c r="AA385" s="72">
        <f t="shared" si="153"/>
        <v>0.77229750185749824</v>
      </c>
      <c r="AB385" s="72">
        <f t="shared" si="153"/>
        <v>0.78928804689836318</v>
      </c>
      <c r="AC385" s="72">
        <f t="shared" si="153"/>
        <v>0.80665238393012717</v>
      </c>
      <c r="AD385" s="72">
        <f t="shared" si="153"/>
        <v>0.82439873637659</v>
      </c>
      <c r="AE385" s="72">
        <f t="shared" si="153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0.25322587748271458</v>
      </c>
      <c r="M386" s="72">
        <f t="shared" si="154"/>
        <v>0.26436781609195403</v>
      </c>
      <c r="N386" s="72">
        <f t="shared" si="154"/>
        <v>0.27599999999999997</v>
      </c>
      <c r="O386" s="72">
        <f t="shared" si="154"/>
        <v>0.28814400000000001</v>
      </c>
      <c r="P386" s="72">
        <f t="shared" si="154"/>
        <v>0.30082233600000008</v>
      </c>
      <c r="Q386" s="72">
        <f t="shared" si="154"/>
        <v>0.31405851878400004</v>
      </c>
      <c r="R386" s="72">
        <f t="shared" si="154"/>
        <v>0.32787709361049611</v>
      </c>
      <c r="S386" s="72">
        <f t="shared" si="154"/>
        <v>0.34230368572935788</v>
      </c>
      <c r="T386" s="72">
        <f t="shared" si="154"/>
        <v>0.35736504790144968</v>
      </c>
      <c r="U386" s="72">
        <f t="shared" si="154"/>
        <v>0.37308911000911349</v>
      </c>
      <c r="V386" s="72">
        <f t="shared" si="154"/>
        <v>0.38950503084951449</v>
      </c>
      <c r="W386" s="72">
        <f t="shared" si="154"/>
        <v>0.40664325220689312</v>
      </c>
      <c r="X386" s="72">
        <f t="shared" si="154"/>
        <v>0.42453555530399645</v>
      </c>
      <c r="Y386" s="72">
        <f t="shared" si="154"/>
        <v>0.44321511973737227</v>
      </c>
      <c r="Z386" s="72">
        <f t="shared" si="154"/>
        <v>0.46271658500581669</v>
      </c>
      <c r="AA386" s="72">
        <f t="shared" si="154"/>
        <v>0.48307611474607259</v>
      </c>
      <c r="AB386" s="72">
        <f t="shared" si="154"/>
        <v>0.5043314637948999</v>
      </c>
      <c r="AC386" s="72">
        <f t="shared" si="154"/>
        <v>0.52652204820187531</v>
      </c>
      <c r="AD386" s="72">
        <f t="shared" si="154"/>
        <v>0.54968901832275785</v>
      </c>
      <c r="AE386" s="72">
        <f t="shared" si="154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0.63340895307832257</v>
      </c>
      <c r="M387" s="72">
        <f t="shared" si="155"/>
        <v>0.66824644549763035</v>
      </c>
      <c r="N387" s="72">
        <f t="shared" si="155"/>
        <v>0.70499999999999996</v>
      </c>
      <c r="O387" s="72">
        <f t="shared" si="155"/>
        <v>0.74377499999999996</v>
      </c>
      <c r="P387" s="72">
        <f t="shared" si="155"/>
        <v>0.78468262499999997</v>
      </c>
      <c r="Q387" s="72">
        <f t="shared" si="155"/>
        <v>0.82784016937499993</v>
      </c>
      <c r="R387" s="72">
        <f t="shared" si="155"/>
        <v>0.87337137869062498</v>
      </c>
      <c r="S387" s="72">
        <f t="shared" si="155"/>
        <v>0.92140680451860935</v>
      </c>
      <c r="T387" s="72">
        <f t="shared" si="155"/>
        <v>0.97208417876713282</v>
      </c>
      <c r="U387" s="72">
        <f t="shared" si="155"/>
        <v>1.025548808599325</v>
      </c>
      <c r="V387" s="72">
        <f t="shared" si="155"/>
        <v>1.0819539930722879</v>
      </c>
      <c r="W387" s="72">
        <f t="shared" si="155"/>
        <v>1.1414614626912638</v>
      </c>
      <c r="X387" s="72">
        <f t="shared" si="155"/>
        <v>1.2042418431392832</v>
      </c>
      <c r="Y387" s="72">
        <f t="shared" si="155"/>
        <v>1.2704751445119435</v>
      </c>
      <c r="Z387" s="72">
        <f t="shared" si="155"/>
        <v>1.3403512774601003</v>
      </c>
      <c r="AA387" s="72">
        <f t="shared" si="155"/>
        <v>1.4140705977204062</v>
      </c>
      <c r="AB387" s="72">
        <f t="shared" si="155"/>
        <v>1.4918444805950282</v>
      </c>
      <c r="AC387" s="72">
        <f t="shared" si="155"/>
        <v>1.5738959270277546</v>
      </c>
      <c r="AD387" s="72">
        <f t="shared" si="155"/>
        <v>1.660460203014281</v>
      </c>
      <c r="AE387" s="72">
        <f t="shared" si="155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24.646491529759945</v>
      </c>
      <c r="M389" s="72">
        <f t="shared" si="156"/>
        <v>25.459825750242022</v>
      </c>
      <c r="N389" s="72">
        <f t="shared" si="156"/>
        <v>26.3</v>
      </c>
      <c r="O389" s="72">
        <f t="shared" si="156"/>
        <v>27.167899999999999</v>
      </c>
      <c r="P389" s="72">
        <f t="shared" si="156"/>
        <v>28.064440699999995</v>
      </c>
      <c r="Q389" s="72">
        <f t="shared" si="156"/>
        <v>28.990567243099992</v>
      </c>
      <c r="R389" s="72">
        <f t="shared" si="156"/>
        <v>29.947255962122291</v>
      </c>
      <c r="S389" s="72">
        <f t="shared" si="156"/>
        <v>30.935515408872323</v>
      </c>
      <c r="T389" s="72">
        <f t="shared" si="156"/>
        <v>31.956387417365111</v>
      </c>
      <c r="U389" s="72">
        <f t="shared" si="156"/>
        <v>33.010948202138152</v>
      </c>
      <c r="V389" s="72">
        <f t="shared" si="156"/>
        <v>34.100309492808705</v>
      </c>
      <c r="W389" s="72">
        <f t="shared" si="156"/>
        <v>35.225619706071399</v>
      </c>
      <c r="X389" s="72">
        <f t="shared" si="156"/>
        <v>36.388065156371745</v>
      </c>
      <c r="Y389" s="72">
        <f t="shared" si="156"/>
        <v>37.588871306532013</v>
      </c>
      <c r="Z389" s="72">
        <f t="shared" si="156"/>
        <v>38.829304059647569</v>
      </c>
      <c r="AA389" s="72">
        <f t="shared" si="156"/>
        <v>40.110671093615935</v>
      </c>
      <c r="AB389" s="72">
        <f t="shared" si="156"/>
        <v>41.434323239705257</v>
      </c>
      <c r="AC389" s="72">
        <f t="shared" si="156"/>
        <v>42.801655906615522</v>
      </c>
      <c r="AD389" s="72">
        <f t="shared" si="156"/>
        <v>44.214110551533835</v>
      </c>
      <c r="AE389" s="72">
        <f t="shared" si="156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26.090339299916035</v>
      </c>
      <c r="M390" s="72">
        <f t="shared" si="157"/>
        <v>26.961911636097749</v>
      </c>
      <c r="N390" s="72">
        <f t="shared" si="157"/>
        <v>27.863</v>
      </c>
      <c r="O390" s="72">
        <f t="shared" si="157"/>
        <v>28.794623000000001</v>
      </c>
      <c r="P390" s="72">
        <f t="shared" si="157"/>
        <v>29.757835348999997</v>
      </c>
      <c r="Q390" s="72">
        <f t="shared" si="157"/>
        <v>30.753729192394992</v>
      </c>
      <c r="R390" s="72">
        <f t="shared" si="157"/>
        <v>31.783435487304406</v>
      </c>
      <c r="S390" s="72">
        <f t="shared" si="157"/>
        <v>32.848125435164661</v>
      </c>
      <c r="T390" s="72">
        <f t="shared" si="157"/>
        <v>33.949011969871044</v>
      </c>
      <c r="U390" s="72">
        <f t="shared" si="157"/>
        <v>35.087351303752364</v>
      </c>
      <c r="V390" s="72">
        <f t="shared" si="157"/>
        <v>36.264444533762408</v>
      </c>
      <c r="W390" s="72">
        <f t="shared" si="157"/>
        <v>37.481639310376153</v>
      </c>
      <c r="X390" s="72">
        <f t="shared" si="157"/>
        <v>38.740331571788573</v>
      </c>
      <c r="Y390" s="72">
        <f t="shared" si="157"/>
        <v>40.041967346128295</v>
      </c>
      <c r="Z390" s="72">
        <f t="shared" si="157"/>
        <v>41.388044624518081</v>
      </c>
      <c r="AA390" s="72">
        <f t="shared" si="157"/>
        <v>42.780115307939909</v>
      </c>
      <c r="AB390" s="72">
        <f t="shared" si="157"/>
        <v>44.219787230993546</v>
      </c>
      <c r="AC390" s="72">
        <f t="shared" si="157"/>
        <v>45.708726265775283</v>
      </c>
      <c r="AD390" s="72">
        <f t="shared" si="157"/>
        <v>47.248658509247463</v>
      </c>
      <c r="AE390" s="72">
        <f t="shared" si="157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1876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1875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1877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2296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2297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2298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2299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2300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2301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2302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2303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2304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2305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2306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2307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2308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2309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2310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2311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2312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2313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2314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2315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2316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2317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2318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2319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2320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2321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2322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2323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2324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2325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2326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2327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2328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2329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2330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2331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1863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1865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1866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1867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1905</v>
      </c>
      <c r="D657" s="72" t="s">
        <v>1906</v>
      </c>
      <c r="E657" s="72" t="s">
        <v>1873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15.80851477988204</v>
      </c>
      <c r="M657" s="72">
        <f t="shared" si="193"/>
        <v>16.333156432126469</v>
      </c>
      <c r="N657" s="72">
        <f t="shared" si="193"/>
        <v>16.8755025</v>
      </c>
      <c r="O657" s="72">
        <f t="shared" si="193"/>
        <v>17.436160520999998</v>
      </c>
      <c r="P657" s="72">
        <f t="shared" si="193"/>
        <v>18.015759258365996</v>
      </c>
      <c r="Q657" s="72">
        <f t="shared" si="193"/>
        <v>18.614949457680826</v>
      </c>
      <c r="R657" s="72">
        <f t="shared" si="193"/>
        <v>19.234404631062102</v>
      </c>
      <c r="S657" s="72">
        <f t="shared" si="193"/>
        <v>19.874821869976433</v>
      </c>
      <c r="T657" s="72">
        <f t="shared" si="193"/>
        <v>20.536922687748202</v>
      </c>
      <c r="U657" s="72">
        <f t="shared" si="193"/>
        <v>21.221453892876493</v>
      </c>
      <c r="V657" s="72">
        <f t="shared" si="193"/>
        <v>21.929188494316183</v>
      </c>
      <c r="W657" s="72">
        <f t="shared" si="193"/>
        <v>22.660926639924462</v>
      </c>
      <c r="X657" s="72">
        <f t="shared" si="193"/>
        <v>23.417496589319807</v>
      </c>
      <c r="Y657" s="72">
        <f t="shared" si="193"/>
        <v>24.199755722449424</v>
      </c>
      <c r="Z657" s="72">
        <f t="shared" si="193"/>
        <v>25.008591585210855</v>
      </c>
      <c r="AA657" s="72">
        <f t="shared" si="193"/>
        <v>25.844922973525978</v>
      </c>
      <c r="AB657" s="72">
        <f t="shared" si="193"/>
        <v>26.70970105731983</v>
      </c>
      <c r="AC657" s="72">
        <f t="shared" si="193"/>
        <v>27.603910545913184</v>
      </c>
      <c r="AD657" s="72">
        <f t="shared" si="193"/>
        <v>28.528570896396591</v>
      </c>
      <c r="AE657" s="72">
        <f t="shared" si="193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1907</v>
      </c>
      <c r="E658" s="72" t="s">
        <v>1873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5.1177315778627914</v>
      </c>
      <c r="M658" s="72">
        <f t="shared" si="194"/>
        <v>5.2880720358998579</v>
      </c>
      <c r="N658" s="72">
        <f t="shared" si="194"/>
        <v>5.4647009999999998</v>
      </c>
      <c r="O658" s="72">
        <f t="shared" si="194"/>
        <v>5.6478686219999998</v>
      </c>
      <c r="P658" s="72">
        <f t="shared" si="194"/>
        <v>5.8378354764840008</v>
      </c>
      <c r="Q658" s="72">
        <f t="shared" si="194"/>
        <v>6.0348730065378478</v>
      </c>
      <c r="R658" s="72">
        <f t="shared" si="194"/>
        <v>6.2392639888340149</v>
      </c>
      <c r="S658" s="72">
        <f t="shared" si="194"/>
        <v>6.451303018891398</v>
      </c>
      <c r="T658" s="72">
        <f t="shared" si="194"/>
        <v>6.6712970173913781</v>
      </c>
      <c r="U658" s="72">
        <f t="shared" si="194"/>
        <v>6.8995657584700698</v>
      </c>
      <c r="V658" s="72">
        <f t="shared" si="194"/>
        <v>7.1364424209471196</v>
      </c>
      <c r="W658" s="72">
        <f t="shared" si="194"/>
        <v>7.3822741634934586</v>
      </c>
      <c r="X658" s="72">
        <f t="shared" si="194"/>
        <v>7.6374227247843764</v>
      </c>
      <c r="Y658" s="72">
        <f t="shared" si="194"/>
        <v>7.9022650497302331</v>
      </c>
      <c r="Z658" s="72">
        <f t="shared" si="194"/>
        <v>8.1771939429249265</v>
      </c>
      <c r="AA658" s="72">
        <f t="shared" si="194"/>
        <v>8.4626187505023296</v>
      </c>
      <c r="AB658" s="72">
        <f t="shared" si="194"/>
        <v>8.7589660716430906</v>
      </c>
      <c r="AC658" s="72">
        <f t="shared" si="194"/>
        <v>9.0666805010286549</v>
      </c>
      <c r="AD658" s="72">
        <f t="shared" si="194"/>
        <v>9.3862254035963169</v>
      </c>
      <c r="AE658" s="72">
        <f t="shared" si="194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1908</v>
      </c>
      <c r="E659" s="72" t="s">
        <v>1873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195">SUMPRODUCT(L$675:L$682*($J$663:$J$670&gt;0)*$J$663:$J$670*(1+$J$672*(EXP(-$E$762:$E$769*($F$709:$F$716*L$707+$G$709:$G$716*L$647))-1)))/1000</f>
        <v>25.304020994313927</v>
      </c>
      <c r="M659" s="72">
        <f t="shared" si="195"/>
        <v>26.150733850694163</v>
      </c>
      <c r="N659" s="72">
        <f t="shared" si="195"/>
        <v>27.026</v>
      </c>
      <c r="O659" s="72">
        <f t="shared" si="195"/>
        <v>27.930793999999999</v>
      </c>
      <c r="P659" s="72">
        <f t="shared" si="195"/>
        <v>28.866124285999998</v>
      </c>
      <c r="Q659" s="72">
        <f t="shared" si="195"/>
        <v>29.833034380633993</v>
      </c>
      <c r="R659" s="72">
        <f t="shared" si="195"/>
        <v>30.832604148514033</v>
      </c>
      <c r="S659" s="72">
        <f t="shared" si="195"/>
        <v>31.865951097485905</v>
      </c>
      <c r="T659" s="72">
        <f t="shared" si="195"/>
        <v>32.934231728309406</v>
      </c>
      <c r="U659" s="72">
        <f t="shared" si="195"/>
        <v>34.038642934657474</v>
      </c>
      <c r="V659" s="72">
        <f t="shared" si="195"/>
        <v>35.180423455406491</v>
      </c>
      <c r="W659" s="72">
        <f t="shared" si="195"/>
        <v>36.360855381272714</v>
      </c>
      <c r="X659" s="72">
        <f t="shared" si="195"/>
        <v>37.581265717934862</v>
      </c>
      <c r="Y659" s="72">
        <f t="shared" si="195"/>
        <v>38.843028007872753</v>
      </c>
      <c r="Z659" s="72">
        <f t="shared" si="195"/>
        <v>40.147564013244939</v>
      </c>
      <c r="AA659" s="72">
        <f t="shared" si="195"/>
        <v>41.496345462226095</v>
      </c>
      <c r="AB659" s="72">
        <f t="shared" si="195"/>
        <v>42.890895861326769</v>
      </c>
      <c r="AC659" s="72">
        <f t="shared" si="195"/>
        <v>44.332792376324477</v>
      </c>
      <c r="AD659" s="72">
        <f t="shared" si="195"/>
        <v>45.823667784546558</v>
      </c>
      <c r="AE659" s="72">
        <f t="shared" si="195"/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1909</v>
      </c>
      <c r="E660" s="72" t="s">
        <v>1873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SUMPRODUCT(L$675:L$682*($K$663:$K$670&gt;0)*$K$663:$K$670*(1+$K$672*(EXP(-$E$762:$E$769*($F$709:$F$716*L$707+$G$709:$G$716*L$647))-1)))/1000</f>
        <v>0.78631830560210647</v>
      </c>
      <c r="M660" s="72">
        <f t="shared" si="196"/>
        <v>0.81117778540358554</v>
      </c>
      <c r="N660" s="72">
        <f t="shared" si="196"/>
        <v>0.83699999999999997</v>
      </c>
      <c r="O660" s="72">
        <f t="shared" si="196"/>
        <v>0.86382899999999996</v>
      </c>
      <c r="P660" s="72">
        <f t="shared" si="196"/>
        <v>0.89171106300000003</v>
      </c>
      <c r="Q660" s="72">
        <f t="shared" si="196"/>
        <v>0.92069481176099999</v>
      </c>
      <c r="R660" s="72">
        <f t="shared" si="196"/>
        <v>0.95083133879036696</v>
      </c>
      <c r="S660" s="72">
        <f t="shared" si="196"/>
        <v>0.9821743376787645</v>
      </c>
      <c r="T660" s="72">
        <f t="shared" si="196"/>
        <v>1.0147802415616323</v>
      </c>
      <c r="U660" s="72">
        <f t="shared" si="196"/>
        <v>1.0487083690948893</v>
      </c>
      <c r="V660" s="72">
        <f t="shared" si="196"/>
        <v>1.0840210783559179</v>
      </c>
      <c r="W660" s="72">
        <f t="shared" si="196"/>
        <v>1.1207839291034407</v>
      </c>
      <c r="X660" s="72">
        <f t="shared" si="196"/>
        <v>1.1590658538537117</v>
      </c>
      <c r="Y660" s="72">
        <f t="shared" si="196"/>
        <v>1.1989393382555391</v>
      </c>
      <c r="Z660" s="72">
        <f t="shared" si="196"/>
        <v>1.2404806112731439</v>
      </c>
      <c r="AA660" s="72">
        <f t="shared" si="196"/>
        <v>1.2837698457138154</v>
      </c>
      <c r="AB660" s="72">
        <f t="shared" si="196"/>
        <v>1.3288913696667775</v>
      </c>
      <c r="AC660" s="72">
        <f t="shared" si="196"/>
        <v>1.3759338894508044</v>
      </c>
      <c r="AD660" s="72">
        <f t="shared" si="196"/>
        <v>1.4249907247009044</v>
      </c>
      <c r="AE660" s="72">
        <f t="shared" si="196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197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0.98003000000000007</v>
      </c>
      <c r="R663" s="76">
        <f t="shared" ref="R663:R670" si="199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197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198"/>
        <v>0.40525</v>
      </c>
      <c r="R664" s="76">
        <f t="shared" si="199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197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198"/>
        <v>2.3595000000000002</v>
      </c>
      <c r="R665" s="76">
        <f t="shared" si="199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197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0.87055000000000005</v>
      </c>
      <c r="R666" s="76">
        <f t="shared" si="199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197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1.8888</v>
      </c>
      <c r="R667" s="76">
        <f t="shared" si="199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197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0.48764960000000002</v>
      </c>
      <c r="R668" s="76">
        <f t="shared" si="199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197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1.52732</v>
      </c>
      <c r="R669" s="76">
        <f t="shared" si="199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197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198"/>
        <v>9.2560000000000002</v>
      </c>
      <c r="R670" s="76">
        <f t="shared" si="199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1894</v>
      </c>
      <c r="D671" s="73"/>
      <c r="E671" s="71"/>
      <c r="F671" s="71"/>
      <c r="G671" s="71"/>
      <c r="H671" s="71" t="s">
        <v>1896</v>
      </c>
      <c r="I671" s="71" t="s">
        <v>1897</v>
      </c>
      <c r="J671" s="71" t="s">
        <v>1898</v>
      </c>
      <c r="K671" s="71" t="s">
        <v>1899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1895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O682" si="202">N675*(1+G675)</f>
        <v>5324.4000000000005</v>
      </c>
      <c r="P675" s="72">
        <f t="shared" ref="P675:P682" si="203">O675*(1+G675)</f>
        <v>5558.673600000001</v>
      </c>
      <c r="Q675" s="72">
        <f t="shared" ref="Q675:Q682" si="204">P675*(1+G675)</f>
        <v>5803.255238400001</v>
      </c>
      <c r="R675" s="72">
        <f t="shared" ref="R675:R682" si="205">Q675*(1+G675)</f>
        <v>6058.5984688896015</v>
      </c>
      <c r="S675" s="72">
        <f t="shared" ref="S675:S682" si="206">R675*(1+G675)</f>
        <v>6325.1768015207444</v>
      </c>
      <c r="T675" s="72">
        <f t="shared" ref="T675:T682" si="207">S675*(1+G675)</f>
        <v>6603.4845807876573</v>
      </c>
      <c r="U675" s="72">
        <f t="shared" ref="U675:U682" si="208">T675*(1+G675)</f>
        <v>6894.0379023423147</v>
      </c>
      <c r="V675" s="72">
        <f t="shared" ref="V675:V682" si="209">U675*(1+G675)</f>
        <v>7197.3755700453767</v>
      </c>
      <c r="W675" s="72">
        <f t="shared" ref="W675:W682" si="210">V675*(1+G675)</f>
        <v>7514.0600951273736</v>
      </c>
      <c r="X675" s="72">
        <f t="shared" ref="X675:X682" si="211">W675*(1+G675)</f>
        <v>7844.678739312978</v>
      </c>
      <c r="Y675" s="72">
        <f t="shared" ref="Y675:Y682" si="212">X675*(1+G675)</f>
        <v>8189.8446038427492</v>
      </c>
      <c r="Z675" s="72">
        <f t="shared" ref="Z675:Z682" si="213">Y675*(1+G675)</f>
        <v>8550.1977664118313</v>
      </c>
      <c r="AA675" s="72">
        <f t="shared" ref="AA675:AA682" si="214">Z675*(1+G675)</f>
        <v>8926.4064681339514</v>
      </c>
      <c r="AB675" s="72">
        <f t="shared" ref="AB675:AB682" si="215">AA675*(1+G675)</f>
        <v>9319.1683527318455</v>
      </c>
      <c r="AC675" s="72">
        <f t="shared" ref="AC675:AC682" si="216">AB675*(1+G675)</f>
        <v>9729.2117602520466</v>
      </c>
      <c r="AD675" s="72">
        <f t="shared" ref="AD675:AD682" si="217">AC675*(1+G675)</f>
        <v>10157.297077703137</v>
      </c>
      <c r="AE675" s="72">
        <f t="shared" ref="AE675:AE682" si="218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si="202"/>
        <v>5011.2</v>
      </c>
      <c r="P676" s="72">
        <f t="shared" si="203"/>
        <v>5231.6927999999998</v>
      </c>
      <c r="Q676" s="72">
        <f t="shared" si="204"/>
        <v>5461.8872831999997</v>
      </c>
      <c r="R676" s="72">
        <f t="shared" si="205"/>
        <v>5702.2103236608</v>
      </c>
      <c r="S676" s="72">
        <f t="shared" si="206"/>
        <v>5953.1075779018756</v>
      </c>
      <c r="T676" s="72">
        <f t="shared" si="207"/>
        <v>6215.0443113295587</v>
      </c>
      <c r="U676" s="72">
        <f t="shared" si="208"/>
        <v>6488.5062610280593</v>
      </c>
      <c r="V676" s="72">
        <f t="shared" si="209"/>
        <v>6774.0005365132938</v>
      </c>
      <c r="W676" s="72">
        <f t="shared" si="210"/>
        <v>7072.0565601198787</v>
      </c>
      <c r="X676" s="72">
        <f t="shared" si="211"/>
        <v>7383.227048765154</v>
      </c>
      <c r="Y676" s="72">
        <f t="shared" si="212"/>
        <v>7708.0890389108208</v>
      </c>
      <c r="Z676" s="72">
        <f t="shared" si="213"/>
        <v>8047.244956622897</v>
      </c>
      <c r="AA676" s="72">
        <f t="shared" si="214"/>
        <v>8401.323734714304</v>
      </c>
      <c r="AB676" s="72">
        <f t="shared" si="215"/>
        <v>8770.9819790417332</v>
      </c>
      <c r="AC676" s="72">
        <f t="shared" si="216"/>
        <v>9156.9051861195694</v>
      </c>
      <c r="AD676" s="72">
        <f t="shared" si="217"/>
        <v>9559.8090143088302</v>
      </c>
      <c r="AE676" s="72">
        <f t="shared" si="218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si="202"/>
        <v>0</v>
      </c>
      <c r="P677" s="72">
        <f t="shared" si="203"/>
        <v>0</v>
      </c>
      <c r="Q677" s="72">
        <f t="shared" si="204"/>
        <v>0</v>
      </c>
      <c r="R677" s="72">
        <f t="shared" si="205"/>
        <v>0</v>
      </c>
      <c r="S677" s="72">
        <f t="shared" si="206"/>
        <v>0</v>
      </c>
      <c r="T677" s="72">
        <f t="shared" si="207"/>
        <v>0</v>
      </c>
      <c r="U677" s="72">
        <f t="shared" si="208"/>
        <v>0</v>
      </c>
      <c r="V677" s="72">
        <f t="shared" si="209"/>
        <v>0</v>
      </c>
      <c r="W677" s="72">
        <f t="shared" si="210"/>
        <v>0</v>
      </c>
      <c r="X677" s="72">
        <f t="shared" si="211"/>
        <v>0</v>
      </c>
      <c r="Y677" s="72">
        <f t="shared" si="212"/>
        <v>0</v>
      </c>
      <c r="Z677" s="72">
        <f t="shared" si="213"/>
        <v>0</v>
      </c>
      <c r="AA677" s="72">
        <f t="shared" si="214"/>
        <v>0</v>
      </c>
      <c r="AB677" s="72">
        <f t="shared" si="215"/>
        <v>0</v>
      </c>
      <c r="AC677" s="72">
        <f t="shared" si="216"/>
        <v>0</v>
      </c>
      <c r="AD677" s="72">
        <f t="shared" si="217"/>
        <v>0</v>
      </c>
      <c r="AE677" s="72">
        <f t="shared" si="218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si="202"/>
        <v>51649.999999999993</v>
      </c>
      <c r="P678" s="72">
        <f t="shared" si="203"/>
        <v>53354.44999999999</v>
      </c>
      <c r="Q678" s="72">
        <f t="shared" si="204"/>
        <v>55115.146849999983</v>
      </c>
      <c r="R678" s="72">
        <f t="shared" si="205"/>
        <v>56933.946696049978</v>
      </c>
      <c r="S678" s="72">
        <f t="shared" si="206"/>
        <v>58812.766937019624</v>
      </c>
      <c r="T678" s="72">
        <f t="shared" si="207"/>
        <v>60753.588245941268</v>
      </c>
      <c r="U678" s="72">
        <f t="shared" si="208"/>
        <v>62758.456658057323</v>
      </c>
      <c r="V678" s="72">
        <f t="shared" si="209"/>
        <v>64829.485727773208</v>
      </c>
      <c r="W678" s="72">
        <f t="shared" si="210"/>
        <v>66968.858756789719</v>
      </c>
      <c r="X678" s="72">
        <f t="shared" si="211"/>
        <v>69178.831095763773</v>
      </c>
      <c r="Y678" s="72">
        <f t="shared" si="212"/>
        <v>71461.732521923972</v>
      </c>
      <c r="Z678" s="72">
        <f t="shared" si="213"/>
        <v>73819.969695147462</v>
      </c>
      <c r="AA678" s="72">
        <f t="shared" si="214"/>
        <v>76256.028695087327</v>
      </c>
      <c r="AB678" s="72">
        <f t="shared" si="215"/>
        <v>78772.477642025202</v>
      </c>
      <c r="AC678" s="72">
        <f t="shared" si="216"/>
        <v>81371.969404212025</v>
      </c>
      <c r="AD678" s="72">
        <f t="shared" si="217"/>
        <v>84057.244394551017</v>
      </c>
      <c r="AE678" s="72">
        <f t="shared" si="218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si="202"/>
        <v>1824.27</v>
      </c>
      <c r="P679" s="72">
        <f t="shared" si="203"/>
        <v>1864.4039399999999</v>
      </c>
      <c r="Q679" s="72">
        <f t="shared" si="204"/>
        <v>1905.4208266799999</v>
      </c>
      <c r="R679" s="72">
        <f t="shared" si="205"/>
        <v>1947.3400848669598</v>
      </c>
      <c r="S679" s="72">
        <f t="shared" si="206"/>
        <v>1990.1815667340329</v>
      </c>
      <c r="T679" s="72">
        <f t="shared" si="207"/>
        <v>2033.9655612021818</v>
      </c>
      <c r="U679" s="72">
        <f t="shared" si="208"/>
        <v>2078.7128035486298</v>
      </c>
      <c r="V679" s="72">
        <f t="shared" si="209"/>
        <v>2124.4444852266997</v>
      </c>
      <c r="W679" s="72">
        <f t="shared" si="210"/>
        <v>2171.1822639016873</v>
      </c>
      <c r="X679" s="72">
        <f t="shared" si="211"/>
        <v>2218.9482737075245</v>
      </c>
      <c r="Y679" s="72">
        <f t="shared" si="212"/>
        <v>2267.7651357290902</v>
      </c>
      <c r="Z679" s="72">
        <f t="shared" si="213"/>
        <v>2317.6559687151303</v>
      </c>
      <c r="AA679" s="72">
        <f t="shared" si="214"/>
        <v>2368.644400026863</v>
      </c>
      <c r="AB679" s="72">
        <f t="shared" si="215"/>
        <v>2420.754576827454</v>
      </c>
      <c r="AC679" s="72">
        <f t="shared" si="216"/>
        <v>2474.0111775176579</v>
      </c>
      <c r="AD679" s="72">
        <f t="shared" si="217"/>
        <v>2528.4394234230463</v>
      </c>
      <c r="AE679" s="72">
        <f t="shared" si="218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si="202"/>
        <v>2861.6</v>
      </c>
      <c r="P680" s="72">
        <f t="shared" si="203"/>
        <v>2924.5551999999998</v>
      </c>
      <c r="Q680" s="72">
        <f t="shared" si="204"/>
        <v>2988.8954143999999</v>
      </c>
      <c r="R680" s="72">
        <f t="shared" si="205"/>
        <v>3054.6511135167998</v>
      </c>
      <c r="S680" s="72">
        <f t="shared" si="206"/>
        <v>3121.8534380141696</v>
      </c>
      <c r="T680" s="72">
        <f t="shared" si="207"/>
        <v>3190.5342136504814</v>
      </c>
      <c r="U680" s="72">
        <f t="shared" si="208"/>
        <v>3260.7259663507921</v>
      </c>
      <c r="V680" s="72">
        <f t="shared" si="209"/>
        <v>3332.4619376105097</v>
      </c>
      <c r="W680" s="72">
        <f t="shared" si="210"/>
        <v>3405.7761002379411</v>
      </c>
      <c r="X680" s="72">
        <f t="shared" si="211"/>
        <v>3480.7031744431761</v>
      </c>
      <c r="Y680" s="72">
        <f t="shared" si="212"/>
        <v>3557.2786442809261</v>
      </c>
      <c r="Z680" s="72">
        <f t="shared" si="213"/>
        <v>3635.5387744551067</v>
      </c>
      <c r="AA680" s="72">
        <f t="shared" si="214"/>
        <v>3715.5206274931193</v>
      </c>
      <c r="AB680" s="72">
        <f t="shared" si="215"/>
        <v>3797.2620812979681</v>
      </c>
      <c r="AC680" s="72">
        <f t="shared" si="216"/>
        <v>3880.8018470865236</v>
      </c>
      <c r="AD680" s="72">
        <f t="shared" si="217"/>
        <v>3966.179487722427</v>
      </c>
      <c r="AE680" s="72">
        <f t="shared" si="218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si="202"/>
        <v>613.20000000000005</v>
      </c>
      <c r="P681" s="72">
        <f t="shared" si="203"/>
        <v>626.69040000000007</v>
      </c>
      <c r="Q681" s="72">
        <f t="shared" si="204"/>
        <v>640.47758880000004</v>
      </c>
      <c r="R681" s="72">
        <f t="shared" si="205"/>
        <v>654.56809575360001</v>
      </c>
      <c r="S681" s="72">
        <f t="shared" si="206"/>
        <v>668.96859386017923</v>
      </c>
      <c r="T681" s="72">
        <f t="shared" si="207"/>
        <v>683.68590292510316</v>
      </c>
      <c r="U681" s="72">
        <f t="shared" si="208"/>
        <v>698.72699278945549</v>
      </c>
      <c r="V681" s="72">
        <f t="shared" si="209"/>
        <v>714.09898663082356</v>
      </c>
      <c r="W681" s="72">
        <f t="shared" si="210"/>
        <v>729.80916433670166</v>
      </c>
      <c r="X681" s="72">
        <f t="shared" si="211"/>
        <v>745.86496595210906</v>
      </c>
      <c r="Y681" s="72">
        <f t="shared" si="212"/>
        <v>762.27399520305551</v>
      </c>
      <c r="Z681" s="72">
        <f t="shared" si="213"/>
        <v>779.04402309752277</v>
      </c>
      <c r="AA681" s="72">
        <f t="shared" si="214"/>
        <v>796.18299160566824</v>
      </c>
      <c r="AB681" s="72">
        <f t="shared" si="215"/>
        <v>813.69901742099296</v>
      </c>
      <c r="AC681" s="72">
        <f t="shared" si="216"/>
        <v>831.60039580425484</v>
      </c>
      <c r="AD681" s="72">
        <f t="shared" si="217"/>
        <v>849.89560451194848</v>
      </c>
      <c r="AE681" s="72">
        <f t="shared" si="218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si="202"/>
        <v>316.5</v>
      </c>
      <c r="P682" s="72">
        <f t="shared" si="203"/>
        <v>333.90749999999997</v>
      </c>
      <c r="Q682" s="72">
        <f t="shared" si="204"/>
        <v>352.27241249999997</v>
      </c>
      <c r="R682" s="72">
        <f t="shared" si="205"/>
        <v>371.64739518749997</v>
      </c>
      <c r="S682" s="72">
        <f t="shared" si="206"/>
        <v>392.08800192281245</v>
      </c>
      <c r="T682" s="72">
        <f t="shared" si="207"/>
        <v>413.65284202856714</v>
      </c>
      <c r="U682" s="72">
        <f t="shared" si="208"/>
        <v>436.40374834013829</v>
      </c>
      <c r="V682" s="72">
        <f t="shared" si="209"/>
        <v>460.40595449884586</v>
      </c>
      <c r="W682" s="72">
        <f t="shared" si="210"/>
        <v>485.72828199628236</v>
      </c>
      <c r="X682" s="72">
        <f t="shared" si="211"/>
        <v>512.44333750607791</v>
      </c>
      <c r="Y682" s="72">
        <f t="shared" si="212"/>
        <v>540.62772106891214</v>
      </c>
      <c r="Z682" s="72">
        <f t="shared" si="213"/>
        <v>570.36224572770232</v>
      </c>
      <c r="AA682" s="72">
        <f t="shared" si="214"/>
        <v>601.73216924272594</v>
      </c>
      <c r="AB682" s="72">
        <f t="shared" si="215"/>
        <v>634.82743855107583</v>
      </c>
      <c r="AC682" s="72">
        <f t="shared" si="216"/>
        <v>669.74294767138497</v>
      </c>
      <c r="AD682" s="72">
        <f t="shared" si="217"/>
        <v>706.57880979331105</v>
      </c>
      <c r="AE682" s="72">
        <f t="shared" si="218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19">L673</f>
        <v>2022</v>
      </c>
      <c r="M686" s="74">
        <f t="shared" si="219"/>
        <v>2023</v>
      </c>
      <c r="N686" s="74">
        <f t="shared" si="219"/>
        <v>2024</v>
      </c>
      <c r="O686" s="74">
        <f t="shared" si="219"/>
        <v>2025</v>
      </c>
      <c r="P686" s="74">
        <f t="shared" si="219"/>
        <v>2026</v>
      </c>
      <c r="Q686" s="74">
        <f t="shared" si="219"/>
        <v>2027</v>
      </c>
      <c r="R686" s="74">
        <f t="shared" si="219"/>
        <v>2028</v>
      </c>
      <c r="S686" s="74">
        <f t="shared" si="219"/>
        <v>2029</v>
      </c>
      <c r="T686" s="74">
        <f t="shared" si="219"/>
        <v>2030</v>
      </c>
      <c r="U686" s="74">
        <f t="shared" si="219"/>
        <v>2031</v>
      </c>
      <c r="V686" s="74">
        <f t="shared" si="219"/>
        <v>2032</v>
      </c>
      <c r="W686" s="74">
        <f t="shared" si="219"/>
        <v>2033</v>
      </c>
      <c r="X686" s="74">
        <f t="shared" si="219"/>
        <v>2034</v>
      </c>
      <c r="Y686" s="74">
        <f t="shared" si="219"/>
        <v>2035</v>
      </c>
      <c r="Z686" s="74">
        <f t="shared" si="219"/>
        <v>2036</v>
      </c>
      <c r="AA686" s="74">
        <f t="shared" si="219"/>
        <v>2037</v>
      </c>
      <c r="AB686" s="74">
        <f t="shared" si="219"/>
        <v>2038</v>
      </c>
      <c r="AC686" s="74">
        <f t="shared" si="219"/>
        <v>2039</v>
      </c>
      <c r="AD686" s="74">
        <f t="shared" si="219"/>
        <v>2040</v>
      </c>
      <c r="AE686" s="74">
        <f t="shared" si="219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20">G687</f>
        <v>750</v>
      </c>
      <c r="M687" s="72">
        <f t="shared" ref="M687:M694" si="221">G687</f>
        <v>750</v>
      </c>
      <c r="N687" s="72">
        <f t="shared" ref="N687:N694" si="222">G687</f>
        <v>750</v>
      </c>
      <c r="O687" s="72">
        <f t="shared" ref="O687:O694" si="223">G687</f>
        <v>750</v>
      </c>
      <c r="P687" s="72">
        <f t="shared" ref="P687:P694" si="224">G687</f>
        <v>750</v>
      </c>
      <c r="Q687" s="72">
        <f t="shared" ref="Q687:Q694" si="225">G687</f>
        <v>750</v>
      </c>
      <c r="R687" s="72">
        <f t="shared" ref="R687:R694" si="226">G687</f>
        <v>750</v>
      </c>
      <c r="S687" s="72">
        <f t="shared" ref="S687:S694" si="227">G687</f>
        <v>750</v>
      </c>
      <c r="T687" s="72">
        <f t="shared" ref="T687:T694" si="228">G687</f>
        <v>750</v>
      </c>
      <c r="U687" s="72">
        <f t="shared" ref="U687:U694" si="229">G687</f>
        <v>750</v>
      </c>
      <c r="V687" s="72">
        <f t="shared" ref="V687:V694" si="230">G687</f>
        <v>750</v>
      </c>
      <c r="W687" s="72">
        <f t="shared" ref="W687:W694" si="231">G687</f>
        <v>750</v>
      </c>
      <c r="X687" s="72">
        <f t="shared" ref="X687:X694" si="232">G687</f>
        <v>750</v>
      </c>
      <c r="Y687" s="72">
        <f t="shared" ref="Y687:Y694" si="233">G687</f>
        <v>750</v>
      </c>
      <c r="Z687" s="72">
        <f t="shared" ref="Z687:Z694" si="234">G687</f>
        <v>750</v>
      </c>
      <c r="AA687" s="72">
        <f t="shared" ref="AA687:AA694" si="235">G687</f>
        <v>750</v>
      </c>
      <c r="AB687" s="72">
        <f t="shared" ref="AB687:AB694" si="236">G687</f>
        <v>750</v>
      </c>
      <c r="AC687" s="72">
        <f t="shared" ref="AC687:AC694" si="237">G687</f>
        <v>750</v>
      </c>
      <c r="AD687" s="72">
        <f t="shared" ref="AD687:AD694" si="238">G687</f>
        <v>750</v>
      </c>
      <c r="AE687" s="72">
        <f t="shared" ref="AE687:AE694" si="239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20"/>
        <v>680</v>
      </c>
      <c r="M688" s="72">
        <f t="shared" si="221"/>
        <v>680</v>
      </c>
      <c r="N688" s="72">
        <f t="shared" si="222"/>
        <v>680</v>
      </c>
      <c r="O688" s="72">
        <f t="shared" si="223"/>
        <v>680</v>
      </c>
      <c r="P688" s="72">
        <f t="shared" si="224"/>
        <v>680</v>
      </c>
      <c r="Q688" s="72">
        <f t="shared" si="225"/>
        <v>680</v>
      </c>
      <c r="R688" s="72">
        <f t="shared" si="226"/>
        <v>680</v>
      </c>
      <c r="S688" s="72">
        <f t="shared" si="227"/>
        <v>680</v>
      </c>
      <c r="T688" s="72">
        <f t="shared" si="228"/>
        <v>680</v>
      </c>
      <c r="U688" s="72">
        <f t="shared" si="229"/>
        <v>680</v>
      </c>
      <c r="V688" s="72">
        <f t="shared" si="230"/>
        <v>680</v>
      </c>
      <c r="W688" s="72">
        <f t="shared" si="231"/>
        <v>680</v>
      </c>
      <c r="X688" s="72">
        <f t="shared" si="232"/>
        <v>680</v>
      </c>
      <c r="Y688" s="72">
        <f t="shared" si="233"/>
        <v>680</v>
      </c>
      <c r="Z688" s="72">
        <f t="shared" si="234"/>
        <v>680</v>
      </c>
      <c r="AA688" s="72">
        <f t="shared" si="235"/>
        <v>680</v>
      </c>
      <c r="AB688" s="72">
        <f t="shared" si="236"/>
        <v>680</v>
      </c>
      <c r="AC688" s="72">
        <f t="shared" si="237"/>
        <v>680</v>
      </c>
      <c r="AD688" s="72">
        <f t="shared" si="238"/>
        <v>680</v>
      </c>
      <c r="AE688" s="72">
        <f t="shared" si="239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20"/>
        <v>620</v>
      </c>
      <c r="M689" s="72">
        <f t="shared" si="221"/>
        <v>620</v>
      </c>
      <c r="N689" s="72">
        <f t="shared" si="222"/>
        <v>620</v>
      </c>
      <c r="O689" s="72">
        <f t="shared" si="223"/>
        <v>620</v>
      </c>
      <c r="P689" s="72">
        <f t="shared" si="224"/>
        <v>620</v>
      </c>
      <c r="Q689" s="72">
        <f t="shared" si="225"/>
        <v>620</v>
      </c>
      <c r="R689" s="72">
        <f t="shared" si="226"/>
        <v>620</v>
      </c>
      <c r="S689" s="72">
        <f t="shared" si="227"/>
        <v>620</v>
      </c>
      <c r="T689" s="72">
        <f t="shared" si="228"/>
        <v>620</v>
      </c>
      <c r="U689" s="72">
        <f t="shared" si="229"/>
        <v>620</v>
      </c>
      <c r="V689" s="72">
        <f t="shared" si="230"/>
        <v>620</v>
      </c>
      <c r="W689" s="72">
        <f t="shared" si="231"/>
        <v>620</v>
      </c>
      <c r="X689" s="72">
        <f t="shared" si="232"/>
        <v>620</v>
      </c>
      <c r="Y689" s="72">
        <f t="shared" si="233"/>
        <v>620</v>
      </c>
      <c r="Z689" s="72">
        <f t="shared" si="234"/>
        <v>620</v>
      </c>
      <c r="AA689" s="72">
        <f t="shared" si="235"/>
        <v>620</v>
      </c>
      <c r="AB689" s="72">
        <f t="shared" si="236"/>
        <v>620</v>
      </c>
      <c r="AC689" s="72">
        <f t="shared" si="237"/>
        <v>620</v>
      </c>
      <c r="AD689" s="72">
        <f t="shared" si="238"/>
        <v>620</v>
      </c>
      <c r="AE689" s="72">
        <f t="shared" si="239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20"/>
        <v>110</v>
      </c>
      <c r="M690" s="72">
        <f t="shared" si="221"/>
        <v>110</v>
      </c>
      <c r="N690" s="72">
        <f t="shared" si="222"/>
        <v>110</v>
      </c>
      <c r="O690" s="72">
        <f t="shared" si="223"/>
        <v>110</v>
      </c>
      <c r="P690" s="72">
        <f t="shared" si="224"/>
        <v>110</v>
      </c>
      <c r="Q690" s="72">
        <f t="shared" si="225"/>
        <v>110</v>
      </c>
      <c r="R690" s="72">
        <f t="shared" si="226"/>
        <v>110</v>
      </c>
      <c r="S690" s="72">
        <f t="shared" si="227"/>
        <v>110</v>
      </c>
      <c r="T690" s="72">
        <f t="shared" si="228"/>
        <v>110</v>
      </c>
      <c r="U690" s="72">
        <f t="shared" si="229"/>
        <v>110</v>
      </c>
      <c r="V690" s="72">
        <f t="shared" si="230"/>
        <v>110</v>
      </c>
      <c r="W690" s="72">
        <f t="shared" si="231"/>
        <v>110</v>
      </c>
      <c r="X690" s="72">
        <f t="shared" si="232"/>
        <v>110</v>
      </c>
      <c r="Y690" s="72">
        <f t="shared" si="233"/>
        <v>110</v>
      </c>
      <c r="Z690" s="72">
        <f t="shared" si="234"/>
        <v>110</v>
      </c>
      <c r="AA690" s="72">
        <f t="shared" si="235"/>
        <v>110</v>
      </c>
      <c r="AB690" s="72">
        <f t="shared" si="236"/>
        <v>110</v>
      </c>
      <c r="AC690" s="72">
        <f t="shared" si="237"/>
        <v>110</v>
      </c>
      <c r="AD690" s="72">
        <f t="shared" si="238"/>
        <v>110</v>
      </c>
      <c r="AE690" s="72">
        <f t="shared" si="239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20"/>
        <v>450</v>
      </c>
      <c r="M691" s="72">
        <f t="shared" si="221"/>
        <v>450</v>
      </c>
      <c r="N691" s="72">
        <f t="shared" si="222"/>
        <v>450</v>
      </c>
      <c r="O691" s="72">
        <f t="shared" si="223"/>
        <v>450</v>
      </c>
      <c r="P691" s="72">
        <f t="shared" si="224"/>
        <v>450</v>
      </c>
      <c r="Q691" s="72">
        <f t="shared" si="225"/>
        <v>450</v>
      </c>
      <c r="R691" s="72">
        <f t="shared" si="226"/>
        <v>450</v>
      </c>
      <c r="S691" s="72">
        <f t="shared" si="227"/>
        <v>450</v>
      </c>
      <c r="T691" s="72">
        <f t="shared" si="228"/>
        <v>450</v>
      </c>
      <c r="U691" s="72">
        <f t="shared" si="229"/>
        <v>450</v>
      </c>
      <c r="V691" s="72">
        <f t="shared" si="230"/>
        <v>450</v>
      </c>
      <c r="W691" s="72">
        <f t="shared" si="231"/>
        <v>450</v>
      </c>
      <c r="X691" s="72">
        <f t="shared" si="232"/>
        <v>450</v>
      </c>
      <c r="Y691" s="72">
        <f t="shared" si="233"/>
        <v>450</v>
      </c>
      <c r="Z691" s="72">
        <f t="shared" si="234"/>
        <v>450</v>
      </c>
      <c r="AA691" s="72">
        <f t="shared" si="235"/>
        <v>450</v>
      </c>
      <c r="AB691" s="72">
        <f t="shared" si="236"/>
        <v>450</v>
      </c>
      <c r="AC691" s="72">
        <f t="shared" si="237"/>
        <v>450</v>
      </c>
      <c r="AD691" s="72">
        <f t="shared" si="238"/>
        <v>450</v>
      </c>
      <c r="AE691" s="72">
        <f t="shared" si="239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20"/>
        <v>380</v>
      </c>
      <c r="M692" s="72">
        <f t="shared" si="221"/>
        <v>380</v>
      </c>
      <c r="N692" s="72">
        <f t="shared" si="222"/>
        <v>380</v>
      </c>
      <c r="O692" s="72">
        <f t="shared" si="223"/>
        <v>380</v>
      </c>
      <c r="P692" s="72">
        <f t="shared" si="224"/>
        <v>380</v>
      </c>
      <c r="Q692" s="72">
        <f t="shared" si="225"/>
        <v>380</v>
      </c>
      <c r="R692" s="72">
        <f t="shared" si="226"/>
        <v>380</v>
      </c>
      <c r="S692" s="72">
        <f t="shared" si="227"/>
        <v>380</v>
      </c>
      <c r="T692" s="72">
        <f t="shared" si="228"/>
        <v>380</v>
      </c>
      <c r="U692" s="72">
        <f t="shared" si="229"/>
        <v>380</v>
      </c>
      <c r="V692" s="72">
        <f t="shared" si="230"/>
        <v>380</v>
      </c>
      <c r="W692" s="72">
        <f t="shared" si="231"/>
        <v>380</v>
      </c>
      <c r="X692" s="72">
        <f t="shared" si="232"/>
        <v>380</v>
      </c>
      <c r="Y692" s="72">
        <f t="shared" si="233"/>
        <v>380</v>
      </c>
      <c r="Z692" s="72">
        <f t="shared" si="234"/>
        <v>380</v>
      </c>
      <c r="AA692" s="72">
        <f t="shared" si="235"/>
        <v>380</v>
      </c>
      <c r="AB692" s="72">
        <f t="shared" si="236"/>
        <v>380</v>
      </c>
      <c r="AC692" s="72">
        <f t="shared" si="237"/>
        <v>380</v>
      </c>
      <c r="AD692" s="72">
        <f t="shared" si="238"/>
        <v>380</v>
      </c>
      <c r="AE692" s="72">
        <f t="shared" si="239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20"/>
        <v>320</v>
      </c>
      <c r="M693" s="72">
        <f t="shared" si="221"/>
        <v>320</v>
      </c>
      <c r="N693" s="72">
        <f t="shared" si="222"/>
        <v>320</v>
      </c>
      <c r="O693" s="72">
        <f t="shared" si="223"/>
        <v>320</v>
      </c>
      <c r="P693" s="72">
        <f t="shared" si="224"/>
        <v>320</v>
      </c>
      <c r="Q693" s="72">
        <f t="shared" si="225"/>
        <v>320</v>
      </c>
      <c r="R693" s="72">
        <f t="shared" si="226"/>
        <v>320</v>
      </c>
      <c r="S693" s="72">
        <f t="shared" si="227"/>
        <v>320</v>
      </c>
      <c r="T693" s="72">
        <f t="shared" si="228"/>
        <v>320</v>
      </c>
      <c r="U693" s="72">
        <f t="shared" si="229"/>
        <v>320</v>
      </c>
      <c r="V693" s="72">
        <f t="shared" si="230"/>
        <v>320</v>
      </c>
      <c r="W693" s="72">
        <f t="shared" si="231"/>
        <v>320</v>
      </c>
      <c r="X693" s="72">
        <f t="shared" si="232"/>
        <v>320</v>
      </c>
      <c r="Y693" s="72">
        <f t="shared" si="233"/>
        <v>320</v>
      </c>
      <c r="Z693" s="72">
        <f t="shared" si="234"/>
        <v>320</v>
      </c>
      <c r="AA693" s="72">
        <f t="shared" si="235"/>
        <v>320</v>
      </c>
      <c r="AB693" s="72">
        <f t="shared" si="236"/>
        <v>320</v>
      </c>
      <c r="AC693" s="72">
        <f t="shared" si="237"/>
        <v>320</v>
      </c>
      <c r="AD693" s="72">
        <f t="shared" si="238"/>
        <v>320</v>
      </c>
      <c r="AE693" s="72">
        <f t="shared" si="239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20"/>
        <v>2400</v>
      </c>
      <c r="M694" s="72">
        <f t="shared" si="221"/>
        <v>2400</v>
      </c>
      <c r="N694" s="72">
        <f t="shared" si="222"/>
        <v>2400</v>
      </c>
      <c r="O694" s="72">
        <f t="shared" si="223"/>
        <v>2400</v>
      </c>
      <c r="P694" s="72">
        <f t="shared" si="224"/>
        <v>2400</v>
      </c>
      <c r="Q694" s="72">
        <f t="shared" si="225"/>
        <v>2400</v>
      </c>
      <c r="R694" s="72">
        <f t="shared" si="226"/>
        <v>2400</v>
      </c>
      <c r="S694" s="72">
        <f t="shared" si="227"/>
        <v>2400</v>
      </c>
      <c r="T694" s="72">
        <f t="shared" si="228"/>
        <v>2400</v>
      </c>
      <c r="U694" s="72">
        <f t="shared" si="229"/>
        <v>2400</v>
      </c>
      <c r="V694" s="72">
        <f t="shared" si="230"/>
        <v>2400</v>
      </c>
      <c r="W694" s="72">
        <f t="shared" si="231"/>
        <v>2400</v>
      </c>
      <c r="X694" s="72">
        <f t="shared" si="232"/>
        <v>2400</v>
      </c>
      <c r="Y694" s="72">
        <f t="shared" si="233"/>
        <v>2400</v>
      </c>
      <c r="Z694" s="72">
        <f t="shared" si="234"/>
        <v>2400</v>
      </c>
      <c r="AA694" s="72">
        <f t="shared" si="235"/>
        <v>2400</v>
      </c>
      <c r="AB694" s="72">
        <f t="shared" si="236"/>
        <v>2400</v>
      </c>
      <c r="AC694" s="72">
        <f t="shared" si="237"/>
        <v>2400</v>
      </c>
      <c r="AD694" s="72">
        <f t="shared" si="238"/>
        <v>2400</v>
      </c>
      <c r="AE694" s="72">
        <f t="shared" si="239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1900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40">L645</f>
        <v>2022</v>
      </c>
      <c r="M697" s="74">
        <f t="shared" si="240"/>
        <v>2023</v>
      </c>
      <c r="N697" s="74">
        <f t="shared" si="240"/>
        <v>2024</v>
      </c>
      <c r="O697" s="74">
        <f t="shared" si="240"/>
        <v>2025</v>
      </c>
      <c r="P697" s="74">
        <f t="shared" si="240"/>
        <v>2026</v>
      </c>
      <c r="Q697" s="74">
        <f t="shared" si="240"/>
        <v>2027</v>
      </c>
      <c r="R697" s="74">
        <f t="shared" si="240"/>
        <v>2028</v>
      </c>
      <c r="S697" s="74">
        <f t="shared" si="240"/>
        <v>2029</v>
      </c>
      <c r="T697" s="74">
        <f t="shared" si="240"/>
        <v>2030</v>
      </c>
      <c r="U697" s="74">
        <f t="shared" si="240"/>
        <v>2031</v>
      </c>
      <c r="V697" s="74">
        <f t="shared" si="240"/>
        <v>2032</v>
      </c>
      <c r="W697" s="74">
        <f t="shared" si="240"/>
        <v>2033</v>
      </c>
      <c r="X697" s="74">
        <f t="shared" si="240"/>
        <v>2034</v>
      </c>
      <c r="Y697" s="74">
        <f t="shared" si="240"/>
        <v>2035</v>
      </c>
      <c r="Z697" s="74">
        <f t="shared" si="240"/>
        <v>2036</v>
      </c>
      <c r="AA697" s="74">
        <f t="shared" si="240"/>
        <v>2037</v>
      </c>
      <c r="AB697" s="74">
        <f t="shared" si="240"/>
        <v>2038</v>
      </c>
      <c r="AC697" s="74">
        <f t="shared" si="240"/>
        <v>2039</v>
      </c>
      <c r="AD697" s="74">
        <f t="shared" si="240"/>
        <v>2040</v>
      </c>
      <c r="AE697" s="74">
        <f t="shared" si="240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ref="E698:E705" si="241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241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241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241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241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241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241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241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1921</v>
      </c>
      <c r="E707" s="71" t="s">
        <v>1415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1922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1901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42">L697</f>
        <v>2022</v>
      </c>
      <c r="M708" s="74">
        <f t="shared" si="242"/>
        <v>2023</v>
      </c>
      <c r="N708" s="74">
        <f t="shared" si="242"/>
        <v>2024</v>
      </c>
      <c r="O708" s="74">
        <f t="shared" si="242"/>
        <v>2025</v>
      </c>
      <c r="P708" s="74">
        <f t="shared" si="242"/>
        <v>2026</v>
      </c>
      <c r="Q708" s="74">
        <f t="shared" si="242"/>
        <v>2027</v>
      </c>
      <c r="R708" s="74">
        <f t="shared" si="242"/>
        <v>2028</v>
      </c>
      <c r="S708" s="74">
        <f t="shared" si="242"/>
        <v>2029</v>
      </c>
      <c r="T708" s="74">
        <f t="shared" si="242"/>
        <v>2030</v>
      </c>
      <c r="U708" s="74">
        <f t="shared" si="242"/>
        <v>2031</v>
      </c>
      <c r="V708" s="74">
        <f t="shared" si="242"/>
        <v>2032</v>
      </c>
      <c r="W708" s="74">
        <f t="shared" si="242"/>
        <v>2033</v>
      </c>
      <c r="X708" s="74">
        <f t="shared" si="242"/>
        <v>2034</v>
      </c>
      <c r="Y708" s="74">
        <f t="shared" si="242"/>
        <v>2035</v>
      </c>
      <c r="Z708" s="74">
        <f t="shared" si="242"/>
        <v>2036</v>
      </c>
      <c r="AA708" s="74">
        <f t="shared" si="242"/>
        <v>2037</v>
      </c>
      <c r="AB708" s="74">
        <f t="shared" si="242"/>
        <v>2038</v>
      </c>
      <c r="AC708" s="74">
        <f t="shared" si="242"/>
        <v>2039</v>
      </c>
      <c r="AD708" s="74">
        <f t="shared" si="242"/>
        <v>2040</v>
      </c>
      <c r="AE708" s="74">
        <f t="shared" si="242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ref="E709:E716" si="243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4">($F709*L$707+$G709*L$647)*$E709</f>
        <v>0</v>
      </c>
      <c r="M709" s="81">
        <f t="shared" si="244"/>
        <v>0</v>
      </c>
      <c r="N709" s="81">
        <f t="shared" si="244"/>
        <v>0</v>
      </c>
      <c r="O709" s="81">
        <f t="shared" si="244"/>
        <v>0</v>
      </c>
      <c r="P709" s="81">
        <f t="shared" si="244"/>
        <v>0</v>
      </c>
      <c r="Q709" s="81">
        <f t="shared" si="244"/>
        <v>0</v>
      </c>
      <c r="R709" s="81">
        <f t="shared" si="244"/>
        <v>0</v>
      </c>
      <c r="S709" s="81">
        <f t="shared" si="244"/>
        <v>0</v>
      </c>
      <c r="T709" s="81">
        <f t="shared" si="244"/>
        <v>0</v>
      </c>
      <c r="U709" s="81">
        <f t="shared" si="244"/>
        <v>0</v>
      </c>
      <c r="V709" s="81">
        <f t="shared" ref="V709:AE716" si="245">($F709*V$707+$G709*V$647)*$E709</f>
        <v>0</v>
      </c>
      <c r="W709" s="81">
        <f t="shared" si="245"/>
        <v>0</v>
      </c>
      <c r="X709" s="81">
        <f t="shared" si="245"/>
        <v>0</v>
      </c>
      <c r="Y709" s="81">
        <f t="shared" si="245"/>
        <v>0</v>
      </c>
      <c r="Z709" s="81">
        <f t="shared" si="245"/>
        <v>0</v>
      </c>
      <c r="AA709" s="81">
        <f t="shared" si="245"/>
        <v>0</v>
      </c>
      <c r="AB709" s="81">
        <f t="shared" si="245"/>
        <v>0</v>
      </c>
      <c r="AC709" s="81">
        <f t="shared" si="245"/>
        <v>0</v>
      </c>
      <c r="AD709" s="81">
        <f t="shared" si="245"/>
        <v>0</v>
      </c>
      <c r="AE709" s="81">
        <f t="shared" si="245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243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4"/>
        <v>0</v>
      </c>
      <c r="M710" s="81">
        <f t="shared" si="244"/>
        <v>0</v>
      </c>
      <c r="N710" s="81">
        <f t="shared" si="244"/>
        <v>0</v>
      </c>
      <c r="O710" s="81">
        <f t="shared" si="244"/>
        <v>0</v>
      </c>
      <c r="P710" s="81">
        <f t="shared" si="244"/>
        <v>0</v>
      </c>
      <c r="Q710" s="81">
        <f t="shared" si="244"/>
        <v>0</v>
      </c>
      <c r="R710" s="81">
        <f t="shared" si="244"/>
        <v>0</v>
      </c>
      <c r="S710" s="81">
        <f t="shared" si="244"/>
        <v>0</v>
      </c>
      <c r="T710" s="81">
        <f t="shared" si="244"/>
        <v>0</v>
      </c>
      <c r="U710" s="81">
        <f t="shared" si="244"/>
        <v>0</v>
      </c>
      <c r="V710" s="81">
        <f t="shared" si="245"/>
        <v>0</v>
      </c>
      <c r="W710" s="81">
        <f t="shared" si="245"/>
        <v>0</v>
      </c>
      <c r="X710" s="81">
        <f t="shared" si="245"/>
        <v>0</v>
      </c>
      <c r="Y710" s="81">
        <f t="shared" si="245"/>
        <v>0</v>
      </c>
      <c r="Z710" s="81">
        <f t="shared" si="245"/>
        <v>0</v>
      </c>
      <c r="AA710" s="81">
        <f t="shared" si="245"/>
        <v>0</v>
      </c>
      <c r="AB710" s="81">
        <f t="shared" si="245"/>
        <v>0</v>
      </c>
      <c r="AC710" s="81">
        <f t="shared" si="245"/>
        <v>0</v>
      </c>
      <c r="AD710" s="81">
        <f t="shared" si="245"/>
        <v>0</v>
      </c>
      <c r="AE710" s="81">
        <f t="shared" si="245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243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4"/>
        <v>0</v>
      </c>
      <c r="M711" s="81">
        <f t="shared" si="244"/>
        <v>0</v>
      </c>
      <c r="N711" s="81">
        <f t="shared" si="244"/>
        <v>0</v>
      </c>
      <c r="O711" s="81">
        <f t="shared" si="244"/>
        <v>0</v>
      </c>
      <c r="P711" s="81">
        <f t="shared" si="244"/>
        <v>0</v>
      </c>
      <c r="Q711" s="81">
        <f t="shared" si="244"/>
        <v>0</v>
      </c>
      <c r="R711" s="81">
        <f t="shared" si="244"/>
        <v>0</v>
      </c>
      <c r="S711" s="81">
        <f t="shared" si="244"/>
        <v>0</v>
      </c>
      <c r="T711" s="81">
        <f t="shared" si="244"/>
        <v>0</v>
      </c>
      <c r="U711" s="81">
        <f t="shared" si="244"/>
        <v>0</v>
      </c>
      <c r="V711" s="81">
        <f t="shared" si="245"/>
        <v>0</v>
      </c>
      <c r="W711" s="81">
        <f t="shared" si="245"/>
        <v>0</v>
      </c>
      <c r="X711" s="81">
        <f t="shared" si="245"/>
        <v>0</v>
      </c>
      <c r="Y711" s="81">
        <f t="shared" si="245"/>
        <v>0</v>
      </c>
      <c r="Z711" s="81">
        <f t="shared" si="245"/>
        <v>0</v>
      </c>
      <c r="AA711" s="81">
        <f t="shared" si="245"/>
        <v>0</v>
      </c>
      <c r="AB711" s="81">
        <f t="shared" si="245"/>
        <v>0</v>
      </c>
      <c r="AC711" s="81">
        <f t="shared" si="245"/>
        <v>0</v>
      </c>
      <c r="AD711" s="81">
        <f t="shared" si="245"/>
        <v>0</v>
      </c>
      <c r="AE711" s="81">
        <f t="shared" si="245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243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4"/>
        <v>0</v>
      </c>
      <c r="M712" s="81">
        <f t="shared" si="244"/>
        <v>0</v>
      </c>
      <c r="N712" s="81">
        <f t="shared" si="244"/>
        <v>0</v>
      </c>
      <c r="O712" s="81">
        <f t="shared" si="244"/>
        <v>0</v>
      </c>
      <c r="P712" s="81">
        <f t="shared" si="244"/>
        <v>0</v>
      </c>
      <c r="Q712" s="81">
        <f t="shared" si="244"/>
        <v>0</v>
      </c>
      <c r="R712" s="81">
        <f t="shared" si="244"/>
        <v>0</v>
      </c>
      <c r="S712" s="81">
        <f t="shared" si="244"/>
        <v>0</v>
      </c>
      <c r="T712" s="81">
        <f t="shared" si="244"/>
        <v>0</v>
      </c>
      <c r="U712" s="81">
        <f t="shared" si="244"/>
        <v>0</v>
      </c>
      <c r="V712" s="81">
        <f t="shared" si="245"/>
        <v>0</v>
      </c>
      <c r="W712" s="81">
        <f t="shared" si="245"/>
        <v>0</v>
      </c>
      <c r="X712" s="81">
        <f t="shared" si="245"/>
        <v>0</v>
      </c>
      <c r="Y712" s="81">
        <f t="shared" si="245"/>
        <v>0</v>
      </c>
      <c r="Z712" s="81">
        <f t="shared" si="245"/>
        <v>0</v>
      </c>
      <c r="AA712" s="81">
        <f t="shared" si="245"/>
        <v>0</v>
      </c>
      <c r="AB712" s="81">
        <f t="shared" si="245"/>
        <v>0</v>
      </c>
      <c r="AC712" s="81">
        <f t="shared" si="245"/>
        <v>0</v>
      </c>
      <c r="AD712" s="81">
        <f t="shared" si="245"/>
        <v>0</v>
      </c>
      <c r="AE712" s="81">
        <f t="shared" si="245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243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4"/>
        <v>0</v>
      </c>
      <c r="M713" s="81">
        <f t="shared" si="244"/>
        <v>0</v>
      </c>
      <c r="N713" s="81">
        <f t="shared" si="244"/>
        <v>0</v>
      </c>
      <c r="O713" s="81">
        <f t="shared" si="244"/>
        <v>0</v>
      </c>
      <c r="P713" s="81">
        <f t="shared" si="244"/>
        <v>0</v>
      </c>
      <c r="Q713" s="81">
        <f t="shared" si="244"/>
        <v>0</v>
      </c>
      <c r="R713" s="81">
        <f t="shared" si="244"/>
        <v>0</v>
      </c>
      <c r="S713" s="81">
        <f t="shared" si="244"/>
        <v>0</v>
      </c>
      <c r="T713" s="81">
        <f t="shared" si="244"/>
        <v>0</v>
      </c>
      <c r="U713" s="81">
        <f t="shared" si="244"/>
        <v>0</v>
      </c>
      <c r="V713" s="81">
        <f t="shared" si="245"/>
        <v>0</v>
      </c>
      <c r="W713" s="81">
        <f t="shared" si="245"/>
        <v>0</v>
      </c>
      <c r="X713" s="81">
        <f t="shared" si="245"/>
        <v>0</v>
      </c>
      <c r="Y713" s="81">
        <f t="shared" si="245"/>
        <v>0</v>
      </c>
      <c r="Z713" s="81">
        <f t="shared" si="245"/>
        <v>0</v>
      </c>
      <c r="AA713" s="81">
        <f t="shared" si="245"/>
        <v>0</v>
      </c>
      <c r="AB713" s="81">
        <f t="shared" si="245"/>
        <v>0</v>
      </c>
      <c r="AC713" s="81">
        <f t="shared" si="245"/>
        <v>0</v>
      </c>
      <c r="AD713" s="81">
        <f t="shared" si="245"/>
        <v>0</v>
      </c>
      <c r="AE713" s="81">
        <f t="shared" si="245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243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4"/>
        <v>0</v>
      </c>
      <c r="M714" s="81">
        <f t="shared" si="244"/>
        <v>0</v>
      </c>
      <c r="N714" s="81">
        <f t="shared" si="244"/>
        <v>0</v>
      </c>
      <c r="O714" s="81">
        <f t="shared" si="244"/>
        <v>0</v>
      </c>
      <c r="P714" s="81">
        <f t="shared" si="244"/>
        <v>0</v>
      </c>
      <c r="Q714" s="81">
        <f t="shared" si="244"/>
        <v>0</v>
      </c>
      <c r="R714" s="81">
        <f t="shared" si="244"/>
        <v>0</v>
      </c>
      <c r="S714" s="81">
        <f t="shared" si="244"/>
        <v>0</v>
      </c>
      <c r="T714" s="81">
        <f t="shared" si="244"/>
        <v>0</v>
      </c>
      <c r="U714" s="81">
        <f t="shared" si="244"/>
        <v>0</v>
      </c>
      <c r="V714" s="81">
        <f t="shared" si="245"/>
        <v>0</v>
      </c>
      <c r="W714" s="81">
        <f t="shared" si="245"/>
        <v>0</v>
      </c>
      <c r="X714" s="81">
        <f t="shared" si="245"/>
        <v>0</v>
      </c>
      <c r="Y714" s="81">
        <f t="shared" si="245"/>
        <v>0</v>
      </c>
      <c r="Z714" s="81">
        <f t="shared" si="245"/>
        <v>0</v>
      </c>
      <c r="AA714" s="81">
        <f t="shared" si="245"/>
        <v>0</v>
      </c>
      <c r="AB714" s="81">
        <f t="shared" si="245"/>
        <v>0</v>
      </c>
      <c r="AC714" s="81">
        <f t="shared" si="245"/>
        <v>0</v>
      </c>
      <c r="AD714" s="81">
        <f t="shared" si="245"/>
        <v>0</v>
      </c>
      <c r="AE714" s="81">
        <f t="shared" si="245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243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4"/>
        <v>0</v>
      </c>
      <c r="M715" s="81">
        <f t="shared" si="244"/>
        <v>0</v>
      </c>
      <c r="N715" s="81">
        <f t="shared" si="244"/>
        <v>0</v>
      </c>
      <c r="O715" s="81">
        <f t="shared" si="244"/>
        <v>0</v>
      </c>
      <c r="P715" s="81">
        <f t="shared" si="244"/>
        <v>0</v>
      </c>
      <c r="Q715" s="81">
        <f t="shared" si="244"/>
        <v>0</v>
      </c>
      <c r="R715" s="81">
        <f t="shared" si="244"/>
        <v>0</v>
      </c>
      <c r="S715" s="81">
        <f t="shared" si="244"/>
        <v>0</v>
      </c>
      <c r="T715" s="81">
        <f t="shared" si="244"/>
        <v>0</v>
      </c>
      <c r="U715" s="81">
        <f t="shared" si="244"/>
        <v>0</v>
      </c>
      <c r="V715" s="81">
        <f t="shared" si="245"/>
        <v>0</v>
      </c>
      <c r="W715" s="81">
        <f t="shared" si="245"/>
        <v>0</v>
      </c>
      <c r="X715" s="81">
        <f t="shared" si="245"/>
        <v>0</v>
      </c>
      <c r="Y715" s="81">
        <f t="shared" si="245"/>
        <v>0</v>
      </c>
      <c r="Z715" s="81">
        <f t="shared" si="245"/>
        <v>0</v>
      </c>
      <c r="AA715" s="81">
        <f t="shared" si="245"/>
        <v>0</v>
      </c>
      <c r="AB715" s="81">
        <f t="shared" si="245"/>
        <v>0</v>
      </c>
      <c r="AC715" s="81">
        <f t="shared" si="245"/>
        <v>0</v>
      </c>
      <c r="AD715" s="81">
        <f t="shared" si="245"/>
        <v>0</v>
      </c>
      <c r="AE715" s="81">
        <f t="shared" si="245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243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4"/>
        <v>0</v>
      </c>
      <c r="M716" s="81">
        <f t="shared" si="244"/>
        <v>0</v>
      </c>
      <c r="N716" s="81">
        <f t="shared" si="244"/>
        <v>0</v>
      </c>
      <c r="O716" s="81">
        <f t="shared" si="244"/>
        <v>0</v>
      </c>
      <c r="P716" s="81">
        <f t="shared" si="244"/>
        <v>0</v>
      </c>
      <c r="Q716" s="81">
        <f t="shared" si="244"/>
        <v>0</v>
      </c>
      <c r="R716" s="81">
        <f t="shared" si="244"/>
        <v>0</v>
      </c>
      <c r="S716" s="81">
        <f t="shared" si="244"/>
        <v>0</v>
      </c>
      <c r="T716" s="81">
        <f t="shared" si="244"/>
        <v>0</v>
      </c>
      <c r="U716" s="81">
        <f t="shared" si="244"/>
        <v>0</v>
      </c>
      <c r="V716" s="81">
        <f t="shared" si="245"/>
        <v>0</v>
      </c>
      <c r="W716" s="81">
        <f t="shared" si="245"/>
        <v>0</v>
      </c>
      <c r="X716" s="81">
        <f t="shared" si="245"/>
        <v>0</v>
      </c>
      <c r="Y716" s="81">
        <f t="shared" si="245"/>
        <v>0</v>
      </c>
      <c r="Z716" s="81">
        <f t="shared" si="245"/>
        <v>0</v>
      </c>
      <c r="AA716" s="81">
        <f t="shared" si="245"/>
        <v>0</v>
      </c>
      <c r="AB716" s="81">
        <f t="shared" si="245"/>
        <v>0</v>
      </c>
      <c r="AC716" s="81">
        <f t="shared" si="245"/>
        <v>0</v>
      </c>
      <c r="AD716" s="81">
        <f t="shared" si="245"/>
        <v>0</v>
      </c>
      <c r="AE716" s="81">
        <f t="shared" si="245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6">L708</f>
        <v>2022</v>
      </c>
      <c r="M718" s="74">
        <f t="shared" si="246"/>
        <v>2023</v>
      </c>
      <c r="N718" s="74">
        <f t="shared" si="246"/>
        <v>2024</v>
      </c>
      <c r="O718" s="74">
        <f t="shared" si="246"/>
        <v>2025</v>
      </c>
      <c r="P718" s="74">
        <f t="shared" si="246"/>
        <v>2026</v>
      </c>
      <c r="Q718" s="74">
        <f t="shared" si="246"/>
        <v>2027</v>
      </c>
      <c r="R718" s="74">
        <f t="shared" si="246"/>
        <v>2028</v>
      </c>
      <c r="S718" s="74">
        <f t="shared" si="246"/>
        <v>2029</v>
      </c>
      <c r="T718" s="74">
        <f t="shared" si="246"/>
        <v>2030</v>
      </c>
      <c r="U718" s="74">
        <f t="shared" si="246"/>
        <v>2031</v>
      </c>
      <c r="V718" s="74">
        <f t="shared" si="246"/>
        <v>2032</v>
      </c>
      <c r="W718" s="74">
        <f t="shared" si="246"/>
        <v>2033</v>
      </c>
      <c r="X718" s="74">
        <f t="shared" si="246"/>
        <v>2034</v>
      </c>
      <c r="Y718" s="74">
        <f t="shared" si="246"/>
        <v>2035</v>
      </c>
      <c r="Z718" s="74">
        <f t="shared" si="246"/>
        <v>2036</v>
      </c>
      <c r="AA718" s="74">
        <f t="shared" si="246"/>
        <v>2037</v>
      </c>
      <c r="AB718" s="74">
        <f t="shared" si="246"/>
        <v>2038</v>
      </c>
      <c r="AC718" s="74">
        <f t="shared" si="246"/>
        <v>2039</v>
      </c>
      <c r="AD718" s="74">
        <f t="shared" si="246"/>
        <v>2040</v>
      </c>
      <c r="AE718" s="74">
        <f t="shared" si="246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47">(L709+L698)/L687</f>
        <v>0</v>
      </c>
      <c r="M719" s="78">
        <f t="shared" si="247"/>
        <v>0</v>
      </c>
      <c r="N719" s="78">
        <f t="shared" si="247"/>
        <v>0</v>
      </c>
      <c r="O719" s="78">
        <f t="shared" si="247"/>
        <v>0</v>
      </c>
      <c r="P719" s="78">
        <f t="shared" si="247"/>
        <v>0</v>
      </c>
      <c r="Q719" s="78">
        <f t="shared" si="247"/>
        <v>1.15005E-2</v>
      </c>
      <c r="R719" s="78">
        <f t="shared" si="247"/>
        <v>2.3001000000000001E-2</v>
      </c>
      <c r="S719" s="78">
        <f t="shared" si="247"/>
        <v>3.4501500000000004E-2</v>
      </c>
      <c r="T719" s="78">
        <f t="shared" si="247"/>
        <v>4.6002000000000001E-2</v>
      </c>
      <c r="U719" s="78">
        <f t="shared" si="247"/>
        <v>5.7502500000000005E-2</v>
      </c>
      <c r="V719" s="78">
        <f t="shared" si="247"/>
        <v>6.9003000000000009E-2</v>
      </c>
      <c r="W719" s="78">
        <f t="shared" si="247"/>
        <v>8.0503500000000006E-2</v>
      </c>
      <c r="X719" s="78">
        <f t="shared" si="247"/>
        <v>9.2004000000000002E-2</v>
      </c>
      <c r="Y719" s="78">
        <f t="shared" si="247"/>
        <v>0.10350450000000001</v>
      </c>
      <c r="Z719" s="78">
        <f t="shared" si="247"/>
        <v>0.11500500000000001</v>
      </c>
      <c r="AA719" s="78">
        <f t="shared" si="247"/>
        <v>0.12650549999999999</v>
      </c>
      <c r="AB719" s="78">
        <f t="shared" si="247"/>
        <v>0.13800600000000002</v>
      </c>
      <c r="AC719" s="78">
        <f t="shared" si="247"/>
        <v>0.14950649999999999</v>
      </c>
      <c r="AD719" s="78">
        <f t="shared" si="247"/>
        <v>0.16100700000000001</v>
      </c>
      <c r="AE719" s="78">
        <f t="shared" si="247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48">(L710+L699)/L688</f>
        <v>0</v>
      </c>
      <c r="M720" s="78">
        <f t="shared" si="248"/>
        <v>0</v>
      </c>
      <c r="N720" s="78">
        <f t="shared" si="248"/>
        <v>0</v>
      </c>
      <c r="O720" s="78">
        <f t="shared" si="248"/>
        <v>0</v>
      </c>
      <c r="P720" s="78">
        <f t="shared" si="248"/>
        <v>0</v>
      </c>
      <c r="Q720" s="78">
        <f t="shared" si="248"/>
        <v>2.5781250000000006E-3</v>
      </c>
      <c r="R720" s="78">
        <f t="shared" si="248"/>
        <v>5.1562500000000011E-3</v>
      </c>
      <c r="S720" s="78">
        <f t="shared" si="248"/>
        <v>7.7343750000000008E-3</v>
      </c>
      <c r="T720" s="78">
        <f t="shared" si="248"/>
        <v>1.0312500000000002E-2</v>
      </c>
      <c r="U720" s="78">
        <f t="shared" si="248"/>
        <v>1.2890624999999999E-2</v>
      </c>
      <c r="V720" s="78">
        <f t="shared" si="248"/>
        <v>1.5468750000000002E-2</v>
      </c>
      <c r="W720" s="78">
        <f t="shared" si="248"/>
        <v>1.8046875E-2</v>
      </c>
      <c r="X720" s="78">
        <f t="shared" si="248"/>
        <v>2.0625000000000004E-2</v>
      </c>
      <c r="Y720" s="78">
        <f t="shared" si="248"/>
        <v>2.3203125000000002E-2</v>
      </c>
      <c r="Z720" s="78">
        <f t="shared" si="248"/>
        <v>2.5781249999999999E-2</v>
      </c>
      <c r="AA720" s="78">
        <f t="shared" si="248"/>
        <v>2.8359375000000003E-2</v>
      </c>
      <c r="AB720" s="78">
        <f t="shared" si="248"/>
        <v>3.0937500000000003E-2</v>
      </c>
      <c r="AC720" s="78">
        <f t="shared" si="248"/>
        <v>3.3515625E-2</v>
      </c>
      <c r="AD720" s="78">
        <f t="shared" si="248"/>
        <v>3.6093750000000001E-2</v>
      </c>
      <c r="AE720" s="78">
        <f t="shared" si="248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49">(L711+L700)/L689</f>
        <v>0</v>
      </c>
      <c r="M721" s="78">
        <f t="shared" si="249"/>
        <v>0</v>
      </c>
      <c r="N721" s="78">
        <f t="shared" si="249"/>
        <v>0</v>
      </c>
      <c r="O721" s="78">
        <f t="shared" si="249"/>
        <v>0</v>
      </c>
      <c r="P721" s="78">
        <f t="shared" si="249"/>
        <v>0</v>
      </c>
      <c r="Q721" s="78">
        <f t="shared" si="249"/>
        <v>3.8750000000000007E-2</v>
      </c>
      <c r="R721" s="78">
        <f t="shared" si="249"/>
        <v>7.7500000000000013E-2</v>
      </c>
      <c r="S721" s="78">
        <f t="shared" si="249"/>
        <v>0.11625000000000001</v>
      </c>
      <c r="T721" s="78">
        <f t="shared" si="249"/>
        <v>0.15500000000000003</v>
      </c>
      <c r="U721" s="78">
        <f t="shared" si="249"/>
        <v>0.19375000000000003</v>
      </c>
      <c r="V721" s="78">
        <f t="shared" si="249"/>
        <v>0.23250000000000001</v>
      </c>
      <c r="W721" s="78">
        <f t="shared" si="249"/>
        <v>0.27124999999999999</v>
      </c>
      <c r="X721" s="78">
        <f t="shared" si="249"/>
        <v>0.31000000000000005</v>
      </c>
      <c r="Y721" s="78">
        <f t="shared" si="249"/>
        <v>0.34875000000000006</v>
      </c>
      <c r="Z721" s="78">
        <f t="shared" si="249"/>
        <v>0.38750000000000007</v>
      </c>
      <c r="AA721" s="78">
        <f t="shared" si="249"/>
        <v>0.42625000000000007</v>
      </c>
      <c r="AB721" s="78">
        <f t="shared" si="249"/>
        <v>0.46500000000000002</v>
      </c>
      <c r="AC721" s="78">
        <f t="shared" si="249"/>
        <v>0.50375000000000003</v>
      </c>
      <c r="AD721" s="78">
        <f t="shared" si="249"/>
        <v>0.54249999999999998</v>
      </c>
      <c r="AE721" s="78">
        <f t="shared" si="249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50">(L712+L701)/L690</f>
        <v>0</v>
      </c>
      <c r="M722" s="78">
        <f t="shared" si="250"/>
        <v>0</v>
      </c>
      <c r="N722" s="78">
        <f t="shared" si="250"/>
        <v>0</v>
      </c>
      <c r="O722" s="78">
        <f t="shared" si="250"/>
        <v>0</v>
      </c>
      <c r="P722" s="78">
        <f t="shared" si="250"/>
        <v>0</v>
      </c>
      <c r="Q722" s="78">
        <f t="shared" si="250"/>
        <v>3.2761363636363637E-2</v>
      </c>
      <c r="R722" s="78">
        <f t="shared" si="250"/>
        <v>6.5522727272727274E-2</v>
      </c>
      <c r="S722" s="78">
        <f t="shared" si="250"/>
        <v>9.8284090909090904E-2</v>
      </c>
      <c r="T722" s="78">
        <f t="shared" si="250"/>
        <v>0.13104545454545455</v>
      </c>
      <c r="U722" s="78">
        <f t="shared" si="250"/>
        <v>0.16380681818181819</v>
      </c>
      <c r="V722" s="78">
        <f t="shared" si="250"/>
        <v>0.19656818181818181</v>
      </c>
      <c r="W722" s="78">
        <f t="shared" si="250"/>
        <v>0.22932954545454545</v>
      </c>
      <c r="X722" s="78">
        <f t="shared" si="250"/>
        <v>0.2620909090909091</v>
      </c>
      <c r="Y722" s="78">
        <f t="shared" si="250"/>
        <v>0.29485227272727277</v>
      </c>
      <c r="Z722" s="78">
        <f t="shared" si="250"/>
        <v>0.32761363636363638</v>
      </c>
      <c r="AA722" s="78">
        <f t="shared" si="250"/>
        <v>0.360375</v>
      </c>
      <c r="AB722" s="78">
        <f t="shared" si="250"/>
        <v>0.39313636363636362</v>
      </c>
      <c r="AC722" s="78">
        <f t="shared" si="250"/>
        <v>0.42589772727272729</v>
      </c>
      <c r="AD722" s="78">
        <f t="shared" si="250"/>
        <v>0.45865909090909091</v>
      </c>
      <c r="AE722" s="78">
        <f t="shared" si="250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51">(L713+L702)/L691</f>
        <v>0</v>
      </c>
      <c r="M723" s="78">
        <f t="shared" si="251"/>
        <v>0</v>
      </c>
      <c r="N723" s="78">
        <f t="shared" si="251"/>
        <v>0</v>
      </c>
      <c r="O723" s="78">
        <f t="shared" si="251"/>
        <v>0</v>
      </c>
      <c r="P723" s="78">
        <f t="shared" si="251"/>
        <v>0</v>
      </c>
      <c r="Q723" s="78">
        <f t="shared" si="251"/>
        <v>5.1424999999999998E-2</v>
      </c>
      <c r="R723" s="78">
        <f t="shared" si="251"/>
        <v>0.10285</v>
      </c>
      <c r="S723" s="78">
        <f t="shared" si="251"/>
        <v>0.154275</v>
      </c>
      <c r="T723" s="78">
        <f t="shared" si="251"/>
        <v>0.20569999999999999</v>
      </c>
      <c r="U723" s="78">
        <f t="shared" si="251"/>
        <v>0.25712499999999999</v>
      </c>
      <c r="V723" s="78">
        <f t="shared" si="251"/>
        <v>0.30854999999999999</v>
      </c>
      <c r="W723" s="78">
        <f t="shared" si="251"/>
        <v>0.35997499999999993</v>
      </c>
      <c r="X723" s="78">
        <f t="shared" si="251"/>
        <v>0.41139999999999999</v>
      </c>
      <c r="Y723" s="78">
        <f t="shared" si="251"/>
        <v>0.46282499999999993</v>
      </c>
      <c r="Z723" s="78">
        <f t="shared" si="251"/>
        <v>0.51424999999999998</v>
      </c>
      <c r="AA723" s="78">
        <f t="shared" si="251"/>
        <v>0.56567499999999993</v>
      </c>
      <c r="AB723" s="78">
        <f t="shared" si="251"/>
        <v>0.61709999999999998</v>
      </c>
      <c r="AC723" s="78">
        <f t="shared" si="251"/>
        <v>0.66852500000000004</v>
      </c>
      <c r="AD723" s="78">
        <f t="shared" si="251"/>
        <v>0.71994999999999987</v>
      </c>
      <c r="AE723" s="78">
        <f t="shared" si="251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52">(L714+L703)/L692</f>
        <v>0</v>
      </c>
      <c r="M724" s="78">
        <f t="shared" si="252"/>
        <v>0</v>
      </c>
      <c r="N724" s="78">
        <f t="shared" si="252"/>
        <v>0</v>
      </c>
      <c r="O724" s="78">
        <f t="shared" si="252"/>
        <v>0</v>
      </c>
      <c r="P724" s="78">
        <f t="shared" si="252"/>
        <v>0</v>
      </c>
      <c r="Q724" s="78">
        <f t="shared" si="252"/>
        <v>3.6907894736842102E-3</v>
      </c>
      <c r="R724" s="78">
        <f t="shared" si="252"/>
        <v>7.3815789473684204E-3</v>
      </c>
      <c r="S724" s="78">
        <f t="shared" si="252"/>
        <v>1.1072368421052631E-2</v>
      </c>
      <c r="T724" s="78">
        <f t="shared" si="252"/>
        <v>1.4763157894736841E-2</v>
      </c>
      <c r="U724" s="78">
        <f t="shared" si="252"/>
        <v>1.8453947368421052E-2</v>
      </c>
      <c r="V724" s="78">
        <f t="shared" si="252"/>
        <v>2.2144736842105262E-2</v>
      </c>
      <c r="W724" s="78">
        <f t="shared" si="252"/>
        <v>2.5835526315789472E-2</v>
      </c>
      <c r="X724" s="78">
        <f t="shared" si="252"/>
        <v>2.9526315789473682E-2</v>
      </c>
      <c r="Y724" s="78">
        <f t="shared" si="252"/>
        <v>3.3217105263157888E-2</v>
      </c>
      <c r="Z724" s="78">
        <f t="shared" si="252"/>
        <v>3.6907894736842105E-2</v>
      </c>
      <c r="AA724" s="78">
        <f t="shared" si="252"/>
        <v>4.0598684210526315E-2</v>
      </c>
      <c r="AB724" s="78">
        <f t="shared" si="252"/>
        <v>4.4289473684210524E-2</v>
      </c>
      <c r="AC724" s="78">
        <f t="shared" si="252"/>
        <v>4.7980263157894734E-2</v>
      </c>
      <c r="AD724" s="78">
        <f t="shared" si="252"/>
        <v>5.1671052631578944E-2</v>
      </c>
      <c r="AE724" s="78">
        <f t="shared" si="252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253">(L715+L704)/L693</f>
        <v>0</v>
      </c>
      <c r="M725" s="78">
        <f t="shared" si="253"/>
        <v>0</v>
      </c>
      <c r="N725" s="78">
        <f t="shared" si="253"/>
        <v>0</v>
      </c>
      <c r="O725" s="78">
        <f t="shared" si="253"/>
        <v>0</v>
      </c>
      <c r="P725" s="78">
        <f t="shared" si="253"/>
        <v>0</v>
      </c>
      <c r="Q725" s="78">
        <f t="shared" si="253"/>
        <v>4.3828124999999996E-3</v>
      </c>
      <c r="R725" s="78">
        <f t="shared" si="253"/>
        <v>8.7656249999999991E-3</v>
      </c>
      <c r="S725" s="78">
        <f t="shared" si="253"/>
        <v>1.3148437499999999E-2</v>
      </c>
      <c r="T725" s="78">
        <f t="shared" si="253"/>
        <v>1.7531249999999998E-2</v>
      </c>
      <c r="U725" s="78">
        <f t="shared" si="253"/>
        <v>2.1914062499999998E-2</v>
      </c>
      <c r="V725" s="78">
        <f t="shared" si="253"/>
        <v>2.6296874999999997E-2</v>
      </c>
      <c r="W725" s="78">
        <f t="shared" si="253"/>
        <v>3.0679687499999997E-2</v>
      </c>
      <c r="X725" s="78">
        <f t="shared" si="253"/>
        <v>3.5062499999999996E-2</v>
      </c>
      <c r="Y725" s="78">
        <f t="shared" si="253"/>
        <v>3.9445312499999996E-2</v>
      </c>
      <c r="Z725" s="78">
        <f t="shared" si="253"/>
        <v>4.3828124999999996E-2</v>
      </c>
      <c r="AA725" s="78">
        <f t="shared" si="253"/>
        <v>4.8210937499999995E-2</v>
      </c>
      <c r="AB725" s="78">
        <f t="shared" si="253"/>
        <v>5.2593749999999995E-2</v>
      </c>
      <c r="AC725" s="78">
        <f t="shared" si="253"/>
        <v>5.6976562499999994E-2</v>
      </c>
      <c r="AD725" s="78">
        <f t="shared" si="253"/>
        <v>6.1359374999999994E-2</v>
      </c>
      <c r="AE725" s="78">
        <f t="shared" si="253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254">(L716+L705)/L694</f>
        <v>0</v>
      </c>
      <c r="M726" s="78">
        <f t="shared" si="254"/>
        <v>0</v>
      </c>
      <c r="N726" s="78">
        <f t="shared" si="254"/>
        <v>0</v>
      </c>
      <c r="O726" s="78">
        <f t="shared" si="254"/>
        <v>0</v>
      </c>
      <c r="P726" s="78">
        <f t="shared" si="254"/>
        <v>0</v>
      </c>
      <c r="Q726" s="78">
        <f t="shared" si="254"/>
        <v>8.1249999999999996E-4</v>
      </c>
      <c r="R726" s="78">
        <f t="shared" si="254"/>
        <v>1.6249999999999999E-3</v>
      </c>
      <c r="S726" s="78">
        <f t="shared" si="254"/>
        <v>2.4375E-3</v>
      </c>
      <c r="T726" s="78">
        <f t="shared" si="254"/>
        <v>3.2499999999999999E-3</v>
      </c>
      <c r="U726" s="78">
        <f t="shared" si="254"/>
        <v>4.0625000000000001E-3</v>
      </c>
      <c r="V726" s="78">
        <f t="shared" si="254"/>
        <v>4.875E-3</v>
      </c>
      <c r="W726" s="78">
        <f t="shared" si="254"/>
        <v>5.6874999999999998E-3</v>
      </c>
      <c r="X726" s="78">
        <f t="shared" si="254"/>
        <v>6.4999999999999997E-3</v>
      </c>
      <c r="Y726" s="78">
        <f t="shared" si="254"/>
        <v>7.3125000000000004E-3</v>
      </c>
      <c r="Z726" s="78">
        <f t="shared" si="254"/>
        <v>8.1250000000000003E-3</v>
      </c>
      <c r="AA726" s="78">
        <f t="shared" si="254"/>
        <v>8.9374999999999993E-3</v>
      </c>
      <c r="AB726" s="78">
        <f t="shared" si="254"/>
        <v>9.75E-3</v>
      </c>
      <c r="AC726" s="78">
        <f t="shared" si="254"/>
        <v>1.0562500000000001E-2</v>
      </c>
      <c r="AD726" s="78">
        <f t="shared" si="254"/>
        <v>1.1375E-2</v>
      </c>
      <c r="AE726" s="78">
        <f t="shared" si="254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1902</v>
      </c>
      <c r="J728" s="72" t="s">
        <v>1903</v>
      </c>
      <c r="K728" s="72"/>
      <c r="L728" s="74">
        <f t="shared" ref="L728:AE728" si="255">L739</f>
        <v>2022</v>
      </c>
      <c r="M728" s="74">
        <f t="shared" si="255"/>
        <v>2023</v>
      </c>
      <c r="N728" s="74">
        <f t="shared" si="255"/>
        <v>2024</v>
      </c>
      <c r="O728" s="74">
        <f t="shared" si="255"/>
        <v>2025</v>
      </c>
      <c r="P728" s="74">
        <f t="shared" si="255"/>
        <v>2026</v>
      </c>
      <c r="Q728" s="74">
        <f t="shared" si="255"/>
        <v>2027</v>
      </c>
      <c r="R728" s="74">
        <f t="shared" si="255"/>
        <v>2028</v>
      </c>
      <c r="S728" s="74">
        <f t="shared" si="255"/>
        <v>2029</v>
      </c>
      <c r="T728" s="74">
        <f t="shared" si="255"/>
        <v>2030</v>
      </c>
      <c r="U728" s="74">
        <f t="shared" si="255"/>
        <v>2031</v>
      </c>
      <c r="V728" s="74">
        <f t="shared" si="255"/>
        <v>2032</v>
      </c>
      <c r="W728" s="74">
        <f t="shared" si="255"/>
        <v>2033</v>
      </c>
      <c r="X728" s="74">
        <f t="shared" si="255"/>
        <v>2034</v>
      </c>
      <c r="Y728" s="74">
        <f t="shared" si="255"/>
        <v>2035</v>
      </c>
      <c r="Z728" s="74">
        <f t="shared" si="255"/>
        <v>2036</v>
      </c>
      <c r="AA728" s="74">
        <f t="shared" si="255"/>
        <v>2037</v>
      </c>
      <c r="AB728" s="74">
        <f t="shared" si="255"/>
        <v>2038</v>
      </c>
      <c r="AC728" s="74">
        <f t="shared" si="255"/>
        <v>2039</v>
      </c>
      <c r="AD728" s="74">
        <f t="shared" si="255"/>
        <v>2040</v>
      </c>
      <c r="AE728" s="74">
        <f t="shared" si="255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256">H663+I663</f>
        <v>0.69003000000000003</v>
      </c>
      <c r="G729" s="72">
        <f t="shared" ref="G729:G736" si="257">MAX($J663,0)+MAX($K663,0)</f>
        <v>0.04</v>
      </c>
      <c r="H729" s="72">
        <f t="shared" ref="H729:H736" si="258">G729/F729</f>
        <v>5.7968494123443903E-2</v>
      </c>
      <c r="I729" s="100">
        <f t="shared" ref="I729:I736" si="259">IF($F729=0,0,$E698/$F729)</f>
        <v>1</v>
      </c>
      <c r="J729" s="100">
        <f t="shared" ref="J729:J736" si="260">IF($G729=0,0,$E709/$G729)</f>
        <v>1</v>
      </c>
      <c r="K729" s="72"/>
      <c r="L729" s="72">
        <f t="shared" ref="L729:AE729" si="261">L675*$F729/1000</f>
        <v>3.2287703131193024</v>
      </c>
      <c r="M729" s="72">
        <f t="shared" si="261"/>
        <v>3.3708362068965516</v>
      </c>
      <c r="N729" s="72">
        <f t="shared" si="261"/>
        <v>3.5191530000000002</v>
      </c>
      <c r="O729" s="72">
        <f t="shared" si="261"/>
        <v>3.6739957320000007</v>
      </c>
      <c r="P729" s="72">
        <f t="shared" si="261"/>
        <v>3.8356515442080008</v>
      </c>
      <c r="Q729" s="72">
        <f t="shared" si="261"/>
        <v>4.0044202121531534</v>
      </c>
      <c r="R729" s="72">
        <f t="shared" si="261"/>
        <v>4.1806147014878912</v>
      </c>
      <c r="S729" s="72">
        <f t="shared" si="261"/>
        <v>4.3645617483533599</v>
      </c>
      <c r="T729" s="72">
        <f t="shared" si="261"/>
        <v>4.556602465280907</v>
      </c>
      <c r="U729" s="72">
        <f t="shared" si="261"/>
        <v>4.7570929737532675</v>
      </c>
      <c r="V729" s="72">
        <f t="shared" si="261"/>
        <v>4.9664050645984119</v>
      </c>
      <c r="W729" s="72">
        <f t="shared" si="261"/>
        <v>5.1849268874407413</v>
      </c>
      <c r="X729" s="72">
        <f t="shared" si="261"/>
        <v>5.4130636704881345</v>
      </c>
      <c r="Y729" s="72">
        <f t="shared" si="261"/>
        <v>5.6512384719896129</v>
      </c>
      <c r="Z729" s="72">
        <f t="shared" si="261"/>
        <v>5.8998929647571554</v>
      </c>
      <c r="AA729" s="72">
        <f t="shared" si="261"/>
        <v>6.1594882552064707</v>
      </c>
      <c r="AB729" s="72">
        <f t="shared" si="261"/>
        <v>6.4305057384355555</v>
      </c>
      <c r="AC729" s="72">
        <f t="shared" si="261"/>
        <v>6.7134479909267206</v>
      </c>
      <c r="AD729" s="72">
        <f t="shared" si="261"/>
        <v>7.0088397025274967</v>
      </c>
      <c r="AE729" s="72">
        <f t="shared" si="261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256"/>
        <v>0.14025000000000001</v>
      </c>
      <c r="G730" s="72">
        <f t="shared" si="257"/>
        <v>1.4999999999999999E-2</v>
      </c>
      <c r="H730" s="72">
        <f t="shared" si="258"/>
        <v>0.10695187165775399</v>
      </c>
      <c r="I730" s="100">
        <f t="shared" si="259"/>
        <v>1</v>
      </c>
      <c r="J730" s="100">
        <f t="shared" si="260"/>
        <v>1</v>
      </c>
      <c r="K730" s="72"/>
      <c r="L730" s="72">
        <f t="shared" ref="L730:AE730" si="262">L676*$F730/1000</f>
        <v>0.61765094464262127</v>
      </c>
      <c r="M730" s="72">
        <f t="shared" si="262"/>
        <v>0.64482758620689662</v>
      </c>
      <c r="N730" s="72">
        <f t="shared" si="262"/>
        <v>0.67320000000000002</v>
      </c>
      <c r="O730" s="72">
        <f t="shared" si="262"/>
        <v>0.70282080000000002</v>
      </c>
      <c r="P730" s="72">
        <f t="shared" si="262"/>
        <v>0.73374491520000007</v>
      </c>
      <c r="Q730" s="72">
        <f t="shared" si="262"/>
        <v>0.76602969146880007</v>
      </c>
      <c r="R730" s="72">
        <f t="shared" si="262"/>
        <v>0.79973499789342728</v>
      </c>
      <c r="S730" s="72">
        <f t="shared" si="262"/>
        <v>0.83492333780073813</v>
      </c>
      <c r="T730" s="72">
        <f t="shared" si="262"/>
        <v>0.87165996466397067</v>
      </c>
      <c r="U730" s="72">
        <f t="shared" si="262"/>
        <v>0.91001300310918543</v>
      </c>
      <c r="V730" s="72">
        <f t="shared" si="262"/>
        <v>0.95005357524598955</v>
      </c>
      <c r="W730" s="72">
        <f t="shared" si="262"/>
        <v>0.99185593255681304</v>
      </c>
      <c r="X730" s="72">
        <f t="shared" si="262"/>
        <v>1.0354975935893131</v>
      </c>
      <c r="Y730" s="72">
        <f t="shared" si="262"/>
        <v>1.0810594877072426</v>
      </c>
      <c r="Z730" s="72">
        <f t="shared" si="262"/>
        <v>1.1286261051663613</v>
      </c>
      <c r="AA730" s="72">
        <f t="shared" si="262"/>
        <v>1.1782856537936812</v>
      </c>
      <c r="AB730" s="72">
        <f t="shared" si="262"/>
        <v>1.2301302225606032</v>
      </c>
      <c r="AC730" s="72">
        <f t="shared" si="262"/>
        <v>1.2842559523532697</v>
      </c>
      <c r="AD730" s="72">
        <f t="shared" si="262"/>
        <v>1.3407632142568136</v>
      </c>
      <c r="AE730" s="72">
        <f t="shared" si="262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256"/>
        <v>1.9220000000000002</v>
      </c>
      <c r="G731" s="72">
        <f t="shared" si="257"/>
        <v>0.25</v>
      </c>
      <c r="H731" s="72">
        <f t="shared" si="258"/>
        <v>0.13007284079084286</v>
      </c>
      <c r="I731" s="100">
        <f t="shared" si="259"/>
        <v>1</v>
      </c>
      <c r="J731" s="100">
        <f t="shared" si="260"/>
        <v>1</v>
      </c>
      <c r="K731" s="72"/>
      <c r="L731" s="72">
        <f t="shared" ref="L731:AE731" si="263">L677*$F731/1000</f>
        <v>0</v>
      </c>
      <c r="M731" s="72">
        <f t="shared" si="263"/>
        <v>0</v>
      </c>
      <c r="N731" s="72">
        <f t="shared" si="263"/>
        <v>0</v>
      </c>
      <c r="O731" s="72">
        <f t="shared" si="263"/>
        <v>0</v>
      </c>
      <c r="P731" s="72">
        <f t="shared" si="263"/>
        <v>0</v>
      </c>
      <c r="Q731" s="72">
        <f t="shared" si="263"/>
        <v>0</v>
      </c>
      <c r="R731" s="72">
        <f t="shared" si="263"/>
        <v>0</v>
      </c>
      <c r="S731" s="72">
        <f t="shared" si="263"/>
        <v>0</v>
      </c>
      <c r="T731" s="72">
        <f t="shared" si="263"/>
        <v>0</v>
      </c>
      <c r="U731" s="72">
        <f t="shared" si="263"/>
        <v>0</v>
      </c>
      <c r="V731" s="72">
        <f t="shared" si="263"/>
        <v>0</v>
      </c>
      <c r="W731" s="72">
        <f t="shared" si="263"/>
        <v>0</v>
      </c>
      <c r="X731" s="72">
        <f t="shared" si="263"/>
        <v>0</v>
      </c>
      <c r="Y731" s="72">
        <f t="shared" si="263"/>
        <v>0</v>
      </c>
      <c r="Z731" s="72">
        <f t="shared" si="263"/>
        <v>0</v>
      </c>
      <c r="AA731" s="72">
        <f t="shared" si="263"/>
        <v>0</v>
      </c>
      <c r="AB731" s="72">
        <f t="shared" si="263"/>
        <v>0</v>
      </c>
      <c r="AC731" s="72">
        <f t="shared" si="263"/>
        <v>0</v>
      </c>
      <c r="AD731" s="72">
        <f t="shared" si="263"/>
        <v>0</v>
      </c>
      <c r="AE731" s="72">
        <f t="shared" si="263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256"/>
        <v>0.2883</v>
      </c>
      <c r="G732" s="72">
        <f t="shared" si="257"/>
        <v>0.52600000000000002</v>
      </c>
      <c r="H732" s="72">
        <f t="shared" si="258"/>
        <v>1.8244883801595562</v>
      </c>
      <c r="I732" s="100">
        <f t="shared" si="259"/>
        <v>1</v>
      </c>
      <c r="J732" s="100">
        <f t="shared" si="260"/>
        <v>1</v>
      </c>
      <c r="K732" s="72"/>
      <c r="L732" s="72">
        <f t="shared" ref="L732:AE732" si="264">L678*$F732/1000</f>
        <v>13.508713893592759</v>
      </c>
      <c r="M732" s="72">
        <f t="shared" si="264"/>
        <v>13.954501452081319</v>
      </c>
      <c r="N732" s="72">
        <f t="shared" si="264"/>
        <v>14.414999999999999</v>
      </c>
      <c r="O732" s="72">
        <f t="shared" si="264"/>
        <v>14.890694999999997</v>
      </c>
      <c r="P732" s="72">
        <f t="shared" si="264"/>
        <v>15.382087934999998</v>
      </c>
      <c r="Q732" s="72">
        <f t="shared" si="264"/>
        <v>15.889696836854995</v>
      </c>
      <c r="R732" s="72">
        <f t="shared" si="264"/>
        <v>16.414056832471207</v>
      </c>
      <c r="S732" s="72">
        <f t="shared" si="264"/>
        <v>16.955720707942756</v>
      </c>
      <c r="T732" s="72">
        <f t="shared" si="264"/>
        <v>17.515259491304867</v>
      </c>
      <c r="U732" s="72">
        <f t="shared" si="264"/>
        <v>18.093263054517926</v>
      </c>
      <c r="V732" s="72">
        <f t="shared" si="264"/>
        <v>18.690340735317015</v>
      </c>
      <c r="W732" s="72">
        <f t="shared" si="264"/>
        <v>19.307121979582476</v>
      </c>
      <c r="X732" s="72">
        <f t="shared" si="264"/>
        <v>19.944257004908696</v>
      </c>
      <c r="Y732" s="72">
        <f t="shared" si="264"/>
        <v>20.602417486070681</v>
      </c>
      <c r="Z732" s="72">
        <f t="shared" si="264"/>
        <v>21.282297263111012</v>
      </c>
      <c r="AA732" s="72">
        <f t="shared" si="264"/>
        <v>21.984613072793675</v>
      </c>
      <c r="AB732" s="72">
        <f t="shared" si="264"/>
        <v>22.710105304195867</v>
      </c>
      <c r="AC732" s="72">
        <f t="shared" si="264"/>
        <v>23.459538779234329</v>
      </c>
      <c r="AD732" s="72">
        <f t="shared" si="264"/>
        <v>24.23370355894906</v>
      </c>
      <c r="AE732" s="72">
        <f t="shared" si="264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256"/>
        <v>1.8512999999999999</v>
      </c>
      <c r="G733" s="72">
        <f t="shared" si="257"/>
        <v>0</v>
      </c>
      <c r="H733" s="72">
        <f t="shared" si="258"/>
        <v>0</v>
      </c>
      <c r="I733" s="100">
        <f t="shared" si="259"/>
        <v>1</v>
      </c>
      <c r="J733" s="100">
        <f t="shared" si="260"/>
        <v>0</v>
      </c>
      <c r="K733" s="72"/>
      <c r="L733" s="72">
        <f t="shared" ref="L733:AE733" si="265">L679*$F733/1000</f>
        <v>3.1638306570517116</v>
      </c>
      <c r="M733" s="72">
        <f t="shared" si="265"/>
        <v>3.2334349315068494</v>
      </c>
      <c r="N733" s="72">
        <f t="shared" si="265"/>
        <v>3.3045704999999996</v>
      </c>
      <c r="O733" s="72">
        <f t="shared" si="265"/>
        <v>3.3772710509999997</v>
      </c>
      <c r="P733" s="72">
        <f t="shared" si="265"/>
        <v>3.4515710141219995</v>
      </c>
      <c r="Q733" s="72">
        <f t="shared" si="265"/>
        <v>3.5275055764326835</v>
      </c>
      <c r="R733" s="72">
        <f t="shared" si="265"/>
        <v>3.6051106991142028</v>
      </c>
      <c r="S733" s="72">
        <f t="shared" si="265"/>
        <v>3.6844231344947151</v>
      </c>
      <c r="T733" s="72">
        <f t="shared" si="265"/>
        <v>3.7654804434535989</v>
      </c>
      <c r="U733" s="72">
        <f t="shared" si="265"/>
        <v>3.8483210132095782</v>
      </c>
      <c r="V733" s="72">
        <f t="shared" si="265"/>
        <v>3.932984075500189</v>
      </c>
      <c r="W733" s="72">
        <f t="shared" si="265"/>
        <v>4.0195097251611935</v>
      </c>
      <c r="X733" s="72">
        <f t="shared" si="265"/>
        <v>4.1079389391147396</v>
      </c>
      <c r="Y733" s="72">
        <f t="shared" si="265"/>
        <v>4.1983135957752644</v>
      </c>
      <c r="Z733" s="72">
        <f t="shared" si="265"/>
        <v>4.2906764948823204</v>
      </c>
      <c r="AA733" s="72">
        <f t="shared" si="265"/>
        <v>4.385071377769731</v>
      </c>
      <c r="AB733" s="72">
        <f t="shared" si="265"/>
        <v>4.4815429480806648</v>
      </c>
      <c r="AC733" s="72">
        <f t="shared" si="265"/>
        <v>4.5801368929384401</v>
      </c>
      <c r="AD733" s="72">
        <f t="shared" si="265"/>
        <v>4.680899904583085</v>
      </c>
      <c r="AE733" s="72">
        <f t="shared" si="265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256"/>
        <v>0.11219999999999999</v>
      </c>
      <c r="G734" s="72">
        <f t="shared" si="257"/>
        <v>0</v>
      </c>
      <c r="H734" s="72">
        <f t="shared" si="258"/>
        <v>0</v>
      </c>
      <c r="I734" s="100">
        <f t="shared" si="259"/>
        <v>1</v>
      </c>
      <c r="J734" s="100">
        <f t="shared" si="260"/>
        <v>0</v>
      </c>
      <c r="K734" s="72"/>
      <c r="L734" s="72">
        <f t="shared" ref="L734:AE734" si="266">L680*$F734/1000</f>
        <v>0.30078009811543305</v>
      </c>
      <c r="M734" s="72">
        <f t="shared" si="266"/>
        <v>0.30739726027397257</v>
      </c>
      <c r="N734" s="72">
        <f t="shared" si="266"/>
        <v>0.31415999999999999</v>
      </c>
      <c r="O734" s="72">
        <f t="shared" si="266"/>
        <v>0.32107151999999994</v>
      </c>
      <c r="P734" s="72">
        <f t="shared" si="266"/>
        <v>0.32813509343999991</v>
      </c>
      <c r="Q734" s="72">
        <f t="shared" si="266"/>
        <v>0.33535406549567992</v>
      </c>
      <c r="R734" s="72">
        <f t="shared" si="266"/>
        <v>0.34273185493658492</v>
      </c>
      <c r="S734" s="72">
        <f t="shared" si="266"/>
        <v>0.35027195574518982</v>
      </c>
      <c r="T734" s="72">
        <f t="shared" si="266"/>
        <v>0.35797793877158396</v>
      </c>
      <c r="U734" s="72">
        <f t="shared" si="266"/>
        <v>0.36585345342455883</v>
      </c>
      <c r="V734" s="72">
        <f t="shared" si="266"/>
        <v>0.37390222939989914</v>
      </c>
      <c r="W734" s="72">
        <f t="shared" si="266"/>
        <v>0.38212807844669699</v>
      </c>
      <c r="X734" s="72">
        <f t="shared" si="266"/>
        <v>0.39053489617252435</v>
      </c>
      <c r="Y734" s="72">
        <f t="shared" si="266"/>
        <v>0.39912666388831991</v>
      </c>
      <c r="Z734" s="72">
        <f t="shared" si="266"/>
        <v>0.40790745049386296</v>
      </c>
      <c r="AA734" s="72">
        <f t="shared" si="266"/>
        <v>0.41688141440472792</v>
      </c>
      <c r="AB734" s="72">
        <f t="shared" si="266"/>
        <v>0.42605280552163199</v>
      </c>
      <c r="AC734" s="72">
        <f t="shared" si="266"/>
        <v>0.43542596724310795</v>
      </c>
      <c r="AD734" s="72">
        <f t="shared" si="266"/>
        <v>0.44500533852245627</v>
      </c>
      <c r="AE734" s="72">
        <f t="shared" si="266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256"/>
        <v>0.11219999999999999</v>
      </c>
      <c r="G735" s="72">
        <f t="shared" si="257"/>
        <v>0.97</v>
      </c>
      <c r="H735" s="72">
        <f t="shared" si="258"/>
        <v>8.6452762923351152</v>
      </c>
      <c r="I735" s="100">
        <f t="shared" si="259"/>
        <v>1</v>
      </c>
      <c r="J735" s="100">
        <f t="shared" si="260"/>
        <v>1</v>
      </c>
      <c r="K735" s="72"/>
      <c r="L735" s="72">
        <f t="shared" ref="L735:AE735" si="267">L681*$F735/1000</f>
        <v>6.4452878167592806E-2</v>
      </c>
      <c r="M735" s="72">
        <f t="shared" si="267"/>
        <v>6.5870841487279841E-2</v>
      </c>
      <c r="N735" s="72">
        <f t="shared" si="267"/>
        <v>6.7319999999999991E-2</v>
      </c>
      <c r="O735" s="72">
        <f t="shared" si="267"/>
        <v>6.8801039999999994E-2</v>
      </c>
      <c r="P735" s="72">
        <f t="shared" si="267"/>
        <v>7.0314662880000003E-2</v>
      </c>
      <c r="Q735" s="72">
        <f t="shared" si="267"/>
        <v>7.1861585463359995E-2</v>
      </c>
      <c r="R735" s="72">
        <f t="shared" si="267"/>
        <v>7.3442540343553922E-2</v>
      </c>
      <c r="S735" s="72">
        <f t="shared" si="267"/>
        <v>7.5058276231112109E-2</v>
      </c>
      <c r="T735" s="72">
        <f t="shared" si="267"/>
        <v>7.6709558308196577E-2</v>
      </c>
      <c r="U735" s="72">
        <f t="shared" si="267"/>
        <v>7.8397168590976909E-2</v>
      </c>
      <c r="V735" s="72">
        <f t="shared" si="267"/>
        <v>8.012190629997841E-2</v>
      </c>
      <c r="W735" s="72">
        <f t="shared" si="267"/>
        <v>8.1884588238577916E-2</v>
      </c>
      <c r="X735" s="72">
        <f t="shared" si="267"/>
        <v>8.3686049179826624E-2</v>
      </c>
      <c r="Y735" s="72">
        <f t="shared" si="267"/>
        <v>8.5527142261782832E-2</v>
      </c>
      <c r="Z735" s="72">
        <f t="shared" si="267"/>
        <v>8.7408739391542062E-2</v>
      </c>
      <c r="AA735" s="72">
        <f t="shared" si="267"/>
        <v>8.9331731658155972E-2</v>
      </c>
      <c r="AB735" s="72">
        <f t="shared" si="267"/>
        <v>9.1297029754635398E-2</v>
      </c>
      <c r="AC735" s="72">
        <f t="shared" si="267"/>
        <v>9.3305564409237388E-2</v>
      </c>
      <c r="AD735" s="72">
        <f t="shared" si="267"/>
        <v>9.5358286826240618E-2</v>
      </c>
      <c r="AE735" s="72">
        <f t="shared" si="267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256"/>
        <v>0.156</v>
      </c>
      <c r="G736" s="72">
        <f t="shared" si="257"/>
        <v>2.35</v>
      </c>
      <c r="H736" s="72">
        <f t="shared" si="258"/>
        <v>15.064102564102564</v>
      </c>
      <c r="I736" s="100">
        <f t="shared" si="259"/>
        <v>1</v>
      </c>
      <c r="J736" s="100">
        <f t="shared" si="260"/>
        <v>1</v>
      </c>
      <c r="K736" s="72"/>
      <c r="L736" s="72">
        <f t="shared" ref="L736:AE736" si="268">L682*$F736/1000</f>
        <v>4.2047573055412055E-2</v>
      </c>
      <c r="M736" s="72">
        <f t="shared" si="268"/>
        <v>4.4360189573459712E-2</v>
      </c>
      <c r="N736" s="72">
        <f t="shared" si="268"/>
        <v>4.6799999999999994E-2</v>
      </c>
      <c r="O736" s="72">
        <f t="shared" si="268"/>
        <v>4.9374000000000001E-2</v>
      </c>
      <c r="P736" s="72">
        <f t="shared" si="268"/>
        <v>5.2089569999999995E-2</v>
      </c>
      <c r="Q736" s="72">
        <f t="shared" si="268"/>
        <v>5.4954496349999993E-2</v>
      </c>
      <c r="R736" s="72">
        <f t="shared" si="268"/>
        <v>5.7976993649249998E-2</v>
      </c>
      <c r="S736" s="72">
        <f t="shared" si="268"/>
        <v>6.1165728299958741E-2</v>
      </c>
      <c r="T736" s="72">
        <f t="shared" si="268"/>
        <v>6.4529843356456465E-2</v>
      </c>
      <c r="U736" s="72">
        <f t="shared" si="268"/>
        <v>6.8078984741061568E-2</v>
      </c>
      <c r="V736" s="72">
        <f t="shared" si="268"/>
        <v>7.1823328901819944E-2</v>
      </c>
      <c r="W736" s="72">
        <f t="shared" si="268"/>
        <v>7.5773611991420048E-2</v>
      </c>
      <c r="X736" s="72">
        <f t="shared" si="268"/>
        <v>7.9941160650948154E-2</v>
      </c>
      <c r="Y736" s="72">
        <f t="shared" si="268"/>
        <v>8.4337924486750301E-2</v>
      </c>
      <c r="Z736" s="72">
        <f t="shared" si="268"/>
        <v>8.8976510333521566E-2</v>
      </c>
      <c r="AA736" s="72">
        <f t="shared" si="268"/>
        <v>9.3870218401865241E-2</v>
      </c>
      <c r="AB736" s="72">
        <f t="shared" si="268"/>
        <v>9.9033080413967828E-2</v>
      </c>
      <c r="AC736" s="72">
        <f t="shared" si="268"/>
        <v>0.10447989983673606</v>
      </c>
      <c r="AD736" s="72">
        <f t="shared" si="268"/>
        <v>0.11022629432775652</v>
      </c>
      <c r="AE736" s="72">
        <f t="shared" si="268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269">SUM(L729:L736)</f>
        <v>20.926246357744834</v>
      </c>
      <c r="M737" s="72">
        <f t="shared" si="269"/>
        <v>21.621228468026327</v>
      </c>
      <c r="N737" s="72">
        <f t="shared" si="269"/>
        <v>22.340203500000001</v>
      </c>
      <c r="O737" s="72">
        <f t="shared" si="269"/>
        <v>23.084029143000002</v>
      </c>
      <c r="P737" s="72">
        <f t="shared" si="269"/>
        <v>23.853594734849999</v>
      </c>
      <c r="Q737" s="72">
        <f t="shared" si="269"/>
        <v>24.649822464218669</v>
      </c>
      <c r="R737" s="72">
        <f t="shared" si="269"/>
        <v>25.473668619896113</v>
      </c>
      <c r="S737" s="72">
        <f t="shared" si="269"/>
        <v>26.326124888867827</v>
      </c>
      <c r="T737" s="72">
        <f t="shared" si="269"/>
        <v>27.20821970513958</v>
      </c>
      <c r="U737" s="72">
        <f t="shared" si="269"/>
        <v>28.121019651346554</v>
      </c>
      <c r="V737" s="72">
        <f t="shared" si="269"/>
        <v>29.065630915263306</v>
      </c>
      <c r="W737" s="72">
        <f t="shared" si="269"/>
        <v>30.043200803417918</v>
      </c>
      <c r="X737" s="72">
        <f t="shared" si="269"/>
        <v>31.054919314104183</v>
      </c>
      <c r="Y737" s="72">
        <f t="shared" si="269"/>
        <v>32.102020772179657</v>
      </c>
      <c r="Z737" s="72">
        <f t="shared" si="269"/>
        <v>33.185785528135781</v>
      </c>
      <c r="AA737" s="72">
        <f t="shared" si="269"/>
        <v>34.307541724028312</v>
      </c>
      <c r="AB737" s="72">
        <f t="shared" si="269"/>
        <v>35.468667128962927</v>
      </c>
      <c r="AC737" s="72">
        <f t="shared" si="269"/>
        <v>36.67059104694183</v>
      </c>
      <c r="AD737" s="72">
        <f t="shared" si="269"/>
        <v>37.914796299992908</v>
      </c>
      <c r="AE737" s="72">
        <f t="shared" si="269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70">L673</f>
        <v>2022</v>
      </c>
      <c r="M739" s="74">
        <f t="shared" si="270"/>
        <v>2023</v>
      </c>
      <c r="N739" s="74">
        <f t="shared" si="270"/>
        <v>2024</v>
      </c>
      <c r="O739" s="74">
        <f t="shared" si="270"/>
        <v>2025</v>
      </c>
      <c r="P739" s="74">
        <f t="shared" si="270"/>
        <v>2026</v>
      </c>
      <c r="Q739" s="74">
        <f t="shared" si="270"/>
        <v>2027</v>
      </c>
      <c r="R739" s="74">
        <f t="shared" si="270"/>
        <v>2028</v>
      </c>
      <c r="S739" s="74">
        <f t="shared" si="270"/>
        <v>2029</v>
      </c>
      <c r="T739" s="74">
        <f t="shared" si="270"/>
        <v>2030</v>
      </c>
      <c r="U739" s="74">
        <f t="shared" si="270"/>
        <v>2031</v>
      </c>
      <c r="V739" s="74">
        <f t="shared" si="270"/>
        <v>2032</v>
      </c>
      <c r="W739" s="74">
        <f t="shared" si="270"/>
        <v>2033</v>
      </c>
      <c r="X739" s="74">
        <f t="shared" si="270"/>
        <v>2034</v>
      </c>
      <c r="Y739" s="74">
        <f t="shared" si="270"/>
        <v>2035</v>
      </c>
      <c r="Z739" s="74">
        <f t="shared" si="270"/>
        <v>2036</v>
      </c>
      <c r="AA739" s="74">
        <f t="shared" si="270"/>
        <v>2037</v>
      </c>
      <c r="AB739" s="74">
        <f t="shared" si="270"/>
        <v>2038</v>
      </c>
      <c r="AC739" s="74">
        <f t="shared" si="270"/>
        <v>2039</v>
      </c>
      <c r="AD739" s="74">
        <f t="shared" si="270"/>
        <v>2040</v>
      </c>
      <c r="AE739" s="74">
        <f t="shared" si="270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271">L675*G729/1000</f>
        <v>0.18716695292200644</v>
      </c>
      <c r="M740" s="72">
        <f t="shared" ref="M740:M747" si="272">M675*G729/1000</f>
        <v>0.1954022988505747</v>
      </c>
      <c r="N740" s="72">
        <f t="shared" ref="N740:N747" si="273">N675*G729/1000</f>
        <v>0.20399999999999999</v>
      </c>
      <c r="O740" s="72">
        <f t="shared" ref="O740:O747" si="274">O675*G729/1000</f>
        <v>0.21297600000000003</v>
      </c>
      <c r="P740" s="72">
        <f t="shared" ref="P740:P747" si="275">P675*G729/1000</f>
        <v>0.22234694400000005</v>
      </c>
      <c r="Q740" s="72">
        <f t="shared" ref="Q740:Q747" si="276">Q675*G729/1000</f>
        <v>0.23213020953600005</v>
      </c>
      <c r="R740" s="72">
        <f t="shared" ref="R740:R747" si="277">R675*G729/1000</f>
        <v>0.24234393875558408</v>
      </c>
      <c r="S740" s="72">
        <f t="shared" ref="S740:S747" si="278">S675*G729/1000</f>
        <v>0.25300707206082979</v>
      </c>
      <c r="T740" s="72">
        <f t="shared" ref="T740:T747" si="279">T675*G729/1000</f>
        <v>0.26413938323150632</v>
      </c>
      <c r="U740" s="72">
        <f t="shared" ref="U740:U747" si="280">U675*G729/1000</f>
        <v>0.27576151609369259</v>
      </c>
      <c r="V740" s="72">
        <f t="shared" ref="V740:V747" si="281">V675*G729/1000</f>
        <v>0.28789502280181506</v>
      </c>
      <c r="W740" s="72">
        <f t="shared" ref="W740:W747" si="282">W675*G729/1000</f>
        <v>0.30056240380509497</v>
      </c>
      <c r="X740" s="72">
        <f t="shared" ref="X740:X747" si="283">X675*G729/1000</f>
        <v>0.31378714957251913</v>
      </c>
      <c r="Y740" s="72">
        <f t="shared" ref="Y740:Y747" si="284">Y675*G729/1000</f>
        <v>0.32759378415370999</v>
      </c>
      <c r="Z740" s="72">
        <f t="shared" ref="Z740:Z747" si="285">Z675*G729/1000</f>
        <v>0.34200791065647324</v>
      </c>
      <c r="AA740" s="72">
        <f t="shared" ref="AA740:AA747" si="286">AA675*G729/1000</f>
        <v>0.35705625872535807</v>
      </c>
      <c r="AB740" s="72">
        <f t="shared" ref="AB740:AB747" si="287">AB675*G729/1000</f>
        <v>0.37276673410927386</v>
      </c>
      <c r="AC740" s="72">
        <f t="shared" ref="AC740:AC747" si="288">AC675*G729/1000</f>
        <v>0.38916847041008185</v>
      </c>
      <c r="AD740" s="72">
        <f t="shared" ref="AD740:AD747" si="289">AD675*G729/1000</f>
        <v>0.40629188310812547</v>
      </c>
      <c r="AE740" s="72">
        <f t="shared" ref="AE740:AE747" si="290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271"/>
        <v>6.6058924560708152E-2</v>
      </c>
      <c r="M741" s="72">
        <f t="shared" si="272"/>
        <v>6.8965517241379309E-2</v>
      </c>
      <c r="N741" s="72">
        <f t="shared" si="273"/>
        <v>7.1999999999999995E-2</v>
      </c>
      <c r="O741" s="72">
        <f t="shared" si="274"/>
        <v>7.5167999999999999E-2</v>
      </c>
      <c r="P741" s="72">
        <f t="shared" si="275"/>
        <v>7.8475392000000005E-2</v>
      </c>
      <c r="Q741" s="72">
        <f t="shared" si="276"/>
        <v>8.1928309247999986E-2</v>
      </c>
      <c r="R741" s="72">
        <f t="shared" si="277"/>
        <v>8.5533154854912002E-2</v>
      </c>
      <c r="S741" s="72">
        <f t="shared" si="278"/>
        <v>8.9296613668528119E-2</v>
      </c>
      <c r="T741" s="72">
        <f t="shared" si="279"/>
        <v>9.3225664669943364E-2</v>
      </c>
      <c r="U741" s="72">
        <f t="shared" si="280"/>
        <v>9.7327593915420896E-2</v>
      </c>
      <c r="V741" s="72">
        <f t="shared" si="281"/>
        <v>0.10161000804769942</v>
      </c>
      <c r="W741" s="72">
        <f t="shared" si="282"/>
        <v>0.10608084840179818</v>
      </c>
      <c r="X741" s="72">
        <f t="shared" si="283"/>
        <v>0.1107484057314773</v>
      </c>
      <c r="Y741" s="72">
        <f t="shared" si="284"/>
        <v>0.1156213355836623</v>
      </c>
      <c r="Z741" s="72">
        <f t="shared" si="285"/>
        <v>0.12070867434934346</v>
      </c>
      <c r="AA741" s="72">
        <f t="shared" si="286"/>
        <v>0.12601985602071455</v>
      </c>
      <c r="AB741" s="72">
        <f t="shared" si="287"/>
        <v>0.13156472968562599</v>
      </c>
      <c r="AC741" s="72">
        <f t="shared" si="288"/>
        <v>0.13735357779179352</v>
      </c>
      <c r="AD741" s="72">
        <f t="shared" si="289"/>
        <v>0.14339713521463243</v>
      </c>
      <c r="AE741" s="72">
        <f t="shared" si="290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271"/>
        <v>0</v>
      </c>
      <c r="M742" s="72">
        <f t="shared" si="272"/>
        <v>0</v>
      </c>
      <c r="N742" s="72">
        <f t="shared" si="273"/>
        <v>0</v>
      </c>
      <c r="O742" s="72">
        <f t="shared" si="274"/>
        <v>0</v>
      </c>
      <c r="P742" s="72">
        <f t="shared" si="275"/>
        <v>0</v>
      </c>
      <c r="Q742" s="72">
        <f t="shared" si="276"/>
        <v>0</v>
      </c>
      <c r="R742" s="72">
        <f t="shared" si="277"/>
        <v>0</v>
      </c>
      <c r="S742" s="72">
        <f t="shared" si="278"/>
        <v>0</v>
      </c>
      <c r="T742" s="72">
        <f t="shared" si="279"/>
        <v>0</v>
      </c>
      <c r="U742" s="72">
        <f t="shared" si="280"/>
        <v>0</v>
      </c>
      <c r="V742" s="72">
        <f t="shared" si="281"/>
        <v>0</v>
      </c>
      <c r="W742" s="72">
        <f t="shared" si="282"/>
        <v>0</v>
      </c>
      <c r="X742" s="72">
        <f t="shared" si="283"/>
        <v>0</v>
      </c>
      <c r="Y742" s="72">
        <f t="shared" si="284"/>
        <v>0</v>
      </c>
      <c r="Z742" s="72">
        <f t="shared" si="285"/>
        <v>0</v>
      </c>
      <c r="AA742" s="72">
        <f t="shared" si="286"/>
        <v>0</v>
      </c>
      <c r="AB742" s="72">
        <f t="shared" si="287"/>
        <v>0</v>
      </c>
      <c r="AC742" s="72">
        <f t="shared" si="288"/>
        <v>0</v>
      </c>
      <c r="AD742" s="72">
        <f t="shared" si="289"/>
        <v>0</v>
      </c>
      <c r="AE742" s="72">
        <f t="shared" si="290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271"/>
        <v>24.646491529759945</v>
      </c>
      <c r="M743" s="72">
        <f t="shared" si="272"/>
        <v>25.459825750242022</v>
      </c>
      <c r="N743" s="72">
        <f t="shared" si="273"/>
        <v>26.3</v>
      </c>
      <c r="O743" s="72">
        <f t="shared" si="274"/>
        <v>27.167899999999999</v>
      </c>
      <c r="P743" s="72">
        <f t="shared" si="275"/>
        <v>28.064440699999995</v>
      </c>
      <c r="Q743" s="72">
        <f t="shared" si="276"/>
        <v>28.990567243099992</v>
      </c>
      <c r="R743" s="72">
        <f t="shared" si="277"/>
        <v>29.947255962122291</v>
      </c>
      <c r="S743" s="72">
        <f t="shared" si="278"/>
        <v>30.935515408872323</v>
      </c>
      <c r="T743" s="72">
        <f t="shared" si="279"/>
        <v>31.956387417365111</v>
      </c>
      <c r="U743" s="72">
        <f t="shared" si="280"/>
        <v>33.010948202138152</v>
      </c>
      <c r="V743" s="72">
        <f t="shared" si="281"/>
        <v>34.100309492808705</v>
      </c>
      <c r="W743" s="72">
        <f t="shared" si="282"/>
        <v>35.225619706071399</v>
      </c>
      <c r="X743" s="72">
        <f t="shared" si="283"/>
        <v>36.388065156371745</v>
      </c>
      <c r="Y743" s="72">
        <f t="shared" si="284"/>
        <v>37.588871306532013</v>
      </c>
      <c r="Z743" s="72">
        <f t="shared" si="285"/>
        <v>38.829304059647569</v>
      </c>
      <c r="AA743" s="72">
        <f t="shared" si="286"/>
        <v>40.110671093615935</v>
      </c>
      <c r="AB743" s="72">
        <f t="shared" si="287"/>
        <v>41.434323239705257</v>
      </c>
      <c r="AC743" s="72">
        <f t="shared" si="288"/>
        <v>42.801655906615522</v>
      </c>
      <c r="AD743" s="72">
        <f t="shared" si="289"/>
        <v>44.214110551533835</v>
      </c>
      <c r="AE743" s="72">
        <f t="shared" si="290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271"/>
        <v>0</v>
      </c>
      <c r="M744" s="72">
        <f t="shared" si="272"/>
        <v>0</v>
      </c>
      <c r="N744" s="72">
        <f t="shared" si="273"/>
        <v>0</v>
      </c>
      <c r="O744" s="72">
        <f t="shared" si="274"/>
        <v>0</v>
      </c>
      <c r="P744" s="72">
        <f t="shared" si="275"/>
        <v>0</v>
      </c>
      <c r="Q744" s="72">
        <f t="shared" si="276"/>
        <v>0</v>
      </c>
      <c r="R744" s="72">
        <f t="shared" si="277"/>
        <v>0</v>
      </c>
      <c r="S744" s="72">
        <f t="shared" si="278"/>
        <v>0</v>
      </c>
      <c r="T744" s="72">
        <f t="shared" si="279"/>
        <v>0</v>
      </c>
      <c r="U744" s="72">
        <f t="shared" si="280"/>
        <v>0</v>
      </c>
      <c r="V744" s="72">
        <f t="shared" si="281"/>
        <v>0</v>
      </c>
      <c r="W744" s="72">
        <f t="shared" si="282"/>
        <v>0</v>
      </c>
      <c r="X744" s="72">
        <f t="shared" si="283"/>
        <v>0</v>
      </c>
      <c r="Y744" s="72">
        <f t="shared" si="284"/>
        <v>0</v>
      </c>
      <c r="Z744" s="72">
        <f t="shared" si="285"/>
        <v>0</v>
      </c>
      <c r="AA744" s="72">
        <f t="shared" si="286"/>
        <v>0</v>
      </c>
      <c r="AB744" s="72">
        <f t="shared" si="287"/>
        <v>0</v>
      </c>
      <c r="AC744" s="72">
        <f t="shared" si="288"/>
        <v>0</v>
      </c>
      <c r="AD744" s="72">
        <f t="shared" si="289"/>
        <v>0</v>
      </c>
      <c r="AE744" s="72">
        <f t="shared" si="290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271"/>
        <v>0</v>
      </c>
      <c r="M745" s="72">
        <f t="shared" si="272"/>
        <v>0</v>
      </c>
      <c r="N745" s="72">
        <f t="shared" si="273"/>
        <v>0</v>
      </c>
      <c r="O745" s="72">
        <f t="shared" si="274"/>
        <v>0</v>
      </c>
      <c r="P745" s="72">
        <f t="shared" si="275"/>
        <v>0</v>
      </c>
      <c r="Q745" s="72">
        <f t="shared" si="276"/>
        <v>0</v>
      </c>
      <c r="R745" s="72">
        <f t="shared" si="277"/>
        <v>0</v>
      </c>
      <c r="S745" s="72">
        <f t="shared" si="278"/>
        <v>0</v>
      </c>
      <c r="T745" s="72">
        <f t="shared" si="279"/>
        <v>0</v>
      </c>
      <c r="U745" s="72">
        <f t="shared" si="280"/>
        <v>0</v>
      </c>
      <c r="V745" s="72">
        <f t="shared" si="281"/>
        <v>0</v>
      </c>
      <c r="W745" s="72">
        <f t="shared" si="282"/>
        <v>0</v>
      </c>
      <c r="X745" s="72">
        <f t="shared" si="283"/>
        <v>0</v>
      </c>
      <c r="Y745" s="72">
        <f t="shared" si="284"/>
        <v>0</v>
      </c>
      <c r="Z745" s="72">
        <f t="shared" si="285"/>
        <v>0</v>
      </c>
      <c r="AA745" s="72">
        <f t="shared" si="286"/>
        <v>0</v>
      </c>
      <c r="AB745" s="72">
        <f t="shared" si="287"/>
        <v>0</v>
      </c>
      <c r="AC745" s="72">
        <f t="shared" si="288"/>
        <v>0</v>
      </c>
      <c r="AD745" s="72">
        <f t="shared" si="289"/>
        <v>0</v>
      </c>
      <c r="AE745" s="72">
        <f t="shared" si="290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271"/>
        <v>0.55721293959505358</v>
      </c>
      <c r="M746" s="72">
        <f t="shared" si="272"/>
        <v>0.56947162426614473</v>
      </c>
      <c r="N746" s="72">
        <f t="shared" si="273"/>
        <v>0.58199999999999996</v>
      </c>
      <c r="O746" s="72">
        <f t="shared" si="274"/>
        <v>0.594804</v>
      </c>
      <c r="P746" s="72">
        <f t="shared" si="275"/>
        <v>0.60788968800000009</v>
      </c>
      <c r="Q746" s="72">
        <f t="shared" si="276"/>
        <v>0.62126326113599994</v>
      </c>
      <c r="R746" s="72">
        <f t="shared" si="277"/>
        <v>0.63493105288099194</v>
      </c>
      <c r="S746" s="72">
        <f t="shared" si="278"/>
        <v>0.64889953604437378</v>
      </c>
      <c r="T746" s="72">
        <f t="shared" si="279"/>
        <v>0.66317532583735006</v>
      </c>
      <c r="U746" s="72">
        <f t="shared" si="280"/>
        <v>0.67776518300577182</v>
      </c>
      <c r="V746" s="72">
        <f t="shared" si="281"/>
        <v>0.69267601703189885</v>
      </c>
      <c r="W746" s="72">
        <f t="shared" si="282"/>
        <v>0.70791488940660052</v>
      </c>
      <c r="X746" s="72">
        <f t="shared" si="283"/>
        <v>0.72348901697354573</v>
      </c>
      <c r="Y746" s="72">
        <f t="shared" si="284"/>
        <v>0.73940577534696372</v>
      </c>
      <c r="Z746" s="72">
        <f t="shared" si="285"/>
        <v>0.75567270240459705</v>
      </c>
      <c r="AA746" s="72">
        <f t="shared" si="286"/>
        <v>0.77229750185749824</v>
      </c>
      <c r="AB746" s="72">
        <f t="shared" si="287"/>
        <v>0.78928804689836318</v>
      </c>
      <c r="AC746" s="72">
        <f t="shared" si="288"/>
        <v>0.80665238393012717</v>
      </c>
      <c r="AD746" s="72">
        <f t="shared" si="289"/>
        <v>0.82439873637659</v>
      </c>
      <c r="AE746" s="72">
        <f t="shared" si="290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271"/>
        <v>0.63340895307832257</v>
      </c>
      <c r="M747" s="72">
        <f t="shared" si="272"/>
        <v>0.66824644549763035</v>
      </c>
      <c r="N747" s="72">
        <f t="shared" si="273"/>
        <v>0.70499999999999996</v>
      </c>
      <c r="O747" s="72">
        <f t="shared" si="274"/>
        <v>0.74377499999999996</v>
      </c>
      <c r="P747" s="72">
        <f t="shared" si="275"/>
        <v>0.78468262499999997</v>
      </c>
      <c r="Q747" s="72">
        <f t="shared" si="276"/>
        <v>0.82784016937499993</v>
      </c>
      <c r="R747" s="72">
        <f t="shared" si="277"/>
        <v>0.87337137869062498</v>
      </c>
      <c r="S747" s="72">
        <f t="shared" si="278"/>
        <v>0.92140680451860935</v>
      </c>
      <c r="T747" s="72">
        <f t="shared" si="279"/>
        <v>0.97208417876713282</v>
      </c>
      <c r="U747" s="72">
        <f t="shared" si="280"/>
        <v>1.025548808599325</v>
      </c>
      <c r="V747" s="72">
        <f t="shared" si="281"/>
        <v>1.0819539930722879</v>
      </c>
      <c r="W747" s="72">
        <f t="shared" si="282"/>
        <v>1.1414614626912638</v>
      </c>
      <c r="X747" s="72">
        <f t="shared" si="283"/>
        <v>1.2042418431392832</v>
      </c>
      <c r="Y747" s="72">
        <f t="shared" si="284"/>
        <v>1.2704751445119435</v>
      </c>
      <c r="Z747" s="72">
        <f t="shared" si="285"/>
        <v>1.3403512774601003</v>
      </c>
      <c r="AA747" s="72">
        <f t="shared" si="286"/>
        <v>1.4140705977204062</v>
      </c>
      <c r="AB747" s="72">
        <f t="shared" si="287"/>
        <v>1.4918444805950282</v>
      </c>
      <c r="AC747" s="72">
        <f t="shared" si="288"/>
        <v>1.5738959270277546</v>
      </c>
      <c r="AD747" s="72">
        <f t="shared" si="289"/>
        <v>1.660460203014281</v>
      </c>
      <c r="AE747" s="72">
        <f t="shared" si="290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291">SUM(L740:L747)</f>
        <v>26.090339299916039</v>
      </c>
      <c r="M748" s="72">
        <f t="shared" si="291"/>
        <v>26.961911636097753</v>
      </c>
      <c r="N748" s="72">
        <f t="shared" si="291"/>
        <v>27.863</v>
      </c>
      <c r="O748" s="72">
        <f t="shared" si="291"/>
        <v>28.794622999999998</v>
      </c>
      <c r="P748" s="72">
        <f t="shared" si="291"/>
        <v>29.757835348999993</v>
      </c>
      <c r="Q748" s="72">
        <f t="shared" si="291"/>
        <v>30.753729192394996</v>
      </c>
      <c r="R748" s="72">
        <f t="shared" si="291"/>
        <v>31.783435487304406</v>
      </c>
      <c r="S748" s="72">
        <f t="shared" si="291"/>
        <v>32.848125435164668</v>
      </c>
      <c r="T748" s="72">
        <f t="shared" si="291"/>
        <v>33.949011969871044</v>
      </c>
      <c r="U748" s="72">
        <f t="shared" si="291"/>
        <v>35.087351303752364</v>
      </c>
      <c r="V748" s="72">
        <f t="shared" si="291"/>
        <v>36.264444533762408</v>
      </c>
      <c r="W748" s="72">
        <f t="shared" si="291"/>
        <v>37.481639310376153</v>
      </c>
      <c r="X748" s="72">
        <f t="shared" si="291"/>
        <v>38.740331571788573</v>
      </c>
      <c r="Y748" s="72">
        <f t="shared" si="291"/>
        <v>40.041967346128295</v>
      </c>
      <c r="Z748" s="72">
        <f t="shared" si="291"/>
        <v>41.388044624518081</v>
      </c>
      <c r="AA748" s="72">
        <f t="shared" si="291"/>
        <v>42.780115307939909</v>
      </c>
      <c r="AB748" s="72">
        <f t="shared" si="291"/>
        <v>44.219787230993546</v>
      </c>
      <c r="AC748" s="72">
        <f t="shared" si="291"/>
        <v>45.708726265775283</v>
      </c>
      <c r="AD748" s="72">
        <f t="shared" si="291"/>
        <v>47.248658509247463</v>
      </c>
      <c r="AE748" s="72">
        <f t="shared" si="291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292">L697</f>
        <v>2022</v>
      </c>
      <c r="M750" s="74">
        <f t="shared" si="292"/>
        <v>2023</v>
      </c>
      <c r="N750" s="74">
        <f t="shared" si="292"/>
        <v>2024</v>
      </c>
      <c r="O750" s="74">
        <f t="shared" si="292"/>
        <v>2025</v>
      </c>
      <c r="P750" s="74">
        <f t="shared" si="292"/>
        <v>2026</v>
      </c>
      <c r="Q750" s="74">
        <f t="shared" si="292"/>
        <v>2027</v>
      </c>
      <c r="R750" s="74">
        <f t="shared" si="292"/>
        <v>2028</v>
      </c>
      <c r="S750" s="74">
        <f t="shared" si="292"/>
        <v>2029</v>
      </c>
      <c r="T750" s="74">
        <f t="shared" si="292"/>
        <v>2030</v>
      </c>
      <c r="U750" s="74">
        <f t="shared" si="292"/>
        <v>2031</v>
      </c>
      <c r="V750" s="74">
        <f t="shared" si="292"/>
        <v>2032</v>
      </c>
      <c r="W750" s="74">
        <f t="shared" si="292"/>
        <v>2033</v>
      </c>
      <c r="X750" s="74">
        <f t="shared" si="292"/>
        <v>2034</v>
      </c>
      <c r="Y750" s="74">
        <f t="shared" si="292"/>
        <v>2035</v>
      </c>
      <c r="Z750" s="74">
        <f t="shared" si="292"/>
        <v>2036</v>
      </c>
      <c r="AA750" s="74">
        <f t="shared" si="292"/>
        <v>2037</v>
      </c>
      <c r="AB750" s="74">
        <f t="shared" si="292"/>
        <v>2038</v>
      </c>
      <c r="AC750" s="74">
        <f t="shared" si="292"/>
        <v>2039</v>
      </c>
      <c r="AD750" s="74">
        <f t="shared" si="292"/>
        <v>2040</v>
      </c>
      <c r="AE750" s="74">
        <f t="shared" si="292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3">L729*(EXP(-($E751)*(L648))-1)</f>
        <v>0</v>
      </c>
      <c r="M751" s="72">
        <f t="shared" si="293"/>
        <v>0</v>
      </c>
      <c r="N751" s="72">
        <f t="shared" si="293"/>
        <v>0</v>
      </c>
      <c r="O751" s="72">
        <f t="shared" si="293"/>
        <v>0</v>
      </c>
      <c r="P751" s="72">
        <f t="shared" si="293"/>
        <v>0</v>
      </c>
      <c r="Q751" s="72">
        <f t="shared" si="293"/>
        <v>0</v>
      </c>
      <c r="R751" s="72">
        <f t="shared" si="293"/>
        <v>0</v>
      </c>
      <c r="S751" s="72">
        <f t="shared" si="293"/>
        <v>0</v>
      </c>
      <c r="T751" s="72">
        <f t="shared" si="293"/>
        <v>0</v>
      </c>
      <c r="U751" s="72">
        <f t="shared" si="293"/>
        <v>0</v>
      </c>
      <c r="V751" s="72">
        <f t="shared" si="293"/>
        <v>0</v>
      </c>
      <c r="W751" s="72">
        <f t="shared" si="293"/>
        <v>0</v>
      </c>
      <c r="X751" s="72">
        <f t="shared" si="293"/>
        <v>0</v>
      </c>
      <c r="Y751" s="72">
        <f t="shared" si="293"/>
        <v>0</v>
      </c>
      <c r="Z751" s="72">
        <f t="shared" si="293"/>
        <v>0</v>
      </c>
      <c r="AA751" s="72">
        <f t="shared" si="293"/>
        <v>0</v>
      </c>
      <c r="AB751" s="72">
        <f t="shared" si="293"/>
        <v>0</v>
      </c>
      <c r="AC751" s="72">
        <f t="shared" si="293"/>
        <v>0</v>
      </c>
      <c r="AD751" s="72">
        <f t="shared" si="293"/>
        <v>0</v>
      </c>
      <c r="AE751" s="72">
        <f t="shared" si="293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4">L730*(EXP(-($E752)*(L648))-1)</f>
        <v>0</v>
      </c>
      <c r="M752" s="72">
        <f t="shared" si="294"/>
        <v>0</v>
      </c>
      <c r="N752" s="72">
        <f t="shared" si="294"/>
        <v>0</v>
      </c>
      <c r="O752" s="72">
        <f t="shared" si="294"/>
        <v>0</v>
      </c>
      <c r="P752" s="72">
        <f t="shared" si="294"/>
        <v>0</v>
      </c>
      <c r="Q752" s="72">
        <f t="shared" si="294"/>
        <v>0</v>
      </c>
      <c r="R752" s="72">
        <f t="shared" si="294"/>
        <v>0</v>
      </c>
      <c r="S752" s="72">
        <f t="shared" si="294"/>
        <v>0</v>
      </c>
      <c r="T752" s="72">
        <f t="shared" si="294"/>
        <v>0</v>
      </c>
      <c r="U752" s="72">
        <f t="shared" si="294"/>
        <v>0</v>
      </c>
      <c r="V752" s="72">
        <f t="shared" si="294"/>
        <v>0</v>
      </c>
      <c r="W752" s="72">
        <f t="shared" si="294"/>
        <v>0</v>
      </c>
      <c r="X752" s="72">
        <f t="shared" si="294"/>
        <v>0</v>
      </c>
      <c r="Y752" s="72">
        <f t="shared" si="294"/>
        <v>0</v>
      </c>
      <c r="Z752" s="72">
        <f t="shared" si="294"/>
        <v>0</v>
      </c>
      <c r="AA752" s="72">
        <f t="shared" si="294"/>
        <v>0</v>
      </c>
      <c r="AB752" s="72">
        <f t="shared" si="294"/>
        <v>0</v>
      </c>
      <c r="AC752" s="72">
        <f t="shared" si="294"/>
        <v>0</v>
      </c>
      <c r="AD752" s="72">
        <f t="shared" si="294"/>
        <v>0</v>
      </c>
      <c r="AE752" s="72">
        <f t="shared" si="294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5">L731*(EXP(-($E753)*(L648))-1)</f>
        <v>0</v>
      </c>
      <c r="M753" s="72">
        <f t="shared" si="295"/>
        <v>0</v>
      </c>
      <c r="N753" s="72">
        <f t="shared" si="295"/>
        <v>0</v>
      </c>
      <c r="O753" s="72">
        <f t="shared" si="295"/>
        <v>0</v>
      </c>
      <c r="P753" s="72">
        <f t="shared" si="295"/>
        <v>0</v>
      </c>
      <c r="Q753" s="72">
        <f t="shared" si="295"/>
        <v>0</v>
      </c>
      <c r="R753" s="72">
        <f t="shared" si="295"/>
        <v>0</v>
      </c>
      <c r="S753" s="72">
        <f t="shared" si="295"/>
        <v>0</v>
      </c>
      <c r="T753" s="72">
        <f t="shared" si="295"/>
        <v>0</v>
      </c>
      <c r="U753" s="72">
        <f t="shared" si="295"/>
        <v>0</v>
      </c>
      <c r="V753" s="72">
        <f t="shared" si="295"/>
        <v>0</v>
      </c>
      <c r="W753" s="72">
        <f t="shared" si="295"/>
        <v>0</v>
      </c>
      <c r="X753" s="72">
        <f t="shared" si="295"/>
        <v>0</v>
      </c>
      <c r="Y753" s="72">
        <f t="shared" si="295"/>
        <v>0</v>
      </c>
      <c r="Z753" s="72">
        <f t="shared" si="295"/>
        <v>0</v>
      </c>
      <c r="AA753" s="72">
        <f t="shared" si="295"/>
        <v>0</v>
      </c>
      <c r="AB753" s="72">
        <f t="shared" si="295"/>
        <v>0</v>
      </c>
      <c r="AC753" s="72">
        <f t="shared" si="295"/>
        <v>0</v>
      </c>
      <c r="AD753" s="72">
        <f t="shared" si="295"/>
        <v>0</v>
      </c>
      <c r="AE753" s="72">
        <f t="shared" si="295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6">L732*(EXP(-($E754)*(L648))-1)</f>
        <v>0</v>
      </c>
      <c r="M754" s="72">
        <f t="shared" si="296"/>
        <v>0</v>
      </c>
      <c r="N754" s="72">
        <f t="shared" si="296"/>
        <v>0</v>
      </c>
      <c r="O754" s="72">
        <f t="shared" si="296"/>
        <v>0</v>
      </c>
      <c r="P754" s="72">
        <f t="shared" si="296"/>
        <v>0</v>
      </c>
      <c r="Q754" s="72">
        <f t="shared" si="296"/>
        <v>0</v>
      </c>
      <c r="R754" s="72">
        <f t="shared" si="296"/>
        <v>0</v>
      </c>
      <c r="S754" s="72">
        <f t="shared" si="296"/>
        <v>0</v>
      </c>
      <c r="T754" s="72">
        <f t="shared" si="296"/>
        <v>0</v>
      </c>
      <c r="U754" s="72">
        <f t="shared" si="296"/>
        <v>0</v>
      </c>
      <c r="V754" s="72">
        <f t="shared" si="296"/>
        <v>0</v>
      </c>
      <c r="W754" s="72">
        <f t="shared" si="296"/>
        <v>0</v>
      </c>
      <c r="X754" s="72">
        <f t="shared" si="296"/>
        <v>0</v>
      </c>
      <c r="Y754" s="72">
        <f t="shared" si="296"/>
        <v>0</v>
      </c>
      <c r="Z754" s="72">
        <f t="shared" si="296"/>
        <v>0</v>
      </c>
      <c r="AA754" s="72">
        <f t="shared" si="296"/>
        <v>0</v>
      </c>
      <c r="AB754" s="72">
        <f t="shared" si="296"/>
        <v>0</v>
      </c>
      <c r="AC754" s="72">
        <f t="shared" si="296"/>
        <v>0</v>
      </c>
      <c r="AD754" s="72">
        <f t="shared" si="296"/>
        <v>0</v>
      </c>
      <c r="AE754" s="72">
        <f t="shared" si="296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7">L733*(EXP(-($E755)*(L648))-1)</f>
        <v>0</v>
      </c>
      <c r="M755" s="72">
        <f t="shared" si="297"/>
        <v>0</v>
      </c>
      <c r="N755" s="72">
        <f t="shared" si="297"/>
        <v>0</v>
      </c>
      <c r="O755" s="72">
        <f t="shared" si="297"/>
        <v>0</v>
      </c>
      <c r="P755" s="72">
        <f t="shared" si="297"/>
        <v>0</v>
      </c>
      <c r="Q755" s="72">
        <f t="shared" si="297"/>
        <v>0</v>
      </c>
      <c r="R755" s="72">
        <f t="shared" si="297"/>
        <v>0</v>
      </c>
      <c r="S755" s="72">
        <f t="shared" si="297"/>
        <v>0</v>
      </c>
      <c r="T755" s="72">
        <f t="shared" si="297"/>
        <v>0</v>
      </c>
      <c r="U755" s="72">
        <f t="shared" si="297"/>
        <v>0</v>
      </c>
      <c r="V755" s="72">
        <f t="shared" si="297"/>
        <v>0</v>
      </c>
      <c r="W755" s="72">
        <f t="shared" si="297"/>
        <v>0</v>
      </c>
      <c r="X755" s="72">
        <f t="shared" si="297"/>
        <v>0</v>
      </c>
      <c r="Y755" s="72">
        <f t="shared" si="297"/>
        <v>0</v>
      </c>
      <c r="Z755" s="72">
        <f t="shared" si="297"/>
        <v>0</v>
      </c>
      <c r="AA755" s="72">
        <f t="shared" si="297"/>
        <v>0</v>
      </c>
      <c r="AB755" s="72">
        <f t="shared" si="297"/>
        <v>0</v>
      </c>
      <c r="AC755" s="72">
        <f t="shared" si="297"/>
        <v>0</v>
      </c>
      <c r="AD755" s="72">
        <f t="shared" si="297"/>
        <v>0</v>
      </c>
      <c r="AE755" s="72">
        <f t="shared" si="297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8">L734*(EXP(-($E756)*(L648))-1)</f>
        <v>0</v>
      </c>
      <c r="M756" s="72">
        <f t="shared" si="298"/>
        <v>0</v>
      </c>
      <c r="N756" s="72">
        <f t="shared" si="298"/>
        <v>0</v>
      </c>
      <c r="O756" s="72">
        <f t="shared" si="298"/>
        <v>0</v>
      </c>
      <c r="P756" s="72">
        <f t="shared" si="298"/>
        <v>0</v>
      </c>
      <c r="Q756" s="72">
        <f t="shared" si="298"/>
        <v>0</v>
      </c>
      <c r="R756" s="72">
        <f t="shared" si="298"/>
        <v>0</v>
      </c>
      <c r="S756" s="72">
        <f t="shared" si="298"/>
        <v>0</v>
      </c>
      <c r="T756" s="72">
        <f t="shared" si="298"/>
        <v>0</v>
      </c>
      <c r="U756" s="72">
        <f t="shared" si="298"/>
        <v>0</v>
      </c>
      <c r="V756" s="72">
        <f t="shared" si="298"/>
        <v>0</v>
      </c>
      <c r="W756" s="72">
        <f t="shared" si="298"/>
        <v>0</v>
      </c>
      <c r="X756" s="72">
        <f t="shared" si="298"/>
        <v>0</v>
      </c>
      <c r="Y756" s="72">
        <f t="shared" si="298"/>
        <v>0</v>
      </c>
      <c r="Z756" s="72">
        <f t="shared" si="298"/>
        <v>0</v>
      </c>
      <c r="AA756" s="72">
        <f t="shared" si="298"/>
        <v>0</v>
      </c>
      <c r="AB756" s="72">
        <f t="shared" si="298"/>
        <v>0</v>
      </c>
      <c r="AC756" s="72">
        <f t="shared" si="298"/>
        <v>0</v>
      </c>
      <c r="AD756" s="72">
        <f t="shared" si="298"/>
        <v>0</v>
      </c>
      <c r="AE756" s="72">
        <f t="shared" si="298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9">L735*(EXP(-($E757)*(L648))-1)</f>
        <v>0</v>
      </c>
      <c r="M757" s="72">
        <f t="shared" si="299"/>
        <v>0</v>
      </c>
      <c r="N757" s="72">
        <f t="shared" si="299"/>
        <v>0</v>
      </c>
      <c r="O757" s="72">
        <f t="shared" si="299"/>
        <v>0</v>
      </c>
      <c r="P757" s="72">
        <f t="shared" si="299"/>
        <v>0</v>
      </c>
      <c r="Q757" s="72">
        <f t="shared" si="299"/>
        <v>0</v>
      </c>
      <c r="R757" s="72">
        <f t="shared" si="299"/>
        <v>0</v>
      </c>
      <c r="S757" s="72">
        <f t="shared" si="299"/>
        <v>0</v>
      </c>
      <c r="T757" s="72">
        <f t="shared" si="299"/>
        <v>0</v>
      </c>
      <c r="U757" s="72">
        <f t="shared" si="299"/>
        <v>0</v>
      </c>
      <c r="V757" s="72">
        <f t="shared" si="299"/>
        <v>0</v>
      </c>
      <c r="W757" s="72">
        <f t="shared" si="299"/>
        <v>0</v>
      </c>
      <c r="X757" s="72">
        <f t="shared" si="299"/>
        <v>0</v>
      </c>
      <c r="Y757" s="72">
        <f t="shared" si="299"/>
        <v>0</v>
      </c>
      <c r="Z757" s="72">
        <f t="shared" si="299"/>
        <v>0</v>
      </c>
      <c r="AA757" s="72">
        <f t="shared" si="299"/>
        <v>0</v>
      </c>
      <c r="AB757" s="72">
        <f t="shared" si="299"/>
        <v>0</v>
      </c>
      <c r="AC757" s="72">
        <f t="shared" si="299"/>
        <v>0</v>
      </c>
      <c r="AD757" s="72">
        <f t="shared" si="299"/>
        <v>0</v>
      </c>
      <c r="AE757" s="72">
        <f t="shared" si="299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00">L736*(EXP(-($E758)*(L648))-1)</f>
        <v>0</v>
      </c>
      <c r="M758" s="72">
        <f t="shared" si="300"/>
        <v>0</v>
      </c>
      <c r="N758" s="72">
        <f t="shared" si="300"/>
        <v>0</v>
      </c>
      <c r="O758" s="72">
        <f t="shared" si="300"/>
        <v>0</v>
      </c>
      <c r="P758" s="72">
        <f t="shared" si="300"/>
        <v>0</v>
      </c>
      <c r="Q758" s="72">
        <f t="shared" si="300"/>
        <v>0</v>
      </c>
      <c r="R758" s="72">
        <f t="shared" si="300"/>
        <v>0</v>
      </c>
      <c r="S758" s="72">
        <f t="shared" si="300"/>
        <v>0</v>
      </c>
      <c r="T758" s="72">
        <f t="shared" si="300"/>
        <v>0</v>
      </c>
      <c r="U758" s="72">
        <f t="shared" si="300"/>
        <v>0</v>
      </c>
      <c r="V758" s="72">
        <f t="shared" si="300"/>
        <v>0</v>
      </c>
      <c r="W758" s="72">
        <f t="shared" si="300"/>
        <v>0</v>
      </c>
      <c r="X758" s="72">
        <f t="shared" si="300"/>
        <v>0</v>
      </c>
      <c r="Y758" s="72">
        <f t="shared" si="300"/>
        <v>0</v>
      </c>
      <c r="Z758" s="72">
        <f t="shared" si="300"/>
        <v>0</v>
      </c>
      <c r="AA758" s="72">
        <f t="shared" si="300"/>
        <v>0</v>
      </c>
      <c r="AB758" s="72">
        <f t="shared" si="300"/>
        <v>0</v>
      </c>
      <c r="AC758" s="72">
        <f t="shared" si="300"/>
        <v>0</v>
      </c>
      <c r="AD758" s="72">
        <f t="shared" si="300"/>
        <v>0</v>
      </c>
      <c r="AE758" s="72">
        <f t="shared" si="300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1">SUM(L751:L758)</f>
        <v>0</v>
      </c>
      <c r="M759" s="72">
        <f t="shared" si="301"/>
        <v>0</v>
      </c>
      <c r="N759" s="72">
        <f t="shared" si="301"/>
        <v>0</v>
      </c>
      <c r="O759" s="72">
        <f t="shared" si="301"/>
        <v>0</v>
      </c>
      <c r="P759" s="72">
        <f t="shared" si="301"/>
        <v>0</v>
      </c>
      <c r="Q759" s="72">
        <f t="shared" si="301"/>
        <v>0</v>
      </c>
      <c r="R759" s="72">
        <f t="shared" si="301"/>
        <v>0</v>
      </c>
      <c r="S759" s="72">
        <f t="shared" si="301"/>
        <v>0</v>
      </c>
      <c r="T759" s="72">
        <f t="shared" si="301"/>
        <v>0</v>
      </c>
      <c r="U759" s="72">
        <f t="shared" si="301"/>
        <v>0</v>
      </c>
      <c r="V759" s="72">
        <f t="shared" si="301"/>
        <v>0</v>
      </c>
      <c r="W759" s="72">
        <f t="shared" si="301"/>
        <v>0</v>
      </c>
      <c r="X759" s="72">
        <f t="shared" si="301"/>
        <v>0</v>
      </c>
      <c r="Y759" s="72">
        <f t="shared" si="301"/>
        <v>0</v>
      </c>
      <c r="Z759" s="72">
        <f t="shared" si="301"/>
        <v>0</v>
      </c>
      <c r="AA759" s="72">
        <f t="shared" si="301"/>
        <v>0</v>
      </c>
      <c r="AB759" s="72">
        <f t="shared" si="301"/>
        <v>0</v>
      </c>
      <c r="AC759" s="72">
        <f t="shared" si="301"/>
        <v>0</v>
      </c>
      <c r="AD759" s="72">
        <f t="shared" si="301"/>
        <v>0</v>
      </c>
      <c r="AE759" s="72">
        <f t="shared" si="301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 t="shared" ref="L762:AE762" si="303">L740*$J729*(EXP(-($E762)*($F709*L$707+$G709*L$647))-1)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 t="shared" ref="L763:AE763" si="304">L741*$J730*(EXP(-($E763)*($F710*L$707+$G710*L$647))-1)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 t="shared" ref="L764:AE764" si="305">L742*$J731*(EXP(-($E764)*($F711*L$707+$G711*L$647))-1)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 t="shared" ref="L765:AE765" si="306">L743*$J732*(EXP(-($E765)*($F712*L$707+$G712*L$647))-1)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 t="shared" ref="L766:AE766" si="307">L744*$J733*(EXP(-($E766)*($F713*L$707+$G713*L$647))-1)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 t="shared" ref="L767:AE767" si="308">L745*$J734*(EXP(-($E767)*($F714*L$707+$G714*L$647))-1)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 t="shared" ref="L768:AE768" si="309">L746*$J735*(EXP(-($E768)*($F715*L$707+$G715*L$647))-1)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 t="shared" ref="L769:AE769" si="310">L747*$J736*(EXP(-($E769)*($F716*L$707+$G716*L$647))-1)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3.5290636333347374</v>
      </c>
      <c r="M773" s="72">
        <f t="shared" si="312"/>
        <v>3.6067030332681016</v>
      </c>
      <c r="N773" s="72">
        <f t="shared" si="312"/>
        <v>3.6860504999999999</v>
      </c>
      <c r="O773" s="72">
        <f t="shared" si="312"/>
        <v>3.7671436109999994</v>
      </c>
      <c r="P773" s="72">
        <f t="shared" si="312"/>
        <v>3.8500207704419993</v>
      </c>
      <c r="Q773" s="72">
        <f t="shared" si="312"/>
        <v>3.9347212273917234</v>
      </c>
      <c r="R773" s="72">
        <f t="shared" si="312"/>
        <v>4.0212850943943419</v>
      </c>
      <c r="S773" s="72">
        <f t="shared" si="312"/>
        <v>4.1097533664710166</v>
      </c>
      <c r="T773" s="72">
        <f t="shared" si="312"/>
        <v>4.2001679405333787</v>
      </c>
      <c r="U773" s="72">
        <f t="shared" si="312"/>
        <v>4.292571635225114</v>
      </c>
      <c r="V773" s="72">
        <f t="shared" si="312"/>
        <v>4.3870082112000661</v>
      </c>
      <c r="W773" s="72">
        <f t="shared" si="312"/>
        <v>4.4835223918464688</v>
      </c>
      <c r="X773" s="72">
        <f t="shared" si="312"/>
        <v>4.5821598844670905</v>
      </c>
      <c r="Y773" s="72">
        <f t="shared" si="312"/>
        <v>4.6829674019253673</v>
      </c>
      <c r="Z773" s="72">
        <f t="shared" si="312"/>
        <v>4.7859926847677254</v>
      </c>
      <c r="AA773" s="72">
        <f t="shared" si="312"/>
        <v>4.8912845238326152</v>
      </c>
      <c r="AB773" s="72">
        <f t="shared" si="312"/>
        <v>4.9988927833569319</v>
      </c>
      <c r="AC773" s="72">
        <f t="shared" si="312"/>
        <v>5.1088684245907858</v>
      </c>
      <c r="AD773" s="72">
        <f t="shared" si="312"/>
        <v>5.2212635299317824</v>
      </c>
      <c r="AE773" s="72">
        <f t="shared" si="31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3.8464212577619237</v>
      </c>
      <c r="M774" s="72">
        <f t="shared" si="313"/>
        <v>4.0156637931034478</v>
      </c>
      <c r="N774" s="72">
        <f t="shared" si="313"/>
        <v>4.1923530000000007</v>
      </c>
      <c r="O774" s="72">
        <f t="shared" si="313"/>
        <v>4.3768165320000012</v>
      </c>
      <c r="P774" s="72">
        <f t="shared" si="313"/>
        <v>4.5693964594080008</v>
      </c>
      <c r="Q774" s="72">
        <f t="shared" si="313"/>
        <v>4.7704499036219534</v>
      </c>
      <c r="R774" s="72">
        <f t="shared" si="313"/>
        <v>4.9803496993813186</v>
      </c>
      <c r="S774" s="72">
        <f t="shared" si="313"/>
        <v>5.1994850861540982</v>
      </c>
      <c r="T774" s="72">
        <f t="shared" si="313"/>
        <v>5.4282624299448781</v>
      </c>
      <c r="U774" s="72">
        <f t="shared" si="313"/>
        <v>5.6671059768624525</v>
      </c>
      <c r="V774" s="72">
        <f t="shared" si="313"/>
        <v>5.9164586398444019</v>
      </c>
      <c r="W774" s="72">
        <f t="shared" si="313"/>
        <v>6.1767828199975545</v>
      </c>
      <c r="X774" s="72">
        <f t="shared" si="313"/>
        <v>6.4485612640774477</v>
      </c>
      <c r="Y774" s="72">
        <f t="shared" si="313"/>
        <v>6.7322979596968553</v>
      </c>
      <c r="Z774" s="72">
        <f t="shared" si="313"/>
        <v>7.0285190699235169</v>
      </c>
      <c r="AA774" s="72">
        <f t="shared" si="313"/>
        <v>7.3377739090001519</v>
      </c>
      <c r="AB774" s="72">
        <f t="shared" si="313"/>
        <v>7.6606359609961583</v>
      </c>
      <c r="AC774" s="72">
        <f t="shared" si="313"/>
        <v>7.9977039432799906</v>
      </c>
      <c r="AD774" s="72">
        <f t="shared" si="313"/>
        <v>8.3496029167843098</v>
      </c>
      <c r="AE774" s="72">
        <f t="shared" si="313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4.2047573055412055E-2</v>
      </c>
      <c r="M775" s="72">
        <f t="shared" si="314"/>
        <v>4.4360189573459712E-2</v>
      </c>
      <c r="N775" s="72">
        <f t="shared" si="314"/>
        <v>4.6799999999999994E-2</v>
      </c>
      <c r="O775" s="72">
        <f t="shared" si="314"/>
        <v>4.9374000000000001E-2</v>
      </c>
      <c r="P775" s="72">
        <f t="shared" si="314"/>
        <v>5.2089569999999995E-2</v>
      </c>
      <c r="Q775" s="72">
        <f t="shared" si="314"/>
        <v>5.4954496349999993E-2</v>
      </c>
      <c r="R775" s="72">
        <f t="shared" si="314"/>
        <v>5.7976993649249998E-2</v>
      </c>
      <c r="S775" s="72">
        <f t="shared" si="314"/>
        <v>6.1165728299958741E-2</v>
      </c>
      <c r="T775" s="72">
        <f t="shared" si="314"/>
        <v>6.4529843356456465E-2</v>
      </c>
      <c r="U775" s="72">
        <f t="shared" si="314"/>
        <v>6.8078984741061568E-2</v>
      </c>
      <c r="V775" s="72">
        <f t="shared" si="314"/>
        <v>7.1823328901819944E-2</v>
      </c>
      <c r="W775" s="72">
        <f t="shared" si="314"/>
        <v>7.5773611991420048E-2</v>
      </c>
      <c r="X775" s="72">
        <f t="shared" si="314"/>
        <v>7.9941160650948154E-2</v>
      </c>
      <c r="Y775" s="72">
        <f t="shared" si="314"/>
        <v>8.4337924486750301E-2</v>
      </c>
      <c r="Z775" s="72">
        <f t="shared" si="314"/>
        <v>8.8976510333521566E-2</v>
      </c>
      <c r="AA775" s="72">
        <f t="shared" si="314"/>
        <v>9.3870218401865241E-2</v>
      </c>
      <c r="AB775" s="72">
        <f t="shared" si="314"/>
        <v>9.9033080413967828E-2</v>
      </c>
      <c r="AC775" s="72">
        <f t="shared" si="314"/>
        <v>0.10447989983673606</v>
      </c>
      <c r="AD775" s="72">
        <f t="shared" si="314"/>
        <v>0.11022629432775652</v>
      </c>
      <c r="AE775" s="72">
        <f t="shared" si="31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13.508713893592759</v>
      </c>
      <c r="M777" s="72">
        <f t="shared" si="315"/>
        <v>13.954501452081319</v>
      </c>
      <c r="N777" s="72">
        <f t="shared" si="315"/>
        <v>14.414999999999999</v>
      </c>
      <c r="O777" s="72">
        <f t="shared" si="315"/>
        <v>14.890694999999997</v>
      </c>
      <c r="P777" s="72">
        <f t="shared" si="315"/>
        <v>15.382087934999998</v>
      </c>
      <c r="Q777" s="72">
        <f t="shared" si="315"/>
        <v>15.889696836854995</v>
      </c>
      <c r="R777" s="72">
        <f t="shared" si="315"/>
        <v>16.414056832471207</v>
      </c>
      <c r="S777" s="72">
        <f t="shared" si="315"/>
        <v>16.955720707942756</v>
      </c>
      <c r="T777" s="72">
        <f t="shared" si="315"/>
        <v>17.515259491304867</v>
      </c>
      <c r="U777" s="72">
        <f t="shared" si="315"/>
        <v>18.093263054517926</v>
      </c>
      <c r="V777" s="72">
        <f t="shared" si="315"/>
        <v>18.690340735317015</v>
      </c>
      <c r="W777" s="72">
        <f t="shared" si="315"/>
        <v>19.307121979582476</v>
      </c>
      <c r="X777" s="72">
        <f t="shared" si="315"/>
        <v>19.944257004908696</v>
      </c>
      <c r="Y777" s="72">
        <f t="shared" si="315"/>
        <v>20.602417486070681</v>
      </c>
      <c r="Z777" s="72">
        <f t="shared" si="315"/>
        <v>21.282297263111012</v>
      </c>
      <c r="AA777" s="72">
        <f t="shared" si="315"/>
        <v>21.984613072793675</v>
      </c>
      <c r="AB777" s="72">
        <f t="shared" si="315"/>
        <v>22.710105304195867</v>
      </c>
      <c r="AC777" s="72">
        <f t="shared" si="315"/>
        <v>23.459538779234329</v>
      </c>
      <c r="AD777" s="72">
        <f t="shared" si="315"/>
        <v>24.23370355894906</v>
      </c>
      <c r="AE777" s="72">
        <f t="shared" si="315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20.926246357744834</v>
      </c>
      <c r="M778" s="72">
        <f t="shared" si="316"/>
        <v>21.621228468026327</v>
      </c>
      <c r="N778" s="72">
        <f t="shared" si="316"/>
        <v>22.340203500000001</v>
      </c>
      <c r="O778" s="72">
        <f t="shared" si="316"/>
        <v>23.084029142999999</v>
      </c>
      <c r="P778" s="72">
        <f t="shared" si="316"/>
        <v>23.853594734849999</v>
      </c>
      <c r="Q778" s="72">
        <f t="shared" si="316"/>
        <v>24.649822464218673</v>
      </c>
      <c r="R778" s="72">
        <f t="shared" si="316"/>
        <v>25.473668619896117</v>
      </c>
      <c r="S778" s="72">
        <f t="shared" si="316"/>
        <v>26.326124888867831</v>
      </c>
      <c r="T778" s="72">
        <f t="shared" si="316"/>
        <v>27.20821970513958</v>
      </c>
      <c r="U778" s="72">
        <f t="shared" si="316"/>
        <v>28.121019651346558</v>
      </c>
      <c r="V778" s="72">
        <f t="shared" si="316"/>
        <v>29.065630915263306</v>
      </c>
      <c r="W778" s="72">
        <f t="shared" si="316"/>
        <v>30.043200803417918</v>
      </c>
      <c r="X778" s="72">
        <f t="shared" si="316"/>
        <v>31.054919314104183</v>
      </c>
      <c r="Y778" s="72">
        <f t="shared" si="316"/>
        <v>32.102020772179657</v>
      </c>
      <c r="Z778" s="72">
        <f t="shared" si="316"/>
        <v>33.185785528135774</v>
      </c>
      <c r="AA778" s="72">
        <f t="shared" si="316"/>
        <v>34.307541724028304</v>
      </c>
      <c r="AB778" s="72">
        <f t="shared" si="316"/>
        <v>35.46866712896292</v>
      </c>
      <c r="AC778" s="72">
        <f t="shared" si="316"/>
        <v>36.670591046941837</v>
      </c>
      <c r="AD778" s="72">
        <f t="shared" si="316"/>
        <v>37.914796299992908</v>
      </c>
      <c r="AE778" s="72">
        <f t="shared" si="316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1872</v>
      </c>
      <c r="E779" s="72" t="s">
        <v>1873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47.016585657660869</v>
      </c>
      <c r="M779" s="72">
        <f t="shared" si="317"/>
        <v>48.583140104124077</v>
      </c>
      <c r="N779" s="72">
        <f t="shared" si="317"/>
        <v>50.203203500000001</v>
      </c>
      <c r="O779" s="72">
        <f t="shared" si="317"/>
        <v>51.878652142999996</v>
      </c>
      <c r="P779" s="72">
        <f t="shared" si="317"/>
        <v>53.611430083849996</v>
      </c>
      <c r="Q779" s="72">
        <f t="shared" si="317"/>
        <v>55.403551656613665</v>
      </c>
      <c r="R779" s="72">
        <f t="shared" si="317"/>
        <v>57.257104107200519</v>
      </c>
      <c r="S779" s="72">
        <f t="shared" si="317"/>
        <v>59.174250324032492</v>
      </c>
      <c r="T779" s="72">
        <f t="shared" si="317"/>
        <v>61.157231675010621</v>
      </c>
      <c r="U779" s="72">
        <f t="shared" si="317"/>
        <v>63.208370955098921</v>
      </c>
      <c r="V779" s="72">
        <f t="shared" si="317"/>
        <v>65.330075449025713</v>
      </c>
      <c r="W779" s="72">
        <f t="shared" si="317"/>
        <v>67.52484011379407</v>
      </c>
      <c r="X779" s="72">
        <f t="shared" si="317"/>
        <v>69.795250885892756</v>
      </c>
      <c r="Y779" s="72">
        <f t="shared" si="317"/>
        <v>72.143988118307959</v>
      </c>
      <c r="Z779" s="72">
        <f t="shared" si="317"/>
        <v>74.573830152653855</v>
      </c>
      <c r="AA779" s="72">
        <f t="shared" si="317"/>
        <v>77.087657031968206</v>
      </c>
      <c r="AB779" s="72">
        <f t="shared" si="317"/>
        <v>79.688454359956467</v>
      </c>
      <c r="AC779" s="72">
        <f t="shared" si="317"/>
        <v>82.37931731271712</v>
      </c>
      <c r="AD779" s="72">
        <f t="shared" si="317"/>
        <v>85.163454809240363</v>
      </c>
      <c r="AE779" s="72">
        <f t="shared" si="317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1874</v>
      </c>
      <c r="E780" s="72" t="s">
        <v>1873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1904</v>
      </c>
      <c r="E781" s="72" t="s">
        <v>1875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308.12278080273342</v>
      </c>
      <c r="R781" s="72">
        <f t="shared" si="319"/>
        <v>636.8417154974029</v>
      </c>
      <c r="S781" s="72">
        <f t="shared" si="319"/>
        <v>987.22968333254369</v>
      </c>
      <c r="T781" s="72">
        <f t="shared" si="319"/>
        <v>1360.4109852569791</v>
      </c>
      <c r="U781" s="72">
        <f t="shared" si="319"/>
        <v>1757.56372820916</v>
      </c>
      <c r="V781" s="72">
        <f t="shared" si="319"/>
        <v>2179.922318644748</v>
      </c>
      <c r="W781" s="72">
        <f t="shared" si="319"/>
        <v>2628.780070299068</v>
      </c>
      <c r="X781" s="72">
        <f t="shared" si="319"/>
        <v>3105.4919314104181</v>
      </c>
      <c r="Y781" s="72">
        <f t="shared" si="319"/>
        <v>3611.4773368702113</v>
      </c>
      <c r="Z781" s="72">
        <f t="shared" si="319"/>
        <v>4148.2231910169721</v>
      </c>
      <c r="AA781" s="72">
        <f t="shared" si="319"/>
        <v>4717.2869870538907</v>
      </c>
      <c r="AB781" s="72">
        <f t="shared" si="319"/>
        <v>5320.3000693444392</v>
      </c>
      <c r="AC781" s="72">
        <f t="shared" si="319"/>
        <v>5958.9710451280498</v>
      </c>
      <c r="AD781" s="72">
        <f t="shared" si="319"/>
        <v>6635.0893524987587</v>
      </c>
      <c r="AE781" s="72">
        <f t="shared" si="319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1923</v>
      </c>
      <c r="E782" s="72" t="s">
        <v>1875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0.55721293959505358</v>
      </c>
      <c r="M784" s="72">
        <f t="shared" si="321"/>
        <v>0.56947162426614473</v>
      </c>
      <c r="N784" s="72">
        <f t="shared" si="321"/>
        <v>0.58199999999999996</v>
      </c>
      <c r="O784" s="72">
        <f t="shared" si="321"/>
        <v>0.594804</v>
      </c>
      <c r="P784" s="72">
        <f t="shared" si="321"/>
        <v>0.60788968800000009</v>
      </c>
      <c r="Q784" s="72">
        <f t="shared" si="321"/>
        <v>0.62126326113599994</v>
      </c>
      <c r="R784" s="72">
        <f t="shared" si="321"/>
        <v>0.63493105288099194</v>
      </c>
      <c r="S784" s="72">
        <f t="shared" si="321"/>
        <v>0.64889953604437378</v>
      </c>
      <c r="T784" s="72">
        <f t="shared" si="321"/>
        <v>0.66317532583735006</v>
      </c>
      <c r="U784" s="72">
        <f t="shared" si="321"/>
        <v>0.67776518300577182</v>
      </c>
      <c r="V784" s="72">
        <f t="shared" si="321"/>
        <v>0.69267601703189885</v>
      </c>
      <c r="W784" s="72">
        <f t="shared" si="321"/>
        <v>0.70791488940660052</v>
      </c>
      <c r="X784" s="72">
        <f t="shared" si="321"/>
        <v>0.72348901697354573</v>
      </c>
      <c r="Y784" s="72">
        <f t="shared" si="321"/>
        <v>0.73940577534696372</v>
      </c>
      <c r="Z784" s="72">
        <f t="shared" si="321"/>
        <v>0.75567270240459705</v>
      </c>
      <c r="AA784" s="72">
        <f t="shared" si="321"/>
        <v>0.77229750185749824</v>
      </c>
      <c r="AB784" s="72">
        <f t="shared" si="321"/>
        <v>0.78928804689836318</v>
      </c>
      <c r="AC784" s="72">
        <f t="shared" si="321"/>
        <v>0.80665238393012717</v>
      </c>
      <c r="AD784" s="72">
        <f t="shared" si="321"/>
        <v>0.82439873637659</v>
      </c>
      <c r="AE784" s="72">
        <f t="shared" si="321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0.25322587748271458</v>
      </c>
      <c r="M785" s="72">
        <f t="shared" si="322"/>
        <v>0.26436781609195403</v>
      </c>
      <c r="N785" s="72">
        <f t="shared" si="322"/>
        <v>0.27599999999999997</v>
      </c>
      <c r="O785" s="72">
        <f t="shared" si="322"/>
        <v>0.28814400000000001</v>
      </c>
      <c r="P785" s="72">
        <f t="shared" si="322"/>
        <v>0.30082233600000008</v>
      </c>
      <c r="Q785" s="72">
        <f t="shared" si="322"/>
        <v>0.31405851878400004</v>
      </c>
      <c r="R785" s="72">
        <f t="shared" si="322"/>
        <v>0.32787709361049611</v>
      </c>
      <c r="S785" s="72">
        <f t="shared" si="322"/>
        <v>0.34230368572935788</v>
      </c>
      <c r="T785" s="72">
        <f t="shared" si="322"/>
        <v>0.35736504790144968</v>
      </c>
      <c r="U785" s="72">
        <f t="shared" si="322"/>
        <v>0.37308911000911349</v>
      </c>
      <c r="V785" s="72">
        <f t="shared" si="322"/>
        <v>0.38950503084951449</v>
      </c>
      <c r="W785" s="72">
        <f t="shared" si="322"/>
        <v>0.40664325220689312</v>
      </c>
      <c r="X785" s="72">
        <f t="shared" si="322"/>
        <v>0.42453555530399645</v>
      </c>
      <c r="Y785" s="72">
        <f t="shared" si="322"/>
        <v>0.44321511973737227</v>
      </c>
      <c r="Z785" s="72">
        <f t="shared" si="322"/>
        <v>0.46271658500581669</v>
      </c>
      <c r="AA785" s="72">
        <f t="shared" si="322"/>
        <v>0.48307611474607259</v>
      </c>
      <c r="AB785" s="72">
        <f t="shared" si="322"/>
        <v>0.5043314637948999</v>
      </c>
      <c r="AC785" s="72">
        <f t="shared" si="322"/>
        <v>0.52652204820187531</v>
      </c>
      <c r="AD785" s="72">
        <f t="shared" si="322"/>
        <v>0.54968901832275785</v>
      </c>
      <c r="AE785" s="72">
        <f t="shared" si="322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0.63340895307832257</v>
      </c>
      <c r="M786" s="72">
        <f t="shared" si="323"/>
        <v>0.66824644549763035</v>
      </c>
      <c r="N786" s="72">
        <f t="shared" si="323"/>
        <v>0.70499999999999996</v>
      </c>
      <c r="O786" s="72">
        <f t="shared" si="323"/>
        <v>0.74377499999999996</v>
      </c>
      <c r="P786" s="72">
        <f t="shared" si="323"/>
        <v>0.78468262499999997</v>
      </c>
      <c r="Q786" s="72">
        <f t="shared" si="323"/>
        <v>0.82784016937499993</v>
      </c>
      <c r="R786" s="72">
        <f t="shared" si="323"/>
        <v>0.87337137869062498</v>
      </c>
      <c r="S786" s="72">
        <f t="shared" si="323"/>
        <v>0.92140680451860935</v>
      </c>
      <c r="T786" s="72">
        <f t="shared" si="323"/>
        <v>0.97208417876713282</v>
      </c>
      <c r="U786" s="72">
        <f t="shared" si="323"/>
        <v>1.025548808599325</v>
      </c>
      <c r="V786" s="72">
        <f t="shared" si="323"/>
        <v>1.0819539930722879</v>
      </c>
      <c r="W786" s="72">
        <f t="shared" si="323"/>
        <v>1.1414614626912638</v>
      </c>
      <c r="X786" s="72">
        <f t="shared" si="323"/>
        <v>1.2042418431392832</v>
      </c>
      <c r="Y786" s="72">
        <f t="shared" si="323"/>
        <v>1.2704751445119435</v>
      </c>
      <c r="Z786" s="72">
        <f t="shared" si="323"/>
        <v>1.3403512774601003</v>
      </c>
      <c r="AA786" s="72">
        <f t="shared" si="323"/>
        <v>1.4140705977204062</v>
      </c>
      <c r="AB786" s="72">
        <f t="shared" si="323"/>
        <v>1.4918444805950282</v>
      </c>
      <c r="AC786" s="72">
        <f t="shared" si="323"/>
        <v>1.5738959270277546</v>
      </c>
      <c r="AD786" s="72">
        <f t="shared" si="323"/>
        <v>1.660460203014281</v>
      </c>
      <c r="AE786" s="72">
        <f t="shared" si="32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24.646491529759945</v>
      </c>
      <c r="M788" s="72">
        <f t="shared" si="324"/>
        <v>25.459825750242022</v>
      </c>
      <c r="N788" s="72">
        <f t="shared" si="324"/>
        <v>26.3</v>
      </c>
      <c r="O788" s="72">
        <f t="shared" si="324"/>
        <v>27.167899999999999</v>
      </c>
      <c r="P788" s="72">
        <f t="shared" si="324"/>
        <v>28.064440699999995</v>
      </c>
      <c r="Q788" s="72">
        <f t="shared" si="324"/>
        <v>28.990567243099992</v>
      </c>
      <c r="R788" s="72">
        <f t="shared" si="324"/>
        <v>29.947255962122291</v>
      </c>
      <c r="S788" s="72">
        <f t="shared" si="324"/>
        <v>30.935515408872323</v>
      </c>
      <c r="T788" s="72">
        <f t="shared" si="324"/>
        <v>31.956387417365111</v>
      </c>
      <c r="U788" s="72">
        <f t="shared" si="324"/>
        <v>33.010948202138152</v>
      </c>
      <c r="V788" s="72">
        <f t="shared" si="324"/>
        <v>34.100309492808705</v>
      </c>
      <c r="W788" s="72">
        <f t="shared" si="324"/>
        <v>35.225619706071399</v>
      </c>
      <c r="X788" s="72">
        <f t="shared" si="324"/>
        <v>36.388065156371745</v>
      </c>
      <c r="Y788" s="72">
        <f t="shared" si="324"/>
        <v>37.588871306532013</v>
      </c>
      <c r="Z788" s="72">
        <f t="shared" si="324"/>
        <v>38.829304059647569</v>
      </c>
      <c r="AA788" s="72">
        <f t="shared" si="324"/>
        <v>40.110671093615935</v>
      </c>
      <c r="AB788" s="72">
        <f t="shared" si="324"/>
        <v>41.434323239705257</v>
      </c>
      <c r="AC788" s="72">
        <f t="shared" si="324"/>
        <v>42.801655906615522</v>
      </c>
      <c r="AD788" s="72">
        <f t="shared" si="324"/>
        <v>44.214110551533835</v>
      </c>
      <c r="AE788" s="72">
        <f t="shared" si="324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26.090339299916035</v>
      </c>
      <c r="M789" s="72">
        <f t="shared" si="325"/>
        <v>26.961911636097749</v>
      </c>
      <c r="N789" s="72">
        <f t="shared" si="325"/>
        <v>27.863</v>
      </c>
      <c r="O789" s="72">
        <f t="shared" si="325"/>
        <v>28.794623000000001</v>
      </c>
      <c r="P789" s="72">
        <f t="shared" si="325"/>
        <v>29.757835348999997</v>
      </c>
      <c r="Q789" s="72">
        <f t="shared" si="325"/>
        <v>30.753729192394992</v>
      </c>
      <c r="R789" s="72">
        <f t="shared" si="325"/>
        <v>31.783435487304406</v>
      </c>
      <c r="S789" s="72">
        <f t="shared" si="325"/>
        <v>32.848125435164661</v>
      </c>
      <c r="T789" s="72">
        <f t="shared" si="325"/>
        <v>33.949011969871044</v>
      </c>
      <c r="U789" s="72">
        <f t="shared" si="325"/>
        <v>35.087351303752364</v>
      </c>
      <c r="V789" s="72">
        <f t="shared" si="325"/>
        <v>36.264444533762408</v>
      </c>
      <c r="W789" s="72">
        <f t="shared" si="325"/>
        <v>37.481639310376153</v>
      </c>
      <c r="X789" s="72">
        <f t="shared" si="325"/>
        <v>38.740331571788573</v>
      </c>
      <c r="Y789" s="72">
        <f t="shared" si="325"/>
        <v>40.041967346128295</v>
      </c>
      <c r="Z789" s="72">
        <f t="shared" si="325"/>
        <v>41.388044624518081</v>
      </c>
      <c r="AA789" s="72">
        <f t="shared" si="325"/>
        <v>42.780115307939909</v>
      </c>
      <c r="AB789" s="72">
        <f t="shared" si="325"/>
        <v>44.219787230993546</v>
      </c>
      <c r="AC789" s="72">
        <f t="shared" si="325"/>
        <v>45.708726265775283</v>
      </c>
      <c r="AD789" s="72">
        <f t="shared" si="325"/>
        <v>47.248658509247463</v>
      </c>
      <c r="AE789" s="72">
        <f t="shared" si="325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1876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50.055252651914415</v>
      </c>
      <c r="R791" s="72">
        <f t="shared" si="327"/>
        <v>104.51536753719728</v>
      </c>
      <c r="S791" s="72">
        <f t="shared" si="327"/>
        <v>163.67106556325101</v>
      </c>
      <c r="T791" s="72">
        <f t="shared" si="327"/>
        <v>227.83012326404534</v>
      </c>
      <c r="U791" s="72">
        <f t="shared" si="327"/>
        <v>297.31831085957924</v>
      </c>
      <c r="V791" s="72">
        <f t="shared" si="327"/>
        <v>372.48037984488087</v>
      </c>
      <c r="W791" s="72">
        <f t="shared" si="327"/>
        <v>453.68110265106486</v>
      </c>
      <c r="X791" s="72">
        <f t="shared" si="327"/>
        <v>541.3063670488134</v>
      </c>
      <c r="Y791" s="72">
        <f t="shared" si="327"/>
        <v>635.76432809883147</v>
      </c>
      <c r="Z791" s="72">
        <f t="shared" si="327"/>
        <v>737.48662059464448</v>
      </c>
      <c r="AA791" s="72">
        <f t="shared" si="327"/>
        <v>846.92963509088975</v>
      </c>
      <c r="AB791" s="72">
        <f t="shared" si="327"/>
        <v>964.57586076533335</v>
      </c>
      <c r="AC791" s="72">
        <f t="shared" si="327"/>
        <v>1090.9352985255921</v>
      </c>
      <c r="AD791" s="72">
        <f t="shared" si="327"/>
        <v>1226.5469479423118</v>
      </c>
      <c r="AE791" s="72">
        <f t="shared" si="327"/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9.5753711433600017</v>
      </c>
      <c r="R792" s="72">
        <f t="shared" si="328"/>
        <v>19.993374947335681</v>
      </c>
      <c r="S792" s="72">
        <f t="shared" si="328"/>
        <v>31.309625167527681</v>
      </c>
      <c r="T792" s="72">
        <f t="shared" si="328"/>
        <v>43.582998233198531</v>
      </c>
      <c r="U792" s="72">
        <f t="shared" si="328"/>
        <v>56.87581269432409</v>
      </c>
      <c r="V792" s="72">
        <f t="shared" si="328"/>
        <v>71.254018143449215</v>
      </c>
      <c r="W792" s="72">
        <f t="shared" si="328"/>
        <v>86.787394098721137</v>
      </c>
      <c r="X792" s="72">
        <f t="shared" si="328"/>
        <v>103.54975935893131</v>
      </c>
      <c r="Y792" s="72">
        <f t="shared" si="328"/>
        <v>121.61919236706478</v>
      </c>
      <c r="Z792" s="72">
        <f t="shared" si="328"/>
        <v>141.07826314579518</v>
      </c>
      <c r="AA792" s="72">
        <f t="shared" si="328"/>
        <v>162.01427739663117</v>
      </c>
      <c r="AB792" s="72">
        <f t="shared" si="328"/>
        <v>184.51953338409049</v>
      </c>
      <c r="AC792" s="72">
        <f t="shared" si="328"/>
        <v>208.69159225740634</v>
      </c>
      <c r="AD792" s="72">
        <f t="shared" si="328"/>
        <v>234.63356249494237</v>
      </c>
      <c r="AE792" s="72">
        <f t="shared" si="32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198.62121046068745</v>
      </c>
      <c r="R794" s="72">
        <f t="shared" si="330"/>
        <v>410.3514208117802</v>
      </c>
      <c r="S794" s="72">
        <f t="shared" si="330"/>
        <v>635.83952654785332</v>
      </c>
      <c r="T794" s="72">
        <f t="shared" si="330"/>
        <v>875.76297456524333</v>
      </c>
      <c r="U794" s="72">
        <f t="shared" si="330"/>
        <v>1130.8289409073705</v>
      </c>
      <c r="V794" s="72">
        <f t="shared" si="330"/>
        <v>1401.7755551487762</v>
      </c>
      <c r="W794" s="72">
        <f t="shared" si="330"/>
        <v>1689.3731732134665</v>
      </c>
      <c r="X794" s="72">
        <f t="shared" si="330"/>
        <v>1994.4257004908695</v>
      </c>
      <c r="Y794" s="72">
        <f t="shared" si="330"/>
        <v>2317.7719671829518</v>
      </c>
      <c r="Z794" s="72">
        <f t="shared" si="330"/>
        <v>2660.2871578888767</v>
      </c>
      <c r="AA794" s="72">
        <f t="shared" si="330"/>
        <v>3022.8842975091302</v>
      </c>
      <c r="AB794" s="72">
        <f t="shared" si="330"/>
        <v>3406.5157956293801</v>
      </c>
      <c r="AC794" s="72">
        <f t="shared" si="330"/>
        <v>3812.1750516255784</v>
      </c>
      <c r="AD794" s="72">
        <f t="shared" si="330"/>
        <v>4240.8981228160856</v>
      </c>
      <c r="AE794" s="72">
        <f t="shared" si="330"/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44.093819705408542</v>
      </c>
      <c r="R795" s="72">
        <f t="shared" si="331"/>
        <v>90.127767477855073</v>
      </c>
      <c r="S795" s="72">
        <f t="shared" si="331"/>
        <v>138.16586754355183</v>
      </c>
      <c r="T795" s="72">
        <f t="shared" si="331"/>
        <v>188.27402217267993</v>
      </c>
      <c r="U795" s="72">
        <f t="shared" si="331"/>
        <v>240.52006332559864</v>
      </c>
      <c r="V795" s="72">
        <f t="shared" si="331"/>
        <v>294.97380566251417</v>
      </c>
      <c r="W795" s="72">
        <f t="shared" si="331"/>
        <v>351.70710095160445</v>
      </c>
      <c r="X795" s="72">
        <f t="shared" si="331"/>
        <v>410.79389391147396</v>
      </c>
      <c r="Y795" s="72">
        <f t="shared" si="331"/>
        <v>472.31027952471726</v>
      </c>
      <c r="Z795" s="72">
        <f t="shared" si="331"/>
        <v>536.33456186029002</v>
      </c>
      <c r="AA795" s="72">
        <f t="shared" si="331"/>
        <v>602.94731444333797</v>
      </c>
      <c r="AB795" s="72">
        <f t="shared" si="331"/>
        <v>672.23144221209975</v>
      </c>
      <c r="AC795" s="72">
        <f t="shared" si="331"/>
        <v>744.27224510249653</v>
      </c>
      <c r="AD795" s="72">
        <f t="shared" si="331"/>
        <v>819.15748330203985</v>
      </c>
      <c r="AE795" s="72">
        <f t="shared" si="33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17.898896938579199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33.436206864085989</v>
      </c>
      <c r="X796" s="72">
        <f t="shared" si="332"/>
        <v>39.053489617252438</v>
      </c>
      <c r="Y796" s="72">
        <f t="shared" si="332"/>
        <v>44.901749687435988</v>
      </c>
      <c r="Z796" s="72">
        <f t="shared" si="332"/>
        <v>50.988431311732867</v>
      </c>
      <c r="AA796" s="72">
        <f t="shared" si="332"/>
        <v>57.321194480650092</v>
      </c>
      <c r="AB796" s="72">
        <f t="shared" si="332"/>
        <v>63.907920828244798</v>
      </c>
      <c r="AC796" s="72">
        <f t="shared" si="332"/>
        <v>70.756719677005037</v>
      </c>
      <c r="AD796" s="72">
        <f t="shared" si="332"/>
        <v>77.875934241429846</v>
      </c>
      <c r="AE796" s="72">
        <f t="shared" si="332"/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3.8354779154098289</v>
      </c>
      <c r="U797" s="72">
        <f t="shared" si="333"/>
        <v>4.8998230369360565</v>
      </c>
      <c r="V797" s="72">
        <f t="shared" si="333"/>
        <v>6.0091429724983811</v>
      </c>
      <c r="W797" s="72">
        <f t="shared" si="333"/>
        <v>7.1649014708755674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13.69455446319531</v>
      </c>
      <c r="AC797" s="72">
        <f t="shared" si="333"/>
        <v>15.162154216501076</v>
      </c>
      <c r="AD797" s="72">
        <f t="shared" si="333"/>
        <v>16.687700194592107</v>
      </c>
      <c r="AE797" s="72">
        <f t="shared" si="333"/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0.68693120437499988</v>
      </c>
      <c r="R798" s="72">
        <f t="shared" si="334"/>
        <v>1.44942484123125</v>
      </c>
      <c r="S798" s="72">
        <f t="shared" si="334"/>
        <v>2.2937148112484529</v>
      </c>
      <c r="T798" s="72">
        <f t="shared" si="334"/>
        <v>3.2264921678228231</v>
      </c>
      <c r="U798" s="72">
        <f t="shared" si="334"/>
        <v>4.2549365463163484</v>
      </c>
      <c r="V798" s="72">
        <f t="shared" si="334"/>
        <v>5.3867496676364954</v>
      </c>
      <c r="W798" s="72">
        <f t="shared" si="334"/>
        <v>6.6301910492492544</v>
      </c>
      <c r="X798" s="72">
        <f t="shared" si="334"/>
        <v>7.9941160650948158</v>
      </c>
      <c r="Y798" s="72">
        <f t="shared" si="334"/>
        <v>9.4880165047594094</v>
      </c>
      <c r="Z798" s="72">
        <f t="shared" si="334"/>
        <v>11.122063791690195</v>
      </c>
      <c r="AA798" s="72">
        <f t="shared" si="334"/>
        <v>12.907155030256471</v>
      </c>
      <c r="AB798" s="72">
        <f t="shared" si="334"/>
        <v>14.854962062095174</v>
      </c>
      <c r="AC798" s="72">
        <f t="shared" si="334"/>
        <v>16.97798372346961</v>
      </c>
      <c r="AD798" s="72">
        <f t="shared" si="334"/>
        <v>19.289601507357389</v>
      </c>
      <c r="AE798" s="72">
        <f t="shared" si="33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1875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1877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308.12278080273342</v>
      </c>
      <c r="R799" s="72">
        <f t="shared" si="335"/>
        <v>636.8417154974029</v>
      </c>
      <c r="S799" s="72">
        <f t="shared" si="335"/>
        <v>987.22968333254369</v>
      </c>
      <c r="T799" s="72">
        <f t="shared" si="335"/>
        <v>1360.4109852569791</v>
      </c>
      <c r="U799" s="72">
        <f t="shared" si="335"/>
        <v>1757.56372820916</v>
      </c>
      <c r="V799" s="72">
        <f t="shared" si="335"/>
        <v>2179.922318644748</v>
      </c>
      <c r="W799" s="72">
        <f t="shared" si="335"/>
        <v>2628.780070299068</v>
      </c>
      <c r="X799" s="72">
        <f t="shared" si="335"/>
        <v>3105.4919314104181</v>
      </c>
      <c r="Y799" s="72">
        <f t="shared" si="335"/>
        <v>3611.4773368702113</v>
      </c>
      <c r="Z799" s="72">
        <f t="shared" si="335"/>
        <v>4148.2231910169721</v>
      </c>
      <c r="AA799" s="72">
        <f t="shared" si="335"/>
        <v>4717.2869870538907</v>
      </c>
      <c r="AB799" s="72">
        <f t="shared" si="335"/>
        <v>5320.3000693444392</v>
      </c>
      <c r="AC799" s="72">
        <f t="shared" si="335"/>
        <v>5958.9710451280498</v>
      </c>
      <c r="AD799" s="72">
        <f t="shared" si="335"/>
        <v>6635.0893524987587</v>
      </c>
      <c r="AE799" s="72">
        <f t="shared" si="335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10B3-E478-49B0-BEAE-AF2DF4909C23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33.7304687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31.2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1968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1969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1970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1971</v>
      </c>
      <c r="F6" s="14" t="s">
        <v>1972</v>
      </c>
      <c r="G6" s="114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1973</v>
      </c>
      <c r="L6" s="115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1971</v>
      </c>
      <c r="F7" s="14" t="s">
        <v>1972</v>
      </c>
      <c r="G7" s="114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1974</v>
      </c>
      <c r="L7" s="115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1971</v>
      </c>
      <c r="F8" s="14" t="s">
        <v>1972</v>
      </c>
      <c r="G8" s="114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1975</v>
      </c>
      <c r="L8" s="115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1971</v>
      </c>
      <c r="F9" s="14" t="s">
        <v>1972</v>
      </c>
      <c r="G9" s="114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1976</v>
      </c>
      <c r="L9" s="115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1971</v>
      </c>
      <c r="F10" s="14" t="s">
        <v>1972</v>
      </c>
      <c r="G10" s="114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1977</v>
      </c>
      <c r="L10" s="115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1971</v>
      </c>
      <c r="F11" s="14" t="s">
        <v>1972</v>
      </c>
      <c r="G11" s="114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1978</v>
      </c>
      <c r="L11" s="115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1971</v>
      </c>
      <c r="F12" s="14" t="s">
        <v>1972</v>
      </c>
      <c r="G12" s="114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1979</v>
      </c>
      <c r="L12" s="115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1971</v>
      </c>
      <c r="F13" s="14" t="s">
        <v>1972</v>
      </c>
      <c r="G13" s="114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1980</v>
      </c>
      <c r="L13" s="115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1971</v>
      </c>
      <c r="F14" s="14" t="s">
        <v>1972</v>
      </c>
      <c r="G14" s="114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1981</v>
      </c>
      <c r="L14" s="115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1971</v>
      </c>
      <c r="F15" s="14" t="s">
        <v>1972</v>
      </c>
      <c r="H15" s="45" t="str">
        <f>Settings!$B$3&amp;".mit.eco2."&amp;$C$5&amp;".tot.e."&amp;$J$5</f>
        <v>egy.mit.eco2.irn.tot.e.1</v>
      </c>
      <c r="L15" s="116">
        <f t="shared" ref="L15:AE15" si="1">SUM(L6:L14)</f>
        <v>4.5303835184019645</v>
      </c>
      <c r="M15" s="116">
        <f t="shared" si="1"/>
        <v>3.8469033618625206</v>
      </c>
      <c r="N15" s="116">
        <f t="shared" si="1"/>
        <v>4.3290746208215198</v>
      </c>
      <c r="O15" s="116">
        <f t="shared" si="1"/>
        <v>4.5451606543512009</v>
      </c>
      <c r="P15" s="116">
        <f t="shared" si="1"/>
        <v>4.6606527233890995</v>
      </c>
      <c r="Q15" s="116">
        <f t="shared" si="1"/>
        <v>4.8330795942744347</v>
      </c>
      <c r="R15" s="116">
        <f t="shared" si="1"/>
        <v>5.0529306123252606</v>
      </c>
      <c r="S15" s="116">
        <f t="shared" si="1"/>
        <v>5.2667916999615381</v>
      </c>
      <c r="T15" s="116">
        <f t="shared" si="1"/>
        <v>5.4699790897750464</v>
      </c>
      <c r="U15" s="116">
        <f t="shared" si="1"/>
        <v>5.6771103604276671</v>
      </c>
      <c r="V15" s="116">
        <f t="shared" si="1"/>
        <v>5.8842858461533165</v>
      </c>
      <c r="W15" s="116">
        <f t="shared" si="1"/>
        <v>6.0960674143926461</v>
      </c>
      <c r="X15" s="116">
        <f t="shared" si="1"/>
        <v>6.3124466882788575</v>
      </c>
      <c r="Y15" s="116">
        <f t="shared" si="1"/>
        <v>6.5334118787127196</v>
      </c>
      <c r="Z15" s="116">
        <f t="shared" si="1"/>
        <v>6.7589477212745512</v>
      </c>
      <c r="AA15" s="116">
        <f t="shared" si="1"/>
        <v>6.9890354050403589</v>
      </c>
      <c r="AB15" s="116">
        <f t="shared" si="1"/>
        <v>7.2236524927720804</v>
      </c>
      <c r="AC15" s="116">
        <f t="shared" si="1"/>
        <v>7.4627728319721847</v>
      </c>
      <c r="AD15" s="116">
        <f t="shared" si="1"/>
        <v>7.7063664563130869</v>
      </c>
      <c r="AE15" s="116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1970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1971</v>
      </c>
      <c r="F18" s="14" t="s">
        <v>1972</v>
      </c>
      <c r="G18" s="114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1982</v>
      </c>
      <c r="L18" s="115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1971</v>
      </c>
      <c r="F19" s="14" t="s">
        <v>1972</v>
      </c>
      <c r="G19" s="114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1983</v>
      </c>
      <c r="L19" s="115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1971</v>
      </c>
      <c r="F20" s="14" t="s">
        <v>1972</v>
      </c>
      <c r="G20" s="114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1984</v>
      </c>
      <c r="L20" s="115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1971</v>
      </c>
      <c r="F21" s="14" t="s">
        <v>1972</v>
      </c>
      <c r="G21" s="114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1985</v>
      </c>
      <c r="L21" s="115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1971</v>
      </c>
      <c r="F22" s="14" t="s">
        <v>1972</v>
      </c>
      <c r="G22" s="114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1986</v>
      </c>
      <c r="L22" s="115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1971</v>
      </c>
      <c r="F23" s="14" t="s">
        <v>1972</v>
      </c>
      <c r="G23" s="114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1987</v>
      </c>
      <c r="L23" s="115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1971</v>
      </c>
      <c r="F24" s="14" t="s">
        <v>1972</v>
      </c>
      <c r="G24" s="114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1988</v>
      </c>
      <c r="L24" s="115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1971</v>
      </c>
      <c r="F25" s="14" t="s">
        <v>1972</v>
      </c>
      <c r="G25" s="114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1989</v>
      </c>
      <c r="L25" s="115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1971</v>
      </c>
      <c r="F26" s="14" t="s">
        <v>1972</v>
      </c>
      <c r="G26" s="114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1990</v>
      </c>
      <c r="L26" s="115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1971</v>
      </c>
      <c r="F27" s="14" t="s">
        <v>1972</v>
      </c>
      <c r="H27" s="45" t="str">
        <f>Settings!$B$3&amp;".mit.eco2."&amp;$C$17&amp;".tot.e."&amp;$J$17</f>
        <v>egy.mit.eco2.cem.tot.e.1</v>
      </c>
      <c r="L27" s="116">
        <f t="shared" ref="L27:AE27" si="3">SUM(L18:L26)</f>
        <v>9.4893574461323063</v>
      </c>
      <c r="M27" s="116">
        <f t="shared" si="3"/>
        <v>7.892397868173477</v>
      </c>
      <c r="N27" s="116">
        <f t="shared" si="3"/>
        <v>8.974049898041585</v>
      </c>
      <c r="O27" s="116">
        <f t="shared" si="3"/>
        <v>9.6117389440758174</v>
      </c>
      <c r="P27" s="116">
        <f t="shared" si="3"/>
        <v>9.6255920185944621</v>
      </c>
      <c r="Q27" s="116">
        <f t="shared" si="3"/>
        <v>9.8610476555574511</v>
      </c>
      <c r="R27" s="116">
        <f t="shared" si="3"/>
        <v>10.224041222352259</v>
      </c>
      <c r="S27" s="116">
        <f t="shared" si="3"/>
        <v>10.577278178288619</v>
      </c>
      <c r="T27" s="116">
        <f t="shared" si="3"/>
        <v>10.913917324515168</v>
      </c>
      <c r="U27" s="116">
        <f t="shared" si="3"/>
        <v>11.254980886600027</v>
      </c>
      <c r="V27" s="116">
        <f t="shared" si="3"/>
        <v>11.572436051134584</v>
      </c>
      <c r="W27" s="116">
        <f t="shared" si="3"/>
        <v>11.894967219383652</v>
      </c>
      <c r="X27" s="116">
        <f t="shared" si="3"/>
        <v>12.222536887315171</v>
      </c>
      <c r="Y27" s="116">
        <f t="shared" si="3"/>
        <v>12.55510423174249</v>
      </c>
      <c r="Z27" s="116">
        <f t="shared" si="3"/>
        <v>12.892625020155874</v>
      </c>
      <c r="AA27" s="116">
        <f t="shared" si="3"/>
        <v>13.235051509488891</v>
      </c>
      <c r="AB27" s="116">
        <f t="shared" si="3"/>
        <v>13.582332333397812</v>
      </c>
      <c r="AC27" s="116">
        <f t="shared" si="3"/>
        <v>13.934412377644653</v>
      </c>
      <c r="AD27" s="116">
        <f t="shared" si="3"/>
        <v>14.291232643187328</v>
      </c>
      <c r="AE27" s="116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1970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1971</v>
      </c>
      <c r="F30" s="14" t="s">
        <v>1972</v>
      </c>
      <c r="G30" s="114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1991</v>
      </c>
      <c r="L30" s="115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1971</v>
      </c>
      <c r="F31" s="14" t="s">
        <v>1972</v>
      </c>
      <c r="G31" s="114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1992</v>
      </c>
      <c r="L31" s="115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1971</v>
      </c>
      <c r="F32" s="14" t="s">
        <v>1972</v>
      </c>
      <c r="G32" s="114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1993</v>
      </c>
      <c r="L32" s="115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1971</v>
      </c>
      <c r="F33" s="14" t="s">
        <v>1972</v>
      </c>
      <c r="G33" s="114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1994</v>
      </c>
      <c r="L33" s="115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1971</v>
      </c>
      <c r="F34" s="14" t="s">
        <v>1972</v>
      </c>
      <c r="G34" s="114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1995</v>
      </c>
      <c r="L34" s="115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1971</v>
      </c>
      <c r="F35" s="14" t="s">
        <v>1972</v>
      </c>
      <c r="G35" s="114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1996</v>
      </c>
      <c r="L35" s="115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1971</v>
      </c>
      <c r="F36" s="14" t="s">
        <v>1972</v>
      </c>
      <c r="G36" s="114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1997</v>
      </c>
      <c r="L36" s="115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1971</v>
      </c>
      <c r="F37" s="14" t="s">
        <v>1972</v>
      </c>
      <c r="G37" s="114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1998</v>
      </c>
      <c r="L37" s="115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1971</v>
      </c>
      <c r="F38" s="14" t="s">
        <v>1972</v>
      </c>
      <c r="G38" s="114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1999</v>
      </c>
      <c r="L38" s="115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1971</v>
      </c>
      <c r="F39" s="14" t="s">
        <v>1972</v>
      </c>
      <c r="H39" s="45" t="str">
        <f>Settings!$B$3&amp;".mit.eco2."&amp;$C$29&amp;".tot.e."&amp;$J$29</f>
        <v>egy.mit.eco2.nfm.tot.e.1</v>
      </c>
      <c r="L39" s="116">
        <f t="shared" ref="L39:AE39" si="5">SUM(L30:L38)</f>
        <v>0</v>
      </c>
      <c r="M39" s="116">
        <f t="shared" si="5"/>
        <v>0</v>
      </c>
      <c r="N39" s="116">
        <f t="shared" si="5"/>
        <v>0</v>
      </c>
      <c r="O39" s="116">
        <f t="shared" si="5"/>
        <v>0</v>
      </c>
      <c r="P39" s="116">
        <f t="shared" si="5"/>
        <v>0</v>
      </c>
      <c r="Q39" s="116">
        <f t="shared" si="5"/>
        <v>0</v>
      </c>
      <c r="R39" s="116">
        <f t="shared" si="5"/>
        <v>0</v>
      </c>
      <c r="S39" s="116">
        <f t="shared" si="5"/>
        <v>0</v>
      </c>
      <c r="T39" s="116">
        <f t="shared" si="5"/>
        <v>0</v>
      </c>
      <c r="U39" s="116">
        <f t="shared" si="5"/>
        <v>0</v>
      </c>
      <c r="V39" s="116">
        <f t="shared" si="5"/>
        <v>0</v>
      </c>
      <c r="W39" s="116">
        <f t="shared" si="5"/>
        <v>0</v>
      </c>
      <c r="X39" s="116">
        <f t="shared" si="5"/>
        <v>0</v>
      </c>
      <c r="Y39" s="116">
        <f t="shared" si="5"/>
        <v>0</v>
      </c>
      <c r="Z39" s="116">
        <f t="shared" si="5"/>
        <v>0</v>
      </c>
      <c r="AA39" s="116">
        <f t="shared" si="5"/>
        <v>0</v>
      </c>
      <c r="AB39" s="116">
        <f t="shared" si="5"/>
        <v>0</v>
      </c>
      <c r="AC39" s="116">
        <f t="shared" si="5"/>
        <v>0</v>
      </c>
      <c r="AD39" s="116">
        <f t="shared" si="5"/>
        <v>0</v>
      </c>
      <c r="AE39" s="116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1970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1971</v>
      </c>
      <c r="F42" s="14" t="s">
        <v>1972</v>
      </c>
      <c r="G42" s="114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2000</v>
      </c>
      <c r="L42" s="115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1971</v>
      </c>
      <c r="F43" s="14" t="s">
        <v>1972</v>
      </c>
      <c r="G43" s="114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2001</v>
      </c>
      <c r="L43" s="115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1971</v>
      </c>
      <c r="F44" s="14" t="s">
        <v>1972</v>
      </c>
      <c r="G44" s="114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2002</v>
      </c>
      <c r="L44" s="115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1971</v>
      </c>
      <c r="F45" s="14" t="s">
        <v>1972</v>
      </c>
      <c r="G45" s="114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2003</v>
      </c>
      <c r="L45" s="115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1971</v>
      </c>
      <c r="F46" s="14" t="s">
        <v>1972</v>
      </c>
      <c r="G46" s="114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2004</v>
      </c>
      <c r="L46" s="115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1971</v>
      </c>
      <c r="F47" s="14" t="s">
        <v>1972</v>
      </c>
      <c r="G47" s="114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2005</v>
      </c>
      <c r="L47" s="115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1971</v>
      </c>
      <c r="F48" s="14" t="s">
        <v>1972</v>
      </c>
      <c r="G48" s="114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2006</v>
      </c>
      <c r="L48" s="115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1971</v>
      </c>
      <c r="F49" s="14" t="s">
        <v>1972</v>
      </c>
      <c r="G49" s="114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2007</v>
      </c>
      <c r="L49" s="115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1971</v>
      </c>
      <c r="F50" s="14" t="s">
        <v>1972</v>
      </c>
      <c r="G50" s="114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2008</v>
      </c>
      <c r="L50" s="115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1971</v>
      </c>
      <c r="F51" s="14" t="s">
        <v>1972</v>
      </c>
      <c r="H51" s="45" t="str">
        <f>Settings!$B$3&amp;".mit.eco2."&amp;$C$41&amp;".tot.e."&amp;$J$41</f>
        <v>egy.mit.eco2.mch.tot.e.1</v>
      </c>
      <c r="L51" s="116">
        <f t="shared" ref="L51:AE51" si="7">SUM(L42:L50)</f>
        <v>0</v>
      </c>
      <c r="M51" s="116">
        <f t="shared" si="7"/>
        <v>0</v>
      </c>
      <c r="N51" s="116">
        <f t="shared" si="7"/>
        <v>0</v>
      </c>
      <c r="O51" s="116">
        <f t="shared" si="7"/>
        <v>0</v>
      </c>
      <c r="P51" s="116">
        <f t="shared" si="7"/>
        <v>0</v>
      </c>
      <c r="Q51" s="116">
        <f t="shared" si="7"/>
        <v>0</v>
      </c>
      <c r="R51" s="116">
        <f t="shared" si="7"/>
        <v>0</v>
      </c>
      <c r="S51" s="116">
        <f t="shared" si="7"/>
        <v>0</v>
      </c>
      <c r="T51" s="116">
        <f t="shared" si="7"/>
        <v>0</v>
      </c>
      <c r="U51" s="116">
        <f t="shared" si="7"/>
        <v>0</v>
      </c>
      <c r="V51" s="116">
        <f t="shared" si="7"/>
        <v>0</v>
      </c>
      <c r="W51" s="116">
        <f t="shared" si="7"/>
        <v>0</v>
      </c>
      <c r="X51" s="116">
        <f t="shared" si="7"/>
        <v>0</v>
      </c>
      <c r="Y51" s="116">
        <f t="shared" si="7"/>
        <v>0</v>
      </c>
      <c r="Z51" s="116">
        <f t="shared" si="7"/>
        <v>0</v>
      </c>
      <c r="AA51" s="116">
        <f t="shared" si="7"/>
        <v>0</v>
      </c>
      <c r="AB51" s="116">
        <f t="shared" si="7"/>
        <v>0</v>
      </c>
      <c r="AC51" s="116">
        <f t="shared" si="7"/>
        <v>0</v>
      </c>
      <c r="AD51" s="116">
        <f t="shared" si="7"/>
        <v>0</v>
      </c>
      <c r="AE51" s="116">
        <f t="shared" si="7"/>
        <v>0</v>
      </c>
    </row>
    <row r="54" spans="1:35" customFormat="1" ht="18" customHeight="1" x14ac:dyDescent="0.45">
      <c r="A54" s="8"/>
      <c r="B54" s="9" t="s">
        <v>2009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1970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1971</v>
      </c>
      <c r="F57" s="14" t="s">
        <v>1972</v>
      </c>
      <c r="G57" s="114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2010</v>
      </c>
      <c r="L57" s="115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1971</v>
      </c>
      <c r="F58" s="14" t="s">
        <v>1972</v>
      </c>
      <c r="G58" s="114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2011</v>
      </c>
      <c r="L58" s="115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1971</v>
      </c>
      <c r="F59" s="14" t="s">
        <v>1972</v>
      </c>
      <c r="G59" s="114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2012</v>
      </c>
      <c r="L59" s="115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1971</v>
      </c>
      <c r="F60" s="14" t="s">
        <v>1972</v>
      </c>
      <c r="G60" s="114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2013</v>
      </c>
      <c r="L60" s="115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1971</v>
      </c>
      <c r="F61" s="14" t="s">
        <v>1972</v>
      </c>
      <c r="G61" s="114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2014</v>
      </c>
      <c r="L61" s="115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1971</v>
      </c>
      <c r="F62" s="14" t="s">
        <v>1972</v>
      </c>
      <c r="G62" s="114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2015</v>
      </c>
      <c r="L62" s="115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1971</v>
      </c>
      <c r="F63" s="14" t="s">
        <v>1972</v>
      </c>
      <c r="G63" s="114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2016</v>
      </c>
      <c r="L63" s="115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1971</v>
      </c>
      <c r="F64" s="14" t="s">
        <v>1972</v>
      </c>
      <c r="G64" s="114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2017</v>
      </c>
      <c r="L64" s="115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1971</v>
      </c>
      <c r="F65" s="14" t="s">
        <v>1972</v>
      </c>
      <c r="G65" s="114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2018</v>
      </c>
      <c r="L65" s="115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1971</v>
      </c>
      <c r="F66" s="14" t="s">
        <v>1972</v>
      </c>
      <c r="H66" s="45" t="str">
        <f>Settings!$B$3&amp;".mit.eco2."&amp;$C$56&amp;".tot.e."&amp;$J$56</f>
        <v>egy.mit.eco2.irn.tot.e.2</v>
      </c>
      <c r="L66" s="116">
        <f t="shared" ref="L66:AE66" si="9">SUM(L57:L65)</f>
        <v>4.5303835184019645</v>
      </c>
      <c r="M66" s="116">
        <f t="shared" si="9"/>
        <v>3.8469033618625206</v>
      </c>
      <c r="N66" s="116">
        <f t="shared" si="9"/>
        <v>4.3290746208215198</v>
      </c>
      <c r="O66" s="116">
        <f t="shared" si="9"/>
        <v>4.5451606543512009</v>
      </c>
      <c r="P66" s="116">
        <f t="shared" si="9"/>
        <v>4.6606527233890995</v>
      </c>
      <c r="Q66" s="116">
        <f t="shared" si="9"/>
        <v>4.4078296144020142</v>
      </c>
      <c r="R66" s="116">
        <f t="shared" si="9"/>
        <v>4.246993475594202</v>
      </c>
      <c r="S66" s="116">
        <f t="shared" si="9"/>
        <v>4.1117536252780678</v>
      </c>
      <c r="T66" s="116">
        <f t="shared" si="9"/>
        <v>3.9924395556502268</v>
      </c>
      <c r="U66" s="116">
        <f t="shared" si="9"/>
        <v>3.8941902155876629</v>
      </c>
      <c r="V66" s="116">
        <f t="shared" si="9"/>
        <v>3.8124028190221151</v>
      </c>
      <c r="W66" s="116">
        <f t="shared" si="9"/>
        <v>3.7471168511266315</v>
      </c>
      <c r="X66" s="116">
        <f t="shared" si="9"/>
        <v>3.6964075936068812</v>
      </c>
      <c r="Y66" s="116">
        <f t="shared" si="9"/>
        <v>3.6591659054499268</v>
      </c>
      <c r="Z66" s="116">
        <f t="shared" si="9"/>
        <v>3.6352380271397982</v>
      </c>
      <c r="AA66" s="116">
        <f t="shared" si="9"/>
        <v>3.623938569338653</v>
      </c>
      <c r="AB66" s="116">
        <f t="shared" si="9"/>
        <v>3.6245334840846737</v>
      </c>
      <c r="AC66" s="116">
        <f t="shared" si="9"/>
        <v>3.6357614325971319</v>
      </c>
      <c r="AD66" s="116">
        <f t="shared" si="9"/>
        <v>3.656572990259491</v>
      </c>
      <c r="AE66" s="116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1970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1971</v>
      </c>
      <c r="F69" s="14" t="s">
        <v>1972</v>
      </c>
      <c r="G69" s="114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2019</v>
      </c>
      <c r="L69" s="115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1971</v>
      </c>
      <c r="F70" s="14" t="s">
        <v>1972</v>
      </c>
      <c r="G70" s="114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2020</v>
      </c>
      <c r="L70" s="115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1971</v>
      </c>
      <c r="F71" s="14" t="s">
        <v>1972</v>
      </c>
      <c r="G71" s="114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2021</v>
      </c>
      <c r="L71" s="115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1971</v>
      </c>
      <c r="F72" s="14" t="s">
        <v>1972</v>
      </c>
      <c r="G72" s="114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2022</v>
      </c>
      <c r="L72" s="115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1971</v>
      </c>
      <c r="F73" s="14" t="s">
        <v>1972</v>
      </c>
      <c r="G73" s="114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2023</v>
      </c>
      <c r="L73" s="115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1971</v>
      </c>
      <c r="F74" s="14" t="s">
        <v>1972</v>
      </c>
      <c r="G74" s="114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2024</v>
      </c>
      <c r="L74" s="115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1971</v>
      </c>
      <c r="F75" s="14" t="s">
        <v>1972</v>
      </c>
      <c r="G75" s="114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2025</v>
      </c>
      <c r="L75" s="115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1971</v>
      </c>
      <c r="F76" s="14" t="s">
        <v>1972</v>
      </c>
      <c r="G76" s="114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2026</v>
      </c>
      <c r="L76" s="115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1971</v>
      </c>
      <c r="F77" s="14" t="s">
        <v>1972</v>
      </c>
      <c r="G77" s="114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2027</v>
      </c>
      <c r="L77" s="115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1971</v>
      </c>
      <c r="F78" s="14" t="s">
        <v>1972</v>
      </c>
      <c r="H78" s="45" t="str">
        <f>Settings!$B$3&amp;".mit.eco2."&amp;$C$68&amp;".tot.e."&amp;$J$68</f>
        <v>egy.mit.eco2.cem.tot.e.2</v>
      </c>
      <c r="L78" s="116">
        <f t="shared" ref="L78:AE78" si="11">SUM(L69:L77)</f>
        <v>9.4893574461323063</v>
      </c>
      <c r="M78" s="116">
        <f t="shared" si="11"/>
        <v>7.892397868173477</v>
      </c>
      <c r="N78" s="116">
        <f t="shared" si="11"/>
        <v>8.974049898041585</v>
      </c>
      <c r="O78" s="116">
        <f t="shared" si="11"/>
        <v>9.6117389440758174</v>
      </c>
      <c r="P78" s="116">
        <f t="shared" si="11"/>
        <v>9.6255920185944621</v>
      </c>
      <c r="Q78" s="116">
        <f t="shared" si="11"/>
        <v>9.0746501749675428</v>
      </c>
      <c r="R78" s="116">
        <f t="shared" si="11"/>
        <v>8.7362574382654046</v>
      </c>
      <c r="S78" s="116">
        <f t="shared" si="11"/>
        <v>8.4490397368747985</v>
      </c>
      <c r="T78" s="116">
        <f t="shared" si="11"/>
        <v>8.1955178569750267</v>
      </c>
      <c r="U78" s="116">
        <f t="shared" si="11"/>
        <v>7.9814424709644749</v>
      </c>
      <c r="V78" s="116">
        <f t="shared" si="11"/>
        <v>7.7902867807190201</v>
      </c>
      <c r="W78" s="116">
        <f t="shared" si="11"/>
        <v>7.6314031195294163</v>
      </c>
      <c r="X78" s="116">
        <f t="shared" si="11"/>
        <v>7.5006570964300785</v>
      </c>
      <c r="Y78" s="116">
        <f t="shared" si="11"/>
        <v>7.3954239718464407</v>
      </c>
      <c r="Z78" s="116">
        <f t="shared" si="11"/>
        <v>7.3147393259951752</v>
      </c>
      <c r="AA78" s="116">
        <f t="shared" si="11"/>
        <v>7.2568985784252265</v>
      </c>
      <c r="AB78" s="116">
        <f t="shared" si="11"/>
        <v>7.2202035238785385</v>
      </c>
      <c r="AC78" s="116">
        <f t="shared" si="11"/>
        <v>7.2022011866219096</v>
      </c>
      <c r="AD78" s="116">
        <f t="shared" si="11"/>
        <v>7.2008394296116975</v>
      </c>
      <c r="AE78" s="116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1970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1971</v>
      </c>
      <c r="F81" s="14" t="s">
        <v>1972</v>
      </c>
      <c r="G81" s="114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2028</v>
      </c>
      <c r="L81" s="115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1971</v>
      </c>
      <c r="F82" s="14" t="s">
        <v>1972</v>
      </c>
      <c r="G82" s="114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2029</v>
      </c>
      <c r="L82" s="115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1971</v>
      </c>
      <c r="F83" s="14" t="s">
        <v>1972</v>
      </c>
      <c r="G83" s="114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2030</v>
      </c>
      <c r="L83" s="115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1971</v>
      </c>
      <c r="F84" s="14" t="s">
        <v>1972</v>
      </c>
      <c r="G84" s="114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2031</v>
      </c>
      <c r="L84" s="115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1971</v>
      </c>
      <c r="F85" s="14" t="s">
        <v>1972</v>
      </c>
      <c r="G85" s="114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2032</v>
      </c>
      <c r="L85" s="115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1971</v>
      </c>
      <c r="F86" s="14" t="s">
        <v>1972</v>
      </c>
      <c r="G86" s="114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2033</v>
      </c>
      <c r="L86" s="115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1971</v>
      </c>
      <c r="F87" s="14" t="s">
        <v>1972</v>
      </c>
      <c r="G87" s="114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2034</v>
      </c>
      <c r="L87" s="115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1971</v>
      </c>
      <c r="F88" s="14" t="s">
        <v>1972</v>
      </c>
      <c r="G88" s="114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2035</v>
      </c>
      <c r="L88" s="115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1971</v>
      </c>
      <c r="F89" s="14" t="s">
        <v>1972</v>
      </c>
      <c r="G89" s="114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2036</v>
      </c>
      <c r="L89" s="115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1971</v>
      </c>
      <c r="F90" s="14" t="s">
        <v>1972</v>
      </c>
      <c r="H90" s="45" t="str">
        <f>Settings!$B$3&amp;".mit.eco2."&amp;$C$80&amp;".tot.e."&amp;$J$80</f>
        <v>egy.mit.eco2.nfm.tot.e.2</v>
      </c>
      <c r="L90" s="116">
        <f t="shared" ref="L90:AE90" si="13">SUM(L81:L89)</f>
        <v>0</v>
      </c>
      <c r="M90" s="116">
        <f t="shared" si="13"/>
        <v>0</v>
      </c>
      <c r="N90" s="116">
        <f t="shared" si="13"/>
        <v>0</v>
      </c>
      <c r="O90" s="116">
        <f t="shared" si="13"/>
        <v>0</v>
      </c>
      <c r="P90" s="116">
        <f t="shared" si="13"/>
        <v>0</v>
      </c>
      <c r="Q90" s="116">
        <f t="shared" si="13"/>
        <v>0</v>
      </c>
      <c r="R90" s="116">
        <f t="shared" si="13"/>
        <v>0</v>
      </c>
      <c r="S90" s="116">
        <f t="shared" si="13"/>
        <v>0</v>
      </c>
      <c r="T90" s="116">
        <f t="shared" si="13"/>
        <v>0</v>
      </c>
      <c r="U90" s="116">
        <f t="shared" si="13"/>
        <v>0</v>
      </c>
      <c r="V90" s="116">
        <f t="shared" si="13"/>
        <v>0</v>
      </c>
      <c r="W90" s="116">
        <f t="shared" si="13"/>
        <v>0</v>
      </c>
      <c r="X90" s="116">
        <f t="shared" si="13"/>
        <v>0</v>
      </c>
      <c r="Y90" s="116">
        <f t="shared" si="13"/>
        <v>0</v>
      </c>
      <c r="Z90" s="116">
        <f t="shared" si="13"/>
        <v>0</v>
      </c>
      <c r="AA90" s="116">
        <f t="shared" si="13"/>
        <v>0</v>
      </c>
      <c r="AB90" s="116">
        <f t="shared" si="13"/>
        <v>0</v>
      </c>
      <c r="AC90" s="116">
        <f t="shared" si="13"/>
        <v>0</v>
      </c>
      <c r="AD90" s="116">
        <f t="shared" si="13"/>
        <v>0</v>
      </c>
      <c r="AE90" s="116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1970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1971</v>
      </c>
      <c r="F93" s="14" t="s">
        <v>1972</v>
      </c>
      <c r="G93" s="114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2037</v>
      </c>
      <c r="L93" s="115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1971</v>
      </c>
      <c r="F94" s="14" t="s">
        <v>1972</v>
      </c>
      <c r="G94" s="114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2038</v>
      </c>
      <c r="L94" s="115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1971</v>
      </c>
      <c r="F95" s="14" t="s">
        <v>1972</v>
      </c>
      <c r="G95" s="114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2039</v>
      </c>
      <c r="L95" s="115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1971</v>
      </c>
      <c r="F96" s="14" t="s">
        <v>1972</v>
      </c>
      <c r="G96" s="114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2040</v>
      </c>
      <c r="L96" s="115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1971</v>
      </c>
      <c r="F97" s="14" t="s">
        <v>1972</v>
      </c>
      <c r="G97" s="114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2041</v>
      </c>
      <c r="L97" s="115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1971</v>
      </c>
      <c r="F98" s="14" t="s">
        <v>1972</v>
      </c>
      <c r="G98" s="114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2042</v>
      </c>
      <c r="L98" s="115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1971</v>
      </c>
      <c r="F99" s="14" t="s">
        <v>1972</v>
      </c>
      <c r="G99" s="114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2043</v>
      </c>
      <c r="L99" s="115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1971</v>
      </c>
      <c r="F100" s="14" t="s">
        <v>1972</v>
      </c>
      <c r="G100" s="114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2044</v>
      </c>
      <c r="L100" s="115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1971</v>
      </c>
      <c r="F101" s="14" t="s">
        <v>1972</v>
      </c>
      <c r="G101" s="114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2045</v>
      </c>
      <c r="L101" s="115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1971</v>
      </c>
      <c r="F102" s="14" t="s">
        <v>1972</v>
      </c>
      <c r="H102" s="45" t="str">
        <f>Settings!$B$3&amp;".mit.eco2."&amp;$C$92&amp;".tot.e."&amp;$J$92</f>
        <v>egy.mit.eco2.mch.tot.e.2</v>
      </c>
      <c r="L102" s="116">
        <f t="shared" ref="L102:AE102" si="15">SUM(L93:L101)</f>
        <v>0</v>
      </c>
      <c r="M102" s="116">
        <f t="shared" si="15"/>
        <v>0</v>
      </c>
      <c r="N102" s="116">
        <f t="shared" si="15"/>
        <v>0</v>
      </c>
      <c r="O102" s="116">
        <f t="shared" si="15"/>
        <v>0</v>
      </c>
      <c r="P102" s="116">
        <f t="shared" si="15"/>
        <v>0</v>
      </c>
      <c r="Q102" s="116">
        <f t="shared" si="15"/>
        <v>0</v>
      </c>
      <c r="R102" s="116">
        <f t="shared" si="15"/>
        <v>0</v>
      </c>
      <c r="S102" s="116">
        <f t="shared" si="15"/>
        <v>0</v>
      </c>
      <c r="T102" s="116">
        <f t="shared" si="15"/>
        <v>0</v>
      </c>
      <c r="U102" s="116">
        <f t="shared" si="15"/>
        <v>0</v>
      </c>
      <c r="V102" s="116">
        <f t="shared" si="15"/>
        <v>0</v>
      </c>
      <c r="W102" s="116">
        <f t="shared" si="15"/>
        <v>0</v>
      </c>
      <c r="X102" s="116">
        <f t="shared" si="15"/>
        <v>0</v>
      </c>
      <c r="Y102" s="116">
        <f t="shared" si="15"/>
        <v>0</v>
      </c>
      <c r="Z102" s="116">
        <f t="shared" si="15"/>
        <v>0</v>
      </c>
      <c r="AA102" s="116">
        <f t="shared" si="15"/>
        <v>0</v>
      </c>
      <c r="AB102" s="116">
        <f t="shared" si="15"/>
        <v>0</v>
      </c>
      <c r="AC102" s="116">
        <f t="shared" si="15"/>
        <v>0</v>
      </c>
      <c r="AD102" s="116">
        <f t="shared" si="15"/>
        <v>0</v>
      </c>
      <c r="AE102" s="116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75B4-B42A-48A2-8493-91B8B566CEBF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40.5976562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55.597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2079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2080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2081</v>
      </c>
      <c r="D5" s="6" t="s">
        <v>1505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1799</v>
      </c>
      <c r="C6" s="14"/>
      <c r="D6" s="15" t="s">
        <v>2082</v>
      </c>
      <c r="E6" s="16" t="s">
        <v>79</v>
      </c>
      <c r="F6" s="14" t="s">
        <v>1799</v>
      </c>
      <c r="G6" s="114" t="s">
        <v>1859</v>
      </c>
      <c r="H6" s="118"/>
      <c r="I6" t="s">
        <v>2083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1803</v>
      </c>
      <c r="C7" s="14"/>
      <c r="D7" s="15" t="s">
        <v>2084</v>
      </c>
      <c r="E7" s="16" t="s">
        <v>1415</v>
      </c>
      <c r="F7" s="14" t="s">
        <v>1803</v>
      </c>
      <c r="G7" s="114" t="s">
        <v>1860</v>
      </c>
      <c r="H7" s="118"/>
      <c r="I7" t="s">
        <v>2085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2086</v>
      </c>
      <c r="D9" s="6" t="s">
        <v>1505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1452</v>
      </c>
      <c r="C10" s="14" t="s">
        <v>43</v>
      </c>
      <c r="D10" s="15" t="s">
        <v>2087</v>
      </c>
      <c r="E10" s="16" t="s">
        <v>2088</v>
      </c>
      <c r="F10" s="14" t="s">
        <v>2086</v>
      </c>
      <c r="G10" s="118"/>
      <c r="H10" s="114" t="str">
        <f>Settings!$B$3&amp;".mit.obrbm.stl.drg.1"</f>
        <v>egy.mit.obrbm.stl.drg.1</v>
      </c>
      <c r="I10" t="s">
        <v>2089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1455</v>
      </c>
      <c r="C11" s="14" t="s">
        <v>43</v>
      </c>
      <c r="D11" s="15" t="s">
        <v>2090</v>
      </c>
      <c r="E11" s="16" t="s">
        <v>2088</v>
      </c>
      <c r="F11" s="14" t="s">
        <v>2086</v>
      </c>
      <c r="G11" s="118"/>
      <c r="H11" s="114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1458</v>
      </c>
      <c r="C12" s="14" t="s">
        <v>43</v>
      </c>
      <c r="D12" s="15" t="s">
        <v>2091</v>
      </c>
      <c r="E12" s="16" t="s">
        <v>2088</v>
      </c>
      <c r="F12" s="14" t="s">
        <v>2086</v>
      </c>
      <c r="G12" s="118"/>
      <c r="H12" s="114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1461</v>
      </c>
      <c r="C13" s="14" t="s">
        <v>113</v>
      </c>
      <c r="D13" s="15" t="s">
        <v>2092</v>
      </c>
      <c r="E13" s="16" t="s">
        <v>2088</v>
      </c>
      <c r="F13" s="14" t="s">
        <v>2086</v>
      </c>
      <c r="G13" s="118"/>
      <c r="H13" s="114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1464</v>
      </c>
      <c r="C14" s="14" t="s">
        <v>117</v>
      </c>
      <c r="D14" s="15" t="s">
        <v>2093</v>
      </c>
      <c r="E14" s="16" t="s">
        <v>2088</v>
      </c>
      <c r="F14" s="14" t="s">
        <v>2086</v>
      </c>
      <c r="G14" s="118"/>
      <c r="H14" s="114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1467</v>
      </c>
      <c r="C15" s="14" t="s">
        <v>117</v>
      </c>
      <c r="D15" s="15" t="s">
        <v>2094</v>
      </c>
      <c r="E15" s="16" t="s">
        <v>2088</v>
      </c>
      <c r="F15" s="14" t="s">
        <v>2086</v>
      </c>
      <c r="G15" s="118"/>
      <c r="H15" s="114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1470</v>
      </c>
      <c r="C16" s="14" t="s">
        <v>117</v>
      </c>
      <c r="D16" s="15" t="s">
        <v>2095</v>
      </c>
      <c r="E16" s="16" t="s">
        <v>2088</v>
      </c>
      <c r="F16" s="14" t="s">
        <v>2086</v>
      </c>
      <c r="G16" s="118"/>
      <c r="H16" s="114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1473</v>
      </c>
      <c r="C17" s="14" t="s">
        <v>115</v>
      </c>
      <c r="D17" s="15" t="s">
        <v>2096</v>
      </c>
      <c r="E17" s="16" t="s">
        <v>2088</v>
      </c>
      <c r="F17" s="14" t="s">
        <v>2086</v>
      </c>
      <c r="G17" s="118"/>
      <c r="H17" s="114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2097</v>
      </c>
      <c r="D19" s="6" t="s">
        <v>1505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1452</v>
      </c>
      <c r="C20" s="14" t="s">
        <v>43</v>
      </c>
      <c r="D20" s="15" t="s">
        <v>2098</v>
      </c>
      <c r="E20" s="16" t="s">
        <v>2099</v>
      </c>
      <c r="F20" s="14" t="s">
        <v>2097</v>
      </c>
      <c r="G20" s="118"/>
      <c r="H20" s="114" t="str">
        <f>Settings!$B$3&amp;".mit.ccpt.stl.drg.1"</f>
        <v>egy.mit.ccpt.stl.drg.1</v>
      </c>
      <c r="I20" t="s">
        <v>2100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1455</v>
      </c>
      <c r="C21" s="14" t="s">
        <v>43</v>
      </c>
      <c r="D21" s="15" t="s">
        <v>2101</v>
      </c>
      <c r="E21" s="16" t="s">
        <v>2099</v>
      </c>
      <c r="F21" s="14" t="s">
        <v>2097</v>
      </c>
      <c r="G21" s="118"/>
      <c r="H21" s="114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1458</v>
      </c>
      <c r="C22" s="14" t="s">
        <v>43</v>
      </c>
      <c r="D22" s="15" t="s">
        <v>2102</v>
      </c>
      <c r="E22" s="16" t="s">
        <v>2099</v>
      </c>
      <c r="F22" s="14" t="s">
        <v>2097</v>
      </c>
      <c r="G22" s="118"/>
      <c r="H22" s="114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1461</v>
      </c>
      <c r="C23" s="14" t="s">
        <v>113</v>
      </c>
      <c r="D23" s="15" t="s">
        <v>2103</v>
      </c>
      <c r="E23" s="16" t="s">
        <v>2099</v>
      </c>
      <c r="F23" s="14" t="s">
        <v>2097</v>
      </c>
      <c r="G23" s="118"/>
      <c r="H23" s="114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1464</v>
      </c>
      <c r="C24" s="14" t="s">
        <v>117</v>
      </c>
      <c r="D24" s="15" t="s">
        <v>2104</v>
      </c>
      <c r="E24" s="16" t="s">
        <v>2099</v>
      </c>
      <c r="F24" s="14" t="s">
        <v>2097</v>
      </c>
      <c r="G24" s="118"/>
      <c r="H24" s="114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1467</v>
      </c>
      <c r="C25" s="14" t="s">
        <v>117</v>
      </c>
      <c r="D25" s="15" t="s">
        <v>2105</v>
      </c>
      <c r="E25" s="16" t="s">
        <v>2099</v>
      </c>
      <c r="F25" s="14" t="s">
        <v>2097</v>
      </c>
      <c r="G25" s="118"/>
      <c r="H25" s="114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1470</v>
      </c>
      <c r="C26" s="14" t="s">
        <v>117</v>
      </c>
      <c r="D26" s="15" t="s">
        <v>2106</v>
      </c>
      <c r="E26" s="16" t="s">
        <v>2099</v>
      </c>
      <c r="F26" s="14" t="s">
        <v>2097</v>
      </c>
      <c r="G26" s="118"/>
      <c r="H26" s="114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1473</v>
      </c>
      <c r="C27" s="14" t="s">
        <v>115</v>
      </c>
      <c r="D27" s="15" t="s">
        <v>2107</v>
      </c>
      <c r="E27" s="16" t="s">
        <v>2099</v>
      </c>
      <c r="F27" s="14" t="s">
        <v>2097</v>
      </c>
      <c r="G27" s="118"/>
      <c r="H27" s="114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2108</v>
      </c>
      <c r="D29" s="6" t="s">
        <v>1505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1452</v>
      </c>
      <c r="C30" s="14" t="s">
        <v>43</v>
      </c>
      <c r="D30" s="15" t="s">
        <v>2109</v>
      </c>
      <c r="E30" s="16" t="s">
        <v>2099</v>
      </c>
      <c r="F30" s="14" t="s">
        <v>2108</v>
      </c>
      <c r="G30" s="118"/>
      <c r="H30" s="114" t="str">
        <f>Settings!$B$3&amp;".mit.obrpu.stl.drg.1"</f>
        <v>egy.mit.obrpu.stl.drg.1</v>
      </c>
      <c r="I30" t="s">
        <v>2110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1455</v>
      </c>
      <c r="C31" s="14" t="s">
        <v>43</v>
      </c>
      <c r="D31" s="15" t="s">
        <v>2111</v>
      </c>
      <c r="E31" s="16" t="s">
        <v>2099</v>
      </c>
      <c r="F31" s="14" t="s">
        <v>2108</v>
      </c>
      <c r="G31" s="118"/>
      <c r="H31" s="114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1458</v>
      </c>
      <c r="C32" s="14" t="s">
        <v>43</v>
      </c>
      <c r="D32" s="15" t="s">
        <v>2112</v>
      </c>
      <c r="E32" s="16" t="s">
        <v>2099</v>
      </c>
      <c r="F32" s="14" t="s">
        <v>2108</v>
      </c>
      <c r="G32" s="118"/>
      <c r="H32" s="114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1461</v>
      </c>
      <c r="C33" s="14" t="s">
        <v>113</v>
      </c>
      <c r="D33" s="15" t="s">
        <v>2113</v>
      </c>
      <c r="E33" s="16" t="s">
        <v>2099</v>
      </c>
      <c r="F33" s="14" t="s">
        <v>2108</v>
      </c>
      <c r="G33" s="118"/>
      <c r="H33" s="114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1464</v>
      </c>
      <c r="C34" s="14" t="s">
        <v>117</v>
      </c>
      <c r="D34" s="15" t="s">
        <v>2114</v>
      </c>
      <c r="E34" s="16" t="s">
        <v>2099</v>
      </c>
      <c r="F34" s="14" t="s">
        <v>2108</v>
      </c>
      <c r="G34" s="118"/>
      <c r="H34" s="114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1467</v>
      </c>
      <c r="C35" s="14" t="s">
        <v>117</v>
      </c>
      <c r="D35" s="15" t="s">
        <v>2115</v>
      </c>
      <c r="E35" s="16" t="s">
        <v>2099</v>
      </c>
      <c r="F35" s="14" t="s">
        <v>2108</v>
      </c>
      <c r="G35" s="118"/>
      <c r="H35" s="114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1470</v>
      </c>
      <c r="C36" s="14" t="s">
        <v>117</v>
      </c>
      <c r="D36" s="15" t="s">
        <v>2116</v>
      </c>
      <c r="E36" s="16" t="s">
        <v>2099</v>
      </c>
      <c r="F36" s="14" t="s">
        <v>2108</v>
      </c>
      <c r="G36" s="118"/>
      <c r="H36" s="114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1473</v>
      </c>
      <c r="C37" s="14" t="s">
        <v>115</v>
      </c>
      <c r="D37" s="15" t="s">
        <v>2117</v>
      </c>
      <c r="E37" s="16" t="s">
        <v>2099</v>
      </c>
      <c r="F37" s="14" t="s">
        <v>2108</v>
      </c>
      <c r="G37" s="118"/>
      <c r="H37" s="114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2118</v>
      </c>
      <c r="D39" s="6" t="s">
        <v>1505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1452</v>
      </c>
      <c r="C40" s="14" t="s">
        <v>43</v>
      </c>
      <c r="D40" s="15" t="s">
        <v>2119</v>
      </c>
      <c r="E40" s="16" t="s">
        <v>2099</v>
      </c>
      <c r="F40" s="14" t="s">
        <v>2118</v>
      </c>
      <c r="G40" s="118"/>
      <c r="H40" s="114" t="str">
        <f>Settings!$B$3&amp;".mit.obrpt.stl.drg.1"</f>
        <v>egy.mit.obrpt.stl.drg.1</v>
      </c>
      <c r="I40" t="s">
        <v>2120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1455</v>
      </c>
      <c r="C41" s="14" t="s">
        <v>43</v>
      </c>
      <c r="D41" s="15" t="s">
        <v>2121</v>
      </c>
      <c r="E41" s="16" t="s">
        <v>2099</v>
      </c>
      <c r="F41" s="14" t="s">
        <v>2118</v>
      </c>
      <c r="G41" s="118"/>
      <c r="H41" s="114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1458</v>
      </c>
      <c r="C42" s="14" t="s">
        <v>43</v>
      </c>
      <c r="D42" s="15" t="s">
        <v>2122</v>
      </c>
      <c r="E42" s="16" t="s">
        <v>2099</v>
      </c>
      <c r="F42" s="14" t="s">
        <v>2118</v>
      </c>
      <c r="G42" s="118"/>
      <c r="H42" s="114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1461</v>
      </c>
      <c r="C43" s="14" t="s">
        <v>113</v>
      </c>
      <c r="D43" s="15" t="s">
        <v>2123</v>
      </c>
      <c r="E43" s="16" t="s">
        <v>2099</v>
      </c>
      <c r="F43" s="14" t="s">
        <v>2118</v>
      </c>
      <c r="G43" s="118"/>
      <c r="H43" s="114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1464</v>
      </c>
      <c r="C44" s="14" t="s">
        <v>117</v>
      </c>
      <c r="D44" s="15" t="s">
        <v>2124</v>
      </c>
      <c r="E44" s="16" t="s">
        <v>2099</v>
      </c>
      <c r="F44" s="14" t="s">
        <v>2118</v>
      </c>
      <c r="G44" s="118"/>
      <c r="H44" s="114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1467</v>
      </c>
      <c r="C45" s="14" t="s">
        <v>117</v>
      </c>
      <c r="D45" s="15" t="s">
        <v>2125</v>
      </c>
      <c r="E45" s="16" t="s">
        <v>2099</v>
      </c>
      <c r="F45" s="14" t="s">
        <v>2118</v>
      </c>
      <c r="G45" s="118"/>
      <c r="H45" s="114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1470</v>
      </c>
      <c r="C46" s="14" t="s">
        <v>117</v>
      </c>
      <c r="D46" s="15" t="s">
        <v>2126</v>
      </c>
      <c r="E46" s="16" t="s">
        <v>2099</v>
      </c>
      <c r="F46" s="14" t="s">
        <v>2118</v>
      </c>
      <c r="G46" s="118"/>
      <c r="H46" s="114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1473</v>
      </c>
      <c r="C47" s="14" t="s">
        <v>115</v>
      </c>
      <c r="D47" s="15" t="s">
        <v>2127</v>
      </c>
      <c r="E47" s="16" t="s">
        <v>2099</v>
      </c>
      <c r="F47" s="14" t="s">
        <v>2118</v>
      </c>
      <c r="G47" s="118"/>
      <c r="H47" s="114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2128</v>
      </c>
      <c r="D49" s="6" t="s">
        <v>1505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1452</v>
      </c>
      <c r="C50" s="14" t="s">
        <v>43</v>
      </c>
      <c r="D50" s="15" t="s">
        <v>2129</v>
      </c>
      <c r="E50" s="16" t="s">
        <v>2099</v>
      </c>
      <c r="F50" s="14" t="s">
        <v>2128</v>
      </c>
      <c r="G50" s="118"/>
      <c r="H50" s="114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1455</v>
      </c>
      <c r="C51" s="14" t="s">
        <v>43</v>
      </c>
      <c r="D51" s="15" t="s">
        <v>2130</v>
      </c>
      <c r="E51" s="16" t="s">
        <v>2099</v>
      </c>
      <c r="F51" s="14" t="s">
        <v>2128</v>
      </c>
      <c r="G51" s="118"/>
      <c r="H51" s="114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1458</v>
      </c>
      <c r="C52" s="14" t="s">
        <v>43</v>
      </c>
      <c r="D52" s="15" t="s">
        <v>2131</v>
      </c>
      <c r="E52" s="16" t="s">
        <v>2099</v>
      </c>
      <c r="F52" s="14" t="s">
        <v>2128</v>
      </c>
      <c r="G52" s="118"/>
      <c r="H52" s="114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1461</v>
      </c>
      <c r="C53" s="14" t="s">
        <v>113</v>
      </c>
      <c r="D53" s="15" t="s">
        <v>2132</v>
      </c>
      <c r="E53" s="16" t="s">
        <v>2099</v>
      </c>
      <c r="F53" s="14" t="s">
        <v>2128</v>
      </c>
      <c r="G53" s="118"/>
      <c r="H53" s="114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1464</v>
      </c>
      <c r="C54" s="14" t="s">
        <v>117</v>
      </c>
      <c r="D54" s="15" t="s">
        <v>2133</v>
      </c>
      <c r="E54" s="16" t="s">
        <v>2099</v>
      </c>
      <c r="F54" s="14" t="s">
        <v>2128</v>
      </c>
      <c r="G54" s="118"/>
      <c r="H54" s="114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1467</v>
      </c>
      <c r="C55" s="14" t="s">
        <v>117</v>
      </c>
      <c r="D55" s="15" t="s">
        <v>2134</v>
      </c>
      <c r="E55" s="16" t="s">
        <v>2099</v>
      </c>
      <c r="F55" s="14" t="s">
        <v>2128</v>
      </c>
      <c r="G55" s="118"/>
      <c r="H55" s="114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1470</v>
      </c>
      <c r="C56" s="14" t="s">
        <v>117</v>
      </c>
      <c r="D56" s="15" t="s">
        <v>2135</v>
      </c>
      <c r="E56" s="16" t="s">
        <v>2099</v>
      </c>
      <c r="F56" s="14" t="s">
        <v>2128</v>
      </c>
      <c r="G56" s="118"/>
      <c r="H56" s="114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1473</v>
      </c>
      <c r="C57" s="14" t="s">
        <v>115</v>
      </c>
      <c r="D57" s="15" t="s">
        <v>2136</v>
      </c>
      <c r="E57" s="16" t="s">
        <v>2099</v>
      </c>
      <c r="F57" s="14" t="s">
        <v>2128</v>
      </c>
      <c r="G57" s="118"/>
      <c r="H57" s="114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2137</v>
      </c>
      <c r="D59" s="6" t="s">
        <v>1505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1452</v>
      </c>
      <c r="C60" s="14" t="s">
        <v>43</v>
      </c>
      <c r="D60" s="15" t="s">
        <v>2138</v>
      </c>
      <c r="E60" s="16" t="s">
        <v>79</v>
      </c>
      <c r="F60" s="14" t="s">
        <v>2137</v>
      </c>
      <c r="G60" s="118"/>
      <c r="H60" s="114" t="str">
        <f>Settings!$B$3&amp;".mit.ppin.stl.drg.1"</f>
        <v>egy.mit.ppin.stl.drg.1</v>
      </c>
      <c r="I60" t="s">
        <v>2139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1455</v>
      </c>
      <c r="C61" s="14" t="s">
        <v>43</v>
      </c>
      <c r="D61" s="15" t="s">
        <v>2140</v>
      </c>
      <c r="E61" s="16" t="s">
        <v>79</v>
      </c>
      <c r="F61" s="14" t="s">
        <v>2137</v>
      </c>
      <c r="G61" s="118"/>
      <c r="H61" s="114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1458</v>
      </c>
      <c r="C62" s="14" t="s">
        <v>43</v>
      </c>
      <c r="D62" s="15" t="s">
        <v>2141</v>
      </c>
      <c r="E62" s="16" t="s">
        <v>79</v>
      </c>
      <c r="F62" s="14" t="s">
        <v>2137</v>
      </c>
      <c r="G62" s="118"/>
      <c r="H62" s="114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1461</v>
      </c>
      <c r="C63" s="14" t="s">
        <v>113</v>
      </c>
      <c r="D63" s="15" t="s">
        <v>2142</v>
      </c>
      <c r="E63" s="16" t="s">
        <v>79</v>
      </c>
      <c r="F63" s="14" t="s">
        <v>2137</v>
      </c>
      <c r="G63" s="118"/>
      <c r="H63" s="114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1464</v>
      </c>
      <c r="C64" s="14" t="s">
        <v>117</v>
      </c>
      <c r="D64" s="15" t="s">
        <v>2143</v>
      </c>
      <c r="E64" s="16" t="s">
        <v>79</v>
      </c>
      <c r="F64" s="14" t="s">
        <v>2137</v>
      </c>
      <c r="G64" s="118"/>
      <c r="H64" s="114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1467</v>
      </c>
      <c r="C65" s="14" t="s">
        <v>117</v>
      </c>
      <c r="D65" s="15" t="s">
        <v>2144</v>
      </c>
      <c r="E65" s="16" t="s">
        <v>79</v>
      </c>
      <c r="F65" s="14" t="s">
        <v>2137</v>
      </c>
      <c r="G65" s="118"/>
      <c r="H65" s="114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1470</v>
      </c>
      <c r="C66" s="14" t="s">
        <v>117</v>
      </c>
      <c r="D66" s="15" t="s">
        <v>2145</v>
      </c>
      <c r="E66" s="16" t="s">
        <v>79</v>
      </c>
      <c r="F66" s="14" t="s">
        <v>2137</v>
      </c>
      <c r="G66" s="118"/>
      <c r="H66" s="114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1473</v>
      </c>
      <c r="C67" s="14" t="s">
        <v>115</v>
      </c>
      <c r="D67" s="15" t="s">
        <v>2146</v>
      </c>
      <c r="E67" s="16" t="s">
        <v>79</v>
      </c>
      <c r="F67" s="14" t="s">
        <v>2137</v>
      </c>
      <c r="G67" s="118"/>
      <c r="H67" s="114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2147</v>
      </c>
      <c r="D69" s="6" t="s">
        <v>1505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1452</v>
      </c>
      <c r="C70" s="14" t="s">
        <v>43</v>
      </c>
      <c r="D70" s="15" t="s">
        <v>2148</v>
      </c>
      <c r="E70" s="16" t="s">
        <v>1875</v>
      </c>
      <c r="F70" s="14" t="s">
        <v>2147</v>
      </c>
      <c r="G70" s="118"/>
      <c r="H70" s="114" t="str">
        <f>Settings!$B$3&amp;".mit.obr.stl.drg.1"</f>
        <v>egy.mit.obr.stl.drg.1</v>
      </c>
      <c r="I70" t="s">
        <v>2149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1455</v>
      </c>
      <c r="C71" s="14" t="s">
        <v>43</v>
      </c>
      <c r="D71" s="15" t="s">
        <v>2150</v>
      </c>
      <c r="E71" s="16" t="s">
        <v>1875</v>
      </c>
      <c r="F71" s="14" t="s">
        <v>2147</v>
      </c>
      <c r="G71" s="118"/>
      <c r="H71" s="114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1458</v>
      </c>
      <c r="C72" s="14" t="s">
        <v>43</v>
      </c>
      <c r="D72" s="15" t="s">
        <v>2151</v>
      </c>
      <c r="E72" s="16" t="s">
        <v>1875</v>
      </c>
      <c r="F72" s="14" t="s">
        <v>2147</v>
      </c>
      <c r="G72" s="118"/>
      <c r="H72" s="114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1461</v>
      </c>
      <c r="C73" s="14" t="s">
        <v>113</v>
      </c>
      <c r="D73" s="15" t="s">
        <v>2152</v>
      </c>
      <c r="E73" s="16" t="s">
        <v>1875</v>
      </c>
      <c r="F73" s="14" t="s">
        <v>2147</v>
      </c>
      <c r="G73" s="118"/>
      <c r="H73" s="114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1464</v>
      </c>
      <c r="C74" s="14" t="s">
        <v>117</v>
      </c>
      <c r="D74" s="15" t="s">
        <v>2153</v>
      </c>
      <c r="E74" s="16" t="s">
        <v>1875</v>
      </c>
      <c r="F74" s="14" t="s">
        <v>2147</v>
      </c>
      <c r="G74" s="118"/>
      <c r="H74" s="114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1467</v>
      </c>
      <c r="C75" s="14" t="s">
        <v>117</v>
      </c>
      <c r="D75" s="15" t="s">
        <v>2154</v>
      </c>
      <c r="E75" s="16" t="s">
        <v>1875</v>
      </c>
      <c r="F75" s="14" t="s">
        <v>2147</v>
      </c>
      <c r="G75" s="118"/>
      <c r="H75" s="114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1470</v>
      </c>
      <c r="C76" s="14" t="s">
        <v>117</v>
      </c>
      <c r="D76" s="15" t="s">
        <v>2155</v>
      </c>
      <c r="E76" s="16" t="s">
        <v>1875</v>
      </c>
      <c r="F76" s="14" t="s">
        <v>2147</v>
      </c>
      <c r="G76" s="118"/>
      <c r="H76" s="114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1473</v>
      </c>
      <c r="C77" s="14" t="s">
        <v>115</v>
      </c>
      <c r="D77" s="15" t="s">
        <v>2156</v>
      </c>
      <c r="E77" s="16" t="s">
        <v>1875</v>
      </c>
      <c r="F77" s="14" t="s">
        <v>2147</v>
      </c>
      <c r="G77" s="118"/>
      <c r="H77" s="114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2157</v>
      </c>
      <c r="E78" s="16" t="s">
        <v>1875</v>
      </c>
      <c r="F78" s="14" t="s">
        <v>2147</v>
      </c>
      <c r="G78" s="119"/>
      <c r="H78" s="114" t="str">
        <f>Settings!$B$3&amp;".mit.obr.cbam.tot.1"</f>
        <v>egy.mit.obr.cbam.tot.1</v>
      </c>
      <c r="L78" s="116">
        <f t="shared" ref="L78:AE78" si="24">SUM(L70:L77)</f>
        <v>0</v>
      </c>
      <c r="M78" s="116">
        <f t="shared" si="24"/>
        <v>0</v>
      </c>
      <c r="N78" s="116">
        <f t="shared" si="24"/>
        <v>0</v>
      </c>
      <c r="O78" s="116">
        <f t="shared" si="24"/>
        <v>0</v>
      </c>
      <c r="P78" s="116">
        <f t="shared" si="24"/>
        <v>0</v>
      </c>
      <c r="Q78" s="116">
        <f t="shared" si="24"/>
        <v>0</v>
      </c>
      <c r="R78" s="116">
        <f t="shared" si="24"/>
        <v>0</v>
      </c>
      <c r="S78" s="116">
        <f t="shared" si="24"/>
        <v>0</v>
      </c>
      <c r="T78" s="116">
        <f t="shared" si="24"/>
        <v>0</v>
      </c>
      <c r="U78" s="116">
        <f t="shared" si="24"/>
        <v>0</v>
      </c>
      <c r="V78" s="116">
        <f t="shared" si="24"/>
        <v>0</v>
      </c>
      <c r="W78" s="116">
        <f t="shared" si="24"/>
        <v>0</v>
      </c>
      <c r="X78" s="116">
        <f t="shared" si="24"/>
        <v>0</v>
      </c>
      <c r="Y78" s="116">
        <f t="shared" si="24"/>
        <v>0</v>
      </c>
      <c r="Z78" s="116">
        <f t="shared" si="24"/>
        <v>0</v>
      </c>
      <c r="AA78" s="116">
        <f t="shared" si="24"/>
        <v>0</v>
      </c>
      <c r="AB78" s="116">
        <f t="shared" si="24"/>
        <v>0</v>
      </c>
      <c r="AC78" s="116">
        <f t="shared" si="24"/>
        <v>0</v>
      </c>
      <c r="AD78" s="116">
        <f t="shared" si="24"/>
        <v>0</v>
      </c>
      <c r="AE78" s="116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1505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2158</v>
      </c>
      <c r="E81" s="16" t="s">
        <v>1875</v>
      </c>
      <c r="F81" s="14" t="s">
        <v>2147</v>
      </c>
      <c r="G81" s="119"/>
      <c r="H81" s="114" t="str">
        <f>Settings!$B$3&amp;".mit.obr.ind.irn.1"</f>
        <v>egy.mit.obr.ind.irn.1</v>
      </c>
      <c r="I81" t="s">
        <v>2159</v>
      </c>
      <c r="L81" s="116">
        <f t="shared" ref="L81:AE81" si="25">L$70+L$71+L$72</f>
        <v>0</v>
      </c>
      <c r="M81" s="116">
        <f t="shared" si="25"/>
        <v>0</v>
      </c>
      <c r="N81" s="116">
        <f t="shared" si="25"/>
        <v>0</v>
      </c>
      <c r="O81" s="116">
        <f t="shared" si="25"/>
        <v>0</v>
      </c>
      <c r="P81" s="116">
        <f t="shared" si="25"/>
        <v>0</v>
      </c>
      <c r="Q81" s="116">
        <f t="shared" si="25"/>
        <v>0</v>
      </c>
      <c r="R81" s="116">
        <f t="shared" si="25"/>
        <v>0</v>
      </c>
      <c r="S81" s="116">
        <f t="shared" si="25"/>
        <v>0</v>
      </c>
      <c r="T81" s="116">
        <f t="shared" si="25"/>
        <v>0</v>
      </c>
      <c r="U81" s="116">
        <f t="shared" si="25"/>
        <v>0</v>
      </c>
      <c r="V81" s="116">
        <f t="shared" si="25"/>
        <v>0</v>
      </c>
      <c r="W81" s="116">
        <f t="shared" si="25"/>
        <v>0</v>
      </c>
      <c r="X81" s="116">
        <f t="shared" si="25"/>
        <v>0</v>
      </c>
      <c r="Y81" s="116">
        <f t="shared" si="25"/>
        <v>0</v>
      </c>
      <c r="Z81" s="116">
        <f t="shared" si="25"/>
        <v>0</v>
      </c>
      <c r="AA81" s="116">
        <f t="shared" si="25"/>
        <v>0</v>
      </c>
      <c r="AB81" s="116">
        <f t="shared" si="25"/>
        <v>0</v>
      </c>
      <c r="AC81" s="116">
        <f t="shared" si="25"/>
        <v>0</v>
      </c>
      <c r="AD81" s="116">
        <f t="shared" si="25"/>
        <v>0</v>
      </c>
      <c r="AE81" s="116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2160</v>
      </c>
      <c r="E82" s="16" t="s">
        <v>1875</v>
      </c>
      <c r="F82" s="14" t="s">
        <v>2161</v>
      </c>
      <c r="G82" s="119"/>
      <c r="H82" s="114" t="str">
        <f>Settings!$B$3&amp;".mit.ccf.ind.irn.1"</f>
        <v>egy.mit.ccf.ind.irn.1</v>
      </c>
      <c r="L82" s="116">
        <f>L$20*Mitigation_Industry!L$276/1000+L$21*Mitigation_Industry!L$277/1000+L$22*Mitigation_Industry!L$278/1000</f>
        <v>0</v>
      </c>
      <c r="M82" s="116">
        <f>M$20*Mitigation_Industry!M$276/1000+M$21*Mitigation_Industry!M$277/1000+M$22*Mitigation_Industry!M$278/1000</f>
        <v>0</v>
      </c>
      <c r="N82" s="116">
        <f>N$20*Mitigation_Industry!N$276/1000+N$21*Mitigation_Industry!N$277/1000+N$22*Mitigation_Industry!N$278/1000</f>
        <v>0</v>
      </c>
      <c r="O82" s="116">
        <f>O$20*Mitigation_Industry!O$276/1000+O$21*Mitigation_Industry!O$277/1000+O$22*Mitigation_Industry!O$278/1000</f>
        <v>0</v>
      </c>
      <c r="P82" s="116">
        <f>P$20*Mitigation_Industry!P$276/1000+P$21*Mitigation_Industry!P$277/1000+P$22*Mitigation_Industry!P$278/1000</f>
        <v>0</v>
      </c>
      <c r="Q82" s="116">
        <f>Q$20*Mitigation_Industry!Q$276/1000+Q$21*Mitigation_Industry!Q$277/1000+Q$22*Mitigation_Industry!Q$278/1000</f>
        <v>0</v>
      </c>
      <c r="R82" s="116">
        <f>R$20*Mitigation_Industry!R$276/1000+R$21*Mitigation_Industry!R$277/1000+R$22*Mitigation_Industry!R$278/1000</f>
        <v>0</v>
      </c>
      <c r="S82" s="116">
        <f>S$20*Mitigation_Industry!S$276/1000+S$21*Mitigation_Industry!S$277/1000+S$22*Mitigation_Industry!S$278/1000</f>
        <v>0</v>
      </c>
      <c r="T82" s="116">
        <f>T$20*Mitigation_Industry!T$276/1000+T$21*Mitigation_Industry!T$277/1000+T$22*Mitigation_Industry!T$278/1000</f>
        <v>0</v>
      </c>
      <c r="U82" s="116">
        <f>U$20*Mitigation_Industry!U$276/1000+U$21*Mitigation_Industry!U$277/1000+U$22*Mitigation_Industry!U$278/1000</f>
        <v>0</v>
      </c>
      <c r="V82" s="116">
        <f>V$20*Mitigation_Industry!V$276/1000+V$21*Mitigation_Industry!V$277/1000+V$22*Mitigation_Industry!V$278/1000</f>
        <v>0</v>
      </c>
      <c r="W82" s="116">
        <f>W$20*Mitigation_Industry!W$276/1000+W$21*Mitigation_Industry!W$277/1000+W$22*Mitigation_Industry!W$278/1000</f>
        <v>0</v>
      </c>
      <c r="X82" s="116">
        <f>X$20*Mitigation_Industry!X$276/1000+X$21*Mitigation_Industry!X$277/1000+X$22*Mitigation_Industry!X$278/1000</f>
        <v>0</v>
      </c>
      <c r="Y82" s="116">
        <f>Y$20*Mitigation_Industry!Y$276/1000+Y$21*Mitigation_Industry!Y$277/1000+Y$22*Mitigation_Industry!Y$278/1000</f>
        <v>0</v>
      </c>
      <c r="Z82" s="116">
        <f>Z$20*Mitigation_Industry!Z$276/1000+Z$21*Mitigation_Industry!Z$277/1000+Z$22*Mitigation_Industry!Z$278/1000</f>
        <v>0</v>
      </c>
      <c r="AA82" s="116">
        <f>AA$20*Mitigation_Industry!AA$276/1000+AA$21*Mitigation_Industry!AA$277/1000+AA$22*Mitigation_Industry!AA$278/1000</f>
        <v>0</v>
      </c>
      <c r="AB82" s="116">
        <f>AB$20*Mitigation_Industry!AB$276/1000+AB$21*Mitigation_Industry!AB$277/1000+AB$22*Mitigation_Industry!AB$278/1000</f>
        <v>0</v>
      </c>
      <c r="AC82" s="116">
        <f>AC$20*Mitigation_Industry!AC$276/1000+AC$21*Mitigation_Industry!AC$277/1000+AC$22*Mitigation_Industry!AC$278/1000</f>
        <v>0</v>
      </c>
      <c r="AD82" s="116">
        <f>AD$20*Mitigation_Industry!AD$276/1000+AD$21*Mitigation_Industry!AD$277/1000+AD$22*Mitigation_Industry!AD$278/1000</f>
        <v>0</v>
      </c>
      <c r="AE82" s="116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2162</v>
      </c>
      <c r="E83" s="16" t="s">
        <v>79</v>
      </c>
      <c r="F83" s="14" t="s">
        <v>2163</v>
      </c>
      <c r="G83" s="119"/>
      <c r="H83" s="114" t="str">
        <f>Settings!$B$3&amp;".mit.rsh.ind.irn.1"</f>
        <v>egy.mit.rsh.ind.irn.1</v>
      </c>
      <c r="I83" t="s">
        <v>2164</v>
      </c>
      <c r="L83" s="116">
        <f t="shared" ref="L83:AE83" si="26">IF(L$82&lt;=0,0,MIN(1,L$81/L$82))</f>
        <v>0</v>
      </c>
      <c r="M83" s="116">
        <f t="shared" si="26"/>
        <v>0</v>
      </c>
      <c r="N83" s="116">
        <f t="shared" si="26"/>
        <v>0</v>
      </c>
      <c r="O83" s="116">
        <f t="shared" si="26"/>
        <v>0</v>
      </c>
      <c r="P83" s="116">
        <f t="shared" si="26"/>
        <v>0</v>
      </c>
      <c r="Q83" s="116">
        <f t="shared" si="26"/>
        <v>0</v>
      </c>
      <c r="R83" s="116">
        <f t="shared" si="26"/>
        <v>0</v>
      </c>
      <c r="S83" s="116">
        <f t="shared" si="26"/>
        <v>0</v>
      </c>
      <c r="T83" s="116">
        <f t="shared" si="26"/>
        <v>0</v>
      </c>
      <c r="U83" s="116">
        <f t="shared" si="26"/>
        <v>0</v>
      </c>
      <c r="V83" s="116">
        <f t="shared" si="26"/>
        <v>0</v>
      </c>
      <c r="W83" s="116">
        <f t="shared" si="26"/>
        <v>0</v>
      </c>
      <c r="X83" s="116">
        <f t="shared" si="26"/>
        <v>0</v>
      </c>
      <c r="Y83" s="116">
        <f t="shared" si="26"/>
        <v>0</v>
      </c>
      <c r="Z83" s="116">
        <f t="shared" si="26"/>
        <v>0</v>
      </c>
      <c r="AA83" s="116">
        <f t="shared" si="26"/>
        <v>0</v>
      </c>
      <c r="AB83" s="116">
        <f t="shared" si="26"/>
        <v>0</v>
      </c>
      <c r="AC83" s="116">
        <f t="shared" si="26"/>
        <v>0</v>
      </c>
      <c r="AD83" s="116">
        <f t="shared" si="26"/>
        <v>0</v>
      </c>
      <c r="AE83" s="116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2165</v>
      </c>
      <c r="E84" s="16" t="s">
        <v>51</v>
      </c>
      <c r="F84" s="14" t="s">
        <v>2166</v>
      </c>
      <c r="G84" s="118"/>
      <c r="H84" s="114" t="str">
        <f>Settings!$B$3&amp;".mit.atpn.irn.coa.e.1"</f>
        <v>egy.mit.atpn.irn.coa.e.1</v>
      </c>
      <c r="I84" t="s">
        <v>2167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2168</v>
      </c>
      <c r="E85" s="16" t="s">
        <v>51</v>
      </c>
      <c r="F85" s="14" t="s">
        <v>2166</v>
      </c>
      <c r="G85" s="118"/>
      <c r="H85" s="114" t="str">
        <f>Settings!$B$3&amp;".mit.atpn.irn.nga.e.1"</f>
        <v>egy.mit.atpn.irn.nga.e.1</v>
      </c>
      <c r="I85" t="s">
        <v>2169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2170</v>
      </c>
      <c r="E86" s="16" t="s">
        <v>57</v>
      </c>
      <c r="F86" s="14" t="s">
        <v>2166</v>
      </c>
      <c r="G86" s="118"/>
      <c r="H86" s="114" t="str">
        <f>Settings!$B$3&amp;".mit.atpn.irn.gso.e.1"</f>
        <v>egy.mit.atpn.irn.gso.e.1</v>
      </c>
      <c r="I86" t="s">
        <v>2171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2172</v>
      </c>
      <c r="E87" s="16" t="s">
        <v>57</v>
      </c>
      <c r="F87" s="14" t="s">
        <v>2166</v>
      </c>
      <c r="G87" s="118"/>
      <c r="H87" s="114" t="str">
        <f>Settings!$B$3&amp;".mit.atpn.irn.die.e.1"</f>
        <v>egy.mit.atpn.irn.die.e.1</v>
      </c>
      <c r="I87" t="s">
        <v>2173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2174</v>
      </c>
      <c r="E88" s="16" t="s">
        <v>57</v>
      </c>
      <c r="F88" s="14" t="s">
        <v>2166</v>
      </c>
      <c r="G88" s="118"/>
      <c r="H88" s="114" t="str">
        <f>Settings!$B$3&amp;".mit.atpn.irn.lpg.e.1"</f>
        <v>egy.mit.atpn.irn.lpg.e.1</v>
      </c>
      <c r="I88" t="s">
        <v>2175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2176</v>
      </c>
      <c r="E89" s="16" t="s">
        <v>57</v>
      </c>
      <c r="F89" s="14" t="s">
        <v>2166</v>
      </c>
      <c r="G89" s="118"/>
      <c r="H89" s="114" t="str">
        <f>Settings!$B$3&amp;".mit.atpn.irn.ker.e.1"</f>
        <v>egy.mit.atpn.irn.ker.e.1</v>
      </c>
      <c r="I89" t="s">
        <v>2177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2178</v>
      </c>
      <c r="E90" s="16" t="s">
        <v>66</v>
      </c>
      <c r="F90" s="14" t="s">
        <v>2166</v>
      </c>
      <c r="G90" s="118"/>
      <c r="H90" s="114" t="str">
        <f>Settings!$B$3&amp;".mit.atpn.irn.oop.e.1"</f>
        <v>egy.mit.atpn.irn.oop.e.1</v>
      </c>
      <c r="I90" t="s">
        <v>2179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2180</v>
      </c>
      <c r="E91" s="16" t="s">
        <v>51</v>
      </c>
      <c r="F91" s="14" t="s">
        <v>2166</v>
      </c>
      <c r="G91" s="118"/>
      <c r="H91" s="114" t="str">
        <f>Settings!$B$3&amp;".mit.atpn.irn.bio.e.1"</f>
        <v>egy.mit.atpn.irn.bio.e.1</v>
      </c>
      <c r="I91" t="s">
        <v>2181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2182</v>
      </c>
      <c r="E92" s="16" t="s">
        <v>71</v>
      </c>
      <c r="F92" s="14" t="s">
        <v>2166</v>
      </c>
      <c r="G92" s="118"/>
      <c r="H92" s="114" t="str">
        <f>Settings!$B$3&amp;".mit.atpn.irn.ren.e.1"</f>
        <v>egy.mit.atpn.irn.ren.e.1</v>
      </c>
      <c r="I92" t="s">
        <v>2183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1505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2158</v>
      </c>
      <c r="E95" s="16" t="s">
        <v>1875</v>
      </c>
      <c r="F95" s="14" t="s">
        <v>2147</v>
      </c>
      <c r="G95" s="119"/>
      <c r="H95" s="114" t="str">
        <f>Settings!$B$3&amp;".mit.obr.ind.cem.1"</f>
        <v>egy.mit.obr.ind.cem.1</v>
      </c>
      <c r="I95" t="s">
        <v>2184</v>
      </c>
      <c r="L95" s="116">
        <f t="shared" ref="L95:AE95" si="27">L$73</f>
        <v>0</v>
      </c>
      <c r="M95" s="116">
        <f t="shared" si="27"/>
        <v>0</v>
      </c>
      <c r="N95" s="116">
        <f t="shared" si="27"/>
        <v>0</v>
      </c>
      <c r="O95" s="116">
        <f t="shared" si="27"/>
        <v>0</v>
      </c>
      <c r="P95" s="116">
        <f t="shared" si="27"/>
        <v>0</v>
      </c>
      <c r="Q95" s="116">
        <f t="shared" si="27"/>
        <v>0</v>
      </c>
      <c r="R95" s="116">
        <f t="shared" si="27"/>
        <v>0</v>
      </c>
      <c r="S95" s="116">
        <f t="shared" si="27"/>
        <v>0</v>
      </c>
      <c r="T95" s="116">
        <f t="shared" si="27"/>
        <v>0</v>
      </c>
      <c r="U95" s="116">
        <f t="shared" si="27"/>
        <v>0</v>
      </c>
      <c r="V95" s="116">
        <f t="shared" si="27"/>
        <v>0</v>
      </c>
      <c r="W95" s="116">
        <f t="shared" si="27"/>
        <v>0</v>
      </c>
      <c r="X95" s="116">
        <f t="shared" si="27"/>
        <v>0</v>
      </c>
      <c r="Y95" s="116">
        <f t="shared" si="27"/>
        <v>0</v>
      </c>
      <c r="Z95" s="116">
        <f t="shared" si="27"/>
        <v>0</v>
      </c>
      <c r="AA95" s="116">
        <f t="shared" si="27"/>
        <v>0</v>
      </c>
      <c r="AB95" s="116">
        <f t="shared" si="27"/>
        <v>0</v>
      </c>
      <c r="AC95" s="116">
        <f t="shared" si="27"/>
        <v>0</v>
      </c>
      <c r="AD95" s="116">
        <f t="shared" si="27"/>
        <v>0</v>
      </c>
      <c r="AE95" s="116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2160</v>
      </c>
      <c r="E96" s="16" t="s">
        <v>1875</v>
      </c>
      <c r="F96" s="14" t="s">
        <v>2161</v>
      </c>
      <c r="G96" s="119"/>
      <c r="H96" s="114" t="str">
        <f>Settings!$B$3&amp;".mit.ccf.ind.cem.1"</f>
        <v>egy.mit.ccf.ind.cem.1</v>
      </c>
      <c r="L96" s="116">
        <f>L$23*Mitigation_Industry!L$279/1000</f>
        <v>0</v>
      </c>
      <c r="M96" s="116">
        <f>M$23*Mitigation_Industry!M$279/1000</f>
        <v>0</v>
      </c>
      <c r="N96" s="116">
        <f>N$23*Mitigation_Industry!N$279/1000</f>
        <v>0</v>
      </c>
      <c r="O96" s="116">
        <f>O$23*Mitigation_Industry!O$279/1000</f>
        <v>0</v>
      </c>
      <c r="P96" s="116">
        <f>P$23*Mitigation_Industry!P$279/1000</f>
        <v>0</v>
      </c>
      <c r="Q96" s="116">
        <f>Q$23*Mitigation_Industry!Q$279/1000</f>
        <v>0</v>
      </c>
      <c r="R96" s="116">
        <f>R$23*Mitigation_Industry!R$279/1000</f>
        <v>0</v>
      </c>
      <c r="S96" s="116">
        <f>S$23*Mitigation_Industry!S$279/1000</f>
        <v>0</v>
      </c>
      <c r="T96" s="116">
        <f>T$23*Mitigation_Industry!T$279/1000</f>
        <v>0</v>
      </c>
      <c r="U96" s="116">
        <f>U$23*Mitigation_Industry!U$279/1000</f>
        <v>0</v>
      </c>
      <c r="V96" s="116">
        <f>V$23*Mitigation_Industry!V$279/1000</f>
        <v>0</v>
      </c>
      <c r="W96" s="116">
        <f>W$23*Mitigation_Industry!W$279/1000</f>
        <v>0</v>
      </c>
      <c r="X96" s="116">
        <f>X$23*Mitigation_Industry!X$279/1000</f>
        <v>0</v>
      </c>
      <c r="Y96" s="116">
        <f>Y$23*Mitigation_Industry!Y$279/1000</f>
        <v>0</v>
      </c>
      <c r="Z96" s="116">
        <f>Z$23*Mitigation_Industry!Z$279/1000</f>
        <v>0</v>
      </c>
      <c r="AA96" s="116">
        <f>AA$23*Mitigation_Industry!AA$279/1000</f>
        <v>0</v>
      </c>
      <c r="AB96" s="116">
        <f>AB$23*Mitigation_Industry!AB$279/1000</f>
        <v>0</v>
      </c>
      <c r="AC96" s="116">
        <f>AC$23*Mitigation_Industry!AC$279/1000</f>
        <v>0</v>
      </c>
      <c r="AD96" s="116">
        <f>AD$23*Mitigation_Industry!AD$279/1000</f>
        <v>0</v>
      </c>
      <c r="AE96" s="116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2162</v>
      </c>
      <c r="E97" s="16" t="s">
        <v>79</v>
      </c>
      <c r="F97" s="14" t="s">
        <v>2163</v>
      </c>
      <c r="G97" s="119"/>
      <c r="H97" s="114" t="str">
        <f>Settings!$B$3&amp;".mit.rsh.ind.cem.1"</f>
        <v>egy.mit.rsh.ind.cem.1</v>
      </c>
      <c r="I97" t="s">
        <v>2164</v>
      </c>
      <c r="L97" s="116">
        <f t="shared" ref="L97:AE97" si="28">IF(L$96&lt;=0,0,MIN(1,L$95/L$96))</f>
        <v>0</v>
      </c>
      <c r="M97" s="116">
        <f t="shared" si="28"/>
        <v>0</v>
      </c>
      <c r="N97" s="116">
        <f t="shared" si="28"/>
        <v>0</v>
      </c>
      <c r="O97" s="116">
        <f t="shared" si="28"/>
        <v>0</v>
      </c>
      <c r="P97" s="116">
        <f t="shared" si="28"/>
        <v>0</v>
      </c>
      <c r="Q97" s="116">
        <f t="shared" si="28"/>
        <v>0</v>
      </c>
      <c r="R97" s="116">
        <f t="shared" si="28"/>
        <v>0</v>
      </c>
      <c r="S97" s="116">
        <f t="shared" si="28"/>
        <v>0</v>
      </c>
      <c r="T97" s="116">
        <f t="shared" si="28"/>
        <v>0</v>
      </c>
      <c r="U97" s="116">
        <f t="shared" si="28"/>
        <v>0</v>
      </c>
      <c r="V97" s="116">
        <f t="shared" si="28"/>
        <v>0</v>
      </c>
      <c r="W97" s="116">
        <f t="shared" si="28"/>
        <v>0</v>
      </c>
      <c r="X97" s="116">
        <f t="shared" si="28"/>
        <v>0</v>
      </c>
      <c r="Y97" s="116">
        <f t="shared" si="28"/>
        <v>0</v>
      </c>
      <c r="Z97" s="116">
        <f t="shared" si="28"/>
        <v>0</v>
      </c>
      <c r="AA97" s="116">
        <f t="shared" si="28"/>
        <v>0</v>
      </c>
      <c r="AB97" s="116">
        <f t="shared" si="28"/>
        <v>0</v>
      </c>
      <c r="AC97" s="116">
        <f t="shared" si="28"/>
        <v>0</v>
      </c>
      <c r="AD97" s="116">
        <f t="shared" si="28"/>
        <v>0</v>
      </c>
      <c r="AE97" s="116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2165</v>
      </c>
      <c r="E98" s="16" t="s">
        <v>51</v>
      </c>
      <c r="F98" s="14" t="s">
        <v>2166</v>
      </c>
      <c r="G98" s="118"/>
      <c r="H98" s="114" t="str">
        <f>Settings!$B$3&amp;".mit.atpn.cem.coa.e.1"</f>
        <v>egy.mit.atpn.cem.coa.e.1</v>
      </c>
      <c r="I98" t="s">
        <v>2185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2168</v>
      </c>
      <c r="E99" s="16" t="s">
        <v>51</v>
      </c>
      <c r="F99" s="14" t="s">
        <v>2166</v>
      </c>
      <c r="G99" s="118"/>
      <c r="H99" s="114" t="str">
        <f>Settings!$B$3&amp;".mit.atpn.cem.nga.e.1"</f>
        <v>egy.mit.atpn.cem.nga.e.1</v>
      </c>
      <c r="I99" t="s">
        <v>2186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2170</v>
      </c>
      <c r="E100" s="16" t="s">
        <v>57</v>
      </c>
      <c r="F100" s="14" t="s">
        <v>2166</v>
      </c>
      <c r="G100" s="118"/>
      <c r="H100" s="114" t="str">
        <f>Settings!$B$3&amp;".mit.atpn.cem.gso.e.1"</f>
        <v>egy.mit.atpn.cem.gso.e.1</v>
      </c>
      <c r="I100" t="s">
        <v>2187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2172</v>
      </c>
      <c r="E101" s="16" t="s">
        <v>57</v>
      </c>
      <c r="F101" s="14" t="s">
        <v>2166</v>
      </c>
      <c r="G101" s="118"/>
      <c r="H101" s="114" t="str">
        <f>Settings!$B$3&amp;".mit.atpn.cem.die.e.1"</f>
        <v>egy.mit.atpn.cem.die.e.1</v>
      </c>
      <c r="I101" t="s">
        <v>2188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2174</v>
      </c>
      <c r="E102" s="16" t="s">
        <v>57</v>
      </c>
      <c r="F102" s="14" t="s">
        <v>2166</v>
      </c>
      <c r="G102" s="118"/>
      <c r="H102" s="114" t="str">
        <f>Settings!$B$3&amp;".mit.atpn.cem.lpg.e.1"</f>
        <v>egy.mit.atpn.cem.lpg.e.1</v>
      </c>
      <c r="I102" t="s">
        <v>2189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2176</v>
      </c>
      <c r="E103" s="16" t="s">
        <v>57</v>
      </c>
      <c r="F103" s="14" t="s">
        <v>2166</v>
      </c>
      <c r="G103" s="118"/>
      <c r="H103" s="114" t="str">
        <f>Settings!$B$3&amp;".mit.atpn.cem.ker.e.1"</f>
        <v>egy.mit.atpn.cem.ker.e.1</v>
      </c>
      <c r="I103" t="s">
        <v>2190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2178</v>
      </c>
      <c r="E104" s="16" t="s">
        <v>66</v>
      </c>
      <c r="F104" s="14" t="s">
        <v>2166</v>
      </c>
      <c r="G104" s="118"/>
      <c r="H104" s="114" t="str">
        <f>Settings!$B$3&amp;".mit.atpn.cem.oop.e.1"</f>
        <v>egy.mit.atpn.cem.oop.e.1</v>
      </c>
      <c r="I104" t="s">
        <v>2191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2180</v>
      </c>
      <c r="E105" s="16" t="s">
        <v>51</v>
      </c>
      <c r="F105" s="14" t="s">
        <v>2166</v>
      </c>
      <c r="G105" s="118"/>
      <c r="H105" s="114" t="str">
        <f>Settings!$B$3&amp;".mit.atpn.cem.bio.e.1"</f>
        <v>egy.mit.atpn.cem.bio.e.1</v>
      </c>
      <c r="I105" t="s">
        <v>2192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2182</v>
      </c>
      <c r="E106" s="16" t="s">
        <v>71</v>
      </c>
      <c r="F106" s="14" t="s">
        <v>2166</v>
      </c>
      <c r="G106" s="118"/>
      <c r="H106" s="114" t="str">
        <f>Settings!$B$3&amp;".mit.atpn.cem.ren.e.1"</f>
        <v>egy.mit.atpn.cem.ren.e.1</v>
      </c>
      <c r="I106" t="s">
        <v>2193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1505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2158</v>
      </c>
      <c r="E109" s="16" t="s">
        <v>1875</v>
      </c>
      <c r="F109" s="14" t="s">
        <v>2147</v>
      </c>
      <c r="G109" s="119"/>
      <c r="H109" s="114" t="str">
        <f>Settings!$B$3&amp;".mit.obr.ind.nfm.1"</f>
        <v>egy.mit.obr.ind.nfm.1</v>
      </c>
      <c r="I109" t="s">
        <v>2194</v>
      </c>
      <c r="L109" s="116">
        <f t="shared" ref="L109:AE109" si="29">L$77</f>
        <v>0</v>
      </c>
      <c r="M109" s="116">
        <f t="shared" si="29"/>
        <v>0</v>
      </c>
      <c r="N109" s="116">
        <f t="shared" si="29"/>
        <v>0</v>
      </c>
      <c r="O109" s="116">
        <f t="shared" si="29"/>
        <v>0</v>
      </c>
      <c r="P109" s="116">
        <f t="shared" si="29"/>
        <v>0</v>
      </c>
      <c r="Q109" s="116">
        <f t="shared" si="29"/>
        <v>0</v>
      </c>
      <c r="R109" s="116">
        <f t="shared" si="29"/>
        <v>0</v>
      </c>
      <c r="S109" s="116">
        <f t="shared" si="29"/>
        <v>0</v>
      </c>
      <c r="T109" s="116">
        <f t="shared" si="29"/>
        <v>0</v>
      </c>
      <c r="U109" s="116">
        <f t="shared" si="29"/>
        <v>0</v>
      </c>
      <c r="V109" s="116">
        <f t="shared" si="29"/>
        <v>0</v>
      </c>
      <c r="W109" s="116">
        <f t="shared" si="29"/>
        <v>0</v>
      </c>
      <c r="X109" s="116">
        <f t="shared" si="29"/>
        <v>0</v>
      </c>
      <c r="Y109" s="116">
        <f t="shared" si="29"/>
        <v>0</v>
      </c>
      <c r="Z109" s="116">
        <f t="shared" si="29"/>
        <v>0</v>
      </c>
      <c r="AA109" s="116">
        <f t="shared" si="29"/>
        <v>0</v>
      </c>
      <c r="AB109" s="116">
        <f t="shared" si="29"/>
        <v>0</v>
      </c>
      <c r="AC109" s="116">
        <f t="shared" si="29"/>
        <v>0</v>
      </c>
      <c r="AD109" s="116">
        <f t="shared" si="29"/>
        <v>0</v>
      </c>
      <c r="AE109" s="116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2160</v>
      </c>
      <c r="E110" s="16" t="s">
        <v>1875</v>
      </c>
      <c r="F110" s="14" t="s">
        <v>2161</v>
      </c>
      <c r="G110" s="119"/>
      <c r="H110" s="114" t="str">
        <f>Settings!$B$3&amp;".mit.ccf.ind.nfm.1"</f>
        <v>egy.mit.ccf.ind.nfm.1</v>
      </c>
      <c r="L110" s="116">
        <f>L$27*Mitigation_Industry!L$283/1000</f>
        <v>0</v>
      </c>
      <c r="M110" s="116">
        <f>M$27*Mitigation_Industry!M$283/1000</f>
        <v>0</v>
      </c>
      <c r="N110" s="116">
        <f>N$27*Mitigation_Industry!N$283/1000</f>
        <v>0</v>
      </c>
      <c r="O110" s="116">
        <f>O$27*Mitigation_Industry!O$283/1000</f>
        <v>0</v>
      </c>
      <c r="P110" s="116">
        <f>P$27*Mitigation_Industry!P$283/1000</f>
        <v>0</v>
      </c>
      <c r="Q110" s="116">
        <f>Q$27*Mitigation_Industry!Q$283/1000</f>
        <v>0</v>
      </c>
      <c r="R110" s="116">
        <f>R$27*Mitigation_Industry!R$283/1000</f>
        <v>0</v>
      </c>
      <c r="S110" s="116">
        <f>S$27*Mitigation_Industry!S$283/1000</f>
        <v>0</v>
      </c>
      <c r="T110" s="116">
        <f>T$27*Mitigation_Industry!T$283/1000</f>
        <v>0</v>
      </c>
      <c r="U110" s="116">
        <f>U$27*Mitigation_Industry!U$283/1000</f>
        <v>0</v>
      </c>
      <c r="V110" s="116">
        <f>V$27*Mitigation_Industry!V$283/1000</f>
        <v>0</v>
      </c>
      <c r="W110" s="116">
        <f>W$27*Mitigation_Industry!W$283/1000</f>
        <v>0</v>
      </c>
      <c r="X110" s="116">
        <f>X$27*Mitigation_Industry!X$283/1000</f>
        <v>0</v>
      </c>
      <c r="Y110" s="116">
        <f>Y$27*Mitigation_Industry!Y$283/1000</f>
        <v>0</v>
      </c>
      <c r="Z110" s="116">
        <f>Z$27*Mitigation_Industry!Z$283/1000</f>
        <v>0</v>
      </c>
      <c r="AA110" s="116">
        <f>AA$27*Mitigation_Industry!AA$283/1000</f>
        <v>0</v>
      </c>
      <c r="AB110" s="116">
        <f>AB$27*Mitigation_Industry!AB$283/1000</f>
        <v>0</v>
      </c>
      <c r="AC110" s="116">
        <f>AC$27*Mitigation_Industry!AC$283/1000</f>
        <v>0</v>
      </c>
      <c r="AD110" s="116">
        <f>AD$27*Mitigation_Industry!AD$283/1000</f>
        <v>0</v>
      </c>
      <c r="AE110" s="116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2162</v>
      </c>
      <c r="E111" s="16" t="s">
        <v>79</v>
      </c>
      <c r="F111" s="14" t="s">
        <v>2163</v>
      </c>
      <c r="G111" s="119"/>
      <c r="H111" s="114" t="str">
        <f>Settings!$B$3&amp;".mit.rsh.ind.nfm.1"</f>
        <v>egy.mit.rsh.ind.nfm.1</v>
      </c>
      <c r="I111" t="s">
        <v>2164</v>
      </c>
      <c r="L111" s="116">
        <f t="shared" ref="L111:AE111" si="30">IF(L$110&lt;=0,0,MIN(1,L$109/L$110))</f>
        <v>0</v>
      </c>
      <c r="M111" s="116">
        <f t="shared" si="30"/>
        <v>0</v>
      </c>
      <c r="N111" s="116">
        <f t="shared" si="30"/>
        <v>0</v>
      </c>
      <c r="O111" s="116">
        <f t="shared" si="30"/>
        <v>0</v>
      </c>
      <c r="P111" s="116">
        <f t="shared" si="30"/>
        <v>0</v>
      </c>
      <c r="Q111" s="116">
        <f t="shared" si="30"/>
        <v>0</v>
      </c>
      <c r="R111" s="116">
        <f t="shared" si="30"/>
        <v>0</v>
      </c>
      <c r="S111" s="116">
        <f t="shared" si="30"/>
        <v>0</v>
      </c>
      <c r="T111" s="116">
        <f t="shared" si="30"/>
        <v>0</v>
      </c>
      <c r="U111" s="116">
        <f t="shared" si="30"/>
        <v>0</v>
      </c>
      <c r="V111" s="116">
        <f t="shared" si="30"/>
        <v>0</v>
      </c>
      <c r="W111" s="116">
        <f t="shared" si="30"/>
        <v>0</v>
      </c>
      <c r="X111" s="116">
        <f t="shared" si="30"/>
        <v>0</v>
      </c>
      <c r="Y111" s="116">
        <f t="shared" si="30"/>
        <v>0</v>
      </c>
      <c r="Z111" s="116">
        <f t="shared" si="30"/>
        <v>0</v>
      </c>
      <c r="AA111" s="116">
        <f t="shared" si="30"/>
        <v>0</v>
      </c>
      <c r="AB111" s="116">
        <f t="shared" si="30"/>
        <v>0</v>
      </c>
      <c r="AC111" s="116">
        <f t="shared" si="30"/>
        <v>0</v>
      </c>
      <c r="AD111" s="116">
        <f t="shared" si="30"/>
        <v>0</v>
      </c>
      <c r="AE111" s="116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2165</v>
      </c>
      <c r="E112" s="16" t="s">
        <v>51</v>
      </c>
      <c r="F112" s="14" t="s">
        <v>2166</v>
      </c>
      <c r="G112" s="118"/>
      <c r="H112" s="114" t="str">
        <f>Settings!$B$3&amp;".mit.atpn.nfm.coa.e.1"</f>
        <v>egy.mit.atpn.nfm.coa.e.1</v>
      </c>
      <c r="I112" t="s">
        <v>2195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2168</v>
      </c>
      <c r="E113" s="16" t="s">
        <v>51</v>
      </c>
      <c r="F113" s="14" t="s">
        <v>2166</v>
      </c>
      <c r="G113" s="118"/>
      <c r="H113" s="114" t="str">
        <f>Settings!$B$3&amp;".mit.atpn.nfm.nga.e.1"</f>
        <v>egy.mit.atpn.nfm.nga.e.1</v>
      </c>
      <c r="I113" t="s">
        <v>2196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2170</v>
      </c>
      <c r="E114" s="16" t="s">
        <v>57</v>
      </c>
      <c r="F114" s="14" t="s">
        <v>2166</v>
      </c>
      <c r="G114" s="118"/>
      <c r="H114" s="114" t="str">
        <f>Settings!$B$3&amp;".mit.atpn.nfm.gso.e.1"</f>
        <v>egy.mit.atpn.nfm.gso.e.1</v>
      </c>
      <c r="I114" t="s">
        <v>2197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2172</v>
      </c>
      <c r="E115" s="16" t="s">
        <v>57</v>
      </c>
      <c r="F115" s="14" t="s">
        <v>2166</v>
      </c>
      <c r="G115" s="118"/>
      <c r="H115" s="114" t="str">
        <f>Settings!$B$3&amp;".mit.atpn.nfm.die.e.1"</f>
        <v>egy.mit.atpn.nfm.die.e.1</v>
      </c>
      <c r="I115" t="s">
        <v>2198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2174</v>
      </c>
      <c r="E116" s="16" t="s">
        <v>57</v>
      </c>
      <c r="F116" s="14" t="s">
        <v>2166</v>
      </c>
      <c r="G116" s="118"/>
      <c r="H116" s="114" t="str">
        <f>Settings!$B$3&amp;".mit.atpn.nfm.lpg.e.1"</f>
        <v>egy.mit.atpn.nfm.lpg.e.1</v>
      </c>
      <c r="I116" t="s">
        <v>2199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2176</v>
      </c>
      <c r="E117" s="16" t="s">
        <v>57</v>
      </c>
      <c r="F117" s="14" t="s">
        <v>2166</v>
      </c>
      <c r="G117" s="118"/>
      <c r="H117" s="114" t="str">
        <f>Settings!$B$3&amp;".mit.atpn.nfm.ker.e.1"</f>
        <v>egy.mit.atpn.nfm.ker.e.1</v>
      </c>
      <c r="I117" t="s">
        <v>2200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2178</v>
      </c>
      <c r="E118" s="16" t="s">
        <v>66</v>
      </c>
      <c r="F118" s="14" t="s">
        <v>2166</v>
      </c>
      <c r="G118" s="118"/>
      <c r="H118" s="114" t="str">
        <f>Settings!$B$3&amp;".mit.atpn.nfm.oop.e.1"</f>
        <v>egy.mit.atpn.nfm.oop.e.1</v>
      </c>
      <c r="I118" t="s">
        <v>2201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2180</v>
      </c>
      <c r="E119" s="16" t="s">
        <v>51</v>
      </c>
      <c r="F119" s="14" t="s">
        <v>2166</v>
      </c>
      <c r="G119" s="118"/>
      <c r="H119" s="114" t="str">
        <f>Settings!$B$3&amp;".mit.atpn.nfm.bio.e.1"</f>
        <v>egy.mit.atpn.nfm.bio.e.1</v>
      </c>
      <c r="I119" t="s">
        <v>2202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2182</v>
      </c>
      <c r="E120" s="16" t="s">
        <v>71</v>
      </c>
      <c r="F120" s="14" t="s">
        <v>2166</v>
      </c>
      <c r="G120" s="118"/>
      <c r="H120" s="114" t="str">
        <f>Settings!$B$3&amp;".mit.atpn.nfm.ren.e.1"</f>
        <v>egy.mit.atpn.nfm.ren.e.1</v>
      </c>
      <c r="I120" t="s">
        <v>2203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1505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2158</v>
      </c>
      <c r="E123" s="16" t="s">
        <v>1875</v>
      </c>
      <c r="F123" s="14" t="s">
        <v>2147</v>
      </c>
      <c r="G123" s="119"/>
      <c r="H123" s="114" t="str">
        <f>Settings!$B$3&amp;".mit.obr.ind.mch.1"</f>
        <v>egy.mit.obr.ind.mch.1</v>
      </c>
      <c r="I123" t="s">
        <v>2204</v>
      </c>
      <c r="L123" s="116">
        <f t="shared" ref="L123:AE123" si="31">L$74+L$75+L$76</f>
        <v>0</v>
      </c>
      <c r="M123" s="116">
        <f t="shared" si="31"/>
        <v>0</v>
      </c>
      <c r="N123" s="116">
        <f t="shared" si="31"/>
        <v>0</v>
      </c>
      <c r="O123" s="116">
        <f t="shared" si="31"/>
        <v>0</v>
      </c>
      <c r="P123" s="116">
        <f t="shared" si="31"/>
        <v>0</v>
      </c>
      <c r="Q123" s="116">
        <f t="shared" si="31"/>
        <v>0</v>
      </c>
      <c r="R123" s="116">
        <f t="shared" si="31"/>
        <v>0</v>
      </c>
      <c r="S123" s="116">
        <f t="shared" si="31"/>
        <v>0</v>
      </c>
      <c r="T123" s="116">
        <f t="shared" si="31"/>
        <v>0</v>
      </c>
      <c r="U123" s="116">
        <f t="shared" si="31"/>
        <v>0</v>
      </c>
      <c r="V123" s="116">
        <f t="shared" si="31"/>
        <v>0</v>
      </c>
      <c r="W123" s="116">
        <f t="shared" si="31"/>
        <v>0</v>
      </c>
      <c r="X123" s="116">
        <f t="shared" si="31"/>
        <v>0</v>
      </c>
      <c r="Y123" s="116">
        <f t="shared" si="31"/>
        <v>0</v>
      </c>
      <c r="Z123" s="116">
        <f t="shared" si="31"/>
        <v>0</v>
      </c>
      <c r="AA123" s="116">
        <f t="shared" si="31"/>
        <v>0</v>
      </c>
      <c r="AB123" s="116">
        <f t="shared" si="31"/>
        <v>0</v>
      </c>
      <c r="AC123" s="116">
        <f t="shared" si="31"/>
        <v>0</v>
      </c>
      <c r="AD123" s="116">
        <f t="shared" si="31"/>
        <v>0</v>
      </c>
      <c r="AE123" s="116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2160</v>
      </c>
      <c r="E124" s="16" t="s">
        <v>1875</v>
      </c>
      <c r="F124" s="14" t="s">
        <v>2161</v>
      </c>
      <c r="G124" s="119"/>
      <c r="H124" s="114" t="str">
        <f>Settings!$B$3&amp;".mit.ccf.ind.mch.1"</f>
        <v>egy.mit.ccf.ind.mch.1</v>
      </c>
      <c r="L124" s="116">
        <f>L$24*Mitigation_Industry!L$280/1000+L$25*Mitigation_Industry!L$281/1000+L$26*Mitigation_Industry!L$282/1000</f>
        <v>0</v>
      </c>
      <c r="M124" s="116">
        <f>M$24*Mitigation_Industry!M$280/1000+M$25*Mitigation_Industry!M$281/1000+M$26*Mitigation_Industry!M$282/1000</f>
        <v>0</v>
      </c>
      <c r="N124" s="116">
        <f>N$24*Mitigation_Industry!N$280/1000+N$25*Mitigation_Industry!N$281/1000+N$26*Mitigation_Industry!N$282/1000</f>
        <v>0</v>
      </c>
      <c r="O124" s="116">
        <f>O$24*Mitigation_Industry!O$280/1000+O$25*Mitigation_Industry!O$281/1000+O$26*Mitigation_Industry!O$282/1000</f>
        <v>0</v>
      </c>
      <c r="P124" s="116">
        <f>P$24*Mitigation_Industry!P$280/1000+P$25*Mitigation_Industry!P$281/1000+P$26*Mitigation_Industry!P$282/1000</f>
        <v>0</v>
      </c>
      <c r="Q124" s="116">
        <f>Q$24*Mitigation_Industry!Q$280/1000+Q$25*Mitigation_Industry!Q$281/1000+Q$26*Mitigation_Industry!Q$282/1000</f>
        <v>0</v>
      </c>
      <c r="R124" s="116">
        <f>R$24*Mitigation_Industry!R$280/1000+R$25*Mitigation_Industry!R$281/1000+R$26*Mitigation_Industry!R$282/1000</f>
        <v>0</v>
      </c>
      <c r="S124" s="116">
        <f>S$24*Mitigation_Industry!S$280/1000+S$25*Mitigation_Industry!S$281/1000+S$26*Mitigation_Industry!S$282/1000</f>
        <v>0</v>
      </c>
      <c r="T124" s="116">
        <f>T$24*Mitigation_Industry!T$280/1000+T$25*Mitigation_Industry!T$281/1000+T$26*Mitigation_Industry!T$282/1000</f>
        <v>0</v>
      </c>
      <c r="U124" s="116">
        <f>U$24*Mitigation_Industry!U$280/1000+U$25*Mitigation_Industry!U$281/1000+U$26*Mitigation_Industry!U$282/1000</f>
        <v>0</v>
      </c>
      <c r="V124" s="116">
        <f>V$24*Mitigation_Industry!V$280/1000+V$25*Mitigation_Industry!V$281/1000+V$26*Mitigation_Industry!V$282/1000</f>
        <v>0</v>
      </c>
      <c r="W124" s="116">
        <f>W$24*Mitigation_Industry!W$280/1000+W$25*Mitigation_Industry!W$281/1000+W$26*Mitigation_Industry!W$282/1000</f>
        <v>0</v>
      </c>
      <c r="X124" s="116">
        <f>X$24*Mitigation_Industry!X$280/1000+X$25*Mitigation_Industry!X$281/1000+X$26*Mitigation_Industry!X$282/1000</f>
        <v>0</v>
      </c>
      <c r="Y124" s="116">
        <f>Y$24*Mitigation_Industry!Y$280/1000+Y$25*Mitigation_Industry!Y$281/1000+Y$26*Mitigation_Industry!Y$282/1000</f>
        <v>0</v>
      </c>
      <c r="Z124" s="116">
        <f>Z$24*Mitigation_Industry!Z$280/1000+Z$25*Mitigation_Industry!Z$281/1000+Z$26*Mitigation_Industry!Z$282/1000</f>
        <v>0</v>
      </c>
      <c r="AA124" s="116">
        <f>AA$24*Mitigation_Industry!AA$280/1000+AA$25*Mitigation_Industry!AA$281/1000+AA$26*Mitigation_Industry!AA$282/1000</f>
        <v>0</v>
      </c>
      <c r="AB124" s="116">
        <f>AB$24*Mitigation_Industry!AB$280/1000+AB$25*Mitigation_Industry!AB$281/1000+AB$26*Mitigation_Industry!AB$282/1000</f>
        <v>0</v>
      </c>
      <c r="AC124" s="116">
        <f>AC$24*Mitigation_Industry!AC$280/1000+AC$25*Mitigation_Industry!AC$281/1000+AC$26*Mitigation_Industry!AC$282/1000</f>
        <v>0</v>
      </c>
      <c r="AD124" s="116">
        <f>AD$24*Mitigation_Industry!AD$280/1000+AD$25*Mitigation_Industry!AD$281/1000+AD$26*Mitigation_Industry!AD$282/1000</f>
        <v>0</v>
      </c>
      <c r="AE124" s="116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2162</v>
      </c>
      <c r="E125" s="16" t="s">
        <v>79</v>
      </c>
      <c r="F125" s="14" t="s">
        <v>2163</v>
      </c>
      <c r="G125" s="119"/>
      <c r="H125" s="114" t="str">
        <f>Settings!$B$3&amp;".mit.rsh.ind.mch.1"</f>
        <v>egy.mit.rsh.ind.mch.1</v>
      </c>
      <c r="I125" t="s">
        <v>2164</v>
      </c>
      <c r="L125" s="116">
        <f t="shared" ref="L125:AE125" si="32">IF(L$124&lt;=0,0,MIN(1,L$123/L$124))</f>
        <v>0</v>
      </c>
      <c r="M125" s="116">
        <f t="shared" si="32"/>
        <v>0</v>
      </c>
      <c r="N125" s="116">
        <f t="shared" si="32"/>
        <v>0</v>
      </c>
      <c r="O125" s="116">
        <f t="shared" si="32"/>
        <v>0</v>
      </c>
      <c r="P125" s="116">
        <f t="shared" si="32"/>
        <v>0</v>
      </c>
      <c r="Q125" s="116">
        <f t="shared" si="32"/>
        <v>0</v>
      </c>
      <c r="R125" s="116">
        <f t="shared" si="32"/>
        <v>0</v>
      </c>
      <c r="S125" s="116">
        <f t="shared" si="32"/>
        <v>0</v>
      </c>
      <c r="T125" s="116">
        <f t="shared" si="32"/>
        <v>0</v>
      </c>
      <c r="U125" s="116">
        <f t="shared" si="32"/>
        <v>0</v>
      </c>
      <c r="V125" s="116">
        <f t="shared" si="32"/>
        <v>0</v>
      </c>
      <c r="W125" s="116">
        <f t="shared" si="32"/>
        <v>0</v>
      </c>
      <c r="X125" s="116">
        <f t="shared" si="32"/>
        <v>0</v>
      </c>
      <c r="Y125" s="116">
        <f t="shared" si="32"/>
        <v>0</v>
      </c>
      <c r="Z125" s="116">
        <f t="shared" si="32"/>
        <v>0</v>
      </c>
      <c r="AA125" s="116">
        <f t="shared" si="32"/>
        <v>0</v>
      </c>
      <c r="AB125" s="116">
        <f t="shared" si="32"/>
        <v>0</v>
      </c>
      <c r="AC125" s="116">
        <f t="shared" si="32"/>
        <v>0</v>
      </c>
      <c r="AD125" s="116">
        <f t="shared" si="32"/>
        <v>0</v>
      </c>
      <c r="AE125" s="116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2165</v>
      </c>
      <c r="E126" s="16" t="s">
        <v>51</v>
      </c>
      <c r="F126" s="14" t="s">
        <v>2166</v>
      </c>
      <c r="G126" s="118"/>
      <c r="H126" s="114" t="str">
        <f>Settings!$B$3&amp;".mit.atpn.mch.coa.e.1"</f>
        <v>egy.mit.atpn.mch.coa.e.1</v>
      </c>
      <c r="I126" t="s">
        <v>2205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2168</v>
      </c>
      <c r="E127" s="16" t="s">
        <v>51</v>
      </c>
      <c r="F127" s="14" t="s">
        <v>2166</v>
      </c>
      <c r="G127" s="118"/>
      <c r="H127" s="114" t="str">
        <f>Settings!$B$3&amp;".mit.atpn.mch.nga.e.1"</f>
        <v>egy.mit.atpn.mch.nga.e.1</v>
      </c>
      <c r="I127" t="s">
        <v>2206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2170</v>
      </c>
      <c r="E128" s="16" t="s">
        <v>57</v>
      </c>
      <c r="F128" s="14" t="s">
        <v>2166</v>
      </c>
      <c r="G128" s="118"/>
      <c r="H128" s="114" t="str">
        <f>Settings!$B$3&amp;".mit.atpn.mch.gso.e.1"</f>
        <v>egy.mit.atpn.mch.gso.e.1</v>
      </c>
      <c r="I128" t="s">
        <v>2207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2172</v>
      </c>
      <c r="E129" s="16" t="s">
        <v>57</v>
      </c>
      <c r="F129" s="14" t="s">
        <v>2166</v>
      </c>
      <c r="G129" s="118"/>
      <c r="H129" s="114" t="str">
        <f>Settings!$B$3&amp;".mit.atpn.mch.die.e.1"</f>
        <v>egy.mit.atpn.mch.die.e.1</v>
      </c>
      <c r="I129" t="s">
        <v>2208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2174</v>
      </c>
      <c r="E130" s="16" t="s">
        <v>57</v>
      </c>
      <c r="F130" s="14" t="s">
        <v>2166</v>
      </c>
      <c r="G130" s="118"/>
      <c r="H130" s="114" t="str">
        <f>Settings!$B$3&amp;".mit.atpn.mch.lpg.e.1"</f>
        <v>egy.mit.atpn.mch.lpg.e.1</v>
      </c>
      <c r="I130" t="s">
        <v>2209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2176</v>
      </c>
      <c r="E131" s="16" t="s">
        <v>57</v>
      </c>
      <c r="F131" s="14" t="s">
        <v>2166</v>
      </c>
      <c r="G131" s="118"/>
      <c r="H131" s="114" t="str">
        <f>Settings!$B$3&amp;".mit.atpn.mch.ker.e.1"</f>
        <v>egy.mit.atpn.mch.ker.e.1</v>
      </c>
      <c r="I131" t="s">
        <v>2210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2178</v>
      </c>
      <c r="E132" s="16" t="s">
        <v>66</v>
      </c>
      <c r="F132" s="14" t="s">
        <v>2166</v>
      </c>
      <c r="G132" s="118"/>
      <c r="H132" s="114" t="str">
        <f>Settings!$B$3&amp;".mit.atpn.mch.oop.e.1"</f>
        <v>egy.mit.atpn.mch.oop.e.1</v>
      </c>
      <c r="I132" t="s">
        <v>2211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2180</v>
      </c>
      <c r="E133" s="16" t="s">
        <v>51</v>
      </c>
      <c r="F133" s="14" t="s">
        <v>2166</v>
      </c>
      <c r="G133" s="118"/>
      <c r="H133" s="114" t="str">
        <f>Settings!$B$3&amp;".mit.atpn.mch.bio.e.1"</f>
        <v>egy.mit.atpn.mch.bio.e.1</v>
      </c>
      <c r="I133" t="s">
        <v>2212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2182</v>
      </c>
      <c r="E134" s="16" t="s">
        <v>71</v>
      </c>
      <c r="F134" s="14" t="s">
        <v>2166</v>
      </c>
      <c r="G134" s="118"/>
      <c r="H134" s="114" t="str">
        <f>Settings!$B$3&amp;".mit.atpn.mch.ren.e.1"</f>
        <v>egy.mit.atpn.mch.ren.e.1</v>
      </c>
      <c r="I134" t="s">
        <v>2213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2214</v>
      </c>
      <c r="D136" s="6" t="s">
        <v>1505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2215</v>
      </c>
      <c r="E137" s="16" t="s">
        <v>1875</v>
      </c>
      <c r="F137" s="14" t="s">
        <v>2216</v>
      </c>
      <c r="G137" s="119"/>
      <c r="H137" s="118"/>
      <c r="I137" t="s">
        <v>2217</v>
      </c>
      <c r="L137" s="116">
        <f>Mitigation_Industry!L$400</f>
        <v>0</v>
      </c>
      <c r="M137" s="116">
        <f>Mitigation_Industry!M$400</f>
        <v>0</v>
      </c>
      <c r="N137" s="116">
        <f>Mitigation_Industry!N$400</f>
        <v>0</v>
      </c>
      <c r="O137" s="116">
        <f>Mitigation_Industry!O$400</f>
        <v>0</v>
      </c>
      <c r="P137" s="116">
        <f>Mitigation_Industry!P$400</f>
        <v>0</v>
      </c>
      <c r="Q137" s="116">
        <f>Mitigation_Industry!Q$400</f>
        <v>0</v>
      </c>
      <c r="R137" s="116">
        <f>Mitigation_Industry!R$400</f>
        <v>0</v>
      </c>
      <c r="S137" s="116">
        <f>Mitigation_Industry!S$400</f>
        <v>0</v>
      </c>
      <c r="T137" s="116">
        <f>Mitigation_Industry!T$400</f>
        <v>0</v>
      </c>
      <c r="U137" s="116">
        <f>Mitigation_Industry!U$400</f>
        <v>0</v>
      </c>
      <c r="V137" s="116">
        <f>Mitigation_Industry!V$400</f>
        <v>0</v>
      </c>
      <c r="W137" s="116">
        <f>Mitigation_Industry!W$400</f>
        <v>0</v>
      </c>
      <c r="X137" s="116">
        <f>Mitigation_Industry!X$400</f>
        <v>0</v>
      </c>
      <c r="Y137" s="116">
        <f>Mitigation_Industry!Y$400</f>
        <v>0</v>
      </c>
      <c r="Z137" s="116">
        <f>Mitigation_Industry!Z$400</f>
        <v>0</v>
      </c>
      <c r="AA137" s="116">
        <f>Mitigation_Industry!AA$400</f>
        <v>0</v>
      </c>
      <c r="AB137" s="116">
        <f>Mitigation_Industry!AB$400</f>
        <v>0</v>
      </c>
      <c r="AC137" s="116">
        <f>Mitigation_Industry!AC$400</f>
        <v>0</v>
      </c>
      <c r="AD137" s="116">
        <f>Mitigation_Industry!AD$400</f>
        <v>0</v>
      </c>
      <c r="AE137" s="116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2218</v>
      </c>
      <c r="E138" s="16" t="s">
        <v>1875</v>
      </c>
      <c r="F138" s="14" t="s">
        <v>2147</v>
      </c>
      <c r="G138" s="119"/>
      <c r="H138" s="118"/>
      <c r="L138" s="116">
        <f t="shared" ref="L138:AE138" si="33">L$78</f>
        <v>0</v>
      </c>
      <c r="M138" s="116">
        <f t="shared" si="33"/>
        <v>0</v>
      </c>
      <c r="N138" s="116">
        <f t="shared" si="33"/>
        <v>0</v>
      </c>
      <c r="O138" s="116">
        <f t="shared" si="33"/>
        <v>0</v>
      </c>
      <c r="P138" s="116">
        <f t="shared" si="33"/>
        <v>0</v>
      </c>
      <c r="Q138" s="116">
        <f t="shared" si="33"/>
        <v>0</v>
      </c>
      <c r="R138" s="116">
        <f t="shared" si="33"/>
        <v>0</v>
      </c>
      <c r="S138" s="116">
        <f t="shared" si="33"/>
        <v>0</v>
      </c>
      <c r="T138" s="116">
        <f t="shared" si="33"/>
        <v>0</v>
      </c>
      <c r="U138" s="116">
        <f t="shared" si="33"/>
        <v>0</v>
      </c>
      <c r="V138" s="116">
        <f t="shared" si="33"/>
        <v>0</v>
      </c>
      <c r="W138" s="116">
        <f t="shared" si="33"/>
        <v>0</v>
      </c>
      <c r="X138" s="116">
        <f t="shared" si="33"/>
        <v>0</v>
      </c>
      <c r="Y138" s="116">
        <f t="shared" si="33"/>
        <v>0</v>
      </c>
      <c r="Z138" s="116">
        <f t="shared" si="33"/>
        <v>0</v>
      </c>
      <c r="AA138" s="116">
        <f t="shared" si="33"/>
        <v>0</v>
      </c>
      <c r="AB138" s="116">
        <f t="shared" si="33"/>
        <v>0</v>
      </c>
      <c r="AC138" s="116">
        <f t="shared" si="33"/>
        <v>0</v>
      </c>
      <c r="AD138" s="116">
        <f t="shared" si="33"/>
        <v>0</v>
      </c>
      <c r="AE138" s="116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2219</v>
      </c>
      <c r="E139" s="16" t="s">
        <v>1875</v>
      </c>
      <c r="F139" s="14" t="s">
        <v>2220</v>
      </c>
      <c r="G139" s="119"/>
      <c r="H139" s="114" t="str">
        <f>Settings!$B$3&amp;".mit.revnet.cbam.tot.1"</f>
        <v>egy.mit.revnet.cbam.tot.1</v>
      </c>
      <c r="L139" s="116">
        <f t="shared" ref="L139:AE139" si="34">L137-L138</f>
        <v>0</v>
      </c>
      <c r="M139" s="116">
        <f t="shared" si="34"/>
        <v>0</v>
      </c>
      <c r="N139" s="116">
        <f t="shared" si="34"/>
        <v>0</v>
      </c>
      <c r="O139" s="116">
        <f t="shared" si="34"/>
        <v>0</v>
      </c>
      <c r="P139" s="116">
        <f t="shared" si="34"/>
        <v>0</v>
      </c>
      <c r="Q139" s="116">
        <f t="shared" si="34"/>
        <v>0</v>
      </c>
      <c r="R139" s="116">
        <f t="shared" si="34"/>
        <v>0</v>
      </c>
      <c r="S139" s="116">
        <f t="shared" si="34"/>
        <v>0</v>
      </c>
      <c r="T139" s="116">
        <f t="shared" si="34"/>
        <v>0</v>
      </c>
      <c r="U139" s="116">
        <f t="shared" si="34"/>
        <v>0</v>
      </c>
      <c r="V139" s="116">
        <f t="shared" si="34"/>
        <v>0</v>
      </c>
      <c r="W139" s="116">
        <f t="shared" si="34"/>
        <v>0</v>
      </c>
      <c r="X139" s="116">
        <f t="shared" si="34"/>
        <v>0</v>
      </c>
      <c r="Y139" s="116">
        <f t="shared" si="34"/>
        <v>0</v>
      </c>
      <c r="Z139" s="116">
        <f t="shared" si="34"/>
        <v>0</v>
      </c>
      <c r="AA139" s="116">
        <f t="shared" si="34"/>
        <v>0</v>
      </c>
      <c r="AB139" s="116">
        <f t="shared" si="34"/>
        <v>0</v>
      </c>
      <c r="AC139" s="116">
        <f t="shared" si="34"/>
        <v>0</v>
      </c>
      <c r="AD139" s="116">
        <f t="shared" si="34"/>
        <v>0</v>
      </c>
      <c r="AE139" s="116">
        <f t="shared" si="34"/>
        <v>0</v>
      </c>
    </row>
    <row r="142" spans="1:35" customFormat="1" ht="18" customHeight="1" x14ac:dyDescent="0.45">
      <c r="A142" s="8"/>
      <c r="B142" s="9" t="s">
        <v>2221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2081</v>
      </c>
      <c r="D144" s="6" t="s">
        <v>1505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1799</v>
      </c>
      <c r="C145" s="14"/>
      <c r="D145" s="15" t="s">
        <v>2082</v>
      </c>
      <c r="E145" s="16" t="s">
        <v>79</v>
      </c>
      <c r="F145" s="14" t="s">
        <v>1799</v>
      </c>
      <c r="G145" s="114" t="s">
        <v>1802</v>
      </c>
      <c r="H145" s="118"/>
      <c r="I145" t="s">
        <v>2083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1803</v>
      </c>
      <c r="C146" s="14"/>
      <c r="D146" s="15" t="s">
        <v>2084</v>
      </c>
      <c r="E146" s="16" t="s">
        <v>1415</v>
      </c>
      <c r="F146" s="14" t="s">
        <v>1803</v>
      </c>
      <c r="G146" s="114" t="s">
        <v>1805</v>
      </c>
      <c r="H146" s="118"/>
      <c r="I146" t="s">
        <v>2222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2086</v>
      </c>
      <c r="D148" s="6" t="s">
        <v>1505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1452</v>
      </c>
      <c r="C149" s="14" t="s">
        <v>43</v>
      </c>
      <c r="D149" s="15" t="s">
        <v>2087</v>
      </c>
      <c r="E149" s="16" t="s">
        <v>2088</v>
      </c>
      <c r="F149" s="14" t="s">
        <v>2086</v>
      </c>
      <c r="G149" s="118"/>
      <c r="H149" s="114" t="str">
        <f>Settings!$B$3&amp;".mit.obrbm.stl.drg.2"</f>
        <v>egy.mit.obrbm.stl.drg.2</v>
      </c>
      <c r="I149" t="s">
        <v>2089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1455</v>
      </c>
      <c r="C150" s="14" t="s">
        <v>43</v>
      </c>
      <c r="D150" s="15" t="s">
        <v>2090</v>
      </c>
      <c r="E150" s="16" t="s">
        <v>2088</v>
      </c>
      <c r="F150" s="14" t="s">
        <v>2086</v>
      </c>
      <c r="G150" s="118"/>
      <c r="H150" s="114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1458</v>
      </c>
      <c r="C151" s="14" t="s">
        <v>43</v>
      </c>
      <c r="D151" s="15" t="s">
        <v>2091</v>
      </c>
      <c r="E151" s="16" t="s">
        <v>2088</v>
      </c>
      <c r="F151" s="14" t="s">
        <v>2086</v>
      </c>
      <c r="G151" s="118"/>
      <c r="H151" s="114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1461</v>
      </c>
      <c r="C152" s="14" t="s">
        <v>113</v>
      </c>
      <c r="D152" s="15" t="s">
        <v>2092</v>
      </c>
      <c r="E152" s="16" t="s">
        <v>2088</v>
      </c>
      <c r="F152" s="14" t="s">
        <v>2086</v>
      </c>
      <c r="G152" s="118"/>
      <c r="H152" s="114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1464</v>
      </c>
      <c r="C153" s="14" t="s">
        <v>117</v>
      </c>
      <c r="D153" s="15" t="s">
        <v>2093</v>
      </c>
      <c r="E153" s="16" t="s">
        <v>2088</v>
      </c>
      <c r="F153" s="14" t="s">
        <v>2086</v>
      </c>
      <c r="G153" s="118"/>
      <c r="H153" s="114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1467</v>
      </c>
      <c r="C154" s="14" t="s">
        <v>117</v>
      </c>
      <c r="D154" s="15" t="s">
        <v>2094</v>
      </c>
      <c r="E154" s="16" t="s">
        <v>2088</v>
      </c>
      <c r="F154" s="14" t="s">
        <v>2086</v>
      </c>
      <c r="G154" s="118"/>
      <c r="H154" s="114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1470</v>
      </c>
      <c r="C155" s="14" t="s">
        <v>117</v>
      </c>
      <c r="D155" s="15" t="s">
        <v>2095</v>
      </c>
      <c r="E155" s="16" t="s">
        <v>2088</v>
      </c>
      <c r="F155" s="14" t="s">
        <v>2086</v>
      </c>
      <c r="G155" s="118"/>
      <c r="H155" s="114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1473</v>
      </c>
      <c r="C156" s="14" t="s">
        <v>115</v>
      </c>
      <c r="D156" s="15" t="s">
        <v>2096</v>
      </c>
      <c r="E156" s="16" t="s">
        <v>2088</v>
      </c>
      <c r="F156" s="14" t="s">
        <v>2086</v>
      </c>
      <c r="G156" s="118"/>
      <c r="H156" s="114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2097</v>
      </c>
      <c r="D158" s="6" t="s">
        <v>1505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1452</v>
      </c>
      <c r="C159" s="14" t="s">
        <v>43</v>
      </c>
      <c r="D159" s="15" t="s">
        <v>2098</v>
      </c>
      <c r="E159" s="16" t="s">
        <v>2099</v>
      </c>
      <c r="F159" s="14" t="s">
        <v>2097</v>
      </c>
      <c r="G159" s="118"/>
      <c r="H159" s="114" t="str">
        <f>Settings!$B$3&amp;".mit.ccpt.stl.drg.2"</f>
        <v>egy.mit.ccpt.stl.drg.2</v>
      </c>
      <c r="I159" t="s">
        <v>2100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8.625375</v>
      </c>
      <c r="R159" s="19">
        <f>Mitigation_Industry!R$698+Mitigation_Industry!R$709</f>
        <v>17.25075</v>
      </c>
      <c r="S159" s="19">
        <f>Mitigation_Industry!S$698+Mitigation_Industry!S$709</f>
        <v>25.876125000000002</v>
      </c>
      <c r="T159" s="19">
        <f>Mitigation_Industry!T$698+Mitigation_Industry!T$709</f>
        <v>34.5015</v>
      </c>
      <c r="U159" s="19">
        <f>Mitigation_Industry!U$698+Mitigation_Industry!U$709</f>
        <v>43.126875000000005</v>
      </c>
      <c r="V159" s="19">
        <f>Mitigation_Industry!V$698+Mitigation_Industry!V$709</f>
        <v>51.752250000000004</v>
      </c>
      <c r="W159" s="19">
        <f>Mitigation_Industry!W$698+Mitigation_Industry!W$709</f>
        <v>60.377625000000002</v>
      </c>
      <c r="X159" s="19">
        <f>Mitigation_Industry!X$698+Mitigation_Industry!X$709</f>
        <v>69.003</v>
      </c>
      <c r="Y159" s="19">
        <f>Mitigation_Industry!Y$698+Mitigation_Industry!Y$709</f>
        <v>77.628375000000005</v>
      </c>
      <c r="Z159" s="19">
        <f>Mitigation_Industry!Z$698+Mitigation_Industry!Z$709</f>
        <v>86.253750000000011</v>
      </c>
      <c r="AA159" s="19">
        <f>Mitigation_Industry!AA$698+Mitigation_Industry!AA$709</f>
        <v>94.879125000000002</v>
      </c>
      <c r="AB159" s="19">
        <f>Mitigation_Industry!AB$698+Mitigation_Industry!AB$709</f>
        <v>103.50450000000001</v>
      </c>
      <c r="AC159" s="19">
        <f>Mitigation_Industry!AC$698+Mitigation_Industry!AC$709</f>
        <v>112.129875</v>
      </c>
      <c r="AD159" s="19">
        <f>Mitigation_Industry!AD$698+Mitigation_Industry!AD$709</f>
        <v>120.75525</v>
      </c>
      <c r="AE159" s="19">
        <f>Mitigation_Industry!AE$698+Mitigation_Industry!AE$709</f>
        <v>129.38062500000001</v>
      </c>
    </row>
    <row r="160" spans="1:35" customFormat="1" ht="14.25" x14ac:dyDescent="0.45">
      <c r="B160" s="14" t="s">
        <v>1455</v>
      </c>
      <c r="C160" s="14" t="s">
        <v>43</v>
      </c>
      <c r="D160" s="15" t="s">
        <v>2101</v>
      </c>
      <c r="E160" s="16" t="s">
        <v>2099</v>
      </c>
      <c r="F160" s="14" t="s">
        <v>2097</v>
      </c>
      <c r="G160" s="118"/>
      <c r="H160" s="114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1.7531250000000003</v>
      </c>
      <c r="R160" s="19">
        <f>Mitigation_Industry!R$699+Mitigation_Industry!R$710</f>
        <v>3.5062500000000005</v>
      </c>
      <c r="S160" s="19">
        <f>Mitigation_Industry!S$699+Mitigation_Industry!S$710</f>
        <v>5.2593750000000004</v>
      </c>
      <c r="T160" s="19">
        <f>Mitigation_Industry!T$699+Mitigation_Industry!T$710</f>
        <v>7.0125000000000011</v>
      </c>
      <c r="U160" s="19">
        <f>Mitigation_Industry!U$699+Mitigation_Industry!U$710</f>
        <v>8.765625</v>
      </c>
      <c r="V160" s="19">
        <f>Mitigation_Industry!V$699+Mitigation_Industry!V$710</f>
        <v>10.518750000000001</v>
      </c>
      <c r="W160" s="19">
        <f>Mitigation_Industry!W$699+Mitigation_Industry!W$710</f>
        <v>12.271875000000001</v>
      </c>
      <c r="X160" s="19">
        <f>Mitigation_Industry!X$699+Mitigation_Industry!X$710</f>
        <v>14.025000000000002</v>
      </c>
      <c r="Y160" s="19">
        <f>Mitigation_Industry!Y$699+Mitigation_Industry!Y$710</f>
        <v>15.778125000000001</v>
      </c>
      <c r="Z160" s="19">
        <f>Mitigation_Industry!Z$699+Mitigation_Industry!Z$710</f>
        <v>17.53125</v>
      </c>
      <c r="AA160" s="19">
        <f>Mitigation_Industry!AA$699+Mitigation_Industry!AA$710</f>
        <v>19.284375000000001</v>
      </c>
      <c r="AB160" s="19">
        <f>Mitigation_Industry!AB$699+Mitigation_Industry!AB$710</f>
        <v>21.037500000000001</v>
      </c>
      <c r="AC160" s="19">
        <f>Mitigation_Industry!AC$699+Mitigation_Industry!AC$710</f>
        <v>22.790625000000002</v>
      </c>
      <c r="AD160" s="19">
        <f>Mitigation_Industry!AD$699+Mitigation_Industry!AD$710</f>
        <v>24.543750000000003</v>
      </c>
      <c r="AE160" s="19">
        <f>Mitigation_Industry!AE$699+Mitigation_Industry!AE$710</f>
        <v>26.296875000000004</v>
      </c>
    </row>
    <row r="161" spans="1:35" customFormat="1" ht="14.25" x14ac:dyDescent="0.45">
      <c r="B161" s="14" t="s">
        <v>1458</v>
      </c>
      <c r="C161" s="14" t="s">
        <v>43</v>
      </c>
      <c r="D161" s="15" t="s">
        <v>2102</v>
      </c>
      <c r="E161" s="16" t="s">
        <v>2099</v>
      </c>
      <c r="F161" s="14" t="s">
        <v>2097</v>
      </c>
      <c r="G161" s="118"/>
      <c r="H161" s="114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24.025000000000002</v>
      </c>
      <c r="R161" s="19">
        <f>Mitigation_Industry!R$700+Mitigation_Industry!R$711</f>
        <v>48.050000000000004</v>
      </c>
      <c r="S161" s="19">
        <f>Mitigation_Industry!S$700+Mitigation_Industry!S$711</f>
        <v>72.075000000000003</v>
      </c>
      <c r="T161" s="19">
        <f>Mitigation_Industry!T$700+Mitigation_Industry!T$711</f>
        <v>96.100000000000009</v>
      </c>
      <c r="U161" s="19">
        <f>Mitigation_Industry!U$700+Mitigation_Industry!U$711</f>
        <v>120.12500000000001</v>
      </c>
      <c r="V161" s="19">
        <f>Mitigation_Industry!V$700+Mitigation_Industry!V$711</f>
        <v>144.15</v>
      </c>
      <c r="W161" s="19">
        <f>Mitigation_Industry!W$700+Mitigation_Industry!W$711</f>
        <v>168.17500000000001</v>
      </c>
      <c r="X161" s="19">
        <f>Mitigation_Industry!X$700+Mitigation_Industry!X$711</f>
        <v>192.20000000000002</v>
      </c>
      <c r="Y161" s="19">
        <f>Mitigation_Industry!Y$700+Mitigation_Industry!Y$711</f>
        <v>216.22500000000002</v>
      </c>
      <c r="Z161" s="19">
        <f>Mitigation_Industry!Z$700+Mitigation_Industry!Z$711</f>
        <v>240.25000000000003</v>
      </c>
      <c r="AA161" s="19">
        <f>Mitigation_Industry!AA$700+Mitigation_Industry!AA$711</f>
        <v>264.27500000000003</v>
      </c>
      <c r="AB161" s="19">
        <f>Mitigation_Industry!AB$700+Mitigation_Industry!AB$711</f>
        <v>288.3</v>
      </c>
      <c r="AC161" s="19">
        <f>Mitigation_Industry!AC$700+Mitigation_Industry!AC$711</f>
        <v>312.32500000000005</v>
      </c>
      <c r="AD161" s="19">
        <f>Mitigation_Industry!AD$700+Mitigation_Industry!AD$711</f>
        <v>336.35</v>
      </c>
      <c r="AE161" s="19">
        <f>Mitigation_Industry!AE$700+Mitigation_Industry!AE$711</f>
        <v>360.37500000000006</v>
      </c>
    </row>
    <row r="162" spans="1:35" customFormat="1" ht="14.25" x14ac:dyDescent="0.45">
      <c r="B162" s="14" t="s">
        <v>1461</v>
      </c>
      <c r="C162" s="14" t="s">
        <v>113</v>
      </c>
      <c r="D162" s="15" t="s">
        <v>2103</v>
      </c>
      <c r="E162" s="16" t="s">
        <v>2099</v>
      </c>
      <c r="F162" s="14" t="s">
        <v>2097</v>
      </c>
      <c r="G162" s="118"/>
      <c r="H162" s="114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3.6037499999999998</v>
      </c>
      <c r="R162" s="19">
        <f>Mitigation_Industry!R$701+Mitigation_Industry!R$712</f>
        <v>7.2074999999999996</v>
      </c>
      <c r="S162" s="19">
        <f>Mitigation_Industry!S$701+Mitigation_Industry!S$712</f>
        <v>10.811249999999999</v>
      </c>
      <c r="T162" s="19">
        <f>Mitigation_Industry!T$701+Mitigation_Industry!T$712</f>
        <v>14.414999999999999</v>
      </c>
      <c r="U162" s="19">
        <f>Mitigation_Industry!U$701+Mitigation_Industry!U$712</f>
        <v>18.018750000000001</v>
      </c>
      <c r="V162" s="19">
        <f>Mitigation_Industry!V$701+Mitigation_Industry!V$712</f>
        <v>21.622499999999999</v>
      </c>
      <c r="W162" s="19">
        <f>Mitigation_Industry!W$701+Mitigation_Industry!W$712</f>
        <v>25.22625</v>
      </c>
      <c r="X162" s="19">
        <f>Mitigation_Industry!X$701+Mitigation_Industry!X$712</f>
        <v>28.83</v>
      </c>
      <c r="Y162" s="19">
        <f>Mitigation_Industry!Y$701+Mitigation_Industry!Y$712</f>
        <v>32.433750000000003</v>
      </c>
      <c r="Z162" s="19">
        <f>Mitigation_Industry!Z$701+Mitigation_Industry!Z$712</f>
        <v>36.037500000000001</v>
      </c>
      <c r="AA162" s="19">
        <f>Mitigation_Industry!AA$701+Mitigation_Industry!AA$712</f>
        <v>39.641249999999999</v>
      </c>
      <c r="AB162" s="19">
        <f>Mitigation_Industry!AB$701+Mitigation_Industry!AB$712</f>
        <v>43.244999999999997</v>
      </c>
      <c r="AC162" s="19">
        <f>Mitigation_Industry!AC$701+Mitigation_Industry!AC$712</f>
        <v>46.848750000000003</v>
      </c>
      <c r="AD162" s="19">
        <f>Mitigation_Industry!AD$701+Mitigation_Industry!AD$712</f>
        <v>50.452500000000001</v>
      </c>
      <c r="AE162" s="19">
        <f>Mitigation_Industry!AE$701+Mitigation_Industry!AE$712</f>
        <v>54.056249999999999</v>
      </c>
    </row>
    <row r="163" spans="1:35" customFormat="1" ht="14.25" x14ac:dyDescent="0.45">
      <c r="B163" s="14" t="s">
        <v>1464</v>
      </c>
      <c r="C163" s="14" t="s">
        <v>117</v>
      </c>
      <c r="D163" s="15" t="s">
        <v>2104</v>
      </c>
      <c r="E163" s="16" t="s">
        <v>2099</v>
      </c>
      <c r="F163" s="14" t="s">
        <v>2097</v>
      </c>
      <c r="G163" s="118"/>
      <c r="H163" s="114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23.141249999999999</v>
      </c>
      <c r="R163" s="19">
        <f>Mitigation_Industry!R$702+Mitigation_Industry!R$713</f>
        <v>46.282499999999999</v>
      </c>
      <c r="S163" s="19">
        <f>Mitigation_Industry!S$702+Mitigation_Industry!S$713</f>
        <v>69.423749999999998</v>
      </c>
      <c r="T163" s="19">
        <f>Mitigation_Industry!T$702+Mitigation_Industry!T$713</f>
        <v>92.564999999999998</v>
      </c>
      <c r="U163" s="19">
        <f>Mitigation_Industry!U$702+Mitigation_Industry!U$713</f>
        <v>115.70625</v>
      </c>
      <c r="V163" s="19">
        <f>Mitigation_Industry!V$702+Mitigation_Industry!V$713</f>
        <v>138.8475</v>
      </c>
      <c r="W163" s="19">
        <f>Mitigation_Industry!W$702+Mitigation_Industry!W$713</f>
        <v>161.98874999999998</v>
      </c>
      <c r="X163" s="19">
        <f>Mitigation_Industry!X$702+Mitigation_Industry!X$713</f>
        <v>185.13</v>
      </c>
      <c r="Y163" s="19">
        <f>Mitigation_Industry!Y$702+Mitigation_Industry!Y$713</f>
        <v>208.27124999999998</v>
      </c>
      <c r="Z163" s="19">
        <f>Mitigation_Industry!Z$702+Mitigation_Industry!Z$713</f>
        <v>231.41249999999999</v>
      </c>
      <c r="AA163" s="19">
        <f>Mitigation_Industry!AA$702+Mitigation_Industry!AA$713</f>
        <v>254.55374999999998</v>
      </c>
      <c r="AB163" s="19">
        <f>Mitigation_Industry!AB$702+Mitigation_Industry!AB$713</f>
        <v>277.69499999999999</v>
      </c>
      <c r="AC163" s="19">
        <f>Mitigation_Industry!AC$702+Mitigation_Industry!AC$713</f>
        <v>300.83625000000001</v>
      </c>
      <c r="AD163" s="19">
        <f>Mitigation_Industry!AD$702+Mitigation_Industry!AD$713</f>
        <v>323.97749999999996</v>
      </c>
      <c r="AE163" s="19">
        <f>Mitigation_Industry!AE$702+Mitigation_Industry!AE$713</f>
        <v>347.11874999999998</v>
      </c>
    </row>
    <row r="164" spans="1:35" customFormat="1" ht="14.25" x14ac:dyDescent="0.45">
      <c r="B164" s="14" t="s">
        <v>1467</v>
      </c>
      <c r="C164" s="14" t="s">
        <v>117</v>
      </c>
      <c r="D164" s="15" t="s">
        <v>2105</v>
      </c>
      <c r="E164" s="16" t="s">
        <v>2099</v>
      </c>
      <c r="F164" s="14" t="s">
        <v>2097</v>
      </c>
      <c r="G164" s="118"/>
      <c r="H164" s="114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1470</v>
      </c>
      <c r="C165" s="14" t="s">
        <v>117</v>
      </c>
      <c r="D165" s="15" t="s">
        <v>2106</v>
      </c>
      <c r="E165" s="16" t="s">
        <v>2099</v>
      </c>
      <c r="F165" s="14" t="s">
        <v>2097</v>
      </c>
      <c r="G165" s="118"/>
      <c r="H165" s="114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1473</v>
      </c>
      <c r="C166" s="14" t="s">
        <v>115</v>
      </c>
      <c r="D166" s="15" t="s">
        <v>2107</v>
      </c>
      <c r="E166" s="16" t="s">
        <v>2099</v>
      </c>
      <c r="F166" s="14" t="s">
        <v>2097</v>
      </c>
      <c r="G166" s="118"/>
      <c r="H166" s="114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1.95</v>
      </c>
      <c r="R166" s="19">
        <f>Mitigation_Industry!R$705+Mitigation_Industry!R$716</f>
        <v>3.9</v>
      </c>
      <c r="S166" s="19">
        <f>Mitigation_Industry!S$705+Mitigation_Industry!S$716</f>
        <v>5.85</v>
      </c>
      <c r="T166" s="19">
        <f>Mitigation_Industry!T$705+Mitigation_Industry!T$716</f>
        <v>7.8</v>
      </c>
      <c r="U166" s="19">
        <f>Mitigation_Industry!U$705+Mitigation_Industry!U$716</f>
        <v>9.75</v>
      </c>
      <c r="V166" s="19">
        <f>Mitigation_Industry!V$705+Mitigation_Industry!V$716</f>
        <v>11.7</v>
      </c>
      <c r="W166" s="19">
        <f>Mitigation_Industry!W$705+Mitigation_Industry!W$716</f>
        <v>13.65</v>
      </c>
      <c r="X166" s="19">
        <f>Mitigation_Industry!X$705+Mitigation_Industry!X$716</f>
        <v>15.6</v>
      </c>
      <c r="Y166" s="19">
        <f>Mitigation_Industry!Y$705+Mitigation_Industry!Y$716</f>
        <v>17.55</v>
      </c>
      <c r="Z166" s="19">
        <f>Mitigation_Industry!Z$705+Mitigation_Industry!Z$716</f>
        <v>19.5</v>
      </c>
      <c r="AA166" s="19">
        <f>Mitigation_Industry!AA$705+Mitigation_Industry!AA$716</f>
        <v>21.45</v>
      </c>
      <c r="AB166" s="19">
        <f>Mitigation_Industry!AB$705+Mitigation_Industry!AB$716</f>
        <v>23.4</v>
      </c>
      <c r="AC166" s="19">
        <f>Mitigation_Industry!AC$705+Mitigation_Industry!AC$716</f>
        <v>25.35</v>
      </c>
      <c r="AD166" s="19">
        <f>Mitigation_Industry!AD$705+Mitigation_Industry!AD$716</f>
        <v>27.3</v>
      </c>
      <c r="AE166" s="19">
        <f>Mitigation_Industry!AE$705+Mitigation_Industry!AE$716</f>
        <v>29.25</v>
      </c>
    </row>
    <row r="168" spans="1:35" customFormat="1" ht="14.25" x14ac:dyDescent="0.45">
      <c r="A168" s="11"/>
      <c r="B168" s="6"/>
      <c r="C168" s="7" t="s">
        <v>2108</v>
      </c>
      <c r="D168" s="6" t="s">
        <v>1505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1452</v>
      </c>
      <c r="C169" s="14" t="s">
        <v>43</v>
      </c>
      <c r="D169" s="15" t="s">
        <v>2109</v>
      </c>
      <c r="E169" s="16" t="s">
        <v>2099</v>
      </c>
      <c r="F169" s="14" t="s">
        <v>2108</v>
      </c>
      <c r="G169" s="118"/>
      <c r="H169" s="114" t="str">
        <f>Settings!$B$3&amp;".mit.obrpu.stl.drg.2"</f>
        <v>egy.mit.obrpu.stl.drg.2</v>
      </c>
      <c r="I169" t="s">
        <v>2110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1455</v>
      </c>
      <c r="C170" s="14" t="s">
        <v>43</v>
      </c>
      <c r="D170" s="15" t="s">
        <v>2111</v>
      </c>
      <c r="E170" s="16" t="s">
        <v>2099</v>
      </c>
      <c r="F170" s="14" t="s">
        <v>2108</v>
      </c>
      <c r="G170" s="118"/>
      <c r="H170" s="114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1458</v>
      </c>
      <c r="C171" s="14" t="s">
        <v>43</v>
      </c>
      <c r="D171" s="15" t="s">
        <v>2112</v>
      </c>
      <c r="E171" s="16" t="s">
        <v>2099</v>
      </c>
      <c r="F171" s="14" t="s">
        <v>2108</v>
      </c>
      <c r="G171" s="118"/>
      <c r="H171" s="114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1461</v>
      </c>
      <c r="C172" s="14" t="s">
        <v>113</v>
      </c>
      <c r="D172" s="15" t="s">
        <v>2113</v>
      </c>
      <c r="E172" s="16" t="s">
        <v>2099</v>
      </c>
      <c r="F172" s="14" t="s">
        <v>2108</v>
      </c>
      <c r="G172" s="118"/>
      <c r="H172" s="114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1464</v>
      </c>
      <c r="C173" s="14" t="s">
        <v>117</v>
      </c>
      <c r="D173" s="15" t="s">
        <v>2114</v>
      </c>
      <c r="E173" s="16" t="s">
        <v>2099</v>
      </c>
      <c r="F173" s="14" t="s">
        <v>2108</v>
      </c>
      <c r="G173" s="118"/>
      <c r="H173" s="114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1467</v>
      </c>
      <c r="C174" s="14" t="s">
        <v>117</v>
      </c>
      <c r="D174" s="15" t="s">
        <v>2115</v>
      </c>
      <c r="E174" s="16" t="s">
        <v>2099</v>
      </c>
      <c r="F174" s="14" t="s">
        <v>2108</v>
      </c>
      <c r="G174" s="118"/>
      <c r="H174" s="114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1470</v>
      </c>
      <c r="C175" s="14" t="s">
        <v>117</v>
      </c>
      <c r="D175" s="15" t="s">
        <v>2116</v>
      </c>
      <c r="E175" s="16" t="s">
        <v>2099</v>
      </c>
      <c r="F175" s="14" t="s">
        <v>2108</v>
      </c>
      <c r="G175" s="118"/>
      <c r="H175" s="114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1473</v>
      </c>
      <c r="C176" s="14" t="s">
        <v>115</v>
      </c>
      <c r="D176" s="15" t="s">
        <v>2117</v>
      </c>
      <c r="E176" s="16" t="s">
        <v>2099</v>
      </c>
      <c r="F176" s="14" t="s">
        <v>2108</v>
      </c>
      <c r="G176" s="118"/>
      <c r="H176" s="114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2118</v>
      </c>
      <c r="D178" s="6" t="s">
        <v>1505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1452</v>
      </c>
      <c r="C179" s="14" t="s">
        <v>43</v>
      </c>
      <c r="D179" s="15" t="s">
        <v>2119</v>
      </c>
      <c r="E179" s="16" t="s">
        <v>2099</v>
      </c>
      <c r="F179" s="14" t="s">
        <v>2118</v>
      </c>
      <c r="G179" s="118"/>
      <c r="H179" s="114" t="str">
        <f>Settings!$B$3&amp;".mit.obrpt.stl.drg.2"</f>
        <v>egy.mit.obrpt.stl.drg.2</v>
      </c>
      <c r="I179" t="s">
        <v>2120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1455</v>
      </c>
      <c r="C180" s="14" t="s">
        <v>43</v>
      </c>
      <c r="D180" s="15" t="s">
        <v>2121</v>
      </c>
      <c r="E180" s="16" t="s">
        <v>2099</v>
      </c>
      <c r="F180" s="14" t="s">
        <v>2118</v>
      </c>
      <c r="G180" s="118"/>
      <c r="H180" s="114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1458</v>
      </c>
      <c r="C181" s="14" t="s">
        <v>43</v>
      </c>
      <c r="D181" s="15" t="s">
        <v>2122</v>
      </c>
      <c r="E181" s="16" t="s">
        <v>2099</v>
      </c>
      <c r="F181" s="14" t="s">
        <v>2118</v>
      </c>
      <c r="G181" s="118"/>
      <c r="H181" s="114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1461</v>
      </c>
      <c r="C182" s="14" t="s">
        <v>113</v>
      </c>
      <c r="D182" s="15" t="s">
        <v>2123</v>
      </c>
      <c r="E182" s="16" t="s">
        <v>2099</v>
      </c>
      <c r="F182" s="14" t="s">
        <v>2118</v>
      </c>
      <c r="G182" s="118"/>
      <c r="H182" s="114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1464</v>
      </c>
      <c r="C183" s="14" t="s">
        <v>117</v>
      </c>
      <c r="D183" s="15" t="s">
        <v>2124</v>
      </c>
      <c r="E183" s="16" t="s">
        <v>2099</v>
      </c>
      <c r="F183" s="14" t="s">
        <v>2118</v>
      </c>
      <c r="G183" s="118"/>
      <c r="H183" s="114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1467</v>
      </c>
      <c r="C184" s="14" t="s">
        <v>117</v>
      </c>
      <c r="D184" s="15" t="s">
        <v>2125</v>
      </c>
      <c r="E184" s="16" t="s">
        <v>2099</v>
      </c>
      <c r="F184" s="14" t="s">
        <v>2118</v>
      </c>
      <c r="G184" s="118"/>
      <c r="H184" s="114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1470</v>
      </c>
      <c r="C185" s="14" t="s">
        <v>117</v>
      </c>
      <c r="D185" s="15" t="s">
        <v>2126</v>
      </c>
      <c r="E185" s="16" t="s">
        <v>2099</v>
      </c>
      <c r="F185" s="14" t="s">
        <v>2118</v>
      </c>
      <c r="G185" s="118"/>
      <c r="H185" s="114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1473</v>
      </c>
      <c r="C186" s="14" t="s">
        <v>115</v>
      </c>
      <c r="D186" s="15" t="s">
        <v>2127</v>
      </c>
      <c r="E186" s="16" t="s">
        <v>2099</v>
      </c>
      <c r="F186" s="14" t="s">
        <v>2118</v>
      </c>
      <c r="G186" s="118"/>
      <c r="H186" s="114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2128</v>
      </c>
      <c r="D188" s="6" t="s">
        <v>1505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1452</v>
      </c>
      <c r="C189" s="14" t="s">
        <v>43</v>
      </c>
      <c r="D189" s="15" t="s">
        <v>2129</v>
      </c>
      <c r="E189" s="16" t="s">
        <v>2099</v>
      </c>
      <c r="F189" s="14" t="s">
        <v>2128</v>
      </c>
      <c r="G189" s="118"/>
      <c r="H189" s="114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8.625375</v>
      </c>
      <c r="R189" s="19">
        <f t="shared" si="51"/>
        <v>17.25075</v>
      </c>
      <c r="S189" s="19">
        <f t="shared" si="51"/>
        <v>25.876125000000002</v>
      </c>
      <c r="T189" s="19">
        <f t="shared" si="51"/>
        <v>34.5015</v>
      </c>
      <c r="U189" s="19">
        <f t="shared" si="51"/>
        <v>43.126875000000005</v>
      </c>
      <c r="V189" s="19">
        <f t="shared" si="51"/>
        <v>51.752250000000004</v>
      </c>
      <c r="W189" s="19">
        <f t="shared" si="51"/>
        <v>60.377625000000002</v>
      </c>
      <c r="X189" s="19">
        <f t="shared" si="51"/>
        <v>69.003</v>
      </c>
      <c r="Y189" s="19">
        <f t="shared" si="51"/>
        <v>77.628375000000005</v>
      </c>
      <c r="Z189" s="19">
        <f t="shared" si="51"/>
        <v>86.253750000000011</v>
      </c>
      <c r="AA189" s="19">
        <f t="shared" si="51"/>
        <v>94.879125000000002</v>
      </c>
      <c r="AB189" s="19">
        <f t="shared" si="51"/>
        <v>103.50450000000001</v>
      </c>
      <c r="AC189" s="19">
        <f t="shared" si="51"/>
        <v>112.129875</v>
      </c>
      <c r="AD189" s="19">
        <f t="shared" si="51"/>
        <v>120.75525</v>
      </c>
      <c r="AE189" s="19">
        <f t="shared" si="51"/>
        <v>129.38062500000001</v>
      </c>
    </row>
    <row r="190" spans="1:35" customFormat="1" ht="14.25" x14ac:dyDescent="0.45">
      <c r="B190" s="14" t="s">
        <v>1455</v>
      </c>
      <c r="C190" s="14" t="s">
        <v>43</v>
      </c>
      <c r="D190" s="15" t="s">
        <v>2130</v>
      </c>
      <c r="E190" s="16" t="s">
        <v>2099</v>
      </c>
      <c r="F190" s="14" t="s">
        <v>2128</v>
      </c>
      <c r="G190" s="118"/>
      <c r="H190" s="114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1.7531250000000003</v>
      </c>
      <c r="R190" s="19">
        <f t="shared" si="52"/>
        <v>3.5062500000000005</v>
      </c>
      <c r="S190" s="19">
        <f t="shared" si="52"/>
        <v>5.2593750000000004</v>
      </c>
      <c r="T190" s="19">
        <f t="shared" si="52"/>
        <v>7.0125000000000011</v>
      </c>
      <c r="U190" s="19">
        <f t="shared" si="52"/>
        <v>8.765625</v>
      </c>
      <c r="V190" s="19">
        <f t="shared" si="52"/>
        <v>10.518750000000001</v>
      </c>
      <c r="W190" s="19">
        <f t="shared" si="52"/>
        <v>12.271875000000001</v>
      </c>
      <c r="X190" s="19">
        <f t="shared" si="52"/>
        <v>14.025000000000002</v>
      </c>
      <c r="Y190" s="19">
        <f t="shared" si="52"/>
        <v>15.778125000000001</v>
      </c>
      <c r="Z190" s="19">
        <f t="shared" si="52"/>
        <v>17.53125</v>
      </c>
      <c r="AA190" s="19">
        <f t="shared" si="52"/>
        <v>19.284375000000001</v>
      </c>
      <c r="AB190" s="19">
        <f t="shared" si="52"/>
        <v>21.037500000000001</v>
      </c>
      <c r="AC190" s="19">
        <f t="shared" si="52"/>
        <v>22.790625000000002</v>
      </c>
      <c r="AD190" s="19">
        <f t="shared" si="52"/>
        <v>24.543750000000003</v>
      </c>
      <c r="AE190" s="19">
        <f t="shared" si="52"/>
        <v>26.296875000000004</v>
      </c>
    </row>
    <row r="191" spans="1:35" customFormat="1" ht="14.25" x14ac:dyDescent="0.45">
      <c r="B191" s="14" t="s">
        <v>1458</v>
      </c>
      <c r="C191" s="14" t="s">
        <v>43</v>
      </c>
      <c r="D191" s="15" t="s">
        <v>2131</v>
      </c>
      <c r="E191" s="16" t="s">
        <v>2099</v>
      </c>
      <c r="F191" s="14" t="s">
        <v>2128</v>
      </c>
      <c r="G191" s="118"/>
      <c r="H191" s="114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24.025000000000002</v>
      </c>
      <c r="R191" s="19">
        <f t="shared" si="53"/>
        <v>48.050000000000004</v>
      </c>
      <c r="S191" s="19">
        <f t="shared" si="53"/>
        <v>72.075000000000003</v>
      </c>
      <c r="T191" s="19">
        <f t="shared" si="53"/>
        <v>96.100000000000009</v>
      </c>
      <c r="U191" s="19">
        <f t="shared" si="53"/>
        <v>120.12500000000001</v>
      </c>
      <c r="V191" s="19">
        <f t="shared" si="53"/>
        <v>144.15</v>
      </c>
      <c r="W191" s="19">
        <f t="shared" si="53"/>
        <v>168.17500000000001</v>
      </c>
      <c r="X191" s="19">
        <f t="shared" si="53"/>
        <v>192.20000000000002</v>
      </c>
      <c r="Y191" s="19">
        <f t="shared" si="53"/>
        <v>216.22500000000002</v>
      </c>
      <c r="Z191" s="19">
        <f t="shared" si="53"/>
        <v>240.25000000000003</v>
      </c>
      <c r="AA191" s="19">
        <f t="shared" si="53"/>
        <v>264.27500000000003</v>
      </c>
      <c r="AB191" s="19">
        <f t="shared" si="53"/>
        <v>288.3</v>
      </c>
      <c r="AC191" s="19">
        <f t="shared" si="53"/>
        <v>312.32500000000005</v>
      </c>
      <c r="AD191" s="19">
        <f t="shared" si="53"/>
        <v>336.35</v>
      </c>
      <c r="AE191" s="19">
        <f t="shared" si="53"/>
        <v>360.37500000000006</v>
      </c>
    </row>
    <row r="192" spans="1:35" customFormat="1" ht="14.25" x14ac:dyDescent="0.45">
      <c r="B192" s="14" t="s">
        <v>1461</v>
      </c>
      <c r="C192" s="14" t="s">
        <v>113</v>
      </c>
      <c r="D192" s="15" t="s">
        <v>2132</v>
      </c>
      <c r="E192" s="16" t="s">
        <v>2099</v>
      </c>
      <c r="F192" s="14" t="s">
        <v>2128</v>
      </c>
      <c r="G192" s="118"/>
      <c r="H192" s="114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3.6037499999999998</v>
      </c>
      <c r="R192" s="19">
        <f t="shared" si="54"/>
        <v>7.2074999999999996</v>
      </c>
      <c r="S192" s="19">
        <f t="shared" si="54"/>
        <v>10.811249999999999</v>
      </c>
      <c r="T192" s="19">
        <f t="shared" si="54"/>
        <v>14.414999999999999</v>
      </c>
      <c r="U192" s="19">
        <f t="shared" si="54"/>
        <v>18.018750000000001</v>
      </c>
      <c r="V192" s="19">
        <f t="shared" si="54"/>
        <v>21.622499999999999</v>
      </c>
      <c r="W192" s="19">
        <f t="shared" si="54"/>
        <v>25.22625</v>
      </c>
      <c r="X192" s="19">
        <f t="shared" si="54"/>
        <v>28.83</v>
      </c>
      <c r="Y192" s="19">
        <f t="shared" si="54"/>
        <v>32.433750000000003</v>
      </c>
      <c r="Z192" s="19">
        <f t="shared" si="54"/>
        <v>36.037500000000001</v>
      </c>
      <c r="AA192" s="19">
        <f t="shared" si="54"/>
        <v>39.641249999999999</v>
      </c>
      <c r="AB192" s="19">
        <f t="shared" si="54"/>
        <v>43.244999999999997</v>
      </c>
      <c r="AC192" s="19">
        <f t="shared" si="54"/>
        <v>46.848750000000003</v>
      </c>
      <c r="AD192" s="19">
        <f t="shared" si="54"/>
        <v>50.452500000000001</v>
      </c>
      <c r="AE192" s="19">
        <f t="shared" si="54"/>
        <v>54.056249999999999</v>
      </c>
    </row>
    <row r="193" spans="1:35" customFormat="1" ht="14.25" x14ac:dyDescent="0.45">
      <c r="B193" s="14" t="s">
        <v>1464</v>
      </c>
      <c r="C193" s="14" t="s">
        <v>117</v>
      </c>
      <c r="D193" s="15" t="s">
        <v>2133</v>
      </c>
      <c r="E193" s="16" t="s">
        <v>2099</v>
      </c>
      <c r="F193" s="14" t="s">
        <v>2128</v>
      </c>
      <c r="G193" s="118"/>
      <c r="H193" s="114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23.141249999999999</v>
      </c>
      <c r="R193" s="19">
        <f t="shared" si="55"/>
        <v>46.282499999999999</v>
      </c>
      <c r="S193" s="19">
        <f t="shared" si="55"/>
        <v>69.423749999999998</v>
      </c>
      <c r="T193" s="19">
        <f t="shared" si="55"/>
        <v>92.564999999999998</v>
      </c>
      <c r="U193" s="19">
        <f t="shared" si="55"/>
        <v>115.70625</v>
      </c>
      <c r="V193" s="19">
        <f t="shared" si="55"/>
        <v>138.8475</v>
      </c>
      <c r="W193" s="19">
        <f t="shared" si="55"/>
        <v>161.98874999999998</v>
      </c>
      <c r="X193" s="19">
        <f t="shared" si="55"/>
        <v>185.13</v>
      </c>
      <c r="Y193" s="19">
        <f t="shared" si="55"/>
        <v>208.27124999999998</v>
      </c>
      <c r="Z193" s="19">
        <f t="shared" si="55"/>
        <v>231.41249999999999</v>
      </c>
      <c r="AA193" s="19">
        <f t="shared" si="55"/>
        <v>254.55374999999998</v>
      </c>
      <c r="AB193" s="19">
        <f t="shared" si="55"/>
        <v>277.69499999999999</v>
      </c>
      <c r="AC193" s="19">
        <f t="shared" si="55"/>
        <v>300.83625000000001</v>
      </c>
      <c r="AD193" s="19">
        <f t="shared" si="55"/>
        <v>323.97749999999996</v>
      </c>
      <c r="AE193" s="19">
        <f t="shared" si="55"/>
        <v>347.11874999999998</v>
      </c>
    </row>
    <row r="194" spans="1:35" customFormat="1" ht="14.25" x14ac:dyDescent="0.45">
      <c r="B194" s="14" t="s">
        <v>1467</v>
      </c>
      <c r="C194" s="14" t="s">
        <v>117</v>
      </c>
      <c r="D194" s="15" t="s">
        <v>2134</v>
      </c>
      <c r="E194" s="16" t="s">
        <v>2099</v>
      </c>
      <c r="F194" s="14" t="s">
        <v>2128</v>
      </c>
      <c r="G194" s="118"/>
      <c r="H194" s="114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1470</v>
      </c>
      <c r="C195" s="14" t="s">
        <v>117</v>
      </c>
      <c r="D195" s="15" t="s">
        <v>2135</v>
      </c>
      <c r="E195" s="16" t="s">
        <v>2099</v>
      </c>
      <c r="F195" s="14" t="s">
        <v>2128</v>
      </c>
      <c r="G195" s="118"/>
      <c r="H195" s="114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1473</v>
      </c>
      <c r="C196" s="14" t="s">
        <v>115</v>
      </c>
      <c r="D196" s="15" t="s">
        <v>2136</v>
      </c>
      <c r="E196" s="16" t="s">
        <v>2099</v>
      </c>
      <c r="F196" s="14" t="s">
        <v>2128</v>
      </c>
      <c r="G196" s="118"/>
      <c r="H196" s="114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1.95</v>
      </c>
      <c r="R196" s="19">
        <f t="shared" si="58"/>
        <v>3.9</v>
      </c>
      <c r="S196" s="19">
        <f t="shared" si="58"/>
        <v>5.85</v>
      </c>
      <c r="T196" s="19">
        <f t="shared" si="58"/>
        <v>7.8</v>
      </c>
      <c r="U196" s="19">
        <f t="shared" si="58"/>
        <v>9.75</v>
      </c>
      <c r="V196" s="19">
        <f t="shared" si="58"/>
        <v>11.7</v>
      </c>
      <c r="W196" s="19">
        <f t="shared" si="58"/>
        <v>13.65</v>
      </c>
      <c r="X196" s="19">
        <f t="shared" si="58"/>
        <v>15.6</v>
      </c>
      <c r="Y196" s="19">
        <f t="shared" si="58"/>
        <v>17.55</v>
      </c>
      <c r="Z196" s="19">
        <f t="shared" si="58"/>
        <v>19.5</v>
      </c>
      <c r="AA196" s="19">
        <f t="shared" si="58"/>
        <v>21.45</v>
      </c>
      <c r="AB196" s="19">
        <f t="shared" si="58"/>
        <v>23.4</v>
      </c>
      <c r="AC196" s="19">
        <f t="shared" si="58"/>
        <v>25.35</v>
      </c>
      <c r="AD196" s="19">
        <f t="shared" si="58"/>
        <v>27.3</v>
      </c>
      <c r="AE196" s="19">
        <f t="shared" si="58"/>
        <v>29.25</v>
      </c>
    </row>
    <row r="198" spans="1:35" customFormat="1" ht="14.25" x14ac:dyDescent="0.45">
      <c r="A198" s="11"/>
      <c r="B198" s="6"/>
      <c r="C198" s="7" t="s">
        <v>2137</v>
      </c>
      <c r="D198" s="6" t="s">
        <v>1505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1452</v>
      </c>
      <c r="C199" s="14" t="s">
        <v>43</v>
      </c>
      <c r="D199" s="15" t="s">
        <v>2138</v>
      </c>
      <c r="E199" s="16" t="s">
        <v>79</v>
      </c>
      <c r="F199" s="14" t="s">
        <v>2137</v>
      </c>
      <c r="G199" s="118"/>
      <c r="H199" s="114" t="str">
        <f>Settings!$B$3&amp;".mit.ppin.stl.drg.2"</f>
        <v>egy.mit.ppin.stl.drg.2</v>
      </c>
      <c r="I199" t="s">
        <v>2139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1.15005E-2</v>
      </c>
      <c r="R199" s="19">
        <f>IF(Mitigation_Industry!R$687&lt;=0,0,R$189/Mitigation_Industry!R$687)</f>
        <v>2.3001000000000001E-2</v>
      </c>
      <c r="S199" s="19">
        <f>IF(Mitigation_Industry!S$687&lt;=0,0,S$189/Mitigation_Industry!S$687)</f>
        <v>3.4501500000000004E-2</v>
      </c>
      <c r="T199" s="19">
        <f>IF(Mitigation_Industry!T$687&lt;=0,0,T$189/Mitigation_Industry!T$687)</f>
        <v>4.6002000000000001E-2</v>
      </c>
      <c r="U199" s="19">
        <f>IF(Mitigation_Industry!U$687&lt;=0,0,U$189/Mitigation_Industry!U$687)</f>
        <v>5.7502500000000005E-2</v>
      </c>
      <c r="V199" s="19">
        <f>IF(Mitigation_Industry!V$687&lt;=0,0,V$189/Mitigation_Industry!V$687)</f>
        <v>6.9003000000000009E-2</v>
      </c>
      <c r="W199" s="19">
        <f>IF(Mitigation_Industry!W$687&lt;=0,0,W$189/Mitigation_Industry!W$687)</f>
        <v>8.0503500000000006E-2</v>
      </c>
      <c r="X199" s="19">
        <f>IF(Mitigation_Industry!X$687&lt;=0,0,X$189/Mitigation_Industry!X$687)</f>
        <v>9.2004000000000002E-2</v>
      </c>
      <c r="Y199" s="19">
        <f>IF(Mitigation_Industry!Y$687&lt;=0,0,Y$189/Mitigation_Industry!Y$687)</f>
        <v>0.10350450000000001</v>
      </c>
      <c r="Z199" s="19">
        <f>IF(Mitigation_Industry!Z$687&lt;=0,0,Z$189/Mitigation_Industry!Z$687)</f>
        <v>0.11500500000000001</v>
      </c>
      <c r="AA199" s="19">
        <f>IF(Mitigation_Industry!AA$687&lt;=0,0,AA$189/Mitigation_Industry!AA$687)</f>
        <v>0.12650549999999999</v>
      </c>
      <c r="AB199" s="19">
        <f>IF(Mitigation_Industry!AB$687&lt;=0,0,AB$189/Mitigation_Industry!AB$687)</f>
        <v>0.13800600000000002</v>
      </c>
      <c r="AC199" s="19">
        <f>IF(Mitigation_Industry!AC$687&lt;=0,0,AC$189/Mitigation_Industry!AC$687)</f>
        <v>0.14950649999999999</v>
      </c>
      <c r="AD199" s="19">
        <f>IF(Mitigation_Industry!AD$687&lt;=0,0,AD$189/Mitigation_Industry!AD$687)</f>
        <v>0.16100700000000001</v>
      </c>
      <c r="AE199" s="19">
        <f>IF(Mitigation_Industry!AE$687&lt;=0,0,AE$189/Mitigation_Industry!AE$687)</f>
        <v>0.17250750000000001</v>
      </c>
    </row>
    <row r="200" spans="1:35" customFormat="1" ht="14.25" x14ac:dyDescent="0.45">
      <c r="B200" s="14" t="s">
        <v>1455</v>
      </c>
      <c r="C200" s="14" t="s">
        <v>43</v>
      </c>
      <c r="D200" s="15" t="s">
        <v>2140</v>
      </c>
      <c r="E200" s="16" t="s">
        <v>79</v>
      </c>
      <c r="F200" s="14" t="s">
        <v>2137</v>
      </c>
      <c r="G200" s="118"/>
      <c r="H200" s="114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2.5781250000000006E-3</v>
      </c>
      <c r="R200" s="19">
        <f>IF(Mitigation_Industry!R$688&lt;=0,0,R$190/Mitigation_Industry!R$688)</f>
        <v>5.1562500000000011E-3</v>
      </c>
      <c r="S200" s="19">
        <f>IF(Mitigation_Industry!S$688&lt;=0,0,S$190/Mitigation_Industry!S$688)</f>
        <v>7.7343750000000008E-3</v>
      </c>
      <c r="T200" s="19">
        <f>IF(Mitigation_Industry!T$688&lt;=0,0,T$190/Mitigation_Industry!T$688)</f>
        <v>1.0312500000000002E-2</v>
      </c>
      <c r="U200" s="19">
        <f>IF(Mitigation_Industry!U$688&lt;=0,0,U$190/Mitigation_Industry!U$688)</f>
        <v>1.2890624999999999E-2</v>
      </c>
      <c r="V200" s="19">
        <f>IF(Mitigation_Industry!V$688&lt;=0,0,V$190/Mitigation_Industry!V$688)</f>
        <v>1.5468750000000002E-2</v>
      </c>
      <c r="W200" s="19">
        <f>IF(Mitigation_Industry!W$688&lt;=0,0,W$190/Mitigation_Industry!W$688)</f>
        <v>1.8046875E-2</v>
      </c>
      <c r="X200" s="19">
        <f>IF(Mitigation_Industry!X$688&lt;=0,0,X$190/Mitigation_Industry!X$688)</f>
        <v>2.0625000000000004E-2</v>
      </c>
      <c r="Y200" s="19">
        <f>IF(Mitigation_Industry!Y$688&lt;=0,0,Y$190/Mitigation_Industry!Y$688)</f>
        <v>2.3203125000000002E-2</v>
      </c>
      <c r="Z200" s="19">
        <f>IF(Mitigation_Industry!Z$688&lt;=0,0,Z$190/Mitigation_Industry!Z$688)</f>
        <v>2.5781249999999999E-2</v>
      </c>
      <c r="AA200" s="19">
        <f>IF(Mitigation_Industry!AA$688&lt;=0,0,AA$190/Mitigation_Industry!AA$688)</f>
        <v>2.8359375000000003E-2</v>
      </c>
      <c r="AB200" s="19">
        <f>IF(Mitigation_Industry!AB$688&lt;=0,0,AB$190/Mitigation_Industry!AB$688)</f>
        <v>3.0937500000000003E-2</v>
      </c>
      <c r="AC200" s="19">
        <f>IF(Mitigation_Industry!AC$688&lt;=0,0,AC$190/Mitigation_Industry!AC$688)</f>
        <v>3.3515625E-2</v>
      </c>
      <c r="AD200" s="19">
        <f>IF(Mitigation_Industry!AD$688&lt;=0,0,AD$190/Mitigation_Industry!AD$688)</f>
        <v>3.6093750000000001E-2</v>
      </c>
      <c r="AE200" s="19">
        <f>IF(Mitigation_Industry!AE$688&lt;=0,0,AE$190/Mitigation_Industry!AE$688)</f>
        <v>3.8671875000000008E-2</v>
      </c>
    </row>
    <row r="201" spans="1:35" customFormat="1" ht="14.25" x14ac:dyDescent="0.45">
      <c r="B201" s="14" t="s">
        <v>1458</v>
      </c>
      <c r="C201" s="14" t="s">
        <v>43</v>
      </c>
      <c r="D201" s="15" t="s">
        <v>2141</v>
      </c>
      <c r="E201" s="16" t="s">
        <v>79</v>
      </c>
      <c r="F201" s="14" t="s">
        <v>2137</v>
      </c>
      <c r="G201" s="118"/>
      <c r="H201" s="114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3.8750000000000007E-2</v>
      </c>
      <c r="R201" s="19">
        <f>IF(Mitigation_Industry!R$689&lt;=0,0,R$191/Mitigation_Industry!R$689)</f>
        <v>7.7500000000000013E-2</v>
      </c>
      <c r="S201" s="19">
        <f>IF(Mitigation_Industry!S$689&lt;=0,0,S$191/Mitigation_Industry!S$689)</f>
        <v>0.11625000000000001</v>
      </c>
      <c r="T201" s="19">
        <f>IF(Mitigation_Industry!T$689&lt;=0,0,T$191/Mitigation_Industry!T$689)</f>
        <v>0.15500000000000003</v>
      </c>
      <c r="U201" s="19">
        <f>IF(Mitigation_Industry!U$689&lt;=0,0,U$191/Mitigation_Industry!U$689)</f>
        <v>0.19375000000000003</v>
      </c>
      <c r="V201" s="19">
        <f>IF(Mitigation_Industry!V$689&lt;=0,0,V$191/Mitigation_Industry!V$689)</f>
        <v>0.23250000000000001</v>
      </c>
      <c r="W201" s="19">
        <f>IF(Mitigation_Industry!W$689&lt;=0,0,W$191/Mitigation_Industry!W$689)</f>
        <v>0.27124999999999999</v>
      </c>
      <c r="X201" s="19">
        <f>IF(Mitigation_Industry!X$689&lt;=0,0,X$191/Mitigation_Industry!X$689)</f>
        <v>0.31000000000000005</v>
      </c>
      <c r="Y201" s="19">
        <f>IF(Mitigation_Industry!Y$689&lt;=0,0,Y$191/Mitigation_Industry!Y$689)</f>
        <v>0.34875000000000006</v>
      </c>
      <c r="Z201" s="19">
        <f>IF(Mitigation_Industry!Z$689&lt;=0,0,Z$191/Mitigation_Industry!Z$689)</f>
        <v>0.38750000000000007</v>
      </c>
      <c r="AA201" s="19">
        <f>IF(Mitigation_Industry!AA$689&lt;=0,0,AA$191/Mitigation_Industry!AA$689)</f>
        <v>0.42625000000000007</v>
      </c>
      <c r="AB201" s="19">
        <f>IF(Mitigation_Industry!AB$689&lt;=0,0,AB$191/Mitigation_Industry!AB$689)</f>
        <v>0.46500000000000002</v>
      </c>
      <c r="AC201" s="19">
        <f>IF(Mitigation_Industry!AC$689&lt;=0,0,AC$191/Mitigation_Industry!AC$689)</f>
        <v>0.50375000000000003</v>
      </c>
      <c r="AD201" s="19">
        <f>IF(Mitigation_Industry!AD$689&lt;=0,0,AD$191/Mitigation_Industry!AD$689)</f>
        <v>0.54249999999999998</v>
      </c>
      <c r="AE201" s="19">
        <f>IF(Mitigation_Industry!AE$689&lt;=0,0,AE$191/Mitigation_Industry!AE$689)</f>
        <v>0.58125000000000004</v>
      </c>
    </row>
    <row r="202" spans="1:35" customFormat="1" ht="14.25" x14ac:dyDescent="0.45">
      <c r="B202" s="14" t="s">
        <v>1461</v>
      </c>
      <c r="C202" s="14" t="s">
        <v>113</v>
      </c>
      <c r="D202" s="15" t="s">
        <v>2142</v>
      </c>
      <c r="E202" s="16" t="s">
        <v>79</v>
      </c>
      <c r="F202" s="14" t="s">
        <v>2137</v>
      </c>
      <c r="G202" s="118"/>
      <c r="H202" s="114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3.2761363636363637E-2</v>
      </c>
      <c r="R202" s="19">
        <f>IF(Mitigation_Industry!R$690&lt;=0,0,R$192/Mitigation_Industry!R$690)</f>
        <v>6.5522727272727274E-2</v>
      </c>
      <c r="S202" s="19">
        <f>IF(Mitigation_Industry!S$690&lt;=0,0,S$192/Mitigation_Industry!S$690)</f>
        <v>9.8284090909090904E-2</v>
      </c>
      <c r="T202" s="19">
        <f>IF(Mitigation_Industry!T$690&lt;=0,0,T$192/Mitigation_Industry!T$690)</f>
        <v>0.13104545454545455</v>
      </c>
      <c r="U202" s="19">
        <f>IF(Mitigation_Industry!U$690&lt;=0,0,U$192/Mitigation_Industry!U$690)</f>
        <v>0.16380681818181819</v>
      </c>
      <c r="V202" s="19">
        <f>IF(Mitigation_Industry!V$690&lt;=0,0,V$192/Mitigation_Industry!V$690)</f>
        <v>0.19656818181818181</v>
      </c>
      <c r="W202" s="19">
        <f>IF(Mitigation_Industry!W$690&lt;=0,0,W$192/Mitigation_Industry!W$690)</f>
        <v>0.22932954545454545</v>
      </c>
      <c r="X202" s="19">
        <f>IF(Mitigation_Industry!X$690&lt;=0,0,X$192/Mitigation_Industry!X$690)</f>
        <v>0.2620909090909091</v>
      </c>
      <c r="Y202" s="19">
        <f>IF(Mitigation_Industry!Y$690&lt;=0,0,Y$192/Mitigation_Industry!Y$690)</f>
        <v>0.29485227272727277</v>
      </c>
      <c r="Z202" s="19">
        <f>IF(Mitigation_Industry!Z$690&lt;=0,0,Z$192/Mitigation_Industry!Z$690)</f>
        <v>0.32761363636363638</v>
      </c>
      <c r="AA202" s="19">
        <f>IF(Mitigation_Industry!AA$690&lt;=0,0,AA$192/Mitigation_Industry!AA$690)</f>
        <v>0.360375</v>
      </c>
      <c r="AB202" s="19">
        <f>IF(Mitigation_Industry!AB$690&lt;=0,0,AB$192/Mitigation_Industry!AB$690)</f>
        <v>0.39313636363636362</v>
      </c>
      <c r="AC202" s="19">
        <f>IF(Mitigation_Industry!AC$690&lt;=0,0,AC$192/Mitigation_Industry!AC$690)</f>
        <v>0.42589772727272729</v>
      </c>
      <c r="AD202" s="19">
        <f>IF(Mitigation_Industry!AD$690&lt;=0,0,AD$192/Mitigation_Industry!AD$690)</f>
        <v>0.45865909090909091</v>
      </c>
      <c r="AE202" s="19">
        <f>IF(Mitigation_Industry!AE$690&lt;=0,0,AE$192/Mitigation_Industry!AE$690)</f>
        <v>0.49142045454545452</v>
      </c>
    </row>
    <row r="203" spans="1:35" customFormat="1" ht="14.25" x14ac:dyDescent="0.45">
      <c r="B203" s="14" t="s">
        <v>1464</v>
      </c>
      <c r="C203" s="14" t="s">
        <v>117</v>
      </c>
      <c r="D203" s="15" t="s">
        <v>2143</v>
      </c>
      <c r="E203" s="16" t="s">
        <v>79</v>
      </c>
      <c r="F203" s="14" t="s">
        <v>2137</v>
      </c>
      <c r="G203" s="118"/>
      <c r="H203" s="114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5.1424999999999998E-2</v>
      </c>
      <c r="R203" s="19">
        <f>IF(Mitigation_Industry!R$691&lt;=0,0,R$193/Mitigation_Industry!R$691)</f>
        <v>0.10285</v>
      </c>
      <c r="S203" s="19">
        <f>IF(Mitigation_Industry!S$691&lt;=0,0,S$193/Mitigation_Industry!S$691)</f>
        <v>0.154275</v>
      </c>
      <c r="T203" s="19">
        <f>IF(Mitigation_Industry!T$691&lt;=0,0,T$193/Mitigation_Industry!T$691)</f>
        <v>0.20569999999999999</v>
      </c>
      <c r="U203" s="19">
        <f>IF(Mitigation_Industry!U$691&lt;=0,0,U$193/Mitigation_Industry!U$691)</f>
        <v>0.25712499999999999</v>
      </c>
      <c r="V203" s="19">
        <f>IF(Mitigation_Industry!V$691&lt;=0,0,V$193/Mitigation_Industry!V$691)</f>
        <v>0.30854999999999999</v>
      </c>
      <c r="W203" s="19">
        <f>IF(Mitigation_Industry!W$691&lt;=0,0,W$193/Mitigation_Industry!W$691)</f>
        <v>0.35997499999999993</v>
      </c>
      <c r="X203" s="19">
        <f>IF(Mitigation_Industry!X$691&lt;=0,0,X$193/Mitigation_Industry!X$691)</f>
        <v>0.41139999999999999</v>
      </c>
      <c r="Y203" s="19">
        <f>IF(Mitigation_Industry!Y$691&lt;=0,0,Y$193/Mitigation_Industry!Y$691)</f>
        <v>0.46282499999999993</v>
      </c>
      <c r="Z203" s="19">
        <f>IF(Mitigation_Industry!Z$691&lt;=0,0,Z$193/Mitigation_Industry!Z$691)</f>
        <v>0.51424999999999998</v>
      </c>
      <c r="AA203" s="19">
        <f>IF(Mitigation_Industry!AA$691&lt;=0,0,AA$193/Mitigation_Industry!AA$691)</f>
        <v>0.56567499999999993</v>
      </c>
      <c r="AB203" s="19">
        <f>IF(Mitigation_Industry!AB$691&lt;=0,0,AB$193/Mitigation_Industry!AB$691)</f>
        <v>0.61709999999999998</v>
      </c>
      <c r="AC203" s="19">
        <f>IF(Mitigation_Industry!AC$691&lt;=0,0,AC$193/Mitigation_Industry!AC$691)</f>
        <v>0.66852500000000004</v>
      </c>
      <c r="AD203" s="19">
        <f>IF(Mitigation_Industry!AD$691&lt;=0,0,AD$193/Mitigation_Industry!AD$691)</f>
        <v>0.71994999999999987</v>
      </c>
      <c r="AE203" s="19">
        <f>IF(Mitigation_Industry!AE$691&lt;=0,0,AE$193/Mitigation_Industry!AE$691)</f>
        <v>0.77137499999999992</v>
      </c>
    </row>
    <row r="204" spans="1:35" customFormat="1" ht="14.25" x14ac:dyDescent="0.45">
      <c r="B204" s="14" t="s">
        <v>1467</v>
      </c>
      <c r="C204" s="14" t="s">
        <v>117</v>
      </c>
      <c r="D204" s="15" t="s">
        <v>2144</v>
      </c>
      <c r="E204" s="16" t="s">
        <v>79</v>
      </c>
      <c r="F204" s="14" t="s">
        <v>2137</v>
      </c>
      <c r="G204" s="118"/>
      <c r="H204" s="114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1470</v>
      </c>
      <c r="C205" s="14" t="s">
        <v>117</v>
      </c>
      <c r="D205" s="15" t="s">
        <v>2145</v>
      </c>
      <c r="E205" s="16" t="s">
        <v>79</v>
      </c>
      <c r="F205" s="14" t="s">
        <v>2137</v>
      </c>
      <c r="G205" s="118"/>
      <c r="H205" s="114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1473</v>
      </c>
      <c r="C206" s="14" t="s">
        <v>115</v>
      </c>
      <c r="D206" s="15" t="s">
        <v>2146</v>
      </c>
      <c r="E206" s="16" t="s">
        <v>79</v>
      </c>
      <c r="F206" s="14" t="s">
        <v>2137</v>
      </c>
      <c r="G206" s="118"/>
      <c r="H206" s="114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8.1249999999999996E-4</v>
      </c>
      <c r="R206" s="19">
        <f>IF(Mitigation_Industry!R$694&lt;=0,0,R$196/Mitigation_Industry!R$694)</f>
        <v>1.6249999999999999E-3</v>
      </c>
      <c r="S206" s="19">
        <f>IF(Mitigation_Industry!S$694&lt;=0,0,S$196/Mitigation_Industry!S$694)</f>
        <v>2.4375E-3</v>
      </c>
      <c r="T206" s="19">
        <f>IF(Mitigation_Industry!T$694&lt;=0,0,T$196/Mitigation_Industry!T$694)</f>
        <v>3.2499999999999999E-3</v>
      </c>
      <c r="U206" s="19">
        <f>IF(Mitigation_Industry!U$694&lt;=0,0,U$196/Mitigation_Industry!U$694)</f>
        <v>4.0625000000000001E-3</v>
      </c>
      <c r="V206" s="19">
        <f>IF(Mitigation_Industry!V$694&lt;=0,0,V$196/Mitigation_Industry!V$694)</f>
        <v>4.875E-3</v>
      </c>
      <c r="W206" s="19">
        <f>IF(Mitigation_Industry!W$694&lt;=0,0,W$196/Mitigation_Industry!W$694)</f>
        <v>5.6874999999999998E-3</v>
      </c>
      <c r="X206" s="19">
        <f>IF(Mitigation_Industry!X$694&lt;=0,0,X$196/Mitigation_Industry!X$694)</f>
        <v>6.4999999999999997E-3</v>
      </c>
      <c r="Y206" s="19">
        <f>IF(Mitigation_Industry!Y$694&lt;=0,0,Y$196/Mitigation_Industry!Y$694)</f>
        <v>7.3125000000000004E-3</v>
      </c>
      <c r="Z206" s="19">
        <f>IF(Mitigation_Industry!Z$694&lt;=0,0,Z$196/Mitigation_Industry!Z$694)</f>
        <v>8.1250000000000003E-3</v>
      </c>
      <c r="AA206" s="19">
        <f>IF(Mitigation_Industry!AA$694&lt;=0,0,AA$196/Mitigation_Industry!AA$694)</f>
        <v>8.9374999999999993E-3</v>
      </c>
      <c r="AB206" s="19">
        <f>IF(Mitigation_Industry!AB$694&lt;=0,0,AB$196/Mitigation_Industry!AB$694)</f>
        <v>9.75E-3</v>
      </c>
      <c r="AC206" s="19">
        <f>IF(Mitigation_Industry!AC$694&lt;=0,0,AC$196/Mitigation_Industry!AC$694)</f>
        <v>1.0562500000000001E-2</v>
      </c>
      <c r="AD206" s="19">
        <f>IF(Mitigation_Industry!AD$694&lt;=0,0,AD$196/Mitigation_Industry!AD$694)</f>
        <v>1.1375E-2</v>
      </c>
      <c r="AE206" s="19">
        <f>IF(Mitigation_Industry!AE$694&lt;=0,0,AE$196/Mitigation_Industry!AE$694)</f>
        <v>1.21875E-2</v>
      </c>
    </row>
    <row r="208" spans="1:35" customFormat="1" ht="14.25" x14ac:dyDescent="0.45">
      <c r="A208" s="11"/>
      <c r="B208" s="6"/>
      <c r="C208" s="7" t="s">
        <v>2147</v>
      </c>
      <c r="D208" s="6" t="s">
        <v>1505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1452</v>
      </c>
      <c r="C209" s="14" t="s">
        <v>43</v>
      </c>
      <c r="D209" s="15" t="s">
        <v>2148</v>
      </c>
      <c r="E209" s="16" t="s">
        <v>1875</v>
      </c>
      <c r="F209" s="14" t="s">
        <v>2147</v>
      </c>
      <c r="G209" s="118"/>
      <c r="H209" s="114" t="str">
        <f>Settings!$B$3&amp;".mit.obr.stl.drg.2"</f>
        <v>egy.mit.obr.stl.drg.2</v>
      </c>
      <c r="I209" t="s">
        <v>2149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1455</v>
      </c>
      <c r="C210" s="14" t="s">
        <v>43</v>
      </c>
      <c r="D210" s="15" t="s">
        <v>2150</v>
      </c>
      <c r="E210" s="16" t="s">
        <v>1875</v>
      </c>
      <c r="F210" s="14" t="s">
        <v>2147</v>
      </c>
      <c r="G210" s="118"/>
      <c r="H210" s="114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1458</v>
      </c>
      <c r="C211" s="14" t="s">
        <v>43</v>
      </c>
      <c r="D211" s="15" t="s">
        <v>2151</v>
      </c>
      <c r="E211" s="16" t="s">
        <v>1875</v>
      </c>
      <c r="F211" s="14" t="s">
        <v>2147</v>
      </c>
      <c r="G211" s="118"/>
      <c r="H211" s="114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1461</v>
      </c>
      <c r="C212" s="14" t="s">
        <v>113</v>
      </c>
      <c r="D212" s="15" t="s">
        <v>2152</v>
      </c>
      <c r="E212" s="16" t="s">
        <v>1875</v>
      </c>
      <c r="F212" s="14" t="s">
        <v>2147</v>
      </c>
      <c r="G212" s="118"/>
      <c r="H212" s="114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1464</v>
      </c>
      <c r="C213" s="14" t="s">
        <v>117</v>
      </c>
      <c r="D213" s="15" t="s">
        <v>2153</v>
      </c>
      <c r="E213" s="16" t="s">
        <v>1875</v>
      </c>
      <c r="F213" s="14" t="s">
        <v>2147</v>
      </c>
      <c r="G213" s="118"/>
      <c r="H213" s="114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1467</v>
      </c>
      <c r="C214" s="14" t="s">
        <v>117</v>
      </c>
      <c r="D214" s="15" t="s">
        <v>2154</v>
      </c>
      <c r="E214" s="16" t="s">
        <v>1875</v>
      </c>
      <c r="F214" s="14" t="s">
        <v>2147</v>
      </c>
      <c r="G214" s="118"/>
      <c r="H214" s="114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1470</v>
      </c>
      <c r="C215" s="14" t="s">
        <v>117</v>
      </c>
      <c r="D215" s="15" t="s">
        <v>2155</v>
      </c>
      <c r="E215" s="16" t="s">
        <v>1875</v>
      </c>
      <c r="F215" s="14" t="s">
        <v>2147</v>
      </c>
      <c r="G215" s="118"/>
      <c r="H215" s="114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1473</v>
      </c>
      <c r="C216" s="14" t="s">
        <v>115</v>
      </c>
      <c r="D216" s="15" t="s">
        <v>2156</v>
      </c>
      <c r="E216" s="16" t="s">
        <v>1875</v>
      </c>
      <c r="F216" s="14" t="s">
        <v>2147</v>
      </c>
      <c r="G216" s="118"/>
      <c r="H216" s="114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2157</v>
      </c>
      <c r="E217" s="16" t="s">
        <v>1875</v>
      </c>
      <c r="F217" s="14" t="s">
        <v>2147</v>
      </c>
      <c r="G217" s="119"/>
      <c r="H217" s="114" t="str">
        <f>Settings!$B$3&amp;".mit.obr.cbam.tot.2"</f>
        <v>egy.mit.obr.cbam.tot.2</v>
      </c>
      <c r="L217" s="116">
        <f t="shared" ref="L217:AE217" si="59">SUM(L209:L216)</f>
        <v>0</v>
      </c>
      <c r="M217" s="116">
        <f t="shared" si="59"/>
        <v>0</v>
      </c>
      <c r="N217" s="116">
        <f t="shared" si="59"/>
        <v>0</v>
      </c>
      <c r="O217" s="116">
        <f t="shared" si="59"/>
        <v>0</v>
      </c>
      <c r="P217" s="116">
        <f t="shared" si="59"/>
        <v>0</v>
      </c>
      <c r="Q217" s="116">
        <f t="shared" si="59"/>
        <v>0</v>
      </c>
      <c r="R217" s="116">
        <f t="shared" si="59"/>
        <v>0</v>
      </c>
      <c r="S217" s="116">
        <f t="shared" si="59"/>
        <v>0</v>
      </c>
      <c r="T217" s="116">
        <f t="shared" si="59"/>
        <v>0</v>
      </c>
      <c r="U217" s="116">
        <f t="shared" si="59"/>
        <v>0</v>
      </c>
      <c r="V217" s="116">
        <f t="shared" si="59"/>
        <v>0</v>
      </c>
      <c r="W217" s="116">
        <f t="shared" si="59"/>
        <v>0</v>
      </c>
      <c r="X217" s="116">
        <f t="shared" si="59"/>
        <v>0</v>
      </c>
      <c r="Y217" s="116">
        <f t="shared" si="59"/>
        <v>0</v>
      </c>
      <c r="Z217" s="116">
        <f t="shared" si="59"/>
        <v>0</v>
      </c>
      <c r="AA217" s="116">
        <f t="shared" si="59"/>
        <v>0</v>
      </c>
      <c r="AB217" s="116">
        <f t="shared" si="59"/>
        <v>0</v>
      </c>
      <c r="AC217" s="116">
        <f t="shared" si="59"/>
        <v>0</v>
      </c>
      <c r="AD217" s="116">
        <f t="shared" si="59"/>
        <v>0</v>
      </c>
      <c r="AE217" s="116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1505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2158</v>
      </c>
      <c r="E220" s="16" t="s">
        <v>1875</v>
      </c>
      <c r="F220" s="14" t="s">
        <v>2147</v>
      </c>
      <c r="G220" s="119"/>
      <c r="H220" s="114" t="str">
        <f>Settings!$B$3&amp;".mit.obr.ind.irn.2"</f>
        <v>egy.mit.obr.ind.irn.2</v>
      </c>
      <c r="I220" t="s">
        <v>2159</v>
      </c>
      <c r="L220" s="116">
        <f t="shared" ref="L220:AE220" si="60">L$209+L$210+L$211</f>
        <v>0</v>
      </c>
      <c r="M220" s="116">
        <f t="shared" si="60"/>
        <v>0</v>
      </c>
      <c r="N220" s="116">
        <f t="shared" si="60"/>
        <v>0</v>
      </c>
      <c r="O220" s="116">
        <f t="shared" si="60"/>
        <v>0</v>
      </c>
      <c r="P220" s="116">
        <f t="shared" si="60"/>
        <v>0</v>
      </c>
      <c r="Q220" s="116">
        <f t="shared" si="60"/>
        <v>0</v>
      </c>
      <c r="R220" s="116">
        <f t="shared" si="60"/>
        <v>0</v>
      </c>
      <c r="S220" s="116">
        <f t="shared" si="60"/>
        <v>0</v>
      </c>
      <c r="T220" s="116">
        <f t="shared" si="60"/>
        <v>0</v>
      </c>
      <c r="U220" s="116">
        <f t="shared" si="60"/>
        <v>0</v>
      </c>
      <c r="V220" s="116">
        <f t="shared" si="60"/>
        <v>0</v>
      </c>
      <c r="W220" s="116">
        <f t="shared" si="60"/>
        <v>0</v>
      </c>
      <c r="X220" s="116">
        <f t="shared" si="60"/>
        <v>0</v>
      </c>
      <c r="Y220" s="116">
        <f t="shared" si="60"/>
        <v>0</v>
      </c>
      <c r="Z220" s="116">
        <f t="shared" si="60"/>
        <v>0</v>
      </c>
      <c r="AA220" s="116">
        <f t="shared" si="60"/>
        <v>0</v>
      </c>
      <c r="AB220" s="116">
        <f t="shared" si="60"/>
        <v>0</v>
      </c>
      <c r="AC220" s="116">
        <f t="shared" si="60"/>
        <v>0</v>
      </c>
      <c r="AD220" s="116">
        <f t="shared" si="60"/>
        <v>0</v>
      </c>
      <c r="AE220" s="116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2160</v>
      </c>
      <c r="E221" s="16" t="s">
        <v>1875</v>
      </c>
      <c r="F221" s="14" t="s">
        <v>2161</v>
      </c>
      <c r="G221" s="119"/>
      <c r="H221" s="114" t="str">
        <f>Settings!$B$3&amp;".mit.ccf.ind.irn.2"</f>
        <v>egy.mit.ccf.ind.irn.2</v>
      </c>
      <c r="L221" s="116">
        <f>L$159*Mitigation_Industry!L$675/1000+L$160*Mitigation_Industry!L$676/1000+L$161*Mitigation_Industry!L$677/1000</f>
        <v>0</v>
      </c>
      <c r="M221" s="116">
        <f>M$159*Mitigation_Industry!M$675/1000+M$160*Mitigation_Industry!M$676/1000+M$161*Mitigation_Industry!M$677/1000</f>
        <v>0</v>
      </c>
      <c r="N221" s="116">
        <f>N$159*Mitigation_Industry!N$675/1000+N$160*Mitigation_Industry!N$676/1000+N$161*Mitigation_Industry!N$677/1000</f>
        <v>0</v>
      </c>
      <c r="O221" s="116">
        <f>O$159*Mitigation_Industry!O$675/1000+O$160*Mitigation_Industry!O$676/1000+O$161*Mitigation_Industry!O$677/1000</f>
        <v>0</v>
      </c>
      <c r="P221" s="116">
        <f>P$159*Mitigation_Industry!P$675/1000+P$160*Mitigation_Industry!P$676/1000+P$161*Mitigation_Industry!P$677/1000</f>
        <v>0</v>
      </c>
      <c r="Q221" s="116">
        <f>Q$159*Mitigation_Industry!Q$675/1000+Q$160*Mitigation_Industry!Q$676/1000+Q$161*Mitigation_Industry!Q$677/1000</f>
        <v>59.63062379527441</v>
      </c>
      <c r="R221" s="116">
        <f>R$159*Mitigation_Industry!R$675/1000+R$160*Mitigation_Industry!R$676/1000+R$161*Mitigation_Industry!R$677/1000</f>
        <v>124.50874248453297</v>
      </c>
      <c r="S221" s="116">
        <f>S$159*Mitigation_Industry!S$675/1000+S$160*Mitigation_Industry!S$676/1000+S$161*Mitigation_Industry!S$677/1000</f>
        <v>194.98069073077866</v>
      </c>
      <c r="T221" s="116">
        <f>T$159*Mitigation_Industry!T$675/1000+T$160*Mitigation_Industry!T$676/1000+T$161*Mitigation_Industry!T$677/1000</f>
        <v>271.41312149724388</v>
      </c>
      <c r="U221" s="116">
        <f>U$159*Mitigation_Industry!U$675/1000+U$160*Mitigation_Industry!U$676/1000+U$161*Mitigation_Industry!U$677/1000</f>
        <v>354.1941235539033</v>
      </c>
      <c r="V221" s="116">
        <f>V$159*Mitigation_Industry!V$675/1000+V$160*Mitigation_Industry!V$676/1000+V$161*Mitigation_Industry!V$677/1000</f>
        <v>443.7343979883301</v>
      </c>
      <c r="W221" s="116">
        <f>W$159*Mitigation_Industry!W$675/1000+W$160*Mitigation_Industry!W$676/1000+W$161*Mitigation_Industry!W$677/1000</f>
        <v>540.46849674978603</v>
      </c>
      <c r="X221" s="116">
        <f>X$159*Mitigation_Industry!X$675/1000+X$160*Mitigation_Industry!X$676/1000+X$161*Mitigation_Industry!X$677/1000</f>
        <v>644.85612640774468</v>
      </c>
      <c r="Y221" s="116">
        <f>Y$159*Mitigation_Industry!Y$675/1000+Y$160*Mitigation_Industry!Y$676/1000+Y$161*Mitigation_Industry!Y$677/1000</f>
        <v>757.38352046589625</v>
      </c>
      <c r="Z221" s="116">
        <f>Z$159*Mitigation_Industry!Z$675/1000+Z$160*Mitigation_Industry!Z$676/1000+Z$161*Mitigation_Industry!Z$677/1000</f>
        <v>878.56488374043977</v>
      </c>
      <c r="AA221" s="116">
        <f>AA$159*Mitigation_Industry!AA$675/1000+AA$160*Mitigation_Industry!AA$676/1000+AA$161*Mitigation_Industry!AA$677/1000</f>
        <v>1008.9439124875209</v>
      </c>
      <c r="AB221" s="116">
        <f>AB$159*Mitigation_Industry!AB$675/1000+AB$160*Mitigation_Industry!AB$676/1000+AB$161*Mitigation_Industry!AB$677/1000</f>
        <v>1149.095394149424</v>
      </c>
      <c r="AC221" s="116">
        <f>AC$159*Mitigation_Industry!AC$675/1000+AC$160*Mitigation_Industry!AC$676/1000+AC$161*Mitigation_Industry!AC$677/1000</f>
        <v>1299.6268907829981</v>
      </c>
      <c r="AD221" s="116">
        <f>AD$159*Mitigation_Industry!AD$675/1000+AD$160*Mitigation_Industry!AD$676/1000+AD$161*Mitigation_Industry!AD$677/1000</f>
        <v>1461.1805104372543</v>
      </c>
      <c r="AE221" s="116">
        <f>AE$159*Mitigation_Industry!AE$675/1000+AE$160*Mitigation_Industry!AE$676/1000+AE$161*Mitigation_Industry!AE$677/1000</f>
        <v>1634.4347709605286</v>
      </c>
    </row>
    <row r="222" spans="1:35" customFormat="1" ht="14.25" x14ac:dyDescent="0.45">
      <c r="B222" s="14" t="s">
        <v>110</v>
      </c>
      <c r="C222" s="14" t="s">
        <v>43</v>
      </c>
      <c r="D222" s="25" t="s">
        <v>2162</v>
      </c>
      <c r="E222" s="16" t="s">
        <v>79</v>
      </c>
      <c r="F222" s="14" t="s">
        <v>2163</v>
      </c>
      <c r="G222" s="119"/>
      <c r="H222" s="114" t="str">
        <f>Settings!$B$3&amp;".mit.rsh.ind.irn.2"</f>
        <v>egy.mit.rsh.ind.irn.2</v>
      </c>
      <c r="I222" t="s">
        <v>2164</v>
      </c>
      <c r="L222" s="116">
        <f t="shared" ref="L222:AE222" si="61">IF(L$221&lt;=0,0,MIN(1,L$220/L$221))</f>
        <v>0</v>
      </c>
      <c r="M222" s="116">
        <f t="shared" si="61"/>
        <v>0</v>
      </c>
      <c r="N222" s="116">
        <f t="shared" si="61"/>
        <v>0</v>
      </c>
      <c r="O222" s="116">
        <f t="shared" si="61"/>
        <v>0</v>
      </c>
      <c r="P222" s="116">
        <f t="shared" si="61"/>
        <v>0</v>
      </c>
      <c r="Q222" s="116">
        <f t="shared" si="61"/>
        <v>0</v>
      </c>
      <c r="R222" s="116">
        <f t="shared" si="61"/>
        <v>0</v>
      </c>
      <c r="S222" s="116">
        <f t="shared" si="61"/>
        <v>0</v>
      </c>
      <c r="T222" s="116">
        <f t="shared" si="61"/>
        <v>0</v>
      </c>
      <c r="U222" s="116">
        <f t="shared" si="61"/>
        <v>0</v>
      </c>
      <c r="V222" s="116">
        <f t="shared" si="61"/>
        <v>0</v>
      </c>
      <c r="W222" s="116">
        <f t="shared" si="61"/>
        <v>0</v>
      </c>
      <c r="X222" s="116">
        <f t="shared" si="61"/>
        <v>0</v>
      </c>
      <c r="Y222" s="116">
        <f t="shared" si="61"/>
        <v>0</v>
      </c>
      <c r="Z222" s="116">
        <f t="shared" si="61"/>
        <v>0</v>
      </c>
      <c r="AA222" s="116">
        <f t="shared" si="61"/>
        <v>0</v>
      </c>
      <c r="AB222" s="116">
        <f t="shared" si="61"/>
        <v>0</v>
      </c>
      <c r="AC222" s="116">
        <f t="shared" si="61"/>
        <v>0</v>
      </c>
      <c r="AD222" s="116">
        <f t="shared" si="61"/>
        <v>0</v>
      </c>
      <c r="AE222" s="116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2165</v>
      </c>
      <c r="E223" s="16" t="s">
        <v>51</v>
      </c>
      <c r="F223" s="14" t="s">
        <v>2166</v>
      </c>
      <c r="G223" s="118"/>
      <c r="H223" s="114" t="str">
        <f>Settings!$B$3&amp;".mit.atpn.irn.coa.e.2"</f>
        <v>egy.mit.atpn.irn.coa.e.2</v>
      </c>
      <c r="I223" t="s">
        <v>2223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2168</v>
      </c>
      <c r="E224" s="16" t="s">
        <v>51</v>
      </c>
      <c r="F224" s="14" t="s">
        <v>2166</v>
      </c>
      <c r="G224" s="118"/>
      <c r="H224" s="114" t="str">
        <f>Settings!$B$3&amp;".mit.atpn.irn.nga.e.2"</f>
        <v>egy.mit.atpn.irn.nga.e.2</v>
      </c>
      <c r="I224" t="s">
        <v>2224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2170</v>
      </c>
      <c r="E225" s="16" t="s">
        <v>57</v>
      </c>
      <c r="F225" s="14" t="s">
        <v>2166</v>
      </c>
      <c r="G225" s="118"/>
      <c r="H225" s="114" t="str">
        <f>Settings!$B$3&amp;".mit.atpn.irn.gso.e.2"</f>
        <v>egy.mit.atpn.irn.gso.e.2</v>
      </c>
      <c r="I225" t="s">
        <v>2225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2172</v>
      </c>
      <c r="E226" s="16" t="s">
        <v>57</v>
      </c>
      <c r="F226" s="14" t="s">
        <v>2166</v>
      </c>
      <c r="G226" s="118"/>
      <c r="H226" s="114" t="str">
        <f>Settings!$B$3&amp;".mit.atpn.irn.die.e.2"</f>
        <v>egy.mit.atpn.irn.die.e.2</v>
      </c>
      <c r="I226" t="s">
        <v>2226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2174</v>
      </c>
      <c r="E227" s="16" t="s">
        <v>57</v>
      </c>
      <c r="F227" s="14" t="s">
        <v>2166</v>
      </c>
      <c r="G227" s="118"/>
      <c r="H227" s="114" t="str">
        <f>Settings!$B$3&amp;".mit.atpn.irn.lpg.e.2"</f>
        <v>egy.mit.atpn.irn.lpg.e.2</v>
      </c>
      <c r="I227" t="s">
        <v>2227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2176</v>
      </c>
      <c r="E228" s="16" t="s">
        <v>57</v>
      </c>
      <c r="F228" s="14" t="s">
        <v>2166</v>
      </c>
      <c r="G228" s="118"/>
      <c r="H228" s="114" t="str">
        <f>Settings!$B$3&amp;".mit.atpn.irn.ker.e.2"</f>
        <v>egy.mit.atpn.irn.ker.e.2</v>
      </c>
      <c r="I228" t="s">
        <v>2228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2178</v>
      </c>
      <c r="E229" s="16" t="s">
        <v>66</v>
      </c>
      <c r="F229" s="14" t="s">
        <v>2166</v>
      </c>
      <c r="G229" s="118"/>
      <c r="H229" s="114" t="str">
        <f>Settings!$B$3&amp;".mit.atpn.irn.oop.e.2"</f>
        <v>egy.mit.atpn.irn.oop.e.2</v>
      </c>
      <c r="I229" t="s">
        <v>2229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2180</v>
      </c>
      <c r="E230" s="16" t="s">
        <v>51</v>
      </c>
      <c r="F230" s="14" t="s">
        <v>2166</v>
      </c>
      <c r="G230" s="118"/>
      <c r="H230" s="114" t="str">
        <f>Settings!$B$3&amp;".mit.atpn.irn.bio.e.2"</f>
        <v>egy.mit.atpn.irn.bio.e.2</v>
      </c>
      <c r="I230" t="s">
        <v>2230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2182</v>
      </c>
      <c r="E231" s="16" t="s">
        <v>71</v>
      </c>
      <c r="F231" s="14" t="s">
        <v>2166</v>
      </c>
      <c r="G231" s="118"/>
      <c r="H231" s="114" t="str">
        <f>Settings!$B$3&amp;".mit.atpn.irn.ren.e.2"</f>
        <v>egy.mit.atpn.irn.ren.e.2</v>
      </c>
      <c r="I231" t="s">
        <v>2231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1505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2158</v>
      </c>
      <c r="E234" s="16" t="s">
        <v>1875</v>
      </c>
      <c r="F234" s="14" t="s">
        <v>2147</v>
      </c>
      <c r="G234" s="119"/>
      <c r="H234" s="114" t="str">
        <f>Settings!$B$3&amp;".mit.obr.ind.cem.2"</f>
        <v>egy.mit.obr.ind.cem.2</v>
      </c>
      <c r="I234" t="s">
        <v>2184</v>
      </c>
      <c r="L234" s="116">
        <f t="shared" ref="L234:AE234" si="62">L$212</f>
        <v>0</v>
      </c>
      <c r="M234" s="116">
        <f t="shared" si="62"/>
        <v>0</v>
      </c>
      <c r="N234" s="116">
        <f t="shared" si="62"/>
        <v>0</v>
      </c>
      <c r="O234" s="116">
        <f t="shared" si="62"/>
        <v>0</v>
      </c>
      <c r="P234" s="116">
        <f t="shared" si="62"/>
        <v>0</v>
      </c>
      <c r="Q234" s="116">
        <f t="shared" si="62"/>
        <v>0</v>
      </c>
      <c r="R234" s="116">
        <f t="shared" si="62"/>
        <v>0</v>
      </c>
      <c r="S234" s="116">
        <f t="shared" si="62"/>
        <v>0</v>
      </c>
      <c r="T234" s="116">
        <f t="shared" si="62"/>
        <v>0</v>
      </c>
      <c r="U234" s="116">
        <f t="shared" si="62"/>
        <v>0</v>
      </c>
      <c r="V234" s="116">
        <f t="shared" si="62"/>
        <v>0</v>
      </c>
      <c r="W234" s="116">
        <f t="shared" si="62"/>
        <v>0</v>
      </c>
      <c r="X234" s="116">
        <f t="shared" si="62"/>
        <v>0</v>
      </c>
      <c r="Y234" s="116">
        <f t="shared" si="62"/>
        <v>0</v>
      </c>
      <c r="Z234" s="116">
        <f t="shared" si="62"/>
        <v>0</v>
      </c>
      <c r="AA234" s="116">
        <f t="shared" si="62"/>
        <v>0</v>
      </c>
      <c r="AB234" s="116">
        <f t="shared" si="62"/>
        <v>0</v>
      </c>
      <c r="AC234" s="116">
        <f t="shared" si="62"/>
        <v>0</v>
      </c>
      <c r="AD234" s="116">
        <f t="shared" si="62"/>
        <v>0</v>
      </c>
      <c r="AE234" s="116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2160</v>
      </c>
      <c r="E235" s="16" t="s">
        <v>1875</v>
      </c>
      <c r="F235" s="14" t="s">
        <v>2161</v>
      </c>
      <c r="G235" s="119"/>
      <c r="H235" s="114" t="str">
        <f>Settings!$B$3&amp;".mit.ccf.ind.cem.2"</f>
        <v>egy.mit.ccf.ind.cem.2</v>
      </c>
      <c r="L235" s="116">
        <f>L$162*Mitigation_Industry!L$678/1000</f>
        <v>0</v>
      </c>
      <c r="M235" s="116">
        <f>M$162*Mitigation_Industry!M$678/1000</f>
        <v>0</v>
      </c>
      <c r="N235" s="116">
        <f>N$162*Mitigation_Industry!N$678/1000</f>
        <v>0</v>
      </c>
      <c r="O235" s="116">
        <f>O$162*Mitigation_Industry!O$678/1000</f>
        <v>0</v>
      </c>
      <c r="P235" s="116">
        <f>P$162*Mitigation_Industry!P$678/1000</f>
        <v>0</v>
      </c>
      <c r="Q235" s="116">
        <f>Q$162*Mitigation_Industry!Q$678/1000</f>
        <v>198.62121046068742</v>
      </c>
      <c r="R235" s="116">
        <f>R$162*Mitigation_Industry!R$678/1000</f>
        <v>410.3514208117802</v>
      </c>
      <c r="S235" s="116">
        <f>S$162*Mitigation_Industry!S$678/1000</f>
        <v>635.83952654785332</v>
      </c>
      <c r="T235" s="116">
        <f>T$162*Mitigation_Industry!T$678/1000</f>
        <v>875.76297456524333</v>
      </c>
      <c r="U235" s="116">
        <f>U$162*Mitigation_Industry!U$678/1000</f>
        <v>1130.8289409073705</v>
      </c>
      <c r="V235" s="116">
        <f>V$162*Mitigation_Industry!V$678/1000</f>
        <v>1401.7755551487762</v>
      </c>
      <c r="W235" s="116">
        <f>W$162*Mitigation_Industry!W$678/1000</f>
        <v>1689.3731732134668</v>
      </c>
      <c r="X235" s="116">
        <f>X$162*Mitigation_Industry!X$678/1000</f>
        <v>1994.4257004908693</v>
      </c>
      <c r="Y235" s="116">
        <f>Y$162*Mitigation_Industry!Y$678/1000</f>
        <v>2317.7719671829518</v>
      </c>
      <c r="Z235" s="116">
        <f>Z$162*Mitigation_Industry!Z$678/1000</f>
        <v>2660.2871578888767</v>
      </c>
      <c r="AA235" s="116">
        <f>AA$162*Mitigation_Industry!AA$678/1000</f>
        <v>3022.8842975091306</v>
      </c>
      <c r="AB235" s="116">
        <f>AB$162*Mitigation_Industry!AB$678/1000</f>
        <v>3406.5157956293797</v>
      </c>
      <c r="AC235" s="116">
        <f>AC$162*Mitigation_Industry!AC$678/1000</f>
        <v>3812.1750516255784</v>
      </c>
      <c r="AD235" s="116">
        <f>AD$162*Mitigation_Industry!AD$678/1000</f>
        <v>4240.8981228160847</v>
      </c>
      <c r="AE235" s="116">
        <f>AE$162*Mitigation_Industry!AE$678/1000</f>
        <v>4693.7654580739454</v>
      </c>
    </row>
    <row r="236" spans="1:35" customFormat="1" ht="14.25" x14ac:dyDescent="0.45">
      <c r="B236" s="14" t="s">
        <v>110</v>
      </c>
      <c r="C236" s="14" t="s">
        <v>113</v>
      </c>
      <c r="D236" s="25" t="s">
        <v>2162</v>
      </c>
      <c r="E236" s="16" t="s">
        <v>79</v>
      </c>
      <c r="F236" s="14" t="s">
        <v>2163</v>
      </c>
      <c r="G236" s="119"/>
      <c r="H236" s="114" t="str">
        <f>Settings!$B$3&amp;".mit.rsh.ind.cem.2"</f>
        <v>egy.mit.rsh.ind.cem.2</v>
      </c>
      <c r="I236" t="s">
        <v>2164</v>
      </c>
      <c r="L236" s="116">
        <f t="shared" ref="L236:AE236" si="63">IF(L$235&lt;=0,0,MIN(1,L$234/L$235))</f>
        <v>0</v>
      </c>
      <c r="M236" s="116">
        <f t="shared" si="63"/>
        <v>0</v>
      </c>
      <c r="N236" s="116">
        <f t="shared" si="63"/>
        <v>0</v>
      </c>
      <c r="O236" s="116">
        <f t="shared" si="63"/>
        <v>0</v>
      </c>
      <c r="P236" s="116">
        <f t="shared" si="63"/>
        <v>0</v>
      </c>
      <c r="Q236" s="116">
        <f t="shared" si="63"/>
        <v>0</v>
      </c>
      <c r="R236" s="116">
        <f t="shared" si="63"/>
        <v>0</v>
      </c>
      <c r="S236" s="116">
        <f t="shared" si="63"/>
        <v>0</v>
      </c>
      <c r="T236" s="116">
        <f t="shared" si="63"/>
        <v>0</v>
      </c>
      <c r="U236" s="116">
        <f t="shared" si="63"/>
        <v>0</v>
      </c>
      <c r="V236" s="116">
        <f t="shared" si="63"/>
        <v>0</v>
      </c>
      <c r="W236" s="116">
        <f t="shared" si="63"/>
        <v>0</v>
      </c>
      <c r="X236" s="116">
        <f t="shared" si="63"/>
        <v>0</v>
      </c>
      <c r="Y236" s="116">
        <f t="shared" si="63"/>
        <v>0</v>
      </c>
      <c r="Z236" s="116">
        <f t="shared" si="63"/>
        <v>0</v>
      </c>
      <c r="AA236" s="116">
        <f t="shared" si="63"/>
        <v>0</v>
      </c>
      <c r="AB236" s="116">
        <f t="shared" si="63"/>
        <v>0</v>
      </c>
      <c r="AC236" s="116">
        <f t="shared" si="63"/>
        <v>0</v>
      </c>
      <c r="AD236" s="116">
        <f t="shared" si="63"/>
        <v>0</v>
      </c>
      <c r="AE236" s="116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2165</v>
      </c>
      <c r="E237" s="16" t="s">
        <v>51</v>
      </c>
      <c r="F237" s="14" t="s">
        <v>2166</v>
      </c>
      <c r="G237" s="118"/>
      <c r="H237" s="114" t="str">
        <f>Settings!$B$3&amp;".mit.atpn.cem.coa.e.2"</f>
        <v>egy.mit.atpn.cem.coa.e.2</v>
      </c>
      <c r="I237" t="s">
        <v>2232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2168</v>
      </c>
      <c r="E238" s="16" t="s">
        <v>51</v>
      </c>
      <c r="F238" s="14" t="s">
        <v>2166</v>
      </c>
      <c r="G238" s="118"/>
      <c r="H238" s="114" t="str">
        <f>Settings!$B$3&amp;".mit.atpn.cem.nga.e.2"</f>
        <v>egy.mit.atpn.cem.nga.e.2</v>
      </c>
      <c r="I238" t="s">
        <v>2233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2170</v>
      </c>
      <c r="E239" s="16" t="s">
        <v>57</v>
      </c>
      <c r="F239" s="14" t="s">
        <v>2166</v>
      </c>
      <c r="G239" s="118"/>
      <c r="H239" s="114" t="str">
        <f>Settings!$B$3&amp;".mit.atpn.cem.gso.e.2"</f>
        <v>egy.mit.atpn.cem.gso.e.2</v>
      </c>
      <c r="I239" t="s">
        <v>2234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2172</v>
      </c>
      <c r="E240" s="16" t="s">
        <v>57</v>
      </c>
      <c r="F240" s="14" t="s">
        <v>2166</v>
      </c>
      <c r="G240" s="118"/>
      <c r="H240" s="114" t="str">
        <f>Settings!$B$3&amp;".mit.atpn.cem.die.e.2"</f>
        <v>egy.mit.atpn.cem.die.e.2</v>
      </c>
      <c r="I240" t="s">
        <v>2235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2174</v>
      </c>
      <c r="E241" s="16" t="s">
        <v>57</v>
      </c>
      <c r="F241" s="14" t="s">
        <v>2166</v>
      </c>
      <c r="G241" s="118"/>
      <c r="H241" s="114" t="str">
        <f>Settings!$B$3&amp;".mit.atpn.cem.lpg.e.2"</f>
        <v>egy.mit.atpn.cem.lpg.e.2</v>
      </c>
      <c r="I241" t="s">
        <v>2236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2176</v>
      </c>
      <c r="E242" s="16" t="s">
        <v>57</v>
      </c>
      <c r="F242" s="14" t="s">
        <v>2166</v>
      </c>
      <c r="G242" s="118"/>
      <c r="H242" s="114" t="str">
        <f>Settings!$B$3&amp;".mit.atpn.cem.ker.e.2"</f>
        <v>egy.mit.atpn.cem.ker.e.2</v>
      </c>
      <c r="I242" t="s">
        <v>2237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2178</v>
      </c>
      <c r="E243" s="16" t="s">
        <v>66</v>
      </c>
      <c r="F243" s="14" t="s">
        <v>2166</v>
      </c>
      <c r="G243" s="118"/>
      <c r="H243" s="114" t="str">
        <f>Settings!$B$3&amp;".mit.atpn.cem.oop.e.2"</f>
        <v>egy.mit.atpn.cem.oop.e.2</v>
      </c>
      <c r="I243" t="s">
        <v>2238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2180</v>
      </c>
      <c r="E244" s="16" t="s">
        <v>51</v>
      </c>
      <c r="F244" s="14" t="s">
        <v>2166</v>
      </c>
      <c r="G244" s="118"/>
      <c r="H244" s="114" t="str">
        <f>Settings!$B$3&amp;".mit.atpn.cem.bio.e.2"</f>
        <v>egy.mit.atpn.cem.bio.e.2</v>
      </c>
      <c r="I244" t="s">
        <v>2239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2182</v>
      </c>
      <c r="E245" s="16" t="s">
        <v>71</v>
      </c>
      <c r="F245" s="14" t="s">
        <v>2166</v>
      </c>
      <c r="G245" s="118"/>
      <c r="H245" s="114" t="str">
        <f>Settings!$B$3&amp;".mit.atpn.cem.ren.e.2"</f>
        <v>egy.mit.atpn.cem.ren.e.2</v>
      </c>
      <c r="I245" t="s">
        <v>2240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1505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2158</v>
      </c>
      <c r="E248" s="16" t="s">
        <v>1875</v>
      </c>
      <c r="F248" s="14" t="s">
        <v>2147</v>
      </c>
      <c r="G248" s="119"/>
      <c r="H248" s="114" t="str">
        <f>Settings!$B$3&amp;".mit.obr.ind.nfm.2"</f>
        <v>egy.mit.obr.ind.nfm.2</v>
      </c>
      <c r="I248" t="s">
        <v>2194</v>
      </c>
      <c r="L248" s="116">
        <f t="shared" ref="L248:AE248" si="64">L$216</f>
        <v>0</v>
      </c>
      <c r="M248" s="116">
        <f t="shared" si="64"/>
        <v>0</v>
      </c>
      <c r="N248" s="116">
        <f t="shared" si="64"/>
        <v>0</v>
      </c>
      <c r="O248" s="116">
        <f t="shared" si="64"/>
        <v>0</v>
      </c>
      <c r="P248" s="116">
        <f t="shared" si="64"/>
        <v>0</v>
      </c>
      <c r="Q248" s="116">
        <f t="shared" si="64"/>
        <v>0</v>
      </c>
      <c r="R248" s="116">
        <f t="shared" si="64"/>
        <v>0</v>
      </c>
      <c r="S248" s="116">
        <f t="shared" si="64"/>
        <v>0</v>
      </c>
      <c r="T248" s="116">
        <f t="shared" si="64"/>
        <v>0</v>
      </c>
      <c r="U248" s="116">
        <f t="shared" si="64"/>
        <v>0</v>
      </c>
      <c r="V248" s="116">
        <f t="shared" si="64"/>
        <v>0</v>
      </c>
      <c r="W248" s="116">
        <f t="shared" si="64"/>
        <v>0</v>
      </c>
      <c r="X248" s="116">
        <f t="shared" si="64"/>
        <v>0</v>
      </c>
      <c r="Y248" s="116">
        <f t="shared" si="64"/>
        <v>0</v>
      </c>
      <c r="Z248" s="116">
        <f t="shared" si="64"/>
        <v>0</v>
      </c>
      <c r="AA248" s="116">
        <f t="shared" si="64"/>
        <v>0</v>
      </c>
      <c r="AB248" s="116">
        <f t="shared" si="64"/>
        <v>0</v>
      </c>
      <c r="AC248" s="116">
        <f t="shared" si="64"/>
        <v>0</v>
      </c>
      <c r="AD248" s="116">
        <f t="shared" si="64"/>
        <v>0</v>
      </c>
      <c r="AE248" s="116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2160</v>
      </c>
      <c r="E249" s="16" t="s">
        <v>1875</v>
      </c>
      <c r="F249" s="14" t="s">
        <v>2161</v>
      </c>
      <c r="G249" s="119"/>
      <c r="H249" s="114" t="str">
        <f>Settings!$B$3&amp;".mit.ccf.ind.nfm.2"</f>
        <v>egy.mit.ccf.ind.nfm.2</v>
      </c>
      <c r="L249" s="116">
        <f>L$166*Mitigation_Industry!L$682/1000</f>
        <v>0</v>
      </c>
      <c r="M249" s="116">
        <f>M$166*Mitigation_Industry!M$682/1000</f>
        <v>0</v>
      </c>
      <c r="N249" s="116">
        <f>N$166*Mitigation_Industry!N$682/1000</f>
        <v>0</v>
      </c>
      <c r="O249" s="116">
        <f>O$166*Mitigation_Industry!O$682/1000</f>
        <v>0</v>
      </c>
      <c r="P249" s="116">
        <f>P$166*Mitigation_Industry!P$682/1000</f>
        <v>0</v>
      </c>
      <c r="Q249" s="116">
        <f>Q$166*Mitigation_Industry!Q$682/1000</f>
        <v>0.68693120437499988</v>
      </c>
      <c r="R249" s="116">
        <f>R$166*Mitigation_Industry!R$682/1000</f>
        <v>1.4494248412312498</v>
      </c>
      <c r="S249" s="116">
        <f>S$166*Mitigation_Industry!S$682/1000</f>
        <v>2.2937148112484529</v>
      </c>
      <c r="T249" s="116">
        <f>T$166*Mitigation_Industry!T$682/1000</f>
        <v>3.2264921678228236</v>
      </c>
      <c r="U249" s="116">
        <f>U$166*Mitigation_Industry!U$682/1000</f>
        <v>4.2549365463163484</v>
      </c>
      <c r="V249" s="116">
        <f>V$166*Mitigation_Industry!V$682/1000</f>
        <v>5.3867496676364963</v>
      </c>
      <c r="W249" s="116">
        <f>W$166*Mitigation_Industry!W$682/1000</f>
        <v>6.6301910492492544</v>
      </c>
      <c r="X249" s="116">
        <f>X$166*Mitigation_Industry!X$682/1000</f>
        <v>7.9941160650948149</v>
      </c>
      <c r="Y249" s="116">
        <f>Y$166*Mitigation_Industry!Y$682/1000</f>
        <v>9.4880165047594094</v>
      </c>
      <c r="Z249" s="116">
        <f>Z$166*Mitigation_Industry!Z$682/1000</f>
        <v>11.122063791690197</v>
      </c>
      <c r="AA249" s="116">
        <f>AA$166*Mitigation_Industry!AA$682/1000</f>
        <v>12.907155030256472</v>
      </c>
      <c r="AB249" s="116">
        <f>AB$166*Mitigation_Industry!AB$682/1000</f>
        <v>14.854962062095174</v>
      </c>
      <c r="AC249" s="116">
        <f>AC$166*Mitigation_Industry!AC$682/1000</f>
        <v>16.97798372346961</v>
      </c>
      <c r="AD249" s="116">
        <f>AD$166*Mitigation_Industry!AD$682/1000</f>
        <v>19.289601507357389</v>
      </c>
      <c r="AE249" s="116">
        <f>AE$166*Mitigation_Industry!AE$682/1000</f>
        <v>21.804138846709336</v>
      </c>
    </row>
    <row r="250" spans="1:35" customFormat="1" ht="14.25" x14ac:dyDescent="0.45">
      <c r="B250" s="14" t="s">
        <v>110</v>
      </c>
      <c r="C250" s="14" t="s">
        <v>115</v>
      </c>
      <c r="D250" s="25" t="s">
        <v>2162</v>
      </c>
      <c r="E250" s="16" t="s">
        <v>79</v>
      </c>
      <c r="F250" s="14" t="s">
        <v>2163</v>
      </c>
      <c r="G250" s="119"/>
      <c r="H250" s="114" t="str">
        <f>Settings!$B$3&amp;".mit.rsh.ind.nfm.2"</f>
        <v>egy.mit.rsh.ind.nfm.2</v>
      </c>
      <c r="I250" t="s">
        <v>2164</v>
      </c>
      <c r="L250" s="116">
        <f t="shared" ref="L250:AE250" si="65">IF(L$249&lt;=0,0,MIN(1,L$248/L$249))</f>
        <v>0</v>
      </c>
      <c r="M250" s="116">
        <f t="shared" si="65"/>
        <v>0</v>
      </c>
      <c r="N250" s="116">
        <f t="shared" si="65"/>
        <v>0</v>
      </c>
      <c r="O250" s="116">
        <f t="shared" si="65"/>
        <v>0</v>
      </c>
      <c r="P250" s="116">
        <f t="shared" si="65"/>
        <v>0</v>
      </c>
      <c r="Q250" s="116">
        <f t="shared" si="65"/>
        <v>0</v>
      </c>
      <c r="R250" s="116">
        <f t="shared" si="65"/>
        <v>0</v>
      </c>
      <c r="S250" s="116">
        <f t="shared" si="65"/>
        <v>0</v>
      </c>
      <c r="T250" s="116">
        <f t="shared" si="65"/>
        <v>0</v>
      </c>
      <c r="U250" s="116">
        <f t="shared" si="65"/>
        <v>0</v>
      </c>
      <c r="V250" s="116">
        <f t="shared" si="65"/>
        <v>0</v>
      </c>
      <c r="W250" s="116">
        <f t="shared" si="65"/>
        <v>0</v>
      </c>
      <c r="X250" s="116">
        <f t="shared" si="65"/>
        <v>0</v>
      </c>
      <c r="Y250" s="116">
        <f t="shared" si="65"/>
        <v>0</v>
      </c>
      <c r="Z250" s="116">
        <f t="shared" si="65"/>
        <v>0</v>
      </c>
      <c r="AA250" s="116">
        <f t="shared" si="65"/>
        <v>0</v>
      </c>
      <c r="AB250" s="116">
        <f t="shared" si="65"/>
        <v>0</v>
      </c>
      <c r="AC250" s="116">
        <f t="shared" si="65"/>
        <v>0</v>
      </c>
      <c r="AD250" s="116">
        <f t="shared" si="65"/>
        <v>0</v>
      </c>
      <c r="AE250" s="116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2165</v>
      </c>
      <c r="E251" s="16" t="s">
        <v>51</v>
      </c>
      <c r="F251" s="14" t="s">
        <v>2166</v>
      </c>
      <c r="G251" s="118"/>
      <c r="H251" s="114" t="str">
        <f>Settings!$B$3&amp;".mit.atpn.nfm.coa.e.2"</f>
        <v>egy.mit.atpn.nfm.coa.e.2</v>
      </c>
      <c r="I251" t="s">
        <v>2241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2168</v>
      </c>
      <c r="E252" s="16" t="s">
        <v>51</v>
      </c>
      <c r="F252" s="14" t="s">
        <v>2166</v>
      </c>
      <c r="G252" s="118"/>
      <c r="H252" s="114" t="str">
        <f>Settings!$B$3&amp;".mit.atpn.nfm.nga.e.2"</f>
        <v>egy.mit.atpn.nfm.nga.e.2</v>
      </c>
      <c r="I252" t="s">
        <v>2242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2170</v>
      </c>
      <c r="E253" s="16" t="s">
        <v>57</v>
      </c>
      <c r="F253" s="14" t="s">
        <v>2166</v>
      </c>
      <c r="G253" s="118"/>
      <c r="H253" s="114" t="str">
        <f>Settings!$B$3&amp;".mit.atpn.nfm.gso.e.2"</f>
        <v>egy.mit.atpn.nfm.gso.e.2</v>
      </c>
      <c r="I253" t="s">
        <v>2243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2172</v>
      </c>
      <c r="E254" s="16" t="s">
        <v>57</v>
      </c>
      <c r="F254" s="14" t="s">
        <v>2166</v>
      </c>
      <c r="G254" s="118"/>
      <c r="H254" s="114" t="str">
        <f>Settings!$B$3&amp;".mit.atpn.nfm.die.e.2"</f>
        <v>egy.mit.atpn.nfm.die.e.2</v>
      </c>
      <c r="I254" t="s">
        <v>2244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2174</v>
      </c>
      <c r="E255" s="16" t="s">
        <v>57</v>
      </c>
      <c r="F255" s="14" t="s">
        <v>2166</v>
      </c>
      <c r="G255" s="118"/>
      <c r="H255" s="114" t="str">
        <f>Settings!$B$3&amp;".mit.atpn.nfm.lpg.e.2"</f>
        <v>egy.mit.atpn.nfm.lpg.e.2</v>
      </c>
      <c r="I255" t="s">
        <v>2245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2176</v>
      </c>
      <c r="E256" s="16" t="s">
        <v>57</v>
      </c>
      <c r="F256" s="14" t="s">
        <v>2166</v>
      </c>
      <c r="G256" s="118"/>
      <c r="H256" s="114" t="str">
        <f>Settings!$B$3&amp;".mit.atpn.nfm.ker.e.2"</f>
        <v>egy.mit.atpn.nfm.ker.e.2</v>
      </c>
      <c r="I256" t="s">
        <v>2246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2178</v>
      </c>
      <c r="E257" s="16" t="s">
        <v>66</v>
      </c>
      <c r="F257" s="14" t="s">
        <v>2166</v>
      </c>
      <c r="G257" s="118"/>
      <c r="H257" s="114" t="str">
        <f>Settings!$B$3&amp;".mit.atpn.nfm.oop.e.2"</f>
        <v>egy.mit.atpn.nfm.oop.e.2</v>
      </c>
      <c r="I257" t="s">
        <v>2247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2180</v>
      </c>
      <c r="E258" s="16" t="s">
        <v>51</v>
      </c>
      <c r="F258" s="14" t="s">
        <v>2166</v>
      </c>
      <c r="G258" s="118"/>
      <c r="H258" s="114" t="str">
        <f>Settings!$B$3&amp;".mit.atpn.nfm.bio.e.2"</f>
        <v>egy.mit.atpn.nfm.bio.e.2</v>
      </c>
      <c r="I258" t="s">
        <v>2248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2182</v>
      </c>
      <c r="E259" s="16" t="s">
        <v>71</v>
      </c>
      <c r="F259" s="14" t="s">
        <v>2166</v>
      </c>
      <c r="G259" s="118"/>
      <c r="H259" s="114" t="str">
        <f>Settings!$B$3&amp;".mit.atpn.nfm.ren.e.2"</f>
        <v>egy.mit.atpn.nfm.ren.e.2</v>
      </c>
      <c r="I259" t="s">
        <v>2249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1505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2158</v>
      </c>
      <c r="E262" s="16" t="s">
        <v>1875</v>
      </c>
      <c r="F262" s="14" t="s">
        <v>2147</v>
      </c>
      <c r="G262" s="119"/>
      <c r="H262" s="114" t="str">
        <f>Settings!$B$3&amp;".mit.obr.ind.mch.2"</f>
        <v>egy.mit.obr.ind.mch.2</v>
      </c>
      <c r="I262" t="s">
        <v>2204</v>
      </c>
      <c r="L262" s="116">
        <f t="shared" ref="L262:AE262" si="66">L$213+L$214+L$215</f>
        <v>0</v>
      </c>
      <c r="M262" s="116">
        <f t="shared" si="66"/>
        <v>0</v>
      </c>
      <c r="N262" s="116">
        <f t="shared" si="66"/>
        <v>0</v>
      </c>
      <c r="O262" s="116">
        <f t="shared" si="66"/>
        <v>0</v>
      </c>
      <c r="P262" s="116">
        <f t="shared" si="66"/>
        <v>0</v>
      </c>
      <c r="Q262" s="116">
        <f t="shared" si="66"/>
        <v>0</v>
      </c>
      <c r="R262" s="116">
        <f t="shared" si="66"/>
        <v>0</v>
      </c>
      <c r="S262" s="116">
        <f t="shared" si="66"/>
        <v>0</v>
      </c>
      <c r="T262" s="116">
        <f t="shared" si="66"/>
        <v>0</v>
      </c>
      <c r="U262" s="116">
        <f t="shared" si="66"/>
        <v>0</v>
      </c>
      <c r="V262" s="116">
        <f t="shared" si="66"/>
        <v>0</v>
      </c>
      <c r="W262" s="116">
        <f t="shared" si="66"/>
        <v>0</v>
      </c>
      <c r="X262" s="116">
        <f t="shared" si="66"/>
        <v>0</v>
      </c>
      <c r="Y262" s="116">
        <f t="shared" si="66"/>
        <v>0</v>
      </c>
      <c r="Z262" s="116">
        <f t="shared" si="66"/>
        <v>0</v>
      </c>
      <c r="AA262" s="116">
        <f t="shared" si="66"/>
        <v>0</v>
      </c>
      <c r="AB262" s="116">
        <f t="shared" si="66"/>
        <v>0</v>
      </c>
      <c r="AC262" s="116">
        <f t="shared" si="66"/>
        <v>0</v>
      </c>
      <c r="AD262" s="116">
        <f t="shared" si="66"/>
        <v>0</v>
      </c>
      <c r="AE262" s="116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2160</v>
      </c>
      <c r="E263" s="16" t="s">
        <v>1875</v>
      </c>
      <c r="F263" s="14" t="s">
        <v>2161</v>
      </c>
      <c r="G263" s="119"/>
      <c r="H263" s="114" t="str">
        <f>Settings!$B$3&amp;".mit.ccf.ind.mch.2"</f>
        <v>egy.mit.ccf.ind.mch.2</v>
      </c>
      <c r="L263" s="116">
        <f>L$163*Mitigation_Industry!L$679/1000+L$164*Mitigation_Industry!L$680/1000+L$165*Mitigation_Industry!L$681/1000</f>
        <v>0</v>
      </c>
      <c r="M263" s="116">
        <f>M$163*Mitigation_Industry!M$679/1000+M$164*Mitigation_Industry!M$680/1000+M$165*Mitigation_Industry!M$681/1000</f>
        <v>0</v>
      </c>
      <c r="N263" s="116">
        <f>N$163*Mitigation_Industry!N$679/1000+N$164*Mitigation_Industry!N$680/1000+N$165*Mitigation_Industry!N$681/1000</f>
        <v>0</v>
      </c>
      <c r="O263" s="116">
        <f>O$163*Mitigation_Industry!O$679/1000+O$164*Mitigation_Industry!O$680/1000+O$165*Mitigation_Industry!O$681/1000</f>
        <v>0</v>
      </c>
      <c r="P263" s="116">
        <f>P$163*Mitigation_Industry!P$679/1000+P$164*Mitigation_Industry!P$680/1000+P$165*Mitigation_Industry!P$681/1000</f>
        <v>0</v>
      </c>
      <c r="Q263" s="116">
        <f>Q$163*Mitigation_Industry!Q$679/1000+Q$164*Mitigation_Industry!Q$680/1000+Q$165*Mitigation_Industry!Q$681/1000</f>
        <v>49.184015342396549</v>
      </c>
      <c r="R263" s="116">
        <f>R$163*Mitigation_Industry!R$679/1000+R$164*Mitigation_Industry!R$680/1000+R$165*Mitigation_Industry!R$681/1000</f>
        <v>100.53212735985855</v>
      </c>
      <c r="S263" s="116">
        <f>S$163*Mitigation_Industry!S$679/1000+S$164*Mitigation_Industry!S$680/1000+S$165*Mitigation_Industry!S$681/1000</f>
        <v>154.11575124266312</v>
      </c>
      <c r="T263" s="116">
        <f>T$163*Mitigation_Industry!T$679/1000+T$164*Mitigation_Industry!T$680/1000+T$165*Mitigation_Industry!T$681/1000</f>
        <v>210.00839702666897</v>
      </c>
      <c r="U263" s="116">
        <f>U$163*Mitigation_Industry!U$679/1000+U$164*Mitigation_Industry!U$680/1000+U$165*Mitigation_Industry!U$681/1000</f>
        <v>268.28572720156967</v>
      </c>
      <c r="V263" s="116">
        <f>V$163*Mitigation_Industry!V$679/1000+V$164*Mitigation_Industry!V$680/1000+V$165*Mitigation_Industry!V$681/1000</f>
        <v>329.02561584000495</v>
      </c>
      <c r="W263" s="116">
        <f>W$163*Mitigation_Industry!W$679/1000+W$164*Mitigation_Industry!W$680/1000+W$165*Mitigation_Industry!W$681/1000</f>
        <v>392.30820928656601</v>
      </c>
      <c r="X263" s="116">
        <f>X$163*Mitigation_Industry!X$679/1000+X$164*Mitigation_Industry!X$680/1000+X$165*Mitigation_Industry!X$681/1000</f>
        <v>458.2159884467091</v>
      </c>
      <c r="Y263" s="116">
        <f>Y$163*Mitigation_Industry!Y$679/1000+Y$164*Mitigation_Industry!Y$680/1000+Y$165*Mitigation_Industry!Y$681/1000</f>
        <v>526.83383271660375</v>
      </c>
      <c r="Z263" s="116">
        <f>Z$163*Mitigation_Industry!Z$679/1000+Z$164*Mitigation_Industry!Z$680/1000+Z$165*Mitigation_Industry!Z$681/1000</f>
        <v>598.24908559596577</v>
      </c>
      <c r="AA263" s="116">
        <f>AA$163*Mitigation_Industry!AA$679/1000+AA$164*Mitigation_Industry!AA$680/1000+AA$165*Mitigation_Industry!AA$681/1000</f>
        <v>672.55162202698455</v>
      </c>
      <c r="AB263" s="116">
        <f>AB$163*Mitigation_Industry!AB$679/1000+AB$164*Mitigation_Industry!AB$680/1000+AB$165*Mitigation_Industry!AB$681/1000</f>
        <v>749.83391750353985</v>
      </c>
      <c r="AC263" s="116">
        <f>AC$163*Mitigation_Industry!AC$679/1000+AC$164*Mitigation_Industry!AC$680/1000+AC$165*Mitigation_Industry!AC$681/1000</f>
        <v>830.1911189960025</v>
      </c>
      <c r="AD263" s="116">
        <f>AD$163*Mitigation_Industry!AD$679/1000+AD$164*Mitigation_Industry!AD$680/1000+AD$165*Mitigation_Industry!AD$681/1000</f>
        <v>913.72111773806193</v>
      </c>
      <c r="AE263" s="116">
        <f>AE$163*Mitigation_Industry!AE$679/1000+AE$164*Mitigation_Industry!AE$680/1000+AE$165*Mitigation_Industry!AE$681/1000</f>
        <v>1000.5246239231777</v>
      </c>
    </row>
    <row r="264" spans="1:35" customFormat="1" ht="14.25" x14ac:dyDescent="0.45">
      <c r="B264" s="14" t="s">
        <v>110</v>
      </c>
      <c r="C264" s="14" t="s">
        <v>117</v>
      </c>
      <c r="D264" s="25" t="s">
        <v>2162</v>
      </c>
      <c r="E264" s="16" t="s">
        <v>79</v>
      </c>
      <c r="F264" s="14" t="s">
        <v>2163</v>
      </c>
      <c r="G264" s="119"/>
      <c r="H264" s="114" t="str">
        <f>Settings!$B$3&amp;".mit.rsh.ind.mch.2"</f>
        <v>egy.mit.rsh.ind.mch.2</v>
      </c>
      <c r="I264" t="s">
        <v>2164</v>
      </c>
      <c r="L264" s="116">
        <f t="shared" ref="L264:AE264" si="67">IF(L$263&lt;=0,0,MIN(1,L$262/L$263))</f>
        <v>0</v>
      </c>
      <c r="M264" s="116">
        <f t="shared" si="67"/>
        <v>0</v>
      </c>
      <c r="N264" s="116">
        <f t="shared" si="67"/>
        <v>0</v>
      </c>
      <c r="O264" s="116">
        <f t="shared" si="67"/>
        <v>0</v>
      </c>
      <c r="P264" s="116">
        <f t="shared" si="67"/>
        <v>0</v>
      </c>
      <c r="Q264" s="116">
        <f t="shared" si="67"/>
        <v>0</v>
      </c>
      <c r="R264" s="116">
        <f t="shared" si="67"/>
        <v>0</v>
      </c>
      <c r="S264" s="116">
        <f t="shared" si="67"/>
        <v>0</v>
      </c>
      <c r="T264" s="116">
        <f t="shared" si="67"/>
        <v>0</v>
      </c>
      <c r="U264" s="116">
        <f t="shared" si="67"/>
        <v>0</v>
      </c>
      <c r="V264" s="116">
        <f t="shared" si="67"/>
        <v>0</v>
      </c>
      <c r="W264" s="116">
        <f t="shared" si="67"/>
        <v>0</v>
      </c>
      <c r="X264" s="116">
        <f t="shared" si="67"/>
        <v>0</v>
      </c>
      <c r="Y264" s="116">
        <f t="shared" si="67"/>
        <v>0</v>
      </c>
      <c r="Z264" s="116">
        <f t="shared" si="67"/>
        <v>0</v>
      </c>
      <c r="AA264" s="116">
        <f t="shared" si="67"/>
        <v>0</v>
      </c>
      <c r="AB264" s="116">
        <f t="shared" si="67"/>
        <v>0</v>
      </c>
      <c r="AC264" s="116">
        <f t="shared" si="67"/>
        <v>0</v>
      </c>
      <c r="AD264" s="116">
        <f t="shared" si="67"/>
        <v>0</v>
      </c>
      <c r="AE264" s="116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2165</v>
      </c>
      <c r="E265" s="16" t="s">
        <v>51</v>
      </c>
      <c r="F265" s="14" t="s">
        <v>2166</v>
      </c>
      <c r="G265" s="118"/>
      <c r="H265" s="114" t="str">
        <f>Settings!$B$3&amp;".mit.atpn.mch.coa.e.2"</f>
        <v>egy.mit.atpn.mch.coa.e.2</v>
      </c>
      <c r="I265" t="s">
        <v>2250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2168</v>
      </c>
      <c r="E266" s="16" t="s">
        <v>51</v>
      </c>
      <c r="F266" s="14" t="s">
        <v>2166</v>
      </c>
      <c r="G266" s="118"/>
      <c r="H266" s="114" t="str">
        <f>Settings!$B$3&amp;".mit.atpn.mch.nga.e.2"</f>
        <v>egy.mit.atpn.mch.nga.e.2</v>
      </c>
      <c r="I266" t="s">
        <v>2251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2170</v>
      </c>
      <c r="E267" s="16" t="s">
        <v>57</v>
      </c>
      <c r="F267" s="14" t="s">
        <v>2166</v>
      </c>
      <c r="G267" s="118"/>
      <c r="H267" s="114" t="str">
        <f>Settings!$B$3&amp;".mit.atpn.mch.gso.e.2"</f>
        <v>egy.mit.atpn.mch.gso.e.2</v>
      </c>
      <c r="I267" t="s">
        <v>2252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2172</v>
      </c>
      <c r="E268" s="16" t="s">
        <v>57</v>
      </c>
      <c r="F268" s="14" t="s">
        <v>2166</v>
      </c>
      <c r="G268" s="118"/>
      <c r="H268" s="114" t="str">
        <f>Settings!$B$3&amp;".mit.atpn.mch.die.e.2"</f>
        <v>egy.mit.atpn.mch.die.e.2</v>
      </c>
      <c r="I268" t="s">
        <v>2253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2174</v>
      </c>
      <c r="E269" s="16" t="s">
        <v>57</v>
      </c>
      <c r="F269" s="14" t="s">
        <v>2166</v>
      </c>
      <c r="G269" s="118"/>
      <c r="H269" s="114" t="str">
        <f>Settings!$B$3&amp;".mit.atpn.mch.lpg.e.2"</f>
        <v>egy.mit.atpn.mch.lpg.e.2</v>
      </c>
      <c r="I269" t="s">
        <v>2254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2176</v>
      </c>
      <c r="E270" s="16" t="s">
        <v>57</v>
      </c>
      <c r="F270" s="14" t="s">
        <v>2166</v>
      </c>
      <c r="G270" s="118"/>
      <c r="H270" s="114" t="str">
        <f>Settings!$B$3&amp;".mit.atpn.mch.ker.e.2"</f>
        <v>egy.mit.atpn.mch.ker.e.2</v>
      </c>
      <c r="I270" t="s">
        <v>2255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2178</v>
      </c>
      <c r="E271" s="16" t="s">
        <v>66</v>
      </c>
      <c r="F271" s="14" t="s">
        <v>2166</v>
      </c>
      <c r="G271" s="118"/>
      <c r="H271" s="114" t="str">
        <f>Settings!$B$3&amp;".mit.atpn.mch.oop.e.2"</f>
        <v>egy.mit.atpn.mch.oop.e.2</v>
      </c>
      <c r="I271" t="s">
        <v>2256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2180</v>
      </c>
      <c r="E272" s="16" t="s">
        <v>51</v>
      </c>
      <c r="F272" s="14" t="s">
        <v>2166</v>
      </c>
      <c r="G272" s="118"/>
      <c r="H272" s="114" t="str">
        <f>Settings!$B$3&amp;".mit.atpn.mch.bio.e.2"</f>
        <v>egy.mit.atpn.mch.bio.e.2</v>
      </c>
      <c r="I272" t="s">
        <v>2257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2182</v>
      </c>
      <c r="E273" s="16" t="s">
        <v>71</v>
      </c>
      <c r="F273" s="14" t="s">
        <v>2166</v>
      </c>
      <c r="G273" s="118"/>
      <c r="H273" s="114" t="str">
        <f>Settings!$B$3&amp;".mit.atpn.mch.ren.e.2"</f>
        <v>egy.mit.atpn.mch.ren.e.2</v>
      </c>
      <c r="I273" t="s">
        <v>2258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2214</v>
      </c>
      <c r="D275" s="6" t="s">
        <v>1505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2215</v>
      </c>
      <c r="E276" s="16" t="s">
        <v>1875</v>
      </c>
      <c r="F276" s="14" t="s">
        <v>2216</v>
      </c>
      <c r="G276" s="119"/>
      <c r="H276" s="118"/>
      <c r="I276" t="s">
        <v>2259</v>
      </c>
      <c r="L276" s="116">
        <f>Mitigation_Industry!L$799</f>
        <v>0</v>
      </c>
      <c r="M276" s="116">
        <f>Mitigation_Industry!M$799</f>
        <v>0</v>
      </c>
      <c r="N276" s="116">
        <f>Mitigation_Industry!N$799</f>
        <v>0</v>
      </c>
      <c r="O276" s="116">
        <f>Mitigation_Industry!O$799</f>
        <v>0</v>
      </c>
      <c r="P276" s="116">
        <f>Mitigation_Industry!P$799</f>
        <v>0</v>
      </c>
      <c r="Q276" s="116">
        <f>Mitigation_Industry!Q$799</f>
        <v>308.12278080273342</v>
      </c>
      <c r="R276" s="116">
        <f>Mitigation_Industry!R$799</f>
        <v>636.8417154974029</v>
      </c>
      <c r="S276" s="116">
        <f>Mitigation_Industry!S$799</f>
        <v>987.22968333254369</v>
      </c>
      <c r="T276" s="116">
        <f>Mitigation_Industry!T$799</f>
        <v>1360.4109852569791</v>
      </c>
      <c r="U276" s="116">
        <f>Mitigation_Industry!U$799</f>
        <v>1757.56372820916</v>
      </c>
      <c r="V276" s="116">
        <f>Mitigation_Industry!V$799</f>
        <v>2179.922318644748</v>
      </c>
      <c r="W276" s="116">
        <f>Mitigation_Industry!W$799</f>
        <v>2628.780070299068</v>
      </c>
      <c r="X276" s="116">
        <f>Mitigation_Industry!X$799</f>
        <v>3105.4919314104181</v>
      </c>
      <c r="Y276" s="116">
        <f>Mitigation_Industry!Y$799</f>
        <v>3611.4773368702113</v>
      </c>
      <c r="Z276" s="116">
        <f>Mitigation_Industry!Z$799</f>
        <v>4148.2231910169721</v>
      </c>
      <c r="AA276" s="116">
        <f>Mitigation_Industry!AA$799</f>
        <v>4717.2869870538907</v>
      </c>
      <c r="AB276" s="116">
        <f>Mitigation_Industry!AB$799</f>
        <v>5320.3000693444392</v>
      </c>
      <c r="AC276" s="116">
        <f>Mitigation_Industry!AC$799</f>
        <v>5958.9710451280498</v>
      </c>
      <c r="AD276" s="116">
        <f>Mitigation_Industry!AD$799</f>
        <v>6635.0893524987587</v>
      </c>
      <c r="AE276" s="116">
        <f>Mitigation_Industry!AE$799</f>
        <v>7350.5289918043609</v>
      </c>
    </row>
    <row r="277" spans="1:35" customFormat="1" ht="14.25" x14ac:dyDescent="0.45">
      <c r="B277" s="14" t="s">
        <v>110</v>
      </c>
      <c r="C277" s="14"/>
      <c r="D277" s="25" t="s">
        <v>2218</v>
      </c>
      <c r="E277" s="16" t="s">
        <v>1875</v>
      </c>
      <c r="F277" s="14" t="s">
        <v>2147</v>
      </c>
      <c r="G277" s="119"/>
      <c r="H277" s="118"/>
      <c r="L277" s="116">
        <f t="shared" ref="L277:AE277" si="68">L$217</f>
        <v>0</v>
      </c>
      <c r="M277" s="116">
        <f t="shared" si="68"/>
        <v>0</v>
      </c>
      <c r="N277" s="116">
        <f t="shared" si="68"/>
        <v>0</v>
      </c>
      <c r="O277" s="116">
        <f t="shared" si="68"/>
        <v>0</v>
      </c>
      <c r="P277" s="116">
        <f t="shared" si="68"/>
        <v>0</v>
      </c>
      <c r="Q277" s="116">
        <f t="shared" si="68"/>
        <v>0</v>
      </c>
      <c r="R277" s="116">
        <f t="shared" si="68"/>
        <v>0</v>
      </c>
      <c r="S277" s="116">
        <f t="shared" si="68"/>
        <v>0</v>
      </c>
      <c r="T277" s="116">
        <f t="shared" si="68"/>
        <v>0</v>
      </c>
      <c r="U277" s="116">
        <f t="shared" si="68"/>
        <v>0</v>
      </c>
      <c r="V277" s="116">
        <f t="shared" si="68"/>
        <v>0</v>
      </c>
      <c r="W277" s="116">
        <f t="shared" si="68"/>
        <v>0</v>
      </c>
      <c r="X277" s="116">
        <f t="shared" si="68"/>
        <v>0</v>
      </c>
      <c r="Y277" s="116">
        <f t="shared" si="68"/>
        <v>0</v>
      </c>
      <c r="Z277" s="116">
        <f t="shared" si="68"/>
        <v>0</v>
      </c>
      <c r="AA277" s="116">
        <f t="shared" si="68"/>
        <v>0</v>
      </c>
      <c r="AB277" s="116">
        <f t="shared" si="68"/>
        <v>0</v>
      </c>
      <c r="AC277" s="116">
        <f t="shared" si="68"/>
        <v>0</v>
      </c>
      <c r="AD277" s="116">
        <f t="shared" si="68"/>
        <v>0</v>
      </c>
      <c r="AE277" s="116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2219</v>
      </c>
      <c r="E278" s="16" t="s">
        <v>1875</v>
      </c>
      <c r="F278" s="14" t="s">
        <v>2220</v>
      </c>
      <c r="G278" s="119"/>
      <c r="H278" s="114" t="str">
        <f>Settings!$B$3&amp;".mit.revnet.cbam.tot.2"</f>
        <v>egy.mit.revnet.cbam.tot.2</v>
      </c>
      <c r="L278" s="116">
        <f t="shared" ref="L278:AE278" si="69">L276-L277</f>
        <v>0</v>
      </c>
      <c r="M278" s="116">
        <f t="shared" si="69"/>
        <v>0</v>
      </c>
      <c r="N278" s="116">
        <f t="shared" si="69"/>
        <v>0</v>
      </c>
      <c r="O278" s="116">
        <f t="shared" si="69"/>
        <v>0</v>
      </c>
      <c r="P278" s="116">
        <f t="shared" si="69"/>
        <v>0</v>
      </c>
      <c r="Q278" s="116">
        <f t="shared" si="69"/>
        <v>308.12278080273342</v>
      </c>
      <c r="R278" s="116">
        <f t="shared" si="69"/>
        <v>636.8417154974029</v>
      </c>
      <c r="S278" s="116">
        <f t="shared" si="69"/>
        <v>987.22968333254369</v>
      </c>
      <c r="T278" s="116">
        <f t="shared" si="69"/>
        <v>1360.4109852569791</v>
      </c>
      <c r="U278" s="116">
        <f t="shared" si="69"/>
        <v>1757.56372820916</v>
      </c>
      <c r="V278" s="116">
        <f t="shared" si="69"/>
        <v>2179.922318644748</v>
      </c>
      <c r="W278" s="116">
        <f t="shared" si="69"/>
        <v>2628.780070299068</v>
      </c>
      <c r="X278" s="116">
        <f t="shared" si="69"/>
        <v>3105.4919314104181</v>
      </c>
      <c r="Y278" s="116">
        <f t="shared" si="69"/>
        <v>3611.4773368702113</v>
      </c>
      <c r="Z278" s="116">
        <f t="shared" si="69"/>
        <v>4148.2231910169721</v>
      </c>
      <c r="AA278" s="116">
        <f t="shared" si="69"/>
        <v>4717.2869870538907</v>
      </c>
      <c r="AB278" s="116">
        <f t="shared" si="69"/>
        <v>5320.3000693444392</v>
      </c>
      <c r="AC278" s="116">
        <f t="shared" si="69"/>
        <v>5958.9710451280498</v>
      </c>
      <c r="AD278" s="116">
        <f t="shared" si="69"/>
        <v>6635.0893524987587</v>
      </c>
      <c r="AE278" s="116">
        <f t="shared" si="69"/>
        <v>7350.5289918043609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1846</v>
      </c>
      <c r="H64" s="5" t="s">
        <v>1847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1846</v>
      </c>
      <c r="H66" s="5" t="s">
        <v>1848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1846</v>
      </c>
      <c r="H68" s="5" t="s">
        <v>1849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1846</v>
      </c>
      <c r="H70" s="5" t="s">
        <v>1850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1846</v>
      </c>
      <c r="H72" s="5" t="s">
        <v>1851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1846</v>
      </c>
      <c r="H74" s="5" t="s">
        <v>1852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1846</v>
      </c>
      <c r="H76" s="5" t="s">
        <v>1853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1846</v>
      </c>
      <c r="H78" s="5" t="s">
        <v>1854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1846</v>
      </c>
      <c r="H80" s="5" t="s">
        <v>1855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1842</v>
      </c>
      <c r="H126" s="5" t="s">
        <v>1843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1844</v>
      </c>
      <c r="H127" s="5" t="s">
        <v>1845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1856</v>
      </c>
      <c r="B128" s="5" t="s">
        <v>77</v>
      </c>
      <c r="C128" s="5" t="s">
        <v>1413</v>
      </c>
      <c r="D128" s="5" t="s">
        <v>1792</v>
      </c>
      <c r="E128" s="5">
        <v>1</v>
      </c>
      <c r="F128" s="5" t="s">
        <v>1415</v>
      </c>
      <c r="G128" s="5" t="s">
        <v>1793</v>
      </c>
      <c r="H128" s="5" t="s">
        <v>1857</v>
      </c>
      <c r="I128" s="28" t="s">
        <v>1856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1858</v>
      </c>
      <c r="B129" s="5" t="s">
        <v>77</v>
      </c>
      <c r="C129" s="5" t="s">
        <v>1413</v>
      </c>
      <c r="D129" s="5" t="s">
        <v>1795</v>
      </c>
      <c r="E129" s="5">
        <v>1</v>
      </c>
      <c r="F129" s="5" t="s">
        <v>79</v>
      </c>
      <c r="G129" s="5" t="s">
        <v>1796</v>
      </c>
      <c r="H129" s="5" t="s">
        <v>1857</v>
      </c>
      <c r="I129" s="28" t="s">
        <v>1858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1859</v>
      </c>
      <c r="B130" s="5" t="s">
        <v>77</v>
      </c>
      <c r="C130" s="5" t="s">
        <v>1413</v>
      </c>
      <c r="D130" s="5" t="s">
        <v>1799</v>
      </c>
      <c r="E130" s="5">
        <v>1</v>
      </c>
      <c r="F130" s="5" t="s">
        <v>79</v>
      </c>
      <c r="G130" s="5" t="s">
        <v>1800</v>
      </c>
      <c r="H130" s="5" t="s">
        <v>1857</v>
      </c>
      <c r="I130" s="28" t="s">
        <v>1859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1860</v>
      </c>
      <c r="B131" s="5" t="s">
        <v>77</v>
      </c>
      <c r="C131" s="5" t="s">
        <v>1413</v>
      </c>
      <c r="D131" s="5" t="s">
        <v>1803</v>
      </c>
      <c r="E131" s="5">
        <v>1</v>
      </c>
      <c r="F131" s="5" t="s">
        <v>1415</v>
      </c>
      <c r="G131" s="5" t="s">
        <v>1804</v>
      </c>
      <c r="H131" s="5" t="s">
        <v>1857</v>
      </c>
      <c r="I131" s="28" t="s">
        <v>1860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1861</v>
      </c>
      <c r="B132" s="5" t="s">
        <v>77</v>
      </c>
      <c r="C132" s="5" t="s">
        <v>1413</v>
      </c>
      <c r="D132" s="5" t="s">
        <v>1806</v>
      </c>
      <c r="E132" s="5">
        <v>1</v>
      </c>
      <c r="F132" s="5" t="s">
        <v>79</v>
      </c>
      <c r="G132" s="5" t="s">
        <v>1807</v>
      </c>
      <c r="H132" s="5" t="s">
        <v>1857</v>
      </c>
      <c r="I132" s="28" t="s">
        <v>1861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1862</v>
      </c>
      <c r="B133" s="5" t="s">
        <v>77</v>
      </c>
      <c r="C133" s="5" t="s">
        <v>1413</v>
      </c>
      <c r="D133" s="5" t="s">
        <v>1811</v>
      </c>
      <c r="E133" s="5">
        <v>1</v>
      </c>
      <c r="F133" s="5" t="s">
        <v>1415</v>
      </c>
      <c r="G133" s="5" t="s">
        <v>1812</v>
      </c>
      <c r="H133" s="5" t="s">
        <v>1857</v>
      </c>
      <c r="I133" s="28" t="s">
        <v>1862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1794</v>
      </c>
      <c r="B134" s="5" t="s">
        <v>77</v>
      </c>
      <c r="C134" s="5" t="s">
        <v>1413</v>
      </c>
      <c r="D134" s="5" t="s">
        <v>1792</v>
      </c>
      <c r="E134" s="5">
        <v>2</v>
      </c>
      <c r="F134" s="5" t="s">
        <v>1415</v>
      </c>
      <c r="G134" s="5" t="s">
        <v>1793</v>
      </c>
      <c r="H134" s="5" t="s">
        <v>1789</v>
      </c>
      <c r="I134" s="28" t="s">
        <v>1794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1797</v>
      </c>
      <c r="B135" s="5" t="s">
        <v>77</v>
      </c>
      <c r="C135" s="5" t="s">
        <v>1413</v>
      </c>
      <c r="D135" s="5" t="s">
        <v>1795</v>
      </c>
      <c r="E135" s="5">
        <v>2</v>
      </c>
      <c r="F135" s="5" t="s">
        <v>79</v>
      </c>
      <c r="G135" s="5" t="s">
        <v>1796</v>
      </c>
      <c r="H135" s="5" t="s">
        <v>1789</v>
      </c>
      <c r="I135" s="28" t="s">
        <v>1797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1802</v>
      </c>
      <c r="B136" s="5" t="s">
        <v>77</v>
      </c>
      <c r="C136" s="5" t="s">
        <v>1413</v>
      </c>
      <c r="D136" s="5" t="s">
        <v>1799</v>
      </c>
      <c r="E136" s="5">
        <v>2</v>
      </c>
      <c r="F136" s="5" t="s">
        <v>79</v>
      </c>
      <c r="G136" s="5" t="s">
        <v>1800</v>
      </c>
      <c r="H136" s="5" t="s">
        <v>1789</v>
      </c>
      <c r="I136" s="28" t="s">
        <v>1802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1805</v>
      </c>
      <c r="B137" s="5" t="s">
        <v>77</v>
      </c>
      <c r="C137" s="5" t="s">
        <v>1413</v>
      </c>
      <c r="D137" s="5" t="s">
        <v>1803</v>
      </c>
      <c r="E137" s="5">
        <v>2</v>
      </c>
      <c r="F137" s="5" t="s">
        <v>1415</v>
      </c>
      <c r="G137" s="5" t="s">
        <v>1804</v>
      </c>
      <c r="H137" s="5" t="s">
        <v>1789</v>
      </c>
      <c r="I137" s="28" t="s">
        <v>1805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1809</v>
      </c>
      <c r="B138" s="5" t="s">
        <v>77</v>
      </c>
      <c r="C138" s="5" t="s">
        <v>1413</v>
      </c>
      <c r="D138" s="5" t="s">
        <v>1806</v>
      </c>
      <c r="E138" s="5">
        <v>2</v>
      </c>
      <c r="F138" s="5" t="s">
        <v>79</v>
      </c>
      <c r="G138" s="5" t="s">
        <v>1807</v>
      </c>
      <c r="H138" s="5" t="s">
        <v>1789</v>
      </c>
      <c r="I138" s="28" t="s">
        <v>1809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1814</v>
      </c>
      <c r="B139" s="5" t="s">
        <v>77</v>
      </c>
      <c r="C139" s="5" t="s">
        <v>1413</v>
      </c>
      <c r="D139" s="5" t="s">
        <v>1811</v>
      </c>
      <c r="E139" s="5">
        <v>2</v>
      </c>
      <c r="F139" s="5" t="s">
        <v>1415</v>
      </c>
      <c r="G139" s="5" t="s">
        <v>1812</v>
      </c>
      <c r="H139" s="5" t="s">
        <v>1789</v>
      </c>
      <c r="I139" s="28" t="s">
        <v>1814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D98-C96F-4C99-97E9-0D9C2C5EC0D8}">
  <dimension ref="A1:K23"/>
  <sheetViews>
    <sheetView workbookViewId="0"/>
  </sheetViews>
  <sheetFormatPr defaultRowHeight="13.5" x14ac:dyDescent="0.35"/>
  <cols>
    <col min="1" max="1" width="22.59765625" style="101" customWidth="1"/>
    <col min="2" max="2" width="24.59765625" style="101" customWidth="1"/>
    <col min="3" max="3" width="6.59765625" style="101" customWidth="1"/>
    <col min="4" max="7" width="12.59765625" style="101" customWidth="1"/>
    <col min="8" max="8" width="14.59765625" style="101" customWidth="1"/>
    <col min="9" max="9" width="10.59765625" style="101" customWidth="1"/>
    <col min="10" max="10" width="22.59765625" style="101" customWidth="1"/>
    <col min="11" max="11" width="90.59765625" style="101" customWidth="1"/>
    <col min="12" max="16384" width="9.06640625" style="101"/>
  </cols>
  <sheetData>
    <row r="1" spans="1:11" ht="13.9" x14ac:dyDescent="0.4">
      <c r="A1" s="102" t="s">
        <v>1931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35">
      <c r="A2" s="101" t="s">
        <v>1932</v>
      </c>
    </row>
    <row r="3" spans="1:11" ht="13.9" x14ac:dyDescent="0.4">
      <c r="A3" s="104" t="s">
        <v>877</v>
      </c>
      <c r="B3" s="104" t="s">
        <v>32</v>
      </c>
      <c r="C3" s="104" t="s">
        <v>878</v>
      </c>
      <c r="D3" s="104" t="s">
        <v>1933</v>
      </c>
      <c r="E3" s="104" t="s">
        <v>1934</v>
      </c>
      <c r="F3" s="104" t="s">
        <v>1935</v>
      </c>
      <c r="G3" s="104" t="s">
        <v>1936</v>
      </c>
      <c r="H3" s="104" t="s">
        <v>1937</v>
      </c>
      <c r="I3" s="104" t="s">
        <v>1938</v>
      </c>
      <c r="J3" s="104" t="s">
        <v>1939</v>
      </c>
      <c r="K3" s="104" t="s">
        <v>1940</v>
      </c>
    </row>
    <row r="4" spans="1:11" x14ac:dyDescent="0.35">
      <c r="A4" s="105" t="str">
        <f>Settings!$B$3&amp;".mit.efc."&amp;C4</f>
        <v>egy.mit.efc.coa</v>
      </c>
      <c r="B4" s="101" t="s">
        <v>50</v>
      </c>
      <c r="C4" s="101" t="s">
        <v>49</v>
      </c>
      <c r="D4" s="106">
        <v>0.1</v>
      </c>
      <c r="E4" s="107">
        <f t="shared" ref="E4:E12" si="0">D4*$D$17</f>
        <v>4186.8</v>
      </c>
      <c r="F4" s="107">
        <f t="shared" ref="F4:F12" si="1">$D$21</f>
        <v>0.92961501403768609</v>
      </c>
      <c r="G4" s="107">
        <f t="shared" ref="G4:G12" si="2">E4*F4</f>
        <v>3892.1121407729843</v>
      </c>
      <c r="H4" s="108">
        <v>3892.1121407729843</v>
      </c>
      <c r="I4" s="109">
        <f t="shared" ref="I4:I12" si="3">G4-H4</f>
        <v>0</v>
      </c>
      <c r="J4" s="101" t="s">
        <v>1941</v>
      </c>
      <c r="K4" s="101" t="s">
        <v>1942</v>
      </c>
    </row>
    <row r="5" spans="1:11" x14ac:dyDescent="0.35">
      <c r="A5" s="105" t="str">
        <f>Settings!$B$3&amp;".mit.efc."&amp;C5</f>
        <v>egy.mit.efc.nga</v>
      </c>
      <c r="B5" s="101" t="s">
        <v>54</v>
      </c>
      <c r="C5" s="101" t="s">
        <v>53</v>
      </c>
      <c r="D5" s="106">
        <v>5.5799999999999995E-2</v>
      </c>
      <c r="E5" s="107">
        <f t="shared" si="0"/>
        <v>2336.2343999999998</v>
      </c>
      <c r="F5" s="107">
        <f t="shared" si="1"/>
        <v>0.92961501403768609</v>
      </c>
      <c r="G5" s="107">
        <f t="shared" si="2"/>
        <v>2171.7985745513251</v>
      </c>
      <c r="H5" s="108">
        <v>2171.7985745513251</v>
      </c>
      <c r="I5" s="109">
        <f t="shared" si="3"/>
        <v>0</v>
      </c>
      <c r="J5" s="101" t="s">
        <v>1943</v>
      </c>
      <c r="K5" s="101" t="s">
        <v>1944</v>
      </c>
    </row>
    <row r="6" spans="1:11" x14ac:dyDescent="0.35">
      <c r="A6" s="105" t="str">
        <f>Settings!$B$3&amp;".mit.efc."&amp;C6</f>
        <v>egy.mit.efc.gso</v>
      </c>
      <c r="B6" s="101" t="s">
        <v>56</v>
      </c>
      <c r="C6" s="101" t="s">
        <v>55</v>
      </c>
      <c r="D6" s="106">
        <v>6.7793000000000006E-2</v>
      </c>
      <c r="E6" s="107">
        <f t="shared" si="0"/>
        <v>2838.3573240000001</v>
      </c>
      <c r="F6" s="107">
        <f t="shared" si="1"/>
        <v>0.92961501403768609</v>
      </c>
      <c r="G6" s="107">
        <f t="shared" si="2"/>
        <v>2638.579583594229</v>
      </c>
      <c r="H6" s="108">
        <v>2638.579583594229</v>
      </c>
      <c r="I6" s="109">
        <f t="shared" si="3"/>
        <v>0</v>
      </c>
      <c r="J6" s="101" t="s">
        <v>1945</v>
      </c>
      <c r="K6" s="101" t="s">
        <v>1946</v>
      </c>
    </row>
    <row r="7" spans="1:11" x14ac:dyDescent="0.35">
      <c r="A7" s="105" t="str">
        <f>Settings!$B$3&amp;".mit.efc."&amp;C7</f>
        <v>egy.mit.efc.die</v>
      </c>
      <c r="B7" s="101" t="s">
        <v>59</v>
      </c>
      <c r="C7" s="101" t="s">
        <v>58</v>
      </c>
      <c r="D7" s="106">
        <v>7.1844999999999992E-2</v>
      </c>
      <c r="E7" s="107">
        <f t="shared" si="0"/>
        <v>3008.0064599999996</v>
      </c>
      <c r="F7" s="107">
        <f t="shared" si="1"/>
        <v>0.92961501403768609</v>
      </c>
      <c r="G7" s="107">
        <f t="shared" si="2"/>
        <v>2796.2879675383501</v>
      </c>
      <c r="H7" s="108">
        <v>2796.2879675383501</v>
      </c>
      <c r="I7" s="109">
        <f t="shared" si="3"/>
        <v>0</v>
      </c>
      <c r="J7" s="101" t="s">
        <v>1947</v>
      </c>
      <c r="K7" s="101" t="s">
        <v>1948</v>
      </c>
    </row>
    <row r="8" spans="1:11" x14ac:dyDescent="0.35">
      <c r="A8" s="105" t="str">
        <f>Settings!$B$3&amp;".mit.efc."&amp;C8</f>
        <v>egy.mit.efc.lpg</v>
      </c>
      <c r="B8" s="101" t="s">
        <v>61</v>
      </c>
      <c r="C8" s="101" t="s">
        <v>60</v>
      </c>
      <c r="D8" s="106">
        <v>6.8599999999999994E-2</v>
      </c>
      <c r="E8" s="107">
        <f t="shared" si="0"/>
        <v>2872.1447999999996</v>
      </c>
      <c r="F8" s="107">
        <f t="shared" si="1"/>
        <v>0.92961501403768609</v>
      </c>
      <c r="G8" s="107">
        <f t="shared" si="2"/>
        <v>2669.9889285702666</v>
      </c>
      <c r="H8" s="108">
        <v>2669.9889285702666</v>
      </c>
      <c r="I8" s="109">
        <f t="shared" si="3"/>
        <v>0</v>
      </c>
      <c r="J8" s="101" t="s">
        <v>1949</v>
      </c>
      <c r="K8" s="101" t="s">
        <v>1950</v>
      </c>
    </row>
    <row r="9" spans="1:11" x14ac:dyDescent="0.35">
      <c r="A9" s="105" t="str">
        <f>Settings!$B$3&amp;".mit.efc."&amp;C9</f>
        <v>egy.mit.efc.ker</v>
      </c>
      <c r="B9" s="101" t="s">
        <v>63</v>
      </c>
      <c r="C9" s="101" t="s">
        <v>62</v>
      </c>
      <c r="D9" s="106">
        <v>6.7793000000000006E-2</v>
      </c>
      <c r="E9" s="107">
        <f t="shared" si="0"/>
        <v>2838.3573240000001</v>
      </c>
      <c r="F9" s="107">
        <f t="shared" si="1"/>
        <v>0.92961501403768609</v>
      </c>
      <c r="G9" s="107">
        <f t="shared" si="2"/>
        <v>2638.579583594229</v>
      </c>
      <c r="H9" s="108">
        <v>2638.579583594229</v>
      </c>
      <c r="I9" s="109">
        <f t="shared" si="3"/>
        <v>0</v>
      </c>
      <c r="J9" s="101" t="s">
        <v>1951</v>
      </c>
      <c r="K9" s="101" t="s">
        <v>1952</v>
      </c>
    </row>
    <row r="10" spans="1:11" x14ac:dyDescent="0.35">
      <c r="A10" s="105" t="str">
        <f>Settings!$B$3&amp;".mit.efc."&amp;C10</f>
        <v>egy.mit.efc.oop</v>
      </c>
      <c r="B10" s="101" t="s">
        <v>65</v>
      </c>
      <c r="C10" s="101" t="s">
        <v>64</v>
      </c>
      <c r="D10" s="106">
        <v>7.6700000000000004E-2</v>
      </c>
      <c r="E10" s="107">
        <f t="shared" si="0"/>
        <v>3211.2756000000004</v>
      </c>
      <c r="F10" s="107">
        <f t="shared" si="1"/>
        <v>0.92961501403768609</v>
      </c>
      <c r="G10" s="107">
        <f t="shared" si="2"/>
        <v>2985.2500119728793</v>
      </c>
      <c r="H10" s="108">
        <v>2985.2500119728793</v>
      </c>
      <c r="I10" s="109">
        <f t="shared" si="3"/>
        <v>0</v>
      </c>
      <c r="J10" s="101" t="s">
        <v>1953</v>
      </c>
      <c r="K10" s="101" t="s">
        <v>1954</v>
      </c>
    </row>
    <row r="11" spans="1:11" x14ac:dyDescent="0.35">
      <c r="A11" s="105" t="str">
        <f>Settings!$B$3&amp;".mit.efc."&amp;C11</f>
        <v>egy.mit.efc.bio</v>
      </c>
      <c r="B11" s="101" t="s">
        <v>68</v>
      </c>
      <c r="C11" s="101" t="s">
        <v>67</v>
      </c>
      <c r="D11" s="106">
        <v>0</v>
      </c>
      <c r="E11" s="107">
        <f t="shared" si="0"/>
        <v>0</v>
      </c>
      <c r="F11" s="107">
        <f t="shared" si="1"/>
        <v>0.92961501403768609</v>
      </c>
      <c r="G11" s="107">
        <f t="shared" si="2"/>
        <v>0</v>
      </c>
      <c r="H11" s="108">
        <v>0</v>
      </c>
      <c r="I11" s="109">
        <f t="shared" si="3"/>
        <v>0</v>
      </c>
      <c r="K11" s="101" t="s">
        <v>1955</v>
      </c>
    </row>
    <row r="12" spans="1:11" x14ac:dyDescent="0.35">
      <c r="A12" s="105" t="str">
        <f>Settings!$B$3&amp;".mit.efc."&amp;C12</f>
        <v>egy.mit.efc.ren</v>
      </c>
      <c r="B12" s="101" t="s">
        <v>70</v>
      </c>
      <c r="C12" s="101" t="s">
        <v>69</v>
      </c>
      <c r="D12" s="106">
        <v>0</v>
      </c>
      <c r="E12" s="107">
        <f t="shared" si="0"/>
        <v>0</v>
      </c>
      <c r="F12" s="107">
        <f t="shared" si="1"/>
        <v>0.92961501403768609</v>
      </c>
      <c r="G12" s="107">
        <f t="shared" si="2"/>
        <v>0</v>
      </c>
      <c r="H12" s="108">
        <v>0</v>
      </c>
      <c r="I12" s="109">
        <f t="shared" si="3"/>
        <v>0</v>
      </c>
      <c r="K12" s="101" t="s">
        <v>1956</v>
      </c>
    </row>
    <row r="16" spans="1:11" ht="13.9" x14ac:dyDescent="0.4">
      <c r="A16" s="110" t="s">
        <v>125</v>
      </c>
    </row>
    <row r="17" spans="1:11" x14ac:dyDescent="0.35">
      <c r="A17" s="101" t="s">
        <v>1957</v>
      </c>
      <c r="D17" s="103">
        <v>41868</v>
      </c>
      <c r="K17" s="101" t="s">
        <v>1958</v>
      </c>
    </row>
    <row r="18" spans="1:11" x14ac:dyDescent="0.35">
      <c r="A18" s="101" t="s">
        <v>1959</v>
      </c>
      <c r="D18" s="101" t="str">
        <f>INDEX(MTInputs!$F$8:$F$415,MATCH("EmissionsFactCO2",MTInputs!$H$8:$H$415,0))</f>
        <v>IIASA*</v>
      </c>
      <c r="K18" s="113" t="s">
        <v>1960</v>
      </c>
    </row>
    <row r="19" spans="1:11" x14ac:dyDescent="0.35">
      <c r="A19" s="101" t="s">
        <v>1961</v>
      </c>
      <c r="D19" s="101" t="str">
        <f>INDEX(MTInputs!$F$8:$F$415,MATCH("EFsAdjustmentNonAnnexI",MTInputs!$H$8:$H$415,0))</f>
        <v>Yes*</v>
      </c>
      <c r="K19" s="101" t="s">
        <v>1962</v>
      </c>
    </row>
    <row r="20" spans="1:11" x14ac:dyDescent="0.35">
      <c r="A20" s="101" t="s">
        <v>1963</v>
      </c>
      <c r="D20" s="111">
        <v>0.92961501403768609</v>
      </c>
      <c r="K20" s="101" t="s">
        <v>1964</v>
      </c>
    </row>
    <row r="21" spans="1:11" x14ac:dyDescent="0.35">
      <c r="A21" s="101" t="s">
        <v>1965</v>
      </c>
      <c r="D21" s="112">
        <f>IF(LEFT(D19,3)="Yes",D20,1)</f>
        <v>0.92961501403768609</v>
      </c>
      <c r="K21" s="101" t="s">
        <v>1966</v>
      </c>
    </row>
    <row r="23" spans="1:11" x14ac:dyDescent="0.35">
      <c r="A23" s="101" t="s">
        <v>1967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07"/>
  <sheetViews>
    <sheetView zoomScaleNormal="100" workbookViewId="0">
      <pane xSplit="5" ySplit="5" topLeftCell="F1483" activePane="bottomRight" state="frozen"/>
      <selection pane="topRight" activeCell="F1" sqref="F1"/>
      <selection pane="bottomLeft" activeCell="A6" sqref="A6"/>
      <selection pane="bottomRight" activeCell="A1497" sqref="A1497:XFD1497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1879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1879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1879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1879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1879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1879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1879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1879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1879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1869</v>
      </c>
    </row>
    <row r="1381" spans="1:35" x14ac:dyDescent="0.45">
      <c r="A1381" t="s">
        <v>1871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1839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1870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1839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1870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1839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1870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1839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1870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1839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1870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1839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1870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1839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1870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1839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1870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1839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1870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1839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1870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1839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1870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1880</v>
      </c>
    </row>
    <row r="1429" spans="1:35" x14ac:dyDescent="0.45">
      <c r="A1429" t="s">
        <v>1886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1881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1882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1883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1884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1881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1882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1883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1884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1885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1910</v>
      </c>
    </row>
    <row r="1443" spans="1:35" x14ac:dyDescent="0.45">
      <c r="A1443" t="s">
        <v>1915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1911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1912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1913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1911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1912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1913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1914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1924</v>
      </c>
    </row>
    <row r="1455" spans="1:35" x14ac:dyDescent="0.45">
      <c r="A1455" t="s">
        <v>1928</v>
      </c>
      <c r="D1455" s="92">
        <f>MAX(F1457:F1460)</f>
        <v>0</v>
      </c>
    </row>
    <row r="1456" spans="1:35" x14ac:dyDescent="0.45">
      <c r="A1456" s="50" t="s">
        <v>1505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1506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1925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1925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1926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1927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2047</v>
      </c>
    </row>
    <row r="1464" spans="1:35" x14ac:dyDescent="0.45">
      <c r="A1464" t="s">
        <v>2075</v>
      </c>
      <c r="D1464" s="92">
        <f>MAX(F1466:F1490)</f>
        <v>1.4210854715202004E-14</v>
      </c>
    </row>
    <row r="1465" spans="1:35" x14ac:dyDescent="0.45">
      <c r="A1465" s="50" t="s">
        <v>1505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 t="s">
        <v>2048</v>
      </c>
      <c r="H1465" s="50"/>
      <c r="I1465" s="50" t="s">
        <v>1506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2049</v>
      </c>
      <c r="D1466">
        <v>1</v>
      </c>
      <c r="E1466" t="s">
        <v>1161</v>
      </c>
      <c r="F1466">
        <f t="shared" ref="F1466:F1473" si="354">MAX(MAX(L1466:AE1466),-MIN(L1466:AE1466))</f>
        <v>0</v>
      </c>
      <c r="I1466">
        <v>0</v>
      </c>
      <c r="L1466">
        <f>Emissions_Industry!L15-SUM(Emissions_Industry!L6:L14)</f>
        <v>0</v>
      </c>
      <c r="M1466">
        <f>Emissions_Industry!M15-SUM(Emissions_Industry!M6:M14)</f>
        <v>0</v>
      </c>
      <c r="N1466">
        <f>Emissions_Industry!N15-SUM(Emissions_Industry!N6:N14)</f>
        <v>0</v>
      </c>
      <c r="O1466">
        <f>Emissions_Industry!O15-SUM(Emissions_Industry!O6:O14)</f>
        <v>0</v>
      </c>
      <c r="P1466">
        <f>Emissions_Industry!P15-SUM(Emissions_Industry!P6:P14)</f>
        <v>0</v>
      </c>
      <c r="Q1466">
        <f>Emissions_Industry!Q15-SUM(Emissions_Industry!Q6:Q14)</f>
        <v>0</v>
      </c>
      <c r="R1466">
        <f>Emissions_Industry!R15-SUM(Emissions_Industry!R6:R14)</f>
        <v>0</v>
      </c>
      <c r="S1466">
        <f>Emissions_Industry!S15-SUM(Emissions_Industry!S6:S14)</f>
        <v>0</v>
      </c>
      <c r="T1466">
        <f>Emissions_Industry!T15-SUM(Emissions_Industry!T6:T14)</f>
        <v>0</v>
      </c>
      <c r="U1466">
        <f>Emissions_Industry!U15-SUM(Emissions_Industry!U6:U14)</f>
        <v>0</v>
      </c>
      <c r="V1466">
        <f>Emissions_Industry!V15-SUM(Emissions_Industry!V6:V14)</f>
        <v>0</v>
      </c>
      <c r="W1466">
        <f>Emissions_Industry!W15-SUM(Emissions_Industry!W6:W14)</f>
        <v>0</v>
      </c>
      <c r="X1466">
        <f>Emissions_Industry!X15-SUM(Emissions_Industry!X6:X14)</f>
        <v>0</v>
      </c>
      <c r="Y1466">
        <f>Emissions_Industry!Y15-SUM(Emissions_Industry!Y6:Y14)</f>
        <v>0</v>
      </c>
      <c r="Z1466">
        <f>Emissions_Industry!Z15-SUM(Emissions_Industry!Z6:Z14)</f>
        <v>0</v>
      </c>
      <c r="AA1466">
        <f>Emissions_Industry!AA15-SUM(Emissions_Industry!AA6:AA14)</f>
        <v>0</v>
      </c>
      <c r="AB1466">
        <f>Emissions_Industry!AB15-SUM(Emissions_Industry!AB6:AB14)</f>
        <v>0</v>
      </c>
      <c r="AC1466">
        <f>Emissions_Industry!AC15-SUM(Emissions_Industry!AC6:AC14)</f>
        <v>0</v>
      </c>
      <c r="AD1466">
        <f>Emissions_Industry!AD15-SUM(Emissions_Industry!AD6:AD14)</f>
        <v>0</v>
      </c>
      <c r="AE1466">
        <f>Emissions_Industry!AE15-SUM(Emissions_Industry!AE6:AE14)</f>
        <v>0</v>
      </c>
    </row>
    <row r="1467" spans="1:35" x14ac:dyDescent="0.45">
      <c r="A1467" t="s">
        <v>2050</v>
      </c>
      <c r="D1467">
        <v>1</v>
      </c>
      <c r="E1467" t="s">
        <v>1161</v>
      </c>
      <c r="F1467">
        <f t="shared" si="354"/>
        <v>0</v>
      </c>
      <c r="I1467">
        <v>0</v>
      </c>
      <c r="L1467">
        <f>Emissions_Industry!L27-SUM(Emissions_Industry!L18:L26)</f>
        <v>0</v>
      </c>
      <c r="M1467">
        <f>Emissions_Industry!M27-SUM(Emissions_Industry!M18:M26)</f>
        <v>0</v>
      </c>
      <c r="N1467">
        <f>Emissions_Industry!N27-SUM(Emissions_Industry!N18:N26)</f>
        <v>0</v>
      </c>
      <c r="O1467">
        <f>Emissions_Industry!O27-SUM(Emissions_Industry!O18:O26)</f>
        <v>0</v>
      </c>
      <c r="P1467">
        <f>Emissions_Industry!P27-SUM(Emissions_Industry!P18:P26)</f>
        <v>0</v>
      </c>
      <c r="Q1467">
        <f>Emissions_Industry!Q27-SUM(Emissions_Industry!Q18:Q26)</f>
        <v>0</v>
      </c>
      <c r="R1467">
        <f>Emissions_Industry!R27-SUM(Emissions_Industry!R18:R26)</f>
        <v>0</v>
      </c>
      <c r="S1467">
        <f>Emissions_Industry!S27-SUM(Emissions_Industry!S18:S26)</f>
        <v>0</v>
      </c>
      <c r="T1467">
        <f>Emissions_Industry!T27-SUM(Emissions_Industry!T18:T26)</f>
        <v>0</v>
      </c>
      <c r="U1467">
        <f>Emissions_Industry!U27-SUM(Emissions_Industry!U18:U26)</f>
        <v>0</v>
      </c>
      <c r="V1467">
        <f>Emissions_Industry!V27-SUM(Emissions_Industry!V18:V26)</f>
        <v>0</v>
      </c>
      <c r="W1467">
        <f>Emissions_Industry!W27-SUM(Emissions_Industry!W18:W26)</f>
        <v>0</v>
      </c>
      <c r="X1467">
        <f>Emissions_Industry!X27-SUM(Emissions_Industry!X18:X26)</f>
        <v>0</v>
      </c>
      <c r="Y1467">
        <f>Emissions_Industry!Y27-SUM(Emissions_Industry!Y18:Y26)</f>
        <v>0</v>
      </c>
      <c r="Z1467">
        <f>Emissions_Industry!Z27-SUM(Emissions_Industry!Z18:Z26)</f>
        <v>0</v>
      </c>
      <c r="AA1467">
        <f>Emissions_Industry!AA27-SUM(Emissions_Industry!AA18:AA26)</f>
        <v>0</v>
      </c>
      <c r="AB1467">
        <f>Emissions_Industry!AB27-SUM(Emissions_Industry!AB18:AB26)</f>
        <v>0</v>
      </c>
      <c r="AC1467">
        <f>Emissions_Industry!AC27-SUM(Emissions_Industry!AC18:AC26)</f>
        <v>0</v>
      </c>
      <c r="AD1467">
        <f>Emissions_Industry!AD27-SUM(Emissions_Industry!AD18:AD26)</f>
        <v>0</v>
      </c>
      <c r="AE1467">
        <f>Emissions_Industry!AE27-SUM(Emissions_Industry!AE18:AE26)</f>
        <v>0</v>
      </c>
    </row>
    <row r="1468" spans="1:35" x14ac:dyDescent="0.45">
      <c r="A1468" t="s">
        <v>2051</v>
      </c>
      <c r="D1468">
        <v>1</v>
      </c>
      <c r="E1468" t="s">
        <v>1161</v>
      </c>
      <c r="F1468">
        <f t="shared" si="354"/>
        <v>0</v>
      </c>
      <c r="I1468">
        <v>0</v>
      </c>
      <c r="L1468">
        <f>Emissions_Industry!L39-SUM(Emissions_Industry!L30:L38)</f>
        <v>0</v>
      </c>
      <c r="M1468">
        <f>Emissions_Industry!M39-SUM(Emissions_Industry!M30:M38)</f>
        <v>0</v>
      </c>
      <c r="N1468">
        <f>Emissions_Industry!N39-SUM(Emissions_Industry!N30:N38)</f>
        <v>0</v>
      </c>
      <c r="O1468">
        <f>Emissions_Industry!O39-SUM(Emissions_Industry!O30:O38)</f>
        <v>0</v>
      </c>
      <c r="P1468">
        <f>Emissions_Industry!P39-SUM(Emissions_Industry!P30:P38)</f>
        <v>0</v>
      </c>
      <c r="Q1468">
        <f>Emissions_Industry!Q39-SUM(Emissions_Industry!Q30:Q38)</f>
        <v>0</v>
      </c>
      <c r="R1468">
        <f>Emissions_Industry!R39-SUM(Emissions_Industry!R30:R38)</f>
        <v>0</v>
      </c>
      <c r="S1468">
        <f>Emissions_Industry!S39-SUM(Emissions_Industry!S30:S38)</f>
        <v>0</v>
      </c>
      <c r="T1468">
        <f>Emissions_Industry!T39-SUM(Emissions_Industry!T30:T38)</f>
        <v>0</v>
      </c>
      <c r="U1468">
        <f>Emissions_Industry!U39-SUM(Emissions_Industry!U30:U38)</f>
        <v>0</v>
      </c>
      <c r="V1468">
        <f>Emissions_Industry!V39-SUM(Emissions_Industry!V30:V38)</f>
        <v>0</v>
      </c>
      <c r="W1468">
        <f>Emissions_Industry!W39-SUM(Emissions_Industry!W30:W38)</f>
        <v>0</v>
      </c>
      <c r="X1468">
        <f>Emissions_Industry!X39-SUM(Emissions_Industry!X30:X38)</f>
        <v>0</v>
      </c>
      <c r="Y1468">
        <f>Emissions_Industry!Y39-SUM(Emissions_Industry!Y30:Y38)</f>
        <v>0</v>
      </c>
      <c r="Z1468">
        <f>Emissions_Industry!Z39-SUM(Emissions_Industry!Z30:Z38)</f>
        <v>0</v>
      </c>
      <c r="AA1468">
        <f>Emissions_Industry!AA39-SUM(Emissions_Industry!AA30:AA38)</f>
        <v>0</v>
      </c>
      <c r="AB1468">
        <f>Emissions_Industry!AB39-SUM(Emissions_Industry!AB30:AB38)</f>
        <v>0</v>
      </c>
      <c r="AC1468">
        <f>Emissions_Industry!AC39-SUM(Emissions_Industry!AC30:AC38)</f>
        <v>0</v>
      </c>
      <c r="AD1468">
        <f>Emissions_Industry!AD39-SUM(Emissions_Industry!AD30:AD38)</f>
        <v>0</v>
      </c>
      <c r="AE1468">
        <f>Emissions_Industry!AE39-SUM(Emissions_Industry!AE30:AE38)</f>
        <v>0</v>
      </c>
    </row>
    <row r="1469" spans="1:35" x14ac:dyDescent="0.45">
      <c r="A1469" t="s">
        <v>2052</v>
      </c>
      <c r="D1469">
        <v>1</v>
      </c>
      <c r="E1469" t="s">
        <v>1161</v>
      </c>
      <c r="F1469">
        <f t="shared" si="354"/>
        <v>0</v>
      </c>
      <c r="I1469">
        <v>0</v>
      </c>
      <c r="L1469">
        <f>Emissions_Industry!L51-SUM(Emissions_Industry!L42:L50)</f>
        <v>0</v>
      </c>
      <c r="M1469">
        <f>Emissions_Industry!M51-SUM(Emissions_Industry!M42:M50)</f>
        <v>0</v>
      </c>
      <c r="N1469">
        <f>Emissions_Industry!N51-SUM(Emissions_Industry!N42:N50)</f>
        <v>0</v>
      </c>
      <c r="O1469">
        <f>Emissions_Industry!O51-SUM(Emissions_Industry!O42:O50)</f>
        <v>0</v>
      </c>
      <c r="P1469">
        <f>Emissions_Industry!P51-SUM(Emissions_Industry!P42:P50)</f>
        <v>0</v>
      </c>
      <c r="Q1469">
        <f>Emissions_Industry!Q51-SUM(Emissions_Industry!Q42:Q50)</f>
        <v>0</v>
      </c>
      <c r="R1469">
        <f>Emissions_Industry!R51-SUM(Emissions_Industry!R42:R50)</f>
        <v>0</v>
      </c>
      <c r="S1469">
        <f>Emissions_Industry!S51-SUM(Emissions_Industry!S42:S50)</f>
        <v>0</v>
      </c>
      <c r="T1469">
        <f>Emissions_Industry!T51-SUM(Emissions_Industry!T42:T50)</f>
        <v>0</v>
      </c>
      <c r="U1469">
        <f>Emissions_Industry!U51-SUM(Emissions_Industry!U42:U50)</f>
        <v>0</v>
      </c>
      <c r="V1469">
        <f>Emissions_Industry!V51-SUM(Emissions_Industry!V42:V50)</f>
        <v>0</v>
      </c>
      <c r="W1469">
        <f>Emissions_Industry!W51-SUM(Emissions_Industry!W42:W50)</f>
        <v>0</v>
      </c>
      <c r="X1469">
        <f>Emissions_Industry!X51-SUM(Emissions_Industry!X42:X50)</f>
        <v>0</v>
      </c>
      <c r="Y1469">
        <f>Emissions_Industry!Y51-SUM(Emissions_Industry!Y42:Y50)</f>
        <v>0</v>
      </c>
      <c r="Z1469">
        <f>Emissions_Industry!Z51-SUM(Emissions_Industry!Z42:Z50)</f>
        <v>0</v>
      </c>
      <c r="AA1469">
        <f>Emissions_Industry!AA51-SUM(Emissions_Industry!AA42:AA50)</f>
        <v>0</v>
      </c>
      <c r="AB1469">
        <f>Emissions_Industry!AB51-SUM(Emissions_Industry!AB42:AB50)</f>
        <v>0</v>
      </c>
      <c r="AC1469">
        <f>Emissions_Industry!AC51-SUM(Emissions_Industry!AC42:AC50)</f>
        <v>0</v>
      </c>
      <c r="AD1469">
        <f>Emissions_Industry!AD51-SUM(Emissions_Industry!AD42:AD50)</f>
        <v>0</v>
      </c>
      <c r="AE1469">
        <f>Emissions_Industry!AE51-SUM(Emissions_Industry!AE42:AE50)</f>
        <v>0</v>
      </c>
    </row>
    <row r="1470" spans="1:35" x14ac:dyDescent="0.45">
      <c r="A1470" t="s">
        <v>2053</v>
      </c>
      <c r="D1470">
        <v>2</v>
      </c>
      <c r="E1470" t="s">
        <v>1161</v>
      </c>
      <c r="F1470">
        <f t="shared" si="354"/>
        <v>0</v>
      </c>
      <c r="I1470">
        <v>0</v>
      </c>
      <c r="L1470">
        <f>Emissions_Industry!L66-SUM(Emissions_Industry!L57:L65)</f>
        <v>0</v>
      </c>
      <c r="M1470">
        <f>Emissions_Industry!M66-SUM(Emissions_Industry!M57:M65)</f>
        <v>0</v>
      </c>
      <c r="N1470">
        <f>Emissions_Industry!N66-SUM(Emissions_Industry!N57:N65)</f>
        <v>0</v>
      </c>
      <c r="O1470">
        <f>Emissions_Industry!O66-SUM(Emissions_Industry!O57:O65)</f>
        <v>0</v>
      </c>
      <c r="P1470">
        <f>Emissions_Industry!P66-SUM(Emissions_Industry!P57:P65)</f>
        <v>0</v>
      </c>
      <c r="Q1470">
        <f>Emissions_Industry!Q66-SUM(Emissions_Industry!Q57:Q65)</f>
        <v>0</v>
      </c>
      <c r="R1470">
        <f>Emissions_Industry!R66-SUM(Emissions_Industry!R57:R65)</f>
        <v>0</v>
      </c>
      <c r="S1470">
        <f>Emissions_Industry!S66-SUM(Emissions_Industry!S57:S65)</f>
        <v>0</v>
      </c>
      <c r="T1470">
        <f>Emissions_Industry!T66-SUM(Emissions_Industry!T57:T65)</f>
        <v>0</v>
      </c>
      <c r="U1470">
        <f>Emissions_Industry!U66-SUM(Emissions_Industry!U57:U65)</f>
        <v>0</v>
      </c>
      <c r="V1470">
        <f>Emissions_Industry!V66-SUM(Emissions_Industry!V57:V65)</f>
        <v>0</v>
      </c>
      <c r="W1470">
        <f>Emissions_Industry!W66-SUM(Emissions_Industry!W57:W65)</f>
        <v>0</v>
      </c>
      <c r="X1470">
        <f>Emissions_Industry!X66-SUM(Emissions_Industry!X57:X65)</f>
        <v>0</v>
      </c>
      <c r="Y1470">
        <f>Emissions_Industry!Y66-SUM(Emissions_Industry!Y57:Y65)</f>
        <v>0</v>
      </c>
      <c r="Z1470">
        <f>Emissions_Industry!Z66-SUM(Emissions_Industry!Z57:Z65)</f>
        <v>0</v>
      </c>
      <c r="AA1470">
        <f>Emissions_Industry!AA66-SUM(Emissions_Industry!AA57:AA65)</f>
        <v>0</v>
      </c>
      <c r="AB1470">
        <f>Emissions_Industry!AB66-SUM(Emissions_Industry!AB57:AB65)</f>
        <v>0</v>
      </c>
      <c r="AC1470">
        <f>Emissions_Industry!AC66-SUM(Emissions_Industry!AC57:AC65)</f>
        <v>0</v>
      </c>
      <c r="AD1470">
        <f>Emissions_Industry!AD66-SUM(Emissions_Industry!AD57:AD65)</f>
        <v>0</v>
      </c>
      <c r="AE1470">
        <f>Emissions_Industry!AE66-SUM(Emissions_Industry!AE57:AE65)</f>
        <v>0</v>
      </c>
    </row>
    <row r="1471" spans="1:35" x14ac:dyDescent="0.45">
      <c r="A1471" t="s">
        <v>2054</v>
      </c>
      <c r="D1471">
        <v>2</v>
      </c>
      <c r="E1471" t="s">
        <v>1161</v>
      </c>
      <c r="F1471">
        <f t="shared" si="354"/>
        <v>0</v>
      </c>
      <c r="I1471">
        <v>0</v>
      </c>
      <c r="L1471">
        <f>Emissions_Industry!L78-SUM(Emissions_Industry!L69:L77)</f>
        <v>0</v>
      </c>
      <c r="M1471">
        <f>Emissions_Industry!M78-SUM(Emissions_Industry!M69:M77)</f>
        <v>0</v>
      </c>
      <c r="N1471">
        <f>Emissions_Industry!N78-SUM(Emissions_Industry!N69:N77)</f>
        <v>0</v>
      </c>
      <c r="O1471">
        <f>Emissions_Industry!O78-SUM(Emissions_Industry!O69:O77)</f>
        <v>0</v>
      </c>
      <c r="P1471">
        <f>Emissions_Industry!P78-SUM(Emissions_Industry!P69:P77)</f>
        <v>0</v>
      </c>
      <c r="Q1471">
        <f>Emissions_Industry!Q78-SUM(Emissions_Industry!Q69:Q77)</f>
        <v>0</v>
      </c>
      <c r="R1471">
        <f>Emissions_Industry!R78-SUM(Emissions_Industry!R69:R77)</f>
        <v>0</v>
      </c>
      <c r="S1471">
        <f>Emissions_Industry!S78-SUM(Emissions_Industry!S69:S77)</f>
        <v>0</v>
      </c>
      <c r="T1471">
        <f>Emissions_Industry!T78-SUM(Emissions_Industry!T69:T77)</f>
        <v>0</v>
      </c>
      <c r="U1471">
        <f>Emissions_Industry!U78-SUM(Emissions_Industry!U69:U77)</f>
        <v>0</v>
      </c>
      <c r="V1471">
        <f>Emissions_Industry!V78-SUM(Emissions_Industry!V69:V77)</f>
        <v>0</v>
      </c>
      <c r="W1471">
        <f>Emissions_Industry!W78-SUM(Emissions_Industry!W69:W77)</f>
        <v>0</v>
      </c>
      <c r="X1471">
        <f>Emissions_Industry!X78-SUM(Emissions_Industry!X69:X77)</f>
        <v>0</v>
      </c>
      <c r="Y1471">
        <f>Emissions_Industry!Y78-SUM(Emissions_Industry!Y69:Y77)</f>
        <v>0</v>
      </c>
      <c r="Z1471">
        <f>Emissions_Industry!Z78-SUM(Emissions_Industry!Z69:Z77)</f>
        <v>0</v>
      </c>
      <c r="AA1471">
        <f>Emissions_Industry!AA78-SUM(Emissions_Industry!AA69:AA77)</f>
        <v>0</v>
      </c>
      <c r="AB1471">
        <f>Emissions_Industry!AB78-SUM(Emissions_Industry!AB69:AB77)</f>
        <v>0</v>
      </c>
      <c r="AC1471">
        <f>Emissions_Industry!AC78-SUM(Emissions_Industry!AC69:AC77)</f>
        <v>0</v>
      </c>
      <c r="AD1471">
        <f>Emissions_Industry!AD78-SUM(Emissions_Industry!AD69:AD77)</f>
        <v>0</v>
      </c>
      <c r="AE1471">
        <f>Emissions_Industry!AE78-SUM(Emissions_Industry!AE69:AE77)</f>
        <v>0</v>
      </c>
    </row>
    <row r="1472" spans="1:35" x14ac:dyDescent="0.45">
      <c r="A1472" t="s">
        <v>2055</v>
      </c>
      <c r="D1472">
        <v>2</v>
      </c>
      <c r="E1472" t="s">
        <v>1161</v>
      </c>
      <c r="F1472">
        <f t="shared" si="354"/>
        <v>0</v>
      </c>
      <c r="I1472">
        <v>0</v>
      </c>
      <c r="L1472">
        <f>Emissions_Industry!L90-SUM(Emissions_Industry!L81:L89)</f>
        <v>0</v>
      </c>
      <c r="M1472">
        <f>Emissions_Industry!M90-SUM(Emissions_Industry!M81:M89)</f>
        <v>0</v>
      </c>
      <c r="N1472">
        <f>Emissions_Industry!N90-SUM(Emissions_Industry!N81:N89)</f>
        <v>0</v>
      </c>
      <c r="O1472">
        <f>Emissions_Industry!O90-SUM(Emissions_Industry!O81:O89)</f>
        <v>0</v>
      </c>
      <c r="P1472">
        <f>Emissions_Industry!P90-SUM(Emissions_Industry!P81:P89)</f>
        <v>0</v>
      </c>
      <c r="Q1472">
        <f>Emissions_Industry!Q90-SUM(Emissions_Industry!Q81:Q89)</f>
        <v>0</v>
      </c>
      <c r="R1472">
        <f>Emissions_Industry!R90-SUM(Emissions_Industry!R81:R89)</f>
        <v>0</v>
      </c>
      <c r="S1472">
        <f>Emissions_Industry!S90-SUM(Emissions_Industry!S81:S89)</f>
        <v>0</v>
      </c>
      <c r="T1472">
        <f>Emissions_Industry!T90-SUM(Emissions_Industry!T81:T89)</f>
        <v>0</v>
      </c>
      <c r="U1472">
        <f>Emissions_Industry!U90-SUM(Emissions_Industry!U81:U89)</f>
        <v>0</v>
      </c>
      <c r="V1472">
        <f>Emissions_Industry!V90-SUM(Emissions_Industry!V81:V89)</f>
        <v>0</v>
      </c>
      <c r="W1472">
        <f>Emissions_Industry!W90-SUM(Emissions_Industry!W81:W89)</f>
        <v>0</v>
      </c>
      <c r="X1472">
        <f>Emissions_Industry!X90-SUM(Emissions_Industry!X81:X89)</f>
        <v>0</v>
      </c>
      <c r="Y1472">
        <f>Emissions_Industry!Y90-SUM(Emissions_Industry!Y81:Y89)</f>
        <v>0</v>
      </c>
      <c r="Z1472">
        <f>Emissions_Industry!Z90-SUM(Emissions_Industry!Z81:Z89)</f>
        <v>0</v>
      </c>
      <c r="AA1472">
        <f>Emissions_Industry!AA90-SUM(Emissions_Industry!AA81:AA89)</f>
        <v>0</v>
      </c>
      <c r="AB1472">
        <f>Emissions_Industry!AB90-SUM(Emissions_Industry!AB81:AB89)</f>
        <v>0</v>
      </c>
      <c r="AC1472">
        <f>Emissions_Industry!AC90-SUM(Emissions_Industry!AC81:AC89)</f>
        <v>0</v>
      </c>
      <c r="AD1472">
        <f>Emissions_Industry!AD90-SUM(Emissions_Industry!AD81:AD89)</f>
        <v>0</v>
      </c>
      <c r="AE1472">
        <f>Emissions_Industry!AE90-SUM(Emissions_Industry!AE81:AE89)</f>
        <v>0</v>
      </c>
    </row>
    <row r="1473" spans="1:31" x14ac:dyDescent="0.45">
      <c r="A1473" t="s">
        <v>2056</v>
      </c>
      <c r="D1473">
        <v>2</v>
      </c>
      <c r="E1473" t="s">
        <v>1161</v>
      </c>
      <c r="F1473">
        <f t="shared" si="354"/>
        <v>0</v>
      </c>
      <c r="I1473">
        <v>0</v>
      </c>
      <c r="L1473">
        <f>Emissions_Industry!L102-SUM(Emissions_Industry!L93:L101)</f>
        <v>0</v>
      </c>
      <c r="M1473">
        <f>Emissions_Industry!M102-SUM(Emissions_Industry!M93:M101)</f>
        <v>0</v>
      </c>
      <c r="N1473">
        <f>Emissions_Industry!N102-SUM(Emissions_Industry!N93:N101)</f>
        <v>0</v>
      </c>
      <c r="O1473">
        <f>Emissions_Industry!O102-SUM(Emissions_Industry!O93:O101)</f>
        <v>0</v>
      </c>
      <c r="P1473">
        <f>Emissions_Industry!P102-SUM(Emissions_Industry!P93:P101)</f>
        <v>0</v>
      </c>
      <c r="Q1473">
        <f>Emissions_Industry!Q102-SUM(Emissions_Industry!Q93:Q101)</f>
        <v>0</v>
      </c>
      <c r="R1473">
        <f>Emissions_Industry!R102-SUM(Emissions_Industry!R93:R101)</f>
        <v>0</v>
      </c>
      <c r="S1473">
        <f>Emissions_Industry!S102-SUM(Emissions_Industry!S93:S101)</f>
        <v>0</v>
      </c>
      <c r="T1473">
        <f>Emissions_Industry!T102-SUM(Emissions_Industry!T93:T101)</f>
        <v>0</v>
      </c>
      <c r="U1473">
        <f>Emissions_Industry!U102-SUM(Emissions_Industry!U93:U101)</f>
        <v>0</v>
      </c>
      <c r="V1473">
        <f>Emissions_Industry!V102-SUM(Emissions_Industry!V93:V101)</f>
        <v>0</v>
      </c>
      <c r="W1473">
        <f>Emissions_Industry!W102-SUM(Emissions_Industry!W93:W101)</f>
        <v>0</v>
      </c>
      <c r="X1473">
        <f>Emissions_Industry!X102-SUM(Emissions_Industry!X93:X101)</f>
        <v>0</v>
      </c>
      <c r="Y1473">
        <f>Emissions_Industry!Y102-SUM(Emissions_Industry!Y93:Y101)</f>
        <v>0</v>
      </c>
      <c r="Z1473">
        <f>Emissions_Industry!Z102-SUM(Emissions_Industry!Z93:Z101)</f>
        <v>0</v>
      </c>
      <c r="AA1473">
        <f>Emissions_Industry!AA102-SUM(Emissions_Industry!AA93:AA101)</f>
        <v>0</v>
      </c>
      <c r="AB1473">
        <f>Emissions_Industry!AB102-SUM(Emissions_Industry!AB93:AB101)</f>
        <v>0</v>
      </c>
      <c r="AC1473">
        <f>Emissions_Industry!AC102-SUM(Emissions_Industry!AC93:AC101)</f>
        <v>0</v>
      </c>
      <c r="AD1473">
        <f>Emissions_Industry!AD102-SUM(Emissions_Industry!AD93:AD101)</f>
        <v>0</v>
      </c>
      <c r="AE1473">
        <f>Emissions_Industry!AE102-SUM(Emissions_Industry!AE93:AE101)</f>
        <v>0</v>
      </c>
    </row>
    <row r="1474" spans="1:31" x14ac:dyDescent="0.45">
      <c r="A1474" t="s">
        <v>2057</v>
      </c>
      <c r="E1474" t="s">
        <v>1161</v>
      </c>
      <c r="F1474">
        <f>MAX(MAX(Data_EF!I4:I12),-MIN(Data_EF!I4:I12))</f>
        <v>0</v>
      </c>
      <c r="I1474">
        <v>0</v>
      </c>
    </row>
    <row r="1475" spans="1:31" x14ac:dyDescent="0.45">
      <c r="A1475" t="s">
        <v>2058</v>
      </c>
      <c r="B1475" t="s">
        <v>110</v>
      </c>
      <c r="C1475" t="s">
        <v>43</v>
      </c>
      <c r="D1475">
        <v>1</v>
      </c>
      <c r="E1475" t="s">
        <v>1159</v>
      </c>
      <c r="J1475" t="s">
        <v>2059</v>
      </c>
      <c r="L1475">
        <v>4.5303835184019583</v>
      </c>
      <c r="M1475">
        <v>3.8469033618625139</v>
      </c>
      <c r="N1475">
        <v>4.3290746208215127</v>
      </c>
      <c r="O1475">
        <v>4.5451606543511947</v>
      </c>
      <c r="P1475">
        <v>4.6606527233890924</v>
      </c>
      <c r="Q1475">
        <v>4.8330795942744276</v>
      </c>
      <c r="R1475">
        <v>5.0529306123252535</v>
      </c>
      <c r="S1475">
        <v>5.2667916999615318</v>
      </c>
      <c r="T1475">
        <v>5.4699790897750393</v>
      </c>
      <c r="U1475">
        <v>5.6771103604276592</v>
      </c>
      <c r="V1475">
        <v>5.8842858461533076</v>
      </c>
      <c r="W1475">
        <v>6.0960674143926372</v>
      </c>
      <c r="X1475">
        <v>6.3124466882788486</v>
      </c>
      <c r="Y1475">
        <v>6.533411878712708</v>
      </c>
      <c r="Z1475">
        <v>6.7589477212745397</v>
      </c>
      <c r="AA1475">
        <v>6.9890354050403474</v>
      </c>
      <c r="AB1475">
        <v>7.223652492772068</v>
      </c>
      <c r="AC1475">
        <v>7.4627728319721705</v>
      </c>
      <c r="AD1475">
        <v>7.7063664563130727</v>
      </c>
      <c r="AE1475">
        <v>7.9543994769708535</v>
      </c>
    </row>
    <row r="1476" spans="1:31" x14ac:dyDescent="0.45">
      <c r="A1476" t="s">
        <v>2060</v>
      </c>
      <c r="B1476" t="s">
        <v>110</v>
      </c>
      <c r="C1476" t="s">
        <v>43</v>
      </c>
      <c r="D1476">
        <v>1</v>
      </c>
      <c r="E1476" t="s">
        <v>1160</v>
      </c>
      <c r="L1476">
        <f>INDEX(Emissions_Industry!L:L,MATCH($A1476,Emissions_Industry!$H:$H,0))</f>
        <v>4.5303835184019645</v>
      </c>
      <c r="M1476">
        <f>INDEX(Emissions_Industry!M:M,MATCH($A1476,Emissions_Industry!$H:$H,0))</f>
        <v>3.8469033618625206</v>
      </c>
      <c r="N1476">
        <f>INDEX(Emissions_Industry!N:N,MATCH($A1476,Emissions_Industry!$H:$H,0))</f>
        <v>4.3290746208215198</v>
      </c>
      <c r="O1476">
        <f>INDEX(Emissions_Industry!O:O,MATCH($A1476,Emissions_Industry!$H:$H,0))</f>
        <v>4.5451606543512009</v>
      </c>
      <c r="P1476">
        <f>INDEX(Emissions_Industry!P:P,MATCH($A1476,Emissions_Industry!$H:$H,0))</f>
        <v>4.6606527233890995</v>
      </c>
      <c r="Q1476">
        <f>INDEX(Emissions_Industry!Q:Q,MATCH($A1476,Emissions_Industry!$H:$H,0))</f>
        <v>4.8330795942744347</v>
      </c>
      <c r="R1476">
        <f>INDEX(Emissions_Industry!R:R,MATCH($A1476,Emissions_Industry!$H:$H,0))</f>
        <v>5.0529306123252606</v>
      </c>
      <c r="S1476">
        <f>INDEX(Emissions_Industry!S:S,MATCH($A1476,Emissions_Industry!$H:$H,0))</f>
        <v>5.2667916999615381</v>
      </c>
      <c r="T1476">
        <f>INDEX(Emissions_Industry!T:T,MATCH($A1476,Emissions_Industry!$H:$H,0))</f>
        <v>5.4699790897750464</v>
      </c>
      <c r="U1476">
        <f>INDEX(Emissions_Industry!U:U,MATCH($A1476,Emissions_Industry!$H:$H,0))</f>
        <v>5.6771103604276671</v>
      </c>
      <c r="V1476">
        <f>INDEX(Emissions_Industry!V:V,MATCH($A1476,Emissions_Industry!$H:$H,0))</f>
        <v>5.8842858461533165</v>
      </c>
      <c r="W1476">
        <f>INDEX(Emissions_Industry!W:W,MATCH($A1476,Emissions_Industry!$H:$H,0))</f>
        <v>6.0960674143926461</v>
      </c>
      <c r="X1476">
        <f>INDEX(Emissions_Industry!X:X,MATCH($A1476,Emissions_Industry!$H:$H,0))</f>
        <v>6.3124466882788575</v>
      </c>
      <c r="Y1476">
        <f>INDEX(Emissions_Industry!Y:Y,MATCH($A1476,Emissions_Industry!$H:$H,0))</f>
        <v>6.5334118787127196</v>
      </c>
      <c r="Z1476">
        <f>INDEX(Emissions_Industry!Z:Z,MATCH($A1476,Emissions_Industry!$H:$H,0))</f>
        <v>6.7589477212745512</v>
      </c>
      <c r="AA1476">
        <f>INDEX(Emissions_Industry!AA:AA,MATCH($A1476,Emissions_Industry!$H:$H,0))</f>
        <v>6.9890354050403589</v>
      </c>
      <c r="AB1476">
        <f>INDEX(Emissions_Industry!AB:AB,MATCH($A1476,Emissions_Industry!$H:$H,0))</f>
        <v>7.2236524927720804</v>
      </c>
      <c r="AC1476">
        <f>INDEX(Emissions_Industry!AC:AC,MATCH($A1476,Emissions_Industry!$H:$H,0))</f>
        <v>7.4627728319721847</v>
      </c>
      <c r="AD1476">
        <f>INDEX(Emissions_Industry!AD:AD,MATCH($A1476,Emissions_Industry!$H:$H,0))</f>
        <v>7.7063664563130869</v>
      </c>
      <c r="AE1476">
        <f>INDEX(Emissions_Industry!AE:AE,MATCH($A1476,Emissions_Industry!$H:$H,0))</f>
        <v>7.9543994769708668</v>
      </c>
    </row>
    <row r="1477" spans="1:31" x14ac:dyDescent="0.45">
      <c r="A1477" t="s">
        <v>2060</v>
      </c>
      <c r="B1477" t="s">
        <v>110</v>
      </c>
      <c r="C1477" t="s">
        <v>43</v>
      </c>
      <c r="D1477">
        <v>1</v>
      </c>
      <c r="E1477" t="s">
        <v>1161</v>
      </c>
      <c r="F1477">
        <f>MAX(MAX(L1477:AE1477),-MIN(L1477:AE1477))</f>
        <v>1.4210854715202004E-14</v>
      </c>
      <c r="G1477" s="117">
        <f>IF(MAX(L1475:AE1475)=0,0,F1477/MAX(L1475:AE1475))</f>
        <v>1.7865402355444304E-15</v>
      </c>
      <c r="I1477">
        <v>0</v>
      </c>
      <c r="L1477">
        <f t="shared" ref="L1477:AE1477" si="355">L1476-L1475</f>
        <v>0</v>
      </c>
      <c r="M1477">
        <f t="shared" si="355"/>
        <v>6.6613381477509392E-15</v>
      </c>
      <c r="N1477">
        <f t="shared" si="355"/>
        <v>7.1054273576010019E-15</v>
      </c>
      <c r="O1477">
        <f t="shared" si="355"/>
        <v>0</v>
      </c>
      <c r="P1477">
        <f t="shared" si="355"/>
        <v>7.1054273576010019E-15</v>
      </c>
      <c r="Q1477">
        <f t="shared" si="355"/>
        <v>7.1054273576010019E-15</v>
      </c>
      <c r="R1477">
        <f t="shared" si="355"/>
        <v>7.1054273576010019E-15</v>
      </c>
      <c r="S1477">
        <f t="shared" si="355"/>
        <v>0</v>
      </c>
      <c r="T1477">
        <f t="shared" si="355"/>
        <v>7.1054273576010019E-15</v>
      </c>
      <c r="U1477">
        <f t="shared" si="355"/>
        <v>7.9936057773011271E-15</v>
      </c>
      <c r="V1477">
        <f t="shared" si="355"/>
        <v>8.8817841970012523E-15</v>
      </c>
      <c r="W1477">
        <f t="shared" si="355"/>
        <v>8.8817841970012523E-15</v>
      </c>
      <c r="X1477">
        <f t="shared" si="355"/>
        <v>8.8817841970012523E-15</v>
      </c>
      <c r="Y1477">
        <f t="shared" si="355"/>
        <v>1.1546319456101628E-14</v>
      </c>
      <c r="Z1477">
        <f t="shared" si="355"/>
        <v>1.1546319456101628E-14</v>
      </c>
      <c r="AA1477">
        <f t="shared" si="355"/>
        <v>1.1546319456101628E-14</v>
      </c>
      <c r="AB1477">
        <f t="shared" si="355"/>
        <v>1.2434497875801753E-14</v>
      </c>
      <c r="AC1477">
        <f t="shared" si="355"/>
        <v>1.4210854715202004E-14</v>
      </c>
      <c r="AD1477">
        <f t="shared" si="355"/>
        <v>1.4210854715202004E-14</v>
      </c>
      <c r="AE1477">
        <f t="shared" si="355"/>
        <v>1.3322676295501878E-14</v>
      </c>
    </row>
    <row r="1478" spans="1:31" x14ac:dyDescent="0.45">
      <c r="A1478" t="s">
        <v>2061</v>
      </c>
      <c r="B1478" t="s">
        <v>110</v>
      </c>
      <c r="C1478" t="s">
        <v>113</v>
      </c>
      <c r="D1478">
        <v>1</v>
      </c>
      <c r="E1478" t="s">
        <v>1159</v>
      </c>
      <c r="J1478" t="s">
        <v>2062</v>
      </c>
      <c r="L1478">
        <v>9.4893574461323063</v>
      </c>
      <c r="M1478">
        <v>7.8923978681734726</v>
      </c>
      <c r="N1478">
        <v>8.9740498980415797</v>
      </c>
      <c r="O1478">
        <v>9.6117389440758156</v>
      </c>
      <c r="P1478">
        <v>9.6255920185944603</v>
      </c>
      <c r="Q1478">
        <v>9.8610476555574493</v>
      </c>
      <c r="R1478">
        <v>10.224041222352259</v>
      </c>
      <c r="S1478">
        <v>10.577278178288619</v>
      </c>
      <c r="T1478">
        <v>10.913917324515172</v>
      </c>
      <c r="U1478">
        <v>11.25498088660003</v>
      </c>
      <c r="V1478">
        <v>11.572436051134586</v>
      </c>
      <c r="W1478">
        <v>11.894967219383657</v>
      </c>
      <c r="X1478">
        <v>12.222536887315176</v>
      </c>
      <c r="Y1478">
        <v>12.555104231742494</v>
      </c>
      <c r="Z1478">
        <v>12.892625020155878</v>
      </c>
      <c r="AA1478">
        <v>13.235051509488896</v>
      </c>
      <c r="AB1478">
        <v>13.582332333397817</v>
      </c>
      <c r="AC1478">
        <v>13.934412377644659</v>
      </c>
      <c r="AD1478">
        <v>14.291232643187334</v>
      </c>
      <c r="AE1478">
        <v>14.652730096591432</v>
      </c>
    </row>
    <row r="1479" spans="1:31" x14ac:dyDescent="0.45">
      <c r="A1479" t="s">
        <v>2063</v>
      </c>
      <c r="B1479" t="s">
        <v>110</v>
      </c>
      <c r="C1479" t="s">
        <v>113</v>
      </c>
      <c r="D1479">
        <v>1</v>
      </c>
      <c r="E1479" t="s">
        <v>1160</v>
      </c>
      <c r="L1479">
        <f>INDEX(Emissions_Industry!L:L,MATCH($A1479,Emissions_Industry!$H:$H,0))</f>
        <v>9.4893574461323063</v>
      </c>
      <c r="M1479">
        <f>INDEX(Emissions_Industry!M:M,MATCH($A1479,Emissions_Industry!$H:$H,0))</f>
        <v>7.892397868173477</v>
      </c>
      <c r="N1479">
        <f>INDEX(Emissions_Industry!N:N,MATCH($A1479,Emissions_Industry!$H:$H,0))</f>
        <v>8.974049898041585</v>
      </c>
      <c r="O1479">
        <f>INDEX(Emissions_Industry!O:O,MATCH($A1479,Emissions_Industry!$H:$H,0))</f>
        <v>9.6117389440758174</v>
      </c>
      <c r="P1479">
        <f>INDEX(Emissions_Industry!P:P,MATCH($A1479,Emissions_Industry!$H:$H,0))</f>
        <v>9.6255920185944621</v>
      </c>
      <c r="Q1479">
        <f>INDEX(Emissions_Industry!Q:Q,MATCH($A1479,Emissions_Industry!$H:$H,0))</f>
        <v>9.8610476555574511</v>
      </c>
      <c r="R1479">
        <f>INDEX(Emissions_Industry!R:R,MATCH($A1479,Emissions_Industry!$H:$H,0))</f>
        <v>10.224041222352259</v>
      </c>
      <c r="S1479">
        <f>INDEX(Emissions_Industry!S:S,MATCH($A1479,Emissions_Industry!$H:$H,0))</f>
        <v>10.577278178288619</v>
      </c>
      <c r="T1479">
        <f>INDEX(Emissions_Industry!T:T,MATCH($A1479,Emissions_Industry!$H:$H,0))</f>
        <v>10.913917324515168</v>
      </c>
      <c r="U1479">
        <f>INDEX(Emissions_Industry!U:U,MATCH($A1479,Emissions_Industry!$H:$H,0))</f>
        <v>11.254980886600027</v>
      </c>
      <c r="V1479">
        <f>INDEX(Emissions_Industry!V:V,MATCH($A1479,Emissions_Industry!$H:$H,0))</f>
        <v>11.572436051134584</v>
      </c>
      <c r="W1479">
        <f>INDEX(Emissions_Industry!W:W,MATCH($A1479,Emissions_Industry!$H:$H,0))</f>
        <v>11.894967219383652</v>
      </c>
      <c r="X1479">
        <f>INDEX(Emissions_Industry!X:X,MATCH($A1479,Emissions_Industry!$H:$H,0))</f>
        <v>12.222536887315171</v>
      </c>
      <c r="Y1479">
        <f>INDEX(Emissions_Industry!Y:Y,MATCH($A1479,Emissions_Industry!$H:$H,0))</f>
        <v>12.55510423174249</v>
      </c>
      <c r="Z1479">
        <f>INDEX(Emissions_Industry!Z:Z,MATCH($A1479,Emissions_Industry!$H:$H,0))</f>
        <v>12.892625020155874</v>
      </c>
      <c r="AA1479">
        <f>INDEX(Emissions_Industry!AA:AA,MATCH($A1479,Emissions_Industry!$H:$H,0))</f>
        <v>13.235051509488891</v>
      </c>
      <c r="AB1479">
        <f>INDEX(Emissions_Industry!AB:AB,MATCH($A1479,Emissions_Industry!$H:$H,0))</f>
        <v>13.582332333397812</v>
      </c>
      <c r="AC1479">
        <f>INDEX(Emissions_Industry!AC:AC,MATCH($A1479,Emissions_Industry!$H:$H,0))</f>
        <v>13.934412377644653</v>
      </c>
      <c r="AD1479">
        <f>INDEX(Emissions_Industry!AD:AD,MATCH($A1479,Emissions_Industry!$H:$H,0))</f>
        <v>14.291232643187328</v>
      </c>
      <c r="AE1479">
        <f>INDEX(Emissions_Industry!AE:AE,MATCH($A1479,Emissions_Industry!$H:$H,0))</f>
        <v>14.652730096591428</v>
      </c>
    </row>
    <row r="1480" spans="1:31" x14ac:dyDescent="0.45">
      <c r="A1480" t="s">
        <v>2063</v>
      </c>
      <c r="B1480" t="s">
        <v>110</v>
      </c>
      <c r="C1480" t="s">
        <v>113</v>
      </c>
      <c r="D1480">
        <v>1</v>
      </c>
      <c r="E1480" t="s">
        <v>1161</v>
      </c>
      <c r="F1480">
        <f>MAX(MAX(L1480:AE1480),-MIN(L1480:AE1480))</f>
        <v>0</v>
      </c>
      <c r="G1480" s="117">
        <f>IF(MAX(L1478:AE1478)=0,0,F1480/MAX(L1478:AE1478))</f>
        <v>0</v>
      </c>
      <c r="I1480">
        <v>0</v>
      </c>
      <c r="L1480">
        <f t="shared" ref="L1480:AE1480" si="356">L1479-L1478</f>
        <v>0</v>
      </c>
      <c r="M1480">
        <f t="shared" si="356"/>
        <v>0</v>
      </c>
      <c r="N1480">
        <f t="shared" si="356"/>
        <v>0</v>
      </c>
      <c r="O1480">
        <f t="shared" si="356"/>
        <v>0</v>
      </c>
      <c r="P1480">
        <f t="shared" si="356"/>
        <v>0</v>
      </c>
      <c r="Q1480">
        <f t="shared" si="356"/>
        <v>0</v>
      </c>
      <c r="R1480">
        <f t="shared" si="356"/>
        <v>0</v>
      </c>
      <c r="S1480">
        <f t="shared" si="356"/>
        <v>0</v>
      </c>
      <c r="T1480">
        <f t="shared" si="356"/>
        <v>0</v>
      </c>
      <c r="U1480">
        <f t="shared" si="356"/>
        <v>0</v>
      </c>
      <c r="V1480">
        <f t="shared" si="356"/>
        <v>0</v>
      </c>
      <c r="W1480">
        <f t="shared" si="356"/>
        <v>0</v>
      </c>
      <c r="X1480">
        <f t="shared" si="356"/>
        <v>0</v>
      </c>
      <c r="Y1480">
        <f t="shared" si="356"/>
        <v>0</v>
      </c>
      <c r="Z1480">
        <f t="shared" si="356"/>
        <v>0</v>
      </c>
      <c r="AA1480">
        <f t="shared" si="356"/>
        <v>0</v>
      </c>
      <c r="AB1480">
        <f t="shared" si="356"/>
        <v>0</v>
      </c>
      <c r="AC1480">
        <f t="shared" si="356"/>
        <v>0</v>
      </c>
      <c r="AD1480">
        <f t="shared" si="356"/>
        <v>0</v>
      </c>
      <c r="AE1480">
        <f t="shared" si="356"/>
        <v>0</v>
      </c>
    </row>
    <row r="1481" spans="1:31" x14ac:dyDescent="0.45">
      <c r="A1481" t="s">
        <v>2064</v>
      </c>
      <c r="B1481" t="s">
        <v>110</v>
      </c>
      <c r="C1481" t="s">
        <v>115</v>
      </c>
      <c r="D1481">
        <v>1</v>
      </c>
      <c r="E1481" t="s">
        <v>1159</v>
      </c>
      <c r="J1481" t="s">
        <v>2065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5">
      <c r="A1482" t="s">
        <v>2066</v>
      </c>
      <c r="B1482" t="s">
        <v>110</v>
      </c>
      <c r="C1482" t="s">
        <v>115</v>
      </c>
      <c r="D1482">
        <v>1</v>
      </c>
      <c r="E1482" t="s">
        <v>1160</v>
      </c>
      <c r="L1482">
        <f>INDEX(Emissions_Industry!L:L,MATCH($A1482,Emissions_Industry!$H:$H,0))</f>
        <v>0</v>
      </c>
      <c r="M1482">
        <f>INDEX(Emissions_Industry!M:M,MATCH($A1482,Emissions_Industry!$H:$H,0))</f>
        <v>0</v>
      </c>
      <c r="N1482">
        <f>INDEX(Emissions_Industry!N:N,MATCH($A1482,Emissions_Industry!$H:$H,0))</f>
        <v>0</v>
      </c>
      <c r="O1482">
        <f>INDEX(Emissions_Industry!O:O,MATCH($A1482,Emissions_Industry!$H:$H,0))</f>
        <v>0</v>
      </c>
      <c r="P1482">
        <f>INDEX(Emissions_Industry!P:P,MATCH($A1482,Emissions_Industry!$H:$H,0))</f>
        <v>0</v>
      </c>
      <c r="Q1482">
        <f>INDEX(Emissions_Industry!Q:Q,MATCH($A1482,Emissions_Industry!$H:$H,0))</f>
        <v>0</v>
      </c>
      <c r="R1482">
        <f>INDEX(Emissions_Industry!R:R,MATCH($A1482,Emissions_Industry!$H:$H,0))</f>
        <v>0</v>
      </c>
      <c r="S1482">
        <f>INDEX(Emissions_Industry!S:S,MATCH($A1482,Emissions_Industry!$H:$H,0))</f>
        <v>0</v>
      </c>
      <c r="T1482">
        <f>INDEX(Emissions_Industry!T:T,MATCH($A1482,Emissions_Industry!$H:$H,0))</f>
        <v>0</v>
      </c>
      <c r="U1482">
        <f>INDEX(Emissions_Industry!U:U,MATCH($A1482,Emissions_Industry!$H:$H,0))</f>
        <v>0</v>
      </c>
      <c r="V1482">
        <f>INDEX(Emissions_Industry!V:V,MATCH($A1482,Emissions_Industry!$H:$H,0))</f>
        <v>0</v>
      </c>
      <c r="W1482">
        <f>INDEX(Emissions_Industry!W:W,MATCH($A1482,Emissions_Industry!$H:$H,0))</f>
        <v>0</v>
      </c>
      <c r="X1482">
        <f>INDEX(Emissions_Industry!X:X,MATCH($A1482,Emissions_Industry!$H:$H,0))</f>
        <v>0</v>
      </c>
      <c r="Y1482">
        <f>INDEX(Emissions_Industry!Y:Y,MATCH($A1482,Emissions_Industry!$H:$H,0))</f>
        <v>0</v>
      </c>
      <c r="Z1482">
        <f>INDEX(Emissions_Industry!Z:Z,MATCH($A1482,Emissions_Industry!$H:$H,0))</f>
        <v>0</v>
      </c>
      <c r="AA1482">
        <f>INDEX(Emissions_Industry!AA:AA,MATCH($A1482,Emissions_Industry!$H:$H,0))</f>
        <v>0</v>
      </c>
      <c r="AB1482">
        <f>INDEX(Emissions_Industry!AB:AB,MATCH($A1482,Emissions_Industry!$H:$H,0))</f>
        <v>0</v>
      </c>
      <c r="AC1482">
        <f>INDEX(Emissions_Industry!AC:AC,MATCH($A1482,Emissions_Industry!$H:$H,0))</f>
        <v>0</v>
      </c>
      <c r="AD1482">
        <f>INDEX(Emissions_Industry!AD:AD,MATCH($A1482,Emissions_Industry!$H:$H,0))</f>
        <v>0</v>
      </c>
      <c r="AE1482">
        <f>INDEX(Emissions_Industry!AE:AE,MATCH($A1482,Emissions_Industry!$H:$H,0))</f>
        <v>0</v>
      </c>
    </row>
    <row r="1483" spans="1:31" x14ac:dyDescent="0.45">
      <c r="A1483" t="s">
        <v>2066</v>
      </c>
      <c r="B1483" t="s">
        <v>110</v>
      </c>
      <c r="C1483" t="s">
        <v>115</v>
      </c>
      <c r="D1483">
        <v>1</v>
      </c>
      <c r="E1483" t="s">
        <v>1161</v>
      </c>
      <c r="F1483">
        <f>MAX(MAX(L1483:AE1483),-MIN(L1483:AE1483))</f>
        <v>0</v>
      </c>
      <c r="G1483" s="117">
        <f>IF(MAX(L1481:AE1481)=0,0,F1483/MAX(L1481:AE1481))</f>
        <v>0</v>
      </c>
      <c r="I1483">
        <v>0</v>
      </c>
      <c r="L1483">
        <f t="shared" ref="L1483:AE1483" si="357">L1482-L1481</f>
        <v>0</v>
      </c>
      <c r="M1483">
        <f t="shared" si="357"/>
        <v>0</v>
      </c>
      <c r="N1483">
        <f t="shared" si="357"/>
        <v>0</v>
      </c>
      <c r="O1483">
        <f t="shared" si="357"/>
        <v>0</v>
      </c>
      <c r="P1483">
        <f t="shared" si="357"/>
        <v>0</v>
      </c>
      <c r="Q1483">
        <f t="shared" si="357"/>
        <v>0</v>
      </c>
      <c r="R1483">
        <f t="shared" si="357"/>
        <v>0</v>
      </c>
      <c r="S1483">
        <f t="shared" si="357"/>
        <v>0</v>
      </c>
      <c r="T1483">
        <f t="shared" si="357"/>
        <v>0</v>
      </c>
      <c r="U1483">
        <f t="shared" si="357"/>
        <v>0</v>
      </c>
      <c r="V1483">
        <f t="shared" si="357"/>
        <v>0</v>
      </c>
      <c r="W1483">
        <f t="shared" si="357"/>
        <v>0</v>
      </c>
      <c r="X1483">
        <f t="shared" si="357"/>
        <v>0</v>
      </c>
      <c r="Y1483">
        <f t="shared" si="357"/>
        <v>0</v>
      </c>
      <c r="Z1483">
        <f t="shared" si="357"/>
        <v>0</v>
      </c>
      <c r="AA1483">
        <f t="shared" si="357"/>
        <v>0</v>
      </c>
      <c r="AB1483">
        <f t="shared" si="357"/>
        <v>0</v>
      </c>
      <c r="AC1483">
        <f t="shared" si="357"/>
        <v>0</v>
      </c>
      <c r="AD1483">
        <f t="shared" si="357"/>
        <v>0</v>
      </c>
      <c r="AE1483">
        <f t="shared" si="357"/>
        <v>0</v>
      </c>
    </row>
    <row r="1484" spans="1:31" x14ac:dyDescent="0.45">
      <c r="A1484" t="s">
        <v>2067</v>
      </c>
      <c r="B1484" t="s">
        <v>110</v>
      </c>
      <c r="C1484" t="s">
        <v>117</v>
      </c>
      <c r="D1484">
        <v>1</v>
      </c>
      <c r="E1484" t="s">
        <v>1159</v>
      </c>
      <c r="J1484" t="s">
        <v>2068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5">
      <c r="A1485" t="s">
        <v>2069</v>
      </c>
      <c r="B1485" t="s">
        <v>110</v>
      </c>
      <c r="C1485" t="s">
        <v>117</v>
      </c>
      <c r="D1485">
        <v>1</v>
      </c>
      <c r="E1485" t="s">
        <v>1160</v>
      </c>
      <c r="L1485">
        <f>INDEX(Emissions_Industry!L:L,MATCH($A1485,Emissions_Industry!$H:$H,0))</f>
        <v>0</v>
      </c>
      <c r="M1485">
        <f>INDEX(Emissions_Industry!M:M,MATCH($A1485,Emissions_Industry!$H:$H,0))</f>
        <v>0</v>
      </c>
      <c r="N1485">
        <f>INDEX(Emissions_Industry!N:N,MATCH($A1485,Emissions_Industry!$H:$H,0))</f>
        <v>0</v>
      </c>
      <c r="O1485">
        <f>INDEX(Emissions_Industry!O:O,MATCH($A1485,Emissions_Industry!$H:$H,0))</f>
        <v>0</v>
      </c>
      <c r="P1485">
        <f>INDEX(Emissions_Industry!P:P,MATCH($A1485,Emissions_Industry!$H:$H,0))</f>
        <v>0</v>
      </c>
      <c r="Q1485">
        <f>INDEX(Emissions_Industry!Q:Q,MATCH($A1485,Emissions_Industry!$H:$H,0))</f>
        <v>0</v>
      </c>
      <c r="R1485">
        <f>INDEX(Emissions_Industry!R:R,MATCH($A1485,Emissions_Industry!$H:$H,0))</f>
        <v>0</v>
      </c>
      <c r="S1485">
        <f>INDEX(Emissions_Industry!S:S,MATCH($A1485,Emissions_Industry!$H:$H,0))</f>
        <v>0</v>
      </c>
      <c r="T1485">
        <f>INDEX(Emissions_Industry!T:T,MATCH($A1485,Emissions_Industry!$H:$H,0))</f>
        <v>0</v>
      </c>
      <c r="U1485">
        <f>INDEX(Emissions_Industry!U:U,MATCH($A1485,Emissions_Industry!$H:$H,0))</f>
        <v>0</v>
      </c>
      <c r="V1485">
        <f>INDEX(Emissions_Industry!V:V,MATCH($A1485,Emissions_Industry!$H:$H,0))</f>
        <v>0</v>
      </c>
      <c r="W1485">
        <f>INDEX(Emissions_Industry!W:W,MATCH($A1485,Emissions_Industry!$H:$H,0))</f>
        <v>0</v>
      </c>
      <c r="X1485">
        <f>INDEX(Emissions_Industry!X:X,MATCH($A1485,Emissions_Industry!$H:$H,0))</f>
        <v>0</v>
      </c>
      <c r="Y1485">
        <f>INDEX(Emissions_Industry!Y:Y,MATCH($A1485,Emissions_Industry!$H:$H,0))</f>
        <v>0</v>
      </c>
      <c r="Z1485">
        <f>INDEX(Emissions_Industry!Z:Z,MATCH($A1485,Emissions_Industry!$H:$H,0))</f>
        <v>0</v>
      </c>
      <c r="AA1485">
        <f>INDEX(Emissions_Industry!AA:AA,MATCH($A1485,Emissions_Industry!$H:$H,0))</f>
        <v>0</v>
      </c>
      <c r="AB1485">
        <f>INDEX(Emissions_Industry!AB:AB,MATCH($A1485,Emissions_Industry!$H:$H,0))</f>
        <v>0</v>
      </c>
      <c r="AC1485">
        <f>INDEX(Emissions_Industry!AC:AC,MATCH($A1485,Emissions_Industry!$H:$H,0))</f>
        <v>0</v>
      </c>
      <c r="AD1485">
        <f>INDEX(Emissions_Industry!AD:AD,MATCH($A1485,Emissions_Industry!$H:$H,0))</f>
        <v>0</v>
      </c>
      <c r="AE1485">
        <f>INDEX(Emissions_Industry!AE:AE,MATCH($A1485,Emissions_Industry!$H:$H,0))</f>
        <v>0</v>
      </c>
    </row>
    <row r="1486" spans="1:31" x14ac:dyDescent="0.45">
      <c r="A1486" t="s">
        <v>2069</v>
      </c>
      <c r="B1486" t="s">
        <v>110</v>
      </c>
      <c r="C1486" t="s">
        <v>117</v>
      </c>
      <c r="D1486">
        <v>1</v>
      </c>
      <c r="E1486" t="s">
        <v>1161</v>
      </c>
      <c r="F1486">
        <f>MAX(MAX(L1486:AE1486),-MIN(L1486:AE1486))</f>
        <v>0</v>
      </c>
      <c r="G1486" s="117">
        <f>IF(MAX(L1484:AE1484)=0,0,F1486/MAX(L1484:AE1484))</f>
        <v>0</v>
      </c>
      <c r="I1486">
        <v>0</v>
      </c>
      <c r="L1486">
        <f t="shared" ref="L1486:AE1486" si="358">L1485-L1484</f>
        <v>0</v>
      </c>
      <c r="M1486">
        <f t="shared" si="358"/>
        <v>0</v>
      </c>
      <c r="N1486">
        <f t="shared" si="358"/>
        <v>0</v>
      </c>
      <c r="O1486">
        <f t="shared" si="358"/>
        <v>0</v>
      </c>
      <c r="P1486">
        <f t="shared" si="358"/>
        <v>0</v>
      </c>
      <c r="Q1486">
        <f t="shared" si="358"/>
        <v>0</v>
      </c>
      <c r="R1486">
        <f t="shared" si="358"/>
        <v>0</v>
      </c>
      <c r="S1486">
        <f t="shared" si="358"/>
        <v>0</v>
      </c>
      <c r="T1486">
        <f t="shared" si="358"/>
        <v>0</v>
      </c>
      <c r="U1486">
        <f t="shared" si="358"/>
        <v>0</v>
      </c>
      <c r="V1486">
        <f t="shared" si="358"/>
        <v>0</v>
      </c>
      <c r="W1486">
        <f t="shared" si="358"/>
        <v>0</v>
      </c>
      <c r="X1486">
        <f t="shared" si="358"/>
        <v>0</v>
      </c>
      <c r="Y1486">
        <f t="shared" si="358"/>
        <v>0</v>
      </c>
      <c r="Z1486">
        <f t="shared" si="358"/>
        <v>0</v>
      </c>
      <c r="AA1486">
        <f t="shared" si="358"/>
        <v>0</v>
      </c>
      <c r="AB1486">
        <f t="shared" si="358"/>
        <v>0</v>
      </c>
      <c r="AC1486">
        <f t="shared" si="358"/>
        <v>0</v>
      </c>
      <c r="AD1486">
        <f t="shared" si="358"/>
        <v>0</v>
      </c>
      <c r="AE1486">
        <f t="shared" si="358"/>
        <v>0</v>
      </c>
    </row>
    <row r="1487" spans="1:31" x14ac:dyDescent="0.45">
      <c r="A1487" t="s">
        <v>2070</v>
      </c>
      <c r="D1487">
        <v>2</v>
      </c>
      <c r="E1487" t="s">
        <v>2071</v>
      </c>
      <c r="F1487">
        <f>SUM(L1487:AE1487)</f>
        <v>0</v>
      </c>
      <c r="I1487">
        <v>0</v>
      </c>
      <c r="L1487">
        <f>SUMPRODUCT((Emissions_Industry!L57:L65&gt;Emissions_Industry!L6:L14+0.000000001)*(Mitigation_Industry!L645&gt;0))</f>
        <v>0</v>
      </c>
      <c r="M1487">
        <f>SUMPRODUCT((Emissions_Industry!M57:M65&gt;Emissions_Industry!M6:M14+0.000000001)*(Mitigation_Industry!M645&gt;0))</f>
        <v>0</v>
      </c>
      <c r="N1487">
        <f>SUMPRODUCT((Emissions_Industry!N57:N65&gt;Emissions_Industry!N6:N14+0.000000001)*(Mitigation_Industry!N645&gt;0))</f>
        <v>0</v>
      </c>
      <c r="O1487">
        <f>SUMPRODUCT((Emissions_Industry!O57:O65&gt;Emissions_Industry!O6:O14+0.000000001)*(Mitigation_Industry!O645&gt;0))</f>
        <v>0</v>
      </c>
      <c r="P1487">
        <f>SUMPRODUCT((Emissions_Industry!P57:P65&gt;Emissions_Industry!P6:P14+0.000000001)*(Mitigation_Industry!P645&gt;0))</f>
        <v>0</v>
      </c>
      <c r="Q1487">
        <f>SUMPRODUCT((Emissions_Industry!Q57:Q65&gt;Emissions_Industry!Q6:Q14+0.000000001)*(Mitigation_Industry!Q645&gt;0))</f>
        <v>0</v>
      </c>
      <c r="R1487">
        <f>SUMPRODUCT((Emissions_Industry!R57:R65&gt;Emissions_Industry!R6:R14+0.000000001)*(Mitigation_Industry!R645&gt;0))</f>
        <v>0</v>
      </c>
      <c r="S1487">
        <f>SUMPRODUCT((Emissions_Industry!S57:S65&gt;Emissions_Industry!S6:S14+0.000000001)*(Mitigation_Industry!S645&gt;0))</f>
        <v>0</v>
      </c>
      <c r="T1487">
        <f>SUMPRODUCT((Emissions_Industry!T57:T65&gt;Emissions_Industry!T6:T14+0.000000001)*(Mitigation_Industry!T645&gt;0))</f>
        <v>0</v>
      </c>
      <c r="U1487">
        <f>SUMPRODUCT((Emissions_Industry!U57:U65&gt;Emissions_Industry!U6:U14+0.000000001)*(Mitigation_Industry!U645&gt;0))</f>
        <v>0</v>
      </c>
      <c r="V1487">
        <f>SUMPRODUCT((Emissions_Industry!V57:V65&gt;Emissions_Industry!V6:V14+0.000000001)*(Mitigation_Industry!V645&gt;0))</f>
        <v>0</v>
      </c>
      <c r="W1487">
        <f>SUMPRODUCT((Emissions_Industry!W57:W65&gt;Emissions_Industry!W6:W14+0.000000001)*(Mitigation_Industry!W645&gt;0))</f>
        <v>0</v>
      </c>
      <c r="X1487">
        <f>SUMPRODUCT((Emissions_Industry!X57:X65&gt;Emissions_Industry!X6:X14+0.000000001)*(Mitigation_Industry!X645&gt;0))</f>
        <v>0</v>
      </c>
      <c r="Y1487">
        <f>SUMPRODUCT((Emissions_Industry!Y57:Y65&gt;Emissions_Industry!Y6:Y14+0.000000001)*(Mitigation_Industry!Y645&gt;0))</f>
        <v>0</v>
      </c>
      <c r="Z1487">
        <f>SUMPRODUCT((Emissions_Industry!Z57:Z65&gt;Emissions_Industry!Z6:Z14+0.000000001)*(Mitigation_Industry!Z645&gt;0))</f>
        <v>0</v>
      </c>
      <c r="AA1487">
        <f>SUMPRODUCT((Emissions_Industry!AA57:AA65&gt;Emissions_Industry!AA6:AA14+0.000000001)*(Mitigation_Industry!AA645&gt;0))</f>
        <v>0</v>
      </c>
      <c r="AB1487">
        <f>SUMPRODUCT((Emissions_Industry!AB57:AB65&gt;Emissions_Industry!AB6:AB14+0.000000001)*(Mitigation_Industry!AB645&gt;0))</f>
        <v>0</v>
      </c>
      <c r="AC1487">
        <f>SUMPRODUCT((Emissions_Industry!AC57:AC65&gt;Emissions_Industry!AC6:AC14+0.000000001)*(Mitigation_Industry!AC645&gt;0))</f>
        <v>0</v>
      </c>
      <c r="AD1487">
        <f>SUMPRODUCT((Emissions_Industry!AD57:AD65&gt;Emissions_Industry!AD6:AD14+0.000000001)*(Mitigation_Industry!AD645&gt;0))</f>
        <v>0</v>
      </c>
      <c r="AE1487">
        <f>SUMPRODUCT((Emissions_Industry!AE57:AE65&gt;Emissions_Industry!AE6:AE14+0.000000001)*(Mitigation_Industry!AE645&gt;0))</f>
        <v>0</v>
      </c>
    </row>
    <row r="1488" spans="1:31" x14ac:dyDescent="0.45">
      <c r="A1488" t="s">
        <v>2072</v>
      </c>
      <c r="D1488">
        <v>2</v>
      </c>
      <c r="E1488" t="s">
        <v>2071</v>
      </c>
      <c r="F1488">
        <f>SUM(L1488:AE1488)</f>
        <v>0</v>
      </c>
      <c r="I1488">
        <v>0</v>
      </c>
      <c r="L1488">
        <f>SUMPRODUCT((Emissions_Industry!L69:L77&gt;Emissions_Industry!L18:L26+0.000000001)*(Mitigation_Industry!L645&gt;0))</f>
        <v>0</v>
      </c>
      <c r="M1488">
        <f>SUMPRODUCT((Emissions_Industry!M69:M77&gt;Emissions_Industry!M18:M26+0.000000001)*(Mitigation_Industry!M645&gt;0))</f>
        <v>0</v>
      </c>
      <c r="N1488">
        <f>SUMPRODUCT((Emissions_Industry!N69:N77&gt;Emissions_Industry!N18:N26+0.000000001)*(Mitigation_Industry!N645&gt;0))</f>
        <v>0</v>
      </c>
      <c r="O1488">
        <f>SUMPRODUCT((Emissions_Industry!O69:O77&gt;Emissions_Industry!O18:O26+0.000000001)*(Mitigation_Industry!O645&gt;0))</f>
        <v>0</v>
      </c>
      <c r="P1488">
        <f>SUMPRODUCT((Emissions_Industry!P69:P77&gt;Emissions_Industry!P18:P26+0.000000001)*(Mitigation_Industry!P645&gt;0))</f>
        <v>0</v>
      </c>
      <c r="Q1488">
        <f>SUMPRODUCT((Emissions_Industry!Q69:Q77&gt;Emissions_Industry!Q18:Q26+0.000000001)*(Mitigation_Industry!Q645&gt;0))</f>
        <v>0</v>
      </c>
      <c r="R1488">
        <f>SUMPRODUCT((Emissions_Industry!R69:R77&gt;Emissions_Industry!R18:R26+0.000000001)*(Mitigation_Industry!R645&gt;0))</f>
        <v>0</v>
      </c>
      <c r="S1488">
        <f>SUMPRODUCT((Emissions_Industry!S69:S77&gt;Emissions_Industry!S18:S26+0.000000001)*(Mitigation_Industry!S645&gt;0))</f>
        <v>0</v>
      </c>
      <c r="T1488">
        <f>SUMPRODUCT((Emissions_Industry!T69:T77&gt;Emissions_Industry!T18:T26+0.000000001)*(Mitigation_Industry!T645&gt;0))</f>
        <v>0</v>
      </c>
      <c r="U1488">
        <f>SUMPRODUCT((Emissions_Industry!U69:U77&gt;Emissions_Industry!U18:U26+0.000000001)*(Mitigation_Industry!U645&gt;0))</f>
        <v>0</v>
      </c>
      <c r="V1488">
        <f>SUMPRODUCT((Emissions_Industry!V69:V77&gt;Emissions_Industry!V18:V26+0.000000001)*(Mitigation_Industry!V645&gt;0))</f>
        <v>0</v>
      </c>
      <c r="W1488">
        <f>SUMPRODUCT((Emissions_Industry!W69:W77&gt;Emissions_Industry!W18:W26+0.000000001)*(Mitigation_Industry!W645&gt;0))</f>
        <v>0</v>
      </c>
      <c r="X1488">
        <f>SUMPRODUCT((Emissions_Industry!X69:X77&gt;Emissions_Industry!X18:X26+0.000000001)*(Mitigation_Industry!X645&gt;0))</f>
        <v>0</v>
      </c>
      <c r="Y1488">
        <f>SUMPRODUCT((Emissions_Industry!Y69:Y77&gt;Emissions_Industry!Y18:Y26+0.000000001)*(Mitigation_Industry!Y645&gt;0))</f>
        <v>0</v>
      </c>
      <c r="Z1488">
        <f>SUMPRODUCT((Emissions_Industry!Z69:Z77&gt;Emissions_Industry!Z18:Z26+0.000000001)*(Mitigation_Industry!Z645&gt;0))</f>
        <v>0</v>
      </c>
      <c r="AA1488">
        <f>SUMPRODUCT((Emissions_Industry!AA69:AA77&gt;Emissions_Industry!AA18:AA26+0.000000001)*(Mitigation_Industry!AA645&gt;0))</f>
        <v>0</v>
      </c>
      <c r="AB1488">
        <f>SUMPRODUCT((Emissions_Industry!AB69:AB77&gt;Emissions_Industry!AB18:AB26+0.000000001)*(Mitigation_Industry!AB645&gt;0))</f>
        <v>0</v>
      </c>
      <c r="AC1488">
        <f>SUMPRODUCT((Emissions_Industry!AC69:AC77&gt;Emissions_Industry!AC18:AC26+0.000000001)*(Mitigation_Industry!AC645&gt;0))</f>
        <v>0</v>
      </c>
      <c r="AD1488">
        <f>SUMPRODUCT((Emissions_Industry!AD69:AD77&gt;Emissions_Industry!AD18:AD26+0.000000001)*(Mitigation_Industry!AD645&gt;0))</f>
        <v>0</v>
      </c>
      <c r="AE1488">
        <f>SUMPRODUCT((Emissions_Industry!AE69:AE77&gt;Emissions_Industry!AE18:AE26+0.000000001)*(Mitigation_Industry!AE645&gt;0))</f>
        <v>0</v>
      </c>
    </row>
    <row r="1489" spans="1:35" x14ac:dyDescent="0.45">
      <c r="A1489" t="s">
        <v>2073</v>
      </c>
      <c r="D1489">
        <v>2</v>
      </c>
      <c r="E1489" t="s">
        <v>2071</v>
      </c>
      <c r="F1489">
        <f>SUM(L1489:AE1489)</f>
        <v>0</v>
      </c>
      <c r="I1489">
        <v>0</v>
      </c>
      <c r="L1489">
        <f>SUMPRODUCT((Emissions_Industry!L81:L89&gt;Emissions_Industry!L30:L38+0.000000001)*(Mitigation_Industry!L645&gt;0))</f>
        <v>0</v>
      </c>
      <c r="M1489">
        <f>SUMPRODUCT((Emissions_Industry!M81:M89&gt;Emissions_Industry!M30:M38+0.000000001)*(Mitigation_Industry!M645&gt;0))</f>
        <v>0</v>
      </c>
      <c r="N1489">
        <f>SUMPRODUCT((Emissions_Industry!N81:N89&gt;Emissions_Industry!N30:N38+0.000000001)*(Mitigation_Industry!N645&gt;0))</f>
        <v>0</v>
      </c>
      <c r="O1489">
        <f>SUMPRODUCT((Emissions_Industry!O81:O89&gt;Emissions_Industry!O30:O38+0.000000001)*(Mitigation_Industry!O645&gt;0))</f>
        <v>0</v>
      </c>
      <c r="P1489">
        <f>SUMPRODUCT((Emissions_Industry!P81:P89&gt;Emissions_Industry!P30:P38+0.000000001)*(Mitigation_Industry!P645&gt;0))</f>
        <v>0</v>
      </c>
      <c r="Q1489">
        <f>SUMPRODUCT((Emissions_Industry!Q81:Q89&gt;Emissions_Industry!Q30:Q38+0.000000001)*(Mitigation_Industry!Q645&gt;0))</f>
        <v>0</v>
      </c>
      <c r="R1489">
        <f>SUMPRODUCT((Emissions_Industry!R81:R89&gt;Emissions_Industry!R30:R38+0.000000001)*(Mitigation_Industry!R645&gt;0))</f>
        <v>0</v>
      </c>
      <c r="S1489">
        <f>SUMPRODUCT((Emissions_Industry!S81:S89&gt;Emissions_Industry!S30:S38+0.000000001)*(Mitigation_Industry!S645&gt;0))</f>
        <v>0</v>
      </c>
      <c r="T1489">
        <f>SUMPRODUCT((Emissions_Industry!T81:T89&gt;Emissions_Industry!T30:T38+0.000000001)*(Mitigation_Industry!T645&gt;0))</f>
        <v>0</v>
      </c>
      <c r="U1489">
        <f>SUMPRODUCT((Emissions_Industry!U81:U89&gt;Emissions_Industry!U30:U38+0.000000001)*(Mitigation_Industry!U645&gt;0))</f>
        <v>0</v>
      </c>
      <c r="V1489">
        <f>SUMPRODUCT((Emissions_Industry!V81:V89&gt;Emissions_Industry!V30:V38+0.000000001)*(Mitigation_Industry!V645&gt;0))</f>
        <v>0</v>
      </c>
      <c r="W1489">
        <f>SUMPRODUCT((Emissions_Industry!W81:W89&gt;Emissions_Industry!W30:W38+0.000000001)*(Mitigation_Industry!W645&gt;0))</f>
        <v>0</v>
      </c>
      <c r="X1489">
        <f>SUMPRODUCT((Emissions_Industry!X81:X89&gt;Emissions_Industry!X30:X38+0.000000001)*(Mitigation_Industry!X645&gt;0))</f>
        <v>0</v>
      </c>
      <c r="Y1489">
        <f>SUMPRODUCT((Emissions_Industry!Y81:Y89&gt;Emissions_Industry!Y30:Y38+0.000000001)*(Mitigation_Industry!Y645&gt;0))</f>
        <v>0</v>
      </c>
      <c r="Z1489">
        <f>SUMPRODUCT((Emissions_Industry!Z81:Z89&gt;Emissions_Industry!Z30:Z38+0.000000001)*(Mitigation_Industry!Z645&gt;0))</f>
        <v>0</v>
      </c>
      <c r="AA1489">
        <f>SUMPRODUCT((Emissions_Industry!AA81:AA89&gt;Emissions_Industry!AA30:AA38+0.000000001)*(Mitigation_Industry!AA645&gt;0))</f>
        <v>0</v>
      </c>
      <c r="AB1489">
        <f>SUMPRODUCT((Emissions_Industry!AB81:AB89&gt;Emissions_Industry!AB30:AB38+0.000000001)*(Mitigation_Industry!AB645&gt;0))</f>
        <v>0</v>
      </c>
      <c r="AC1489">
        <f>SUMPRODUCT((Emissions_Industry!AC81:AC89&gt;Emissions_Industry!AC30:AC38+0.000000001)*(Mitigation_Industry!AC645&gt;0))</f>
        <v>0</v>
      </c>
      <c r="AD1489">
        <f>SUMPRODUCT((Emissions_Industry!AD81:AD89&gt;Emissions_Industry!AD30:AD38+0.000000001)*(Mitigation_Industry!AD645&gt;0))</f>
        <v>0</v>
      </c>
      <c r="AE1489">
        <f>SUMPRODUCT((Emissions_Industry!AE81:AE89&gt;Emissions_Industry!AE30:AE38+0.000000001)*(Mitigation_Industry!AE645&gt;0))</f>
        <v>0</v>
      </c>
    </row>
    <row r="1490" spans="1:35" x14ac:dyDescent="0.45">
      <c r="A1490" t="s">
        <v>2074</v>
      </c>
      <c r="D1490">
        <v>2</v>
      </c>
      <c r="E1490" t="s">
        <v>2071</v>
      </c>
      <c r="F1490">
        <f>SUM(L1490:AE1490)</f>
        <v>0</v>
      </c>
      <c r="I1490">
        <v>0</v>
      </c>
      <c r="L1490">
        <f>SUMPRODUCT((Emissions_Industry!L93:L101&gt;Emissions_Industry!L42:L50+0.000000001)*(Mitigation_Industry!L645&gt;0))</f>
        <v>0</v>
      </c>
      <c r="M1490">
        <f>SUMPRODUCT((Emissions_Industry!M93:M101&gt;Emissions_Industry!M42:M50+0.000000001)*(Mitigation_Industry!M645&gt;0))</f>
        <v>0</v>
      </c>
      <c r="N1490">
        <f>SUMPRODUCT((Emissions_Industry!N93:N101&gt;Emissions_Industry!N42:N50+0.000000001)*(Mitigation_Industry!N645&gt;0))</f>
        <v>0</v>
      </c>
      <c r="O1490">
        <f>SUMPRODUCT((Emissions_Industry!O93:O101&gt;Emissions_Industry!O42:O50+0.000000001)*(Mitigation_Industry!O645&gt;0))</f>
        <v>0</v>
      </c>
      <c r="P1490">
        <f>SUMPRODUCT((Emissions_Industry!P93:P101&gt;Emissions_Industry!P42:P50+0.000000001)*(Mitigation_Industry!P645&gt;0))</f>
        <v>0</v>
      </c>
      <c r="Q1490">
        <f>SUMPRODUCT((Emissions_Industry!Q93:Q101&gt;Emissions_Industry!Q42:Q50+0.000000001)*(Mitigation_Industry!Q645&gt;0))</f>
        <v>0</v>
      </c>
      <c r="R1490">
        <f>SUMPRODUCT((Emissions_Industry!R93:R101&gt;Emissions_Industry!R42:R50+0.000000001)*(Mitigation_Industry!R645&gt;0))</f>
        <v>0</v>
      </c>
      <c r="S1490">
        <f>SUMPRODUCT((Emissions_Industry!S93:S101&gt;Emissions_Industry!S42:S50+0.000000001)*(Mitigation_Industry!S645&gt;0))</f>
        <v>0</v>
      </c>
      <c r="T1490">
        <f>SUMPRODUCT((Emissions_Industry!T93:T101&gt;Emissions_Industry!T42:T50+0.000000001)*(Mitigation_Industry!T645&gt;0))</f>
        <v>0</v>
      </c>
      <c r="U1490">
        <f>SUMPRODUCT((Emissions_Industry!U93:U101&gt;Emissions_Industry!U42:U50+0.000000001)*(Mitigation_Industry!U645&gt;0))</f>
        <v>0</v>
      </c>
      <c r="V1490">
        <f>SUMPRODUCT((Emissions_Industry!V93:V101&gt;Emissions_Industry!V42:V50+0.000000001)*(Mitigation_Industry!V645&gt;0))</f>
        <v>0</v>
      </c>
      <c r="W1490">
        <f>SUMPRODUCT((Emissions_Industry!W93:W101&gt;Emissions_Industry!W42:W50+0.000000001)*(Mitigation_Industry!W645&gt;0))</f>
        <v>0</v>
      </c>
      <c r="X1490">
        <f>SUMPRODUCT((Emissions_Industry!X93:X101&gt;Emissions_Industry!X42:X50+0.000000001)*(Mitigation_Industry!X645&gt;0))</f>
        <v>0</v>
      </c>
      <c r="Y1490">
        <f>SUMPRODUCT((Emissions_Industry!Y93:Y101&gt;Emissions_Industry!Y42:Y50+0.000000001)*(Mitigation_Industry!Y645&gt;0))</f>
        <v>0</v>
      </c>
      <c r="Z1490">
        <f>SUMPRODUCT((Emissions_Industry!Z93:Z101&gt;Emissions_Industry!Z42:Z50+0.000000001)*(Mitigation_Industry!Z645&gt;0))</f>
        <v>0</v>
      </c>
      <c r="AA1490">
        <f>SUMPRODUCT((Emissions_Industry!AA93:AA101&gt;Emissions_Industry!AA42:AA50+0.000000001)*(Mitigation_Industry!AA645&gt;0))</f>
        <v>0</v>
      </c>
      <c r="AB1490">
        <f>SUMPRODUCT((Emissions_Industry!AB93:AB101&gt;Emissions_Industry!AB42:AB50+0.000000001)*(Mitigation_Industry!AB645&gt;0))</f>
        <v>0</v>
      </c>
      <c r="AC1490">
        <f>SUMPRODUCT((Emissions_Industry!AC93:AC101&gt;Emissions_Industry!AC42:AC50+0.000000001)*(Mitigation_Industry!AC645&gt;0))</f>
        <v>0</v>
      </c>
      <c r="AD1490">
        <f>SUMPRODUCT((Emissions_Industry!AD93:AD101&gt;Emissions_Industry!AD42:AD50+0.000000001)*(Mitigation_Industry!AD645&gt;0))</f>
        <v>0</v>
      </c>
      <c r="AE1490">
        <f>SUMPRODUCT((Emissions_Industry!AE93:AE101&gt;Emissions_Industry!AE42:AE50+0.000000001)*(Mitigation_Industry!AE645&gt;0))</f>
        <v>0</v>
      </c>
    </row>
    <row r="1492" spans="1:35" x14ac:dyDescent="0.45">
      <c r="A1492" t="s">
        <v>2076</v>
      </c>
    </row>
    <row r="1495" spans="1:35" x14ac:dyDescent="0.45">
      <c r="A1495" s="52" t="s">
        <v>2335</v>
      </c>
    </row>
    <row r="1496" spans="1:35" x14ac:dyDescent="0.45">
      <c r="A1496" t="s">
        <v>2452</v>
      </c>
      <c r="D1496" s="92">
        <f>MAX(F1498:F1533)</f>
        <v>0</v>
      </c>
      <c r="F1496" t="s">
        <v>2453</v>
      </c>
    </row>
    <row r="1497" spans="1:35" x14ac:dyDescent="0.45">
      <c r="A1497" s="50" t="s">
        <v>1505</v>
      </c>
      <c r="B1497" s="50"/>
      <c r="C1497" s="50"/>
      <c r="D1497" s="50" t="s">
        <v>47</v>
      </c>
      <c r="E1497" s="50" t="s">
        <v>1156</v>
      </c>
      <c r="F1497" s="50" t="s">
        <v>2336</v>
      </c>
      <c r="G1497" s="50"/>
      <c r="H1497" s="50"/>
      <c r="I1497" s="50" t="s">
        <v>1506</v>
      </c>
      <c r="J1497" s="50"/>
      <c r="K1497" s="50">
        <v>2021</v>
      </c>
      <c r="L1497" s="50">
        <v>2022</v>
      </c>
      <c r="M1497" s="50">
        <v>2023</v>
      </c>
      <c r="N1497" s="50">
        <v>2024</v>
      </c>
      <c r="O1497" s="50">
        <v>2025</v>
      </c>
      <c r="P1497" s="50">
        <v>2026</v>
      </c>
      <c r="Q1497" s="50">
        <v>2027</v>
      </c>
      <c r="R1497" s="50">
        <v>2028</v>
      </c>
      <c r="S1497" s="50">
        <v>2029</v>
      </c>
      <c r="T1497" s="50">
        <v>2030</v>
      </c>
      <c r="U1497" s="50">
        <v>2031</v>
      </c>
      <c r="V1497" s="50">
        <v>2032</v>
      </c>
      <c r="W1497" s="50">
        <v>2033</v>
      </c>
      <c r="X1497" s="50">
        <v>2034</v>
      </c>
      <c r="Y1497" s="50">
        <v>2035</v>
      </c>
      <c r="Z1497" s="50">
        <v>2036</v>
      </c>
      <c r="AA1497" s="50">
        <v>2037</v>
      </c>
      <c r="AB1497" s="50">
        <v>2038</v>
      </c>
      <c r="AC1497" s="50">
        <v>2039</v>
      </c>
      <c r="AD1497" s="50">
        <v>2040</v>
      </c>
      <c r="AE1497" s="50">
        <v>2041</v>
      </c>
      <c r="AF1497" s="50">
        <v>2042</v>
      </c>
      <c r="AG1497" s="50">
        <v>2043</v>
      </c>
      <c r="AH1497" s="50">
        <v>2044</v>
      </c>
      <c r="AI1497" s="50">
        <v>2045</v>
      </c>
    </row>
    <row r="1498" spans="1:35" x14ac:dyDescent="0.45">
      <c r="A1498" t="s">
        <v>2337</v>
      </c>
      <c r="D1498">
        <v>1</v>
      </c>
      <c r="E1498" t="s">
        <v>1161</v>
      </c>
      <c r="F1498">
        <f>MAX(MAX(L1498:AE1498),-MIN(L1498:AE1498))</f>
        <v>0</v>
      </c>
      <c r="I1498">
        <v>0</v>
      </c>
      <c r="L1498">
        <f>SUMPRODUCT(ABS(Rebate_Industry!L40:L47))*(Rebate_Industry!L6=0)</f>
        <v>0</v>
      </c>
      <c r="M1498">
        <f>SUMPRODUCT(ABS(Rebate_Industry!M40:M47))*(Rebate_Industry!M6=0)</f>
        <v>0</v>
      </c>
      <c r="N1498">
        <f>SUMPRODUCT(ABS(Rebate_Industry!N40:N47))*(Rebate_Industry!N6=0)</f>
        <v>0</v>
      </c>
      <c r="O1498">
        <f>SUMPRODUCT(ABS(Rebate_Industry!O40:O47))*(Rebate_Industry!O6=0)</f>
        <v>0</v>
      </c>
      <c r="P1498">
        <f>SUMPRODUCT(ABS(Rebate_Industry!P40:P47))*(Rebate_Industry!P6=0)</f>
        <v>0</v>
      </c>
      <c r="Q1498">
        <f>SUMPRODUCT(ABS(Rebate_Industry!Q40:Q47))*(Rebate_Industry!Q6=0)</f>
        <v>0</v>
      </c>
      <c r="R1498">
        <f>SUMPRODUCT(ABS(Rebate_Industry!R40:R47))*(Rebate_Industry!R6=0)</f>
        <v>0</v>
      </c>
      <c r="S1498">
        <f>SUMPRODUCT(ABS(Rebate_Industry!S40:S47))*(Rebate_Industry!S6=0)</f>
        <v>0</v>
      </c>
      <c r="T1498">
        <f>SUMPRODUCT(ABS(Rebate_Industry!T40:T47))*(Rebate_Industry!T6=0)</f>
        <v>0</v>
      </c>
      <c r="U1498">
        <f>SUMPRODUCT(ABS(Rebate_Industry!U40:U47))*(Rebate_Industry!U6=0)</f>
        <v>0</v>
      </c>
      <c r="V1498">
        <f>SUMPRODUCT(ABS(Rebate_Industry!V40:V47))*(Rebate_Industry!V6=0)</f>
        <v>0</v>
      </c>
      <c r="W1498">
        <f>SUMPRODUCT(ABS(Rebate_Industry!W40:W47))*(Rebate_Industry!W6=0)</f>
        <v>0</v>
      </c>
      <c r="X1498">
        <f>SUMPRODUCT(ABS(Rebate_Industry!X40:X47))*(Rebate_Industry!X6=0)</f>
        <v>0</v>
      </c>
      <c r="Y1498">
        <f>SUMPRODUCT(ABS(Rebate_Industry!Y40:Y47))*(Rebate_Industry!Y6=0)</f>
        <v>0</v>
      </c>
      <c r="Z1498">
        <f>SUMPRODUCT(ABS(Rebate_Industry!Z40:Z47))*(Rebate_Industry!Z6=0)</f>
        <v>0</v>
      </c>
      <c r="AA1498">
        <f>SUMPRODUCT(ABS(Rebate_Industry!AA40:AA47))*(Rebate_Industry!AA6=0)</f>
        <v>0</v>
      </c>
      <c r="AB1498">
        <f>SUMPRODUCT(ABS(Rebate_Industry!AB40:AB47))*(Rebate_Industry!AB6=0)</f>
        <v>0</v>
      </c>
      <c r="AC1498">
        <f>SUMPRODUCT(ABS(Rebate_Industry!AC40:AC47))*(Rebate_Industry!AC6=0)</f>
        <v>0</v>
      </c>
      <c r="AD1498">
        <f>SUMPRODUCT(ABS(Rebate_Industry!AD40:AD47))*(Rebate_Industry!AD6=0)</f>
        <v>0</v>
      </c>
      <c r="AE1498">
        <f>SUMPRODUCT(ABS(Rebate_Industry!AE40:AE47))*(Rebate_Industry!AE6=0)</f>
        <v>0</v>
      </c>
    </row>
    <row r="1499" spans="1:35" x14ac:dyDescent="0.45">
      <c r="A1499" t="s">
        <v>2338</v>
      </c>
      <c r="D1499">
        <v>1</v>
      </c>
      <c r="E1499" t="s">
        <v>2071</v>
      </c>
      <c r="F1499">
        <f>SUM(L1499:AE1499)</f>
        <v>0</v>
      </c>
      <c r="I1499">
        <v>0</v>
      </c>
      <c r="L1499">
        <f>SUMPRODUCT((Rebate_Industry!L50:L57&lt;-0.000000001)+(Rebate_Industry!L50:L57&gt;Rebate_Industry!L20:L27+0.000000001))</f>
        <v>0</v>
      </c>
      <c r="M1499">
        <f>SUMPRODUCT((Rebate_Industry!M50:M57&lt;-0.000000001)+(Rebate_Industry!M50:M57&gt;Rebate_Industry!M20:M27+0.000000001))</f>
        <v>0</v>
      </c>
      <c r="N1499">
        <f>SUMPRODUCT((Rebate_Industry!N50:N57&lt;-0.000000001)+(Rebate_Industry!N50:N57&gt;Rebate_Industry!N20:N27+0.000000001))</f>
        <v>0</v>
      </c>
      <c r="O1499">
        <f>SUMPRODUCT((Rebate_Industry!O50:O57&lt;-0.000000001)+(Rebate_Industry!O50:O57&gt;Rebate_Industry!O20:O27+0.000000001))</f>
        <v>0</v>
      </c>
      <c r="P1499">
        <f>SUMPRODUCT((Rebate_Industry!P50:P57&lt;-0.000000001)+(Rebate_Industry!P50:P57&gt;Rebate_Industry!P20:P27+0.000000001))</f>
        <v>0</v>
      </c>
      <c r="Q1499">
        <f>SUMPRODUCT((Rebate_Industry!Q50:Q57&lt;-0.000000001)+(Rebate_Industry!Q50:Q57&gt;Rebate_Industry!Q20:Q27+0.000000001))</f>
        <v>0</v>
      </c>
      <c r="R1499">
        <f>SUMPRODUCT((Rebate_Industry!R50:R57&lt;-0.000000001)+(Rebate_Industry!R50:R57&gt;Rebate_Industry!R20:R27+0.000000001))</f>
        <v>0</v>
      </c>
      <c r="S1499">
        <f>SUMPRODUCT((Rebate_Industry!S50:S57&lt;-0.000000001)+(Rebate_Industry!S50:S57&gt;Rebate_Industry!S20:S27+0.000000001))</f>
        <v>0</v>
      </c>
      <c r="T1499">
        <f>SUMPRODUCT((Rebate_Industry!T50:T57&lt;-0.000000001)+(Rebate_Industry!T50:T57&gt;Rebate_Industry!T20:T27+0.000000001))</f>
        <v>0</v>
      </c>
      <c r="U1499">
        <f>SUMPRODUCT((Rebate_Industry!U50:U57&lt;-0.000000001)+(Rebate_Industry!U50:U57&gt;Rebate_Industry!U20:U27+0.000000001))</f>
        <v>0</v>
      </c>
      <c r="V1499">
        <f>SUMPRODUCT((Rebate_Industry!V50:V57&lt;-0.000000001)+(Rebate_Industry!V50:V57&gt;Rebate_Industry!V20:V27+0.000000001))</f>
        <v>0</v>
      </c>
      <c r="W1499">
        <f>SUMPRODUCT((Rebate_Industry!W50:W57&lt;-0.000000001)+(Rebate_Industry!W50:W57&gt;Rebate_Industry!W20:W27+0.000000001))</f>
        <v>0</v>
      </c>
      <c r="X1499">
        <f>SUMPRODUCT((Rebate_Industry!X50:X57&lt;-0.000000001)+(Rebate_Industry!X50:X57&gt;Rebate_Industry!X20:X27+0.000000001))</f>
        <v>0</v>
      </c>
      <c r="Y1499">
        <f>SUMPRODUCT((Rebate_Industry!Y50:Y57&lt;-0.000000001)+(Rebate_Industry!Y50:Y57&gt;Rebate_Industry!Y20:Y27+0.000000001))</f>
        <v>0</v>
      </c>
      <c r="Z1499">
        <f>SUMPRODUCT((Rebate_Industry!Z50:Z57&lt;-0.000000001)+(Rebate_Industry!Z50:Z57&gt;Rebate_Industry!Z20:Z27+0.000000001))</f>
        <v>0</v>
      </c>
      <c r="AA1499">
        <f>SUMPRODUCT((Rebate_Industry!AA50:AA57&lt;-0.000000001)+(Rebate_Industry!AA50:AA57&gt;Rebate_Industry!AA20:AA27+0.000000001))</f>
        <v>0</v>
      </c>
      <c r="AB1499">
        <f>SUMPRODUCT((Rebate_Industry!AB50:AB57&lt;-0.000000001)+(Rebate_Industry!AB50:AB57&gt;Rebate_Industry!AB20:AB27+0.000000001))</f>
        <v>0</v>
      </c>
      <c r="AC1499">
        <f>SUMPRODUCT((Rebate_Industry!AC50:AC57&lt;-0.000000001)+(Rebate_Industry!AC50:AC57&gt;Rebate_Industry!AC20:AC27+0.000000001))</f>
        <v>0</v>
      </c>
      <c r="AD1499">
        <f>SUMPRODUCT((Rebate_Industry!AD50:AD57&lt;-0.000000001)+(Rebate_Industry!AD50:AD57&gt;Rebate_Industry!AD20:AD27+0.000000001))</f>
        <v>0</v>
      </c>
      <c r="AE1499">
        <f>SUMPRODUCT((Rebate_Industry!AE50:AE57&lt;-0.000000001)+(Rebate_Industry!AE50:AE57&gt;Rebate_Industry!AE20:AE27+0.000000001))</f>
        <v>0</v>
      </c>
    </row>
    <row r="1500" spans="1:35" x14ac:dyDescent="0.45">
      <c r="A1500" t="s">
        <v>2339</v>
      </c>
      <c r="D1500">
        <v>1</v>
      </c>
      <c r="E1500" t="s">
        <v>2071</v>
      </c>
      <c r="F1500">
        <f>SUM(L1500:AE1500)</f>
        <v>0</v>
      </c>
      <c r="I1500">
        <v>0</v>
      </c>
      <c r="L1500">
        <f>SUMPRODUCT((Rebate_Industry!L84:L92&gt;Mitigation_Industry!L17:L25+0.000000001)+(Rebate_Industry!L84:L92&lt;Mitigation_Industry!L7:L15-0.000000001))</f>
        <v>0</v>
      </c>
      <c r="M1500">
        <f>SUMPRODUCT((Rebate_Industry!M84:M92&gt;Mitigation_Industry!M17:M25+0.000000001)+(Rebate_Industry!M84:M92&lt;Mitigation_Industry!M7:M15-0.000000001))</f>
        <v>0</v>
      </c>
      <c r="N1500">
        <f>SUMPRODUCT((Rebate_Industry!N84:N92&gt;Mitigation_Industry!N17:N25+0.000000001)+(Rebate_Industry!N84:N92&lt;Mitigation_Industry!N7:N15-0.000000001))</f>
        <v>0</v>
      </c>
      <c r="O1500">
        <f>SUMPRODUCT((Rebate_Industry!O84:O92&gt;Mitigation_Industry!O17:O25+0.000000001)+(Rebate_Industry!O84:O92&lt;Mitigation_Industry!O7:O15-0.000000001))</f>
        <v>0</v>
      </c>
      <c r="P1500">
        <f>SUMPRODUCT((Rebate_Industry!P84:P92&gt;Mitigation_Industry!P17:P25+0.000000001)+(Rebate_Industry!P84:P92&lt;Mitigation_Industry!P7:P15-0.000000001))</f>
        <v>0</v>
      </c>
      <c r="Q1500">
        <f>SUMPRODUCT((Rebate_Industry!Q84:Q92&gt;Mitigation_Industry!Q17:Q25+0.000000001)+(Rebate_Industry!Q84:Q92&lt;Mitigation_Industry!Q7:Q15-0.000000001))</f>
        <v>0</v>
      </c>
      <c r="R1500">
        <f>SUMPRODUCT((Rebate_Industry!R84:R92&gt;Mitigation_Industry!R17:R25+0.000000001)+(Rebate_Industry!R84:R92&lt;Mitigation_Industry!R7:R15-0.000000001))</f>
        <v>0</v>
      </c>
      <c r="S1500">
        <f>SUMPRODUCT((Rebate_Industry!S84:S92&gt;Mitigation_Industry!S17:S25+0.000000001)+(Rebate_Industry!S84:S92&lt;Mitigation_Industry!S7:S15-0.000000001))</f>
        <v>0</v>
      </c>
      <c r="T1500">
        <f>SUMPRODUCT((Rebate_Industry!T84:T92&gt;Mitigation_Industry!T17:T25+0.000000001)+(Rebate_Industry!T84:T92&lt;Mitigation_Industry!T7:T15-0.000000001))</f>
        <v>0</v>
      </c>
      <c r="U1500">
        <f>SUMPRODUCT((Rebate_Industry!U84:U92&gt;Mitigation_Industry!U17:U25+0.000000001)+(Rebate_Industry!U84:U92&lt;Mitigation_Industry!U7:U15-0.000000001))</f>
        <v>0</v>
      </c>
      <c r="V1500">
        <f>SUMPRODUCT((Rebate_Industry!V84:V92&gt;Mitigation_Industry!V17:V25+0.000000001)+(Rebate_Industry!V84:V92&lt;Mitigation_Industry!V7:V15-0.000000001))</f>
        <v>0</v>
      </c>
      <c r="W1500">
        <f>SUMPRODUCT((Rebate_Industry!W84:W92&gt;Mitigation_Industry!W17:W25+0.000000001)+(Rebate_Industry!W84:W92&lt;Mitigation_Industry!W7:W15-0.000000001))</f>
        <v>0</v>
      </c>
      <c r="X1500">
        <f>SUMPRODUCT((Rebate_Industry!X84:X92&gt;Mitigation_Industry!X17:X25+0.000000001)+(Rebate_Industry!X84:X92&lt;Mitigation_Industry!X7:X15-0.000000001))</f>
        <v>0</v>
      </c>
      <c r="Y1500">
        <f>SUMPRODUCT((Rebate_Industry!Y84:Y92&gt;Mitigation_Industry!Y17:Y25+0.000000001)+(Rebate_Industry!Y84:Y92&lt;Mitigation_Industry!Y7:Y15-0.000000001))</f>
        <v>0</v>
      </c>
      <c r="Z1500">
        <f>SUMPRODUCT((Rebate_Industry!Z84:Z92&gt;Mitigation_Industry!Z17:Z25+0.000000001)+(Rebate_Industry!Z84:Z92&lt;Mitigation_Industry!Z7:Z15-0.000000001))</f>
        <v>0</v>
      </c>
      <c r="AA1500">
        <f>SUMPRODUCT((Rebate_Industry!AA84:AA92&gt;Mitigation_Industry!AA17:AA25+0.000000001)+(Rebate_Industry!AA84:AA92&lt;Mitigation_Industry!AA7:AA15-0.000000001))</f>
        <v>0</v>
      </c>
      <c r="AB1500">
        <f>SUMPRODUCT((Rebate_Industry!AB84:AB92&gt;Mitigation_Industry!AB17:AB25+0.000000001)+(Rebate_Industry!AB84:AB92&lt;Mitigation_Industry!AB7:AB15-0.000000001))</f>
        <v>0</v>
      </c>
      <c r="AC1500">
        <f>SUMPRODUCT((Rebate_Industry!AC84:AC92&gt;Mitigation_Industry!AC17:AC25+0.000000001)+(Rebate_Industry!AC84:AC92&lt;Mitigation_Industry!AC7:AC15-0.000000001))</f>
        <v>0</v>
      </c>
      <c r="AD1500">
        <f>SUMPRODUCT((Rebate_Industry!AD84:AD92&gt;Mitigation_Industry!AD17:AD25+0.000000001)+(Rebate_Industry!AD84:AD92&lt;Mitigation_Industry!AD7:AD15-0.000000001))</f>
        <v>0</v>
      </c>
      <c r="AE1500">
        <f>SUMPRODUCT((Rebate_Industry!AE84:AE92&gt;Mitigation_Industry!AE17:AE25+0.000000001)+(Rebate_Industry!AE84:AE92&lt;Mitigation_Industry!AE7:AE15-0.000000001))</f>
        <v>0</v>
      </c>
    </row>
    <row r="1501" spans="1:35" x14ac:dyDescent="0.45">
      <c r="A1501" t="s">
        <v>2340</v>
      </c>
      <c r="D1501">
        <v>1</v>
      </c>
      <c r="E1501" t="s">
        <v>2071</v>
      </c>
      <c r="F1501">
        <f>SUM(L1501:AE1501)</f>
        <v>0</v>
      </c>
      <c r="I1501">
        <v>0</v>
      </c>
      <c r="L1501">
        <f>SUMPRODUCT((Rebate_Industry!L98:L106&gt;Mitigation_Industry!L77:L85+0.000000001)+(Rebate_Industry!L98:L106&lt;Mitigation_Industry!L67:L75-0.000000001))</f>
        <v>0</v>
      </c>
      <c r="M1501">
        <f>SUMPRODUCT((Rebate_Industry!M98:M106&gt;Mitigation_Industry!M77:M85+0.000000001)+(Rebate_Industry!M98:M106&lt;Mitigation_Industry!M67:M75-0.000000001))</f>
        <v>0</v>
      </c>
      <c r="N1501">
        <f>SUMPRODUCT((Rebate_Industry!N98:N106&gt;Mitigation_Industry!N77:N85+0.000000001)+(Rebate_Industry!N98:N106&lt;Mitigation_Industry!N67:N75-0.000000001))</f>
        <v>0</v>
      </c>
      <c r="O1501">
        <f>SUMPRODUCT((Rebate_Industry!O98:O106&gt;Mitigation_Industry!O77:O85+0.000000001)+(Rebate_Industry!O98:O106&lt;Mitigation_Industry!O67:O75-0.000000001))</f>
        <v>0</v>
      </c>
      <c r="P1501">
        <f>SUMPRODUCT((Rebate_Industry!P98:P106&gt;Mitigation_Industry!P77:P85+0.000000001)+(Rebate_Industry!P98:P106&lt;Mitigation_Industry!P67:P75-0.000000001))</f>
        <v>0</v>
      </c>
      <c r="Q1501">
        <f>SUMPRODUCT((Rebate_Industry!Q98:Q106&gt;Mitigation_Industry!Q77:Q85+0.000000001)+(Rebate_Industry!Q98:Q106&lt;Mitigation_Industry!Q67:Q75-0.000000001))</f>
        <v>0</v>
      </c>
      <c r="R1501">
        <f>SUMPRODUCT((Rebate_Industry!R98:R106&gt;Mitigation_Industry!R77:R85+0.000000001)+(Rebate_Industry!R98:R106&lt;Mitigation_Industry!R67:R75-0.000000001))</f>
        <v>0</v>
      </c>
      <c r="S1501">
        <f>SUMPRODUCT((Rebate_Industry!S98:S106&gt;Mitigation_Industry!S77:S85+0.000000001)+(Rebate_Industry!S98:S106&lt;Mitigation_Industry!S67:S75-0.000000001))</f>
        <v>0</v>
      </c>
      <c r="T1501">
        <f>SUMPRODUCT((Rebate_Industry!T98:T106&gt;Mitigation_Industry!T77:T85+0.000000001)+(Rebate_Industry!T98:T106&lt;Mitigation_Industry!T67:T75-0.000000001))</f>
        <v>0</v>
      </c>
      <c r="U1501">
        <f>SUMPRODUCT((Rebate_Industry!U98:U106&gt;Mitigation_Industry!U77:U85+0.000000001)+(Rebate_Industry!U98:U106&lt;Mitigation_Industry!U67:U75-0.000000001))</f>
        <v>0</v>
      </c>
      <c r="V1501">
        <f>SUMPRODUCT((Rebate_Industry!V98:V106&gt;Mitigation_Industry!V77:V85+0.000000001)+(Rebate_Industry!V98:V106&lt;Mitigation_Industry!V67:V75-0.000000001))</f>
        <v>0</v>
      </c>
      <c r="W1501">
        <f>SUMPRODUCT((Rebate_Industry!W98:W106&gt;Mitigation_Industry!W77:W85+0.000000001)+(Rebate_Industry!W98:W106&lt;Mitigation_Industry!W67:W75-0.000000001))</f>
        <v>0</v>
      </c>
      <c r="X1501">
        <f>SUMPRODUCT((Rebate_Industry!X98:X106&gt;Mitigation_Industry!X77:X85+0.000000001)+(Rebate_Industry!X98:X106&lt;Mitigation_Industry!X67:X75-0.000000001))</f>
        <v>0</v>
      </c>
      <c r="Y1501">
        <f>SUMPRODUCT((Rebate_Industry!Y98:Y106&gt;Mitigation_Industry!Y77:Y85+0.000000001)+(Rebate_Industry!Y98:Y106&lt;Mitigation_Industry!Y67:Y75-0.000000001))</f>
        <v>0</v>
      </c>
      <c r="Z1501">
        <f>SUMPRODUCT((Rebate_Industry!Z98:Z106&gt;Mitigation_Industry!Z77:Z85+0.000000001)+(Rebate_Industry!Z98:Z106&lt;Mitigation_Industry!Z67:Z75-0.000000001))</f>
        <v>0</v>
      </c>
      <c r="AA1501">
        <f>SUMPRODUCT((Rebate_Industry!AA98:AA106&gt;Mitigation_Industry!AA77:AA85+0.000000001)+(Rebate_Industry!AA98:AA106&lt;Mitigation_Industry!AA67:AA75-0.000000001))</f>
        <v>0</v>
      </c>
      <c r="AB1501">
        <f>SUMPRODUCT((Rebate_Industry!AB98:AB106&gt;Mitigation_Industry!AB77:AB85+0.000000001)+(Rebate_Industry!AB98:AB106&lt;Mitigation_Industry!AB67:AB75-0.000000001))</f>
        <v>0</v>
      </c>
      <c r="AC1501">
        <f>SUMPRODUCT((Rebate_Industry!AC98:AC106&gt;Mitigation_Industry!AC77:AC85+0.000000001)+(Rebate_Industry!AC98:AC106&lt;Mitigation_Industry!AC67:AC75-0.000000001))</f>
        <v>0</v>
      </c>
      <c r="AD1501">
        <f>SUMPRODUCT((Rebate_Industry!AD98:AD106&gt;Mitigation_Industry!AD77:AD85+0.000000001)+(Rebate_Industry!AD98:AD106&lt;Mitigation_Industry!AD67:AD75-0.000000001))</f>
        <v>0</v>
      </c>
      <c r="AE1501">
        <f>SUMPRODUCT((Rebate_Industry!AE98:AE106&gt;Mitigation_Industry!AE77:AE85+0.000000001)+(Rebate_Industry!AE98:AE106&lt;Mitigation_Industry!AE67:AE75-0.000000001))</f>
        <v>0</v>
      </c>
    </row>
    <row r="1502" spans="1:35" x14ac:dyDescent="0.45">
      <c r="A1502" t="s">
        <v>2341</v>
      </c>
      <c r="D1502">
        <v>1</v>
      </c>
      <c r="E1502" t="s">
        <v>2071</v>
      </c>
      <c r="F1502">
        <f>SUM(L1502:AE1502)</f>
        <v>0</v>
      </c>
      <c r="I1502">
        <v>0</v>
      </c>
      <c r="L1502">
        <f>SUMPRODUCT((Rebate_Industry!L112:L120&gt;Mitigation_Industry!L137:L145+0.000000001)+(Rebate_Industry!L112:L120&lt;Mitigation_Industry!L127:L135-0.000000001))</f>
        <v>0</v>
      </c>
      <c r="M1502">
        <f>SUMPRODUCT((Rebate_Industry!M112:M120&gt;Mitigation_Industry!M137:M145+0.000000001)+(Rebate_Industry!M112:M120&lt;Mitigation_Industry!M127:M135-0.000000001))</f>
        <v>0</v>
      </c>
      <c r="N1502">
        <f>SUMPRODUCT((Rebate_Industry!N112:N120&gt;Mitigation_Industry!N137:N145+0.000000001)+(Rebate_Industry!N112:N120&lt;Mitigation_Industry!N127:N135-0.000000001))</f>
        <v>0</v>
      </c>
      <c r="O1502">
        <f>SUMPRODUCT((Rebate_Industry!O112:O120&gt;Mitigation_Industry!O137:O145+0.000000001)+(Rebate_Industry!O112:O120&lt;Mitigation_Industry!O127:O135-0.000000001))</f>
        <v>0</v>
      </c>
      <c r="P1502">
        <f>SUMPRODUCT((Rebate_Industry!P112:P120&gt;Mitigation_Industry!P137:P145+0.000000001)+(Rebate_Industry!P112:P120&lt;Mitigation_Industry!P127:P135-0.000000001))</f>
        <v>0</v>
      </c>
      <c r="Q1502">
        <f>SUMPRODUCT((Rebate_Industry!Q112:Q120&gt;Mitigation_Industry!Q137:Q145+0.000000001)+(Rebate_Industry!Q112:Q120&lt;Mitigation_Industry!Q127:Q135-0.000000001))</f>
        <v>0</v>
      </c>
      <c r="R1502">
        <f>SUMPRODUCT((Rebate_Industry!R112:R120&gt;Mitigation_Industry!R137:R145+0.000000001)+(Rebate_Industry!R112:R120&lt;Mitigation_Industry!R127:R135-0.000000001))</f>
        <v>0</v>
      </c>
      <c r="S1502">
        <f>SUMPRODUCT((Rebate_Industry!S112:S120&gt;Mitigation_Industry!S137:S145+0.000000001)+(Rebate_Industry!S112:S120&lt;Mitigation_Industry!S127:S135-0.000000001))</f>
        <v>0</v>
      </c>
      <c r="T1502">
        <f>SUMPRODUCT((Rebate_Industry!T112:T120&gt;Mitigation_Industry!T137:T145+0.000000001)+(Rebate_Industry!T112:T120&lt;Mitigation_Industry!T127:T135-0.000000001))</f>
        <v>0</v>
      </c>
      <c r="U1502">
        <f>SUMPRODUCT((Rebate_Industry!U112:U120&gt;Mitigation_Industry!U137:U145+0.000000001)+(Rebate_Industry!U112:U120&lt;Mitigation_Industry!U127:U135-0.000000001))</f>
        <v>0</v>
      </c>
      <c r="V1502">
        <f>SUMPRODUCT((Rebate_Industry!V112:V120&gt;Mitigation_Industry!V137:V145+0.000000001)+(Rebate_Industry!V112:V120&lt;Mitigation_Industry!V127:V135-0.000000001))</f>
        <v>0</v>
      </c>
      <c r="W1502">
        <f>SUMPRODUCT((Rebate_Industry!W112:W120&gt;Mitigation_Industry!W137:W145+0.000000001)+(Rebate_Industry!W112:W120&lt;Mitigation_Industry!W127:W135-0.000000001))</f>
        <v>0</v>
      </c>
      <c r="X1502">
        <f>SUMPRODUCT((Rebate_Industry!X112:X120&gt;Mitigation_Industry!X137:X145+0.000000001)+(Rebate_Industry!X112:X120&lt;Mitigation_Industry!X127:X135-0.000000001))</f>
        <v>0</v>
      </c>
      <c r="Y1502">
        <f>SUMPRODUCT((Rebate_Industry!Y112:Y120&gt;Mitigation_Industry!Y137:Y145+0.000000001)+(Rebate_Industry!Y112:Y120&lt;Mitigation_Industry!Y127:Y135-0.000000001))</f>
        <v>0</v>
      </c>
      <c r="Z1502">
        <f>SUMPRODUCT((Rebate_Industry!Z112:Z120&gt;Mitigation_Industry!Z137:Z145+0.000000001)+(Rebate_Industry!Z112:Z120&lt;Mitigation_Industry!Z127:Z135-0.000000001))</f>
        <v>0</v>
      </c>
      <c r="AA1502">
        <f>SUMPRODUCT((Rebate_Industry!AA112:AA120&gt;Mitigation_Industry!AA137:AA145+0.000000001)+(Rebate_Industry!AA112:AA120&lt;Mitigation_Industry!AA127:AA135-0.000000001))</f>
        <v>0</v>
      </c>
      <c r="AB1502">
        <f>SUMPRODUCT((Rebate_Industry!AB112:AB120&gt;Mitigation_Industry!AB137:AB145+0.000000001)+(Rebate_Industry!AB112:AB120&lt;Mitigation_Industry!AB127:AB135-0.000000001))</f>
        <v>0</v>
      </c>
      <c r="AC1502">
        <f>SUMPRODUCT((Rebate_Industry!AC112:AC120&gt;Mitigation_Industry!AC137:AC145+0.000000001)+(Rebate_Industry!AC112:AC120&lt;Mitigation_Industry!AC127:AC135-0.000000001))</f>
        <v>0</v>
      </c>
      <c r="AD1502">
        <f>SUMPRODUCT((Rebate_Industry!AD112:AD120&gt;Mitigation_Industry!AD137:AD145+0.000000001)+(Rebate_Industry!AD112:AD120&lt;Mitigation_Industry!AD127:AD135-0.000000001))</f>
        <v>0</v>
      </c>
      <c r="AE1502">
        <f>SUMPRODUCT((Rebate_Industry!AE112:AE120&gt;Mitigation_Industry!AE137:AE145+0.000000001)+(Rebate_Industry!AE112:AE120&lt;Mitigation_Industry!AE127:AE135-0.000000001))</f>
        <v>0</v>
      </c>
    </row>
    <row r="1503" spans="1:35" x14ac:dyDescent="0.45">
      <c r="A1503" t="s">
        <v>2342</v>
      </c>
      <c r="D1503">
        <v>1</v>
      </c>
      <c r="E1503" t="s">
        <v>2071</v>
      </c>
      <c r="F1503">
        <f>SUM(L1503:AE1503)</f>
        <v>0</v>
      </c>
      <c r="I1503">
        <v>0</v>
      </c>
      <c r="L1503">
        <f>SUMPRODUCT((Rebate_Industry!L126:L134&gt;Mitigation_Industry!L197:L205+0.000000001)+(Rebate_Industry!L126:L134&lt;Mitigation_Industry!L187:L195-0.000000001))</f>
        <v>0</v>
      </c>
      <c r="M1503">
        <f>SUMPRODUCT((Rebate_Industry!M126:M134&gt;Mitigation_Industry!M197:M205+0.000000001)+(Rebate_Industry!M126:M134&lt;Mitigation_Industry!M187:M195-0.000000001))</f>
        <v>0</v>
      </c>
      <c r="N1503">
        <f>SUMPRODUCT((Rebate_Industry!N126:N134&gt;Mitigation_Industry!N197:N205+0.000000001)+(Rebate_Industry!N126:N134&lt;Mitigation_Industry!N187:N195-0.000000001))</f>
        <v>0</v>
      </c>
      <c r="O1503">
        <f>SUMPRODUCT((Rebate_Industry!O126:O134&gt;Mitigation_Industry!O197:O205+0.000000001)+(Rebate_Industry!O126:O134&lt;Mitigation_Industry!O187:O195-0.000000001))</f>
        <v>0</v>
      </c>
      <c r="P1503">
        <f>SUMPRODUCT((Rebate_Industry!P126:P134&gt;Mitigation_Industry!P197:P205+0.000000001)+(Rebate_Industry!P126:P134&lt;Mitigation_Industry!P187:P195-0.000000001))</f>
        <v>0</v>
      </c>
      <c r="Q1503">
        <f>SUMPRODUCT((Rebate_Industry!Q126:Q134&gt;Mitigation_Industry!Q197:Q205+0.000000001)+(Rebate_Industry!Q126:Q134&lt;Mitigation_Industry!Q187:Q195-0.000000001))</f>
        <v>0</v>
      </c>
      <c r="R1503">
        <f>SUMPRODUCT((Rebate_Industry!R126:R134&gt;Mitigation_Industry!R197:R205+0.000000001)+(Rebate_Industry!R126:R134&lt;Mitigation_Industry!R187:R195-0.000000001))</f>
        <v>0</v>
      </c>
      <c r="S1503">
        <f>SUMPRODUCT((Rebate_Industry!S126:S134&gt;Mitigation_Industry!S197:S205+0.000000001)+(Rebate_Industry!S126:S134&lt;Mitigation_Industry!S187:S195-0.000000001))</f>
        <v>0</v>
      </c>
      <c r="T1503">
        <f>SUMPRODUCT((Rebate_Industry!T126:T134&gt;Mitigation_Industry!T197:T205+0.000000001)+(Rebate_Industry!T126:T134&lt;Mitigation_Industry!T187:T195-0.000000001))</f>
        <v>0</v>
      </c>
      <c r="U1503">
        <f>SUMPRODUCT((Rebate_Industry!U126:U134&gt;Mitigation_Industry!U197:U205+0.000000001)+(Rebate_Industry!U126:U134&lt;Mitigation_Industry!U187:U195-0.000000001))</f>
        <v>0</v>
      </c>
      <c r="V1503">
        <f>SUMPRODUCT((Rebate_Industry!V126:V134&gt;Mitigation_Industry!V197:V205+0.000000001)+(Rebate_Industry!V126:V134&lt;Mitigation_Industry!V187:V195-0.000000001))</f>
        <v>0</v>
      </c>
      <c r="W1503">
        <f>SUMPRODUCT((Rebate_Industry!W126:W134&gt;Mitigation_Industry!W197:W205+0.000000001)+(Rebate_Industry!W126:W134&lt;Mitigation_Industry!W187:W195-0.000000001))</f>
        <v>0</v>
      </c>
      <c r="X1503">
        <f>SUMPRODUCT((Rebate_Industry!X126:X134&gt;Mitigation_Industry!X197:X205+0.000000001)+(Rebate_Industry!X126:X134&lt;Mitigation_Industry!X187:X195-0.000000001))</f>
        <v>0</v>
      </c>
      <c r="Y1503">
        <f>SUMPRODUCT((Rebate_Industry!Y126:Y134&gt;Mitigation_Industry!Y197:Y205+0.000000001)+(Rebate_Industry!Y126:Y134&lt;Mitigation_Industry!Y187:Y195-0.000000001))</f>
        <v>0</v>
      </c>
      <c r="Z1503">
        <f>SUMPRODUCT((Rebate_Industry!Z126:Z134&gt;Mitigation_Industry!Z197:Z205+0.000000001)+(Rebate_Industry!Z126:Z134&lt;Mitigation_Industry!Z187:Z195-0.000000001))</f>
        <v>0</v>
      </c>
      <c r="AA1503">
        <f>SUMPRODUCT((Rebate_Industry!AA126:AA134&gt;Mitigation_Industry!AA197:AA205+0.000000001)+(Rebate_Industry!AA126:AA134&lt;Mitigation_Industry!AA187:AA195-0.000000001))</f>
        <v>0</v>
      </c>
      <c r="AB1503">
        <f>SUMPRODUCT((Rebate_Industry!AB126:AB134&gt;Mitigation_Industry!AB197:AB205+0.000000001)+(Rebate_Industry!AB126:AB134&lt;Mitigation_Industry!AB187:AB195-0.000000001))</f>
        <v>0</v>
      </c>
      <c r="AC1503">
        <f>SUMPRODUCT((Rebate_Industry!AC126:AC134&gt;Mitigation_Industry!AC197:AC205+0.000000001)+(Rebate_Industry!AC126:AC134&lt;Mitigation_Industry!AC187:AC195-0.000000001))</f>
        <v>0</v>
      </c>
      <c r="AD1503">
        <f>SUMPRODUCT((Rebate_Industry!AD126:AD134&gt;Mitigation_Industry!AD197:AD205+0.000000001)+(Rebate_Industry!AD126:AD134&lt;Mitigation_Industry!AD187:AD195-0.000000001))</f>
        <v>0</v>
      </c>
      <c r="AE1503">
        <f>SUMPRODUCT((Rebate_Industry!AE126:AE134&gt;Mitigation_Industry!AE197:AE205+0.000000001)+(Rebate_Industry!AE126:AE134&lt;Mitigation_Industry!AE187:AE195-0.000000001))</f>
        <v>0</v>
      </c>
    </row>
    <row r="1504" spans="1:35" x14ac:dyDescent="0.45">
      <c r="A1504" t="s">
        <v>2343</v>
      </c>
      <c r="D1504">
        <v>1</v>
      </c>
      <c r="E1504" t="s">
        <v>2071</v>
      </c>
      <c r="F1504">
        <f>SUM(L1504:AE1504)</f>
        <v>0</v>
      </c>
      <c r="I1504">
        <v>0</v>
      </c>
      <c r="L1504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04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04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04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04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04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04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04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04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04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04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04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04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04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04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04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04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04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04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04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05" spans="1:31" x14ac:dyDescent="0.45">
      <c r="A1505" t="s">
        <v>2344</v>
      </c>
      <c r="D1505">
        <v>1</v>
      </c>
      <c r="E1505" t="s">
        <v>1161</v>
      </c>
      <c r="F1505">
        <f>MAX(MAX(L1505:AE1505),-MIN(L1505:AE1505))</f>
        <v>0</v>
      </c>
      <c r="I1505">
        <v>0</v>
      </c>
      <c r="L1505">
        <f>Rebate_Industry!L78-SUM(Rebate_Industry!L70:L77)</f>
        <v>0</v>
      </c>
      <c r="M1505">
        <f>Rebate_Industry!M78-SUM(Rebate_Industry!M70:M77)</f>
        <v>0</v>
      </c>
      <c r="N1505">
        <f>Rebate_Industry!N78-SUM(Rebate_Industry!N70:N77)</f>
        <v>0</v>
      </c>
      <c r="O1505">
        <f>Rebate_Industry!O78-SUM(Rebate_Industry!O70:O77)</f>
        <v>0</v>
      </c>
      <c r="P1505">
        <f>Rebate_Industry!P78-SUM(Rebate_Industry!P70:P77)</f>
        <v>0</v>
      </c>
      <c r="Q1505">
        <f>Rebate_Industry!Q78-SUM(Rebate_Industry!Q70:Q77)</f>
        <v>0</v>
      </c>
      <c r="R1505">
        <f>Rebate_Industry!R78-SUM(Rebate_Industry!R70:R77)</f>
        <v>0</v>
      </c>
      <c r="S1505">
        <f>Rebate_Industry!S78-SUM(Rebate_Industry!S70:S77)</f>
        <v>0</v>
      </c>
      <c r="T1505">
        <f>Rebate_Industry!T78-SUM(Rebate_Industry!T70:T77)</f>
        <v>0</v>
      </c>
      <c r="U1505">
        <f>Rebate_Industry!U78-SUM(Rebate_Industry!U70:U77)</f>
        <v>0</v>
      </c>
      <c r="V1505">
        <f>Rebate_Industry!V78-SUM(Rebate_Industry!V70:V77)</f>
        <v>0</v>
      </c>
      <c r="W1505">
        <f>Rebate_Industry!W78-SUM(Rebate_Industry!W70:W77)</f>
        <v>0</v>
      </c>
      <c r="X1505">
        <f>Rebate_Industry!X78-SUM(Rebate_Industry!X70:X77)</f>
        <v>0</v>
      </c>
      <c r="Y1505">
        <f>Rebate_Industry!Y78-SUM(Rebate_Industry!Y70:Y77)</f>
        <v>0</v>
      </c>
      <c r="Z1505">
        <f>Rebate_Industry!Z78-SUM(Rebate_Industry!Z70:Z77)</f>
        <v>0</v>
      </c>
      <c r="AA1505">
        <f>Rebate_Industry!AA78-SUM(Rebate_Industry!AA70:AA77)</f>
        <v>0</v>
      </c>
      <c r="AB1505">
        <f>Rebate_Industry!AB78-SUM(Rebate_Industry!AB70:AB77)</f>
        <v>0</v>
      </c>
      <c r="AC1505">
        <f>Rebate_Industry!AC78-SUM(Rebate_Industry!AC70:AC77)</f>
        <v>0</v>
      </c>
      <c r="AD1505">
        <f>Rebate_Industry!AD78-SUM(Rebate_Industry!AD70:AD77)</f>
        <v>0</v>
      </c>
      <c r="AE1505">
        <f>Rebate_Industry!AE78-SUM(Rebate_Industry!AE70:AE77)</f>
        <v>0</v>
      </c>
    </row>
    <row r="1506" spans="1:31" x14ac:dyDescent="0.45">
      <c r="A1506" t="s">
        <v>2345</v>
      </c>
      <c r="D1506">
        <v>1</v>
      </c>
      <c r="E1506" t="s">
        <v>1161</v>
      </c>
      <c r="F1506">
        <f>MAX(MAX(L1506:AE1506),-MIN(L1506:AE1506))</f>
        <v>0</v>
      </c>
      <c r="I1506">
        <v>0</v>
      </c>
      <c r="L1506">
        <f>Rebate_Industry!L78-(Rebate_Industry!L81+Rebate_Industry!L95+Rebate_Industry!L109+Rebate_Industry!L123)</f>
        <v>0</v>
      </c>
      <c r="M1506">
        <f>Rebate_Industry!M78-(Rebate_Industry!M81+Rebate_Industry!M95+Rebate_Industry!M109+Rebate_Industry!M123)</f>
        <v>0</v>
      </c>
      <c r="N1506">
        <f>Rebate_Industry!N78-(Rebate_Industry!N81+Rebate_Industry!N95+Rebate_Industry!N109+Rebate_Industry!N123)</f>
        <v>0</v>
      </c>
      <c r="O1506">
        <f>Rebate_Industry!O78-(Rebate_Industry!O81+Rebate_Industry!O95+Rebate_Industry!O109+Rebate_Industry!O123)</f>
        <v>0</v>
      </c>
      <c r="P1506">
        <f>Rebate_Industry!P78-(Rebate_Industry!P81+Rebate_Industry!P95+Rebate_Industry!P109+Rebate_Industry!P123)</f>
        <v>0</v>
      </c>
      <c r="Q1506">
        <f>Rebate_Industry!Q78-(Rebate_Industry!Q81+Rebate_Industry!Q95+Rebate_Industry!Q109+Rebate_Industry!Q123)</f>
        <v>0</v>
      </c>
      <c r="R1506">
        <f>Rebate_Industry!R78-(Rebate_Industry!R81+Rebate_Industry!R95+Rebate_Industry!R109+Rebate_Industry!R123)</f>
        <v>0</v>
      </c>
      <c r="S1506">
        <f>Rebate_Industry!S78-(Rebate_Industry!S81+Rebate_Industry!S95+Rebate_Industry!S109+Rebate_Industry!S123)</f>
        <v>0</v>
      </c>
      <c r="T1506">
        <f>Rebate_Industry!T78-(Rebate_Industry!T81+Rebate_Industry!T95+Rebate_Industry!T109+Rebate_Industry!T123)</f>
        <v>0</v>
      </c>
      <c r="U1506">
        <f>Rebate_Industry!U78-(Rebate_Industry!U81+Rebate_Industry!U95+Rebate_Industry!U109+Rebate_Industry!U123)</f>
        <v>0</v>
      </c>
      <c r="V1506">
        <f>Rebate_Industry!V78-(Rebate_Industry!V81+Rebate_Industry!V95+Rebate_Industry!V109+Rebate_Industry!V123)</f>
        <v>0</v>
      </c>
      <c r="W1506">
        <f>Rebate_Industry!W78-(Rebate_Industry!W81+Rebate_Industry!W95+Rebate_Industry!W109+Rebate_Industry!W123)</f>
        <v>0</v>
      </c>
      <c r="X1506">
        <f>Rebate_Industry!X78-(Rebate_Industry!X81+Rebate_Industry!X95+Rebate_Industry!X109+Rebate_Industry!X123)</f>
        <v>0</v>
      </c>
      <c r="Y1506">
        <f>Rebate_Industry!Y78-(Rebate_Industry!Y81+Rebate_Industry!Y95+Rebate_Industry!Y109+Rebate_Industry!Y123)</f>
        <v>0</v>
      </c>
      <c r="Z1506">
        <f>Rebate_Industry!Z78-(Rebate_Industry!Z81+Rebate_Industry!Z95+Rebate_Industry!Z109+Rebate_Industry!Z123)</f>
        <v>0</v>
      </c>
      <c r="AA1506">
        <f>Rebate_Industry!AA78-(Rebate_Industry!AA81+Rebate_Industry!AA95+Rebate_Industry!AA109+Rebate_Industry!AA123)</f>
        <v>0</v>
      </c>
      <c r="AB1506">
        <f>Rebate_Industry!AB78-(Rebate_Industry!AB81+Rebate_Industry!AB95+Rebate_Industry!AB109+Rebate_Industry!AB123)</f>
        <v>0</v>
      </c>
      <c r="AC1506">
        <f>Rebate_Industry!AC78-(Rebate_Industry!AC81+Rebate_Industry!AC95+Rebate_Industry!AC109+Rebate_Industry!AC123)</f>
        <v>0</v>
      </c>
      <c r="AD1506">
        <f>Rebate_Industry!AD78-(Rebate_Industry!AD81+Rebate_Industry!AD95+Rebate_Industry!AD109+Rebate_Industry!AD123)</f>
        <v>0</v>
      </c>
      <c r="AE1506">
        <f>Rebate_Industry!AE78-(Rebate_Industry!AE81+Rebate_Industry!AE95+Rebate_Industry!AE109+Rebate_Industry!AE123)</f>
        <v>0</v>
      </c>
    </row>
    <row r="1507" spans="1:31" x14ac:dyDescent="0.45">
      <c r="A1507" t="s">
        <v>2346</v>
      </c>
      <c r="D1507">
        <v>1</v>
      </c>
      <c r="E1507" t="s">
        <v>1161</v>
      </c>
      <c r="F1507">
        <f>MAX(MAX(L1507:AE1507),-MIN(L1507:AE1507))</f>
        <v>0</v>
      </c>
      <c r="I1507">
        <v>0</v>
      </c>
      <c r="L1507">
        <f>Rebate_Industry!L139-(Rebate_Industry!L137-Rebate_Industry!L78)</f>
        <v>0</v>
      </c>
      <c r="M1507">
        <f>Rebate_Industry!M139-(Rebate_Industry!M137-Rebate_Industry!M78)</f>
        <v>0</v>
      </c>
      <c r="N1507">
        <f>Rebate_Industry!N139-(Rebate_Industry!N137-Rebate_Industry!N78)</f>
        <v>0</v>
      </c>
      <c r="O1507">
        <f>Rebate_Industry!O139-(Rebate_Industry!O137-Rebate_Industry!O78)</f>
        <v>0</v>
      </c>
      <c r="P1507">
        <f>Rebate_Industry!P139-(Rebate_Industry!P137-Rebate_Industry!P78)</f>
        <v>0</v>
      </c>
      <c r="Q1507">
        <f>Rebate_Industry!Q139-(Rebate_Industry!Q137-Rebate_Industry!Q78)</f>
        <v>0</v>
      </c>
      <c r="R1507">
        <f>Rebate_Industry!R139-(Rebate_Industry!R137-Rebate_Industry!R78)</f>
        <v>0</v>
      </c>
      <c r="S1507">
        <f>Rebate_Industry!S139-(Rebate_Industry!S137-Rebate_Industry!S78)</f>
        <v>0</v>
      </c>
      <c r="T1507">
        <f>Rebate_Industry!T139-(Rebate_Industry!T137-Rebate_Industry!T78)</f>
        <v>0</v>
      </c>
      <c r="U1507">
        <f>Rebate_Industry!U139-(Rebate_Industry!U137-Rebate_Industry!U78)</f>
        <v>0</v>
      </c>
      <c r="V1507">
        <f>Rebate_Industry!V139-(Rebate_Industry!V137-Rebate_Industry!V78)</f>
        <v>0</v>
      </c>
      <c r="W1507">
        <f>Rebate_Industry!W139-(Rebate_Industry!W137-Rebate_Industry!W78)</f>
        <v>0</v>
      </c>
      <c r="X1507">
        <f>Rebate_Industry!X139-(Rebate_Industry!X137-Rebate_Industry!X78)</f>
        <v>0</v>
      </c>
      <c r="Y1507">
        <f>Rebate_Industry!Y139-(Rebate_Industry!Y137-Rebate_Industry!Y78)</f>
        <v>0</v>
      </c>
      <c r="Z1507">
        <f>Rebate_Industry!Z139-(Rebate_Industry!Z137-Rebate_Industry!Z78)</f>
        <v>0</v>
      </c>
      <c r="AA1507">
        <f>Rebate_Industry!AA139-(Rebate_Industry!AA137-Rebate_Industry!AA78)</f>
        <v>0</v>
      </c>
      <c r="AB1507">
        <f>Rebate_Industry!AB139-(Rebate_Industry!AB137-Rebate_Industry!AB78)</f>
        <v>0</v>
      </c>
      <c r="AC1507">
        <f>Rebate_Industry!AC139-(Rebate_Industry!AC137-Rebate_Industry!AC78)</f>
        <v>0</v>
      </c>
      <c r="AD1507">
        <f>Rebate_Industry!AD139-(Rebate_Industry!AD137-Rebate_Industry!AD78)</f>
        <v>0</v>
      </c>
      <c r="AE1507">
        <f>Rebate_Industry!AE139-(Rebate_Industry!AE137-Rebate_Industry!AE78)</f>
        <v>0</v>
      </c>
    </row>
    <row r="1508" spans="1:31" x14ac:dyDescent="0.45">
      <c r="A1508" t="s">
        <v>2337</v>
      </c>
      <c r="D1508">
        <v>2</v>
      </c>
      <c r="E1508" t="s">
        <v>1161</v>
      </c>
      <c r="F1508">
        <f>MAX(MAX(L1508:AE1508),-MIN(L1508:AE1508))</f>
        <v>0</v>
      </c>
      <c r="I1508">
        <v>0</v>
      </c>
      <c r="L1508">
        <f>SUMPRODUCT(ABS(Rebate_Industry!L179:L186))*(Rebate_Industry!L145=0)</f>
        <v>0</v>
      </c>
      <c r="M1508">
        <f>SUMPRODUCT(ABS(Rebate_Industry!M179:M186))*(Rebate_Industry!M145=0)</f>
        <v>0</v>
      </c>
      <c r="N1508">
        <f>SUMPRODUCT(ABS(Rebate_Industry!N179:N186))*(Rebate_Industry!N145=0)</f>
        <v>0</v>
      </c>
      <c r="O1508">
        <f>SUMPRODUCT(ABS(Rebate_Industry!O179:O186))*(Rebate_Industry!O145=0)</f>
        <v>0</v>
      </c>
      <c r="P1508">
        <f>SUMPRODUCT(ABS(Rebate_Industry!P179:P186))*(Rebate_Industry!P145=0)</f>
        <v>0</v>
      </c>
      <c r="Q1508">
        <f>SUMPRODUCT(ABS(Rebate_Industry!Q179:Q186))*(Rebate_Industry!Q145=0)</f>
        <v>0</v>
      </c>
      <c r="R1508">
        <f>SUMPRODUCT(ABS(Rebate_Industry!R179:R186))*(Rebate_Industry!R145=0)</f>
        <v>0</v>
      </c>
      <c r="S1508">
        <f>SUMPRODUCT(ABS(Rebate_Industry!S179:S186))*(Rebate_Industry!S145=0)</f>
        <v>0</v>
      </c>
      <c r="T1508">
        <f>SUMPRODUCT(ABS(Rebate_Industry!T179:T186))*(Rebate_Industry!T145=0)</f>
        <v>0</v>
      </c>
      <c r="U1508">
        <f>SUMPRODUCT(ABS(Rebate_Industry!U179:U186))*(Rebate_Industry!U145=0)</f>
        <v>0</v>
      </c>
      <c r="V1508">
        <f>SUMPRODUCT(ABS(Rebate_Industry!V179:V186))*(Rebate_Industry!V145=0)</f>
        <v>0</v>
      </c>
      <c r="W1508">
        <f>SUMPRODUCT(ABS(Rebate_Industry!W179:W186))*(Rebate_Industry!W145=0)</f>
        <v>0</v>
      </c>
      <c r="X1508">
        <f>SUMPRODUCT(ABS(Rebate_Industry!X179:X186))*(Rebate_Industry!X145=0)</f>
        <v>0</v>
      </c>
      <c r="Y1508">
        <f>SUMPRODUCT(ABS(Rebate_Industry!Y179:Y186))*(Rebate_Industry!Y145=0)</f>
        <v>0</v>
      </c>
      <c r="Z1508">
        <f>SUMPRODUCT(ABS(Rebate_Industry!Z179:Z186))*(Rebate_Industry!Z145=0)</f>
        <v>0</v>
      </c>
      <c r="AA1508">
        <f>SUMPRODUCT(ABS(Rebate_Industry!AA179:AA186))*(Rebate_Industry!AA145=0)</f>
        <v>0</v>
      </c>
      <c r="AB1508">
        <f>SUMPRODUCT(ABS(Rebate_Industry!AB179:AB186))*(Rebate_Industry!AB145=0)</f>
        <v>0</v>
      </c>
      <c r="AC1508">
        <f>SUMPRODUCT(ABS(Rebate_Industry!AC179:AC186))*(Rebate_Industry!AC145=0)</f>
        <v>0</v>
      </c>
      <c r="AD1508">
        <f>SUMPRODUCT(ABS(Rebate_Industry!AD179:AD186))*(Rebate_Industry!AD145=0)</f>
        <v>0</v>
      </c>
      <c r="AE1508">
        <f>SUMPRODUCT(ABS(Rebate_Industry!AE179:AE186))*(Rebate_Industry!AE145=0)</f>
        <v>0</v>
      </c>
    </row>
    <row r="1509" spans="1:31" x14ac:dyDescent="0.45">
      <c r="A1509" t="s">
        <v>2338</v>
      </c>
      <c r="D1509">
        <v>2</v>
      </c>
      <c r="E1509" t="s">
        <v>2071</v>
      </c>
      <c r="F1509">
        <f>SUM(L1509:AE1509)</f>
        <v>0</v>
      </c>
      <c r="I1509">
        <v>0</v>
      </c>
      <c r="L1509">
        <f>SUMPRODUCT((Rebate_Industry!L189:L196&lt;-0.000000001)+(Rebate_Industry!L189:L196&gt;Rebate_Industry!L159:L166+0.000000001))</f>
        <v>0</v>
      </c>
      <c r="M1509">
        <f>SUMPRODUCT((Rebate_Industry!M189:M196&lt;-0.000000001)+(Rebate_Industry!M189:M196&gt;Rebate_Industry!M159:M166+0.000000001))</f>
        <v>0</v>
      </c>
      <c r="N1509">
        <f>SUMPRODUCT((Rebate_Industry!N189:N196&lt;-0.000000001)+(Rebate_Industry!N189:N196&gt;Rebate_Industry!N159:N166+0.000000001))</f>
        <v>0</v>
      </c>
      <c r="O1509">
        <f>SUMPRODUCT((Rebate_Industry!O189:O196&lt;-0.000000001)+(Rebate_Industry!O189:O196&gt;Rebate_Industry!O159:O166+0.000000001))</f>
        <v>0</v>
      </c>
      <c r="P1509">
        <f>SUMPRODUCT((Rebate_Industry!P189:P196&lt;-0.000000001)+(Rebate_Industry!P189:P196&gt;Rebate_Industry!P159:P166+0.000000001))</f>
        <v>0</v>
      </c>
      <c r="Q1509">
        <f>SUMPRODUCT((Rebate_Industry!Q189:Q196&lt;-0.000000001)+(Rebate_Industry!Q189:Q196&gt;Rebate_Industry!Q159:Q166+0.000000001))</f>
        <v>0</v>
      </c>
      <c r="R1509">
        <f>SUMPRODUCT((Rebate_Industry!R189:R196&lt;-0.000000001)+(Rebate_Industry!R189:R196&gt;Rebate_Industry!R159:R166+0.000000001))</f>
        <v>0</v>
      </c>
      <c r="S1509">
        <f>SUMPRODUCT((Rebate_Industry!S189:S196&lt;-0.000000001)+(Rebate_Industry!S189:S196&gt;Rebate_Industry!S159:S166+0.000000001))</f>
        <v>0</v>
      </c>
      <c r="T1509">
        <f>SUMPRODUCT((Rebate_Industry!T189:T196&lt;-0.000000001)+(Rebate_Industry!T189:T196&gt;Rebate_Industry!T159:T166+0.000000001))</f>
        <v>0</v>
      </c>
      <c r="U1509">
        <f>SUMPRODUCT((Rebate_Industry!U189:U196&lt;-0.000000001)+(Rebate_Industry!U189:U196&gt;Rebate_Industry!U159:U166+0.000000001))</f>
        <v>0</v>
      </c>
      <c r="V1509">
        <f>SUMPRODUCT((Rebate_Industry!V189:V196&lt;-0.000000001)+(Rebate_Industry!V189:V196&gt;Rebate_Industry!V159:V166+0.000000001))</f>
        <v>0</v>
      </c>
      <c r="W1509">
        <f>SUMPRODUCT((Rebate_Industry!W189:W196&lt;-0.000000001)+(Rebate_Industry!W189:W196&gt;Rebate_Industry!W159:W166+0.000000001))</f>
        <v>0</v>
      </c>
      <c r="X1509">
        <f>SUMPRODUCT((Rebate_Industry!X189:X196&lt;-0.000000001)+(Rebate_Industry!X189:X196&gt;Rebate_Industry!X159:X166+0.000000001))</f>
        <v>0</v>
      </c>
      <c r="Y1509">
        <f>SUMPRODUCT((Rebate_Industry!Y189:Y196&lt;-0.000000001)+(Rebate_Industry!Y189:Y196&gt;Rebate_Industry!Y159:Y166+0.000000001))</f>
        <v>0</v>
      </c>
      <c r="Z1509">
        <f>SUMPRODUCT((Rebate_Industry!Z189:Z196&lt;-0.000000001)+(Rebate_Industry!Z189:Z196&gt;Rebate_Industry!Z159:Z166+0.000000001))</f>
        <v>0</v>
      </c>
      <c r="AA1509">
        <f>SUMPRODUCT((Rebate_Industry!AA189:AA196&lt;-0.000000001)+(Rebate_Industry!AA189:AA196&gt;Rebate_Industry!AA159:AA166+0.000000001))</f>
        <v>0</v>
      </c>
      <c r="AB1509">
        <f>SUMPRODUCT((Rebate_Industry!AB189:AB196&lt;-0.000000001)+(Rebate_Industry!AB189:AB196&gt;Rebate_Industry!AB159:AB166+0.000000001))</f>
        <v>0</v>
      </c>
      <c r="AC1509">
        <f>SUMPRODUCT((Rebate_Industry!AC189:AC196&lt;-0.000000001)+(Rebate_Industry!AC189:AC196&gt;Rebate_Industry!AC159:AC166+0.000000001))</f>
        <v>0</v>
      </c>
      <c r="AD1509">
        <f>SUMPRODUCT((Rebate_Industry!AD189:AD196&lt;-0.000000001)+(Rebate_Industry!AD189:AD196&gt;Rebate_Industry!AD159:AD166+0.000000001))</f>
        <v>0</v>
      </c>
      <c r="AE1509">
        <f>SUMPRODUCT((Rebate_Industry!AE189:AE196&lt;-0.000000001)+(Rebate_Industry!AE189:AE196&gt;Rebate_Industry!AE159:AE166+0.000000001))</f>
        <v>0</v>
      </c>
    </row>
    <row r="1510" spans="1:31" x14ac:dyDescent="0.45">
      <c r="A1510" t="s">
        <v>2339</v>
      </c>
      <c r="D1510">
        <v>2</v>
      </c>
      <c r="E1510" t="s">
        <v>2071</v>
      </c>
      <c r="F1510">
        <f>SUM(L1510:AE1510)</f>
        <v>0</v>
      </c>
      <c r="I1510">
        <v>0</v>
      </c>
      <c r="L1510">
        <f>SUMPRODUCT((Rebate_Industry!L223:L231&gt;Mitigation_Industry!L416:L424+0.000000001)+(Rebate_Industry!L223:L231&lt;Mitigation_Industry!L406:L414-0.000000001))</f>
        <v>0</v>
      </c>
      <c r="M1510">
        <f>SUMPRODUCT((Rebate_Industry!M223:M231&gt;Mitigation_Industry!M416:M424+0.000000001)+(Rebate_Industry!M223:M231&lt;Mitigation_Industry!M406:M414-0.000000001))</f>
        <v>0</v>
      </c>
      <c r="N1510">
        <f>SUMPRODUCT((Rebate_Industry!N223:N231&gt;Mitigation_Industry!N416:N424+0.000000001)+(Rebate_Industry!N223:N231&lt;Mitigation_Industry!N406:N414-0.000000001))</f>
        <v>0</v>
      </c>
      <c r="O1510">
        <f>SUMPRODUCT((Rebate_Industry!O223:O231&gt;Mitigation_Industry!O416:O424+0.000000001)+(Rebate_Industry!O223:O231&lt;Mitigation_Industry!O406:O414-0.000000001))</f>
        <v>0</v>
      </c>
      <c r="P1510">
        <f>SUMPRODUCT((Rebate_Industry!P223:P231&gt;Mitigation_Industry!P416:P424+0.000000001)+(Rebate_Industry!P223:P231&lt;Mitigation_Industry!P406:P414-0.000000001))</f>
        <v>0</v>
      </c>
      <c r="Q1510">
        <f>SUMPRODUCT((Rebate_Industry!Q223:Q231&gt;Mitigation_Industry!Q416:Q424+0.000000001)+(Rebate_Industry!Q223:Q231&lt;Mitigation_Industry!Q406:Q414-0.000000001))</f>
        <v>0</v>
      </c>
      <c r="R1510">
        <f>SUMPRODUCT((Rebate_Industry!R223:R231&gt;Mitigation_Industry!R416:R424+0.000000001)+(Rebate_Industry!R223:R231&lt;Mitigation_Industry!R406:R414-0.000000001))</f>
        <v>0</v>
      </c>
      <c r="S1510">
        <f>SUMPRODUCT((Rebate_Industry!S223:S231&gt;Mitigation_Industry!S416:S424+0.000000001)+(Rebate_Industry!S223:S231&lt;Mitigation_Industry!S406:S414-0.000000001))</f>
        <v>0</v>
      </c>
      <c r="T1510">
        <f>SUMPRODUCT((Rebate_Industry!T223:T231&gt;Mitigation_Industry!T416:T424+0.000000001)+(Rebate_Industry!T223:T231&lt;Mitigation_Industry!T406:T414-0.000000001))</f>
        <v>0</v>
      </c>
      <c r="U1510">
        <f>SUMPRODUCT((Rebate_Industry!U223:U231&gt;Mitigation_Industry!U416:U424+0.000000001)+(Rebate_Industry!U223:U231&lt;Mitigation_Industry!U406:U414-0.000000001))</f>
        <v>0</v>
      </c>
      <c r="V1510">
        <f>SUMPRODUCT((Rebate_Industry!V223:V231&gt;Mitigation_Industry!V416:V424+0.000000001)+(Rebate_Industry!V223:V231&lt;Mitigation_Industry!V406:V414-0.000000001))</f>
        <v>0</v>
      </c>
      <c r="W1510">
        <f>SUMPRODUCT((Rebate_Industry!W223:W231&gt;Mitigation_Industry!W416:W424+0.000000001)+(Rebate_Industry!W223:W231&lt;Mitigation_Industry!W406:W414-0.000000001))</f>
        <v>0</v>
      </c>
      <c r="X1510">
        <f>SUMPRODUCT((Rebate_Industry!X223:X231&gt;Mitigation_Industry!X416:X424+0.000000001)+(Rebate_Industry!X223:X231&lt;Mitigation_Industry!X406:X414-0.000000001))</f>
        <v>0</v>
      </c>
      <c r="Y1510">
        <f>SUMPRODUCT((Rebate_Industry!Y223:Y231&gt;Mitigation_Industry!Y416:Y424+0.000000001)+(Rebate_Industry!Y223:Y231&lt;Mitigation_Industry!Y406:Y414-0.000000001))</f>
        <v>0</v>
      </c>
      <c r="Z1510">
        <f>SUMPRODUCT((Rebate_Industry!Z223:Z231&gt;Mitigation_Industry!Z416:Z424+0.000000001)+(Rebate_Industry!Z223:Z231&lt;Mitigation_Industry!Z406:Z414-0.000000001))</f>
        <v>0</v>
      </c>
      <c r="AA1510">
        <f>SUMPRODUCT((Rebate_Industry!AA223:AA231&gt;Mitigation_Industry!AA416:AA424+0.000000001)+(Rebate_Industry!AA223:AA231&lt;Mitigation_Industry!AA406:AA414-0.000000001))</f>
        <v>0</v>
      </c>
      <c r="AB1510">
        <f>SUMPRODUCT((Rebate_Industry!AB223:AB231&gt;Mitigation_Industry!AB416:AB424+0.000000001)+(Rebate_Industry!AB223:AB231&lt;Mitigation_Industry!AB406:AB414-0.000000001))</f>
        <v>0</v>
      </c>
      <c r="AC1510">
        <f>SUMPRODUCT((Rebate_Industry!AC223:AC231&gt;Mitigation_Industry!AC416:AC424+0.000000001)+(Rebate_Industry!AC223:AC231&lt;Mitigation_Industry!AC406:AC414-0.000000001))</f>
        <v>0</v>
      </c>
      <c r="AD1510">
        <f>SUMPRODUCT((Rebate_Industry!AD223:AD231&gt;Mitigation_Industry!AD416:AD424+0.000000001)+(Rebate_Industry!AD223:AD231&lt;Mitigation_Industry!AD406:AD414-0.000000001))</f>
        <v>0</v>
      </c>
      <c r="AE1510">
        <f>SUMPRODUCT((Rebate_Industry!AE223:AE231&gt;Mitigation_Industry!AE416:AE424+0.000000001)+(Rebate_Industry!AE223:AE231&lt;Mitigation_Industry!AE406:AE414-0.000000001))</f>
        <v>0</v>
      </c>
    </row>
    <row r="1511" spans="1:31" x14ac:dyDescent="0.45">
      <c r="A1511" t="s">
        <v>2340</v>
      </c>
      <c r="D1511">
        <v>2</v>
      </c>
      <c r="E1511" t="s">
        <v>2071</v>
      </c>
      <c r="F1511">
        <f>SUM(L1511:AE1511)</f>
        <v>0</v>
      </c>
      <c r="I1511">
        <v>0</v>
      </c>
      <c r="L1511">
        <f>SUMPRODUCT((Rebate_Industry!L237:L245&gt;Mitigation_Industry!L476:L484+0.000000001)+(Rebate_Industry!L237:L245&lt;Mitigation_Industry!L466:L474-0.000000001))</f>
        <v>0</v>
      </c>
      <c r="M1511">
        <f>SUMPRODUCT((Rebate_Industry!M237:M245&gt;Mitigation_Industry!M476:M484+0.000000001)+(Rebate_Industry!M237:M245&lt;Mitigation_Industry!M466:M474-0.000000001))</f>
        <v>0</v>
      </c>
      <c r="N1511">
        <f>SUMPRODUCT((Rebate_Industry!N237:N245&gt;Mitigation_Industry!N476:N484+0.000000001)+(Rebate_Industry!N237:N245&lt;Mitigation_Industry!N466:N474-0.000000001))</f>
        <v>0</v>
      </c>
      <c r="O1511">
        <f>SUMPRODUCT((Rebate_Industry!O237:O245&gt;Mitigation_Industry!O476:O484+0.000000001)+(Rebate_Industry!O237:O245&lt;Mitigation_Industry!O466:O474-0.000000001))</f>
        <v>0</v>
      </c>
      <c r="P1511">
        <f>SUMPRODUCT((Rebate_Industry!P237:P245&gt;Mitigation_Industry!P476:P484+0.000000001)+(Rebate_Industry!P237:P245&lt;Mitigation_Industry!P466:P474-0.000000001))</f>
        <v>0</v>
      </c>
      <c r="Q1511">
        <f>SUMPRODUCT((Rebate_Industry!Q237:Q245&gt;Mitigation_Industry!Q476:Q484+0.000000001)+(Rebate_Industry!Q237:Q245&lt;Mitigation_Industry!Q466:Q474-0.000000001))</f>
        <v>0</v>
      </c>
      <c r="R1511">
        <f>SUMPRODUCT((Rebate_Industry!R237:R245&gt;Mitigation_Industry!R476:R484+0.000000001)+(Rebate_Industry!R237:R245&lt;Mitigation_Industry!R466:R474-0.000000001))</f>
        <v>0</v>
      </c>
      <c r="S1511">
        <f>SUMPRODUCT((Rebate_Industry!S237:S245&gt;Mitigation_Industry!S476:S484+0.000000001)+(Rebate_Industry!S237:S245&lt;Mitigation_Industry!S466:S474-0.000000001))</f>
        <v>0</v>
      </c>
      <c r="T1511">
        <f>SUMPRODUCT((Rebate_Industry!T237:T245&gt;Mitigation_Industry!T476:T484+0.000000001)+(Rebate_Industry!T237:T245&lt;Mitigation_Industry!T466:T474-0.000000001))</f>
        <v>0</v>
      </c>
      <c r="U1511">
        <f>SUMPRODUCT((Rebate_Industry!U237:U245&gt;Mitigation_Industry!U476:U484+0.000000001)+(Rebate_Industry!U237:U245&lt;Mitigation_Industry!U466:U474-0.000000001))</f>
        <v>0</v>
      </c>
      <c r="V1511">
        <f>SUMPRODUCT((Rebate_Industry!V237:V245&gt;Mitigation_Industry!V476:V484+0.000000001)+(Rebate_Industry!V237:V245&lt;Mitigation_Industry!V466:V474-0.000000001))</f>
        <v>0</v>
      </c>
      <c r="W1511">
        <f>SUMPRODUCT((Rebate_Industry!W237:W245&gt;Mitigation_Industry!W476:W484+0.000000001)+(Rebate_Industry!W237:W245&lt;Mitigation_Industry!W466:W474-0.000000001))</f>
        <v>0</v>
      </c>
      <c r="X1511">
        <f>SUMPRODUCT((Rebate_Industry!X237:X245&gt;Mitigation_Industry!X476:X484+0.000000001)+(Rebate_Industry!X237:X245&lt;Mitigation_Industry!X466:X474-0.000000001))</f>
        <v>0</v>
      </c>
      <c r="Y1511">
        <f>SUMPRODUCT((Rebate_Industry!Y237:Y245&gt;Mitigation_Industry!Y476:Y484+0.000000001)+(Rebate_Industry!Y237:Y245&lt;Mitigation_Industry!Y466:Y474-0.000000001))</f>
        <v>0</v>
      </c>
      <c r="Z1511">
        <f>SUMPRODUCT((Rebate_Industry!Z237:Z245&gt;Mitigation_Industry!Z476:Z484+0.000000001)+(Rebate_Industry!Z237:Z245&lt;Mitigation_Industry!Z466:Z474-0.000000001))</f>
        <v>0</v>
      </c>
      <c r="AA1511">
        <f>SUMPRODUCT((Rebate_Industry!AA237:AA245&gt;Mitigation_Industry!AA476:AA484+0.000000001)+(Rebate_Industry!AA237:AA245&lt;Mitigation_Industry!AA466:AA474-0.000000001))</f>
        <v>0</v>
      </c>
      <c r="AB1511">
        <f>SUMPRODUCT((Rebate_Industry!AB237:AB245&gt;Mitigation_Industry!AB476:AB484+0.000000001)+(Rebate_Industry!AB237:AB245&lt;Mitigation_Industry!AB466:AB474-0.000000001))</f>
        <v>0</v>
      </c>
      <c r="AC1511">
        <f>SUMPRODUCT((Rebate_Industry!AC237:AC245&gt;Mitigation_Industry!AC476:AC484+0.000000001)+(Rebate_Industry!AC237:AC245&lt;Mitigation_Industry!AC466:AC474-0.000000001))</f>
        <v>0</v>
      </c>
      <c r="AD1511">
        <f>SUMPRODUCT((Rebate_Industry!AD237:AD245&gt;Mitigation_Industry!AD476:AD484+0.000000001)+(Rebate_Industry!AD237:AD245&lt;Mitigation_Industry!AD466:AD474-0.000000001))</f>
        <v>0</v>
      </c>
      <c r="AE1511">
        <f>SUMPRODUCT((Rebate_Industry!AE237:AE245&gt;Mitigation_Industry!AE476:AE484+0.000000001)+(Rebate_Industry!AE237:AE245&lt;Mitigation_Industry!AE466:AE474-0.000000001))</f>
        <v>0</v>
      </c>
    </row>
    <row r="1512" spans="1:31" x14ac:dyDescent="0.45">
      <c r="A1512" t="s">
        <v>2341</v>
      </c>
      <c r="D1512">
        <v>2</v>
      </c>
      <c r="E1512" t="s">
        <v>2071</v>
      </c>
      <c r="F1512">
        <f>SUM(L1512:AE1512)</f>
        <v>0</v>
      </c>
      <c r="I1512">
        <v>0</v>
      </c>
      <c r="L1512">
        <f>SUMPRODUCT((Rebate_Industry!L251:L259&gt;Mitigation_Industry!L536:L544+0.000000001)+(Rebate_Industry!L251:L259&lt;Mitigation_Industry!L526:L534-0.000000001))</f>
        <v>0</v>
      </c>
      <c r="M1512">
        <f>SUMPRODUCT((Rebate_Industry!M251:M259&gt;Mitigation_Industry!M536:M544+0.000000001)+(Rebate_Industry!M251:M259&lt;Mitigation_Industry!M526:M534-0.000000001))</f>
        <v>0</v>
      </c>
      <c r="N1512">
        <f>SUMPRODUCT((Rebate_Industry!N251:N259&gt;Mitigation_Industry!N536:N544+0.000000001)+(Rebate_Industry!N251:N259&lt;Mitigation_Industry!N526:N534-0.000000001))</f>
        <v>0</v>
      </c>
      <c r="O1512">
        <f>SUMPRODUCT((Rebate_Industry!O251:O259&gt;Mitigation_Industry!O536:O544+0.000000001)+(Rebate_Industry!O251:O259&lt;Mitigation_Industry!O526:O534-0.000000001))</f>
        <v>0</v>
      </c>
      <c r="P1512">
        <f>SUMPRODUCT((Rebate_Industry!P251:P259&gt;Mitigation_Industry!P536:P544+0.000000001)+(Rebate_Industry!P251:P259&lt;Mitigation_Industry!P526:P534-0.000000001))</f>
        <v>0</v>
      </c>
      <c r="Q1512">
        <f>SUMPRODUCT((Rebate_Industry!Q251:Q259&gt;Mitigation_Industry!Q536:Q544+0.000000001)+(Rebate_Industry!Q251:Q259&lt;Mitigation_Industry!Q526:Q534-0.000000001))</f>
        <v>0</v>
      </c>
      <c r="R1512">
        <f>SUMPRODUCT((Rebate_Industry!R251:R259&gt;Mitigation_Industry!R536:R544+0.000000001)+(Rebate_Industry!R251:R259&lt;Mitigation_Industry!R526:R534-0.000000001))</f>
        <v>0</v>
      </c>
      <c r="S1512">
        <f>SUMPRODUCT((Rebate_Industry!S251:S259&gt;Mitigation_Industry!S536:S544+0.000000001)+(Rebate_Industry!S251:S259&lt;Mitigation_Industry!S526:S534-0.000000001))</f>
        <v>0</v>
      </c>
      <c r="T1512">
        <f>SUMPRODUCT((Rebate_Industry!T251:T259&gt;Mitigation_Industry!T536:T544+0.000000001)+(Rebate_Industry!T251:T259&lt;Mitigation_Industry!T526:T534-0.000000001))</f>
        <v>0</v>
      </c>
      <c r="U1512">
        <f>SUMPRODUCT((Rebate_Industry!U251:U259&gt;Mitigation_Industry!U536:U544+0.000000001)+(Rebate_Industry!U251:U259&lt;Mitigation_Industry!U526:U534-0.000000001))</f>
        <v>0</v>
      </c>
      <c r="V1512">
        <f>SUMPRODUCT((Rebate_Industry!V251:V259&gt;Mitigation_Industry!V536:V544+0.000000001)+(Rebate_Industry!V251:V259&lt;Mitigation_Industry!V526:V534-0.000000001))</f>
        <v>0</v>
      </c>
      <c r="W1512">
        <f>SUMPRODUCT((Rebate_Industry!W251:W259&gt;Mitigation_Industry!W536:W544+0.000000001)+(Rebate_Industry!W251:W259&lt;Mitigation_Industry!W526:W534-0.000000001))</f>
        <v>0</v>
      </c>
      <c r="X1512">
        <f>SUMPRODUCT((Rebate_Industry!X251:X259&gt;Mitigation_Industry!X536:X544+0.000000001)+(Rebate_Industry!X251:X259&lt;Mitigation_Industry!X526:X534-0.000000001))</f>
        <v>0</v>
      </c>
      <c r="Y1512">
        <f>SUMPRODUCT((Rebate_Industry!Y251:Y259&gt;Mitigation_Industry!Y536:Y544+0.000000001)+(Rebate_Industry!Y251:Y259&lt;Mitigation_Industry!Y526:Y534-0.000000001))</f>
        <v>0</v>
      </c>
      <c r="Z1512">
        <f>SUMPRODUCT((Rebate_Industry!Z251:Z259&gt;Mitigation_Industry!Z536:Z544+0.000000001)+(Rebate_Industry!Z251:Z259&lt;Mitigation_Industry!Z526:Z534-0.000000001))</f>
        <v>0</v>
      </c>
      <c r="AA1512">
        <f>SUMPRODUCT((Rebate_Industry!AA251:AA259&gt;Mitigation_Industry!AA536:AA544+0.000000001)+(Rebate_Industry!AA251:AA259&lt;Mitigation_Industry!AA526:AA534-0.000000001))</f>
        <v>0</v>
      </c>
      <c r="AB1512">
        <f>SUMPRODUCT((Rebate_Industry!AB251:AB259&gt;Mitigation_Industry!AB536:AB544+0.000000001)+(Rebate_Industry!AB251:AB259&lt;Mitigation_Industry!AB526:AB534-0.000000001))</f>
        <v>0</v>
      </c>
      <c r="AC1512">
        <f>SUMPRODUCT((Rebate_Industry!AC251:AC259&gt;Mitigation_Industry!AC536:AC544+0.000000001)+(Rebate_Industry!AC251:AC259&lt;Mitigation_Industry!AC526:AC534-0.000000001))</f>
        <v>0</v>
      </c>
      <c r="AD1512">
        <f>SUMPRODUCT((Rebate_Industry!AD251:AD259&gt;Mitigation_Industry!AD536:AD544+0.000000001)+(Rebate_Industry!AD251:AD259&lt;Mitigation_Industry!AD526:AD534-0.000000001))</f>
        <v>0</v>
      </c>
      <c r="AE1512">
        <f>SUMPRODUCT((Rebate_Industry!AE251:AE259&gt;Mitigation_Industry!AE536:AE544+0.000000001)+(Rebate_Industry!AE251:AE259&lt;Mitigation_Industry!AE526:AE534-0.000000001))</f>
        <v>0</v>
      </c>
    </row>
    <row r="1513" spans="1:31" x14ac:dyDescent="0.45">
      <c r="A1513" t="s">
        <v>2342</v>
      </c>
      <c r="D1513">
        <v>2</v>
      </c>
      <c r="E1513" t="s">
        <v>2071</v>
      </c>
      <c r="F1513">
        <f>SUM(L1513:AE1513)</f>
        <v>0</v>
      </c>
      <c r="I1513">
        <v>0</v>
      </c>
      <c r="L1513">
        <f>SUMPRODUCT((Rebate_Industry!L265:L273&gt;Mitigation_Industry!L596:L604+0.000000001)+(Rebate_Industry!L265:L273&lt;Mitigation_Industry!L586:L594-0.000000001))</f>
        <v>0</v>
      </c>
      <c r="M1513">
        <f>SUMPRODUCT((Rebate_Industry!M265:M273&gt;Mitigation_Industry!M596:M604+0.000000001)+(Rebate_Industry!M265:M273&lt;Mitigation_Industry!M586:M594-0.000000001))</f>
        <v>0</v>
      </c>
      <c r="N1513">
        <f>SUMPRODUCT((Rebate_Industry!N265:N273&gt;Mitigation_Industry!N596:N604+0.000000001)+(Rebate_Industry!N265:N273&lt;Mitigation_Industry!N586:N594-0.000000001))</f>
        <v>0</v>
      </c>
      <c r="O1513">
        <f>SUMPRODUCT((Rebate_Industry!O265:O273&gt;Mitigation_Industry!O596:O604+0.000000001)+(Rebate_Industry!O265:O273&lt;Mitigation_Industry!O586:O594-0.000000001))</f>
        <v>0</v>
      </c>
      <c r="P1513">
        <f>SUMPRODUCT((Rebate_Industry!P265:P273&gt;Mitigation_Industry!P596:P604+0.000000001)+(Rebate_Industry!P265:P273&lt;Mitigation_Industry!P586:P594-0.000000001))</f>
        <v>0</v>
      </c>
      <c r="Q1513">
        <f>SUMPRODUCT((Rebate_Industry!Q265:Q273&gt;Mitigation_Industry!Q596:Q604+0.000000001)+(Rebate_Industry!Q265:Q273&lt;Mitigation_Industry!Q586:Q594-0.000000001))</f>
        <v>0</v>
      </c>
      <c r="R1513">
        <f>SUMPRODUCT((Rebate_Industry!R265:R273&gt;Mitigation_Industry!R596:R604+0.000000001)+(Rebate_Industry!R265:R273&lt;Mitigation_Industry!R586:R594-0.000000001))</f>
        <v>0</v>
      </c>
      <c r="S1513">
        <f>SUMPRODUCT((Rebate_Industry!S265:S273&gt;Mitigation_Industry!S596:S604+0.000000001)+(Rebate_Industry!S265:S273&lt;Mitigation_Industry!S586:S594-0.000000001))</f>
        <v>0</v>
      </c>
      <c r="T1513">
        <f>SUMPRODUCT((Rebate_Industry!T265:T273&gt;Mitigation_Industry!T596:T604+0.000000001)+(Rebate_Industry!T265:T273&lt;Mitigation_Industry!T586:T594-0.000000001))</f>
        <v>0</v>
      </c>
      <c r="U1513">
        <f>SUMPRODUCT((Rebate_Industry!U265:U273&gt;Mitigation_Industry!U596:U604+0.000000001)+(Rebate_Industry!U265:U273&lt;Mitigation_Industry!U586:U594-0.000000001))</f>
        <v>0</v>
      </c>
      <c r="V1513">
        <f>SUMPRODUCT((Rebate_Industry!V265:V273&gt;Mitigation_Industry!V596:V604+0.000000001)+(Rebate_Industry!V265:V273&lt;Mitigation_Industry!V586:V594-0.000000001))</f>
        <v>0</v>
      </c>
      <c r="W1513">
        <f>SUMPRODUCT((Rebate_Industry!W265:W273&gt;Mitigation_Industry!W596:W604+0.000000001)+(Rebate_Industry!W265:W273&lt;Mitigation_Industry!W586:W594-0.000000001))</f>
        <v>0</v>
      </c>
      <c r="X1513">
        <f>SUMPRODUCT((Rebate_Industry!X265:X273&gt;Mitigation_Industry!X596:X604+0.000000001)+(Rebate_Industry!X265:X273&lt;Mitigation_Industry!X586:X594-0.000000001))</f>
        <v>0</v>
      </c>
      <c r="Y1513">
        <f>SUMPRODUCT((Rebate_Industry!Y265:Y273&gt;Mitigation_Industry!Y596:Y604+0.000000001)+(Rebate_Industry!Y265:Y273&lt;Mitigation_Industry!Y586:Y594-0.000000001))</f>
        <v>0</v>
      </c>
      <c r="Z1513">
        <f>SUMPRODUCT((Rebate_Industry!Z265:Z273&gt;Mitigation_Industry!Z596:Z604+0.000000001)+(Rebate_Industry!Z265:Z273&lt;Mitigation_Industry!Z586:Z594-0.000000001))</f>
        <v>0</v>
      </c>
      <c r="AA1513">
        <f>SUMPRODUCT((Rebate_Industry!AA265:AA273&gt;Mitigation_Industry!AA596:AA604+0.000000001)+(Rebate_Industry!AA265:AA273&lt;Mitigation_Industry!AA586:AA594-0.000000001))</f>
        <v>0</v>
      </c>
      <c r="AB1513">
        <f>SUMPRODUCT((Rebate_Industry!AB265:AB273&gt;Mitigation_Industry!AB596:AB604+0.000000001)+(Rebate_Industry!AB265:AB273&lt;Mitigation_Industry!AB586:AB594-0.000000001))</f>
        <v>0</v>
      </c>
      <c r="AC1513">
        <f>SUMPRODUCT((Rebate_Industry!AC265:AC273&gt;Mitigation_Industry!AC596:AC604+0.000000001)+(Rebate_Industry!AC265:AC273&lt;Mitigation_Industry!AC586:AC594-0.000000001))</f>
        <v>0</v>
      </c>
      <c r="AD1513">
        <f>SUMPRODUCT((Rebate_Industry!AD265:AD273&gt;Mitigation_Industry!AD596:AD604+0.000000001)+(Rebate_Industry!AD265:AD273&lt;Mitigation_Industry!AD586:AD594-0.000000001))</f>
        <v>0</v>
      </c>
      <c r="AE1513">
        <f>SUMPRODUCT((Rebate_Industry!AE265:AE273&gt;Mitigation_Industry!AE596:AE604+0.000000001)+(Rebate_Industry!AE265:AE273&lt;Mitigation_Industry!AE586:AE594-0.000000001))</f>
        <v>0</v>
      </c>
    </row>
    <row r="1514" spans="1:31" x14ac:dyDescent="0.45">
      <c r="A1514" t="s">
        <v>2343</v>
      </c>
      <c r="D1514">
        <v>2</v>
      </c>
      <c r="E1514" t="s">
        <v>2071</v>
      </c>
      <c r="F1514">
        <f>SUM(L1514:AE1514)</f>
        <v>0</v>
      </c>
      <c r="I1514">
        <v>0</v>
      </c>
      <c r="L1514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14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14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14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14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14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14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14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14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14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14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14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14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14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14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14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14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14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14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14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15" spans="1:31" x14ac:dyDescent="0.45">
      <c r="A1515" t="s">
        <v>2344</v>
      </c>
      <c r="D1515">
        <v>2</v>
      </c>
      <c r="E1515" t="s">
        <v>1161</v>
      </c>
      <c r="F1515">
        <f>MAX(MAX(L1515:AE1515),-MIN(L1515:AE1515))</f>
        <v>0</v>
      </c>
      <c r="I1515">
        <v>0</v>
      </c>
      <c r="L1515">
        <f>Rebate_Industry!L217-SUM(Rebate_Industry!L209:L216)</f>
        <v>0</v>
      </c>
      <c r="M1515">
        <f>Rebate_Industry!M217-SUM(Rebate_Industry!M209:M216)</f>
        <v>0</v>
      </c>
      <c r="N1515">
        <f>Rebate_Industry!N217-SUM(Rebate_Industry!N209:N216)</f>
        <v>0</v>
      </c>
      <c r="O1515">
        <f>Rebate_Industry!O217-SUM(Rebate_Industry!O209:O216)</f>
        <v>0</v>
      </c>
      <c r="P1515">
        <f>Rebate_Industry!P217-SUM(Rebate_Industry!P209:P216)</f>
        <v>0</v>
      </c>
      <c r="Q1515">
        <f>Rebate_Industry!Q217-SUM(Rebate_Industry!Q209:Q216)</f>
        <v>0</v>
      </c>
      <c r="R1515">
        <f>Rebate_Industry!R217-SUM(Rebate_Industry!R209:R216)</f>
        <v>0</v>
      </c>
      <c r="S1515">
        <f>Rebate_Industry!S217-SUM(Rebate_Industry!S209:S216)</f>
        <v>0</v>
      </c>
      <c r="T1515">
        <f>Rebate_Industry!T217-SUM(Rebate_Industry!T209:T216)</f>
        <v>0</v>
      </c>
      <c r="U1515">
        <f>Rebate_Industry!U217-SUM(Rebate_Industry!U209:U216)</f>
        <v>0</v>
      </c>
      <c r="V1515">
        <f>Rebate_Industry!V217-SUM(Rebate_Industry!V209:V216)</f>
        <v>0</v>
      </c>
      <c r="W1515">
        <f>Rebate_Industry!W217-SUM(Rebate_Industry!W209:W216)</f>
        <v>0</v>
      </c>
      <c r="X1515">
        <f>Rebate_Industry!X217-SUM(Rebate_Industry!X209:X216)</f>
        <v>0</v>
      </c>
      <c r="Y1515">
        <f>Rebate_Industry!Y217-SUM(Rebate_Industry!Y209:Y216)</f>
        <v>0</v>
      </c>
      <c r="Z1515">
        <f>Rebate_Industry!Z217-SUM(Rebate_Industry!Z209:Z216)</f>
        <v>0</v>
      </c>
      <c r="AA1515">
        <f>Rebate_Industry!AA217-SUM(Rebate_Industry!AA209:AA216)</f>
        <v>0</v>
      </c>
      <c r="AB1515">
        <f>Rebate_Industry!AB217-SUM(Rebate_Industry!AB209:AB216)</f>
        <v>0</v>
      </c>
      <c r="AC1515">
        <f>Rebate_Industry!AC217-SUM(Rebate_Industry!AC209:AC216)</f>
        <v>0</v>
      </c>
      <c r="AD1515">
        <f>Rebate_Industry!AD217-SUM(Rebate_Industry!AD209:AD216)</f>
        <v>0</v>
      </c>
      <c r="AE1515">
        <f>Rebate_Industry!AE217-SUM(Rebate_Industry!AE209:AE216)</f>
        <v>0</v>
      </c>
    </row>
    <row r="1516" spans="1:31" x14ac:dyDescent="0.45">
      <c r="A1516" t="s">
        <v>2345</v>
      </c>
      <c r="D1516">
        <v>2</v>
      </c>
      <c r="E1516" t="s">
        <v>1161</v>
      </c>
      <c r="F1516">
        <f>MAX(MAX(L1516:AE1516),-MIN(L1516:AE1516))</f>
        <v>0</v>
      </c>
      <c r="I1516">
        <v>0</v>
      </c>
      <c r="L1516">
        <f>Rebate_Industry!L217-(Rebate_Industry!L220+Rebate_Industry!L234+Rebate_Industry!L248+Rebate_Industry!L262)</f>
        <v>0</v>
      </c>
      <c r="M1516">
        <f>Rebate_Industry!M217-(Rebate_Industry!M220+Rebate_Industry!M234+Rebate_Industry!M248+Rebate_Industry!M262)</f>
        <v>0</v>
      </c>
      <c r="N1516">
        <f>Rebate_Industry!N217-(Rebate_Industry!N220+Rebate_Industry!N234+Rebate_Industry!N248+Rebate_Industry!N262)</f>
        <v>0</v>
      </c>
      <c r="O1516">
        <f>Rebate_Industry!O217-(Rebate_Industry!O220+Rebate_Industry!O234+Rebate_Industry!O248+Rebate_Industry!O262)</f>
        <v>0</v>
      </c>
      <c r="P1516">
        <f>Rebate_Industry!P217-(Rebate_Industry!P220+Rebate_Industry!P234+Rebate_Industry!P248+Rebate_Industry!P262)</f>
        <v>0</v>
      </c>
      <c r="Q1516">
        <f>Rebate_Industry!Q217-(Rebate_Industry!Q220+Rebate_Industry!Q234+Rebate_Industry!Q248+Rebate_Industry!Q262)</f>
        <v>0</v>
      </c>
      <c r="R1516">
        <f>Rebate_Industry!R217-(Rebate_Industry!R220+Rebate_Industry!R234+Rebate_Industry!R248+Rebate_Industry!R262)</f>
        <v>0</v>
      </c>
      <c r="S1516">
        <f>Rebate_Industry!S217-(Rebate_Industry!S220+Rebate_Industry!S234+Rebate_Industry!S248+Rebate_Industry!S262)</f>
        <v>0</v>
      </c>
      <c r="T1516">
        <f>Rebate_Industry!T217-(Rebate_Industry!T220+Rebate_Industry!T234+Rebate_Industry!T248+Rebate_Industry!T262)</f>
        <v>0</v>
      </c>
      <c r="U1516">
        <f>Rebate_Industry!U217-(Rebate_Industry!U220+Rebate_Industry!U234+Rebate_Industry!U248+Rebate_Industry!U262)</f>
        <v>0</v>
      </c>
      <c r="V1516">
        <f>Rebate_Industry!V217-(Rebate_Industry!V220+Rebate_Industry!V234+Rebate_Industry!V248+Rebate_Industry!V262)</f>
        <v>0</v>
      </c>
      <c r="W1516">
        <f>Rebate_Industry!W217-(Rebate_Industry!W220+Rebate_Industry!W234+Rebate_Industry!W248+Rebate_Industry!W262)</f>
        <v>0</v>
      </c>
      <c r="X1516">
        <f>Rebate_Industry!X217-(Rebate_Industry!X220+Rebate_Industry!X234+Rebate_Industry!X248+Rebate_Industry!X262)</f>
        <v>0</v>
      </c>
      <c r="Y1516">
        <f>Rebate_Industry!Y217-(Rebate_Industry!Y220+Rebate_Industry!Y234+Rebate_Industry!Y248+Rebate_Industry!Y262)</f>
        <v>0</v>
      </c>
      <c r="Z1516">
        <f>Rebate_Industry!Z217-(Rebate_Industry!Z220+Rebate_Industry!Z234+Rebate_Industry!Z248+Rebate_Industry!Z262)</f>
        <v>0</v>
      </c>
      <c r="AA1516">
        <f>Rebate_Industry!AA217-(Rebate_Industry!AA220+Rebate_Industry!AA234+Rebate_Industry!AA248+Rebate_Industry!AA262)</f>
        <v>0</v>
      </c>
      <c r="AB1516">
        <f>Rebate_Industry!AB217-(Rebate_Industry!AB220+Rebate_Industry!AB234+Rebate_Industry!AB248+Rebate_Industry!AB262)</f>
        <v>0</v>
      </c>
      <c r="AC1516">
        <f>Rebate_Industry!AC217-(Rebate_Industry!AC220+Rebate_Industry!AC234+Rebate_Industry!AC248+Rebate_Industry!AC262)</f>
        <v>0</v>
      </c>
      <c r="AD1516">
        <f>Rebate_Industry!AD217-(Rebate_Industry!AD220+Rebate_Industry!AD234+Rebate_Industry!AD248+Rebate_Industry!AD262)</f>
        <v>0</v>
      </c>
      <c r="AE1516">
        <f>Rebate_Industry!AE217-(Rebate_Industry!AE220+Rebate_Industry!AE234+Rebate_Industry!AE248+Rebate_Industry!AE262)</f>
        <v>0</v>
      </c>
    </row>
    <row r="1517" spans="1:31" x14ac:dyDescent="0.45">
      <c r="A1517" t="s">
        <v>2346</v>
      </c>
      <c r="D1517">
        <v>2</v>
      </c>
      <c r="E1517" t="s">
        <v>1161</v>
      </c>
      <c r="F1517">
        <f>MAX(MAX(L1517:AE1517),-MIN(L1517:AE1517))</f>
        <v>0</v>
      </c>
      <c r="I1517">
        <v>0</v>
      </c>
      <c r="L1517">
        <f>Rebate_Industry!L278-(Rebate_Industry!L276-Rebate_Industry!L217)</f>
        <v>0</v>
      </c>
      <c r="M1517">
        <f>Rebate_Industry!M278-(Rebate_Industry!M276-Rebate_Industry!M217)</f>
        <v>0</v>
      </c>
      <c r="N1517">
        <f>Rebate_Industry!N278-(Rebate_Industry!N276-Rebate_Industry!N217)</f>
        <v>0</v>
      </c>
      <c r="O1517">
        <f>Rebate_Industry!O278-(Rebate_Industry!O276-Rebate_Industry!O217)</f>
        <v>0</v>
      </c>
      <c r="P1517">
        <f>Rebate_Industry!P278-(Rebate_Industry!P276-Rebate_Industry!P217)</f>
        <v>0</v>
      </c>
      <c r="Q1517">
        <f>Rebate_Industry!Q278-(Rebate_Industry!Q276-Rebate_Industry!Q217)</f>
        <v>0</v>
      </c>
      <c r="R1517">
        <f>Rebate_Industry!R278-(Rebate_Industry!R276-Rebate_Industry!R217)</f>
        <v>0</v>
      </c>
      <c r="S1517">
        <f>Rebate_Industry!S278-(Rebate_Industry!S276-Rebate_Industry!S217)</f>
        <v>0</v>
      </c>
      <c r="T1517">
        <f>Rebate_Industry!T278-(Rebate_Industry!T276-Rebate_Industry!T217)</f>
        <v>0</v>
      </c>
      <c r="U1517">
        <f>Rebate_Industry!U278-(Rebate_Industry!U276-Rebate_Industry!U217)</f>
        <v>0</v>
      </c>
      <c r="V1517">
        <f>Rebate_Industry!V278-(Rebate_Industry!V276-Rebate_Industry!V217)</f>
        <v>0</v>
      </c>
      <c r="W1517">
        <f>Rebate_Industry!W278-(Rebate_Industry!W276-Rebate_Industry!W217)</f>
        <v>0</v>
      </c>
      <c r="X1517">
        <f>Rebate_Industry!X278-(Rebate_Industry!X276-Rebate_Industry!X217)</f>
        <v>0</v>
      </c>
      <c r="Y1517">
        <f>Rebate_Industry!Y278-(Rebate_Industry!Y276-Rebate_Industry!Y217)</f>
        <v>0</v>
      </c>
      <c r="Z1517">
        <f>Rebate_Industry!Z278-(Rebate_Industry!Z276-Rebate_Industry!Z217)</f>
        <v>0</v>
      </c>
      <c r="AA1517">
        <f>Rebate_Industry!AA278-(Rebate_Industry!AA276-Rebate_Industry!AA217)</f>
        <v>0</v>
      </c>
      <c r="AB1517">
        <f>Rebate_Industry!AB278-(Rebate_Industry!AB276-Rebate_Industry!AB217)</f>
        <v>0</v>
      </c>
      <c r="AC1517">
        <f>Rebate_Industry!AC278-(Rebate_Industry!AC276-Rebate_Industry!AC217)</f>
        <v>0</v>
      </c>
      <c r="AD1517">
        <f>Rebate_Industry!AD278-(Rebate_Industry!AD276-Rebate_Industry!AD217)</f>
        <v>0</v>
      </c>
      <c r="AE1517">
        <f>Rebate_Industry!AE278-(Rebate_Industry!AE276-Rebate_Industry!AE217)</f>
        <v>0</v>
      </c>
    </row>
    <row r="1518" spans="1:31" x14ac:dyDescent="0.45">
      <c r="A1518" t="s">
        <v>2347</v>
      </c>
      <c r="D1518">
        <v>2</v>
      </c>
      <c r="E1518" t="s">
        <v>1161</v>
      </c>
      <c r="F1518">
        <f>MAX(MAX(L1518:AE1518),-MIN(L1518:AE1518))</f>
        <v>0</v>
      </c>
      <c r="I1518">
        <v>0</v>
      </c>
      <c r="L1518">
        <f>SUM(Mitigation_Industry!L426:L434)-INDEX(L$1548:L$1607,MATCH("v1:shp:2:irn:"&amp;Settings!$B$10,$A$1548:$A$1607,0))</f>
        <v>0</v>
      </c>
      <c r="M1518">
        <f>SUM(Mitigation_Industry!M426:M434)-INDEX(M$1548:M$1607,MATCH("v1:shp:2:irn:"&amp;Settings!$B$10,$A$1548:$A$1607,0))</f>
        <v>0</v>
      </c>
      <c r="N1518">
        <f>SUM(Mitigation_Industry!N426:N434)-INDEX(N$1548:N$1607,MATCH("v1:shp:2:irn:"&amp;Settings!$B$10,$A$1548:$A$1607,0))</f>
        <v>0</v>
      </c>
      <c r="O1518">
        <f>SUM(Mitigation_Industry!O426:O434)-INDEX(O$1548:O$1607,MATCH("v1:shp:2:irn:"&amp;Settings!$B$10,$A$1548:$A$1607,0))</f>
        <v>0</v>
      </c>
      <c r="P1518">
        <f>SUM(Mitigation_Industry!P426:P434)-INDEX(P$1548:P$1607,MATCH("v1:shp:2:irn:"&amp;Settings!$B$10,$A$1548:$A$1607,0))</f>
        <v>0</v>
      </c>
      <c r="Q1518">
        <f>SUM(Mitigation_Industry!Q426:Q434)-INDEX(Q$1548:Q$1607,MATCH("v1:shp:2:irn:"&amp;Settings!$B$10,$A$1548:$A$1607,0))</f>
        <v>0</v>
      </c>
      <c r="R1518">
        <f>SUM(Mitigation_Industry!R426:R434)-INDEX(R$1548:R$1607,MATCH("v1:shp:2:irn:"&amp;Settings!$B$10,$A$1548:$A$1607,0))</f>
        <v>0</v>
      </c>
      <c r="S1518">
        <f>SUM(Mitigation_Industry!S426:S434)-INDEX(S$1548:S$1607,MATCH("v1:shp:2:irn:"&amp;Settings!$B$10,$A$1548:$A$1607,0))</f>
        <v>0</v>
      </c>
      <c r="T1518">
        <f>SUM(Mitigation_Industry!T426:T434)-INDEX(T$1548:T$1607,MATCH("v1:shp:2:irn:"&amp;Settings!$B$10,$A$1548:$A$1607,0))</f>
        <v>0</v>
      </c>
      <c r="U1518">
        <f>SUM(Mitigation_Industry!U426:U434)-INDEX(U$1548:U$1607,MATCH("v1:shp:2:irn:"&amp;Settings!$B$10,$A$1548:$A$1607,0))</f>
        <v>0</v>
      </c>
      <c r="V1518">
        <f>SUM(Mitigation_Industry!V426:V434)-INDEX(V$1548:V$1607,MATCH("v1:shp:2:irn:"&amp;Settings!$B$10,$A$1548:$A$1607,0))</f>
        <v>0</v>
      </c>
      <c r="W1518">
        <f>SUM(Mitigation_Industry!W426:W434)-INDEX(W$1548:W$1607,MATCH("v1:shp:2:irn:"&amp;Settings!$B$10,$A$1548:$A$1607,0))</f>
        <v>0</v>
      </c>
      <c r="X1518">
        <f>SUM(Mitigation_Industry!X426:X434)-INDEX(X$1548:X$1607,MATCH("v1:shp:2:irn:"&amp;Settings!$B$10,$A$1548:$A$1607,0))</f>
        <v>0</v>
      </c>
      <c r="Y1518">
        <f>SUM(Mitigation_Industry!Y426:Y434)-INDEX(Y$1548:Y$1607,MATCH("v1:shp:2:irn:"&amp;Settings!$B$10,$A$1548:$A$1607,0))</f>
        <v>0</v>
      </c>
      <c r="Z1518">
        <f>SUM(Mitigation_Industry!Z426:Z434)-INDEX(Z$1548:Z$1607,MATCH("v1:shp:2:irn:"&amp;Settings!$B$10,$A$1548:$A$1607,0))</f>
        <v>0</v>
      </c>
      <c r="AA1518">
        <f>SUM(Mitigation_Industry!AA426:AA434)-INDEX(AA$1548:AA$1607,MATCH("v1:shp:2:irn:"&amp;Settings!$B$10,$A$1548:$A$1607,0))</f>
        <v>0</v>
      </c>
      <c r="AB1518">
        <f>SUM(Mitigation_Industry!AB426:AB434)-INDEX(AB$1548:AB$1607,MATCH("v1:shp:2:irn:"&amp;Settings!$B$10,$A$1548:$A$1607,0))</f>
        <v>0</v>
      </c>
      <c r="AC1518">
        <f>SUM(Mitigation_Industry!AC426:AC434)-INDEX(AC$1548:AC$1607,MATCH("v1:shp:2:irn:"&amp;Settings!$B$10,$A$1548:$A$1607,0))</f>
        <v>0</v>
      </c>
      <c r="AD1518">
        <f>SUM(Mitigation_Industry!AD426:AD434)-INDEX(AD$1548:AD$1607,MATCH("v1:shp:2:irn:"&amp;Settings!$B$10,$A$1548:$A$1607,0))</f>
        <v>0</v>
      </c>
      <c r="AE1518">
        <f>SUM(Mitigation_Industry!AE426:AE434)-INDEX(AE$1548:AE$1607,MATCH("v1:shp:2:irn:"&amp;Settings!$B$10,$A$1548:$A$1607,0))</f>
        <v>0</v>
      </c>
    </row>
    <row r="1519" spans="1:31" x14ac:dyDescent="0.45">
      <c r="A1519" t="s">
        <v>2348</v>
      </c>
      <c r="D1519">
        <v>2</v>
      </c>
      <c r="E1519" t="s">
        <v>1161</v>
      </c>
      <c r="F1519">
        <f>MAX(MAX(L1519:AE1519),-MIN(L1519:AE1519))</f>
        <v>0</v>
      </c>
      <c r="I1519">
        <v>0</v>
      </c>
      <c r="L1519">
        <f>SUM(Mitigation_Industry!L486:L494)-INDEX(L$1548:L$1607,MATCH("v1:shp:2:cem:"&amp;Settings!$B$10,$A$1548:$A$1607,0))</f>
        <v>0</v>
      </c>
      <c r="M1519">
        <f>SUM(Mitigation_Industry!M486:M494)-INDEX(M$1548:M$1607,MATCH("v1:shp:2:cem:"&amp;Settings!$B$10,$A$1548:$A$1607,0))</f>
        <v>0</v>
      </c>
      <c r="N1519">
        <f>SUM(Mitigation_Industry!N486:N494)-INDEX(N$1548:N$1607,MATCH("v1:shp:2:cem:"&amp;Settings!$B$10,$A$1548:$A$1607,0))</f>
        <v>0</v>
      </c>
      <c r="O1519">
        <f>SUM(Mitigation_Industry!O486:O494)-INDEX(O$1548:O$1607,MATCH("v1:shp:2:cem:"&amp;Settings!$B$10,$A$1548:$A$1607,0))</f>
        <v>0</v>
      </c>
      <c r="P1519">
        <f>SUM(Mitigation_Industry!P486:P494)-INDEX(P$1548:P$1607,MATCH("v1:shp:2:cem:"&amp;Settings!$B$10,$A$1548:$A$1607,0))</f>
        <v>0</v>
      </c>
      <c r="Q1519">
        <f>SUM(Mitigation_Industry!Q486:Q494)-INDEX(Q$1548:Q$1607,MATCH("v1:shp:2:cem:"&amp;Settings!$B$10,$A$1548:$A$1607,0))</f>
        <v>0</v>
      </c>
      <c r="R1519">
        <f>SUM(Mitigation_Industry!R486:R494)-INDEX(R$1548:R$1607,MATCH("v1:shp:2:cem:"&amp;Settings!$B$10,$A$1548:$A$1607,0))</f>
        <v>0</v>
      </c>
      <c r="S1519">
        <f>SUM(Mitigation_Industry!S486:S494)-INDEX(S$1548:S$1607,MATCH("v1:shp:2:cem:"&amp;Settings!$B$10,$A$1548:$A$1607,0))</f>
        <v>0</v>
      </c>
      <c r="T1519">
        <f>SUM(Mitigation_Industry!T486:T494)-INDEX(T$1548:T$1607,MATCH("v1:shp:2:cem:"&amp;Settings!$B$10,$A$1548:$A$1607,0))</f>
        <v>0</v>
      </c>
      <c r="U1519">
        <f>SUM(Mitigation_Industry!U486:U494)-INDEX(U$1548:U$1607,MATCH("v1:shp:2:cem:"&amp;Settings!$B$10,$A$1548:$A$1607,0))</f>
        <v>0</v>
      </c>
      <c r="V1519">
        <f>SUM(Mitigation_Industry!V486:V494)-INDEX(V$1548:V$1607,MATCH("v1:shp:2:cem:"&amp;Settings!$B$10,$A$1548:$A$1607,0))</f>
        <v>0</v>
      </c>
      <c r="W1519">
        <f>SUM(Mitigation_Industry!W486:W494)-INDEX(W$1548:W$1607,MATCH("v1:shp:2:cem:"&amp;Settings!$B$10,$A$1548:$A$1607,0))</f>
        <v>0</v>
      </c>
      <c r="X1519">
        <f>SUM(Mitigation_Industry!X486:X494)-INDEX(X$1548:X$1607,MATCH("v1:shp:2:cem:"&amp;Settings!$B$10,$A$1548:$A$1607,0))</f>
        <v>0</v>
      </c>
      <c r="Y1519">
        <f>SUM(Mitigation_Industry!Y486:Y494)-INDEX(Y$1548:Y$1607,MATCH("v1:shp:2:cem:"&amp;Settings!$B$10,$A$1548:$A$1607,0))</f>
        <v>0</v>
      </c>
      <c r="Z1519">
        <f>SUM(Mitigation_Industry!Z486:Z494)-INDEX(Z$1548:Z$1607,MATCH("v1:shp:2:cem:"&amp;Settings!$B$10,$A$1548:$A$1607,0))</f>
        <v>0</v>
      </c>
      <c r="AA1519">
        <f>SUM(Mitigation_Industry!AA486:AA494)-INDEX(AA$1548:AA$1607,MATCH("v1:shp:2:cem:"&amp;Settings!$B$10,$A$1548:$A$1607,0))</f>
        <v>0</v>
      </c>
      <c r="AB1519">
        <f>SUM(Mitigation_Industry!AB486:AB494)-INDEX(AB$1548:AB$1607,MATCH("v1:shp:2:cem:"&amp;Settings!$B$10,$A$1548:$A$1607,0))</f>
        <v>0</v>
      </c>
      <c r="AC1519">
        <f>SUM(Mitigation_Industry!AC486:AC494)-INDEX(AC$1548:AC$1607,MATCH("v1:shp:2:cem:"&amp;Settings!$B$10,$A$1548:$A$1607,0))</f>
        <v>0</v>
      </c>
      <c r="AD1519">
        <f>SUM(Mitigation_Industry!AD486:AD494)-INDEX(AD$1548:AD$1607,MATCH("v1:shp:2:cem:"&amp;Settings!$B$10,$A$1548:$A$1607,0))</f>
        <v>0</v>
      </c>
      <c r="AE1519">
        <f>SUM(Mitigation_Industry!AE486:AE494)-INDEX(AE$1548:AE$1607,MATCH("v1:shp:2:cem:"&amp;Settings!$B$10,$A$1548:$A$1607,0))</f>
        <v>0</v>
      </c>
    </row>
    <row r="1520" spans="1:31" x14ac:dyDescent="0.45">
      <c r="A1520" t="s">
        <v>2349</v>
      </c>
      <c r="D1520">
        <v>2</v>
      </c>
      <c r="E1520" t="s">
        <v>1161</v>
      </c>
      <c r="F1520">
        <f>MAX(MAX(L1520:AE1520),-MIN(L1520:AE1520))</f>
        <v>0</v>
      </c>
      <c r="I1520">
        <v>0</v>
      </c>
      <c r="L1520">
        <f>SUM(Mitigation_Industry!L546:L554)-INDEX(L$1548:L$1607,MATCH("v1:shp:2:nfm:"&amp;Settings!$B$10,$A$1548:$A$1607,0))</f>
        <v>0</v>
      </c>
      <c r="M1520">
        <f>SUM(Mitigation_Industry!M546:M554)-INDEX(M$1548:M$1607,MATCH("v1:shp:2:nfm:"&amp;Settings!$B$10,$A$1548:$A$1607,0))</f>
        <v>0</v>
      </c>
      <c r="N1520">
        <f>SUM(Mitigation_Industry!N546:N554)-INDEX(N$1548:N$1607,MATCH("v1:shp:2:nfm:"&amp;Settings!$B$10,$A$1548:$A$1607,0))</f>
        <v>0</v>
      </c>
      <c r="O1520">
        <f>SUM(Mitigation_Industry!O546:O554)-INDEX(O$1548:O$1607,MATCH("v1:shp:2:nfm:"&amp;Settings!$B$10,$A$1548:$A$1607,0))</f>
        <v>0</v>
      </c>
      <c r="P1520">
        <f>SUM(Mitigation_Industry!P546:P554)-INDEX(P$1548:P$1607,MATCH("v1:shp:2:nfm:"&amp;Settings!$B$10,$A$1548:$A$1607,0))</f>
        <v>0</v>
      </c>
      <c r="Q1520">
        <f>SUM(Mitigation_Industry!Q546:Q554)-INDEX(Q$1548:Q$1607,MATCH("v1:shp:2:nfm:"&amp;Settings!$B$10,$A$1548:$A$1607,0))</f>
        <v>0</v>
      </c>
      <c r="R1520">
        <f>SUM(Mitigation_Industry!R546:R554)-INDEX(R$1548:R$1607,MATCH("v1:shp:2:nfm:"&amp;Settings!$B$10,$A$1548:$A$1607,0))</f>
        <v>0</v>
      </c>
      <c r="S1520">
        <f>SUM(Mitigation_Industry!S546:S554)-INDEX(S$1548:S$1607,MATCH("v1:shp:2:nfm:"&amp;Settings!$B$10,$A$1548:$A$1607,0))</f>
        <v>0</v>
      </c>
      <c r="T1520">
        <f>SUM(Mitigation_Industry!T546:T554)-INDEX(T$1548:T$1607,MATCH("v1:shp:2:nfm:"&amp;Settings!$B$10,$A$1548:$A$1607,0))</f>
        <v>0</v>
      </c>
      <c r="U1520">
        <f>SUM(Mitigation_Industry!U546:U554)-INDEX(U$1548:U$1607,MATCH("v1:shp:2:nfm:"&amp;Settings!$B$10,$A$1548:$A$1607,0))</f>
        <v>0</v>
      </c>
      <c r="V1520">
        <f>SUM(Mitigation_Industry!V546:V554)-INDEX(V$1548:V$1607,MATCH("v1:shp:2:nfm:"&amp;Settings!$B$10,$A$1548:$A$1607,0))</f>
        <v>0</v>
      </c>
      <c r="W1520">
        <f>SUM(Mitigation_Industry!W546:W554)-INDEX(W$1548:W$1607,MATCH("v1:shp:2:nfm:"&amp;Settings!$B$10,$A$1548:$A$1607,0))</f>
        <v>0</v>
      </c>
      <c r="X1520">
        <f>SUM(Mitigation_Industry!X546:X554)-INDEX(X$1548:X$1607,MATCH("v1:shp:2:nfm:"&amp;Settings!$B$10,$A$1548:$A$1607,0))</f>
        <v>0</v>
      </c>
      <c r="Y1520">
        <f>SUM(Mitigation_Industry!Y546:Y554)-INDEX(Y$1548:Y$1607,MATCH("v1:shp:2:nfm:"&amp;Settings!$B$10,$A$1548:$A$1607,0))</f>
        <v>0</v>
      </c>
      <c r="Z1520">
        <f>SUM(Mitigation_Industry!Z546:Z554)-INDEX(Z$1548:Z$1607,MATCH("v1:shp:2:nfm:"&amp;Settings!$B$10,$A$1548:$A$1607,0))</f>
        <v>0</v>
      </c>
      <c r="AA1520">
        <f>SUM(Mitigation_Industry!AA546:AA554)-INDEX(AA$1548:AA$1607,MATCH("v1:shp:2:nfm:"&amp;Settings!$B$10,$A$1548:$A$1607,0))</f>
        <v>0</v>
      </c>
      <c r="AB1520">
        <f>SUM(Mitigation_Industry!AB546:AB554)-INDEX(AB$1548:AB$1607,MATCH("v1:shp:2:nfm:"&amp;Settings!$B$10,$A$1548:$A$1607,0))</f>
        <v>0</v>
      </c>
      <c r="AC1520">
        <f>SUM(Mitigation_Industry!AC546:AC554)-INDEX(AC$1548:AC$1607,MATCH("v1:shp:2:nfm:"&amp;Settings!$B$10,$A$1548:$A$1607,0))</f>
        <v>0</v>
      </c>
      <c r="AD1520">
        <f>SUM(Mitigation_Industry!AD546:AD554)-INDEX(AD$1548:AD$1607,MATCH("v1:shp:2:nfm:"&amp;Settings!$B$10,$A$1548:$A$1607,0))</f>
        <v>0</v>
      </c>
      <c r="AE1520">
        <f>SUM(Mitigation_Industry!AE546:AE554)-INDEX(AE$1548:AE$1607,MATCH("v1:shp:2:nfm:"&amp;Settings!$B$10,$A$1548:$A$1607,0))</f>
        <v>0</v>
      </c>
    </row>
    <row r="1521" spans="1:31" x14ac:dyDescent="0.45">
      <c r="A1521" t="s">
        <v>2350</v>
      </c>
      <c r="D1521">
        <v>2</v>
      </c>
      <c r="E1521" t="s">
        <v>1161</v>
      </c>
      <c r="F1521">
        <f>MAX(MAX(L1521:AE1521),-MIN(L1521:AE1521))</f>
        <v>0</v>
      </c>
      <c r="I1521">
        <v>0</v>
      </c>
      <c r="L1521">
        <f>SUM(Mitigation_Industry!L606:L614)-INDEX(L$1548:L$1607,MATCH("v1:shp:2:mch:"&amp;Settings!$B$10,$A$1548:$A$1607,0))</f>
        <v>0</v>
      </c>
      <c r="M1521">
        <f>SUM(Mitigation_Industry!M606:M614)-INDEX(M$1548:M$1607,MATCH("v1:shp:2:mch:"&amp;Settings!$B$10,$A$1548:$A$1607,0))</f>
        <v>0</v>
      </c>
      <c r="N1521">
        <f>SUM(Mitigation_Industry!N606:N614)-INDEX(N$1548:N$1607,MATCH("v1:shp:2:mch:"&amp;Settings!$B$10,$A$1548:$A$1607,0))</f>
        <v>0</v>
      </c>
      <c r="O1521">
        <f>SUM(Mitigation_Industry!O606:O614)-INDEX(O$1548:O$1607,MATCH("v1:shp:2:mch:"&amp;Settings!$B$10,$A$1548:$A$1607,0))</f>
        <v>0</v>
      </c>
      <c r="P1521">
        <f>SUM(Mitigation_Industry!P606:P614)-INDEX(P$1548:P$1607,MATCH("v1:shp:2:mch:"&amp;Settings!$B$10,$A$1548:$A$1607,0))</f>
        <v>0</v>
      </c>
      <c r="Q1521">
        <f>SUM(Mitigation_Industry!Q606:Q614)-INDEX(Q$1548:Q$1607,MATCH("v1:shp:2:mch:"&amp;Settings!$B$10,$A$1548:$A$1607,0))</f>
        <v>0</v>
      </c>
      <c r="R1521">
        <f>SUM(Mitigation_Industry!R606:R614)-INDEX(R$1548:R$1607,MATCH("v1:shp:2:mch:"&amp;Settings!$B$10,$A$1548:$A$1607,0))</f>
        <v>0</v>
      </c>
      <c r="S1521">
        <f>SUM(Mitigation_Industry!S606:S614)-INDEX(S$1548:S$1607,MATCH("v1:shp:2:mch:"&amp;Settings!$B$10,$A$1548:$A$1607,0))</f>
        <v>0</v>
      </c>
      <c r="T1521">
        <f>SUM(Mitigation_Industry!T606:T614)-INDEX(T$1548:T$1607,MATCH("v1:shp:2:mch:"&amp;Settings!$B$10,$A$1548:$A$1607,0))</f>
        <v>0</v>
      </c>
      <c r="U1521">
        <f>SUM(Mitigation_Industry!U606:U614)-INDEX(U$1548:U$1607,MATCH("v1:shp:2:mch:"&amp;Settings!$B$10,$A$1548:$A$1607,0))</f>
        <v>0</v>
      </c>
      <c r="V1521">
        <f>SUM(Mitigation_Industry!V606:V614)-INDEX(V$1548:V$1607,MATCH("v1:shp:2:mch:"&amp;Settings!$B$10,$A$1548:$A$1607,0))</f>
        <v>0</v>
      </c>
      <c r="W1521">
        <f>SUM(Mitigation_Industry!W606:W614)-INDEX(W$1548:W$1607,MATCH("v1:shp:2:mch:"&amp;Settings!$B$10,$A$1548:$A$1607,0))</f>
        <v>0</v>
      </c>
      <c r="X1521">
        <f>SUM(Mitigation_Industry!X606:X614)-INDEX(X$1548:X$1607,MATCH("v1:shp:2:mch:"&amp;Settings!$B$10,$A$1548:$A$1607,0))</f>
        <v>0</v>
      </c>
      <c r="Y1521">
        <f>SUM(Mitigation_Industry!Y606:Y614)-INDEX(Y$1548:Y$1607,MATCH("v1:shp:2:mch:"&amp;Settings!$B$10,$A$1548:$A$1607,0))</f>
        <v>0</v>
      </c>
      <c r="Z1521">
        <f>SUM(Mitigation_Industry!Z606:Z614)-INDEX(Z$1548:Z$1607,MATCH("v1:shp:2:mch:"&amp;Settings!$B$10,$A$1548:$A$1607,0))</f>
        <v>0</v>
      </c>
      <c r="AA1521">
        <f>SUM(Mitigation_Industry!AA606:AA614)-INDEX(AA$1548:AA$1607,MATCH("v1:shp:2:mch:"&amp;Settings!$B$10,$A$1548:$A$1607,0))</f>
        <v>0</v>
      </c>
      <c r="AB1521">
        <f>SUM(Mitigation_Industry!AB606:AB614)-INDEX(AB$1548:AB$1607,MATCH("v1:shp:2:mch:"&amp;Settings!$B$10,$A$1548:$A$1607,0))</f>
        <v>0</v>
      </c>
      <c r="AC1521">
        <f>SUM(Mitigation_Industry!AC606:AC614)-INDEX(AC$1548:AC$1607,MATCH("v1:shp:2:mch:"&amp;Settings!$B$10,$A$1548:$A$1607,0))</f>
        <v>0</v>
      </c>
      <c r="AD1521">
        <f>SUM(Mitigation_Industry!AD606:AD614)-INDEX(AD$1548:AD$1607,MATCH("v1:shp:2:mch:"&amp;Settings!$B$10,$A$1548:$A$1607,0))</f>
        <v>0</v>
      </c>
      <c r="AE1521">
        <f>SUM(Mitigation_Industry!AE606:AE614)-INDEX(AE$1548:AE$1607,MATCH("v1:shp:2:mch:"&amp;Settings!$B$10,$A$1548:$A$1607,0))</f>
        <v>0</v>
      </c>
    </row>
    <row r="1522" spans="1:31" x14ac:dyDescent="0.45">
      <c r="A1522" t="s">
        <v>2351</v>
      </c>
      <c r="D1522">
        <v>1</v>
      </c>
      <c r="E1522" t="s">
        <v>1161</v>
      </c>
      <c r="F1522">
        <f>MAX(MAX(L1522:AE1522),-MIN(L1522:AE1522))</f>
        <v>0</v>
      </c>
      <c r="I1522">
        <v>0</v>
      </c>
      <c r="L1522">
        <f>Mitigation_Industry!L63-INDEX(L$1548:L$1607,MATCH("v1:ener:1:irn:",$A$1548:$A$1607,0))</f>
        <v>0</v>
      </c>
      <c r="M1522">
        <f>Mitigation_Industry!M63-INDEX(M$1548:M$1607,MATCH("v1:ener:1:irn:",$A$1548:$A$1607,0))</f>
        <v>0</v>
      </c>
      <c r="N1522">
        <f>Mitigation_Industry!N63-INDEX(N$1548:N$1607,MATCH("v1:ener:1:irn:",$A$1548:$A$1607,0))</f>
        <v>0</v>
      </c>
      <c r="O1522">
        <f>Mitigation_Industry!O63-INDEX(O$1548:O$1607,MATCH("v1:ener:1:irn:",$A$1548:$A$1607,0))</f>
        <v>0</v>
      </c>
      <c r="P1522">
        <f>Mitigation_Industry!P63-INDEX(P$1548:P$1607,MATCH("v1:ener:1:irn:",$A$1548:$A$1607,0))</f>
        <v>0</v>
      </c>
      <c r="Q1522">
        <f>Mitigation_Industry!Q63-INDEX(Q$1548:Q$1607,MATCH("v1:ener:1:irn:",$A$1548:$A$1607,0))</f>
        <v>0</v>
      </c>
      <c r="R1522">
        <f>Mitigation_Industry!R63-INDEX(R$1548:R$1607,MATCH("v1:ener:1:irn:",$A$1548:$A$1607,0))</f>
        <v>0</v>
      </c>
      <c r="S1522">
        <f>Mitigation_Industry!S63-INDEX(S$1548:S$1607,MATCH("v1:ener:1:irn:",$A$1548:$A$1607,0))</f>
        <v>0</v>
      </c>
      <c r="T1522">
        <f>Mitigation_Industry!T63-INDEX(T$1548:T$1607,MATCH("v1:ener:1:irn:",$A$1548:$A$1607,0))</f>
        <v>0</v>
      </c>
      <c r="U1522">
        <f>Mitigation_Industry!U63-INDEX(U$1548:U$1607,MATCH("v1:ener:1:irn:",$A$1548:$A$1607,0))</f>
        <v>0</v>
      </c>
      <c r="V1522">
        <f>Mitigation_Industry!V63-INDEX(V$1548:V$1607,MATCH("v1:ener:1:irn:",$A$1548:$A$1607,0))</f>
        <v>0</v>
      </c>
      <c r="W1522">
        <f>Mitigation_Industry!W63-INDEX(W$1548:W$1607,MATCH("v1:ener:1:irn:",$A$1548:$A$1607,0))</f>
        <v>0</v>
      </c>
      <c r="X1522">
        <f>Mitigation_Industry!X63-INDEX(X$1548:X$1607,MATCH("v1:ener:1:irn:",$A$1548:$A$1607,0))</f>
        <v>0</v>
      </c>
      <c r="Y1522">
        <f>Mitigation_Industry!Y63-INDEX(Y$1548:Y$1607,MATCH("v1:ener:1:irn:",$A$1548:$A$1607,0))</f>
        <v>0</v>
      </c>
      <c r="Z1522">
        <f>Mitigation_Industry!Z63-INDEX(Z$1548:Z$1607,MATCH("v1:ener:1:irn:",$A$1548:$A$1607,0))</f>
        <v>0</v>
      </c>
      <c r="AA1522">
        <f>Mitigation_Industry!AA63-INDEX(AA$1548:AA$1607,MATCH("v1:ener:1:irn:",$A$1548:$A$1607,0))</f>
        <v>0</v>
      </c>
      <c r="AB1522">
        <f>Mitigation_Industry!AB63-INDEX(AB$1548:AB$1607,MATCH("v1:ener:1:irn:",$A$1548:$A$1607,0))</f>
        <v>0</v>
      </c>
      <c r="AC1522">
        <f>Mitigation_Industry!AC63-INDEX(AC$1548:AC$1607,MATCH("v1:ener:1:irn:",$A$1548:$A$1607,0))</f>
        <v>0</v>
      </c>
      <c r="AD1522">
        <f>Mitigation_Industry!AD63-INDEX(AD$1548:AD$1607,MATCH("v1:ener:1:irn:",$A$1548:$A$1607,0))</f>
        <v>0</v>
      </c>
      <c r="AE1522">
        <f>Mitigation_Industry!AE63-INDEX(AE$1548:AE$1607,MATCH("v1:ener:1:irn:",$A$1548:$A$1607,0))</f>
        <v>0</v>
      </c>
    </row>
    <row r="1523" spans="1:31" x14ac:dyDescent="0.45">
      <c r="A1523" t="s">
        <v>2352</v>
      </c>
      <c r="D1523">
        <v>1</v>
      </c>
      <c r="E1523" t="s">
        <v>1161</v>
      </c>
      <c r="F1523">
        <f>MAX(MAX(L1523:AE1523),-MIN(L1523:AE1523))</f>
        <v>0</v>
      </c>
      <c r="I1523">
        <v>0</v>
      </c>
      <c r="L1523">
        <f>Mitigation_Industry!L123-INDEX(L$1548:L$1607,MATCH("v1:ener:1:cem:",$A$1548:$A$1607,0))</f>
        <v>0</v>
      </c>
      <c r="M1523">
        <f>Mitigation_Industry!M123-INDEX(M$1548:M$1607,MATCH("v1:ener:1:cem:",$A$1548:$A$1607,0))</f>
        <v>0</v>
      </c>
      <c r="N1523">
        <f>Mitigation_Industry!N123-INDEX(N$1548:N$1607,MATCH("v1:ener:1:cem:",$A$1548:$A$1607,0))</f>
        <v>0</v>
      </c>
      <c r="O1523">
        <f>Mitigation_Industry!O123-INDEX(O$1548:O$1607,MATCH("v1:ener:1:cem:",$A$1548:$A$1607,0))</f>
        <v>0</v>
      </c>
      <c r="P1523">
        <f>Mitigation_Industry!P123-INDEX(P$1548:P$1607,MATCH("v1:ener:1:cem:",$A$1548:$A$1607,0))</f>
        <v>0</v>
      </c>
      <c r="Q1523">
        <f>Mitigation_Industry!Q123-INDEX(Q$1548:Q$1607,MATCH("v1:ener:1:cem:",$A$1548:$A$1607,0))</f>
        <v>0</v>
      </c>
      <c r="R1523">
        <f>Mitigation_Industry!R123-INDEX(R$1548:R$1607,MATCH("v1:ener:1:cem:",$A$1548:$A$1607,0))</f>
        <v>0</v>
      </c>
      <c r="S1523">
        <f>Mitigation_Industry!S123-INDEX(S$1548:S$1607,MATCH("v1:ener:1:cem:",$A$1548:$A$1607,0))</f>
        <v>0</v>
      </c>
      <c r="T1523">
        <f>Mitigation_Industry!T123-INDEX(T$1548:T$1607,MATCH("v1:ener:1:cem:",$A$1548:$A$1607,0))</f>
        <v>0</v>
      </c>
      <c r="U1523">
        <f>Mitigation_Industry!U123-INDEX(U$1548:U$1607,MATCH("v1:ener:1:cem:",$A$1548:$A$1607,0))</f>
        <v>0</v>
      </c>
      <c r="V1523">
        <f>Mitigation_Industry!V123-INDEX(V$1548:V$1607,MATCH("v1:ener:1:cem:",$A$1548:$A$1607,0))</f>
        <v>0</v>
      </c>
      <c r="W1523">
        <f>Mitigation_Industry!W123-INDEX(W$1548:W$1607,MATCH("v1:ener:1:cem:",$A$1548:$A$1607,0))</f>
        <v>0</v>
      </c>
      <c r="X1523">
        <f>Mitigation_Industry!X123-INDEX(X$1548:X$1607,MATCH("v1:ener:1:cem:",$A$1548:$A$1607,0))</f>
        <v>0</v>
      </c>
      <c r="Y1523">
        <f>Mitigation_Industry!Y123-INDEX(Y$1548:Y$1607,MATCH("v1:ener:1:cem:",$A$1548:$A$1607,0))</f>
        <v>0</v>
      </c>
      <c r="Z1523">
        <f>Mitigation_Industry!Z123-INDEX(Z$1548:Z$1607,MATCH("v1:ener:1:cem:",$A$1548:$A$1607,0))</f>
        <v>0</v>
      </c>
      <c r="AA1523">
        <f>Mitigation_Industry!AA123-INDEX(AA$1548:AA$1607,MATCH("v1:ener:1:cem:",$A$1548:$A$1607,0))</f>
        <v>0</v>
      </c>
      <c r="AB1523">
        <f>Mitigation_Industry!AB123-INDEX(AB$1548:AB$1607,MATCH("v1:ener:1:cem:",$A$1548:$A$1607,0))</f>
        <v>0</v>
      </c>
      <c r="AC1523">
        <f>Mitigation_Industry!AC123-INDEX(AC$1548:AC$1607,MATCH("v1:ener:1:cem:",$A$1548:$A$1607,0))</f>
        <v>0</v>
      </c>
      <c r="AD1523">
        <f>Mitigation_Industry!AD123-INDEX(AD$1548:AD$1607,MATCH("v1:ener:1:cem:",$A$1548:$A$1607,0))</f>
        <v>0</v>
      </c>
      <c r="AE1523">
        <f>Mitigation_Industry!AE123-INDEX(AE$1548:AE$1607,MATCH("v1:ener:1:cem:",$A$1548:$A$1607,0))</f>
        <v>0</v>
      </c>
    </row>
    <row r="1524" spans="1:31" x14ac:dyDescent="0.45">
      <c r="A1524" t="s">
        <v>2353</v>
      </c>
      <c r="D1524">
        <v>1</v>
      </c>
      <c r="E1524" t="s">
        <v>1161</v>
      </c>
      <c r="F1524">
        <f>MAX(MAX(L1524:AE1524),-MIN(L1524:AE1524))</f>
        <v>0</v>
      </c>
      <c r="I1524">
        <v>0</v>
      </c>
      <c r="L1524">
        <f>Mitigation_Industry!L183-INDEX(L$1548:L$1607,MATCH("v1:ener:1:nfm:",$A$1548:$A$1607,0))</f>
        <v>0</v>
      </c>
      <c r="M1524">
        <f>Mitigation_Industry!M183-INDEX(M$1548:M$1607,MATCH("v1:ener:1:nfm:",$A$1548:$A$1607,0))</f>
        <v>0</v>
      </c>
      <c r="N1524">
        <f>Mitigation_Industry!N183-INDEX(N$1548:N$1607,MATCH("v1:ener:1:nfm:",$A$1548:$A$1607,0))</f>
        <v>0</v>
      </c>
      <c r="O1524">
        <f>Mitigation_Industry!O183-INDEX(O$1548:O$1607,MATCH("v1:ener:1:nfm:",$A$1548:$A$1607,0))</f>
        <v>0</v>
      </c>
      <c r="P1524">
        <f>Mitigation_Industry!P183-INDEX(P$1548:P$1607,MATCH("v1:ener:1:nfm:",$A$1548:$A$1607,0))</f>
        <v>0</v>
      </c>
      <c r="Q1524">
        <f>Mitigation_Industry!Q183-INDEX(Q$1548:Q$1607,MATCH("v1:ener:1:nfm:",$A$1548:$A$1607,0))</f>
        <v>0</v>
      </c>
      <c r="R1524">
        <f>Mitigation_Industry!R183-INDEX(R$1548:R$1607,MATCH("v1:ener:1:nfm:",$A$1548:$A$1607,0))</f>
        <v>0</v>
      </c>
      <c r="S1524">
        <f>Mitigation_Industry!S183-INDEX(S$1548:S$1607,MATCH("v1:ener:1:nfm:",$A$1548:$A$1607,0))</f>
        <v>0</v>
      </c>
      <c r="T1524">
        <f>Mitigation_Industry!T183-INDEX(T$1548:T$1607,MATCH("v1:ener:1:nfm:",$A$1548:$A$1607,0))</f>
        <v>0</v>
      </c>
      <c r="U1524">
        <f>Mitigation_Industry!U183-INDEX(U$1548:U$1607,MATCH("v1:ener:1:nfm:",$A$1548:$A$1607,0))</f>
        <v>0</v>
      </c>
      <c r="V1524">
        <f>Mitigation_Industry!V183-INDEX(V$1548:V$1607,MATCH("v1:ener:1:nfm:",$A$1548:$A$1607,0))</f>
        <v>0</v>
      </c>
      <c r="W1524">
        <f>Mitigation_Industry!W183-INDEX(W$1548:W$1607,MATCH("v1:ener:1:nfm:",$A$1548:$A$1607,0))</f>
        <v>0</v>
      </c>
      <c r="X1524">
        <f>Mitigation_Industry!X183-INDEX(X$1548:X$1607,MATCH("v1:ener:1:nfm:",$A$1548:$A$1607,0))</f>
        <v>0</v>
      </c>
      <c r="Y1524">
        <f>Mitigation_Industry!Y183-INDEX(Y$1548:Y$1607,MATCH("v1:ener:1:nfm:",$A$1548:$A$1607,0))</f>
        <v>0</v>
      </c>
      <c r="Z1524">
        <f>Mitigation_Industry!Z183-INDEX(Z$1548:Z$1607,MATCH("v1:ener:1:nfm:",$A$1548:$A$1607,0))</f>
        <v>0</v>
      </c>
      <c r="AA1524">
        <f>Mitigation_Industry!AA183-INDEX(AA$1548:AA$1607,MATCH("v1:ener:1:nfm:",$A$1548:$A$1607,0))</f>
        <v>0</v>
      </c>
      <c r="AB1524">
        <f>Mitigation_Industry!AB183-INDEX(AB$1548:AB$1607,MATCH("v1:ener:1:nfm:",$A$1548:$A$1607,0))</f>
        <v>0</v>
      </c>
      <c r="AC1524">
        <f>Mitigation_Industry!AC183-INDEX(AC$1548:AC$1607,MATCH("v1:ener:1:nfm:",$A$1548:$A$1607,0))</f>
        <v>0</v>
      </c>
      <c r="AD1524">
        <f>Mitigation_Industry!AD183-INDEX(AD$1548:AD$1607,MATCH("v1:ener:1:nfm:",$A$1548:$A$1607,0))</f>
        <v>0</v>
      </c>
      <c r="AE1524">
        <f>Mitigation_Industry!AE183-INDEX(AE$1548:AE$1607,MATCH("v1:ener:1:nfm:",$A$1548:$A$1607,0))</f>
        <v>0</v>
      </c>
    </row>
    <row r="1525" spans="1:31" x14ac:dyDescent="0.45">
      <c r="A1525" t="s">
        <v>2354</v>
      </c>
      <c r="D1525">
        <v>1</v>
      </c>
      <c r="E1525" t="s">
        <v>1161</v>
      </c>
      <c r="F1525">
        <f>MAX(MAX(L1525:AE1525),-MIN(L1525:AE1525))</f>
        <v>0</v>
      </c>
      <c r="I1525">
        <v>0</v>
      </c>
      <c r="L1525">
        <f>Mitigation_Industry!L243-INDEX(L$1548:L$1607,MATCH("v1:ener:1:mch:",$A$1548:$A$1607,0))</f>
        <v>0</v>
      </c>
      <c r="M1525">
        <f>Mitigation_Industry!M243-INDEX(M$1548:M$1607,MATCH("v1:ener:1:mch:",$A$1548:$A$1607,0))</f>
        <v>0</v>
      </c>
      <c r="N1525">
        <f>Mitigation_Industry!N243-INDEX(N$1548:N$1607,MATCH("v1:ener:1:mch:",$A$1548:$A$1607,0))</f>
        <v>0</v>
      </c>
      <c r="O1525">
        <f>Mitigation_Industry!O243-INDEX(O$1548:O$1607,MATCH("v1:ener:1:mch:",$A$1548:$A$1607,0))</f>
        <v>0</v>
      </c>
      <c r="P1525">
        <f>Mitigation_Industry!P243-INDEX(P$1548:P$1607,MATCH("v1:ener:1:mch:",$A$1548:$A$1607,0))</f>
        <v>0</v>
      </c>
      <c r="Q1525">
        <f>Mitigation_Industry!Q243-INDEX(Q$1548:Q$1607,MATCH("v1:ener:1:mch:",$A$1548:$A$1607,0))</f>
        <v>0</v>
      </c>
      <c r="R1525">
        <f>Mitigation_Industry!R243-INDEX(R$1548:R$1607,MATCH("v1:ener:1:mch:",$A$1548:$A$1607,0))</f>
        <v>0</v>
      </c>
      <c r="S1525">
        <f>Mitigation_Industry!S243-INDEX(S$1548:S$1607,MATCH("v1:ener:1:mch:",$A$1548:$A$1607,0))</f>
        <v>0</v>
      </c>
      <c r="T1525">
        <f>Mitigation_Industry!T243-INDEX(T$1548:T$1607,MATCH("v1:ener:1:mch:",$A$1548:$A$1607,0))</f>
        <v>0</v>
      </c>
      <c r="U1525">
        <f>Mitigation_Industry!U243-INDEX(U$1548:U$1607,MATCH("v1:ener:1:mch:",$A$1548:$A$1607,0))</f>
        <v>0</v>
      </c>
      <c r="V1525">
        <f>Mitigation_Industry!V243-INDEX(V$1548:V$1607,MATCH("v1:ener:1:mch:",$A$1548:$A$1607,0))</f>
        <v>0</v>
      </c>
      <c r="W1525">
        <f>Mitigation_Industry!W243-INDEX(W$1548:W$1607,MATCH("v1:ener:1:mch:",$A$1548:$A$1607,0))</f>
        <v>0</v>
      </c>
      <c r="X1525">
        <f>Mitigation_Industry!X243-INDEX(X$1548:X$1607,MATCH("v1:ener:1:mch:",$A$1548:$A$1607,0))</f>
        <v>0</v>
      </c>
      <c r="Y1525">
        <f>Mitigation_Industry!Y243-INDEX(Y$1548:Y$1607,MATCH("v1:ener:1:mch:",$A$1548:$A$1607,0))</f>
        <v>0</v>
      </c>
      <c r="Z1525">
        <f>Mitigation_Industry!Z243-INDEX(Z$1548:Z$1607,MATCH("v1:ener:1:mch:",$A$1548:$A$1607,0))</f>
        <v>0</v>
      </c>
      <c r="AA1525">
        <f>Mitigation_Industry!AA243-INDEX(AA$1548:AA$1607,MATCH("v1:ener:1:mch:",$A$1548:$A$1607,0))</f>
        <v>0</v>
      </c>
      <c r="AB1525">
        <f>Mitigation_Industry!AB243-INDEX(AB$1548:AB$1607,MATCH("v1:ener:1:mch:",$A$1548:$A$1607,0))</f>
        <v>0</v>
      </c>
      <c r="AC1525">
        <f>Mitigation_Industry!AC243-INDEX(AC$1548:AC$1607,MATCH("v1:ener:1:mch:",$A$1548:$A$1607,0))</f>
        <v>0</v>
      </c>
      <c r="AD1525">
        <f>Mitigation_Industry!AD243-INDEX(AD$1548:AD$1607,MATCH("v1:ener:1:mch:",$A$1548:$A$1607,0))</f>
        <v>0</v>
      </c>
      <c r="AE1525">
        <f>Mitigation_Industry!AE243-INDEX(AE$1548:AE$1607,MATCH("v1:ener:1:mch:",$A$1548:$A$1607,0))</f>
        <v>0</v>
      </c>
    </row>
    <row r="1526" spans="1:31" x14ac:dyDescent="0.45">
      <c r="A1526" t="s">
        <v>2355</v>
      </c>
      <c r="D1526">
        <v>2</v>
      </c>
      <c r="E1526" t="s">
        <v>1161</v>
      </c>
      <c r="F1526">
        <f>MAX(MAX(L1526:AE1526),-MIN(L1526:AE1526))</f>
        <v>0</v>
      </c>
      <c r="I1526">
        <v>0</v>
      </c>
      <c r="L1526">
        <f>IF(Scenarios!$I$27=0,Mitigation_Industry!L462-INDEX(L$1548:L$1607,MATCH("v1:ener:2:irn:"&amp;Settings!$B$10,$A$1548:$A$1607,0)),0)</f>
        <v>0</v>
      </c>
      <c r="M1526">
        <f>IF(Scenarios!$I$27=0,Mitigation_Industry!M462-INDEX(M$1548:M$1607,MATCH("v1:ener:2:irn:"&amp;Settings!$B$10,$A$1548:$A$1607,0)),0)</f>
        <v>0</v>
      </c>
      <c r="N1526">
        <f>IF(Scenarios!$I$27=0,Mitigation_Industry!N462-INDEX(N$1548:N$1607,MATCH("v1:ener:2:irn:"&amp;Settings!$B$10,$A$1548:$A$1607,0)),0)</f>
        <v>0</v>
      </c>
      <c r="O1526">
        <f>IF(Scenarios!$I$27=0,Mitigation_Industry!O462-INDEX(O$1548:O$1607,MATCH("v1:ener:2:irn:"&amp;Settings!$B$10,$A$1548:$A$1607,0)),0)</f>
        <v>0</v>
      </c>
      <c r="P1526">
        <f>IF(Scenarios!$I$27=0,Mitigation_Industry!P462-INDEX(P$1548:P$1607,MATCH("v1:ener:2:irn:"&amp;Settings!$B$10,$A$1548:$A$1607,0)),0)</f>
        <v>0</v>
      </c>
      <c r="Q1526">
        <f>IF(Scenarios!$I$27=0,Mitigation_Industry!Q462-INDEX(Q$1548:Q$1607,MATCH("v1:ener:2:irn:"&amp;Settings!$B$10,$A$1548:$A$1607,0)),0)</f>
        <v>0</v>
      </c>
      <c r="R1526">
        <f>IF(Scenarios!$I$27=0,Mitigation_Industry!R462-INDEX(R$1548:R$1607,MATCH("v1:ener:2:irn:"&amp;Settings!$B$10,$A$1548:$A$1607,0)),0)</f>
        <v>0</v>
      </c>
      <c r="S1526">
        <f>IF(Scenarios!$I$27=0,Mitigation_Industry!S462-INDEX(S$1548:S$1607,MATCH("v1:ener:2:irn:"&amp;Settings!$B$10,$A$1548:$A$1607,0)),0)</f>
        <v>0</v>
      </c>
      <c r="T1526">
        <f>IF(Scenarios!$I$27=0,Mitigation_Industry!T462-INDEX(T$1548:T$1607,MATCH("v1:ener:2:irn:"&amp;Settings!$B$10,$A$1548:$A$1607,0)),0)</f>
        <v>0</v>
      </c>
      <c r="U1526">
        <f>IF(Scenarios!$I$27=0,Mitigation_Industry!U462-INDEX(U$1548:U$1607,MATCH("v1:ener:2:irn:"&amp;Settings!$B$10,$A$1548:$A$1607,0)),0)</f>
        <v>0</v>
      </c>
      <c r="V1526">
        <f>IF(Scenarios!$I$27=0,Mitigation_Industry!V462-INDEX(V$1548:V$1607,MATCH("v1:ener:2:irn:"&amp;Settings!$B$10,$A$1548:$A$1607,0)),0)</f>
        <v>0</v>
      </c>
      <c r="W1526">
        <f>IF(Scenarios!$I$27=0,Mitigation_Industry!W462-INDEX(W$1548:W$1607,MATCH("v1:ener:2:irn:"&amp;Settings!$B$10,$A$1548:$A$1607,0)),0)</f>
        <v>0</v>
      </c>
      <c r="X1526">
        <f>IF(Scenarios!$I$27=0,Mitigation_Industry!X462-INDEX(X$1548:X$1607,MATCH("v1:ener:2:irn:"&amp;Settings!$B$10,$A$1548:$A$1607,0)),0)</f>
        <v>0</v>
      </c>
      <c r="Y1526">
        <f>IF(Scenarios!$I$27=0,Mitigation_Industry!Y462-INDEX(Y$1548:Y$1607,MATCH("v1:ener:2:irn:"&amp;Settings!$B$10,$A$1548:$A$1607,0)),0)</f>
        <v>0</v>
      </c>
      <c r="Z1526">
        <f>IF(Scenarios!$I$27=0,Mitigation_Industry!Z462-INDEX(Z$1548:Z$1607,MATCH("v1:ener:2:irn:"&amp;Settings!$B$10,$A$1548:$A$1607,0)),0)</f>
        <v>0</v>
      </c>
      <c r="AA1526">
        <f>IF(Scenarios!$I$27=0,Mitigation_Industry!AA462-INDEX(AA$1548:AA$1607,MATCH("v1:ener:2:irn:"&amp;Settings!$B$10,$A$1548:$A$1607,0)),0)</f>
        <v>0</v>
      </c>
      <c r="AB1526">
        <f>IF(Scenarios!$I$27=0,Mitigation_Industry!AB462-INDEX(AB$1548:AB$1607,MATCH("v1:ener:2:irn:"&amp;Settings!$B$10,$A$1548:$A$1607,0)),0)</f>
        <v>0</v>
      </c>
      <c r="AC1526">
        <f>IF(Scenarios!$I$27=0,Mitigation_Industry!AC462-INDEX(AC$1548:AC$1607,MATCH("v1:ener:2:irn:"&amp;Settings!$B$10,$A$1548:$A$1607,0)),0)</f>
        <v>0</v>
      </c>
      <c r="AD1526">
        <f>IF(Scenarios!$I$27=0,Mitigation_Industry!AD462-INDEX(AD$1548:AD$1607,MATCH("v1:ener:2:irn:"&amp;Settings!$B$10,$A$1548:$A$1607,0)),0)</f>
        <v>0</v>
      </c>
      <c r="AE1526">
        <f>IF(Scenarios!$I$27=0,Mitigation_Industry!AE462-INDEX(AE$1548:AE$1607,MATCH("v1:ener:2:irn:"&amp;Settings!$B$10,$A$1548:$A$1607,0)),0)</f>
        <v>0</v>
      </c>
    </row>
    <row r="1527" spans="1:31" x14ac:dyDescent="0.45">
      <c r="A1527" t="s">
        <v>2356</v>
      </c>
      <c r="D1527">
        <v>2</v>
      </c>
      <c r="E1527" t="s">
        <v>1161</v>
      </c>
      <c r="F1527">
        <f>MAX(MAX(L1527:AE1527),-MIN(L1527:AE1527))</f>
        <v>0</v>
      </c>
      <c r="I1527">
        <v>0</v>
      </c>
      <c r="L1527">
        <f>IF(Scenarios!$I$27=0,Mitigation_Industry!L522-INDEX(L$1548:L$1607,MATCH("v1:ener:2:cem:"&amp;Settings!$B$10,$A$1548:$A$1607,0)),0)</f>
        <v>0</v>
      </c>
      <c r="M1527">
        <f>IF(Scenarios!$I$27=0,Mitigation_Industry!M522-INDEX(M$1548:M$1607,MATCH("v1:ener:2:cem:"&amp;Settings!$B$10,$A$1548:$A$1607,0)),0)</f>
        <v>0</v>
      </c>
      <c r="N1527">
        <f>IF(Scenarios!$I$27=0,Mitigation_Industry!N522-INDEX(N$1548:N$1607,MATCH("v1:ener:2:cem:"&amp;Settings!$B$10,$A$1548:$A$1607,0)),0)</f>
        <v>0</v>
      </c>
      <c r="O1527">
        <f>IF(Scenarios!$I$27=0,Mitigation_Industry!O522-INDEX(O$1548:O$1607,MATCH("v1:ener:2:cem:"&amp;Settings!$B$10,$A$1548:$A$1607,0)),0)</f>
        <v>0</v>
      </c>
      <c r="P1527">
        <f>IF(Scenarios!$I$27=0,Mitigation_Industry!P522-INDEX(P$1548:P$1607,MATCH("v1:ener:2:cem:"&amp;Settings!$B$10,$A$1548:$A$1607,0)),0)</f>
        <v>0</v>
      </c>
      <c r="Q1527">
        <f>IF(Scenarios!$I$27=0,Mitigation_Industry!Q522-INDEX(Q$1548:Q$1607,MATCH("v1:ener:2:cem:"&amp;Settings!$B$10,$A$1548:$A$1607,0)),0)</f>
        <v>0</v>
      </c>
      <c r="R1527">
        <f>IF(Scenarios!$I$27=0,Mitigation_Industry!R522-INDEX(R$1548:R$1607,MATCH("v1:ener:2:cem:"&amp;Settings!$B$10,$A$1548:$A$1607,0)),0)</f>
        <v>0</v>
      </c>
      <c r="S1527">
        <f>IF(Scenarios!$I$27=0,Mitigation_Industry!S522-INDEX(S$1548:S$1607,MATCH("v1:ener:2:cem:"&amp;Settings!$B$10,$A$1548:$A$1607,0)),0)</f>
        <v>0</v>
      </c>
      <c r="T1527">
        <f>IF(Scenarios!$I$27=0,Mitigation_Industry!T522-INDEX(T$1548:T$1607,MATCH("v1:ener:2:cem:"&amp;Settings!$B$10,$A$1548:$A$1607,0)),0)</f>
        <v>0</v>
      </c>
      <c r="U1527">
        <f>IF(Scenarios!$I$27=0,Mitigation_Industry!U522-INDEX(U$1548:U$1607,MATCH("v1:ener:2:cem:"&amp;Settings!$B$10,$A$1548:$A$1607,0)),0)</f>
        <v>0</v>
      </c>
      <c r="V1527">
        <f>IF(Scenarios!$I$27=0,Mitigation_Industry!V522-INDEX(V$1548:V$1607,MATCH("v1:ener:2:cem:"&amp;Settings!$B$10,$A$1548:$A$1607,0)),0)</f>
        <v>0</v>
      </c>
      <c r="W1527">
        <f>IF(Scenarios!$I$27=0,Mitigation_Industry!W522-INDEX(W$1548:W$1607,MATCH("v1:ener:2:cem:"&amp;Settings!$B$10,$A$1548:$A$1607,0)),0)</f>
        <v>0</v>
      </c>
      <c r="X1527">
        <f>IF(Scenarios!$I$27=0,Mitigation_Industry!X522-INDEX(X$1548:X$1607,MATCH("v1:ener:2:cem:"&amp;Settings!$B$10,$A$1548:$A$1607,0)),0)</f>
        <v>0</v>
      </c>
      <c r="Y1527">
        <f>IF(Scenarios!$I$27=0,Mitigation_Industry!Y522-INDEX(Y$1548:Y$1607,MATCH("v1:ener:2:cem:"&amp;Settings!$B$10,$A$1548:$A$1607,0)),0)</f>
        <v>0</v>
      </c>
      <c r="Z1527">
        <f>IF(Scenarios!$I$27=0,Mitigation_Industry!Z522-INDEX(Z$1548:Z$1607,MATCH("v1:ener:2:cem:"&amp;Settings!$B$10,$A$1548:$A$1607,0)),0)</f>
        <v>0</v>
      </c>
      <c r="AA1527">
        <f>IF(Scenarios!$I$27=0,Mitigation_Industry!AA522-INDEX(AA$1548:AA$1607,MATCH("v1:ener:2:cem:"&amp;Settings!$B$10,$A$1548:$A$1607,0)),0)</f>
        <v>0</v>
      </c>
      <c r="AB1527">
        <f>IF(Scenarios!$I$27=0,Mitigation_Industry!AB522-INDEX(AB$1548:AB$1607,MATCH("v1:ener:2:cem:"&amp;Settings!$B$10,$A$1548:$A$1607,0)),0)</f>
        <v>0</v>
      </c>
      <c r="AC1527">
        <f>IF(Scenarios!$I$27=0,Mitigation_Industry!AC522-INDEX(AC$1548:AC$1607,MATCH("v1:ener:2:cem:"&amp;Settings!$B$10,$A$1548:$A$1607,0)),0)</f>
        <v>0</v>
      </c>
      <c r="AD1527">
        <f>IF(Scenarios!$I$27=0,Mitigation_Industry!AD522-INDEX(AD$1548:AD$1607,MATCH("v1:ener:2:cem:"&amp;Settings!$B$10,$A$1548:$A$1607,0)),0)</f>
        <v>0</v>
      </c>
      <c r="AE1527">
        <f>IF(Scenarios!$I$27=0,Mitigation_Industry!AE522-INDEX(AE$1548:AE$1607,MATCH("v1:ener:2:cem:"&amp;Settings!$B$10,$A$1548:$A$1607,0)),0)</f>
        <v>0</v>
      </c>
    </row>
    <row r="1528" spans="1:31" x14ac:dyDescent="0.45">
      <c r="A1528" t="s">
        <v>2357</v>
      </c>
      <c r="D1528">
        <v>2</v>
      </c>
      <c r="E1528" t="s">
        <v>1161</v>
      </c>
      <c r="F1528">
        <f>MAX(MAX(L1528:AE1528),-MIN(L1528:AE1528))</f>
        <v>0</v>
      </c>
      <c r="I1528">
        <v>0</v>
      </c>
      <c r="L1528">
        <f>IF(Scenarios!$I$27=0,Mitigation_Industry!L582-INDEX(L$1548:L$1607,MATCH("v1:ener:2:nfm:"&amp;Settings!$B$10,$A$1548:$A$1607,0)),0)</f>
        <v>0</v>
      </c>
      <c r="M1528">
        <f>IF(Scenarios!$I$27=0,Mitigation_Industry!M582-INDEX(M$1548:M$1607,MATCH("v1:ener:2:nfm:"&amp;Settings!$B$10,$A$1548:$A$1607,0)),0)</f>
        <v>0</v>
      </c>
      <c r="N1528">
        <f>IF(Scenarios!$I$27=0,Mitigation_Industry!N582-INDEX(N$1548:N$1607,MATCH("v1:ener:2:nfm:"&amp;Settings!$B$10,$A$1548:$A$1607,0)),0)</f>
        <v>0</v>
      </c>
      <c r="O1528">
        <f>IF(Scenarios!$I$27=0,Mitigation_Industry!O582-INDEX(O$1548:O$1607,MATCH("v1:ener:2:nfm:"&amp;Settings!$B$10,$A$1548:$A$1607,0)),0)</f>
        <v>0</v>
      </c>
      <c r="P1528">
        <f>IF(Scenarios!$I$27=0,Mitigation_Industry!P582-INDEX(P$1548:P$1607,MATCH("v1:ener:2:nfm:"&amp;Settings!$B$10,$A$1548:$A$1607,0)),0)</f>
        <v>0</v>
      </c>
      <c r="Q1528">
        <f>IF(Scenarios!$I$27=0,Mitigation_Industry!Q582-INDEX(Q$1548:Q$1607,MATCH("v1:ener:2:nfm:"&amp;Settings!$B$10,$A$1548:$A$1607,0)),0)</f>
        <v>0</v>
      </c>
      <c r="R1528">
        <f>IF(Scenarios!$I$27=0,Mitigation_Industry!R582-INDEX(R$1548:R$1607,MATCH("v1:ener:2:nfm:"&amp;Settings!$B$10,$A$1548:$A$1607,0)),0)</f>
        <v>0</v>
      </c>
      <c r="S1528">
        <f>IF(Scenarios!$I$27=0,Mitigation_Industry!S582-INDEX(S$1548:S$1607,MATCH("v1:ener:2:nfm:"&amp;Settings!$B$10,$A$1548:$A$1607,0)),0)</f>
        <v>0</v>
      </c>
      <c r="T1528">
        <f>IF(Scenarios!$I$27=0,Mitigation_Industry!T582-INDEX(T$1548:T$1607,MATCH("v1:ener:2:nfm:"&amp;Settings!$B$10,$A$1548:$A$1607,0)),0)</f>
        <v>0</v>
      </c>
      <c r="U1528">
        <f>IF(Scenarios!$I$27=0,Mitigation_Industry!U582-INDEX(U$1548:U$1607,MATCH("v1:ener:2:nfm:"&amp;Settings!$B$10,$A$1548:$A$1607,0)),0)</f>
        <v>0</v>
      </c>
      <c r="V1528">
        <f>IF(Scenarios!$I$27=0,Mitigation_Industry!V582-INDEX(V$1548:V$1607,MATCH("v1:ener:2:nfm:"&amp;Settings!$B$10,$A$1548:$A$1607,0)),0)</f>
        <v>0</v>
      </c>
      <c r="W1528">
        <f>IF(Scenarios!$I$27=0,Mitigation_Industry!W582-INDEX(W$1548:W$1607,MATCH("v1:ener:2:nfm:"&amp;Settings!$B$10,$A$1548:$A$1607,0)),0)</f>
        <v>0</v>
      </c>
      <c r="X1528">
        <f>IF(Scenarios!$I$27=0,Mitigation_Industry!X582-INDEX(X$1548:X$1607,MATCH("v1:ener:2:nfm:"&amp;Settings!$B$10,$A$1548:$A$1607,0)),0)</f>
        <v>0</v>
      </c>
      <c r="Y1528">
        <f>IF(Scenarios!$I$27=0,Mitigation_Industry!Y582-INDEX(Y$1548:Y$1607,MATCH("v1:ener:2:nfm:"&amp;Settings!$B$10,$A$1548:$A$1607,0)),0)</f>
        <v>0</v>
      </c>
      <c r="Z1528">
        <f>IF(Scenarios!$I$27=0,Mitigation_Industry!Z582-INDEX(Z$1548:Z$1607,MATCH("v1:ener:2:nfm:"&amp;Settings!$B$10,$A$1548:$A$1607,0)),0)</f>
        <v>0</v>
      </c>
      <c r="AA1528">
        <f>IF(Scenarios!$I$27=0,Mitigation_Industry!AA582-INDEX(AA$1548:AA$1607,MATCH("v1:ener:2:nfm:"&amp;Settings!$B$10,$A$1548:$A$1607,0)),0)</f>
        <v>0</v>
      </c>
      <c r="AB1528">
        <f>IF(Scenarios!$I$27=0,Mitigation_Industry!AB582-INDEX(AB$1548:AB$1607,MATCH("v1:ener:2:nfm:"&amp;Settings!$B$10,$A$1548:$A$1607,0)),0)</f>
        <v>0</v>
      </c>
      <c r="AC1528">
        <f>IF(Scenarios!$I$27=0,Mitigation_Industry!AC582-INDEX(AC$1548:AC$1607,MATCH("v1:ener:2:nfm:"&amp;Settings!$B$10,$A$1548:$A$1607,0)),0)</f>
        <v>0</v>
      </c>
      <c r="AD1528">
        <f>IF(Scenarios!$I$27=0,Mitigation_Industry!AD582-INDEX(AD$1548:AD$1607,MATCH("v1:ener:2:nfm:"&amp;Settings!$B$10,$A$1548:$A$1607,0)),0)</f>
        <v>0</v>
      </c>
      <c r="AE1528">
        <f>IF(Scenarios!$I$27=0,Mitigation_Industry!AE582-INDEX(AE$1548:AE$1607,MATCH("v1:ener:2:nfm:"&amp;Settings!$B$10,$A$1548:$A$1607,0)),0)</f>
        <v>0</v>
      </c>
    </row>
    <row r="1529" spans="1:31" x14ac:dyDescent="0.45">
      <c r="A1529" t="s">
        <v>2358</v>
      </c>
      <c r="D1529">
        <v>2</v>
      </c>
      <c r="E1529" t="s">
        <v>1161</v>
      </c>
      <c r="F1529">
        <f>MAX(MAX(L1529:AE1529),-MIN(L1529:AE1529))</f>
        <v>0</v>
      </c>
      <c r="I1529">
        <v>0</v>
      </c>
      <c r="L1529">
        <f>IF(Scenarios!$I$27=0,Mitigation_Industry!L642-INDEX(L$1548:L$1607,MATCH("v1:ener:2:mch:"&amp;Settings!$B$10,$A$1548:$A$1607,0)),0)</f>
        <v>0</v>
      </c>
      <c r="M1529">
        <f>IF(Scenarios!$I$27=0,Mitigation_Industry!M642-INDEX(M$1548:M$1607,MATCH("v1:ener:2:mch:"&amp;Settings!$B$10,$A$1548:$A$1607,0)),0)</f>
        <v>0</v>
      </c>
      <c r="N1529">
        <f>IF(Scenarios!$I$27=0,Mitigation_Industry!N642-INDEX(N$1548:N$1607,MATCH("v1:ener:2:mch:"&amp;Settings!$B$10,$A$1548:$A$1607,0)),0)</f>
        <v>0</v>
      </c>
      <c r="O1529">
        <f>IF(Scenarios!$I$27=0,Mitigation_Industry!O642-INDEX(O$1548:O$1607,MATCH("v1:ener:2:mch:"&amp;Settings!$B$10,$A$1548:$A$1607,0)),0)</f>
        <v>0</v>
      </c>
      <c r="P1529">
        <f>IF(Scenarios!$I$27=0,Mitigation_Industry!P642-INDEX(P$1548:P$1607,MATCH("v1:ener:2:mch:"&amp;Settings!$B$10,$A$1548:$A$1607,0)),0)</f>
        <v>0</v>
      </c>
      <c r="Q1529">
        <f>IF(Scenarios!$I$27=0,Mitigation_Industry!Q642-INDEX(Q$1548:Q$1607,MATCH("v1:ener:2:mch:"&amp;Settings!$B$10,$A$1548:$A$1607,0)),0)</f>
        <v>0</v>
      </c>
      <c r="R1529">
        <f>IF(Scenarios!$I$27=0,Mitigation_Industry!R642-INDEX(R$1548:R$1607,MATCH("v1:ener:2:mch:"&amp;Settings!$B$10,$A$1548:$A$1607,0)),0)</f>
        <v>0</v>
      </c>
      <c r="S1529">
        <f>IF(Scenarios!$I$27=0,Mitigation_Industry!S642-INDEX(S$1548:S$1607,MATCH("v1:ener:2:mch:"&amp;Settings!$B$10,$A$1548:$A$1607,0)),0)</f>
        <v>0</v>
      </c>
      <c r="T1529">
        <f>IF(Scenarios!$I$27=0,Mitigation_Industry!T642-INDEX(T$1548:T$1607,MATCH("v1:ener:2:mch:"&amp;Settings!$B$10,$A$1548:$A$1607,0)),0)</f>
        <v>0</v>
      </c>
      <c r="U1529">
        <f>IF(Scenarios!$I$27=0,Mitigation_Industry!U642-INDEX(U$1548:U$1607,MATCH("v1:ener:2:mch:"&amp;Settings!$B$10,$A$1548:$A$1607,0)),0)</f>
        <v>0</v>
      </c>
      <c r="V1529">
        <f>IF(Scenarios!$I$27=0,Mitigation_Industry!V642-INDEX(V$1548:V$1607,MATCH("v1:ener:2:mch:"&amp;Settings!$B$10,$A$1548:$A$1607,0)),0)</f>
        <v>0</v>
      </c>
      <c r="W1529">
        <f>IF(Scenarios!$I$27=0,Mitigation_Industry!W642-INDEX(W$1548:W$1607,MATCH("v1:ener:2:mch:"&amp;Settings!$B$10,$A$1548:$A$1607,0)),0)</f>
        <v>0</v>
      </c>
      <c r="X1529">
        <f>IF(Scenarios!$I$27=0,Mitigation_Industry!X642-INDEX(X$1548:X$1607,MATCH("v1:ener:2:mch:"&amp;Settings!$B$10,$A$1548:$A$1607,0)),0)</f>
        <v>0</v>
      </c>
      <c r="Y1529">
        <f>IF(Scenarios!$I$27=0,Mitigation_Industry!Y642-INDEX(Y$1548:Y$1607,MATCH("v1:ener:2:mch:"&amp;Settings!$B$10,$A$1548:$A$1607,0)),0)</f>
        <v>0</v>
      </c>
      <c r="Z1529">
        <f>IF(Scenarios!$I$27=0,Mitigation_Industry!Z642-INDEX(Z$1548:Z$1607,MATCH("v1:ener:2:mch:"&amp;Settings!$B$10,$A$1548:$A$1607,0)),0)</f>
        <v>0</v>
      </c>
      <c r="AA1529">
        <f>IF(Scenarios!$I$27=0,Mitigation_Industry!AA642-INDEX(AA$1548:AA$1607,MATCH("v1:ener:2:mch:"&amp;Settings!$B$10,$A$1548:$A$1607,0)),0)</f>
        <v>0</v>
      </c>
      <c r="AB1529">
        <f>IF(Scenarios!$I$27=0,Mitigation_Industry!AB642-INDEX(AB$1548:AB$1607,MATCH("v1:ener:2:mch:"&amp;Settings!$B$10,$A$1548:$A$1607,0)),0)</f>
        <v>0</v>
      </c>
      <c r="AC1529">
        <f>IF(Scenarios!$I$27=0,Mitigation_Industry!AC642-INDEX(AC$1548:AC$1607,MATCH("v1:ener:2:mch:"&amp;Settings!$B$10,$A$1548:$A$1607,0)),0)</f>
        <v>0</v>
      </c>
      <c r="AD1529">
        <f>IF(Scenarios!$I$27=0,Mitigation_Industry!AD642-INDEX(AD$1548:AD$1607,MATCH("v1:ener:2:mch:"&amp;Settings!$B$10,$A$1548:$A$1607,0)),0)</f>
        <v>0</v>
      </c>
      <c r="AE1529">
        <f>IF(Scenarios!$I$27=0,Mitigation_Industry!AE642-INDEX(AE$1548:AE$1607,MATCH("v1:ener:2:mch:"&amp;Settings!$B$10,$A$1548:$A$1607,0)),0)</f>
        <v>0</v>
      </c>
    </row>
    <row r="1530" spans="1:31" x14ac:dyDescent="0.45">
      <c r="A1530" t="s">
        <v>2359</v>
      </c>
      <c r="D1530">
        <v>2</v>
      </c>
      <c r="E1530" t="s">
        <v>2071</v>
      </c>
      <c r="F1530">
        <f>SUM(L1530:AE1530)</f>
        <v>0</v>
      </c>
      <c r="I1530">
        <v>0</v>
      </c>
      <c r="L1530">
        <f>IF(Scenarios!$I$27=0,0,--(Mitigation_Industry!L462&lt;INDEX(L$1548:L$1607,MATCH("v1:ener:2:irn:"&amp;Settings!$B$10,$A$1548:$A$1607,0))-0.000000001))</f>
        <v>0</v>
      </c>
      <c r="M1530">
        <f>IF(Scenarios!$I$27=0,0,--(Mitigation_Industry!M462&lt;INDEX(M$1548:M$1607,MATCH("v1:ener:2:irn:"&amp;Settings!$B$10,$A$1548:$A$1607,0))-0.000000001))</f>
        <v>0</v>
      </c>
      <c r="N1530">
        <f>IF(Scenarios!$I$27=0,0,--(Mitigation_Industry!N462&lt;INDEX(N$1548:N$1607,MATCH("v1:ener:2:irn:"&amp;Settings!$B$10,$A$1548:$A$1607,0))-0.000000001))</f>
        <v>0</v>
      </c>
      <c r="O1530">
        <f>IF(Scenarios!$I$27=0,0,--(Mitigation_Industry!O462&lt;INDEX(O$1548:O$1607,MATCH("v1:ener:2:irn:"&amp;Settings!$B$10,$A$1548:$A$1607,0))-0.000000001))</f>
        <v>0</v>
      </c>
      <c r="P1530">
        <f>IF(Scenarios!$I$27=0,0,--(Mitigation_Industry!P462&lt;INDEX(P$1548:P$1607,MATCH("v1:ener:2:irn:"&amp;Settings!$B$10,$A$1548:$A$1607,0))-0.000000001))</f>
        <v>0</v>
      </c>
      <c r="Q1530">
        <f>IF(Scenarios!$I$27=0,0,--(Mitigation_Industry!Q462&lt;INDEX(Q$1548:Q$1607,MATCH("v1:ener:2:irn:"&amp;Settings!$B$10,$A$1548:$A$1607,0))-0.000000001))</f>
        <v>0</v>
      </c>
      <c r="R1530">
        <f>IF(Scenarios!$I$27=0,0,--(Mitigation_Industry!R462&lt;INDEX(R$1548:R$1607,MATCH("v1:ener:2:irn:"&amp;Settings!$B$10,$A$1548:$A$1607,0))-0.000000001))</f>
        <v>0</v>
      </c>
      <c r="S1530">
        <f>IF(Scenarios!$I$27=0,0,--(Mitigation_Industry!S462&lt;INDEX(S$1548:S$1607,MATCH("v1:ener:2:irn:"&amp;Settings!$B$10,$A$1548:$A$1607,0))-0.000000001))</f>
        <v>0</v>
      </c>
      <c r="T1530">
        <f>IF(Scenarios!$I$27=0,0,--(Mitigation_Industry!T462&lt;INDEX(T$1548:T$1607,MATCH("v1:ener:2:irn:"&amp;Settings!$B$10,$A$1548:$A$1607,0))-0.000000001))</f>
        <v>0</v>
      </c>
      <c r="U1530">
        <f>IF(Scenarios!$I$27=0,0,--(Mitigation_Industry!U462&lt;INDEX(U$1548:U$1607,MATCH("v1:ener:2:irn:"&amp;Settings!$B$10,$A$1548:$A$1607,0))-0.000000001))</f>
        <v>0</v>
      </c>
      <c r="V1530">
        <f>IF(Scenarios!$I$27=0,0,--(Mitigation_Industry!V462&lt;INDEX(V$1548:V$1607,MATCH("v1:ener:2:irn:"&amp;Settings!$B$10,$A$1548:$A$1607,0))-0.000000001))</f>
        <v>0</v>
      </c>
      <c r="W1530">
        <f>IF(Scenarios!$I$27=0,0,--(Mitigation_Industry!W462&lt;INDEX(W$1548:W$1607,MATCH("v1:ener:2:irn:"&amp;Settings!$B$10,$A$1548:$A$1607,0))-0.000000001))</f>
        <v>0</v>
      </c>
      <c r="X1530">
        <f>IF(Scenarios!$I$27=0,0,--(Mitigation_Industry!X462&lt;INDEX(X$1548:X$1607,MATCH("v1:ener:2:irn:"&amp;Settings!$B$10,$A$1548:$A$1607,0))-0.000000001))</f>
        <v>0</v>
      </c>
      <c r="Y1530">
        <f>IF(Scenarios!$I$27=0,0,--(Mitigation_Industry!Y462&lt;INDEX(Y$1548:Y$1607,MATCH("v1:ener:2:irn:"&amp;Settings!$B$10,$A$1548:$A$1607,0))-0.000000001))</f>
        <v>0</v>
      </c>
      <c r="Z1530">
        <f>IF(Scenarios!$I$27=0,0,--(Mitigation_Industry!Z462&lt;INDEX(Z$1548:Z$1607,MATCH("v1:ener:2:irn:"&amp;Settings!$B$10,$A$1548:$A$1607,0))-0.000000001))</f>
        <v>0</v>
      </c>
      <c r="AA1530">
        <f>IF(Scenarios!$I$27=0,0,--(Mitigation_Industry!AA462&lt;INDEX(AA$1548:AA$1607,MATCH("v1:ener:2:irn:"&amp;Settings!$B$10,$A$1548:$A$1607,0))-0.000000001))</f>
        <v>0</v>
      </c>
      <c r="AB1530">
        <f>IF(Scenarios!$I$27=0,0,--(Mitigation_Industry!AB462&lt;INDEX(AB$1548:AB$1607,MATCH("v1:ener:2:irn:"&amp;Settings!$B$10,$A$1548:$A$1607,0))-0.000000001))</f>
        <v>0</v>
      </c>
      <c r="AC1530">
        <f>IF(Scenarios!$I$27=0,0,--(Mitigation_Industry!AC462&lt;INDEX(AC$1548:AC$1607,MATCH("v1:ener:2:irn:"&amp;Settings!$B$10,$A$1548:$A$1607,0))-0.000000001))</f>
        <v>0</v>
      </c>
      <c r="AD1530">
        <f>IF(Scenarios!$I$27=0,0,--(Mitigation_Industry!AD462&lt;INDEX(AD$1548:AD$1607,MATCH("v1:ener:2:irn:"&amp;Settings!$B$10,$A$1548:$A$1607,0))-0.000000001))</f>
        <v>0</v>
      </c>
      <c r="AE1530">
        <f>IF(Scenarios!$I$27=0,0,--(Mitigation_Industry!AE462&lt;INDEX(AE$1548:AE$1607,MATCH("v1:ener:2:irn:"&amp;Settings!$B$10,$A$1548:$A$1607,0))-0.000000001))</f>
        <v>0</v>
      </c>
    </row>
    <row r="1531" spans="1:31" x14ac:dyDescent="0.45">
      <c r="A1531" t="s">
        <v>2360</v>
      </c>
      <c r="D1531">
        <v>2</v>
      </c>
      <c r="E1531" t="s">
        <v>2071</v>
      </c>
      <c r="F1531">
        <f>SUM(L1531:AE1531)</f>
        <v>0</v>
      </c>
      <c r="I1531">
        <v>0</v>
      </c>
      <c r="L1531">
        <f>IF(Scenarios!$I$27=0,0,--(Mitigation_Industry!L522&lt;INDEX(L$1548:L$1607,MATCH("v1:ener:2:cem:"&amp;Settings!$B$10,$A$1548:$A$1607,0))-0.000000001))</f>
        <v>0</v>
      </c>
      <c r="M1531">
        <f>IF(Scenarios!$I$27=0,0,--(Mitigation_Industry!M522&lt;INDEX(M$1548:M$1607,MATCH("v1:ener:2:cem:"&amp;Settings!$B$10,$A$1548:$A$1607,0))-0.000000001))</f>
        <v>0</v>
      </c>
      <c r="N1531">
        <f>IF(Scenarios!$I$27=0,0,--(Mitigation_Industry!N522&lt;INDEX(N$1548:N$1607,MATCH("v1:ener:2:cem:"&amp;Settings!$B$10,$A$1548:$A$1607,0))-0.000000001))</f>
        <v>0</v>
      </c>
      <c r="O1531">
        <f>IF(Scenarios!$I$27=0,0,--(Mitigation_Industry!O522&lt;INDEX(O$1548:O$1607,MATCH("v1:ener:2:cem:"&amp;Settings!$B$10,$A$1548:$A$1607,0))-0.000000001))</f>
        <v>0</v>
      </c>
      <c r="P1531">
        <f>IF(Scenarios!$I$27=0,0,--(Mitigation_Industry!P522&lt;INDEX(P$1548:P$1607,MATCH("v1:ener:2:cem:"&amp;Settings!$B$10,$A$1548:$A$1607,0))-0.000000001))</f>
        <v>0</v>
      </c>
      <c r="Q1531">
        <f>IF(Scenarios!$I$27=0,0,--(Mitigation_Industry!Q522&lt;INDEX(Q$1548:Q$1607,MATCH("v1:ener:2:cem:"&amp;Settings!$B$10,$A$1548:$A$1607,0))-0.000000001))</f>
        <v>0</v>
      </c>
      <c r="R1531">
        <f>IF(Scenarios!$I$27=0,0,--(Mitigation_Industry!R522&lt;INDEX(R$1548:R$1607,MATCH("v1:ener:2:cem:"&amp;Settings!$B$10,$A$1548:$A$1607,0))-0.000000001))</f>
        <v>0</v>
      </c>
      <c r="S1531">
        <f>IF(Scenarios!$I$27=0,0,--(Mitigation_Industry!S522&lt;INDEX(S$1548:S$1607,MATCH("v1:ener:2:cem:"&amp;Settings!$B$10,$A$1548:$A$1607,0))-0.000000001))</f>
        <v>0</v>
      </c>
      <c r="T1531">
        <f>IF(Scenarios!$I$27=0,0,--(Mitigation_Industry!T522&lt;INDEX(T$1548:T$1607,MATCH("v1:ener:2:cem:"&amp;Settings!$B$10,$A$1548:$A$1607,0))-0.000000001))</f>
        <v>0</v>
      </c>
      <c r="U1531">
        <f>IF(Scenarios!$I$27=0,0,--(Mitigation_Industry!U522&lt;INDEX(U$1548:U$1607,MATCH("v1:ener:2:cem:"&amp;Settings!$B$10,$A$1548:$A$1607,0))-0.000000001))</f>
        <v>0</v>
      </c>
      <c r="V1531">
        <f>IF(Scenarios!$I$27=0,0,--(Mitigation_Industry!V522&lt;INDEX(V$1548:V$1607,MATCH("v1:ener:2:cem:"&amp;Settings!$B$10,$A$1548:$A$1607,0))-0.000000001))</f>
        <v>0</v>
      </c>
      <c r="W1531">
        <f>IF(Scenarios!$I$27=0,0,--(Mitigation_Industry!W522&lt;INDEX(W$1548:W$1607,MATCH("v1:ener:2:cem:"&amp;Settings!$B$10,$A$1548:$A$1607,0))-0.000000001))</f>
        <v>0</v>
      </c>
      <c r="X1531">
        <f>IF(Scenarios!$I$27=0,0,--(Mitigation_Industry!X522&lt;INDEX(X$1548:X$1607,MATCH("v1:ener:2:cem:"&amp;Settings!$B$10,$A$1548:$A$1607,0))-0.000000001))</f>
        <v>0</v>
      </c>
      <c r="Y1531">
        <f>IF(Scenarios!$I$27=0,0,--(Mitigation_Industry!Y522&lt;INDEX(Y$1548:Y$1607,MATCH("v1:ener:2:cem:"&amp;Settings!$B$10,$A$1548:$A$1607,0))-0.000000001))</f>
        <v>0</v>
      </c>
      <c r="Z1531">
        <f>IF(Scenarios!$I$27=0,0,--(Mitigation_Industry!Z522&lt;INDEX(Z$1548:Z$1607,MATCH("v1:ener:2:cem:"&amp;Settings!$B$10,$A$1548:$A$1607,0))-0.000000001))</f>
        <v>0</v>
      </c>
      <c r="AA1531">
        <f>IF(Scenarios!$I$27=0,0,--(Mitigation_Industry!AA522&lt;INDEX(AA$1548:AA$1607,MATCH("v1:ener:2:cem:"&amp;Settings!$B$10,$A$1548:$A$1607,0))-0.000000001))</f>
        <v>0</v>
      </c>
      <c r="AB1531">
        <f>IF(Scenarios!$I$27=0,0,--(Mitigation_Industry!AB522&lt;INDEX(AB$1548:AB$1607,MATCH("v1:ener:2:cem:"&amp;Settings!$B$10,$A$1548:$A$1607,0))-0.000000001))</f>
        <v>0</v>
      </c>
      <c r="AC1531">
        <f>IF(Scenarios!$I$27=0,0,--(Mitigation_Industry!AC522&lt;INDEX(AC$1548:AC$1607,MATCH("v1:ener:2:cem:"&amp;Settings!$B$10,$A$1548:$A$1607,0))-0.000000001))</f>
        <v>0</v>
      </c>
      <c r="AD1531">
        <f>IF(Scenarios!$I$27=0,0,--(Mitigation_Industry!AD522&lt;INDEX(AD$1548:AD$1607,MATCH("v1:ener:2:cem:"&amp;Settings!$B$10,$A$1548:$A$1607,0))-0.000000001))</f>
        <v>0</v>
      </c>
      <c r="AE1531">
        <f>IF(Scenarios!$I$27=0,0,--(Mitigation_Industry!AE522&lt;INDEX(AE$1548:AE$1607,MATCH("v1:ener:2:cem:"&amp;Settings!$B$10,$A$1548:$A$1607,0))-0.000000001))</f>
        <v>0</v>
      </c>
    </row>
    <row r="1532" spans="1:31" x14ac:dyDescent="0.45">
      <c r="A1532" t="s">
        <v>2361</v>
      </c>
      <c r="D1532">
        <v>2</v>
      </c>
      <c r="E1532" t="s">
        <v>2071</v>
      </c>
      <c r="F1532">
        <f>SUM(L1532:AE1532)</f>
        <v>0</v>
      </c>
      <c r="I1532">
        <v>0</v>
      </c>
      <c r="L1532">
        <f>IF(Scenarios!$I$27=0,0,--(Mitigation_Industry!L582&lt;INDEX(L$1548:L$1607,MATCH("v1:ener:2:nfm:"&amp;Settings!$B$10,$A$1548:$A$1607,0))-0.000000001))</f>
        <v>0</v>
      </c>
      <c r="M1532">
        <f>IF(Scenarios!$I$27=0,0,--(Mitigation_Industry!M582&lt;INDEX(M$1548:M$1607,MATCH("v1:ener:2:nfm:"&amp;Settings!$B$10,$A$1548:$A$1607,0))-0.000000001))</f>
        <v>0</v>
      </c>
      <c r="N1532">
        <f>IF(Scenarios!$I$27=0,0,--(Mitigation_Industry!N582&lt;INDEX(N$1548:N$1607,MATCH("v1:ener:2:nfm:"&amp;Settings!$B$10,$A$1548:$A$1607,0))-0.000000001))</f>
        <v>0</v>
      </c>
      <c r="O1532">
        <f>IF(Scenarios!$I$27=0,0,--(Mitigation_Industry!O582&lt;INDEX(O$1548:O$1607,MATCH("v1:ener:2:nfm:"&amp;Settings!$B$10,$A$1548:$A$1607,0))-0.000000001))</f>
        <v>0</v>
      </c>
      <c r="P1532">
        <f>IF(Scenarios!$I$27=0,0,--(Mitigation_Industry!P582&lt;INDEX(P$1548:P$1607,MATCH("v1:ener:2:nfm:"&amp;Settings!$B$10,$A$1548:$A$1607,0))-0.000000001))</f>
        <v>0</v>
      </c>
      <c r="Q1532">
        <f>IF(Scenarios!$I$27=0,0,--(Mitigation_Industry!Q582&lt;INDEX(Q$1548:Q$1607,MATCH("v1:ener:2:nfm:"&amp;Settings!$B$10,$A$1548:$A$1607,0))-0.000000001))</f>
        <v>0</v>
      </c>
      <c r="R1532">
        <f>IF(Scenarios!$I$27=0,0,--(Mitigation_Industry!R582&lt;INDEX(R$1548:R$1607,MATCH("v1:ener:2:nfm:"&amp;Settings!$B$10,$A$1548:$A$1607,0))-0.000000001))</f>
        <v>0</v>
      </c>
      <c r="S1532">
        <f>IF(Scenarios!$I$27=0,0,--(Mitigation_Industry!S582&lt;INDEX(S$1548:S$1607,MATCH("v1:ener:2:nfm:"&amp;Settings!$B$10,$A$1548:$A$1607,0))-0.000000001))</f>
        <v>0</v>
      </c>
      <c r="T1532">
        <f>IF(Scenarios!$I$27=0,0,--(Mitigation_Industry!T582&lt;INDEX(T$1548:T$1607,MATCH("v1:ener:2:nfm:"&amp;Settings!$B$10,$A$1548:$A$1607,0))-0.000000001))</f>
        <v>0</v>
      </c>
      <c r="U1532">
        <f>IF(Scenarios!$I$27=0,0,--(Mitigation_Industry!U582&lt;INDEX(U$1548:U$1607,MATCH("v1:ener:2:nfm:"&amp;Settings!$B$10,$A$1548:$A$1607,0))-0.000000001))</f>
        <v>0</v>
      </c>
      <c r="V1532">
        <f>IF(Scenarios!$I$27=0,0,--(Mitigation_Industry!V582&lt;INDEX(V$1548:V$1607,MATCH("v1:ener:2:nfm:"&amp;Settings!$B$10,$A$1548:$A$1607,0))-0.000000001))</f>
        <v>0</v>
      </c>
      <c r="W1532">
        <f>IF(Scenarios!$I$27=0,0,--(Mitigation_Industry!W582&lt;INDEX(W$1548:W$1607,MATCH("v1:ener:2:nfm:"&amp;Settings!$B$10,$A$1548:$A$1607,0))-0.000000001))</f>
        <v>0</v>
      </c>
      <c r="X1532">
        <f>IF(Scenarios!$I$27=0,0,--(Mitigation_Industry!X582&lt;INDEX(X$1548:X$1607,MATCH("v1:ener:2:nfm:"&amp;Settings!$B$10,$A$1548:$A$1607,0))-0.000000001))</f>
        <v>0</v>
      </c>
      <c r="Y1532">
        <f>IF(Scenarios!$I$27=0,0,--(Mitigation_Industry!Y582&lt;INDEX(Y$1548:Y$1607,MATCH("v1:ener:2:nfm:"&amp;Settings!$B$10,$A$1548:$A$1607,0))-0.000000001))</f>
        <v>0</v>
      </c>
      <c r="Z1532">
        <f>IF(Scenarios!$I$27=0,0,--(Mitigation_Industry!Z582&lt;INDEX(Z$1548:Z$1607,MATCH("v1:ener:2:nfm:"&amp;Settings!$B$10,$A$1548:$A$1607,0))-0.000000001))</f>
        <v>0</v>
      </c>
      <c r="AA1532">
        <f>IF(Scenarios!$I$27=0,0,--(Mitigation_Industry!AA582&lt;INDEX(AA$1548:AA$1607,MATCH("v1:ener:2:nfm:"&amp;Settings!$B$10,$A$1548:$A$1607,0))-0.000000001))</f>
        <v>0</v>
      </c>
      <c r="AB1532">
        <f>IF(Scenarios!$I$27=0,0,--(Mitigation_Industry!AB582&lt;INDEX(AB$1548:AB$1607,MATCH("v1:ener:2:nfm:"&amp;Settings!$B$10,$A$1548:$A$1607,0))-0.000000001))</f>
        <v>0</v>
      </c>
      <c r="AC1532">
        <f>IF(Scenarios!$I$27=0,0,--(Mitigation_Industry!AC582&lt;INDEX(AC$1548:AC$1607,MATCH("v1:ener:2:nfm:"&amp;Settings!$B$10,$A$1548:$A$1607,0))-0.000000001))</f>
        <v>0</v>
      </c>
      <c r="AD1532">
        <f>IF(Scenarios!$I$27=0,0,--(Mitigation_Industry!AD582&lt;INDEX(AD$1548:AD$1607,MATCH("v1:ener:2:nfm:"&amp;Settings!$B$10,$A$1548:$A$1607,0))-0.000000001))</f>
        <v>0</v>
      </c>
      <c r="AE1532">
        <f>IF(Scenarios!$I$27=0,0,--(Mitigation_Industry!AE582&lt;INDEX(AE$1548:AE$1607,MATCH("v1:ener:2:nfm:"&amp;Settings!$B$10,$A$1548:$A$1607,0))-0.000000001))</f>
        <v>0</v>
      </c>
    </row>
    <row r="1533" spans="1:31" x14ac:dyDescent="0.45">
      <c r="A1533" t="s">
        <v>2362</v>
      </c>
      <c r="D1533">
        <v>2</v>
      </c>
      <c r="E1533" t="s">
        <v>2071</v>
      </c>
      <c r="F1533">
        <f>SUM(L1533:AE1533)</f>
        <v>0</v>
      </c>
      <c r="I1533">
        <v>0</v>
      </c>
      <c r="L1533">
        <f>IF(Scenarios!$I$27=0,0,--(Mitigation_Industry!L642&lt;INDEX(L$1548:L$1607,MATCH("v1:ener:2:mch:"&amp;Settings!$B$10,$A$1548:$A$1607,0))-0.000000001))</f>
        <v>0</v>
      </c>
      <c r="M1533">
        <f>IF(Scenarios!$I$27=0,0,--(Mitigation_Industry!M642&lt;INDEX(M$1548:M$1607,MATCH("v1:ener:2:mch:"&amp;Settings!$B$10,$A$1548:$A$1607,0))-0.000000001))</f>
        <v>0</v>
      </c>
      <c r="N1533">
        <f>IF(Scenarios!$I$27=0,0,--(Mitigation_Industry!N642&lt;INDEX(N$1548:N$1607,MATCH("v1:ener:2:mch:"&amp;Settings!$B$10,$A$1548:$A$1607,0))-0.000000001))</f>
        <v>0</v>
      </c>
      <c r="O1533">
        <f>IF(Scenarios!$I$27=0,0,--(Mitigation_Industry!O642&lt;INDEX(O$1548:O$1607,MATCH("v1:ener:2:mch:"&amp;Settings!$B$10,$A$1548:$A$1607,0))-0.000000001))</f>
        <v>0</v>
      </c>
      <c r="P1533">
        <f>IF(Scenarios!$I$27=0,0,--(Mitigation_Industry!P642&lt;INDEX(P$1548:P$1607,MATCH("v1:ener:2:mch:"&amp;Settings!$B$10,$A$1548:$A$1607,0))-0.000000001))</f>
        <v>0</v>
      </c>
      <c r="Q1533">
        <f>IF(Scenarios!$I$27=0,0,--(Mitigation_Industry!Q642&lt;INDEX(Q$1548:Q$1607,MATCH("v1:ener:2:mch:"&amp;Settings!$B$10,$A$1548:$A$1607,0))-0.000000001))</f>
        <v>0</v>
      </c>
      <c r="R1533">
        <f>IF(Scenarios!$I$27=0,0,--(Mitigation_Industry!R642&lt;INDEX(R$1548:R$1607,MATCH("v1:ener:2:mch:"&amp;Settings!$B$10,$A$1548:$A$1607,0))-0.000000001))</f>
        <v>0</v>
      </c>
      <c r="S1533">
        <f>IF(Scenarios!$I$27=0,0,--(Mitigation_Industry!S642&lt;INDEX(S$1548:S$1607,MATCH("v1:ener:2:mch:"&amp;Settings!$B$10,$A$1548:$A$1607,0))-0.000000001))</f>
        <v>0</v>
      </c>
      <c r="T1533">
        <f>IF(Scenarios!$I$27=0,0,--(Mitigation_Industry!T642&lt;INDEX(T$1548:T$1607,MATCH("v1:ener:2:mch:"&amp;Settings!$B$10,$A$1548:$A$1607,0))-0.000000001))</f>
        <v>0</v>
      </c>
      <c r="U1533">
        <f>IF(Scenarios!$I$27=0,0,--(Mitigation_Industry!U642&lt;INDEX(U$1548:U$1607,MATCH("v1:ener:2:mch:"&amp;Settings!$B$10,$A$1548:$A$1607,0))-0.000000001))</f>
        <v>0</v>
      </c>
      <c r="V1533">
        <f>IF(Scenarios!$I$27=0,0,--(Mitigation_Industry!V642&lt;INDEX(V$1548:V$1607,MATCH("v1:ener:2:mch:"&amp;Settings!$B$10,$A$1548:$A$1607,0))-0.000000001))</f>
        <v>0</v>
      </c>
      <c r="W1533">
        <f>IF(Scenarios!$I$27=0,0,--(Mitigation_Industry!W642&lt;INDEX(W$1548:W$1607,MATCH("v1:ener:2:mch:"&amp;Settings!$B$10,$A$1548:$A$1607,0))-0.000000001))</f>
        <v>0</v>
      </c>
      <c r="X1533">
        <f>IF(Scenarios!$I$27=0,0,--(Mitigation_Industry!X642&lt;INDEX(X$1548:X$1607,MATCH("v1:ener:2:mch:"&amp;Settings!$B$10,$A$1548:$A$1607,0))-0.000000001))</f>
        <v>0</v>
      </c>
      <c r="Y1533">
        <f>IF(Scenarios!$I$27=0,0,--(Mitigation_Industry!Y642&lt;INDEX(Y$1548:Y$1607,MATCH("v1:ener:2:mch:"&amp;Settings!$B$10,$A$1548:$A$1607,0))-0.000000001))</f>
        <v>0</v>
      </c>
      <c r="Z1533">
        <f>IF(Scenarios!$I$27=0,0,--(Mitigation_Industry!Z642&lt;INDEX(Z$1548:Z$1607,MATCH("v1:ener:2:mch:"&amp;Settings!$B$10,$A$1548:$A$1607,0))-0.000000001))</f>
        <v>0</v>
      </c>
      <c r="AA1533">
        <f>IF(Scenarios!$I$27=0,0,--(Mitigation_Industry!AA642&lt;INDEX(AA$1548:AA$1607,MATCH("v1:ener:2:mch:"&amp;Settings!$B$10,$A$1548:$A$1607,0))-0.000000001))</f>
        <v>0</v>
      </c>
      <c r="AB1533">
        <f>IF(Scenarios!$I$27=0,0,--(Mitigation_Industry!AB642&lt;INDEX(AB$1548:AB$1607,MATCH("v1:ener:2:mch:"&amp;Settings!$B$10,$A$1548:$A$1607,0))-0.000000001))</f>
        <v>0</v>
      </c>
      <c r="AC1533">
        <f>IF(Scenarios!$I$27=0,0,--(Mitigation_Industry!AC642&lt;INDEX(AC$1548:AC$1607,MATCH("v1:ener:2:mch:"&amp;Settings!$B$10,$A$1548:$A$1607,0))-0.000000001))</f>
        <v>0</v>
      </c>
      <c r="AD1533">
        <f>IF(Scenarios!$I$27=0,0,--(Mitigation_Industry!AD642&lt;INDEX(AD$1548:AD$1607,MATCH("v1:ener:2:mch:"&amp;Settings!$B$10,$A$1548:$A$1607,0))-0.000000001))</f>
        <v>0</v>
      </c>
      <c r="AE1533">
        <f>IF(Scenarios!$I$27=0,0,--(Mitigation_Industry!AE642&lt;INDEX(AE$1548:AE$1607,MATCH("v1:ener:2:mch:"&amp;Settings!$B$10,$A$1548:$A$1607,0))-0.000000001))</f>
        <v>0</v>
      </c>
    </row>
    <row r="1534" spans="1:31" x14ac:dyDescent="0.45">
      <c r="A1534" t="s">
        <v>2363</v>
      </c>
      <c r="D1534">
        <v>2</v>
      </c>
      <c r="E1534" t="s">
        <v>2364</v>
      </c>
      <c r="F1534">
        <f>MAX(MAX(L1534:AE1534),-MIN(L1534:AE1534))</f>
        <v>0</v>
      </c>
      <c r="L1534">
        <f>Mitigation_Industry!L462-INDEX(L$1548:L$1607,MATCH("v1:ener:2:irn:"&amp;Settings!$B$10,$A$1548:$A$1607,0))</f>
        <v>0</v>
      </c>
      <c r="M1534">
        <f>Mitigation_Industry!M462-INDEX(M$1548:M$1607,MATCH("v1:ener:2:irn:"&amp;Settings!$B$10,$A$1548:$A$1607,0))</f>
        <v>0</v>
      </c>
      <c r="N1534">
        <f>Mitigation_Industry!N462-INDEX(N$1548:N$1607,MATCH("v1:ener:2:irn:"&amp;Settings!$B$10,$A$1548:$A$1607,0))</f>
        <v>0</v>
      </c>
      <c r="O1534">
        <f>Mitigation_Industry!O462-INDEX(O$1548:O$1607,MATCH("v1:ener:2:irn:"&amp;Settings!$B$10,$A$1548:$A$1607,0))</f>
        <v>0</v>
      </c>
      <c r="P1534">
        <f>Mitigation_Industry!P462-INDEX(P$1548:P$1607,MATCH("v1:ener:2:irn:"&amp;Settings!$B$10,$A$1548:$A$1607,0))</f>
        <v>0</v>
      </c>
      <c r="Q1534">
        <f>Mitigation_Industry!Q462-INDEX(Q$1548:Q$1607,MATCH("v1:ener:2:irn:"&amp;Settings!$B$10,$A$1548:$A$1607,0))</f>
        <v>0</v>
      </c>
      <c r="R1534">
        <f>Mitigation_Industry!R462-INDEX(R$1548:R$1607,MATCH("v1:ener:2:irn:"&amp;Settings!$B$10,$A$1548:$A$1607,0))</f>
        <v>0</v>
      </c>
      <c r="S1534">
        <f>Mitigation_Industry!S462-INDEX(S$1548:S$1607,MATCH("v1:ener:2:irn:"&amp;Settings!$B$10,$A$1548:$A$1607,0))</f>
        <v>0</v>
      </c>
      <c r="T1534">
        <f>Mitigation_Industry!T462-INDEX(T$1548:T$1607,MATCH("v1:ener:2:irn:"&amp;Settings!$B$10,$A$1548:$A$1607,0))</f>
        <v>0</v>
      </c>
      <c r="U1534">
        <f>Mitigation_Industry!U462-INDEX(U$1548:U$1607,MATCH("v1:ener:2:irn:"&amp;Settings!$B$10,$A$1548:$A$1607,0))</f>
        <v>0</v>
      </c>
      <c r="V1534">
        <f>Mitigation_Industry!V462-INDEX(V$1548:V$1607,MATCH("v1:ener:2:irn:"&amp;Settings!$B$10,$A$1548:$A$1607,0))</f>
        <v>0</v>
      </c>
      <c r="W1534">
        <f>Mitigation_Industry!W462-INDEX(W$1548:W$1607,MATCH("v1:ener:2:irn:"&amp;Settings!$B$10,$A$1548:$A$1607,0))</f>
        <v>0</v>
      </c>
      <c r="X1534">
        <f>Mitigation_Industry!X462-INDEX(X$1548:X$1607,MATCH("v1:ener:2:irn:"&amp;Settings!$B$10,$A$1548:$A$1607,0))</f>
        <v>0</v>
      </c>
      <c r="Y1534">
        <f>Mitigation_Industry!Y462-INDEX(Y$1548:Y$1607,MATCH("v1:ener:2:irn:"&amp;Settings!$B$10,$A$1548:$A$1607,0))</f>
        <v>0</v>
      </c>
      <c r="Z1534">
        <f>Mitigation_Industry!Z462-INDEX(Z$1548:Z$1607,MATCH("v1:ener:2:irn:"&amp;Settings!$B$10,$A$1548:$A$1607,0))</f>
        <v>0</v>
      </c>
      <c r="AA1534">
        <f>Mitigation_Industry!AA462-INDEX(AA$1548:AA$1607,MATCH("v1:ener:2:irn:"&amp;Settings!$B$10,$A$1548:$A$1607,0))</f>
        <v>0</v>
      </c>
      <c r="AB1534">
        <f>Mitigation_Industry!AB462-INDEX(AB$1548:AB$1607,MATCH("v1:ener:2:irn:"&amp;Settings!$B$10,$A$1548:$A$1607,0))</f>
        <v>0</v>
      </c>
      <c r="AC1534">
        <f>Mitigation_Industry!AC462-INDEX(AC$1548:AC$1607,MATCH("v1:ener:2:irn:"&amp;Settings!$B$10,$A$1548:$A$1607,0))</f>
        <v>0</v>
      </c>
      <c r="AD1534">
        <f>Mitigation_Industry!AD462-INDEX(AD$1548:AD$1607,MATCH("v1:ener:2:irn:"&amp;Settings!$B$10,$A$1548:$A$1607,0))</f>
        <v>0</v>
      </c>
      <c r="AE1534">
        <f>Mitigation_Industry!AE462-INDEX(AE$1548:AE$1607,MATCH("v1:ener:2:irn:"&amp;Settings!$B$10,$A$1548:$A$1607,0))</f>
        <v>0</v>
      </c>
    </row>
    <row r="1535" spans="1:31" x14ac:dyDescent="0.45">
      <c r="A1535" t="s">
        <v>2365</v>
      </c>
      <c r="D1535">
        <v>2</v>
      </c>
      <c r="E1535" t="s">
        <v>2364</v>
      </c>
      <c r="F1535">
        <f>MAX(MAX(L1535:AE1535),-MIN(L1535:AE1535))</f>
        <v>0</v>
      </c>
      <c r="L1535">
        <f>Mitigation_Industry!L522-INDEX(L$1548:L$1607,MATCH("v1:ener:2:cem:"&amp;Settings!$B$10,$A$1548:$A$1607,0))</f>
        <v>0</v>
      </c>
      <c r="M1535">
        <f>Mitigation_Industry!M522-INDEX(M$1548:M$1607,MATCH("v1:ener:2:cem:"&amp;Settings!$B$10,$A$1548:$A$1607,0))</f>
        <v>0</v>
      </c>
      <c r="N1535">
        <f>Mitigation_Industry!N522-INDEX(N$1548:N$1607,MATCH("v1:ener:2:cem:"&amp;Settings!$B$10,$A$1548:$A$1607,0))</f>
        <v>0</v>
      </c>
      <c r="O1535">
        <f>Mitigation_Industry!O522-INDEX(O$1548:O$1607,MATCH("v1:ener:2:cem:"&amp;Settings!$B$10,$A$1548:$A$1607,0))</f>
        <v>0</v>
      </c>
      <c r="P1535">
        <f>Mitigation_Industry!P522-INDEX(P$1548:P$1607,MATCH("v1:ener:2:cem:"&amp;Settings!$B$10,$A$1548:$A$1607,0))</f>
        <v>0</v>
      </c>
      <c r="Q1535">
        <f>Mitigation_Industry!Q522-INDEX(Q$1548:Q$1607,MATCH("v1:ener:2:cem:"&amp;Settings!$B$10,$A$1548:$A$1607,0))</f>
        <v>0</v>
      </c>
      <c r="R1535">
        <f>Mitigation_Industry!R522-INDEX(R$1548:R$1607,MATCH("v1:ener:2:cem:"&amp;Settings!$B$10,$A$1548:$A$1607,0))</f>
        <v>0</v>
      </c>
      <c r="S1535">
        <f>Mitigation_Industry!S522-INDEX(S$1548:S$1607,MATCH("v1:ener:2:cem:"&amp;Settings!$B$10,$A$1548:$A$1607,0))</f>
        <v>0</v>
      </c>
      <c r="T1535">
        <f>Mitigation_Industry!T522-INDEX(T$1548:T$1607,MATCH("v1:ener:2:cem:"&amp;Settings!$B$10,$A$1548:$A$1607,0))</f>
        <v>0</v>
      </c>
      <c r="U1535">
        <f>Mitigation_Industry!U522-INDEX(U$1548:U$1607,MATCH("v1:ener:2:cem:"&amp;Settings!$B$10,$A$1548:$A$1607,0))</f>
        <v>0</v>
      </c>
      <c r="V1535">
        <f>Mitigation_Industry!V522-INDEX(V$1548:V$1607,MATCH("v1:ener:2:cem:"&amp;Settings!$B$10,$A$1548:$A$1607,0))</f>
        <v>0</v>
      </c>
      <c r="W1535">
        <f>Mitigation_Industry!W522-INDEX(W$1548:W$1607,MATCH("v1:ener:2:cem:"&amp;Settings!$B$10,$A$1548:$A$1607,0))</f>
        <v>0</v>
      </c>
      <c r="X1535">
        <f>Mitigation_Industry!X522-INDEX(X$1548:X$1607,MATCH("v1:ener:2:cem:"&amp;Settings!$B$10,$A$1548:$A$1607,0))</f>
        <v>0</v>
      </c>
      <c r="Y1535">
        <f>Mitigation_Industry!Y522-INDEX(Y$1548:Y$1607,MATCH("v1:ener:2:cem:"&amp;Settings!$B$10,$A$1548:$A$1607,0))</f>
        <v>0</v>
      </c>
      <c r="Z1535">
        <f>Mitigation_Industry!Z522-INDEX(Z$1548:Z$1607,MATCH("v1:ener:2:cem:"&amp;Settings!$B$10,$A$1548:$A$1607,0))</f>
        <v>0</v>
      </c>
      <c r="AA1535">
        <f>Mitigation_Industry!AA522-INDEX(AA$1548:AA$1607,MATCH("v1:ener:2:cem:"&amp;Settings!$B$10,$A$1548:$A$1607,0))</f>
        <v>0</v>
      </c>
      <c r="AB1535">
        <f>Mitigation_Industry!AB522-INDEX(AB$1548:AB$1607,MATCH("v1:ener:2:cem:"&amp;Settings!$B$10,$A$1548:$A$1607,0))</f>
        <v>0</v>
      </c>
      <c r="AC1535">
        <f>Mitigation_Industry!AC522-INDEX(AC$1548:AC$1607,MATCH("v1:ener:2:cem:"&amp;Settings!$B$10,$A$1548:$A$1607,0))</f>
        <v>0</v>
      </c>
      <c r="AD1535">
        <f>Mitigation_Industry!AD522-INDEX(AD$1548:AD$1607,MATCH("v1:ener:2:cem:"&amp;Settings!$B$10,$A$1548:$A$1607,0))</f>
        <v>0</v>
      </c>
      <c r="AE1535">
        <f>Mitigation_Industry!AE522-INDEX(AE$1548:AE$1607,MATCH("v1:ener:2:cem:"&amp;Settings!$B$10,$A$1548:$A$1607,0))</f>
        <v>0</v>
      </c>
    </row>
    <row r="1536" spans="1:31" x14ac:dyDescent="0.45">
      <c r="A1536" t="s">
        <v>2366</v>
      </c>
      <c r="D1536">
        <v>2</v>
      </c>
      <c r="E1536" t="s">
        <v>2364</v>
      </c>
      <c r="F1536">
        <f>MAX(MAX(L1536:AE1536),-MIN(L1536:AE1536))</f>
        <v>0</v>
      </c>
      <c r="L1536">
        <f>Mitigation_Industry!L582-INDEX(L$1548:L$1607,MATCH("v1:ener:2:nfm:"&amp;Settings!$B$10,$A$1548:$A$1607,0))</f>
        <v>0</v>
      </c>
      <c r="M1536">
        <f>Mitigation_Industry!M582-INDEX(M$1548:M$1607,MATCH("v1:ener:2:nfm:"&amp;Settings!$B$10,$A$1548:$A$1607,0))</f>
        <v>0</v>
      </c>
      <c r="N1536">
        <f>Mitigation_Industry!N582-INDEX(N$1548:N$1607,MATCH("v1:ener:2:nfm:"&amp;Settings!$B$10,$A$1548:$A$1607,0))</f>
        <v>0</v>
      </c>
      <c r="O1536">
        <f>Mitigation_Industry!O582-INDEX(O$1548:O$1607,MATCH("v1:ener:2:nfm:"&amp;Settings!$B$10,$A$1548:$A$1607,0))</f>
        <v>0</v>
      </c>
      <c r="P1536">
        <f>Mitigation_Industry!P582-INDEX(P$1548:P$1607,MATCH("v1:ener:2:nfm:"&amp;Settings!$B$10,$A$1548:$A$1607,0))</f>
        <v>0</v>
      </c>
      <c r="Q1536">
        <f>Mitigation_Industry!Q582-INDEX(Q$1548:Q$1607,MATCH("v1:ener:2:nfm:"&amp;Settings!$B$10,$A$1548:$A$1607,0))</f>
        <v>0</v>
      </c>
      <c r="R1536">
        <f>Mitigation_Industry!R582-INDEX(R$1548:R$1607,MATCH("v1:ener:2:nfm:"&amp;Settings!$B$10,$A$1548:$A$1607,0))</f>
        <v>0</v>
      </c>
      <c r="S1536">
        <f>Mitigation_Industry!S582-INDEX(S$1548:S$1607,MATCH("v1:ener:2:nfm:"&amp;Settings!$B$10,$A$1548:$A$1607,0))</f>
        <v>0</v>
      </c>
      <c r="T1536">
        <f>Mitigation_Industry!T582-INDEX(T$1548:T$1607,MATCH("v1:ener:2:nfm:"&amp;Settings!$B$10,$A$1548:$A$1607,0))</f>
        <v>0</v>
      </c>
      <c r="U1536">
        <f>Mitigation_Industry!U582-INDEX(U$1548:U$1607,MATCH("v1:ener:2:nfm:"&amp;Settings!$B$10,$A$1548:$A$1607,0))</f>
        <v>0</v>
      </c>
      <c r="V1536">
        <f>Mitigation_Industry!V582-INDEX(V$1548:V$1607,MATCH("v1:ener:2:nfm:"&amp;Settings!$B$10,$A$1548:$A$1607,0))</f>
        <v>0</v>
      </c>
      <c r="W1536">
        <f>Mitigation_Industry!W582-INDEX(W$1548:W$1607,MATCH("v1:ener:2:nfm:"&amp;Settings!$B$10,$A$1548:$A$1607,0))</f>
        <v>0</v>
      </c>
      <c r="X1536">
        <f>Mitigation_Industry!X582-INDEX(X$1548:X$1607,MATCH("v1:ener:2:nfm:"&amp;Settings!$B$10,$A$1548:$A$1607,0))</f>
        <v>0</v>
      </c>
      <c r="Y1536">
        <f>Mitigation_Industry!Y582-INDEX(Y$1548:Y$1607,MATCH("v1:ener:2:nfm:"&amp;Settings!$B$10,$A$1548:$A$1607,0))</f>
        <v>0</v>
      </c>
      <c r="Z1536">
        <f>Mitigation_Industry!Z582-INDEX(Z$1548:Z$1607,MATCH("v1:ener:2:nfm:"&amp;Settings!$B$10,$A$1548:$A$1607,0))</f>
        <v>0</v>
      </c>
      <c r="AA1536">
        <f>Mitigation_Industry!AA582-INDEX(AA$1548:AA$1607,MATCH("v1:ener:2:nfm:"&amp;Settings!$B$10,$A$1548:$A$1607,0))</f>
        <v>0</v>
      </c>
      <c r="AB1536">
        <f>Mitigation_Industry!AB582-INDEX(AB$1548:AB$1607,MATCH("v1:ener:2:nfm:"&amp;Settings!$B$10,$A$1548:$A$1607,0))</f>
        <v>0</v>
      </c>
      <c r="AC1536">
        <f>Mitigation_Industry!AC582-INDEX(AC$1548:AC$1607,MATCH("v1:ener:2:nfm:"&amp;Settings!$B$10,$A$1548:$A$1607,0))</f>
        <v>0</v>
      </c>
      <c r="AD1536">
        <f>Mitigation_Industry!AD582-INDEX(AD$1548:AD$1607,MATCH("v1:ener:2:nfm:"&amp;Settings!$B$10,$A$1548:$A$1607,0))</f>
        <v>0</v>
      </c>
      <c r="AE1536">
        <f>Mitigation_Industry!AE582-INDEX(AE$1548:AE$1607,MATCH("v1:ener:2:nfm:"&amp;Settings!$B$10,$A$1548:$A$1607,0))</f>
        <v>0</v>
      </c>
    </row>
    <row r="1537" spans="1:31" x14ac:dyDescent="0.45">
      <c r="A1537" t="s">
        <v>2367</v>
      </c>
      <c r="D1537">
        <v>2</v>
      </c>
      <c r="E1537" t="s">
        <v>2364</v>
      </c>
      <c r="F1537">
        <f>MAX(MAX(L1537:AE1537),-MIN(L1537:AE1537))</f>
        <v>0</v>
      </c>
      <c r="L1537">
        <f>Mitigation_Industry!L642-INDEX(L$1548:L$1607,MATCH("v1:ener:2:mch:"&amp;Settings!$B$10,$A$1548:$A$1607,0))</f>
        <v>0</v>
      </c>
      <c r="M1537">
        <f>Mitigation_Industry!M642-INDEX(M$1548:M$1607,MATCH("v1:ener:2:mch:"&amp;Settings!$B$10,$A$1548:$A$1607,0))</f>
        <v>0</v>
      </c>
      <c r="N1537">
        <f>Mitigation_Industry!N642-INDEX(N$1548:N$1607,MATCH("v1:ener:2:mch:"&amp;Settings!$B$10,$A$1548:$A$1607,0))</f>
        <v>0</v>
      </c>
      <c r="O1537">
        <f>Mitigation_Industry!O642-INDEX(O$1548:O$1607,MATCH("v1:ener:2:mch:"&amp;Settings!$B$10,$A$1548:$A$1607,0))</f>
        <v>0</v>
      </c>
      <c r="P1537">
        <f>Mitigation_Industry!P642-INDEX(P$1548:P$1607,MATCH("v1:ener:2:mch:"&amp;Settings!$B$10,$A$1548:$A$1607,0))</f>
        <v>0</v>
      </c>
      <c r="Q1537">
        <f>Mitigation_Industry!Q642-INDEX(Q$1548:Q$1607,MATCH("v1:ener:2:mch:"&amp;Settings!$B$10,$A$1548:$A$1607,0))</f>
        <v>0</v>
      </c>
      <c r="R1537">
        <f>Mitigation_Industry!R642-INDEX(R$1548:R$1607,MATCH("v1:ener:2:mch:"&amp;Settings!$B$10,$A$1548:$A$1607,0))</f>
        <v>0</v>
      </c>
      <c r="S1537">
        <f>Mitigation_Industry!S642-INDEX(S$1548:S$1607,MATCH("v1:ener:2:mch:"&amp;Settings!$B$10,$A$1548:$A$1607,0))</f>
        <v>0</v>
      </c>
      <c r="T1537">
        <f>Mitigation_Industry!T642-INDEX(T$1548:T$1607,MATCH("v1:ener:2:mch:"&amp;Settings!$B$10,$A$1548:$A$1607,0))</f>
        <v>0</v>
      </c>
      <c r="U1537">
        <f>Mitigation_Industry!U642-INDEX(U$1548:U$1607,MATCH("v1:ener:2:mch:"&amp;Settings!$B$10,$A$1548:$A$1607,0))</f>
        <v>0</v>
      </c>
      <c r="V1537">
        <f>Mitigation_Industry!V642-INDEX(V$1548:V$1607,MATCH("v1:ener:2:mch:"&amp;Settings!$B$10,$A$1548:$A$1607,0))</f>
        <v>0</v>
      </c>
      <c r="W1537">
        <f>Mitigation_Industry!W642-INDEX(W$1548:W$1607,MATCH("v1:ener:2:mch:"&amp;Settings!$B$10,$A$1548:$A$1607,0))</f>
        <v>0</v>
      </c>
      <c r="X1537">
        <f>Mitigation_Industry!X642-INDEX(X$1548:X$1607,MATCH("v1:ener:2:mch:"&amp;Settings!$B$10,$A$1548:$A$1607,0))</f>
        <v>0</v>
      </c>
      <c r="Y1537">
        <f>Mitigation_Industry!Y642-INDEX(Y$1548:Y$1607,MATCH("v1:ener:2:mch:"&amp;Settings!$B$10,$A$1548:$A$1607,0))</f>
        <v>0</v>
      </c>
      <c r="Z1537">
        <f>Mitigation_Industry!Z642-INDEX(Z$1548:Z$1607,MATCH("v1:ener:2:mch:"&amp;Settings!$B$10,$A$1548:$A$1607,0))</f>
        <v>0</v>
      </c>
      <c r="AA1537">
        <f>Mitigation_Industry!AA642-INDEX(AA$1548:AA$1607,MATCH("v1:ener:2:mch:"&amp;Settings!$B$10,$A$1548:$A$1607,0))</f>
        <v>0</v>
      </c>
      <c r="AB1537">
        <f>Mitigation_Industry!AB642-INDEX(AB$1548:AB$1607,MATCH("v1:ener:2:mch:"&amp;Settings!$B$10,$A$1548:$A$1607,0))</f>
        <v>0</v>
      </c>
      <c r="AC1537">
        <f>Mitigation_Industry!AC642-INDEX(AC$1548:AC$1607,MATCH("v1:ener:2:mch:"&amp;Settings!$B$10,$A$1548:$A$1607,0))</f>
        <v>0</v>
      </c>
      <c r="AD1537">
        <f>Mitigation_Industry!AD642-INDEX(AD$1548:AD$1607,MATCH("v1:ener:2:mch:"&amp;Settings!$B$10,$A$1548:$A$1607,0))</f>
        <v>0</v>
      </c>
      <c r="AE1537">
        <f>Mitigation_Industry!AE642-INDEX(AE$1548:AE$1607,MATCH("v1:ener:2:mch:"&amp;Settings!$B$10,$A$1548:$A$1607,0))</f>
        <v>0</v>
      </c>
    </row>
    <row r="1538" spans="1:31" x14ac:dyDescent="0.45">
      <c r="A1538" t="s">
        <v>2368</v>
      </c>
      <c r="D1538">
        <v>2</v>
      </c>
      <c r="E1538" t="s">
        <v>2364</v>
      </c>
      <c r="F1538">
        <f>MAX(MAX(L1538:AE1538),-MIN(L1538:AE1538))</f>
        <v>0</v>
      </c>
      <c r="L1538">
        <f>Rebate_Industry!L217</f>
        <v>0</v>
      </c>
      <c r="M1538">
        <f>Rebate_Industry!M217</f>
        <v>0</v>
      </c>
      <c r="N1538">
        <f>Rebate_Industry!N217</f>
        <v>0</v>
      </c>
      <c r="O1538">
        <f>Rebate_Industry!O217</f>
        <v>0</v>
      </c>
      <c r="P1538">
        <f>Rebate_Industry!P217</f>
        <v>0</v>
      </c>
      <c r="Q1538">
        <f>Rebate_Industry!Q217</f>
        <v>0</v>
      </c>
      <c r="R1538">
        <f>Rebate_Industry!R217</f>
        <v>0</v>
      </c>
      <c r="S1538">
        <f>Rebate_Industry!S217</f>
        <v>0</v>
      </c>
      <c r="T1538">
        <f>Rebate_Industry!T217</f>
        <v>0</v>
      </c>
      <c r="U1538">
        <f>Rebate_Industry!U217</f>
        <v>0</v>
      </c>
      <c r="V1538">
        <f>Rebate_Industry!V217</f>
        <v>0</v>
      </c>
      <c r="W1538">
        <f>Rebate_Industry!W217</f>
        <v>0</v>
      </c>
      <c r="X1538">
        <f>Rebate_Industry!X217</f>
        <v>0</v>
      </c>
      <c r="Y1538">
        <f>Rebate_Industry!Y217</f>
        <v>0</v>
      </c>
      <c r="Z1538">
        <f>Rebate_Industry!Z217</f>
        <v>0</v>
      </c>
      <c r="AA1538">
        <f>Rebate_Industry!AA217</f>
        <v>0</v>
      </c>
      <c r="AB1538">
        <f>Rebate_Industry!AB217</f>
        <v>0</v>
      </c>
      <c r="AC1538">
        <f>Rebate_Industry!AC217</f>
        <v>0</v>
      </c>
      <c r="AD1538">
        <f>Rebate_Industry!AD217</f>
        <v>0</v>
      </c>
      <c r="AE1538">
        <f>Rebate_Industry!AE217</f>
        <v>0</v>
      </c>
    </row>
    <row r="1539" spans="1:31" x14ac:dyDescent="0.45">
      <c r="A1539" t="s">
        <v>2369</v>
      </c>
      <c r="D1539">
        <v>2</v>
      </c>
      <c r="E1539" t="s">
        <v>2364</v>
      </c>
      <c r="F1539">
        <f>MAX(MAX(L1539:AE1539),-MIN(L1539:AE1539))</f>
        <v>7350.5289918043609</v>
      </c>
      <c r="L1539">
        <f>Rebate_Industry!L278</f>
        <v>0</v>
      </c>
      <c r="M1539">
        <f>Rebate_Industry!M278</f>
        <v>0</v>
      </c>
      <c r="N1539">
        <f>Rebate_Industry!N278</f>
        <v>0</v>
      </c>
      <c r="O1539">
        <f>Rebate_Industry!O278</f>
        <v>0</v>
      </c>
      <c r="P1539">
        <f>Rebate_Industry!P278</f>
        <v>0</v>
      </c>
      <c r="Q1539">
        <f>Rebate_Industry!Q278</f>
        <v>308.12278080273342</v>
      </c>
      <c r="R1539">
        <f>Rebate_Industry!R278</f>
        <v>636.8417154974029</v>
      </c>
      <c r="S1539">
        <f>Rebate_Industry!S278</f>
        <v>987.22968333254369</v>
      </c>
      <c r="T1539">
        <f>Rebate_Industry!T278</f>
        <v>1360.4109852569791</v>
      </c>
      <c r="U1539">
        <f>Rebate_Industry!U278</f>
        <v>1757.56372820916</v>
      </c>
      <c r="V1539">
        <f>Rebate_Industry!V278</f>
        <v>2179.922318644748</v>
      </c>
      <c r="W1539">
        <f>Rebate_Industry!W278</f>
        <v>2628.780070299068</v>
      </c>
      <c r="X1539">
        <f>Rebate_Industry!X278</f>
        <v>3105.4919314104181</v>
      </c>
      <c r="Y1539">
        <f>Rebate_Industry!Y278</f>
        <v>3611.4773368702113</v>
      </c>
      <c r="Z1539">
        <f>Rebate_Industry!Z278</f>
        <v>4148.2231910169721</v>
      </c>
      <c r="AA1539">
        <f>Rebate_Industry!AA278</f>
        <v>4717.2869870538907</v>
      </c>
      <c r="AB1539">
        <f>Rebate_Industry!AB278</f>
        <v>5320.3000693444392</v>
      </c>
      <c r="AC1539">
        <f>Rebate_Industry!AC278</f>
        <v>5958.9710451280498</v>
      </c>
      <c r="AD1539">
        <f>Rebate_Industry!AD278</f>
        <v>6635.0893524987587</v>
      </c>
      <c r="AE1539">
        <f>Rebate_Industry!AE278</f>
        <v>7350.5289918043609</v>
      </c>
    </row>
    <row r="1540" spans="1:31" x14ac:dyDescent="0.45">
      <c r="A1540" t="s">
        <v>2370</v>
      </c>
      <c r="D1540">
        <v>2</v>
      </c>
      <c r="E1540" t="s">
        <v>2364</v>
      </c>
      <c r="F1540">
        <f>MAX(MAX(L1540:AE1540),-MIN(L1540:AE1540))</f>
        <v>0</v>
      </c>
      <c r="L1540">
        <f>Rebate_Industry!L222</f>
        <v>0</v>
      </c>
      <c r="M1540">
        <f>Rebate_Industry!M222</f>
        <v>0</v>
      </c>
      <c r="N1540">
        <f>Rebate_Industry!N222</f>
        <v>0</v>
      </c>
      <c r="O1540">
        <f>Rebate_Industry!O222</f>
        <v>0</v>
      </c>
      <c r="P1540">
        <f>Rebate_Industry!P222</f>
        <v>0</v>
      </c>
      <c r="Q1540">
        <f>Rebate_Industry!Q222</f>
        <v>0</v>
      </c>
      <c r="R1540">
        <f>Rebate_Industry!R222</f>
        <v>0</v>
      </c>
      <c r="S1540">
        <f>Rebate_Industry!S222</f>
        <v>0</v>
      </c>
      <c r="T1540">
        <f>Rebate_Industry!T222</f>
        <v>0</v>
      </c>
      <c r="U1540">
        <f>Rebate_Industry!U222</f>
        <v>0</v>
      </c>
      <c r="V1540">
        <f>Rebate_Industry!V222</f>
        <v>0</v>
      </c>
      <c r="W1540">
        <f>Rebate_Industry!W222</f>
        <v>0</v>
      </c>
      <c r="X1540">
        <f>Rebate_Industry!X222</f>
        <v>0</v>
      </c>
      <c r="Y1540">
        <f>Rebate_Industry!Y222</f>
        <v>0</v>
      </c>
      <c r="Z1540">
        <f>Rebate_Industry!Z222</f>
        <v>0</v>
      </c>
      <c r="AA1540">
        <f>Rebate_Industry!AA222</f>
        <v>0</v>
      </c>
      <c r="AB1540">
        <f>Rebate_Industry!AB222</f>
        <v>0</v>
      </c>
      <c r="AC1540">
        <f>Rebate_Industry!AC222</f>
        <v>0</v>
      </c>
      <c r="AD1540">
        <f>Rebate_Industry!AD222</f>
        <v>0</v>
      </c>
      <c r="AE1540">
        <f>Rebate_Industry!AE222</f>
        <v>0</v>
      </c>
    </row>
    <row r="1541" spans="1:31" x14ac:dyDescent="0.45">
      <c r="A1541" t="s">
        <v>2371</v>
      </c>
      <c r="D1541">
        <v>2</v>
      </c>
      <c r="E1541" t="s">
        <v>2364</v>
      </c>
      <c r="F1541">
        <f>MAX(MAX(L1541:AE1541),-MIN(L1541:AE1541))</f>
        <v>0</v>
      </c>
      <c r="L1541">
        <f>Rebate_Industry!L236</f>
        <v>0</v>
      </c>
      <c r="M1541">
        <f>Rebate_Industry!M236</f>
        <v>0</v>
      </c>
      <c r="N1541">
        <f>Rebate_Industry!N236</f>
        <v>0</v>
      </c>
      <c r="O1541">
        <f>Rebate_Industry!O236</f>
        <v>0</v>
      </c>
      <c r="P1541">
        <f>Rebate_Industry!P236</f>
        <v>0</v>
      </c>
      <c r="Q1541">
        <f>Rebate_Industry!Q236</f>
        <v>0</v>
      </c>
      <c r="R1541">
        <f>Rebate_Industry!R236</f>
        <v>0</v>
      </c>
      <c r="S1541">
        <f>Rebate_Industry!S236</f>
        <v>0</v>
      </c>
      <c r="T1541">
        <f>Rebate_Industry!T236</f>
        <v>0</v>
      </c>
      <c r="U1541">
        <f>Rebate_Industry!U236</f>
        <v>0</v>
      </c>
      <c r="V1541">
        <f>Rebate_Industry!V236</f>
        <v>0</v>
      </c>
      <c r="W1541">
        <f>Rebate_Industry!W236</f>
        <v>0</v>
      </c>
      <c r="X1541">
        <f>Rebate_Industry!X236</f>
        <v>0</v>
      </c>
      <c r="Y1541">
        <f>Rebate_Industry!Y236</f>
        <v>0</v>
      </c>
      <c r="Z1541">
        <f>Rebate_Industry!Z236</f>
        <v>0</v>
      </c>
      <c r="AA1541">
        <f>Rebate_Industry!AA236</f>
        <v>0</v>
      </c>
      <c r="AB1541">
        <f>Rebate_Industry!AB236</f>
        <v>0</v>
      </c>
      <c r="AC1541">
        <f>Rebate_Industry!AC236</f>
        <v>0</v>
      </c>
      <c r="AD1541">
        <f>Rebate_Industry!AD236</f>
        <v>0</v>
      </c>
      <c r="AE1541">
        <f>Rebate_Industry!AE236</f>
        <v>0</v>
      </c>
    </row>
    <row r="1542" spans="1:31" x14ac:dyDescent="0.45">
      <c r="A1542" t="s">
        <v>2372</v>
      </c>
      <c r="D1542">
        <v>2</v>
      </c>
      <c r="E1542" t="s">
        <v>2364</v>
      </c>
      <c r="F1542">
        <f>MAX(MAX(L1542:AE1542),-MIN(L1542:AE1542))</f>
        <v>0</v>
      </c>
      <c r="L1542">
        <f>Rebate_Industry!L250</f>
        <v>0</v>
      </c>
      <c r="M1542">
        <f>Rebate_Industry!M250</f>
        <v>0</v>
      </c>
      <c r="N1542">
        <f>Rebate_Industry!N250</f>
        <v>0</v>
      </c>
      <c r="O1542">
        <f>Rebate_Industry!O250</f>
        <v>0</v>
      </c>
      <c r="P1542">
        <f>Rebate_Industry!P250</f>
        <v>0</v>
      </c>
      <c r="Q1542">
        <f>Rebate_Industry!Q250</f>
        <v>0</v>
      </c>
      <c r="R1542">
        <f>Rebate_Industry!R250</f>
        <v>0</v>
      </c>
      <c r="S1542">
        <f>Rebate_Industry!S250</f>
        <v>0</v>
      </c>
      <c r="T1542">
        <f>Rebate_Industry!T250</f>
        <v>0</v>
      </c>
      <c r="U1542">
        <f>Rebate_Industry!U250</f>
        <v>0</v>
      </c>
      <c r="V1542">
        <f>Rebate_Industry!V250</f>
        <v>0</v>
      </c>
      <c r="W1542">
        <f>Rebate_Industry!W250</f>
        <v>0</v>
      </c>
      <c r="X1542">
        <f>Rebate_Industry!X250</f>
        <v>0</v>
      </c>
      <c r="Y1542">
        <f>Rebate_Industry!Y250</f>
        <v>0</v>
      </c>
      <c r="Z1542">
        <f>Rebate_Industry!Z250</f>
        <v>0</v>
      </c>
      <c r="AA1542">
        <f>Rebate_Industry!AA250</f>
        <v>0</v>
      </c>
      <c r="AB1542">
        <f>Rebate_Industry!AB250</f>
        <v>0</v>
      </c>
      <c r="AC1542">
        <f>Rebate_Industry!AC250</f>
        <v>0</v>
      </c>
      <c r="AD1542">
        <f>Rebate_Industry!AD250</f>
        <v>0</v>
      </c>
      <c r="AE1542">
        <f>Rebate_Industry!AE250</f>
        <v>0</v>
      </c>
    </row>
    <row r="1543" spans="1:31" x14ac:dyDescent="0.45">
      <c r="A1543" t="s">
        <v>2373</v>
      </c>
      <c r="D1543">
        <v>2</v>
      </c>
      <c r="E1543" t="s">
        <v>2364</v>
      </c>
      <c r="F1543">
        <f>MAX(MAX(L1543:AE1543),-MIN(L1543:AE1543))</f>
        <v>0</v>
      </c>
      <c r="L1543">
        <f>Rebate_Industry!L264</f>
        <v>0</v>
      </c>
      <c r="M1543">
        <f>Rebate_Industry!M264</f>
        <v>0</v>
      </c>
      <c r="N1543">
        <f>Rebate_Industry!N264</f>
        <v>0</v>
      </c>
      <c r="O1543">
        <f>Rebate_Industry!O264</f>
        <v>0</v>
      </c>
      <c r="P1543">
        <f>Rebate_Industry!P264</f>
        <v>0</v>
      </c>
      <c r="Q1543">
        <f>Rebate_Industry!Q264</f>
        <v>0</v>
      </c>
      <c r="R1543">
        <f>Rebate_Industry!R264</f>
        <v>0</v>
      </c>
      <c r="S1543">
        <f>Rebate_Industry!S264</f>
        <v>0</v>
      </c>
      <c r="T1543">
        <f>Rebate_Industry!T264</f>
        <v>0</v>
      </c>
      <c r="U1543">
        <f>Rebate_Industry!U264</f>
        <v>0</v>
      </c>
      <c r="V1543">
        <f>Rebate_Industry!V264</f>
        <v>0</v>
      </c>
      <c r="W1543">
        <f>Rebate_Industry!W264</f>
        <v>0</v>
      </c>
      <c r="X1543">
        <f>Rebate_Industry!X264</f>
        <v>0</v>
      </c>
      <c r="Y1543">
        <f>Rebate_Industry!Y264</f>
        <v>0</v>
      </c>
      <c r="Z1543">
        <f>Rebate_Industry!Z264</f>
        <v>0</v>
      </c>
      <c r="AA1543">
        <f>Rebate_Industry!AA264</f>
        <v>0</v>
      </c>
      <c r="AB1543">
        <f>Rebate_Industry!AB264</f>
        <v>0</v>
      </c>
      <c r="AC1543">
        <f>Rebate_Industry!AC264</f>
        <v>0</v>
      </c>
      <c r="AD1543">
        <f>Rebate_Industry!AD264</f>
        <v>0</v>
      </c>
      <c r="AE1543">
        <f>Rebate_Industry!AE264</f>
        <v>0</v>
      </c>
    </row>
    <row r="1545" spans="1:31" x14ac:dyDescent="0.45">
      <c r="A1545" t="s">
        <v>2374</v>
      </c>
    </row>
    <row r="1547" spans="1:31" x14ac:dyDescent="0.45">
      <c r="A1547" s="52" t="s">
        <v>2375</v>
      </c>
    </row>
    <row r="1548" spans="1:31" x14ac:dyDescent="0.45">
      <c r="A1548" t="s">
        <v>2376</v>
      </c>
      <c r="B1548" t="s">
        <v>110</v>
      </c>
      <c r="C1548" t="s">
        <v>43</v>
      </c>
      <c r="D1548">
        <v>1</v>
      </c>
      <c r="E1548" t="s">
        <v>2377</v>
      </c>
      <c r="L1548" s="43">
        <v>1901.7140738122609</v>
      </c>
      <c r="M1548" s="43">
        <v>1621.2301769893743</v>
      </c>
      <c r="N1548" s="43">
        <v>1820.8469202303741</v>
      </c>
      <c r="O1548" s="43">
        <v>1904.3670376253485</v>
      </c>
      <c r="P1548" s="43">
        <v>1961.702021253242</v>
      </c>
      <c r="Q1548" s="43">
        <v>2038.962541648895</v>
      </c>
      <c r="R1548" s="43">
        <v>2135.0351712538527</v>
      </c>
      <c r="S1548" s="43">
        <v>2228.4850873444593</v>
      </c>
      <c r="T1548" s="43">
        <v>2317.2308926620321</v>
      </c>
      <c r="U1548" s="43">
        <v>2407.7811783186385</v>
      </c>
      <c r="V1548" s="43">
        <v>2499.2702877093025</v>
      </c>
      <c r="W1548" s="43">
        <v>2592.8704056506044</v>
      </c>
      <c r="X1548" s="43">
        <v>2688.5787907172216</v>
      </c>
      <c r="Y1548" s="43">
        <v>2786.3911204964452</v>
      </c>
      <c r="Z1548" s="43">
        <v>2886.3014634759543</v>
      </c>
      <c r="AA1548" s="43">
        <v>2988.3022473044075</v>
      </c>
      <c r="AB1548" s="43">
        <v>3092.384223175638</v>
      </c>
      <c r="AC1548" s="43">
        <v>3198.5364260969</v>
      </c>
      <c r="AD1548" s="43">
        <v>3306.7461308112624</v>
      </c>
      <c r="AE1548" s="43">
        <v>3416.9988031533467</v>
      </c>
    </row>
    <row r="1549" spans="1:31" x14ac:dyDescent="0.45">
      <c r="A1549" t="s">
        <v>2378</v>
      </c>
      <c r="B1549" t="s">
        <v>110</v>
      </c>
      <c r="C1549" t="s">
        <v>113</v>
      </c>
      <c r="D1549">
        <v>1</v>
      </c>
      <c r="E1549" t="s">
        <v>2377</v>
      </c>
      <c r="L1549" s="43">
        <v>3210.4467592248702</v>
      </c>
      <c r="M1549" s="43">
        <v>2690.3404093921163</v>
      </c>
      <c r="N1549" s="43">
        <v>3047.5360888007326</v>
      </c>
      <c r="O1549" s="43">
        <v>3240.6928223889822</v>
      </c>
      <c r="P1549" s="43">
        <v>3273.2119677539522</v>
      </c>
      <c r="Q1549" s="43">
        <v>3368.2133423743344</v>
      </c>
      <c r="R1549" s="43">
        <v>3502.9215016591916</v>
      </c>
      <c r="S1549" s="43">
        <v>3633.9883116592123</v>
      </c>
      <c r="T1549" s="43">
        <v>3758.7368588981471</v>
      </c>
      <c r="U1549" s="43">
        <v>3885.4504831789814</v>
      </c>
      <c r="V1549" s="43">
        <v>4007.0693968852165</v>
      </c>
      <c r="W1549" s="43">
        <v>4130.9635900529229</v>
      </c>
      <c r="X1549" s="43">
        <v>4257.1228099657064</v>
      </c>
      <c r="Y1549" s="43">
        <v>4385.5352137797545</v>
      </c>
      <c r="Z1549" s="43">
        <v>4516.1873328951651</v>
      </c>
      <c r="AA1549" s="43">
        <v>4649.0640328646023</v>
      </c>
      <c r="AB1549" s="43">
        <v>4784.148468612525</v>
      </c>
      <c r="AC1549" s="43">
        <v>4921.422034746156</v>
      </c>
      <c r="AD1549" s="43">
        <v>5060.864310747279</v>
      </c>
      <c r="AE1549" s="43">
        <v>5202.4530008412194</v>
      </c>
    </row>
    <row r="1550" spans="1:31" x14ac:dyDescent="0.45">
      <c r="A1550" t="s">
        <v>2379</v>
      </c>
      <c r="B1550" t="s">
        <v>110</v>
      </c>
      <c r="C1550" t="s">
        <v>115</v>
      </c>
      <c r="D1550">
        <v>1</v>
      </c>
      <c r="E1550" t="s">
        <v>2377</v>
      </c>
      <c r="L1550" s="43">
        <v>0</v>
      </c>
      <c r="M1550" s="43">
        <v>0</v>
      </c>
      <c r="N1550" s="43">
        <v>0</v>
      </c>
      <c r="O1550" s="43">
        <v>0</v>
      </c>
      <c r="P1550" s="43">
        <v>0</v>
      </c>
      <c r="Q1550" s="43">
        <v>0</v>
      </c>
      <c r="R1550" s="43">
        <v>0</v>
      </c>
      <c r="S1550" s="43">
        <v>0</v>
      </c>
      <c r="T1550" s="43">
        <v>0</v>
      </c>
      <c r="U1550" s="43">
        <v>0</v>
      </c>
      <c r="V1550" s="43">
        <v>0</v>
      </c>
      <c r="W1550" s="43">
        <v>0</v>
      </c>
      <c r="X1550" s="43">
        <v>0</v>
      </c>
      <c r="Y1550" s="43">
        <v>0</v>
      </c>
      <c r="Z1550" s="43">
        <v>0</v>
      </c>
      <c r="AA1550" s="43">
        <v>0</v>
      </c>
      <c r="AB1550" s="43">
        <v>0</v>
      </c>
      <c r="AC1550" s="43">
        <v>0</v>
      </c>
      <c r="AD1550" s="43">
        <v>0</v>
      </c>
      <c r="AE1550" s="43">
        <v>0</v>
      </c>
    </row>
    <row r="1551" spans="1:31" x14ac:dyDescent="0.45">
      <c r="A1551" t="s">
        <v>2380</v>
      </c>
      <c r="B1551" t="s">
        <v>110</v>
      </c>
      <c r="C1551" t="s">
        <v>117</v>
      </c>
      <c r="D1551">
        <v>1</v>
      </c>
      <c r="E1551" t="s">
        <v>2377</v>
      </c>
      <c r="L1551" s="43">
        <v>0</v>
      </c>
      <c r="M1551" s="43">
        <v>0</v>
      </c>
      <c r="N1551" s="43">
        <v>0</v>
      </c>
      <c r="O1551" s="43">
        <v>0</v>
      </c>
      <c r="P1551" s="43">
        <v>0</v>
      </c>
      <c r="Q1551" s="43">
        <v>0</v>
      </c>
      <c r="R1551" s="43">
        <v>0</v>
      </c>
      <c r="S1551" s="43">
        <v>0</v>
      </c>
      <c r="T1551" s="43">
        <v>0</v>
      </c>
      <c r="U1551" s="43">
        <v>0</v>
      </c>
      <c r="V1551" s="43">
        <v>0</v>
      </c>
      <c r="W1551" s="43">
        <v>0</v>
      </c>
      <c r="X1551" s="43">
        <v>0</v>
      </c>
      <c r="Y1551" s="43">
        <v>0</v>
      </c>
      <c r="Z1551" s="43">
        <v>0</v>
      </c>
      <c r="AA1551" s="43">
        <v>0</v>
      </c>
      <c r="AB1551" s="43">
        <v>0</v>
      </c>
      <c r="AC1551" s="43">
        <v>0</v>
      </c>
      <c r="AD1551" s="43">
        <v>0</v>
      </c>
      <c r="AE1551" s="43">
        <v>0</v>
      </c>
    </row>
    <row r="1552" spans="1:31" x14ac:dyDescent="0.45">
      <c r="A1552" t="s">
        <v>2381</v>
      </c>
      <c r="B1552" t="s">
        <v>110</v>
      </c>
      <c r="C1552" t="s">
        <v>43</v>
      </c>
      <c r="D1552">
        <v>2</v>
      </c>
      <c r="E1552" t="s">
        <v>2382</v>
      </c>
      <c r="L1552" s="43">
        <v>1901.7140738122609</v>
      </c>
      <c r="M1552" s="43">
        <v>1621.2301769893743</v>
      </c>
      <c r="N1552" s="43">
        <v>1820.8469202303741</v>
      </c>
      <c r="O1552" s="43">
        <v>1904.3670376253485</v>
      </c>
      <c r="P1552" s="43">
        <v>1961.702021253242</v>
      </c>
      <c r="Q1552" s="43">
        <v>1856.404797168507</v>
      </c>
      <c r="R1552" s="43">
        <v>1788.9492171961813</v>
      </c>
      <c r="S1552" s="43">
        <v>1732.3328660968311</v>
      </c>
      <c r="T1552" s="43">
        <v>1682.3885530274299</v>
      </c>
      <c r="U1552" s="43">
        <v>1641.4681088716557</v>
      </c>
      <c r="V1552" s="43">
        <v>1607.9067887450958</v>
      </c>
      <c r="W1552" s="43">
        <v>1581.3612458923553</v>
      </c>
      <c r="X1552" s="43">
        <v>1561.0275376536185</v>
      </c>
      <c r="Y1552" s="43">
        <v>1546.4517889063816</v>
      </c>
      <c r="Z1552" s="43">
        <v>1537.5943975526714</v>
      </c>
      <c r="AA1552" s="43">
        <v>1534.1781017151086</v>
      </c>
      <c r="AB1552" s="43">
        <v>1535.9010092298067</v>
      </c>
      <c r="AC1552" s="43">
        <v>1542.2263096902577</v>
      </c>
      <c r="AD1552" s="43">
        <v>1552.707818724469</v>
      </c>
      <c r="AE1552" s="43">
        <v>1567.016662377554</v>
      </c>
    </row>
    <row r="1553" spans="1:31" x14ac:dyDescent="0.45">
      <c r="A1553" t="s">
        <v>2383</v>
      </c>
      <c r="B1553" t="s">
        <v>110</v>
      </c>
      <c r="C1553" t="s">
        <v>113</v>
      </c>
      <c r="D1553">
        <v>2</v>
      </c>
      <c r="E1553" t="s">
        <v>2382</v>
      </c>
      <c r="L1553" s="43">
        <v>3210.4467592248702</v>
      </c>
      <c r="M1553" s="43">
        <v>2690.3404093921163</v>
      </c>
      <c r="N1553" s="43">
        <v>3047.5360888007326</v>
      </c>
      <c r="O1553" s="43">
        <v>3240.6928223889822</v>
      </c>
      <c r="P1553" s="43">
        <v>3273.2119677539522</v>
      </c>
      <c r="Q1553" s="43">
        <v>3089.4258527074826</v>
      </c>
      <c r="R1553" s="43">
        <v>2975.1242061609983</v>
      </c>
      <c r="S1553" s="43">
        <v>2878.4338008647092</v>
      </c>
      <c r="T1553" s="43">
        <v>2793.1021878663519</v>
      </c>
      <c r="U1553" s="43">
        <v>2721.6867792281105</v>
      </c>
      <c r="V1553" s="43">
        <v>2659.4365656902273</v>
      </c>
      <c r="W1553" s="43">
        <v>2608.3843590415554</v>
      </c>
      <c r="X1553" s="43">
        <v>2567.1439632109241</v>
      </c>
      <c r="Y1553" s="43">
        <v>2534.8641732295537</v>
      </c>
      <c r="Z1553" s="43">
        <v>2511.2970995969799</v>
      </c>
      <c r="AA1553" s="43">
        <v>2495.8988717310085</v>
      </c>
      <c r="AB1553" s="43">
        <v>2488.1145593655265</v>
      </c>
      <c r="AC1553" s="43">
        <v>2487.0912005211107</v>
      </c>
      <c r="AD1553" s="43">
        <v>2492.116697620846</v>
      </c>
      <c r="AE1553" s="43">
        <v>2502.6519509263308</v>
      </c>
    </row>
    <row r="1554" spans="1:31" x14ac:dyDescent="0.45">
      <c r="A1554" t="s">
        <v>2384</v>
      </c>
      <c r="B1554" t="s">
        <v>110</v>
      </c>
      <c r="C1554" t="s">
        <v>115</v>
      </c>
      <c r="D1554">
        <v>2</v>
      </c>
      <c r="E1554" t="s">
        <v>2382</v>
      </c>
      <c r="L1554" s="43">
        <v>0</v>
      </c>
      <c r="M1554" s="43">
        <v>0</v>
      </c>
      <c r="N1554" s="43">
        <v>0</v>
      </c>
      <c r="O1554" s="43">
        <v>0</v>
      </c>
      <c r="P1554" s="43">
        <v>0</v>
      </c>
      <c r="Q1554" s="43">
        <v>0</v>
      </c>
      <c r="R1554" s="43">
        <v>0</v>
      </c>
      <c r="S1554" s="43">
        <v>0</v>
      </c>
      <c r="T1554" s="43">
        <v>0</v>
      </c>
      <c r="U1554" s="43">
        <v>0</v>
      </c>
      <c r="V1554" s="43">
        <v>0</v>
      </c>
      <c r="W1554" s="43">
        <v>0</v>
      </c>
      <c r="X1554" s="43">
        <v>0</v>
      </c>
      <c r="Y1554" s="43">
        <v>0</v>
      </c>
      <c r="Z1554" s="43">
        <v>0</v>
      </c>
      <c r="AA1554" s="43">
        <v>0</v>
      </c>
      <c r="AB1554" s="43">
        <v>0</v>
      </c>
      <c r="AC1554" s="43">
        <v>0</v>
      </c>
      <c r="AD1554" s="43">
        <v>0</v>
      </c>
      <c r="AE1554" s="43">
        <v>0</v>
      </c>
    </row>
    <row r="1555" spans="1:31" x14ac:dyDescent="0.45">
      <c r="A1555" t="s">
        <v>2385</v>
      </c>
      <c r="B1555" t="s">
        <v>110</v>
      </c>
      <c r="C1555" t="s">
        <v>117</v>
      </c>
      <c r="D1555">
        <v>2</v>
      </c>
      <c r="E1555" t="s">
        <v>2382</v>
      </c>
      <c r="L1555" s="43">
        <v>0</v>
      </c>
      <c r="M1555" s="43">
        <v>0</v>
      </c>
      <c r="N1555" s="43">
        <v>0</v>
      </c>
      <c r="O1555" s="43">
        <v>0</v>
      </c>
      <c r="P1555" s="43">
        <v>0</v>
      </c>
      <c r="Q1555" s="43">
        <v>0</v>
      </c>
      <c r="R1555" s="43">
        <v>0</v>
      </c>
      <c r="S1555" s="43">
        <v>0</v>
      </c>
      <c r="T1555" s="43">
        <v>0</v>
      </c>
      <c r="U1555" s="43">
        <v>0</v>
      </c>
      <c r="V1555" s="43">
        <v>0</v>
      </c>
      <c r="W1555" s="43">
        <v>0</v>
      </c>
      <c r="X1555" s="43">
        <v>0</v>
      </c>
      <c r="Y1555" s="43">
        <v>0</v>
      </c>
      <c r="Z1555" s="43">
        <v>0</v>
      </c>
      <c r="AA1555" s="43">
        <v>0</v>
      </c>
      <c r="AB1555" s="43">
        <v>0</v>
      </c>
      <c r="AC1555" s="43">
        <v>0</v>
      </c>
      <c r="AD1555" s="43">
        <v>0</v>
      </c>
      <c r="AE1555" s="43">
        <v>0</v>
      </c>
    </row>
    <row r="1556" spans="1:31" x14ac:dyDescent="0.45">
      <c r="A1556" t="s">
        <v>2386</v>
      </c>
      <c r="B1556" t="s">
        <v>2387</v>
      </c>
      <c r="C1556" t="s">
        <v>43</v>
      </c>
      <c r="D1556">
        <v>2</v>
      </c>
      <c r="E1556" t="s">
        <v>2388</v>
      </c>
      <c r="L1556" s="43">
        <v>66.453659723176557</v>
      </c>
      <c r="M1556" s="43">
        <v>68.485475215764879</v>
      </c>
      <c r="N1556" s="43">
        <v>58.995402742046402</v>
      </c>
      <c r="O1556" s="43">
        <v>43.916716887965812</v>
      </c>
      <c r="P1556" s="43">
        <v>53.774364143577706</v>
      </c>
      <c r="Q1556" s="43">
        <v>50.675872845484811</v>
      </c>
      <c r="R1556" s="43">
        <v>55.46880544094482</v>
      </c>
      <c r="S1556" s="43">
        <v>61.779135607650517</v>
      </c>
      <c r="T1556" s="43">
        <v>68.278756797558202</v>
      </c>
      <c r="U1556" s="43">
        <v>74.667213426547335</v>
      </c>
      <c r="V1556" s="43">
        <v>82.597719303077696</v>
      </c>
      <c r="W1556" s="43">
        <v>90.528194297201395</v>
      </c>
      <c r="X1556" s="43">
        <v>98.458538681584031</v>
      </c>
      <c r="Y1556" s="43">
        <v>106.38879966199983</v>
      </c>
      <c r="Z1556" s="43">
        <v>114.31912307448249</v>
      </c>
      <c r="AA1556" s="43">
        <v>122.2493141862853</v>
      </c>
      <c r="AB1556" s="43">
        <v>130.17957112660253</v>
      </c>
      <c r="AC1556" s="43">
        <v>138.10868154539935</v>
      </c>
      <c r="AD1556" s="43">
        <v>146.0378588759541</v>
      </c>
      <c r="AE1556" s="43">
        <v>153.96697674227667</v>
      </c>
    </row>
    <row r="1557" spans="1:31" x14ac:dyDescent="0.45">
      <c r="A1557" t="s">
        <v>2389</v>
      </c>
      <c r="B1557" t="s">
        <v>2387</v>
      </c>
      <c r="C1557" t="s">
        <v>113</v>
      </c>
      <c r="D1557">
        <v>2</v>
      </c>
      <c r="E1557" t="s">
        <v>2388</v>
      </c>
      <c r="L1557" s="43">
        <v>66.453659723176557</v>
      </c>
      <c r="M1557" s="43">
        <v>68.485475215764879</v>
      </c>
      <c r="N1557" s="43">
        <v>58.995402742046402</v>
      </c>
      <c r="O1557" s="43">
        <v>43.916716887965812</v>
      </c>
      <c r="P1557" s="43">
        <v>53.774364143577706</v>
      </c>
      <c r="Q1557" s="43">
        <v>50.675872845484811</v>
      </c>
      <c r="R1557" s="43">
        <v>55.46880544094482</v>
      </c>
      <c r="S1557" s="43">
        <v>61.779135607650517</v>
      </c>
      <c r="T1557" s="43">
        <v>68.278756797558202</v>
      </c>
      <c r="U1557" s="43">
        <v>74.667213426547335</v>
      </c>
      <c r="V1557" s="43">
        <v>82.597719303077696</v>
      </c>
      <c r="W1557" s="43">
        <v>90.528194297201395</v>
      </c>
      <c r="X1557" s="43">
        <v>98.458538681584031</v>
      </c>
      <c r="Y1557" s="43">
        <v>106.38879966199983</v>
      </c>
      <c r="Z1557" s="43">
        <v>114.31912307448249</v>
      </c>
      <c r="AA1557" s="43">
        <v>122.2493141862853</v>
      </c>
      <c r="AB1557" s="43">
        <v>130.17957112660253</v>
      </c>
      <c r="AC1557" s="43">
        <v>138.10868154539935</v>
      </c>
      <c r="AD1557" s="43">
        <v>146.0378588759541</v>
      </c>
      <c r="AE1557" s="43">
        <v>153.96697674227667</v>
      </c>
    </row>
    <row r="1558" spans="1:31" x14ac:dyDescent="0.45">
      <c r="A1558" t="s">
        <v>2390</v>
      </c>
      <c r="B1558" t="s">
        <v>2387</v>
      </c>
      <c r="C1558" t="s">
        <v>115</v>
      </c>
      <c r="D1558">
        <v>2</v>
      </c>
      <c r="E1558" t="s">
        <v>2388</v>
      </c>
      <c r="L1558" s="43">
        <v>66.453659723176557</v>
      </c>
      <c r="M1558" s="43">
        <v>68.485475215764879</v>
      </c>
      <c r="N1558" s="43">
        <v>58.995402742046402</v>
      </c>
      <c r="O1558" s="43">
        <v>43.916716887965812</v>
      </c>
      <c r="P1558" s="43">
        <v>53.774364143577706</v>
      </c>
      <c r="Q1558" s="43">
        <v>50.675872845484811</v>
      </c>
      <c r="R1558" s="43">
        <v>55.46880544094482</v>
      </c>
      <c r="S1558" s="43">
        <v>61.779135607650517</v>
      </c>
      <c r="T1558" s="43">
        <v>68.278756797558202</v>
      </c>
      <c r="U1558" s="43">
        <v>74.667213426547335</v>
      </c>
      <c r="V1558" s="43">
        <v>82.597719303077696</v>
      </c>
      <c r="W1558" s="43">
        <v>90.528194297201395</v>
      </c>
      <c r="X1558" s="43">
        <v>98.458538681584031</v>
      </c>
      <c r="Y1558" s="43">
        <v>106.38879966199983</v>
      </c>
      <c r="Z1558" s="43">
        <v>114.31912307448249</v>
      </c>
      <c r="AA1558" s="43">
        <v>122.2493141862853</v>
      </c>
      <c r="AB1558" s="43">
        <v>130.17957112660253</v>
      </c>
      <c r="AC1558" s="43">
        <v>138.10868154539935</v>
      </c>
      <c r="AD1558" s="43">
        <v>146.0378588759541</v>
      </c>
      <c r="AE1558" s="43">
        <v>153.96697674227667</v>
      </c>
    </row>
    <row r="1559" spans="1:31" x14ac:dyDescent="0.45">
      <c r="A1559" t="s">
        <v>2391</v>
      </c>
      <c r="B1559" t="s">
        <v>2387</v>
      </c>
      <c r="C1559" t="s">
        <v>117</v>
      </c>
      <c r="D1559">
        <v>2</v>
      </c>
      <c r="E1559" t="s">
        <v>2388</v>
      </c>
      <c r="L1559" s="43">
        <v>66.453659723176557</v>
      </c>
      <c r="M1559" s="43">
        <v>68.485475215764879</v>
      </c>
      <c r="N1559" s="43">
        <v>58.995402742046402</v>
      </c>
      <c r="O1559" s="43">
        <v>43.916716887965812</v>
      </c>
      <c r="P1559" s="43">
        <v>53.774364143577706</v>
      </c>
      <c r="Q1559" s="43">
        <v>50.675872845484811</v>
      </c>
      <c r="R1559" s="43">
        <v>55.46880544094482</v>
      </c>
      <c r="S1559" s="43">
        <v>61.779135607650517</v>
      </c>
      <c r="T1559" s="43">
        <v>68.278756797558202</v>
      </c>
      <c r="U1559" s="43">
        <v>74.667213426547335</v>
      </c>
      <c r="V1559" s="43">
        <v>82.597719303077696</v>
      </c>
      <c r="W1559" s="43">
        <v>90.528194297201395</v>
      </c>
      <c r="X1559" s="43">
        <v>98.458538681584031</v>
      </c>
      <c r="Y1559" s="43">
        <v>106.38879966199983</v>
      </c>
      <c r="Z1559" s="43">
        <v>114.31912307448249</v>
      </c>
      <c r="AA1559" s="43">
        <v>122.2493141862853</v>
      </c>
      <c r="AB1559" s="43">
        <v>130.17957112660253</v>
      </c>
      <c r="AC1559" s="43">
        <v>138.10868154539935</v>
      </c>
      <c r="AD1559" s="43">
        <v>146.0378588759541</v>
      </c>
      <c r="AE1559" s="43">
        <v>153.96697674227667</v>
      </c>
    </row>
    <row r="1560" spans="1:31" x14ac:dyDescent="0.45">
      <c r="A1560" t="s">
        <v>2392</v>
      </c>
      <c r="B1560" t="s">
        <v>110</v>
      </c>
      <c r="C1560" t="s">
        <v>43</v>
      </c>
      <c r="D1560">
        <v>2</v>
      </c>
      <c r="E1560" t="s">
        <v>2393</v>
      </c>
      <c r="L1560" s="43">
        <v>1901.7140738122609</v>
      </c>
      <c r="M1560" s="43">
        <v>1621.2301769893743</v>
      </c>
      <c r="N1560" s="43">
        <v>1820.8469202303741</v>
      </c>
      <c r="O1560" s="43">
        <v>1904.3670376253485</v>
      </c>
      <c r="P1560" s="43">
        <v>1961.702021253242</v>
      </c>
      <c r="Q1560" s="43">
        <v>2038.9739202925941</v>
      </c>
      <c r="R1560" s="43">
        <v>1847.3650852128353</v>
      </c>
      <c r="S1560" s="43">
        <v>1927.6967656346794</v>
      </c>
      <c r="T1560" s="43">
        <v>2003.6478535386466</v>
      </c>
      <c r="U1560" s="43">
        <v>2080.420807425895</v>
      </c>
      <c r="V1560" s="43">
        <v>2158.1017458230463</v>
      </c>
      <c r="W1560" s="43">
        <v>2238.4314308137432</v>
      </c>
      <c r="X1560" s="43">
        <v>2322.0852782283118</v>
      </c>
      <c r="Y1560" s="43">
        <v>2409.9601076918048</v>
      </c>
      <c r="Z1560" s="43">
        <v>2503.4273650546652</v>
      </c>
      <c r="AA1560" s="43">
        <v>2603.380841256117</v>
      </c>
      <c r="AB1560" s="43">
        <v>2710.5421417180701</v>
      </c>
      <c r="AC1560" s="43">
        <v>2825.0739330466899</v>
      </c>
      <c r="AD1560" s="43">
        <v>2947.1310655860725</v>
      </c>
      <c r="AE1560" s="43">
        <v>3076.9518919077177</v>
      </c>
    </row>
    <row r="1561" spans="1:31" x14ac:dyDescent="0.45">
      <c r="A1561" t="s">
        <v>2394</v>
      </c>
      <c r="B1561" t="s">
        <v>110</v>
      </c>
      <c r="C1561" t="s">
        <v>113</v>
      </c>
      <c r="D1561">
        <v>2</v>
      </c>
      <c r="E1561" t="s">
        <v>2393</v>
      </c>
      <c r="L1561" s="43">
        <v>3210.4467592248702</v>
      </c>
      <c r="M1561" s="43">
        <v>2690.3404093921163</v>
      </c>
      <c r="N1561" s="43">
        <v>3047.5360888007326</v>
      </c>
      <c r="O1561" s="43">
        <v>3240.6928223889822</v>
      </c>
      <c r="P1561" s="43">
        <v>3273.2119677539522</v>
      </c>
      <c r="Q1561" s="43">
        <v>3368.228907853118</v>
      </c>
      <c r="R1561" s="43">
        <v>3064.6631828354202</v>
      </c>
      <c r="S1561" s="43">
        <v>3177.4158490906384</v>
      </c>
      <c r="T1561" s="43">
        <v>3284.1252951076308</v>
      </c>
      <c r="U1561" s="43">
        <v>3391.5167507993629</v>
      </c>
      <c r="V1561" s="43">
        <v>3495.4443719317869</v>
      </c>
      <c r="W1561" s="43">
        <v>3602.4640735657167</v>
      </c>
      <c r="X1561" s="43">
        <v>3713.4594095241946</v>
      </c>
      <c r="Y1561" s="43">
        <v>3829.5951733815596</v>
      </c>
      <c r="Z1561" s="43">
        <v>3952.6477392689649</v>
      </c>
      <c r="AA1561" s="43">
        <v>4083.733553983021</v>
      </c>
      <c r="AB1561" s="43">
        <v>4223.7247296458527</v>
      </c>
      <c r="AC1561" s="43">
        <v>4372.7475422680927</v>
      </c>
      <c r="AD1561" s="43">
        <v>4530.9176443081178</v>
      </c>
      <c r="AE1561" s="43">
        <v>4698.4592756394795</v>
      </c>
    </row>
    <row r="1562" spans="1:31" x14ac:dyDescent="0.45">
      <c r="A1562" t="s">
        <v>2395</v>
      </c>
      <c r="B1562" t="s">
        <v>110</v>
      </c>
      <c r="C1562" t="s">
        <v>115</v>
      </c>
      <c r="D1562">
        <v>2</v>
      </c>
      <c r="E1562" t="s">
        <v>2393</v>
      </c>
      <c r="L1562" s="43">
        <v>0</v>
      </c>
      <c r="M1562" s="43">
        <v>0</v>
      </c>
      <c r="N1562" s="43">
        <v>0</v>
      </c>
      <c r="O1562" s="43">
        <v>0</v>
      </c>
      <c r="P1562" s="43">
        <v>0</v>
      </c>
      <c r="Q1562" s="43">
        <v>0</v>
      </c>
      <c r="R1562" s="43">
        <v>0</v>
      </c>
      <c r="S1562" s="43">
        <v>0</v>
      </c>
      <c r="T1562" s="43">
        <v>0</v>
      </c>
      <c r="U1562" s="43">
        <v>0</v>
      </c>
      <c r="V1562" s="43">
        <v>0</v>
      </c>
      <c r="W1562" s="43">
        <v>0</v>
      </c>
      <c r="X1562" s="43">
        <v>0</v>
      </c>
      <c r="Y1562" s="43">
        <v>0</v>
      </c>
      <c r="Z1562" s="43">
        <v>0</v>
      </c>
      <c r="AA1562" s="43">
        <v>0</v>
      </c>
      <c r="AB1562" s="43">
        <v>0</v>
      </c>
      <c r="AC1562" s="43">
        <v>0</v>
      </c>
      <c r="AD1562" s="43">
        <v>0</v>
      </c>
      <c r="AE1562" s="43">
        <v>0</v>
      </c>
    </row>
    <row r="1563" spans="1:31" x14ac:dyDescent="0.45">
      <c r="A1563" t="s">
        <v>2396</v>
      </c>
      <c r="B1563" t="s">
        <v>110</v>
      </c>
      <c r="C1563" t="s">
        <v>117</v>
      </c>
      <c r="D1563">
        <v>2</v>
      </c>
      <c r="E1563" t="s">
        <v>2393</v>
      </c>
      <c r="L1563" s="43">
        <v>0</v>
      </c>
      <c r="M1563" s="43">
        <v>0</v>
      </c>
      <c r="N1563" s="43">
        <v>0</v>
      </c>
      <c r="O1563" s="43">
        <v>0</v>
      </c>
      <c r="P1563" s="43">
        <v>0</v>
      </c>
      <c r="Q1563" s="43">
        <v>0</v>
      </c>
      <c r="R1563" s="43">
        <v>0</v>
      </c>
      <c r="S1563" s="43">
        <v>0</v>
      </c>
      <c r="T1563" s="43">
        <v>0</v>
      </c>
      <c r="U1563" s="43">
        <v>0</v>
      </c>
      <c r="V1563" s="43">
        <v>0</v>
      </c>
      <c r="W1563" s="43">
        <v>0</v>
      </c>
      <c r="X1563" s="43">
        <v>0</v>
      </c>
      <c r="Y1563" s="43">
        <v>0</v>
      </c>
      <c r="Z1563" s="43">
        <v>0</v>
      </c>
      <c r="AA1563" s="43">
        <v>0</v>
      </c>
      <c r="AB1563" s="43">
        <v>0</v>
      </c>
      <c r="AC1563" s="43">
        <v>0</v>
      </c>
      <c r="AD1563" s="43">
        <v>0</v>
      </c>
      <c r="AE1563" s="43">
        <v>0</v>
      </c>
    </row>
    <row r="1564" spans="1:31" x14ac:dyDescent="0.45">
      <c r="A1564" t="s">
        <v>2397</v>
      </c>
      <c r="B1564" t="s">
        <v>2387</v>
      </c>
      <c r="C1564" t="s">
        <v>43</v>
      </c>
      <c r="D1564">
        <v>2</v>
      </c>
      <c r="E1564" t="s">
        <v>2398</v>
      </c>
      <c r="L1564" s="43">
        <v>66.453659723176557</v>
      </c>
      <c r="M1564" s="43">
        <v>68.485475215764879</v>
      </c>
      <c r="N1564" s="43">
        <v>58.995402742046402</v>
      </c>
      <c r="O1564" s="43">
        <v>43.916716887965812</v>
      </c>
      <c r="P1564" s="43">
        <v>53.774364143577706</v>
      </c>
      <c r="Q1564" s="43">
        <v>42.744789650417033</v>
      </c>
      <c r="R1564" s="43">
        <v>52.296372162917706</v>
      </c>
      <c r="S1564" s="43">
        <v>50.675619134555625</v>
      </c>
      <c r="T1564" s="43">
        <v>49.244157129395532</v>
      </c>
      <c r="U1564" s="43">
        <v>47.701530563316886</v>
      </c>
      <c r="V1564" s="43">
        <v>47.700953244779463</v>
      </c>
      <c r="W1564" s="43">
        <v>47.700345043835391</v>
      </c>
      <c r="X1564" s="43">
        <v>47.699606233150249</v>
      </c>
      <c r="Y1564" s="43">
        <v>47.698784018498259</v>
      </c>
      <c r="Z1564" s="43">
        <v>47.698024235913145</v>
      </c>
      <c r="AA1564" s="43">
        <v>47.69713215264818</v>
      </c>
      <c r="AB1564" s="43">
        <v>47.696305897897624</v>
      </c>
      <c r="AC1564" s="43">
        <v>47.694333121626656</v>
      </c>
      <c r="AD1564" s="43">
        <v>47.692427257113664</v>
      </c>
      <c r="AE1564" s="43">
        <v>47.690461928368428</v>
      </c>
    </row>
    <row r="1565" spans="1:31" x14ac:dyDescent="0.45">
      <c r="A1565" t="s">
        <v>2399</v>
      </c>
      <c r="B1565" t="s">
        <v>2387</v>
      </c>
      <c r="C1565" t="s">
        <v>113</v>
      </c>
      <c r="D1565">
        <v>2</v>
      </c>
      <c r="E1565" t="s">
        <v>2398</v>
      </c>
      <c r="L1565" s="43">
        <v>66.453659723176557</v>
      </c>
      <c r="M1565" s="43">
        <v>68.485475215764879</v>
      </c>
      <c r="N1565" s="43">
        <v>58.995402742046402</v>
      </c>
      <c r="O1565" s="43">
        <v>43.916716887965812</v>
      </c>
      <c r="P1565" s="43">
        <v>53.774364143577706</v>
      </c>
      <c r="Q1565" s="43">
        <v>42.744789650417033</v>
      </c>
      <c r="R1565" s="43">
        <v>52.296372162917706</v>
      </c>
      <c r="S1565" s="43">
        <v>50.675619134555625</v>
      </c>
      <c r="T1565" s="43">
        <v>49.244157129395532</v>
      </c>
      <c r="U1565" s="43">
        <v>47.701530563316886</v>
      </c>
      <c r="V1565" s="43">
        <v>47.700953244779463</v>
      </c>
      <c r="W1565" s="43">
        <v>47.700345043835391</v>
      </c>
      <c r="X1565" s="43">
        <v>47.699606233150249</v>
      </c>
      <c r="Y1565" s="43">
        <v>47.698784018498259</v>
      </c>
      <c r="Z1565" s="43">
        <v>47.698024235913145</v>
      </c>
      <c r="AA1565" s="43">
        <v>47.69713215264818</v>
      </c>
      <c r="AB1565" s="43">
        <v>47.696305897897624</v>
      </c>
      <c r="AC1565" s="43">
        <v>47.694333121626656</v>
      </c>
      <c r="AD1565" s="43">
        <v>47.692427257113664</v>
      </c>
      <c r="AE1565" s="43">
        <v>47.690461928368428</v>
      </c>
    </row>
    <row r="1566" spans="1:31" x14ac:dyDescent="0.45">
      <c r="A1566" t="s">
        <v>2400</v>
      </c>
      <c r="B1566" t="s">
        <v>2387</v>
      </c>
      <c r="C1566" t="s">
        <v>115</v>
      </c>
      <c r="D1566">
        <v>2</v>
      </c>
      <c r="E1566" t="s">
        <v>2398</v>
      </c>
      <c r="L1566" s="43">
        <v>66.453659723176557</v>
      </c>
      <c r="M1566" s="43">
        <v>68.485475215764879</v>
      </c>
      <c r="N1566" s="43">
        <v>58.995402742046402</v>
      </c>
      <c r="O1566" s="43">
        <v>43.916716887965812</v>
      </c>
      <c r="P1566" s="43">
        <v>53.774364143577706</v>
      </c>
      <c r="Q1566" s="43">
        <v>42.744789650417033</v>
      </c>
      <c r="R1566" s="43">
        <v>52.296372162917706</v>
      </c>
      <c r="S1566" s="43">
        <v>50.675619134555625</v>
      </c>
      <c r="T1566" s="43">
        <v>49.244157129395532</v>
      </c>
      <c r="U1566" s="43">
        <v>47.701530563316886</v>
      </c>
      <c r="V1566" s="43">
        <v>47.700953244779463</v>
      </c>
      <c r="W1566" s="43">
        <v>47.700345043835391</v>
      </c>
      <c r="X1566" s="43">
        <v>47.699606233150249</v>
      </c>
      <c r="Y1566" s="43">
        <v>47.698784018498259</v>
      </c>
      <c r="Z1566" s="43">
        <v>47.698024235913145</v>
      </c>
      <c r="AA1566" s="43">
        <v>47.69713215264818</v>
      </c>
      <c r="AB1566" s="43">
        <v>47.696305897897624</v>
      </c>
      <c r="AC1566" s="43">
        <v>47.694333121626656</v>
      </c>
      <c r="AD1566" s="43">
        <v>47.692427257113664</v>
      </c>
      <c r="AE1566" s="43">
        <v>47.690461928368428</v>
      </c>
    </row>
    <row r="1567" spans="1:31" x14ac:dyDescent="0.45">
      <c r="A1567" t="s">
        <v>2401</v>
      </c>
      <c r="B1567" t="s">
        <v>2387</v>
      </c>
      <c r="C1567" t="s">
        <v>117</v>
      </c>
      <c r="D1567">
        <v>2</v>
      </c>
      <c r="E1567" t="s">
        <v>2398</v>
      </c>
      <c r="L1567" s="43">
        <v>66.453659723176557</v>
      </c>
      <c r="M1567" s="43">
        <v>68.485475215764879</v>
      </c>
      <c r="N1567" s="43">
        <v>58.995402742046402</v>
      </c>
      <c r="O1567" s="43">
        <v>43.916716887965812</v>
      </c>
      <c r="P1567" s="43">
        <v>53.774364143577706</v>
      </c>
      <c r="Q1567" s="43">
        <v>42.744789650417033</v>
      </c>
      <c r="R1567" s="43">
        <v>52.296372162917706</v>
      </c>
      <c r="S1567" s="43">
        <v>50.675619134555625</v>
      </c>
      <c r="T1567" s="43">
        <v>49.244157129395532</v>
      </c>
      <c r="U1567" s="43">
        <v>47.701530563316886</v>
      </c>
      <c r="V1567" s="43">
        <v>47.700953244779463</v>
      </c>
      <c r="W1567" s="43">
        <v>47.700345043835391</v>
      </c>
      <c r="X1567" s="43">
        <v>47.699606233150249</v>
      </c>
      <c r="Y1567" s="43">
        <v>47.698784018498259</v>
      </c>
      <c r="Z1567" s="43">
        <v>47.698024235913145</v>
      </c>
      <c r="AA1567" s="43">
        <v>47.69713215264818</v>
      </c>
      <c r="AB1567" s="43">
        <v>47.696305897897624</v>
      </c>
      <c r="AC1567" s="43">
        <v>47.694333121626656</v>
      </c>
      <c r="AD1567" s="43">
        <v>47.692427257113664</v>
      </c>
      <c r="AE1567" s="43">
        <v>47.690461928368428</v>
      </c>
    </row>
    <row r="1568" spans="1:31" x14ac:dyDescent="0.45">
      <c r="A1568" t="s">
        <v>2402</v>
      </c>
      <c r="B1568" t="s">
        <v>110</v>
      </c>
      <c r="C1568" t="s">
        <v>43</v>
      </c>
      <c r="D1568">
        <v>2</v>
      </c>
      <c r="E1568" t="s">
        <v>2403</v>
      </c>
      <c r="L1568" s="43">
        <v>1901.7140738122609</v>
      </c>
      <c r="M1568" s="43">
        <v>1621.2301769893743</v>
      </c>
      <c r="N1568" s="43">
        <v>1820.8469202303741</v>
      </c>
      <c r="O1568" s="43">
        <v>1904.3670376253485</v>
      </c>
      <c r="P1568" s="43">
        <v>1961.702021253242</v>
      </c>
      <c r="Q1568" s="43">
        <v>2038.9739202925941</v>
      </c>
      <c r="R1568" s="43">
        <v>1847.3650852128353</v>
      </c>
      <c r="S1568" s="43">
        <v>1927.6967656346794</v>
      </c>
      <c r="T1568" s="43">
        <v>2003.6478535386466</v>
      </c>
      <c r="U1568" s="43">
        <v>2080.420807425895</v>
      </c>
      <c r="V1568" s="43">
        <v>2158.1017458230463</v>
      </c>
      <c r="W1568" s="43">
        <v>2238.4314308137432</v>
      </c>
      <c r="X1568" s="43">
        <v>2322.0852782283118</v>
      </c>
      <c r="Y1568" s="43">
        <v>2409.9601076918048</v>
      </c>
      <c r="Z1568" s="43">
        <v>2503.4273650546652</v>
      </c>
      <c r="AA1568" s="43">
        <v>2603.380841256117</v>
      </c>
      <c r="AB1568" s="43">
        <v>2710.5421417180701</v>
      </c>
      <c r="AC1568" s="43">
        <v>2825.0739330466899</v>
      </c>
      <c r="AD1568" s="43">
        <v>2947.1310655860725</v>
      </c>
      <c r="AE1568" s="43">
        <v>3076.9518919077177</v>
      </c>
    </row>
    <row r="1569" spans="1:31" x14ac:dyDescent="0.45">
      <c r="A1569" t="s">
        <v>2404</v>
      </c>
      <c r="B1569" t="s">
        <v>110</v>
      </c>
      <c r="C1569" t="s">
        <v>113</v>
      </c>
      <c r="D1569">
        <v>2</v>
      </c>
      <c r="E1569" t="s">
        <v>2403</v>
      </c>
      <c r="L1569" s="43">
        <v>3210.4467592248702</v>
      </c>
      <c r="M1569" s="43">
        <v>2690.3404093921163</v>
      </c>
      <c r="N1569" s="43">
        <v>3047.5360888007326</v>
      </c>
      <c r="O1569" s="43">
        <v>3240.6928223889822</v>
      </c>
      <c r="P1569" s="43">
        <v>3273.2119677539522</v>
      </c>
      <c r="Q1569" s="43">
        <v>3368.228907853118</v>
      </c>
      <c r="R1569" s="43">
        <v>3064.6631828354202</v>
      </c>
      <c r="S1569" s="43">
        <v>3177.4158490906384</v>
      </c>
      <c r="T1569" s="43">
        <v>3284.1252951076308</v>
      </c>
      <c r="U1569" s="43">
        <v>3391.5167507993629</v>
      </c>
      <c r="V1569" s="43">
        <v>3495.4443719317869</v>
      </c>
      <c r="W1569" s="43">
        <v>3602.4640735657167</v>
      </c>
      <c r="X1569" s="43">
        <v>3713.4594095241946</v>
      </c>
      <c r="Y1569" s="43">
        <v>3829.5951733815596</v>
      </c>
      <c r="Z1569" s="43">
        <v>3952.6477392689649</v>
      </c>
      <c r="AA1569" s="43">
        <v>4083.733553983021</v>
      </c>
      <c r="AB1569" s="43">
        <v>4223.7247296458527</v>
      </c>
      <c r="AC1569" s="43">
        <v>4372.7475422680927</v>
      </c>
      <c r="AD1569" s="43">
        <v>4530.9176443081178</v>
      </c>
      <c r="AE1569" s="43">
        <v>4698.4592756394795</v>
      </c>
    </row>
    <row r="1570" spans="1:31" x14ac:dyDescent="0.45">
      <c r="A1570" t="s">
        <v>2405</v>
      </c>
      <c r="B1570" t="s">
        <v>110</v>
      </c>
      <c r="C1570" t="s">
        <v>115</v>
      </c>
      <c r="D1570">
        <v>2</v>
      </c>
      <c r="E1570" t="s">
        <v>2403</v>
      </c>
      <c r="L1570" s="43">
        <v>0</v>
      </c>
      <c r="M1570" s="43">
        <v>0</v>
      </c>
      <c r="N1570" s="43">
        <v>0</v>
      </c>
      <c r="O1570" s="43">
        <v>0</v>
      </c>
      <c r="P1570" s="43">
        <v>0</v>
      </c>
      <c r="Q1570" s="43">
        <v>0</v>
      </c>
      <c r="R1570" s="43">
        <v>0</v>
      </c>
      <c r="S1570" s="43">
        <v>0</v>
      </c>
      <c r="T1570" s="43">
        <v>0</v>
      </c>
      <c r="U1570" s="43">
        <v>0</v>
      </c>
      <c r="V1570" s="43">
        <v>0</v>
      </c>
      <c r="W1570" s="43">
        <v>0</v>
      </c>
      <c r="X1570" s="43">
        <v>0</v>
      </c>
      <c r="Y1570" s="43">
        <v>0</v>
      </c>
      <c r="Z1570" s="43">
        <v>0</v>
      </c>
      <c r="AA1570" s="43">
        <v>0</v>
      </c>
      <c r="AB1570" s="43">
        <v>0</v>
      </c>
      <c r="AC1570" s="43">
        <v>0</v>
      </c>
      <c r="AD1570" s="43">
        <v>0</v>
      </c>
      <c r="AE1570" s="43">
        <v>0</v>
      </c>
    </row>
    <row r="1571" spans="1:31" x14ac:dyDescent="0.45">
      <c r="A1571" t="s">
        <v>2406</v>
      </c>
      <c r="B1571" t="s">
        <v>110</v>
      </c>
      <c r="C1571" t="s">
        <v>117</v>
      </c>
      <c r="D1571">
        <v>2</v>
      </c>
      <c r="E1571" t="s">
        <v>2403</v>
      </c>
      <c r="L1571" s="43">
        <v>0</v>
      </c>
      <c r="M1571" s="43">
        <v>0</v>
      </c>
      <c r="N1571" s="43">
        <v>0</v>
      </c>
      <c r="O1571" s="43">
        <v>0</v>
      </c>
      <c r="P1571" s="43">
        <v>0</v>
      </c>
      <c r="Q1571" s="43">
        <v>0</v>
      </c>
      <c r="R1571" s="43">
        <v>0</v>
      </c>
      <c r="S1571" s="43">
        <v>0</v>
      </c>
      <c r="T1571" s="43">
        <v>0</v>
      </c>
      <c r="U1571" s="43">
        <v>0</v>
      </c>
      <c r="V1571" s="43">
        <v>0</v>
      </c>
      <c r="W1571" s="43">
        <v>0</v>
      </c>
      <c r="X1571" s="43">
        <v>0</v>
      </c>
      <c r="Y1571" s="43">
        <v>0</v>
      </c>
      <c r="Z1571" s="43">
        <v>0</v>
      </c>
      <c r="AA1571" s="43">
        <v>0</v>
      </c>
      <c r="AB1571" s="43">
        <v>0</v>
      </c>
      <c r="AC1571" s="43">
        <v>0</v>
      </c>
      <c r="AD1571" s="43">
        <v>0</v>
      </c>
      <c r="AE1571" s="43">
        <v>0</v>
      </c>
    </row>
    <row r="1572" spans="1:31" x14ac:dyDescent="0.45">
      <c r="A1572" t="s">
        <v>2407</v>
      </c>
      <c r="B1572" t="s">
        <v>2387</v>
      </c>
      <c r="C1572" t="s">
        <v>43</v>
      </c>
      <c r="D1572">
        <v>2</v>
      </c>
      <c r="E1572" t="s">
        <v>2408</v>
      </c>
      <c r="L1572" s="43">
        <v>66.453659723176557</v>
      </c>
      <c r="M1572" s="43">
        <v>68.485475215764879</v>
      </c>
      <c r="N1572" s="43">
        <v>58.995402742046402</v>
      </c>
      <c r="O1572" s="43">
        <v>43.916716887965812</v>
      </c>
      <c r="P1572" s="43">
        <v>53.774364143577706</v>
      </c>
      <c r="Q1572" s="43">
        <v>42.744789650417033</v>
      </c>
      <c r="R1572" s="43">
        <v>52.296372162917706</v>
      </c>
      <c r="S1572" s="43">
        <v>50.675619134555625</v>
      </c>
      <c r="T1572" s="43">
        <v>49.244157129395532</v>
      </c>
      <c r="U1572" s="43">
        <v>47.701530563316886</v>
      </c>
      <c r="V1572" s="43">
        <v>47.700953244779463</v>
      </c>
      <c r="W1572" s="43">
        <v>47.700345043835391</v>
      </c>
      <c r="X1572" s="43">
        <v>47.699606233150249</v>
      </c>
      <c r="Y1572" s="43">
        <v>47.698784018498259</v>
      </c>
      <c r="Z1572" s="43">
        <v>47.698024235913145</v>
      </c>
      <c r="AA1572" s="43">
        <v>47.69713215264818</v>
      </c>
      <c r="AB1572" s="43">
        <v>47.696305897897624</v>
      </c>
      <c r="AC1572" s="43">
        <v>47.694333121626656</v>
      </c>
      <c r="AD1572" s="43">
        <v>47.692427257113664</v>
      </c>
      <c r="AE1572" s="43">
        <v>47.690461928368428</v>
      </c>
    </row>
    <row r="1573" spans="1:31" x14ac:dyDescent="0.45">
      <c r="A1573" t="s">
        <v>2409</v>
      </c>
      <c r="B1573" t="s">
        <v>2387</v>
      </c>
      <c r="C1573" t="s">
        <v>113</v>
      </c>
      <c r="D1573">
        <v>2</v>
      </c>
      <c r="E1573" t="s">
        <v>2408</v>
      </c>
      <c r="L1573" s="43">
        <v>66.453659723176557</v>
      </c>
      <c r="M1573" s="43">
        <v>68.485475215764879</v>
      </c>
      <c r="N1573" s="43">
        <v>58.995402742046402</v>
      </c>
      <c r="O1573" s="43">
        <v>43.916716887965812</v>
      </c>
      <c r="P1573" s="43">
        <v>53.774364143577706</v>
      </c>
      <c r="Q1573" s="43">
        <v>42.744789650417033</v>
      </c>
      <c r="R1573" s="43">
        <v>52.296372162917706</v>
      </c>
      <c r="S1573" s="43">
        <v>50.675619134555625</v>
      </c>
      <c r="T1573" s="43">
        <v>49.244157129395532</v>
      </c>
      <c r="U1573" s="43">
        <v>47.701530563316886</v>
      </c>
      <c r="V1573" s="43">
        <v>47.700953244779463</v>
      </c>
      <c r="W1573" s="43">
        <v>47.700345043835391</v>
      </c>
      <c r="X1573" s="43">
        <v>47.699606233150249</v>
      </c>
      <c r="Y1573" s="43">
        <v>47.698784018498259</v>
      </c>
      <c r="Z1573" s="43">
        <v>47.698024235913145</v>
      </c>
      <c r="AA1573" s="43">
        <v>47.69713215264818</v>
      </c>
      <c r="AB1573" s="43">
        <v>47.696305897897624</v>
      </c>
      <c r="AC1573" s="43">
        <v>47.694333121626656</v>
      </c>
      <c r="AD1573" s="43">
        <v>47.692427257113664</v>
      </c>
      <c r="AE1573" s="43">
        <v>47.690461928368428</v>
      </c>
    </row>
    <row r="1574" spans="1:31" x14ac:dyDescent="0.45">
      <c r="A1574" t="s">
        <v>2410</v>
      </c>
      <c r="B1574" t="s">
        <v>2387</v>
      </c>
      <c r="C1574" t="s">
        <v>115</v>
      </c>
      <c r="D1574">
        <v>2</v>
      </c>
      <c r="E1574" t="s">
        <v>2408</v>
      </c>
      <c r="L1574" s="43">
        <v>66.453659723176557</v>
      </c>
      <c r="M1574" s="43">
        <v>68.485475215764879</v>
      </c>
      <c r="N1574" s="43">
        <v>58.995402742046402</v>
      </c>
      <c r="O1574" s="43">
        <v>43.916716887965812</v>
      </c>
      <c r="P1574" s="43">
        <v>53.774364143577706</v>
      </c>
      <c r="Q1574" s="43">
        <v>42.744789650417033</v>
      </c>
      <c r="R1574" s="43">
        <v>52.296372162917706</v>
      </c>
      <c r="S1574" s="43">
        <v>50.675619134555625</v>
      </c>
      <c r="T1574" s="43">
        <v>49.244157129395532</v>
      </c>
      <c r="U1574" s="43">
        <v>47.701530563316886</v>
      </c>
      <c r="V1574" s="43">
        <v>47.700953244779463</v>
      </c>
      <c r="W1574" s="43">
        <v>47.700345043835391</v>
      </c>
      <c r="X1574" s="43">
        <v>47.699606233150249</v>
      </c>
      <c r="Y1574" s="43">
        <v>47.698784018498259</v>
      </c>
      <c r="Z1574" s="43">
        <v>47.698024235913145</v>
      </c>
      <c r="AA1574" s="43">
        <v>47.69713215264818</v>
      </c>
      <c r="AB1574" s="43">
        <v>47.696305897897624</v>
      </c>
      <c r="AC1574" s="43">
        <v>47.694333121626656</v>
      </c>
      <c r="AD1574" s="43">
        <v>47.692427257113664</v>
      </c>
      <c r="AE1574" s="43">
        <v>47.690461928368428</v>
      </c>
    </row>
    <row r="1575" spans="1:31" x14ac:dyDescent="0.45">
      <c r="A1575" t="s">
        <v>2411</v>
      </c>
      <c r="B1575" t="s">
        <v>2387</v>
      </c>
      <c r="C1575" t="s">
        <v>117</v>
      </c>
      <c r="D1575">
        <v>2</v>
      </c>
      <c r="E1575" t="s">
        <v>2408</v>
      </c>
      <c r="L1575" s="43">
        <v>66.453659723176557</v>
      </c>
      <c r="M1575" s="43">
        <v>68.485475215764879</v>
      </c>
      <c r="N1575" s="43">
        <v>58.995402742046402</v>
      </c>
      <c r="O1575" s="43">
        <v>43.916716887965812</v>
      </c>
      <c r="P1575" s="43">
        <v>53.774364143577706</v>
      </c>
      <c r="Q1575" s="43">
        <v>42.744789650417033</v>
      </c>
      <c r="R1575" s="43">
        <v>52.296372162917706</v>
      </c>
      <c r="S1575" s="43">
        <v>50.675619134555625</v>
      </c>
      <c r="T1575" s="43">
        <v>49.244157129395532</v>
      </c>
      <c r="U1575" s="43">
        <v>47.701530563316886</v>
      </c>
      <c r="V1575" s="43">
        <v>47.700953244779463</v>
      </c>
      <c r="W1575" s="43">
        <v>47.700345043835391</v>
      </c>
      <c r="X1575" s="43">
        <v>47.699606233150249</v>
      </c>
      <c r="Y1575" s="43">
        <v>47.698784018498259</v>
      </c>
      <c r="Z1575" s="43">
        <v>47.698024235913145</v>
      </c>
      <c r="AA1575" s="43">
        <v>47.69713215264818</v>
      </c>
      <c r="AB1575" s="43">
        <v>47.696305897897624</v>
      </c>
      <c r="AC1575" s="43">
        <v>47.694333121626656</v>
      </c>
      <c r="AD1575" s="43">
        <v>47.692427257113664</v>
      </c>
      <c r="AE1575" s="43">
        <v>47.690461928368428</v>
      </c>
    </row>
    <row r="1576" spans="1:31" x14ac:dyDescent="0.45">
      <c r="A1576" t="s">
        <v>2412</v>
      </c>
      <c r="B1576" t="s">
        <v>110</v>
      </c>
      <c r="C1576" t="s">
        <v>43</v>
      </c>
      <c r="D1576">
        <v>2</v>
      </c>
      <c r="E1576" t="s">
        <v>2413</v>
      </c>
      <c r="L1576" s="43">
        <v>1901.7140738122609</v>
      </c>
      <c r="M1576" s="43">
        <v>1621.2301769893743</v>
      </c>
      <c r="N1576" s="43">
        <v>1820.8469202303741</v>
      </c>
      <c r="O1576" s="43">
        <v>1904.3670376253485</v>
      </c>
      <c r="P1576" s="43">
        <v>1961.702021253242</v>
      </c>
      <c r="Q1576" s="43">
        <v>2038.9739202925941</v>
      </c>
      <c r="R1576" s="43">
        <v>1847.3650852128353</v>
      </c>
      <c r="S1576" s="43">
        <v>1927.6967656346794</v>
      </c>
      <c r="T1576" s="43">
        <v>2003.6478535386466</v>
      </c>
      <c r="U1576" s="43">
        <v>2080.420807425895</v>
      </c>
      <c r="V1576" s="43">
        <v>2158.1017458230463</v>
      </c>
      <c r="W1576" s="43">
        <v>2238.4314308137432</v>
      </c>
      <c r="X1576" s="43">
        <v>2322.0852782283118</v>
      </c>
      <c r="Y1576" s="43">
        <v>2409.9601076918048</v>
      </c>
      <c r="Z1576" s="43">
        <v>2503.4273650546652</v>
      </c>
      <c r="AA1576" s="43">
        <v>2603.380841256117</v>
      </c>
      <c r="AB1576" s="43">
        <v>2710.5421417180701</v>
      </c>
      <c r="AC1576" s="43">
        <v>2825.0739330466899</v>
      </c>
      <c r="AD1576" s="43">
        <v>2947.1310655860725</v>
      </c>
      <c r="AE1576" s="43">
        <v>3076.9518919077177</v>
      </c>
    </row>
    <row r="1577" spans="1:31" x14ac:dyDescent="0.45">
      <c r="A1577" t="s">
        <v>2414</v>
      </c>
      <c r="B1577" t="s">
        <v>110</v>
      </c>
      <c r="C1577" t="s">
        <v>113</v>
      </c>
      <c r="D1577">
        <v>2</v>
      </c>
      <c r="E1577" t="s">
        <v>2413</v>
      </c>
      <c r="L1577" s="43">
        <v>3210.4467592248702</v>
      </c>
      <c r="M1577" s="43">
        <v>2690.3404093921163</v>
      </c>
      <c r="N1577" s="43">
        <v>3047.5360888007326</v>
      </c>
      <c r="O1577" s="43">
        <v>3240.6928223889822</v>
      </c>
      <c r="P1577" s="43">
        <v>3273.2119677539522</v>
      </c>
      <c r="Q1577" s="43">
        <v>3368.228907853118</v>
      </c>
      <c r="R1577" s="43">
        <v>3064.6631828354202</v>
      </c>
      <c r="S1577" s="43">
        <v>3177.4158490906384</v>
      </c>
      <c r="T1577" s="43">
        <v>3284.1252951076308</v>
      </c>
      <c r="U1577" s="43">
        <v>3391.5167507993629</v>
      </c>
      <c r="V1577" s="43">
        <v>3495.4443719317869</v>
      </c>
      <c r="W1577" s="43">
        <v>3602.4640735657167</v>
      </c>
      <c r="X1577" s="43">
        <v>3713.4594095241946</v>
      </c>
      <c r="Y1577" s="43">
        <v>3829.5951733815596</v>
      </c>
      <c r="Z1577" s="43">
        <v>3952.6477392689649</v>
      </c>
      <c r="AA1577" s="43">
        <v>4083.733553983021</v>
      </c>
      <c r="AB1577" s="43">
        <v>4223.7247296458527</v>
      </c>
      <c r="AC1577" s="43">
        <v>4372.7475422680927</v>
      </c>
      <c r="AD1577" s="43">
        <v>4530.9176443081178</v>
      </c>
      <c r="AE1577" s="43">
        <v>4698.4592756394795</v>
      </c>
    </row>
    <row r="1578" spans="1:31" x14ac:dyDescent="0.45">
      <c r="A1578" t="s">
        <v>2415</v>
      </c>
      <c r="B1578" t="s">
        <v>110</v>
      </c>
      <c r="C1578" t="s">
        <v>115</v>
      </c>
      <c r="D1578">
        <v>2</v>
      </c>
      <c r="E1578" t="s">
        <v>2413</v>
      </c>
      <c r="L1578" s="43">
        <v>0</v>
      </c>
      <c r="M1578" s="43">
        <v>0</v>
      </c>
      <c r="N1578" s="43">
        <v>0</v>
      </c>
      <c r="O1578" s="43">
        <v>0</v>
      </c>
      <c r="P1578" s="43">
        <v>0</v>
      </c>
      <c r="Q1578" s="43">
        <v>0</v>
      </c>
      <c r="R1578" s="43">
        <v>0</v>
      </c>
      <c r="S1578" s="43">
        <v>0</v>
      </c>
      <c r="T1578" s="43">
        <v>0</v>
      </c>
      <c r="U1578" s="43">
        <v>0</v>
      </c>
      <c r="V1578" s="43">
        <v>0</v>
      </c>
      <c r="W1578" s="43">
        <v>0</v>
      </c>
      <c r="X1578" s="43">
        <v>0</v>
      </c>
      <c r="Y1578" s="43">
        <v>0</v>
      </c>
      <c r="Z1578" s="43">
        <v>0</v>
      </c>
      <c r="AA1578" s="43">
        <v>0</v>
      </c>
      <c r="AB1578" s="43">
        <v>0</v>
      </c>
      <c r="AC1578" s="43">
        <v>0</v>
      </c>
      <c r="AD1578" s="43">
        <v>0</v>
      </c>
      <c r="AE1578" s="43">
        <v>0</v>
      </c>
    </row>
    <row r="1579" spans="1:31" x14ac:dyDescent="0.45">
      <c r="A1579" t="s">
        <v>2416</v>
      </c>
      <c r="B1579" t="s">
        <v>110</v>
      </c>
      <c r="C1579" t="s">
        <v>117</v>
      </c>
      <c r="D1579">
        <v>2</v>
      </c>
      <c r="E1579" t="s">
        <v>2413</v>
      </c>
      <c r="L1579" s="43">
        <v>0</v>
      </c>
      <c r="M1579" s="43">
        <v>0</v>
      </c>
      <c r="N1579" s="43">
        <v>0</v>
      </c>
      <c r="O1579" s="43">
        <v>0</v>
      </c>
      <c r="P1579" s="43">
        <v>0</v>
      </c>
      <c r="Q1579" s="43">
        <v>0</v>
      </c>
      <c r="R1579" s="43">
        <v>0</v>
      </c>
      <c r="S1579" s="43">
        <v>0</v>
      </c>
      <c r="T1579" s="43">
        <v>0</v>
      </c>
      <c r="U1579" s="43">
        <v>0</v>
      </c>
      <c r="V1579" s="43">
        <v>0</v>
      </c>
      <c r="W1579" s="43">
        <v>0</v>
      </c>
      <c r="X1579" s="43">
        <v>0</v>
      </c>
      <c r="Y1579" s="43">
        <v>0</v>
      </c>
      <c r="Z1579" s="43">
        <v>0</v>
      </c>
      <c r="AA1579" s="43">
        <v>0</v>
      </c>
      <c r="AB1579" s="43">
        <v>0</v>
      </c>
      <c r="AC1579" s="43">
        <v>0</v>
      </c>
      <c r="AD1579" s="43">
        <v>0</v>
      </c>
      <c r="AE1579" s="43">
        <v>0</v>
      </c>
    </row>
    <row r="1580" spans="1:31" x14ac:dyDescent="0.45">
      <c r="A1580" t="s">
        <v>2417</v>
      </c>
      <c r="B1580" t="s">
        <v>2387</v>
      </c>
      <c r="C1580" t="s">
        <v>43</v>
      </c>
      <c r="D1580">
        <v>2</v>
      </c>
      <c r="E1580" t="s">
        <v>2418</v>
      </c>
      <c r="L1580" s="43">
        <v>66.453659723176557</v>
      </c>
      <c r="M1580" s="43">
        <v>68.485475215764879</v>
      </c>
      <c r="N1580" s="43">
        <v>58.995402742046402</v>
      </c>
      <c r="O1580" s="43">
        <v>43.916716887965812</v>
      </c>
      <c r="P1580" s="43">
        <v>53.774364143577706</v>
      </c>
      <c r="Q1580" s="43">
        <v>42.744789650417033</v>
      </c>
      <c r="R1580" s="43">
        <v>52.296372162917706</v>
      </c>
      <c r="S1580" s="43">
        <v>50.675619134555625</v>
      </c>
      <c r="T1580" s="43">
        <v>49.244157129395532</v>
      </c>
      <c r="U1580" s="43">
        <v>47.701530563316886</v>
      </c>
      <c r="V1580" s="43">
        <v>47.700953244779463</v>
      </c>
      <c r="W1580" s="43">
        <v>47.700345043835391</v>
      </c>
      <c r="X1580" s="43">
        <v>47.699606233150249</v>
      </c>
      <c r="Y1580" s="43">
        <v>47.698784018498259</v>
      </c>
      <c r="Z1580" s="43">
        <v>47.698024235913145</v>
      </c>
      <c r="AA1580" s="43">
        <v>47.69713215264818</v>
      </c>
      <c r="AB1580" s="43">
        <v>47.696305897897624</v>
      </c>
      <c r="AC1580" s="43">
        <v>47.694333121626656</v>
      </c>
      <c r="AD1580" s="43">
        <v>47.692427257113664</v>
      </c>
      <c r="AE1580" s="43">
        <v>47.690461928368428</v>
      </c>
    </row>
    <row r="1581" spans="1:31" x14ac:dyDescent="0.45">
      <c r="A1581" t="s">
        <v>2419</v>
      </c>
      <c r="B1581" t="s">
        <v>2387</v>
      </c>
      <c r="C1581" t="s">
        <v>113</v>
      </c>
      <c r="D1581">
        <v>2</v>
      </c>
      <c r="E1581" t="s">
        <v>2418</v>
      </c>
      <c r="L1581" s="43">
        <v>66.453659723176557</v>
      </c>
      <c r="M1581" s="43">
        <v>68.485475215764879</v>
      </c>
      <c r="N1581" s="43">
        <v>58.995402742046402</v>
      </c>
      <c r="O1581" s="43">
        <v>43.916716887965812</v>
      </c>
      <c r="P1581" s="43">
        <v>53.774364143577706</v>
      </c>
      <c r="Q1581" s="43">
        <v>42.744789650417033</v>
      </c>
      <c r="R1581" s="43">
        <v>52.296372162917706</v>
      </c>
      <c r="S1581" s="43">
        <v>50.675619134555625</v>
      </c>
      <c r="T1581" s="43">
        <v>49.244157129395532</v>
      </c>
      <c r="U1581" s="43">
        <v>47.701530563316886</v>
      </c>
      <c r="V1581" s="43">
        <v>47.700953244779463</v>
      </c>
      <c r="W1581" s="43">
        <v>47.700345043835391</v>
      </c>
      <c r="X1581" s="43">
        <v>47.699606233150249</v>
      </c>
      <c r="Y1581" s="43">
        <v>47.698784018498259</v>
      </c>
      <c r="Z1581" s="43">
        <v>47.698024235913145</v>
      </c>
      <c r="AA1581" s="43">
        <v>47.69713215264818</v>
      </c>
      <c r="AB1581" s="43">
        <v>47.696305897897624</v>
      </c>
      <c r="AC1581" s="43">
        <v>47.694333121626656</v>
      </c>
      <c r="AD1581" s="43">
        <v>47.692427257113664</v>
      </c>
      <c r="AE1581" s="43">
        <v>47.690461928368428</v>
      </c>
    </row>
    <row r="1582" spans="1:31" x14ac:dyDescent="0.45">
      <c r="A1582" t="s">
        <v>2420</v>
      </c>
      <c r="B1582" t="s">
        <v>2387</v>
      </c>
      <c r="C1582" t="s">
        <v>115</v>
      </c>
      <c r="D1582">
        <v>2</v>
      </c>
      <c r="E1582" t="s">
        <v>2418</v>
      </c>
      <c r="L1582" s="43">
        <v>66.453659723176557</v>
      </c>
      <c r="M1582" s="43">
        <v>68.485475215764879</v>
      </c>
      <c r="N1582" s="43">
        <v>58.995402742046402</v>
      </c>
      <c r="O1582" s="43">
        <v>43.916716887965812</v>
      </c>
      <c r="P1582" s="43">
        <v>53.774364143577706</v>
      </c>
      <c r="Q1582" s="43">
        <v>42.744789650417033</v>
      </c>
      <c r="R1582" s="43">
        <v>52.296372162917706</v>
      </c>
      <c r="S1582" s="43">
        <v>50.675619134555625</v>
      </c>
      <c r="T1582" s="43">
        <v>49.244157129395532</v>
      </c>
      <c r="U1582" s="43">
        <v>47.701530563316886</v>
      </c>
      <c r="V1582" s="43">
        <v>47.700953244779463</v>
      </c>
      <c r="W1582" s="43">
        <v>47.700345043835391</v>
      </c>
      <c r="X1582" s="43">
        <v>47.699606233150249</v>
      </c>
      <c r="Y1582" s="43">
        <v>47.698784018498259</v>
      </c>
      <c r="Z1582" s="43">
        <v>47.698024235913145</v>
      </c>
      <c r="AA1582" s="43">
        <v>47.69713215264818</v>
      </c>
      <c r="AB1582" s="43">
        <v>47.696305897897624</v>
      </c>
      <c r="AC1582" s="43">
        <v>47.694333121626656</v>
      </c>
      <c r="AD1582" s="43">
        <v>47.692427257113664</v>
      </c>
      <c r="AE1582" s="43">
        <v>47.690461928368428</v>
      </c>
    </row>
    <row r="1583" spans="1:31" x14ac:dyDescent="0.45">
      <c r="A1583" t="s">
        <v>2421</v>
      </c>
      <c r="B1583" t="s">
        <v>2387</v>
      </c>
      <c r="C1583" t="s">
        <v>117</v>
      </c>
      <c r="D1583">
        <v>2</v>
      </c>
      <c r="E1583" t="s">
        <v>2418</v>
      </c>
      <c r="L1583" s="43">
        <v>66.453659723176557</v>
      </c>
      <c r="M1583" s="43">
        <v>68.485475215764879</v>
      </c>
      <c r="N1583" s="43">
        <v>58.995402742046402</v>
      </c>
      <c r="O1583" s="43">
        <v>43.916716887965812</v>
      </c>
      <c r="P1583" s="43">
        <v>53.774364143577706</v>
      </c>
      <c r="Q1583" s="43">
        <v>42.744789650417033</v>
      </c>
      <c r="R1583" s="43">
        <v>52.296372162917706</v>
      </c>
      <c r="S1583" s="43">
        <v>50.675619134555625</v>
      </c>
      <c r="T1583" s="43">
        <v>49.244157129395532</v>
      </c>
      <c r="U1583" s="43">
        <v>47.701530563316886</v>
      </c>
      <c r="V1583" s="43">
        <v>47.700953244779463</v>
      </c>
      <c r="W1583" s="43">
        <v>47.700345043835391</v>
      </c>
      <c r="X1583" s="43">
        <v>47.699606233150249</v>
      </c>
      <c r="Y1583" s="43">
        <v>47.698784018498259</v>
      </c>
      <c r="Z1583" s="43">
        <v>47.698024235913145</v>
      </c>
      <c r="AA1583" s="43">
        <v>47.69713215264818</v>
      </c>
      <c r="AB1583" s="43">
        <v>47.696305897897624</v>
      </c>
      <c r="AC1583" s="43">
        <v>47.694333121626656</v>
      </c>
      <c r="AD1583" s="43">
        <v>47.692427257113664</v>
      </c>
      <c r="AE1583" s="43">
        <v>47.690461928368428</v>
      </c>
    </row>
    <row r="1584" spans="1:31" x14ac:dyDescent="0.45">
      <c r="A1584" t="s">
        <v>2422</v>
      </c>
      <c r="B1584" t="s">
        <v>110</v>
      </c>
      <c r="C1584" t="s">
        <v>43</v>
      </c>
      <c r="D1584">
        <v>2</v>
      </c>
      <c r="E1584" t="s">
        <v>2423</v>
      </c>
      <c r="L1584" s="43">
        <v>1901.7140738122609</v>
      </c>
      <c r="M1584" s="43">
        <v>1621.2301769893743</v>
      </c>
      <c r="N1584" s="43">
        <v>1820.8469202303741</v>
      </c>
      <c r="O1584" s="43">
        <v>1904.3670376253485</v>
      </c>
      <c r="P1584" s="43">
        <v>1961.702021253242</v>
      </c>
      <c r="Q1584" s="43">
        <v>2038.9739202925941</v>
      </c>
      <c r="R1584" s="43">
        <v>2053.7524223291048</v>
      </c>
      <c r="S1584" s="43">
        <v>2028.7258545687616</v>
      </c>
      <c r="T1584" s="43">
        <v>2003.6478535386473</v>
      </c>
      <c r="U1584" s="43">
        <v>1983.2706278023495</v>
      </c>
      <c r="V1584" s="43">
        <v>1966.960491119863</v>
      </c>
      <c r="W1584" s="43">
        <v>1955.5819635673633</v>
      </c>
      <c r="X1584" s="43">
        <v>1949.000028543926</v>
      </c>
      <c r="Y1584" s="43">
        <v>1947.3059514210311</v>
      </c>
      <c r="Z1584" s="43">
        <v>1950.9693766450584</v>
      </c>
      <c r="AA1584" s="43">
        <v>1960.0564283126205</v>
      </c>
      <c r="AB1584" s="43">
        <v>1974.5170929136352</v>
      </c>
      <c r="AC1584" s="43">
        <v>1993.9297991003125</v>
      </c>
      <c r="AD1584" s="43">
        <v>2017.9315635538314</v>
      </c>
      <c r="AE1584" s="43">
        <v>2046.2675129889969</v>
      </c>
    </row>
    <row r="1585" spans="1:31" x14ac:dyDescent="0.45">
      <c r="A1585" t="s">
        <v>2424</v>
      </c>
      <c r="B1585" t="s">
        <v>110</v>
      </c>
      <c r="C1585" t="s">
        <v>113</v>
      </c>
      <c r="D1585">
        <v>2</v>
      </c>
      <c r="E1585" t="s">
        <v>2423</v>
      </c>
      <c r="L1585" s="43">
        <v>3210.4467592248702</v>
      </c>
      <c r="M1585" s="43">
        <v>2690.3404093921163</v>
      </c>
      <c r="N1585" s="43">
        <v>3047.5360888007326</v>
      </c>
      <c r="O1585" s="43">
        <v>3240.6928223889822</v>
      </c>
      <c r="P1585" s="43">
        <v>3273.2119677539522</v>
      </c>
      <c r="Q1585" s="43">
        <v>3368.228907853118</v>
      </c>
      <c r="R1585" s="43">
        <v>3379.4779585853985</v>
      </c>
      <c r="S1585" s="43">
        <v>3331.2392751518291</v>
      </c>
      <c r="T1585" s="43">
        <v>3284.1252951076317</v>
      </c>
      <c r="U1585" s="43">
        <v>3244.0426318203517</v>
      </c>
      <c r="V1585" s="43">
        <v>3206.5962688425279</v>
      </c>
      <c r="W1585" s="43">
        <v>3176.9586228001854</v>
      </c>
      <c r="X1585" s="43">
        <v>3154.7672508666237</v>
      </c>
      <c r="Y1585" s="43">
        <v>3139.9898420802028</v>
      </c>
      <c r="Z1585" s="43">
        <v>3133.1186800267096</v>
      </c>
      <c r="AA1585" s="43">
        <v>3134.112488762697</v>
      </c>
      <c r="AB1585" s="43">
        <v>3142.7839499983083</v>
      </c>
      <c r="AC1585" s="43">
        <v>3158.4600343757443</v>
      </c>
      <c r="AD1585" s="43">
        <v>3180.5588326837142</v>
      </c>
      <c r="AE1585" s="43">
        <v>3208.6530755839376</v>
      </c>
    </row>
    <row r="1586" spans="1:31" x14ac:dyDescent="0.45">
      <c r="A1586" t="s">
        <v>2425</v>
      </c>
      <c r="B1586" t="s">
        <v>110</v>
      </c>
      <c r="C1586" t="s">
        <v>115</v>
      </c>
      <c r="D1586">
        <v>2</v>
      </c>
      <c r="E1586" t="s">
        <v>2423</v>
      </c>
      <c r="L1586" s="43">
        <v>0</v>
      </c>
      <c r="M1586" s="43">
        <v>0</v>
      </c>
      <c r="N1586" s="43">
        <v>0</v>
      </c>
      <c r="O1586" s="43">
        <v>0</v>
      </c>
      <c r="P1586" s="43">
        <v>0</v>
      </c>
      <c r="Q1586" s="43">
        <v>0</v>
      </c>
      <c r="R1586" s="43">
        <v>0</v>
      </c>
      <c r="S1586" s="43">
        <v>0</v>
      </c>
      <c r="T1586" s="43">
        <v>0</v>
      </c>
      <c r="U1586" s="43">
        <v>0</v>
      </c>
      <c r="V1586" s="43">
        <v>0</v>
      </c>
      <c r="W1586" s="43">
        <v>0</v>
      </c>
      <c r="X1586" s="43">
        <v>0</v>
      </c>
      <c r="Y1586" s="43">
        <v>0</v>
      </c>
      <c r="Z1586" s="43">
        <v>0</v>
      </c>
      <c r="AA1586" s="43">
        <v>0</v>
      </c>
      <c r="AB1586" s="43">
        <v>0</v>
      </c>
      <c r="AC1586" s="43">
        <v>0</v>
      </c>
      <c r="AD1586" s="43">
        <v>0</v>
      </c>
      <c r="AE1586" s="43">
        <v>0</v>
      </c>
    </row>
    <row r="1587" spans="1:31" x14ac:dyDescent="0.45">
      <c r="A1587" t="s">
        <v>2426</v>
      </c>
      <c r="B1587" t="s">
        <v>110</v>
      </c>
      <c r="C1587" t="s">
        <v>117</v>
      </c>
      <c r="D1587">
        <v>2</v>
      </c>
      <c r="E1587" t="s">
        <v>2423</v>
      </c>
      <c r="L1587" s="43">
        <v>0</v>
      </c>
      <c r="M1587" s="43">
        <v>0</v>
      </c>
      <c r="N1587" s="43">
        <v>0</v>
      </c>
      <c r="O1587" s="43">
        <v>0</v>
      </c>
      <c r="P1587" s="43">
        <v>0</v>
      </c>
      <c r="Q1587" s="43">
        <v>0</v>
      </c>
      <c r="R1587" s="43">
        <v>0</v>
      </c>
      <c r="S1587" s="43">
        <v>0</v>
      </c>
      <c r="T1587" s="43">
        <v>0</v>
      </c>
      <c r="U1587" s="43">
        <v>0</v>
      </c>
      <c r="V1587" s="43">
        <v>0</v>
      </c>
      <c r="W1587" s="43">
        <v>0</v>
      </c>
      <c r="X1587" s="43">
        <v>0</v>
      </c>
      <c r="Y1587" s="43">
        <v>0</v>
      </c>
      <c r="Z1587" s="43">
        <v>0</v>
      </c>
      <c r="AA1587" s="43">
        <v>0</v>
      </c>
      <c r="AB1587" s="43">
        <v>0</v>
      </c>
      <c r="AC1587" s="43">
        <v>0</v>
      </c>
      <c r="AD1587" s="43">
        <v>0</v>
      </c>
      <c r="AE1587" s="43">
        <v>0</v>
      </c>
    </row>
    <row r="1588" spans="1:31" x14ac:dyDescent="0.45">
      <c r="A1588" t="s">
        <v>2427</v>
      </c>
      <c r="B1588" t="s">
        <v>2387</v>
      </c>
      <c r="C1588" t="s">
        <v>43</v>
      </c>
      <c r="D1588">
        <v>2</v>
      </c>
      <c r="E1588" t="s">
        <v>2428</v>
      </c>
      <c r="L1588" s="43">
        <v>66.453659723176557</v>
      </c>
      <c r="M1588" s="43">
        <v>68.485475215764879</v>
      </c>
      <c r="N1588" s="43">
        <v>58.995402742046402</v>
      </c>
      <c r="O1588" s="43">
        <v>43.916716887965812</v>
      </c>
      <c r="P1588" s="43">
        <v>53.774364143577706</v>
      </c>
      <c r="Q1588" s="43">
        <v>42.744789650417033</v>
      </c>
      <c r="R1588" s="43">
        <v>42.779072328836371</v>
      </c>
      <c r="S1588" s="43">
        <v>45.916969217514961</v>
      </c>
      <c r="T1588" s="43">
        <v>49.244157129395532</v>
      </c>
      <c r="U1588" s="43">
        <v>52.460180480357558</v>
      </c>
      <c r="V1588" s="43">
        <v>57.218253078860805</v>
      </c>
      <c r="W1588" s="43">
        <v>61.976294794957397</v>
      </c>
      <c r="X1588" s="43">
        <v>66.734205901312919</v>
      </c>
      <c r="Y1588" s="43">
        <v>71.4920336037016</v>
      </c>
      <c r="Z1588" s="43">
        <v>76.24992373815715</v>
      </c>
      <c r="AA1588" s="43">
        <v>81.007681571932849</v>
      </c>
      <c r="AB1588" s="43">
        <v>85.765505234222971</v>
      </c>
      <c r="AC1588" s="43">
        <v>90.522182374992653</v>
      </c>
      <c r="AD1588" s="43">
        <v>95.278926427520332</v>
      </c>
      <c r="AE1588" s="43">
        <v>100.03561101581576</v>
      </c>
    </row>
    <row r="1589" spans="1:31" x14ac:dyDescent="0.45">
      <c r="A1589" t="s">
        <v>2429</v>
      </c>
      <c r="B1589" t="s">
        <v>2387</v>
      </c>
      <c r="C1589" t="s">
        <v>113</v>
      </c>
      <c r="D1589">
        <v>2</v>
      </c>
      <c r="E1589" t="s">
        <v>2428</v>
      </c>
      <c r="L1589" s="43">
        <v>66.453659723176557</v>
      </c>
      <c r="M1589" s="43">
        <v>68.485475215764879</v>
      </c>
      <c r="N1589" s="43">
        <v>58.995402742046402</v>
      </c>
      <c r="O1589" s="43">
        <v>43.916716887965812</v>
      </c>
      <c r="P1589" s="43">
        <v>53.774364143577706</v>
      </c>
      <c r="Q1589" s="43">
        <v>42.744789650417033</v>
      </c>
      <c r="R1589" s="43">
        <v>42.779072328836371</v>
      </c>
      <c r="S1589" s="43">
        <v>45.916969217514961</v>
      </c>
      <c r="T1589" s="43">
        <v>49.244157129395532</v>
      </c>
      <c r="U1589" s="43">
        <v>52.460180480357558</v>
      </c>
      <c r="V1589" s="43">
        <v>57.218253078860805</v>
      </c>
      <c r="W1589" s="43">
        <v>61.976294794957397</v>
      </c>
      <c r="X1589" s="43">
        <v>66.734205901312919</v>
      </c>
      <c r="Y1589" s="43">
        <v>71.4920336037016</v>
      </c>
      <c r="Z1589" s="43">
        <v>76.24992373815715</v>
      </c>
      <c r="AA1589" s="43">
        <v>81.007681571932849</v>
      </c>
      <c r="AB1589" s="43">
        <v>85.765505234222971</v>
      </c>
      <c r="AC1589" s="43">
        <v>90.522182374992653</v>
      </c>
      <c r="AD1589" s="43">
        <v>95.278926427520332</v>
      </c>
      <c r="AE1589" s="43">
        <v>100.03561101581576</v>
      </c>
    </row>
    <row r="1590" spans="1:31" x14ac:dyDescent="0.45">
      <c r="A1590" t="s">
        <v>2430</v>
      </c>
      <c r="B1590" t="s">
        <v>2387</v>
      </c>
      <c r="C1590" t="s">
        <v>115</v>
      </c>
      <c r="D1590">
        <v>2</v>
      </c>
      <c r="E1590" t="s">
        <v>2428</v>
      </c>
      <c r="L1590" s="43">
        <v>66.453659723176557</v>
      </c>
      <c r="M1590" s="43">
        <v>68.485475215764879</v>
      </c>
      <c r="N1590" s="43">
        <v>58.995402742046402</v>
      </c>
      <c r="O1590" s="43">
        <v>43.916716887965812</v>
      </c>
      <c r="P1590" s="43">
        <v>53.774364143577706</v>
      </c>
      <c r="Q1590" s="43">
        <v>42.744789650417033</v>
      </c>
      <c r="R1590" s="43">
        <v>42.779072328836371</v>
      </c>
      <c r="S1590" s="43">
        <v>45.916969217514961</v>
      </c>
      <c r="T1590" s="43">
        <v>49.244157129395532</v>
      </c>
      <c r="U1590" s="43">
        <v>52.460180480357558</v>
      </c>
      <c r="V1590" s="43">
        <v>57.218253078860805</v>
      </c>
      <c r="W1590" s="43">
        <v>61.976294794957397</v>
      </c>
      <c r="X1590" s="43">
        <v>66.734205901312919</v>
      </c>
      <c r="Y1590" s="43">
        <v>71.4920336037016</v>
      </c>
      <c r="Z1590" s="43">
        <v>76.24992373815715</v>
      </c>
      <c r="AA1590" s="43">
        <v>81.007681571932849</v>
      </c>
      <c r="AB1590" s="43">
        <v>85.765505234222971</v>
      </c>
      <c r="AC1590" s="43">
        <v>90.522182374992653</v>
      </c>
      <c r="AD1590" s="43">
        <v>95.278926427520332</v>
      </c>
      <c r="AE1590" s="43">
        <v>100.03561101581576</v>
      </c>
    </row>
    <row r="1591" spans="1:31" x14ac:dyDescent="0.45">
      <c r="A1591" t="s">
        <v>2431</v>
      </c>
      <c r="B1591" t="s">
        <v>2387</v>
      </c>
      <c r="C1591" t="s">
        <v>117</v>
      </c>
      <c r="D1591">
        <v>2</v>
      </c>
      <c r="E1591" t="s">
        <v>2428</v>
      </c>
      <c r="L1591" s="43">
        <v>66.453659723176557</v>
      </c>
      <c r="M1591" s="43">
        <v>68.485475215764879</v>
      </c>
      <c r="N1591" s="43">
        <v>58.995402742046402</v>
      </c>
      <c r="O1591" s="43">
        <v>43.916716887965812</v>
      </c>
      <c r="P1591" s="43">
        <v>53.774364143577706</v>
      </c>
      <c r="Q1591" s="43">
        <v>42.744789650417033</v>
      </c>
      <c r="R1591" s="43">
        <v>42.779072328836371</v>
      </c>
      <c r="S1591" s="43">
        <v>45.916969217514961</v>
      </c>
      <c r="T1591" s="43">
        <v>49.244157129395532</v>
      </c>
      <c r="U1591" s="43">
        <v>52.460180480357558</v>
      </c>
      <c r="V1591" s="43">
        <v>57.218253078860805</v>
      </c>
      <c r="W1591" s="43">
        <v>61.976294794957397</v>
      </c>
      <c r="X1591" s="43">
        <v>66.734205901312919</v>
      </c>
      <c r="Y1591" s="43">
        <v>71.4920336037016</v>
      </c>
      <c r="Z1591" s="43">
        <v>76.24992373815715</v>
      </c>
      <c r="AA1591" s="43">
        <v>81.007681571932849</v>
      </c>
      <c r="AB1591" s="43">
        <v>85.765505234222971</v>
      </c>
      <c r="AC1591" s="43">
        <v>90.522182374992653</v>
      </c>
      <c r="AD1591" s="43">
        <v>95.278926427520332</v>
      </c>
      <c r="AE1591" s="43">
        <v>100.03561101581576</v>
      </c>
    </row>
    <row r="1592" spans="1:31" x14ac:dyDescent="0.45">
      <c r="A1592" t="s">
        <v>2432</v>
      </c>
      <c r="B1592" t="s">
        <v>110</v>
      </c>
      <c r="C1592" t="s">
        <v>43</v>
      </c>
      <c r="D1592">
        <v>2</v>
      </c>
      <c r="E1592" t="s">
        <v>2433</v>
      </c>
      <c r="L1592" s="43">
        <v>1901.7140738122609</v>
      </c>
      <c r="M1592" s="43">
        <v>1621.2301769893743</v>
      </c>
      <c r="N1592" s="43">
        <v>1820.8469202303741</v>
      </c>
      <c r="O1592" s="43">
        <v>1904.3670376253485</v>
      </c>
      <c r="P1592" s="43">
        <v>1961.702021253242</v>
      </c>
      <c r="Q1592" s="43">
        <v>2038.9739202925941</v>
      </c>
      <c r="R1592" s="43">
        <v>2053.7524223291048</v>
      </c>
      <c r="S1592" s="43">
        <v>2028.7258545687616</v>
      </c>
      <c r="T1592" s="43">
        <v>2003.6478535386473</v>
      </c>
      <c r="U1592" s="43">
        <v>1983.2706278023495</v>
      </c>
      <c r="V1592" s="43">
        <v>1966.960491119863</v>
      </c>
      <c r="W1592" s="43">
        <v>1955.5819635673633</v>
      </c>
      <c r="X1592" s="43">
        <v>1949.000028543926</v>
      </c>
      <c r="Y1592" s="43">
        <v>1947.3059514210311</v>
      </c>
      <c r="Z1592" s="43">
        <v>1950.9693766450584</v>
      </c>
      <c r="AA1592" s="43">
        <v>1960.0564283126205</v>
      </c>
      <c r="AB1592" s="43">
        <v>1974.5170929136352</v>
      </c>
      <c r="AC1592" s="43">
        <v>1993.9297991003125</v>
      </c>
      <c r="AD1592" s="43">
        <v>2017.9315635538314</v>
      </c>
      <c r="AE1592" s="43">
        <v>2046.2675129889969</v>
      </c>
    </row>
    <row r="1593" spans="1:31" x14ac:dyDescent="0.45">
      <c r="A1593" t="s">
        <v>2434</v>
      </c>
      <c r="B1593" t="s">
        <v>110</v>
      </c>
      <c r="C1593" t="s">
        <v>113</v>
      </c>
      <c r="D1593">
        <v>2</v>
      </c>
      <c r="E1593" t="s">
        <v>2433</v>
      </c>
      <c r="L1593" s="43">
        <v>3210.4467592248702</v>
      </c>
      <c r="M1593" s="43">
        <v>2690.3404093921163</v>
      </c>
      <c r="N1593" s="43">
        <v>3047.5360888007326</v>
      </c>
      <c r="O1593" s="43">
        <v>3240.6928223889822</v>
      </c>
      <c r="P1593" s="43">
        <v>3273.2119677539522</v>
      </c>
      <c r="Q1593" s="43">
        <v>3368.228907853118</v>
      </c>
      <c r="R1593" s="43">
        <v>3379.4779585853985</v>
      </c>
      <c r="S1593" s="43">
        <v>3331.2392751518291</v>
      </c>
      <c r="T1593" s="43">
        <v>3284.1252951076317</v>
      </c>
      <c r="U1593" s="43">
        <v>3244.0426318203517</v>
      </c>
      <c r="V1593" s="43">
        <v>3206.5962688425279</v>
      </c>
      <c r="W1593" s="43">
        <v>3176.9586228001854</v>
      </c>
      <c r="X1593" s="43">
        <v>3154.7672508666237</v>
      </c>
      <c r="Y1593" s="43">
        <v>3139.9898420802028</v>
      </c>
      <c r="Z1593" s="43">
        <v>3133.1186800267096</v>
      </c>
      <c r="AA1593" s="43">
        <v>3134.112488762697</v>
      </c>
      <c r="AB1593" s="43">
        <v>3142.7839499983083</v>
      </c>
      <c r="AC1593" s="43">
        <v>3158.4600343757443</v>
      </c>
      <c r="AD1593" s="43">
        <v>3180.5588326837142</v>
      </c>
      <c r="AE1593" s="43">
        <v>3208.6530755839376</v>
      </c>
    </row>
    <row r="1594" spans="1:31" x14ac:dyDescent="0.45">
      <c r="A1594" t="s">
        <v>2435</v>
      </c>
      <c r="B1594" t="s">
        <v>110</v>
      </c>
      <c r="C1594" t="s">
        <v>115</v>
      </c>
      <c r="D1594">
        <v>2</v>
      </c>
      <c r="E1594" t="s">
        <v>2433</v>
      </c>
      <c r="L1594" s="43">
        <v>0</v>
      </c>
      <c r="M1594" s="43">
        <v>0</v>
      </c>
      <c r="N1594" s="43">
        <v>0</v>
      </c>
      <c r="O1594" s="43">
        <v>0</v>
      </c>
      <c r="P1594" s="43">
        <v>0</v>
      </c>
      <c r="Q1594" s="43">
        <v>0</v>
      </c>
      <c r="R1594" s="43">
        <v>0</v>
      </c>
      <c r="S1594" s="43">
        <v>0</v>
      </c>
      <c r="T1594" s="43">
        <v>0</v>
      </c>
      <c r="U1594" s="43">
        <v>0</v>
      </c>
      <c r="V1594" s="43">
        <v>0</v>
      </c>
      <c r="W1594" s="43">
        <v>0</v>
      </c>
      <c r="X1594" s="43">
        <v>0</v>
      </c>
      <c r="Y1594" s="43">
        <v>0</v>
      </c>
      <c r="Z1594" s="43">
        <v>0</v>
      </c>
      <c r="AA1594" s="43">
        <v>0</v>
      </c>
      <c r="AB1594" s="43">
        <v>0</v>
      </c>
      <c r="AC1594" s="43">
        <v>0</v>
      </c>
      <c r="AD1594" s="43">
        <v>0</v>
      </c>
      <c r="AE1594" s="43">
        <v>0</v>
      </c>
    </row>
    <row r="1595" spans="1:31" x14ac:dyDescent="0.45">
      <c r="A1595" t="s">
        <v>2436</v>
      </c>
      <c r="B1595" t="s">
        <v>110</v>
      </c>
      <c r="C1595" t="s">
        <v>117</v>
      </c>
      <c r="D1595">
        <v>2</v>
      </c>
      <c r="E1595" t="s">
        <v>2433</v>
      </c>
      <c r="L1595" s="43">
        <v>0</v>
      </c>
      <c r="M1595" s="43">
        <v>0</v>
      </c>
      <c r="N1595" s="43">
        <v>0</v>
      </c>
      <c r="O1595" s="43">
        <v>0</v>
      </c>
      <c r="P1595" s="43">
        <v>0</v>
      </c>
      <c r="Q1595" s="43">
        <v>0</v>
      </c>
      <c r="R1595" s="43">
        <v>0</v>
      </c>
      <c r="S1595" s="43">
        <v>0</v>
      </c>
      <c r="T1595" s="43">
        <v>0</v>
      </c>
      <c r="U1595" s="43">
        <v>0</v>
      </c>
      <c r="V1595" s="43">
        <v>0</v>
      </c>
      <c r="W1595" s="43">
        <v>0</v>
      </c>
      <c r="X1595" s="43">
        <v>0</v>
      </c>
      <c r="Y1595" s="43">
        <v>0</v>
      </c>
      <c r="Z1595" s="43">
        <v>0</v>
      </c>
      <c r="AA1595" s="43">
        <v>0</v>
      </c>
      <c r="AB1595" s="43">
        <v>0</v>
      </c>
      <c r="AC1595" s="43">
        <v>0</v>
      </c>
      <c r="AD1595" s="43">
        <v>0</v>
      </c>
      <c r="AE1595" s="43">
        <v>0</v>
      </c>
    </row>
    <row r="1596" spans="1:31" x14ac:dyDescent="0.45">
      <c r="A1596" t="s">
        <v>2437</v>
      </c>
      <c r="B1596" t="s">
        <v>2387</v>
      </c>
      <c r="C1596" t="s">
        <v>43</v>
      </c>
      <c r="D1596">
        <v>2</v>
      </c>
      <c r="E1596" t="s">
        <v>2438</v>
      </c>
      <c r="L1596" s="43">
        <v>66.453659723176557</v>
      </c>
      <c r="M1596" s="43">
        <v>68.485475215764879</v>
      </c>
      <c r="N1596" s="43">
        <v>58.995402742046402</v>
      </c>
      <c r="O1596" s="43">
        <v>43.916716887965812</v>
      </c>
      <c r="P1596" s="43">
        <v>53.774364143577706</v>
      </c>
      <c r="Q1596" s="43">
        <v>42.744789650417033</v>
      </c>
      <c r="R1596" s="43">
        <v>42.779072328836371</v>
      </c>
      <c r="S1596" s="43">
        <v>45.916969217514961</v>
      </c>
      <c r="T1596" s="43">
        <v>49.244157129395532</v>
      </c>
      <c r="U1596" s="43">
        <v>52.460180480357558</v>
      </c>
      <c r="V1596" s="43">
        <v>57.218253078860805</v>
      </c>
      <c r="W1596" s="43">
        <v>61.976294794957397</v>
      </c>
      <c r="X1596" s="43">
        <v>66.734205901312919</v>
      </c>
      <c r="Y1596" s="43">
        <v>71.4920336037016</v>
      </c>
      <c r="Z1596" s="43">
        <v>76.24992373815715</v>
      </c>
      <c r="AA1596" s="43">
        <v>81.007681571932849</v>
      </c>
      <c r="AB1596" s="43">
        <v>85.765505234222971</v>
      </c>
      <c r="AC1596" s="43">
        <v>90.522182374992653</v>
      </c>
      <c r="AD1596" s="43">
        <v>95.278926427520332</v>
      </c>
      <c r="AE1596" s="43">
        <v>100.03561101581576</v>
      </c>
    </row>
    <row r="1597" spans="1:31" x14ac:dyDescent="0.45">
      <c r="A1597" t="s">
        <v>2439</v>
      </c>
      <c r="B1597" t="s">
        <v>2387</v>
      </c>
      <c r="C1597" t="s">
        <v>113</v>
      </c>
      <c r="D1597">
        <v>2</v>
      </c>
      <c r="E1597" t="s">
        <v>2438</v>
      </c>
      <c r="L1597" s="43">
        <v>66.453659723176557</v>
      </c>
      <c r="M1597" s="43">
        <v>68.485475215764879</v>
      </c>
      <c r="N1597" s="43">
        <v>58.995402742046402</v>
      </c>
      <c r="O1597" s="43">
        <v>43.916716887965812</v>
      </c>
      <c r="P1597" s="43">
        <v>53.774364143577706</v>
      </c>
      <c r="Q1597" s="43">
        <v>42.744789650417033</v>
      </c>
      <c r="R1597" s="43">
        <v>42.779072328836371</v>
      </c>
      <c r="S1597" s="43">
        <v>45.916969217514961</v>
      </c>
      <c r="T1597" s="43">
        <v>49.244157129395532</v>
      </c>
      <c r="U1597" s="43">
        <v>52.460180480357558</v>
      </c>
      <c r="V1597" s="43">
        <v>57.218253078860805</v>
      </c>
      <c r="W1597" s="43">
        <v>61.976294794957397</v>
      </c>
      <c r="X1597" s="43">
        <v>66.734205901312919</v>
      </c>
      <c r="Y1597" s="43">
        <v>71.4920336037016</v>
      </c>
      <c r="Z1597" s="43">
        <v>76.24992373815715</v>
      </c>
      <c r="AA1597" s="43">
        <v>81.007681571932849</v>
      </c>
      <c r="AB1597" s="43">
        <v>85.765505234222971</v>
      </c>
      <c r="AC1597" s="43">
        <v>90.522182374992653</v>
      </c>
      <c r="AD1597" s="43">
        <v>95.278926427520332</v>
      </c>
      <c r="AE1597" s="43">
        <v>100.03561101581576</v>
      </c>
    </row>
    <row r="1598" spans="1:31" x14ac:dyDescent="0.45">
      <c r="A1598" t="s">
        <v>2440</v>
      </c>
      <c r="B1598" t="s">
        <v>2387</v>
      </c>
      <c r="C1598" t="s">
        <v>115</v>
      </c>
      <c r="D1598">
        <v>2</v>
      </c>
      <c r="E1598" t="s">
        <v>2438</v>
      </c>
      <c r="L1598" s="43">
        <v>66.453659723176557</v>
      </c>
      <c r="M1598" s="43">
        <v>68.485475215764879</v>
      </c>
      <c r="N1598" s="43">
        <v>58.995402742046402</v>
      </c>
      <c r="O1598" s="43">
        <v>43.916716887965812</v>
      </c>
      <c r="P1598" s="43">
        <v>53.774364143577706</v>
      </c>
      <c r="Q1598" s="43">
        <v>42.744789650417033</v>
      </c>
      <c r="R1598" s="43">
        <v>42.779072328836371</v>
      </c>
      <c r="S1598" s="43">
        <v>45.916969217514961</v>
      </c>
      <c r="T1598" s="43">
        <v>49.244157129395532</v>
      </c>
      <c r="U1598" s="43">
        <v>52.460180480357558</v>
      </c>
      <c r="V1598" s="43">
        <v>57.218253078860805</v>
      </c>
      <c r="W1598" s="43">
        <v>61.976294794957397</v>
      </c>
      <c r="X1598" s="43">
        <v>66.734205901312919</v>
      </c>
      <c r="Y1598" s="43">
        <v>71.4920336037016</v>
      </c>
      <c r="Z1598" s="43">
        <v>76.24992373815715</v>
      </c>
      <c r="AA1598" s="43">
        <v>81.007681571932849</v>
      </c>
      <c r="AB1598" s="43">
        <v>85.765505234222971</v>
      </c>
      <c r="AC1598" s="43">
        <v>90.522182374992653</v>
      </c>
      <c r="AD1598" s="43">
        <v>95.278926427520332</v>
      </c>
      <c r="AE1598" s="43">
        <v>100.03561101581576</v>
      </c>
    </row>
    <row r="1599" spans="1:31" x14ac:dyDescent="0.45">
      <c r="A1599" t="s">
        <v>2441</v>
      </c>
      <c r="B1599" t="s">
        <v>2387</v>
      </c>
      <c r="C1599" t="s">
        <v>117</v>
      </c>
      <c r="D1599">
        <v>2</v>
      </c>
      <c r="E1599" t="s">
        <v>2438</v>
      </c>
      <c r="L1599" s="43">
        <v>66.453659723176557</v>
      </c>
      <c r="M1599" s="43">
        <v>68.485475215764879</v>
      </c>
      <c r="N1599" s="43">
        <v>58.995402742046402</v>
      </c>
      <c r="O1599" s="43">
        <v>43.916716887965812</v>
      </c>
      <c r="P1599" s="43">
        <v>53.774364143577706</v>
      </c>
      <c r="Q1599" s="43">
        <v>42.744789650417033</v>
      </c>
      <c r="R1599" s="43">
        <v>42.779072328836371</v>
      </c>
      <c r="S1599" s="43">
        <v>45.916969217514961</v>
      </c>
      <c r="T1599" s="43">
        <v>49.244157129395532</v>
      </c>
      <c r="U1599" s="43">
        <v>52.460180480357558</v>
      </c>
      <c r="V1599" s="43">
        <v>57.218253078860805</v>
      </c>
      <c r="W1599" s="43">
        <v>61.976294794957397</v>
      </c>
      <c r="X1599" s="43">
        <v>66.734205901312919</v>
      </c>
      <c r="Y1599" s="43">
        <v>71.4920336037016</v>
      </c>
      <c r="Z1599" s="43">
        <v>76.24992373815715</v>
      </c>
      <c r="AA1599" s="43">
        <v>81.007681571932849</v>
      </c>
      <c r="AB1599" s="43">
        <v>85.765505234222971</v>
      </c>
      <c r="AC1599" s="43">
        <v>90.522182374992653</v>
      </c>
      <c r="AD1599" s="43">
        <v>95.278926427520332</v>
      </c>
      <c r="AE1599" s="43">
        <v>100.03561101581576</v>
      </c>
    </row>
    <row r="1600" spans="1:31" x14ac:dyDescent="0.45">
      <c r="A1600" t="s">
        <v>2442</v>
      </c>
      <c r="B1600" t="s">
        <v>110</v>
      </c>
      <c r="C1600" t="s">
        <v>43</v>
      </c>
      <c r="D1600">
        <v>2</v>
      </c>
      <c r="E1600" t="s">
        <v>2443</v>
      </c>
      <c r="L1600" s="43">
        <v>1901.7140738122609</v>
      </c>
      <c r="M1600" s="43">
        <v>1621.2301769893743</v>
      </c>
      <c r="N1600" s="43">
        <v>1820.8469202303741</v>
      </c>
      <c r="O1600" s="43">
        <v>1904.3670376253485</v>
      </c>
      <c r="P1600" s="43">
        <v>1961.702021253242</v>
      </c>
      <c r="Q1600" s="43">
        <v>2038.9739202925941</v>
      </c>
      <c r="R1600" s="43">
        <v>2053.7524223291048</v>
      </c>
      <c r="S1600" s="43">
        <v>2028.7258545687616</v>
      </c>
      <c r="T1600" s="43">
        <v>2003.6478535386473</v>
      </c>
      <c r="U1600" s="43">
        <v>1983.2706278023495</v>
      </c>
      <c r="V1600" s="43">
        <v>1966.960491119863</v>
      </c>
      <c r="W1600" s="43">
        <v>1955.5819635673633</v>
      </c>
      <c r="X1600" s="43">
        <v>1949.000028543926</v>
      </c>
      <c r="Y1600" s="43">
        <v>1947.3059514210311</v>
      </c>
      <c r="Z1600" s="43">
        <v>1950.9693766450584</v>
      </c>
      <c r="AA1600" s="43">
        <v>1960.0564283126205</v>
      </c>
      <c r="AB1600" s="43">
        <v>1974.5170929136352</v>
      </c>
      <c r="AC1600" s="43">
        <v>1993.9297991003125</v>
      </c>
      <c r="AD1600" s="43">
        <v>2017.9315635538314</v>
      </c>
      <c r="AE1600" s="43">
        <v>2046.2675129889969</v>
      </c>
    </row>
    <row r="1601" spans="1:31" x14ac:dyDescent="0.45">
      <c r="A1601" t="s">
        <v>2444</v>
      </c>
      <c r="B1601" t="s">
        <v>110</v>
      </c>
      <c r="C1601" t="s">
        <v>113</v>
      </c>
      <c r="D1601">
        <v>2</v>
      </c>
      <c r="E1601" t="s">
        <v>2443</v>
      </c>
      <c r="L1601" s="43">
        <v>3210.4467592248702</v>
      </c>
      <c r="M1601" s="43">
        <v>2690.3404093921163</v>
      </c>
      <c r="N1601" s="43">
        <v>3047.5360888007326</v>
      </c>
      <c r="O1601" s="43">
        <v>3240.6928223889822</v>
      </c>
      <c r="P1601" s="43">
        <v>3273.2119677539522</v>
      </c>
      <c r="Q1601" s="43">
        <v>3368.228907853118</v>
      </c>
      <c r="R1601" s="43">
        <v>3379.4779585853985</v>
      </c>
      <c r="S1601" s="43">
        <v>3331.2392751518291</v>
      </c>
      <c r="T1601" s="43">
        <v>3284.1252951076317</v>
      </c>
      <c r="U1601" s="43">
        <v>3244.0426318203517</v>
      </c>
      <c r="V1601" s="43">
        <v>3206.5962688425279</v>
      </c>
      <c r="W1601" s="43">
        <v>3176.9586228001854</v>
      </c>
      <c r="X1601" s="43">
        <v>3154.7672508666237</v>
      </c>
      <c r="Y1601" s="43">
        <v>3139.9898420802028</v>
      </c>
      <c r="Z1601" s="43">
        <v>3133.1186800267096</v>
      </c>
      <c r="AA1601" s="43">
        <v>3134.112488762697</v>
      </c>
      <c r="AB1601" s="43">
        <v>3142.7839499983083</v>
      </c>
      <c r="AC1601" s="43">
        <v>3158.4600343757443</v>
      </c>
      <c r="AD1601" s="43">
        <v>3180.5588326837142</v>
      </c>
      <c r="AE1601" s="43">
        <v>3208.6530755839376</v>
      </c>
    </row>
    <row r="1602" spans="1:31" x14ac:dyDescent="0.45">
      <c r="A1602" t="s">
        <v>2445</v>
      </c>
      <c r="B1602" t="s">
        <v>110</v>
      </c>
      <c r="C1602" t="s">
        <v>115</v>
      </c>
      <c r="D1602">
        <v>2</v>
      </c>
      <c r="E1602" t="s">
        <v>2443</v>
      </c>
      <c r="L1602" s="43">
        <v>0</v>
      </c>
      <c r="M1602" s="43">
        <v>0</v>
      </c>
      <c r="N1602" s="43">
        <v>0</v>
      </c>
      <c r="O1602" s="43">
        <v>0</v>
      </c>
      <c r="P1602" s="43">
        <v>0</v>
      </c>
      <c r="Q1602" s="43">
        <v>0</v>
      </c>
      <c r="R1602" s="43">
        <v>0</v>
      </c>
      <c r="S1602" s="43">
        <v>0</v>
      </c>
      <c r="T1602" s="43">
        <v>0</v>
      </c>
      <c r="U1602" s="43">
        <v>0</v>
      </c>
      <c r="V1602" s="43">
        <v>0</v>
      </c>
      <c r="W1602" s="43">
        <v>0</v>
      </c>
      <c r="X1602" s="43">
        <v>0</v>
      </c>
      <c r="Y1602" s="43">
        <v>0</v>
      </c>
      <c r="Z1602" s="43">
        <v>0</v>
      </c>
      <c r="AA1602" s="43">
        <v>0</v>
      </c>
      <c r="AB1602" s="43">
        <v>0</v>
      </c>
      <c r="AC1602" s="43">
        <v>0</v>
      </c>
      <c r="AD1602" s="43">
        <v>0</v>
      </c>
      <c r="AE1602" s="43">
        <v>0</v>
      </c>
    </row>
    <row r="1603" spans="1:31" x14ac:dyDescent="0.45">
      <c r="A1603" t="s">
        <v>2446</v>
      </c>
      <c r="B1603" t="s">
        <v>110</v>
      </c>
      <c r="C1603" t="s">
        <v>117</v>
      </c>
      <c r="D1603">
        <v>2</v>
      </c>
      <c r="E1603" t="s">
        <v>2443</v>
      </c>
      <c r="L1603" s="43">
        <v>0</v>
      </c>
      <c r="M1603" s="43">
        <v>0</v>
      </c>
      <c r="N1603" s="43">
        <v>0</v>
      </c>
      <c r="O1603" s="43">
        <v>0</v>
      </c>
      <c r="P1603" s="43">
        <v>0</v>
      </c>
      <c r="Q1603" s="43">
        <v>0</v>
      </c>
      <c r="R1603" s="43">
        <v>0</v>
      </c>
      <c r="S1603" s="43">
        <v>0</v>
      </c>
      <c r="T1603" s="43">
        <v>0</v>
      </c>
      <c r="U1603" s="43">
        <v>0</v>
      </c>
      <c r="V1603" s="43">
        <v>0</v>
      </c>
      <c r="W1603" s="43">
        <v>0</v>
      </c>
      <c r="X1603" s="43">
        <v>0</v>
      </c>
      <c r="Y1603" s="43">
        <v>0</v>
      </c>
      <c r="Z1603" s="43">
        <v>0</v>
      </c>
      <c r="AA1603" s="43">
        <v>0</v>
      </c>
      <c r="AB1603" s="43">
        <v>0</v>
      </c>
      <c r="AC1603" s="43">
        <v>0</v>
      </c>
      <c r="AD1603" s="43">
        <v>0</v>
      </c>
      <c r="AE1603" s="43">
        <v>0</v>
      </c>
    </row>
    <row r="1604" spans="1:31" x14ac:dyDescent="0.45">
      <c r="A1604" t="s">
        <v>2447</v>
      </c>
      <c r="B1604" t="s">
        <v>2387</v>
      </c>
      <c r="C1604" t="s">
        <v>43</v>
      </c>
      <c r="D1604">
        <v>2</v>
      </c>
      <c r="E1604" t="s">
        <v>2448</v>
      </c>
      <c r="L1604" s="43">
        <v>66.453659723176557</v>
      </c>
      <c r="M1604" s="43">
        <v>68.485475215764879</v>
      </c>
      <c r="N1604" s="43">
        <v>58.995402742046402</v>
      </c>
      <c r="O1604" s="43">
        <v>43.916716887965812</v>
      </c>
      <c r="P1604" s="43">
        <v>53.774364143577706</v>
      </c>
      <c r="Q1604" s="43">
        <v>42.744789650417033</v>
      </c>
      <c r="R1604" s="43">
        <v>42.779072328836371</v>
      </c>
      <c r="S1604" s="43">
        <v>45.916969217514961</v>
      </c>
      <c r="T1604" s="43">
        <v>49.244157129395532</v>
      </c>
      <c r="U1604" s="43">
        <v>52.460180480357558</v>
      </c>
      <c r="V1604" s="43">
        <v>57.218253078860805</v>
      </c>
      <c r="W1604" s="43">
        <v>61.976294794957397</v>
      </c>
      <c r="X1604" s="43">
        <v>66.734205901312919</v>
      </c>
      <c r="Y1604" s="43">
        <v>71.4920336037016</v>
      </c>
      <c r="Z1604" s="43">
        <v>76.24992373815715</v>
      </c>
      <c r="AA1604" s="43">
        <v>81.007681571932849</v>
      </c>
      <c r="AB1604" s="43">
        <v>85.765505234222971</v>
      </c>
      <c r="AC1604" s="43">
        <v>90.522182374992653</v>
      </c>
      <c r="AD1604" s="43">
        <v>95.278926427520332</v>
      </c>
      <c r="AE1604" s="43">
        <v>100.03561101581576</v>
      </c>
    </row>
    <row r="1605" spans="1:31" x14ac:dyDescent="0.45">
      <c r="A1605" t="s">
        <v>2449</v>
      </c>
      <c r="B1605" t="s">
        <v>2387</v>
      </c>
      <c r="C1605" t="s">
        <v>113</v>
      </c>
      <c r="D1605">
        <v>2</v>
      </c>
      <c r="E1605" t="s">
        <v>2448</v>
      </c>
      <c r="L1605" s="43">
        <v>66.453659723176557</v>
      </c>
      <c r="M1605" s="43">
        <v>68.485475215764879</v>
      </c>
      <c r="N1605" s="43">
        <v>58.995402742046402</v>
      </c>
      <c r="O1605" s="43">
        <v>43.916716887965812</v>
      </c>
      <c r="P1605" s="43">
        <v>53.774364143577706</v>
      </c>
      <c r="Q1605" s="43">
        <v>42.744789650417033</v>
      </c>
      <c r="R1605" s="43">
        <v>42.779072328836371</v>
      </c>
      <c r="S1605" s="43">
        <v>45.916969217514961</v>
      </c>
      <c r="T1605" s="43">
        <v>49.244157129395532</v>
      </c>
      <c r="U1605" s="43">
        <v>52.460180480357558</v>
      </c>
      <c r="V1605" s="43">
        <v>57.218253078860805</v>
      </c>
      <c r="W1605" s="43">
        <v>61.976294794957397</v>
      </c>
      <c r="X1605" s="43">
        <v>66.734205901312919</v>
      </c>
      <c r="Y1605" s="43">
        <v>71.4920336037016</v>
      </c>
      <c r="Z1605" s="43">
        <v>76.24992373815715</v>
      </c>
      <c r="AA1605" s="43">
        <v>81.007681571932849</v>
      </c>
      <c r="AB1605" s="43">
        <v>85.765505234222971</v>
      </c>
      <c r="AC1605" s="43">
        <v>90.522182374992653</v>
      </c>
      <c r="AD1605" s="43">
        <v>95.278926427520332</v>
      </c>
      <c r="AE1605" s="43">
        <v>100.03561101581576</v>
      </c>
    </row>
    <row r="1606" spans="1:31" x14ac:dyDescent="0.45">
      <c r="A1606" t="s">
        <v>2450</v>
      </c>
      <c r="B1606" t="s">
        <v>2387</v>
      </c>
      <c r="C1606" t="s">
        <v>115</v>
      </c>
      <c r="D1606">
        <v>2</v>
      </c>
      <c r="E1606" t="s">
        <v>2448</v>
      </c>
      <c r="L1606" s="43">
        <v>66.453659723176557</v>
      </c>
      <c r="M1606" s="43">
        <v>68.485475215764879</v>
      </c>
      <c r="N1606" s="43">
        <v>58.995402742046402</v>
      </c>
      <c r="O1606" s="43">
        <v>43.916716887965812</v>
      </c>
      <c r="P1606" s="43">
        <v>53.774364143577706</v>
      </c>
      <c r="Q1606" s="43">
        <v>42.744789650417033</v>
      </c>
      <c r="R1606" s="43">
        <v>42.779072328836371</v>
      </c>
      <c r="S1606" s="43">
        <v>45.916969217514961</v>
      </c>
      <c r="T1606" s="43">
        <v>49.244157129395532</v>
      </c>
      <c r="U1606" s="43">
        <v>52.460180480357558</v>
      </c>
      <c r="V1606" s="43">
        <v>57.218253078860805</v>
      </c>
      <c r="W1606" s="43">
        <v>61.976294794957397</v>
      </c>
      <c r="X1606" s="43">
        <v>66.734205901312919</v>
      </c>
      <c r="Y1606" s="43">
        <v>71.4920336037016</v>
      </c>
      <c r="Z1606" s="43">
        <v>76.24992373815715</v>
      </c>
      <c r="AA1606" s="43">
        <v>81.007681571932849</v>
      </c>
      <c r="AB1606" s="43">
        <v>85.765505234222971</v>
      </c>
      <c r="AC1606" s="43">
        <v>90.522182374992653</v>
      </c>
      <c r="AD1606" s="43">
        <v>95.278926427520332</v>
      </c>
      <c r="AE1606" s="43">
        <v>100.03561101581576</v>
      </c>
    </row>
    <row r="1607" spans="1:31" x14ac:dyDescent="0.45">
      <c r="A1607" t="s">
        <v>2451</v>
      </c>
      <c r="B1607" t="s">
        <v>2387</v>
      </c>
      <c r="C1607" t="s">
        <v>117</v>
      </c>
      <c r="D1607">
        <v>2</v>
      </c>
      <c r="E1607" t="s">
        <v>2448</v>
      </c>
      <c r="L1607" s="43">
        <v>66.453659723176557</v>
      </c>
      <c r="M1607" s="43">
        <v>68.485475215764879</v>
      </c>
      <c r="N1607" s="43">
        <v>58.995402742046402</v>
      </c>
      <c r="O1607" s="43">
        <v>43.916716887965812</v>
      </c>
      <c r="P1607" s="43">
        <v>53.774364143577706</v>
      </c>
      <c r="Q1607" s="43">
        <v>42.744789650417033</v>
      </c>
      <c r="R1607" s="43">
        <v>42.779072328836371</v>
      </c>
      <c r="S1607" s="43">
        <v>45.916969217514961</v>
      </c>
      <c r="T1607" s="43">
        <v>49.244157129395532</v>
      </c>
      <c r="U1607" s="43">
        <v>52.460180480357558</v>
      </c>
      <c r="V1607" s="43">
        <v>57.218253078860805</v>
      </c>
      <c r="W1607" s="43">
        <v>61.976294794957397</v>
      </c>
      <c r="X1607" s="43">
        <v>66.734205901312919</v>
      </c>
      <c r="Y1607" s="43">
        <v>71.4920336037016</v>
      </c>
      <c r="Z1607" s="43">
        <v>76.24992373815715</v>
      </c>
      <c r="AA1607" s="43">
        <v>81.007681571932849</v>
      </c>
      <c r="AB1607" s="43">
        <v>85.765505234222971</v>
      </c>
      <c r="AC1607" s="43">
        <v>90.522182374992653</v>
      </c>
      <c r="AD1607" s="43">
        <v>95.278926427520332</v>
      </c>
      <c r="AE1607" s="43">
        <v>100.03561101581576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2026-10-02T21:13:23Z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