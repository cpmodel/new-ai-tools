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4A666E32-AFD7-44A5-90E8-BC8B8F821D9C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80" i="8" l="1"/>
  <c r="F363" i="2"/>
  <c r="W60" i="9"/>
  <c r="H769" i="2" s="1"/>
  <c r="V60" i="9"/>
  <c r="G769" i="2" s="1"/>
  <c r="U60" i="9"/>
  <c r="F769" i="2" s="1"/>
  <c r="N60" i="9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V58" i="9"/>
  <c r="G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P56" i="9"/>
  <c r="L56" i="9"/>
  <c r="V56" i="9" s="1"/>
  <c r="H56" i="9"/>
  <c r="T56" i="9" s="1"/>
  <c r="W55" i="9"/>
  <c r="H365" i="2" s="1"/>
  <c r="U55" i="9"/>
  <c r="F764" i="2" s="1"/>
  <c r="T55" i="9"/>
  <c r="E764" i="2" s="1"/>
  <c r="L55" i="9"/>
  <c r="N55" i="9" s="1"/>
  <c r="H55" i="9"/>
  <c r="O55" i="9" s="1"/>
  <c r="W54" i="9"/>
  <c r="H364" i="2" s="1"/>
  <c r="U54" i="9"/>
  <c r="F364" i="2" s="1"/>
  <c r="T54" i="9"/>
  <c r="E364" i="2" s="1"/>
  <c r="O54" i="9"/>
  <c r="L54" i="9"/>
  <c r="V54" i="9" s="1"/>
  <c r="H54" i="9"/>
  <c r="M54" i="9" s="1"/>
  <c r="W53" i="9"/>
  <c r="H762" i="2" s="1"/>
  <c r="V53" i="9"/>
  <c r="G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F729" i="2" s="1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F733" i="2" s="1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O679" i="2" s="1"/>
  <c r="N680" i="2"/>
  <c r="O680" i="2" s="1"/>
  <c r="N681" i="2"/>
  <c r="N1016" i="8" s="1"/>
  <c r="N1017" i="8" s="1"/>
  <c r="N682" i="2"/>
  <c r="O682" i="2" s="1"/>
  <c r="P682" i="2" s="1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31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O276" i="2" s="1"/>
  <c r="N277" i="2"/>
  <c r="M277" i="2" s="1"/>
  <c r="N278" i="2"/>
  <c r="O278" i="2" s="1"/>
  <c r="N279" i="2"/>
  <c r="N280" i="2"/>
  <c r="N612" i="8" s="1"/>
  <c r="N613" i="8" s="1"/>
  <c r="N281" i="2"/>
  <c r="O281" i="2" s="1"/>
  <c r="P281" i="2" s="1"/>
  <c r="Q281" i="2" s="1"/>
  <c r="N282" i="2"/>
  <c r="M282" i="2" s="1"/>
  <c r="N283" i="2"/>
  <c r="O283" i="2" s="1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E768" i="2" l="1"/>
  <c r="E369" i="2"/>
  <c r="N53" i="9"/>
  <c r="M57" i="9"/>
  <c r="M59" i="9"/>
  <c r="H363" i="2"/>
  <c r="M55" i="9"/>
  <c r="O57" i="9"/>
  <c r="N59" i="9"/>
  <c r="E365" i="2"/>
  <c r="P55" i="9"/>
  <c r="O59" i="9"/>
  <c r="F366" i="2"/>
  <c r="F730" i="2"/>
  <c r="N730" i="2" s="1"/>
  <c r="H367" i="2"/>
  <c r="G332" i="2"/>
  <c r="V55" i="9"/>
  <c r="G764" i="2" s="1"/>
  <c r="V59" i="9"/>
  <c r="N58" i="9"/>
  <c r="F370" i="2"/>
  <c r="H370" i="2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F768" i="2"/>
  <c r="O58" i="9"/>
  <c r="G363" i="2"/>
  <c r="G370" i="2"/>
  <c r="P54" i="9"/>
  <c r="N57" i="9"/>
  <c r="H764" i="2"/>
  <c r="F767" i="2"/>
  <c r="M53" i="9"/>
  <c r="M60" i="9"/>
  <c r="E763" i="2"/>
  <c r="G767" i="2"/>
  <c r="F1478" i="8"/>
  <c r="P57" i="9"/>
  <c r="F365" i="2"/>
  <c r="H369" i="2"/>
  <c r="F763" i="2"/>
  <c r="H767" i="2"/>
  <c r="F1479" i="8"/>
  <c r="O53" i="9"/>
  <c r="M56" i="9"/>
  <c r="O60" i="9"/>
  <c r="G365" i="2"/>
  <c r="N56" i="9"/>
  <c r="H763" i="2"/>
  <c r="F766" i="2"/>
  <c r="O56" i="9"/>
  <c r="AA129" i="2"/>
  <c r="G732" i="2"/>
  <c r="G736" i="2"/>
  <c r="P747" i="2" s="1"/>
  <c r="G731" i="2"/>
  <c r="G735" i="2"/>
  <c r="N746" i="2" s="1"/>
  <c r="E304" i="2"/>
  <c r="V351" i="2"/>
  <c r="G730" i="2"/>
  <c r="H730" i="2" s="1"/>
  <c r="G729" i="2"/>
  <c r="G333" i="2"/>
  <c r="R129" i="2"/>
  <c r="G337" i="2"/>
  <c r="L308" i="2"/>
  <c r="L1457" i="8" s="1"/>
  <c r="G336" i="2"/>
  <c r="G331" i="2"/>
  <c r="G734" i="2"/>
  <c r="J734" i="2" s="1"/>
  <c r="R308" i="2"/>
  <c r="R1457" i="8" s="1"/>
  <c r="T587" i="2"/>
  <c r="S308" i="2"/>
  <c r="G335" i="2"/>
  <c r="J335" i="2" s="1"/>
  <c r="T308" i="2"/>
  <c r="T1457" i="8" s="1"/>
  <c r="M530" i="2"/>
  <c r="G330" i="2"/>
  <c r="O341" i="2" s="1"/>
  <c r="G733" i="2"/>
  <c r="J733" i="2" s="1"/>
  <c r="U308" i="2"/>
  <c r="U1457" i="8" s="1"/>
  <c r="AA468" i="2"/>
  <c r="X308" i="2"/>
  <c r="X1457" i="8" s="1"/>
  <c r="G334" i="2"/>
  <c r="J334" i="2" s="1"/>
  <c r="E299" i="2"/>
  <c r="F1459" i="8"/>
  <c r="F1460" i="8"/>
  <c r="AC1457" i="8"/>
  <c r="P308" i="2"/>
  <c r="AD308" i="2"/>
  <c r="Q308" i="2"/>
  <c r="AE308" i="2"/>
  <c r="V308" i="2"/>
  <c r="W308" i="2"/>
  <c r="Y308" i="2"/>
  <c r="Z308" i="2"/>
  <c r="M308" i="2"/>
  <c r="AA308" i="2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J736" i="2" s="1"/>
  <c r="Q269" i="2"/>
  <c r="F337" i="2"/>
  <c r="O337" i="2" s="1"/>
  <c r="AA247" i="2"/>
  <c r="AA588" i="8" s="1"/>
  <c r="AA589" i="8" s="1"/>
  <c r="E312" i="2"/>
  <c r="J332" i="2" s="1"/>
  <c r="E317" i="2"/>
  <c r="J337" i="2" s="1"/>
  <c r="E314" i="2"/>
  <c r="E311" i="2"/>
  <c r="J331" i="2" s="1"/>
  <c r="F1447" i="8"/>
  <c r="E316" i="2"/>
  <c r="E313" i="2"/>
  <c r="J333" i="2" s="1"/>
  <c r="E310" i="2"/>
  <c r="E315" i="2"/>
  <c r="E302" i="2"/>
  <c r="E305" i="2"/>
  <c r="N259" i="2"/>
  <c r="E300" i="2"/>
  <c r="E303" i="2"/>
  <c r="E306" i="2"/>
  <c r="E301" i="2"/>
  <c r="AA618" i="2"/>
  <c r="F335" i="2"/>
  <c r="O335" i="2" s="1"/>
  <c r="O747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M79" i="2" s="1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O277" i="2"/>
  <c r="P277" i="2" s="1"/>
  <c r="P342" i="2" s="1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346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L342" i="2" s="1"/>
  <c r="M342" i="2"/>
  <c r="F704" i="2"/>
  <c r="F702" i="2"/>
  <c r="F703" i="2"/>
  <c r="AB36" i="9"/>
  <c r="AB270" i="2" s="1"/>
  <c r="AA36" i="9"/>
  <c r="AA270" i="2" s="1"/>
  <c r="O342" i="2"/>
  <c r="O796" i="8" s="1"/>
  <c r="O797" i="8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N330" i="2"/>
  <c r="U309" i="2"/>
  <c r="U362" i="2" s="1"/>
  <c r="U391" i="2" s="1"/>
  <c r="L269" i="2"/>
  <c r="Q246" i="2"/>
  <c r="Q298" i="2" s="1"/>
  <c r="Q351" i="2" s="1"/>
  <c r="AA728" i="2"/>
  <c r="M676" i="2"/>
  <c r="L676" i="2" s="1"/>
  <c r="L996" i="8" s="1"/>
  <c r="L997" i="8" s="1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O675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O280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Q616" i="8"/>
  <c r="Q617" i="8" s="1"/>
  <c r="R281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N804" i="8"/>
  <c r="N805" i="8" s="1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O282" i="2"/>
  <c r="L600" i="8"/>
  <c r="L601" i="8" s="1"/>
  <c r="X592" i="8"/>
  <c r="X593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O1008" i="8"/>
  <c r="O1009" i="8" s="1"/>
  <c r="P679" i="2"/>
  <c r="O733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O279" i="2"/>
  <c r="N608" i="8"/>
  <c r="N609" i="8" s="1"/>
  <c r="F332" i="2"/>
  <c r="H332" i="2" s="1"/>
  <c r="L266" i="2"/>
  <c r="AB708" i="2"/>
  <c r="AB750" i="2"/>
  <c r="L645" i="2"/>
  <c r="L697" i="2" s="1"/>
  <c r="P283" i="2"/>
  <c r="O624" i="8"/>
  <c r="O625" i="8" s="1"/>
  <c r="AA319" i="2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L740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O604" i="8"/>
  <c r="O605" i="8" s="1"/>
  <c r="O343" i="2"/>
  <c r="P278" i="2"/>
  <c r="Y266" i="2"/>
  <c r="AE351" i="2"/>
  <c r="Z645" i="2"/>
  <c r="Z697" i="2" s="1"/>
  <c r="Z728" i="2"/>
  <c r="H729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P616" i="8"/>
  <c r="P617" i="8" s="1"/>
  <c r="P346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O596" i="8"/>
  <c r="O597" i="8" s="1"/>
  <c r="P276" i="2"/>
  <c r="O1012" i="8"/>
  <c r="O1013" i="8" s="1"/>
  <c r="P680" i="2"/>
  <c r="AD351" i="2"/>
  <c r="AD309" i="2"/>
  <c r="P246" i="2"/>
  <c r="P298" i="2" s="1"/>
  <c r="P329" i="2"/>
  <c r="O616" i="8"/>
  <c r="O617" i="8" s="1"/>
  <c r="F333" i="2"/>
  <c r="L267" i="2"/>
  <c r="P1020" i="8"/>
  <c r="P1021" i="8" s="1"/>
  <c r="Q682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P600" i="8"/>
  <c r="P601" i="8" s="1"/>
  <c r="Q277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O348" i="2"/>
  <c r="T761" i="2"/>
  <c r="T790" i="2" s="1"/>
  <c r="T718" i="2"/>
  <c r="M992" i="8"/>
  <c r="M993" i="8" s="1"/>
  <c r="M729" i="2"/>
  <c r="M740" i="2"/>
  <c r="L668" i="2"/>
  <c r="F734" i="2"/>
  <c r="O744" i="2"/>
  <c r="L667" i="2"/>
  <c r="N992" i="8"/>
  <c r="N993" i="8" s="1"/>
  <c r="N740" i="2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N341" i="2"/>
  <c r="T247" i="2"/>
  <c r="F633" i="8"/>
  <c r="V329" i="2"/>
  <c r="N247" i="2"/>
  <c r="U329" i="2"/>
  <c r="O600" i="8"/>
  <c r="O601" i="8" s="1"/>
  <c r="R271" i="2"/>
  <c r="M247" i="2"/>
  <c r="S645" i="2"/>
  <c r="S697" i="2" s="1"/>
  <c r="S728" i="2"/>
  <c r="F1045" i="8"/>
  <c r="O1020" i="8"/>
  <c r="O1021" i="8" s="1"/>
  <c r="N1012" i="8"/>
  <c r="N1013" i="8" s="1"/>
  <c r="M680" i="2"/>
  <c r="L666" i="2"/>
  <c r="F732" i="2"/>
  <c r="S533" i="2"/>
  <c r="X533" i="2"/>
  <c r="P533" i="2"/>
  <c r="N600" i="8"/>
  <c r="N601" i="8" s="1"/>
  <c r="H731" i="2"/>
  <c r="N742" i="2"/>
  <c r="N1020" i="8"/>
  <c r="N1021" i="8" s="1"/>
  <c r="M682" i="2"/>
  <c r="Y666" i="2"/>
  <c r="Y267" i="2"/>
  <c r="N604" i="8"/>
  <c r="N605" i="8" s="1"/>
  <c r="N343" i="2"/>
  <c r="M600" i="8"/>
  <c r="M601" i="8" s="1"/>
  <c r="Y269" i="2"/>
  <c r="V247" i="2"/>
  <c r="W247" i="2"/>
  <c r="O247" i="2"/>
  <c r="AE247" i="2"/>
  <c r="P247" i="2"/>
  <c r="Q247" i="2"/>
  <c r="R247" i="2"/>
  <c r="S247" i="2"/>
  <c r="F1041" i="8"/>
  <c r="F637" i="8"/>
  <c r="L264" i="2"/>
  <c r="N248" i="2"/>
  <c r="N592" i="8" s="1"/>
  <c r="N593" i="8" s="1"/>
  <c r="R728" i="2"/>
  <c r="F1049" i="8"/>
  <c r="N1000" i="8"/>
  <c r="N1001" i="8" s="1"/>
  <c r="O677" i="2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O678" i="2"/>
  <c r="L670" i="2"/>
  <c r="T728" i="2"/>
  <c r="N1008" i="8"/>
  <c r="N1009" i="8" s="1"/>
  <c r="M679" i="2"/>
  <c r="N733" i="2"/>
  <c r="O681" i="2"/>
  <c r="F937" i="8"/>
  <c r="F1033" i="8"/>
  <c r="O676" i="2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L217" i="2"/>
  <c r="Z217" i="2"/>
  <c r="K217" i="2"/>
  <c r="W217" i="2"/>
  <c r="R217" i="2"/>
  <c r="R205" i="2" s="1"/>
  <c r="R435" i="8" s="1"/>
  <c r="R436" i="8" s="1"/>
  <c r="V217" i="2"/>
  <c r="U217" i="2"/>
  <c r="U203" i="2" s="1"/>
  <c r="U427" i="8" s="1"/>
  <c r="U428" i="8" s="1"/>
  <c r="T217" i="2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L18" i="2" s="1"/>
  <c r="Q101" i="2"/>
  <c r="AC157" i="2"/>
  <c r="AB157" i="2"/>
  <c r="X157" i="2"/>
  <c r="Q157" i="2"/>
  <c r="P157" i="2"/>
  <c r="P142" i="2" s="1"/>
  <c r="N191" i="2"/>
  <c r="Y408" i="2"/>
  <c r="AE408" i="2"/>
  <c r="AD408" i="2"/>
  <c r="AC408" i="2"/>
  <c r="U408" i="2"/>
  <c r="M408" i="2"/>
  <c r="S408" i="2"/>
  <c r="N408" i="2"/>
  <c r="Q7" i="2"/>
  <c r="U18" i="2"/>
  <c r="U299" i="8" s="1"/>
  <c r="U300" i="8" s="1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D139" i="2" s="1"/>
  <c r="AB160" i="2"/>
  <c r="AD191" i="2"/>
  <c r="O217" i="2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P363" i="8" s="1"/>
  <c r="P364" i="8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AB79" i="2" s="1"/>
  <c r="Y72" i="2"/>
  <c r="AA199" i="2"/>
  <c r="AA411" i="8" s="1"/>
  <c r="AA412" i="8" s="1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K19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X80" i="2" s="1"/>
  <c r="W70" i="2"/>
  <c r="W80" i="2" s="1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P343" i="8"/>
  <c r="P3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AB84" i="2" s="1"/>
  <c r="L74" i="2"/>
  <c r="W74" i="2"/>
  <c r="S74" i="2"/>
  <c r="K74" i="2"/>
  <c r="X74" i="2"/>
  <c r="U74" i="2"/>
  <c r="R74" i="2"/>
  <c r="R84" i="2" s="1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O205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AA205" i="2" s="1"/>
  <c r="M195" i="2"/>
  <c r="Y195" i="2"/>
  <c r="Y205" i="2" s="1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AA198" i="2" s="1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M84" i="2" l="1"/>
  <c r="X90" i="2"/>
  <c r="M78" i="2"/>
  <c r="M335" i="8" s="1"/>
  <c r="M336" i="8" s="1"/>
  <c r="E711" i="2"/>
  <c r="J731" i="2" s="1"/>
  <c r="Q141" i="2"/>
  <c r="AC77" i="2"/>
  <c r="M80" i="2"/>
  <c r="AE201" i="2"/>
  <c r="L730" i="2"/>
  <c r="E702" i="2"/>
  <c r="I733" i="2" s="1"/>
  <c r="Z199" i="2"/>
  <c r="M81" i="2"/>
  <c r="M91" i="2" s="1"/>
  <c r="N747" i="2"/>
  <c r="Q309" i="2"/>
  <c r="T199" i="2"/>
  <c r="T411" i="8" s="1"/>
  <c r="T412" i="8" s="1"/>
  <c r="Q140" i="2"/>
  <c r="T79" i="2"/>
  <c r="G768" i="2"/>
  <c r="G369" i="2"/>
  <c r="M83" i="2"/>
  <c r="M93" i="2" s="1"/>
  <c r="M82" i="2"/>
  <c r="M351" i="8" s="1"/>
  <c r="M352" i="8" s="1"/>
  <c r="Q137" i="2"/>
  <c r="M77" i="2"/>
  <c r="E368" i="2"/>
  <c r="F1481" i="8"/>
  <c r="F1484" i="8"/>
  <c r="F1482" i="8"/>
  <c r="W90" i="2"/>
  <c r="K17" i="2"/>
  <c r="K27" i="2" s="1"/>
  <c r="W89" i="2"/>
  <c r="T18" i="2"/>
  <c r="N741" i="2"/>
  <c r="S81" i="2"/>
  <c r="S91" i="2" s="1"/>
  <c r="P144" i="2"/>
  <c r="K20" i="2"/>
  <c r="K30" i="2" s="1"/>
  <c r="J336" i="2"/>
  <c r="P139" i="2"/>
  <c r="AA85" i="2"/>
  <c r="P205" i="2"/>
  <c r="P435" i="8" s="1"/>
  <c r="P436" i="8" s="1"/>
  <c r="N335" i="2"/>
  <c r="N357" i="2" s="1"/>
  <c r="N848" i="8" s="1"/>
  <c r="N849" i="8" s="1"/>
  <c r="AB138" i="2"/>
  <c r="M345" i="2"/>
  <c r="M808" i="8" s="1"/>
  <c r="M809" i="8" s="1"/>
  <c r="N85" i="2"/>
  <c r="AA669" i="2"/>
  <c r="Z306" i="2"/>
  <c r="Z688" i="8" s="1"/>
  <c r="Z689" i="8" s="1"/>
  <c r="AD24" i="2"/>
  <c r="P204" i="2"/>
  <c r="O745" i="2"/>
  <c r="O1208" i="8" s="1"/>
  <c r="O1209" i="8" s="1"/>
  <c r="M735" i="2"/>
  <c r="U82" i="2"/>
  <c r="U351" i="8" s="1"/>
  <c r="U352" i="8" s="1"/>
  <c r="V19" i="2"/>
  <c r="V29" i="2" s="1"/>
  <c r="M708" i="2"/>
  <c r="O992" i="8"/>
  <c r="O993" i="8" s="1"/>
  <c r="M741" i="2"/>
  <c r="E705" i="2"/>
  <c r="I736" i="2" s="1"/>
  <c r="W81" i="2"/>
  <c r="W91" i="2" s="1"/>
  <c r="M200" i="2"/>
  <c r="M210" i="2" s="1"/>
  <c r="AD19" i="2"/>
  <c r="M996" i="8"/>
  <c r="M997" i="8" s="1"/>
  <c r="U85" i="2"/>
  <c r="U363" i="8" s="1"/>
  <c r="U364" i="8" s="1"/>
  <c r="N345" i="2"/>
  <c r="AC23" i="2"/>
  <c r="AC79" i="2"/>
  <c r="AC19" i="2"/>
  <c r="AC24" i="2"/>
  <c r="X204" i="2"/>
  <c r="N337" i="2"/>
  <c r="N784" i="8" s="1"/>
  <c r="N785" i="8" s="1"/>
  <c r="O84" i="2"/>
  <c r="O94" i="2" s="1"/>
  <c r="AE199" i="2"/>
  <c r="P141" i="2"/>
  <c r="U319" i="2"/>
  <c r="Q335" i="2"/>
  <c r="Q776" i="8" s="1"/>
  <c r="Q777" i="8" s="1"/>
  <c r="AE708" i="2"/>
  <c r="AE761" i="2" s="1"/>
  <c r="AE790" i="2" s="1"/>
  <c r="E698" i="2"/>
  <c r="I729" i="2" s="1"/>
  <c r="AE200" i="2"/>
  <c r="AB669" i="2"/>
  <c r="Q346" i="2"/>
  <c r="AE203" i="2"/>
  <c r="L205" i="2"/>
  <c r="N82" i="2"/>
  <c r="O346" i="2"/>
  <c r="O812" i="8" s="1"/>
  <c r="O813" i="8" s="1"/>
  <c r="M346" i="2"/>
  <c r="M812" i="8" s="1"/>
  <c r="M813" i="8" s="1"/>
  <c r="E699" i="2"/>
  <c r="I730" i="2" s="1"/>
  <c r="AE197" i="2"/>
  <c r="E712" i="2"/>
  <c r="J732" i="2" s="1"/>
  <c r="AE198" i="2"/>
  <c r="L197" i="2"/>
  <c r="L207" i="2" s="1"/>
  <c r="Y718" i="2"/>
  <c r="H335" i="2"/>
  <c r="E715" i="2"/>
  <c r="J735" i="2" s="1"/>
  <c r="L198" i="2"/>
  <c r="L407" i="8" s="1"/>
  <c r="L408" i="8" s="1"/>
  <c r="E713" i="2"/>
  <c r="P197" i="2"/>
  <c r="M205" i="2"/>
  <c r="M215" i="2" s="1"/>
  <c r="P140" i="2"/>
  <c r="P150" i="2" s="1"/>
  <c r="V80" i="2"/>
  <c r="V17" i="2"/>
  <c r="V27" i="2" s="1"/>
  <c r="V20" i="2"/>
  <c r="P18" i="2"/>
  <c r="W203" i="2"/>
  <c r="W427" i="8" s="1"/>
  <c r="W428" i="8" s="1"/>
  <c r="V25" i="2"/>
  <c r="V35" i="2" s="1"/>
  <c r="S18" i="2"/>
  <c r="R664" i="2"/>
  <c r="P137" i="2"/>
  <c r="AC78" i="2"/>
  <c r="V24" i="2"/>
  <c r="U83" i="2"/>
  <c r="N745" i="2"/>
  <c r="N1208" i="8" s="1"/>
  <c r="N1209" i="8" s="1"/>
  <c r="L741" i="2"/>
  <c r="L1192" i="8" s="1"/>
  <c r="L1193" i="8" s="1"/>
  <c r="P335" i="2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Z212" i="2" s="1"/>
  <c r="X91" i="2"/>
  <c r="AC25" i="2"/>
  <c r="Z203" i="2"/>
  <c r="K23" i="2"/>
  <c r="K319" i="8" s="1"/>
  <c r="Z200" i="2"/>
  <c r="Z204" i="2"/>
  <c r="Z431" i="8" s="1"/>
  <c r="Z432" i="8" s="1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M796" i="8"/>
  <c r="M797" i="8" s="1"/>
  <c r="N139" i="2"/>
  <c r="N375" i="8" s="1"/>
  <c r="N376" i="8" s="1"/>
  <c r="N1212" i="8"/>
  <c r="N1213" i="8" s="1"/>
  <c r="O259" i="2"/>
  <c r="O258" i="2"/>
  <c r="M199" i="2"/>
  <c r="M202" i="2"/>
  <c r="M212" i="2" s="1"/>
  <c r="O21" i="2"/>
  <c r="O311" i="8" s="1"/>
  <c r="O312" i="8" s="1"/>
  <c r="J330" i="2"/>
  <c r="F1446" i="8"/>
  <c r="M198" i="2"/>
  <c r="M258" i="2"/>
  <c r="M259" i="2"/>
  <c r="O357" i="2"/>
  <c r="L199" i="2"/>
  <c r="AE81" i="2"/>
  <c r="K25" i="2"/>
  <c r="K35" i="2" s="1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W95" i="2" s="1"/>
  <c r="M335" i="2"/>
  <c r="R204" i="2"/>
  <c r="L203" i="2"/>
  <c r="L427" i="8" s="1"/>
  <c r="L428" i="8" s="1"/>
  <c r="O82" i="2"/>
  <c r="O92" i="2" s="1"/>
  <c r="AB205" i="2"/>
  <c r="K18" i="2"/>
  <c r="AB22" i="2"/>
  <c r="AB199" i="2"/>
  <c r="AB411" i="8" s="1"/>
  <c r="AB412" i="8" s="1"/>
  <c r="W82" i="2"/>
  <c r="W351" i="8" s="1"/>
  <c r="W352" i="8" s="1"/>
  <c r="W83" i="2"/>
  <c r="W355" i="8" s="1"/>
  <c r="W356" i="8" s="1"/>
  <c r="Q138" i="2"/>
  <c r="Q371" i="8" s="1"/>
  <c r="Q372" i="8" s="1"/>
  <c r="AD78" i="2"/>
  <c r="K201" i="2"/>
  <c r="K211" i="2" s="1"/>
  <c r="R197" i="2"/>
  <c r="R403" i="8" s="1"/>
  <c r="R404" i="8" s="1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L212" i="2" s="1"/>
  <c r="AC84" i="2"/>
  <c r="N79" i="2"/>
  <c r="X139" i="2"/>
  <c r="X375" i="8" s="1"/>
  <c r="X376" i="8" s="1"/>
  <c r="O359" i="2"/>
  <c r="O376" i="2" s="1"/>
  <c r="O908" i="8" s="1"/>
  <c r="O909" i="8" s="1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P357" i="2"/>
  <c r="N77" i="2"/>
  <c r="N87" i="2" s="1"/>
  <c r="O792" i="8"/>
  <c r="O793" i="8" s="1"/>
  <c r="K424" i="2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O330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L84" i="2"/>
  <c r="L94" i="2" s="1"/>
  <c r="L17" i="2"/>
  <c r="L27" i="2" s="1"/>
  <c r="Y79" i="2"/>
  <c r="Y89" i="2" s="1"/>
  <c r="AE204" i="2"/>
  <c r="AE214" i="2" s="1"/>
  <c r="U78" i="2"/>
  <c r="V30" i="2"/>
  <c r="T78" i="2"/>
  <c r="T335" i="8" s="1"/>
  <c r="T336" i="8" s="1"/>
  <c r="O736" i="2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V95" i="2" s="1"/>
  <c r="T85" i="2"/>
  <c r="T363" i="8" s="1"/>
  <c r="T364" i="8" s="1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P736" i="2"/>
  <c r="O332" i="2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AA138" i="5" s="1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B213" i="2" s="1"/>
  <c r="AA21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V126" i="5" s="1"/>
  <c r="W42" i="10"/>
  <c r="X42" i="10"/>
  <c r="K42" i="10"/>
  <c r="Y42" i="10"/>
  <c r="L42" i="10"/>
  <c r="Z42" i="10"/>
  <c r="M42" i="10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S126" i="5" s="1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AE35" i="2" s="1"/>
  <c r="R80" i="2"/>
  <c r="R90" i="2" s="1"/>
  <c r="U84" i="2"/>
  <c r="U359" i="8" s="1"/>
  <c r="U360" i="8" s="1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N379" i="8" s="1"/>
  <c r="N380" i="8" s="1"/>
  <c r="O81" i="2"/>
  <c r="O347" i="8" s="1"/>
  <c r="O348" i="8" s="1"/>
  <c r="X82" i="2"/>
  <c r="X92" i="2" s="1"/>
  <c r="O23" i="2"/>
  <c r="O33" i="2" s="1"/>
  <c r="AB141" i="2"/>
  <c r="Z19" i="2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C43" i="10"/>
  <c r="AC127" i="5" s="1"/>
  <c r="AD43" i="10"/>
  <c r="O43" i="10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Y95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N367" i="8" s="1"/>
  <c r="N368" i="8" s="1"/>
  <c r="AB200" i="2"/>
  <c r="AB210" i="2" s="1"/>
  <c r="S22" i="2"/>
  <c r="S32" i="2" s="1"/>
  <c r="Z17" i="2"/>
  <c r="Z27" i="2" s="1"/>
  <c r="X83" i="2"/>
  <c r="X93" i="2" s="1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Q138" i="5"/>
  <c r="X126" i="5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M126" i="5"/>
  <c r="AC139" i="5"/>
  <c r="AC648" i="2" s="1"/>
  <c r="R139" i="5"/>
  <c r="R648" i="2" s="1"/>
  <c r="E21" i="9"/>
  <c r="X139" i="5"/>
  <c r="X648" i="2" s="1"/>
  <c r="R126" i="5"/>
  <c r="W139" i="5"/>
  <c r="W648" i="2" s="1"/>
  <c r="V139" i="5"/>
  <c r="V648" i="2" s="1"/>
  <c r="O127" i="5"/>
  <c r="M138" i="5"/>
  <c r="U139" i="5"/>
  <c r="U648" i="2" s="1"/>
  <c r="AD127" i="5"/>
  <c r="P139" i="5"/>
  <c r="P648" i="2" s="1"/>
  <c r="AB127" i="5"/>
  <c r="O139" i="5"/>
  <c r="O648" i="2" s="1"/>
  <c r="O755" i="2" s="1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Q46" i="10"/>
  <c r="AE46" i="10"/>
  <c r="T46" i="10"/>
  <c r="AI46" i="10"/>
  <c r="AI47" i="10" s="1"/>
  <c r="U46" i="10"/>
  <c r="V46" i="10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O612" i="8"/>
  <c r="O613" i="8" s="1"/>
  <c r="P280" i="2"/>
  <c r="P334" i="2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O331" i="2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AD85" i="2"/>
  <c r="AD95" i="2" s="1"/>
  <c r="K484" i="2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P675" i="2"/>
  <c r="H331" i="2"/>
  <c r="O345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M355" i="8"/>
  <c r="M356" i="8" s="1"/>
  <c r="AD83" i="2"/>
  <c r="AD93" i="2" s="1"/>
  <c r="Z21" i="2"/>
  <c r="M348" i="2"/>
  <c r="O729" i="2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K488" i="2" s="1"/>
  <c r="L21" i="2"/>
  <c r="L311" i="8" s="1"/>
  <c r="L312" i="8" s="1"/>
  <c r="O740" i="2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R94" i="2"/>
  <c r="M17" i="2"/>
  <c r="M27" i="2" s="1"/>
  <c r="M343" i="2"/>
  <c r="S200" i="2"/>
  <c r="S415" i="8" s="1"/>
  <c r="S416" i="8" s="1"/>
  <c r="AE145" i="2"/>
  <c r="AE399" i="8" s="1"/>
  <c r="AE400" i="8" s="1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AB209" i="2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P331" i="2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R210" i="2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O1204" i="8"/>
  <c r="O1205" i="8" s="1"/>
  <c r="Z750" i="2"/>
  <c r="Z708" i="2"/>
  <c r="N808" i="8"/>
  <c r="N809" i="8" s="1"/>
  <c r="Q283" i="2"/>
  <c r="P337" i="2"/>
  <c r="P348" i="2"/>
  <c r="P624" i="8"/>
  <c r="P625" i="8" s="1"/>
  <c r="O608" i="8"/>
  <c r="O609" i="8" s="1"/>
  <c r="P279" i="2"/>
  <c r="O333" i="2"/>
  <c r="O344" i="2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O1000" i="8"/>
  <c r="O1001" i="8" s="1"/>
  <c r="P677" i="2"/>
  <c r="O731" i="2"/>
  <c r="O742" i="2"/>
  <c r="AD319" i="2"/>
  <c r="AD362" i="2"/>
  <c r="AD391" i="2" s="1"/>
  <c r="L279" i="2"/>
  <c r="M608" i="8"/>
  <c r="M609" i="8" s="1"/>
  <c r="M333" i="2"/>
  <c r="M344" i="2"/>
  <c r="W24" i="2"/>
  <c r="W34" i="2" s="1"/>
  <c r="X311" i="8"/>
  <c r="X312" i="8" s="1"/>
  <c r="AD415" i="8"/>
  <c r="AD416" i="8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M1188" i="8"/>
  <c r="M1189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P1012" i="8"/>
  <c r="P1013" i="8" s="1"/>
  <c r="P734" i="2"/>
  <c r="P745" i="2"/>
  <c r="Q680" i="2"/>
  <c r="AB20" i="2"/>
  <c r="O140" i="2"/>
  <c r="O150" i="2" s="1"/>
  <c r="AC87" i="2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Q669" i="2"/>
  <c r="R669" i="2"/>
  <c r="P604" i="8"/>
  <c r="P605" i="8" s="1"/>
  <c r="Q278" i="2"/>
  <c r="P343" i="2"/>
  <c r="P332" i="2"/>
  <c r="L750" i="2"/>
  <c r="L708" i="2"/>
  <c r="P1008" i="8"/>
  <c r="P1009" i="8" s="1"/>
  <c r="P744" i="2"/>
  <c r="Q679" i="2"/>
  <c r="P733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M596" i="8"/>
  <c r="M597" i="8" s="1"/>
  <c r="L276" i="2"/>
  <c r="M341" i="2"/>
  <c r="M330" i="2"/>
  <c r="V718" i="2"/>
  <c r="V761" i="2"/>
  <c r="V790" i="2" s="1"/>
  <c r="O776" i="8"/>
  <c r="O777" i="8" s="1"/>
  <c r="O800" i="8"/>
  <c r="O801" i="8" s="1"/>
  <c r="N761" i="2"/>
  <c r="N790" i="2" s="1"/>
  <c r="R264" i="2"/>
  <c r="Q264" i="2"/>
  <c r="O1016" i="8"/>
  <c r="O1017" i="8" s="1"/>
  <c r="O735" i="2"/>
  <c r="P681" i="2"/>
  <c r="O746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O734" i="2"/>
  <c r="N1216" i="8"/>
  <c r="N1217" i="8" s="1"/>
  <c r="O764" i="8"/>
  <c r="O765" i="8" s="1"/>
  <c r="M336" i="2"/>
  <c r="O1168" i="8"/>
  <c r="O1169" i="8" s="1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O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M1012" i="8"/>
  <c r="M1013" i="8" s="1"/>
  <c r="M745" i="2"/>
  <c r="L680" i="2"/>
  <c r="M734" i="2"/>
  <c r="L796" i="8"/>
  <c r="L797" i="8" s="1"/>
  <c r="Q663" i="2"/>
  <c r="R663" i="2"/>
  <c r="U197" i="2"/>
  <c r="U403" i="8" s="1"/>
  <c r="U404" i="8" s="1"/>
  <c r="AD199" i="2"/>
  <c r="AD209" i="2" s="1"/>
  <c r="AD155" i="2"/>
  <c r="W205" i="2"/>
  <c r="W215" i="2" s="1"/>
  <c r="X200" i="2"/>
  <c r="X415" i="8" s="1"/>
  <c r="X416" i="8" s="1"/>
  <c r="K143" i="2"/>
  <c r="P24" i="2"/>
  <c r="P34" i="2" s="1"/>
  <c r="X141" i="2"/>
  <c r="X151" i="2" s="1"/>
  <c r="AE18" i="2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Q600" i="8"/>
  <c r="Q601" i="8" s="1"/>
  <c r="Q342" i="2"/>
  <c r="R277" i="2"/>
  <c r="Q331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O1216" i="8"/>
  <c r="O1217" i="8" s="1"/>
  <c r="AE19" i="2"/>
  <c r="AE29" i="2" s="1"/>
  <c r="X199" i="2"/>
  <c r="X209" i="2" s="1"/>
  <c r="T198" i="2"/>
  <c r="T208" i="2" s="1"/>
  <c r="X205" i="2"/>
  <c r="X215" i="2" s="1"/>
  <c r="AD142" i="2"/>
  <c r="AD152" i="2" s="1"/>
  <c r="AA22" i="2"/>
  <c r="AA24" i="2"/>
  <c r="L327" i="8"/>
  <c r="L328" i="8" s="1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796" i="8"/>
  <c r="P797" i="8" s="1"/>
  <c r="P306" i="2"/>
  <c r="P688" i="8" s="1"/>
  <c r="P689" i="8" s="1"/>
  <c r="L1188" i="8"/>
  <c r="L1189" i="8" s="1"/>
  <c r="M718" i="2"/>
  <c r="M761" i="2"/>
  <c r="M790" i="2" s="1"/>
  <c r="O347" i="2"/>
  <c r="O336" i="2"/>
  <c r="P282" i="2"/>
  <c r="O620" i="8"/>
  <c r="O621" i="8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O996" i="8"/>
  <c r="O997" i="8" s="1"/>
  <c r="P676" i="2"/>
  <c r="O730" i="2"/>
  <c r="O741" i="2"/>
  <c r="O1004" i="8"/>
  <c r="O1005" i="8" s="1"/>
  <c r="P678" i="2"/>
  <c r="O743" i="2"/>
  <c r="O732" i="2"/>
  <c r="H732" i="2"/>
  <c r="L1156" i="8"/>
  <c r="L1157" i="8" s="1"/>
  <c r="Q1020" i="8"/>
  <c r="Q1021" i="8" s="1"/>
  <c r="Q736" i="2"/>
  <c r="Q747" i="2"/>
  <c r="R682" i="2"/>
  <c r="L1152" i="8"/>
  <c r="L1153" i="8" s="1"/>
  <c r="O820" i="8"/>
  <c r="O821" i="8" s="1"/>
  <c r="H333" i="2"/>
  <c r="AB32" i="9"/>
  <c r="AA32" i="9"/>
  <c r="AB362" i="2"/>
  <c r="AB391" i="2" s="1"/>
  <c r="AB319" i="2"/>
  <c r="R616" i="8"/>
  <c r="R617" i="8" s="1"/>
  <c r="R346" i="2"/>
  <c r="S281" i="2"/>
  <c r="R335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AE302" i="2"/>
  <c r="AE672" i="8" s="1"/>
  <c r="AE673" i="8" s="1"/>
  <c r="L362" i="2"/>
  <c r="L391" i="2" s="1"/>
  <c r="L319" i="2"/>
  <c r="P1216" i="8"/>
  <c r="P1217" i="8" s="1"/>
  <c r="P596" i="8"/>
  <c r="P597" i="8" s="1"/>
  <c r="Q276" i="2"/>
  <c r="P330" i="2"/>
  <c r="P341" i="2"/>
  <c r="P776" i="8"/>
  <c r="P777" i="8" s="1"/>
  <c r="P848" i="8"/>
  <c r="P849" i="8" s="1"/>
  <c r="M332" i="2"/>
  <c r="N332" i="2"/>
  <c r="L332" i="2"/>
  <c r="AA761" i="2"/>
  <c r="AA790" i="2" s="1"/>
  <c r="AA718" i="2"/>
  <c r="N336" i="2"/>
  <c r="Q266" i="2"/>
  <c r="R266" i="2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Y403" i="8"/>
  <c r="Y404" i="8" s="1"/>
  <c r="M88" i="2"/>
  <c r="O22" i="2"/>
  <c r="O315" i="8" s="1"/>
  <c r="O316" i="8" s="1"/>
  <c r="AD91" i="2"/>
  <c r="Q265" i="2"/>
  <c r="R265" i="2"/>
  <c r="M1192" i="8"/>
  <c r="M1193" i="8" s="1"/>
  <c r="H733" i="2"/>
  <c r="P1180" i="8"/>
  <c r="P1181" i="8" s="1"/>
  <c r="P812" i="8"/>
  <c r="P813" i="8" s="1"/>
  <c r="AB299" i="2"/>
  <c r="AB660" i="8" s="1"/>
  <c r="AB661" i="8" s="1"/>
  <c r="O784" i="8"/>
  <c r="O785" i="8" s="1"/>
  <c r="AC718" i="2"/>
  <c r="AC761" i="2"/>
  <c r="AC790" i="2" s="1"/>
  <c r="Q665" i="2"/>
  <c r="R665" i="2"/>
  <c r="Q812" i="8"/>
  <c r="Q813" i="8" s="1"/>
  <c r="AB89" i="2"/>
  <c r="AB339" i="8"/>
  <c r="AB340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AC29" i="2"/>
  <c r="X363" i="8"/>
  <c r="X364" i="8" s="1"/>
  <c r="AC18" i="2"/>
  <c r="AC20" i="2"/>
  <c r="AC307" i="8" s="1"/>
  <c r="AC308" i="8" s="1"/>
  <c r="N152" i="2"/>
  <c r="S147" i="2"/>
  <c r="S367" i="8"/>
  <c r="S368" i="8" s="1"/>
  <c r="L95" i="2"/>
  <c r="L363" i="8"/>
  <c r="L364" i="8" s="1"/>
  <c r="L145" i="2"/>
  <c r="L399" i="8" s="1"/>
  <c r="L400" i="8" s="1"/>
  <c r="N147" i="2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L142" i="2"/>
  <c r="L152" i="2" s="1"/>
  <c r="L139" i="2"/>
  <c r="L375" i="8" s="1"/>
  <c r="L376" i="8" s="1"/>
  <c r="AB27" i="2"/>
  <c r="AB295" i="8"/>
  <c r="AB296" i="8" s="1"/>
  <c r="V34" i="2"/>
  <c r="V323" i="8"/>
  <c r="V324" i="8" s="1"/>
  <c r="K84" i="2"/>
  <c r="K94" i="2" s="1"/>
  <c r="K542" i="2"/>
  <c r="K552" i="2" s="1"/>
  <c r="R140" i="2"/>
  <c r="R150" i="2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R155" i="2" s="1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U88" i="2"/>
  <c r="U335" i="8"/>
  <c r="U336" i="8" s="1"/>
  <c r="S202" i="2"/>
  <c r="S423" i="8" s="1"/>
  <c r="S424" i="8" s="1"/>
  <c r="S204" i="2"/>
  <c r="S431" i="8" s="1"/>
  <c r="S432" i="8" s="1"/>
  <c r="S28" i="2"/>
  <c r="S299" i="8"/>
  <c r="S300" i="8" s="1"/>
  <c r="R139" i="2"/>
  <c r="R149" i="2" s="1"/>
  <c r="Y18" i="2"/>
  <c r="Y21" i="2"/>
  <c r="Y17" i="2"/>
  <c r="Y25" i="2"/>
  <c r="Y35" i="2" s="1"/>
  <c r="P28" i="2"/>
  <c r="P299" i="8"/>
  <c r="P300" i="8" s="1"/>
  <c r="V92" i="2"/>
  <c r="N95" i="2"/>
  <c r="N363" i="8"/>
  <c r="N364" i="8" s="1"/>
  <c r="AC35" i="2"/>
  <c r="Y19" i="2"/>
  <c r="Y29" i="2" s="1"/>
  <c r="Q149" i="2"/>
  <c r="W88" i="2"/>
  <c r="W335" i="8"/>
  <c r="W336" i="8" s="1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M363" i="8"/>
  <c r="M364" i="8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U431" i="8" s="1"/>
  <c r="U432" i="8" s="1"/>
  <c r="V138" i="2"/>
  <c r="V148" i="2" s="1"/>
  <c r="S82" i="2"/>
  <c r="S351" i="8" s="1"/>
  <c r="S352" i="8" s="1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K295" i="8"/>
  <c r="T347" i="8"/>
  <c r="T348" i="8" s="1"/>
  <c r="P138" i="2"/>
  <c r="S197" i="2"/>
  <c r="S403" i="8" s="1"/>
  <c r="S404" i="8" s="1"/>
  <c r="S205" i="2"/>
  <c r="S435" i="8" s="1"/>
  <c r="S436" i="8" s="1"/>
  <c r="X198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K434" i="2"/>
  <c r="P88" i="2"/>
  <c r="P335" i="8"/>
  <c r="P336" i="8" s="1"/>
  <c r="W214" i="2"/>
  <c r="W431" i="8"/>
  <c r="W432" i="8" s="1"/>
  <c r="K490" i="2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AE210" i="2"/>
  <c r="AE415" i="8"/>
  <c r="AE416" i="8" s="1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AE327" i="8"/>
  <c r="AE328" i="8" s="1"/>
  <c r="M141" i="2"/>
  <c r="AC152" i="2"/>
  <c r="AC387" i="8"/>
  <c r="AC388" i="8" s="1"/>
  <c r="AC94" i="2"/>
  <c r="AC359" i="8"/>
  <c r="AC360" i="8" s="1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355" i="8"/>
  <c r="AB356" i="8" s="1"/>
  <c r="K208" i="2"/>
  <c r="K407" i="8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AC327" i="8"/>
  <c r="AC328" i="8" s="1"/>
  <c r="W210" i="2"/>
  <c r="AD34" i="2"/>
  <c r="AD323" i="8"/>
  <c r="AD324" i="8" s="1"/>
  <c r="P89" i="2"/>
  <c r="P339" i="8"/>
  <c r="P340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N89" i="2"/>
  <c r="N339" i="8"/>
  <c r="N340" i="8" s="1"/>
  <c r="AA30" i="2"/>
  <c r="AA307" i="8"/>
  <c r="AA308" i="8" s="1"/>
  <c r="N35" i="2"/>
  <c r="N327" i="8"/>
  <c r="N328" i="8" s="1"/>
  <c r="R87" i="2"/>
  <c r="R331" i="8"/>
  <c r="R332" i="8" s="1"/>
  <c r="L209" i="2"/>
  <c r="L411" i="8"/>
  <c r="L412" i="8" s="1"/>
  <c r="O142" i="2"/>
  <c r="K486" i="2"/>
  <c r="AE209" i="2"/>
  <c r="AE411" i="8"/>
  <c r="AE412" i="8" s="1"/>
  <c r="AE211" i="2"/>
  <c r="AE419" i="8"/>
  <c r="AE420" i="8" s="1"/>
  <c r="L208" i="2"/>
  <c r="L214" i="2"/>
  <c r="P92" i="2"/>
  <c r="P351" i="8"/>
  <c r="P352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M32" i="2"/>
  <c r="M315" i="8"/>
  <c r="M316" i="8" s="1"/>
  <c r="U35" i="2"/>
  <c r="U28" i="2"/>
  <c r="U32" i="2"/>
  <c r="U33" i="2"/>
  <c r="Y147" i="2"/>
  <c r="P207" i="2"/>
  <c r="P403" i="8"/>
  <c r="P404" i="8" s="1"/>
  <c r="P154" i="2"/>
  <c r="P395" i="8"/>
  <c r="P396" i="8" s="1"/>
  <c r="O379" i="8"/>
  <c r="O380" i="8" s="1"/>
  <c r="AB150" i="2"/>
  <c r="AB379" i="8"/>
  <c r="AB380" i="8" s="1"/>
  <c r="AA95" i="2"/>
  <c r="AA363" i="8"/>
  <c r="AA364" i="8" s="1"/>
  <c r="AE91" i="2"/>
  <c r="AE347" i="8"/>
  <c r="AE348" i="8" s="1"/>
  <c r="M142" i="2"/>
  <c r="M139" i="2"/>
  <c r="M145" i="2"/>
  <c r="K417" i="2"/>
  <c r="K416" i="2"/>
  <c r="K419" i="2"/>
  <c r="T213" i="2"/>
  <c r="T427" i="8"/>
  <c r="T428" i="8" s="1"/>
  <c r="O27" i="2"/>
  <c r="O295" i="8"/>
  <c r="O296" i="8" s="1"/>
  <c r="Z29" i="2"/>
  <c r="Z303" i="8"/>
  <c r="Z304" i="8" s="1"/>
  <c r="P87" i="2"/>
  <c r="P331" i="8"/>
  <c r="P332" i="8" s="1"/>
  <c r="P214" i="2"/>
  <c r="P431" i="8"/>
  <c r="P432" i="8" s="1"/>
  <c r="M415" i="8"/>
  <c r="M416" i="8" s="1"/>
  <c r="M143" i="2"/>
  <c r="AB95" i="2"/>
  <c r="AB363" i="8"/>
  <c r="AB364" i="8" s="1"/>
  <c r="AA32" i="2"/>
  <c r="AA315" i="8"/>
  <c r="AA316" i="8" s="1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AE427" i="8"/>
  <c r="AE428" i="8" s="1"/>
  <c r="L215" i="2"/>
  <c r="U213" i="2"/>
  <c r="O145" i="2"/>
  <c r="AB215" i="2"/>
  <c r="AB435" i="8"/>
  <c r="AB436" i="8" s="1"/>
  <c r="U145" i="2"/>
  <c r="AC33" i="2"/>
  <c r="AC319" i="8"/>
  <c r="AC320" i="8" s="1"/>
  <c r="Y143" i="2"/>
  <c r="X88" i="2"/>
  <c r="X335" i="8"/>
  <c r="X336" i="8" s="1"/>
  <c r="K137" i="2"/>
  <c r="Q85" i="2"/>
  <c r="R88" i="2"/>
  <c r="R335" i="8"/>
  <c r="R336" i="8" s="1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P399" i="8"/>
  <c r="P400" i="8" s="1"/>
  <c r="AA435" i="8"/>
  <c r="AA436" i="8" s="1"/>
  <c r="K543" i="2"/>
  <c r="U214" i="2"/>
  <c r="W209" i="2"/>
  <c r="W411" i="8"/>
  <c r="W412" i="8" s="1"/>
  <c r="U435" i="8"/>
  <c r="U436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AD154" i="2"/>
  <c r="K140" i="2"/>
  <c r="AD395" i="8"/>
  <c r="AD396" i="8" s="1"/>
  <c r="AC303" i="8"/>
  <c r="AC304" i="8" s="1"/>
  <c r="S307" i="8"/>
  <c r="S308" i="8" s="1"/>
  <c r="X87" i="2"/>
  <c r="X331" i="8"/>
  <c r="X332" i="8" s="1"/>
  <c r="AE83" i="2"/>
  <c r="K544" i="2"/>
  <c r="R411" i="8"/>
  <c r="R412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Z210" i="2"/>
  <c r="Z415" i="8"/>
  <c r="Z416" i="8" s="1"/>
  <c r="O137" i="2"/>
  <c r="L138" i="2"/>
  <c r="Y141" i="2"/>
  <c r="V88" i="2"/>
  <c r="V335" i="8"/>
  <c r="V336" i="8" s="1"/>
  <c r="M87" i="2"/>
  <c r="M114" i="2" s="1"/>
  <c r="M331" i="8"/>
  <c r="M332" i="8" s="1"/>
  <c r="V327" i="8"/>
  <c r="V328" i="8" s="1"/>
  <c r="AD351" i="8"/>
  <c r="AD352" i="8" s="1"/>
  <c r="AB419" i="8"/>
  <c r="AB420" i="8" s="1"/>
  <c r="R19" i="2"/>
  <c r="K596" i="2"/>
  <c r="K418" i="2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151" i="2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Y142" i="2"/>
  <c r="Y140" i="2"/>
  <c r="N92" i="2"/>
  <c r="N351" i="8"/>
  <c r="N352" i="8" s="1"/>
  <c r="P149" i="2"/>
  <c r="P375" i="8"/>
  <c r="P376" i="8" s="1"/>
  <c r="L143" i="2"/>
  <c r="T141" i="2"/>
  <c r="AE28" i="2"/>
  <c r="AE299" i="8"/>
  <c r="AE300" i="8" s="1"/>
  <c r="AC154" i="2"/>
  <c r="AD150" i="2"/>
  <c r="M35" i="2"/>
  <c r="M62" i="2" s="1"/>
  <c r="M327" i="8"/>
  <c r="M328" i="8" s="1"/>
  <c r="W94" i="2"/>
  <c r="W359" i="8"/>
  <c r="W360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V295" i="8"/>
  <c r="V296" i="8" s="1"/>
  <c r="M359" i="8"/>
  <c r="M360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147" i="2"/>
  <c r="P367" i="8"/>
  <c r="P368" i="8" s="1"/>
  <c r="AA82" i="2"/>
  <c r="Q29" i="2"/>
  <c r="W141" i="2"/>
  <c r="K144" i="2"/>
  <c r="T140" i="2"/>
  <c r="K77" i="2"/>
  <c r="AB94" i="2"/>
  <c r="AB359" i="8"/>
  <c r="AB360" i="8" s="1"/>
  <c r="AB319" i="8"/>
  <c r="AB320" i="8" s="1"/>
  <c r="AC331" i="8"/>
  <c r="AC332" i="8" s="1"/>
  <c r="P347" i="8"/>
  <c r="P348" i="8" s="1"/>
  <c r="AD411" i="8"/>
  <c r="AD412" i="8" s="1"/>
  <c r="S395" i="8"/>
  <c r="S396" i="8" s="1"/>
  <c r="M435" i="8"/>
  <c r="M436" i="8" s="1"/>
  <c r="W207" i="2"/>
  <c r="W403" i="8"/>
  <c r="W404" i="8" s="1"/>
  <c r="AE82" i="2"/>
  <c r="K421" i="2"/>
  <c r="AC208" i="2"/>
  <c r="U138" i="2"/>
  <c r="AB207" i="2"/>
  <c r="AB403" i="8"/>
  <c r="AB404" i="8" s="1"/>
  <c r="AD153" i="2"/>
  <c r="AB32" i="2"/>
  <c r="AB315" i="8"/>
  <c r="AB316" i="8" s="1"/>
  <c r="K494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X367" i="8"/>
  <c r="X368" i="8" s="1"/>
  <c r="W331" i="8"/>
  <c r="W332" i="8" s="1"/>
  <c r="K415" i="8"/>
  <c r="O423" i="8"/>
  <c r="O424" i="8" s="1"/>
  <c r="Q80" i="2"/>
  <c r="R17" i="2"/>
  <c r="Z140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AA145" i="2"/>
  <c r="M138" i="2"/>
  <c r="V143" i="2"/>
  <c r="Z138" i="2"/>
  <c r="M137" i="2"/>
  <c r="K78" i="2"/>
  <c r="P151" i="2"/>
  <c r="AA34" i="2"/>
  <c r="W144" i="2"/>
  <c r="AC371" i="8"/>
  <c r="AC372" i="8" s="1"/>
  <c r="X379" i="8"/>
  <c r="X380" i="8" s="1"/>
  <c r="Z83" i="2"/>
  <c r="Q83" i="2"/>
  <c r="M307" i="8"/>
  <c r="M308" i="8" s="1"/>
  <c r="Z80" i="2"/>
  <c r="U27" i="2"/>
  <c r="R24" i="2"/>
  <c r="R347" i="8"/>
  <c r="R348" i="8" s="1"/>
  <c r="P383" i="8"/>
  <c r="P384" i="8" s="1"/>
  <c r="S80" i="2"/>
  <c r="AA323" i="8"/>
  <c r="AA324" i="8" s="1"/>
  <c r="R359" i="8"/>
  <c r="R360" i="8" s="1"/>
  <c r="R399" i="8" l="1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O856" i="8"/>
  <c r="O857" i="8" s="1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N680" i="8" s="1"/>
  <c r="N681" i="8" s="1"/>
  <c r="Q94" i="2"/>
  <c r="X411" i="8"/>
  <c r="X412" i="8" s="1"/>
  <c r="AB415" i="8"/>
  <c r="AB416" i="8" s="1"/>
  <c r="K307" i="8"/>
  <c r="Q47" i="10"/>
  <c r="Q137" i="5" s="1"/>
  <c r="Q650" i="2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S668" i="8" s="1"/>
  <c r="S669" i="8" s="1"/>
  <c r="K435" i="8"/>
  <c r="O31" i="2"/>
  <c r="AC399" i="8"/>
  <c r="AC400" i="8" s="1"/>
  <c r="Q152" i="2"/>
  <c r="W300" i="2"/>
  <c r="W664" i="8" s="1"/>
  <c r="W665" i="8" s="1"/>
  <c r="AC153" i="2"/>
  <c r="Z423" i="8"/>
  <c r="Z424" i="8" s="1"/>
  <c r="U304" i="2"/>
  <c r="U680" i="8" s="1"/>
  <c r="U681" i="8" s="1"/>
  <c r="X304" i="2"/>
  <c r="X680" i="8" s="1"/>
  <c r="X681" i="8" s="1"/>
  <c r="U207" i="2"/>
  <c r="R207" i="2"/>
  <c r="X355" i="8"/>
  <c r="X356" i="8" s="1"/>
  <c r="Z304" i="2"/>
  <c r="Z680" i="8" s="1"/>
  <c r="Z681" i="8" s="1"/>
  <c r="Q304" i="2"/>
  <c r="Q680" i="8" s="1"/>
  <c r="Q681" i="8" s="1"/>
  <c r="Z300" i="2"/>
  <c r="Z664" i="8" s="1"/>
  <c r="Z665" i="8" s="1"/>
  <c r="P740" i="2"/>
  <c r="W213" i="2"/>
  <c r="L304" i="2"/>
  <c r="L680" i="8" s="1"/>
  <c r="L681" i="8" s="1"/>
  <c r="T88" i="2"/>
  <c r="S300" i="2"/>
  <c r="S664" i="8" s="1"/>
  <c r="S665" i="8" s="1"/>
  <c r="O1152" i="8"/>
  <c r="O1153" i="8" s="1"/>
  <c r="T415" i="8"/>
  <c r="T416" i="8" s="1"/>
  <c r="L387" i="8"/>
  <c r="L388" i="8" s="1"/>
  <c r="K419" i="8"/>
  <c r="U94" i="2"/>
  <c r="Q214" i="2"/>
  <c r="AD299" i="8"/>
  <c r="AD300" i="8" s="1"/>
  <c r="V47" i="10"/>
  <c r="V137" i="5" s="1"/>
  <c r="V650" i="2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Q357" i="2"/>
  <c r="Q848" i="8" s="1"/>
  <c r="Q849" i="8" s="1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P259" i="2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P258" i="2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1240" i="8"/>
  <c r="O1241" i="8" s="1"/>
  <c r="O848" i="8"/>
  <c r="O849" i="8" s="1"/>
  <c r="P758" i="2"/>
  <c r="P657" i="2"/>
  <c r="P658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O808" i="8"/>
  <c r="O809" i="8" s="1"/>
  <c r="N153" i="2"/>
  <c r="O431" i="8"/>
  <c r="O432" i="8" s="1"/>
  <c r="N359" i="8"/>
  <c r="N360" i="8" s="1"/>
  <c r="N753" i="2"/>
  <c r="N657" i="2"/>
  <c r="N658" i="2"/>
  <c r="O657" i="2"/>
  <c r="O658" i="2"/>
  <c r="L356" i="2"/>
  <c r="M354" i="2"/>
  <c r="O752" i="2"/>
  <c r="O1228" i="8" s="1"/>
  <c r="O1229" i="8" s="1"/>
  <c r="O356" i="2"/>
  <c r="O757" i="2"/>
  <c r="O1248" i="8" s="1"/>
  <c r="O1249" i="8" s="1"/>
  <c r="M352" i="2"/>
  <c r="O753" i="2"/>
  <c r="Q353" i="2"/>
  <c r="Q832" i="8" s="1"/>
  <c r="Q833" i="8" s="1"/>
  <c r="Z95" i="2"/>
  <c r="M300" i="2"/>
  <c r="M664" i="8" s="1"/>
  <c r="M665" i="8" s="1"/>
  <c r="L359" i="2"/>
  <c r="L856" i="8" s="1"/>
  <c r="L857" i="8" s="1"/>
  <c r="P756" i="2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P352" i="2"/>
  <c r="T331" i="8"/>
  <c r="T332" i="8" s="1"/>
  <c r="R355" i="8"/>
  <c r="R356" i="8" s="1"/>
  <c r="P755" i="2"/>
  <c r="M758" i="2"/>
  <c r="L300" i="2"/>
  <c r="L664" i="8" s="1"/>
  <c r="L665" i="8" s="1"/>
  <c r="P359" i="2"/>
  <c r="X327" i="8"/>
  <c r="X328" i="8" s="1"/>
  <c r="M756" i="2"/>
  <c r="N355" i="2"/>
  <c r="N840" i="8" s="1"/>
  <c r="N841" i="8" s="1"/>
  <c r="M355" i="2"/>
  <c r="L89" i="2"/>
  <c r="M116" i="2" s="1"/>
  <c r="AC300" i="2"/>
  <c r="AC664" i="8" s="1"/>
  <c r="AC665" i="8" s="1"/>
  <c r="M353" i="2"/>
  <c r="R357" i="2"/>
  <c r="AC383" i="8"/>
  <c r="AC384" i="8" s="1"/>
  <c r="L90" i="2"/>
  <c r="M117" i="2" s="1"/>
  <c r="O354" i="2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1180" i="8"/>
  <c r="O1181" i="8" s="1"/>
  <c r="O302" i="2"/>
  <c r="O672" i="8" s="1"/>
  <c r="O673" i="8" s="1"/>
  <c r="AD300" i="2"/>
  <c r="AD664" i="8" s="1"/>
  <c r="AD665" i="8" s="1"/>
  <c r="M752" i="2"/>
  <c r="Q758" i="2"/>
  <c r="Q1252" i="8" s="1"/>
  <c r="Q1253" i="8" s="1"/>
  <c r="S215" i="2"/>
  <c r="P304" i="2"/>
  <c r="P680" i="8" s="1"/>
  <c r="P681" i="8" s="1"/>
  <c r="O756" i="2"/>
  <c r="O1244" i="8" s="1"/>
  <c r="O1245" i="8" s="1"/>
  <c r="N353" i="2"/>
  <c r="AE371" i="8"/>
  <c r="AE372" i="8" s="1"/>
  <c r="AE303" i="8"/>
  <c r="AE304" i="8" s="1"/>
  <c r="V304" i="2"/>
  <c r="V680" i="8" s="1"/>
  <c r="V681" i="8" s="1"/>
  <c r="O754" i="2"/>
  <c r="M754" i="2"/>
  <c r="M1236" i="8" s="1"/>
  <c r="M1237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N119" i="2" s="1"/>
  <c r="M34" i="2"/>
  <c r="M61" i="2" s="1"/>
  <c r="M35" i="8" s="1"/>
  <c r="M36" i="8" s="1"/>
  <c r="AD304" i="2"/>
  <c r="AD680" i="8" s="1"/>
  <c r="AD681" i="8" s="1"/>
  <c r="AE300" i="2"/>
  <c r="AE664" i="8" s="1"/>
  <c r="AE665" i="8" s="1"/>
  <c r="O358" i="2"/>
  <c r="V305" i="2"/>
  <c r="V684" i="8" s="1"/>
  <c r="V685" i="8" s="1"/>
  <c r="Y427" i="8"/>
  <c r="Y428" i="8" s="1"/>
  <c r="L358" i="2"/>
  <c r="L852" i="8" s="1"/>
  <c r="L853" i="8" s="1"/>
  <c r="N1176" i="8"/>
  <c r="N1177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N844" i="8" s="1"/>
  <c r="N845" i="8" s="1"/>
  <c r="M211" i="2"/>
  <c r="M238" i="2" s="1"/>
  <c r="P356" i="2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L836" i="8" s="1"/>
  <c r="L837" i="8" s="1"/>
  <c r="V302" i="2"/>
  <c r="V672" i="8" s="1"/>
  <c r="V673" i="8" s="1"/>
  <c r="L210" i="2"/>
  <c r="M237" i="2" s="1"/>
  <c r="O1188" i="8"/>
  <c r="O1189" i="8" s="1"/>
  <c r="AE304" i="2"/>
  <c r="AE680" i="8" s="1"/>
  <c r="AE681" i="8" s="1"/>
  <c r="AD718" i="2"/>
  <c r="L33" i="2"/>
  <c r="R47" i="10"/>
  <c r="R137" i="5" s="1"/>
  <c r="R650" i="2" s="1"/>
  <c r="Y47" i="10"/>
  <c r="Y137" i="5" s="1"/>
  <c r="Y650" i="2" s="1"/>
  <c r="X383" i="8"/>
  <c r="X384" i="8" s="1"/>
  <c r="O352" i="2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P354" i="2"/>
  <c r="P836" i="8" s="1"/>
  <c r="P837" i="8" s="1"/>
  <c r="M760" i="8"/>
  <c r="M761" i="8" s="1"/>
  <c r="O355" i="2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O756" i="8"/>
  <c r="O757" i="8" s="1"/>
  <c r="R300" i="2"/>
  <c r="R664" i="8" s="1"/>
  <c r="R665" i="8" s="1"/>
  <c r="M356" i="2"/>
  <c r="L353" i="2"/>
  <c r="L832" i="8" s="1"/>
  <c r="L833" i="8" s="1"/>
  <c r="M358" i="2"/>
  <c r="M755" i="2"/>
  <c r="M1240" i="8" s="1"/>
  <c r="M1241" i="8" s="1"/>
  <c r="O331" i="8"/>
  <c r="O332" i="8" s="1"/>
  <c r="AE431" i="8"/>
  <c r="AE432" i="8" s="1"/>
  <c r="O758" i="2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O339" i="8"/>
  <c r="O340" i="8" s="1"/>
  <c r="L323" i="8"/>
  <c r="L324" i="8" s="1"/>
  <c r="Y323" i="8"/>
  <c r="Y324" i="8" s="1"/>
  <c r="K343" i="8"/>
  <c r="O751" i="2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P992" i="8"/>
  <c r="P993" i="8" s="1"/>
  <c r="Q675" i="2"/>
  <c r="P729" i="2"/>
  <c r="AA1388" i="8"/>
  <c r="AA1389" i="8" s="1"/>
  <c r="AA647" i="2"/>
  <c r="AA988" i="8" s="1"/>
  <c r="AA989" i="8" s="1"/>
  <c r="P353" i="2"/>
  <c r="P760" i="8"/>
  <c r="P761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O760" i="8"/>
  <c r="O761" i="8" s="1"/>
  <c r="O353" i="2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N54" i="2" s="1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M60" i="2"/>
  <c r="M31" i="8" s="1"/>
  <c r="M32" i="8" s="1"/>
  <c r="AC423" i="8"/>
  <c r="AC424" i="8" s="1"/>
  <c r="N295" i="8"/>
  <c r="N296" i="8" s="1"/>
  <c r="W303" i="8"/>
  <c r="W304" i="8" s="1"/>
  <c r="V371" i="8"/>
  <c r="V372" i="8" s="1"/>
  <c r="Q280" i="2"/>
  <c r="P345" i="2"/>
  <c r="P612" i="8"/>
  <c r="P613" i="8" s="1"/>
  <c r="U208" i="2"/>
  <c r="X303" i="8"/>
  <c r="X304" i="8" s="1"/>
  <c r="O748" i="2"/>
  <c r="O1220" i="8" s="1"/>
  <c r="O1221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Q760" i="8"/>
  <c r="Q761" i="8" s="1"/>
  <c r="L780" i="8"/>
  <c r="L781" i="8" s="1"/>
  <c r="AB667" i="2"/>
  <c r="AB268" i="2"/>
  <c r="P1016" i="8"/>
  <c r="P1017" i="8" s="1"/>
  <c r="P746" i="2"/>
  <c r="Q681" i="2"/>
  <c r="P735" i="2"/>
  <c r="L341" i="2"/>
  <c r="L596" i="8"/>
  <c r="L597" i="8" s="1"/>
  <c r="L330" i="2"/>
  <c r="X27" i="2"/>
  <c r="X295" i="8"/>
  <c r="X296" i="8" s="1"/>
  <c r="L776" i="8"/>
  <c r="L777" i="8" s="1"/>
  <c r="O768" i="8"/>
  <c r="O769" i="8" s="1"/>
  <c r="U411" i="8"/>
  <c r="U412" i="8" s="1"/>
  <c r="M764" i="8"/>
  <c r="M765" i="8" s="1"/>
  <c r="M836" i="8"/>
  <c r="M837" i="8" s="1"/>
  <c r="R600" i="8"/>
  <c r="R601" i="8" s="1"/>
  <c r="R342" i="2"/>
  <c r="S277" i="2"/>
  <c r="R331" i="2"/>
  <c r="O32" i="2"/>
  <c r="L772" i="8"/>
  <c r="L773" i="8" s="1"/>
  <c r="L844" i="8"/>
  <c r="L845" i="8" s="1"/>
  <c r="O1176" i="8"/>
  <c r="O1177" i="8" s="1"/>
  <c r="T32" i="2"/>
  <c r="T315" i="8"/>
  <c r="T316" i="8" s="1"/>
  <c r="L812" i="8"/>
  <c r="L813" i="8" s="1"/>
  <c r="P608" i="8"/>
  <c r="P609" i="8" s="1"/>
  <c r="Q279" i="2"/>
  <c r="P344" i="2"/>
  <c r="P333" i="2"/>
  <c r="O319" i="2"/>
  <c r="O362" i="2"/>
  <c r="O391" i="2" s="1"/>
  <c r="Q796" i="8"/>
  <c r="Q797" i="8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R776" i="8"/>
  <c r="R777" i="8" s="1"/>
  <c r="R848" i="8"/>
  <c r="R849" i="8" s="1"/>
  <c r="R1020" i="8"/>
  <c r="R1021" i="8" s="1"/>
  <c r="S682" i="2"/>
  <c r="R736" i="2"/>
  <c r="R747" i="2"/>
  <c r="P347" i="2"/>
  <c r="P336" i="2"/>
  <c r="Q282" i="2"/>
  <c r="P620" i="8"/>
  <c r="P621" i="8" s="1"/>
  <c r="M772" i="8"/>
  <c r="M773" i="8" s="1"/>
  <c r="X718" i="2"/>
  <c r="X761" i="2"/>
  <c r="X790" i="2" s="1"/>
  <c r="P1168" i="8"/>
  <c r="P1169" i="8" s="1"/>
  <c r="S616" i="8"/>
  <c r="S617" i="8" s="1"/>
  <c r="S335" i="2"/>
  <c r="S346" i="2"/>
  <c r="T281" i="2"/>
  <c r="Q1216" i="8"/>
  <c r="Q1217" i="8" s="1"/>
  <c r="O1164" i="8"/>
  <c r="O1165" i="8" s="1"/>
  <c r="O1236" i="8"/>
  <c r="O1237" i="8" s="1"/>
  <c r="O780" i="8"/>
  <c r="O781" i="8" s="1"/>
  <c r="O772" i="8"/>
  <c r="O773" i="8" s="1"/>
  <c r="L760" i="8"/>
  <c r="L761" i="8" s="1"/>
  <c r="M780" i="8"/>
  <c r="M781" i="8" s="1"/>
  <c r="AB29" i="2"/>
  <c r="AB303" i="8"/>
  <c r="AB304" i="8" s="1"/>
  <c r="F661" i="8"/>
  <c r="Q1008" i="8"/>
  <c r="Q1009" i="8" s="1"/>
  <c r="Q744" i="2"/>
  <c r="R679" i="2"/>
  <c r="Q733" i="2"/>
  <c r="P1188" i="8"/>
  <c r="P1189" i="8" s="1"/>
  <c r="P820" i="8"/>
  <c r="P821" i="8" s="1"/>
  <c r="W299" i="8"/>
  <c r="W300" i="8" s="1"/>
  <c r="R812" i="8"/>
  <c r="R813" i="8" s="1"/>
  <c r="Q1180" i="8"/>
  <c r="Q1181" i="8" s="1"/>
  <c r="O1200" i="8"/>
  <c r="O1201" i="8" s="1"/>
  <c r="O816" i="8"/>
  <c r="O817" i="8" s="1"/>
  <c r="AC319" i="2"/>
  <c r="AC362" i="2"/>
  <c r="AC391" i="2" s="1"/>
  <c r="L784" i="8"/>
  <c r="L785" i="8" s="1"/>
  <c r="N772" i="8"/>
  <c r="N773" i="8" s="1"/>
  <c r="F589" i="8"/>
  <c r="P1204" i="8"/>
  <c r="P1205" i="8" s="1"/>
  <c r="P784" i="8"/>
  <c r="P785" i="8" s="1"/>
  <c r="W419" i="8"/>
  <c r="W420" i="8" s="1"/>
  <c r="F593" i="8"/>
  <c r="P1004" i="8"/>
  <c r="P1005" i="8" s="1"/>
  <c r="Q678" i="2"/>
  <c r="P743" i="2"/>
  <c r="P732" i="2"/>
  <c r="N1164" i="8"/>
  <c r="N1165" i="8" s="1"/>
  <c r="N768" i="8"/>
  <c r="N769" i="8" s="1"/>
  <c r="AB90" i="2"/>
  <c r="AB343" i="8"/>
  <c r="AB344" i="8" s="1"/>
  <c r="R283" i="2"/>
  <c r="Q337" i="2"/>
  <c r="Q348" i="2"/>
  <c r="Q624" i="8"/>
  <c r="Q625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O1192" i="8"/>
  <c r="O1193" i="8" s="1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O1156" i="8"/>
  <c r="O115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Q1012" i="8"/>
  <c r="Q1013" i="8" s="1"/>
  <c r="R680" i="2"/>
  <c r="Q734" i="2"/>
  <c r="Q745" i="2"/>
  <c r="M115" i="2"/>
  <c r="M47" i="8" s="1"/>
  <c r="M48" i="8" s="1"/>
  <c r="W212" i="2"/>
  <c r="AB327" i="8"/>
  <c r="AB328" i="8" s="1"/>
  <c r="P323" i="8"/>
  <c r="P324" i="8" s="1"/>
  <c r="P792" i="8"/>
  <c r="P793" i="8" s="1"/>
  <c r="T303" i="2"/>
  <c r="T676" i="8" s="1"/>
  <c r="T677" i="8" s="1"/>
  <c r="P996" i="8"/>
  <c r="P997" i="8" s="1"/>
  <c r="Q676" i="2"/>
  <c r="P730" i="2"/>
  <c r="P741" i="2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AB663" i="2"/>
  <c r="AB264" i="2"/>
  <c r="P764" i="8"/>
  <c r="P765" i="8" s="1"/>
  <c r="O1224" i="8"/>
  <c r="O1225" i="8" s="1"/>
  <c r="Q301" i="2"/>
  <c r="Q668" i="8" s="1"/>
  <c r="Q669" i="8" s="1"/>
  <c r="AB30" i="2"/>
  <c r="AB307" i="8"/>
  <c r="AB308" i="8" s="1"/>
  <c r="P1208" i="8"/>
  <c r="P1209" i="8" s="1"/>
  <c r="M1216" i="8"/>
  <c r="M1217" i="8" s="1"/>
  <c r="L333" i="2"/>
  <c r="L608" i="8"/>
  <c r="L609" i="8" s="1"/>
  <c r="L344" i="2"/>
  <c r="O1196" i="8"/>
  <c r="O1197" i="8" s="1"/>
  <c r="AD387" i="8"/>
  <c r="AD388" i="8" s="1"/>
  <c r="Q319" i="8"/>
  <c r="Q320" i="8" s="1"/>
  <c r="L154" i="2"/>
  <c r="X371" i="8"/>
  <c r="X372" i="8" s="1"/>
  <c r="AB301" i="2"/>
  <c r="AB668" i="8" s="1"/>
  <c r="AB669" i="8" s="1"/>
  <c r="P756" i="8"/>
  <c r="P757" i="8" s="1"/>
  <c r="AA665" i="2"/>
  <c r="AA266" i="2"/>
  <c r="O338" i="2"/>
  <c r="O788" i="8" s="1"/>
  <c r="O789" i="8" s="1"/>
  <c r="P772" i="8"/>
  <c r="P773" i="8" s="1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P800" i="8"/>
  <c r="P801" i="8" s="1"/>
  <c r="O737" i="2"/>
  <c r="O1184" i="8" s="1"/>
  <c r="O1185" i="8" s="1"/>
  <c r="Q302" i="2"/>
  <c r="Q672" i="8" s="1"/>
  <c r="Q673" i="8" s="1"/>
  <c r="P1172" i="8"/>
  <c r="P1173" i="8" s="1"/>
  <c r="P1244" i="8"/>
  <c r="P1245" i="8" s="1"/>
  <c r="L1020" i="8"/>
  <c r="L1021" i="8" s="1"/>
  <c r="L736" i="2"/>
  <c r="L747" i="2"/>
  <c r="O1160" i="8"/>
  <c r="O1161" i="8" s="1"/>
  <c r="O1232" i="8"/>
  <c r="O1233" i="8" s="1"/>
  <c r="K375" i="8"/>
  <c r="Q215" i="2"/>
  <c r="L764" i="8"/>
  <c r="L765" i="8" s="1"/>
  <c r="Q596" i="8"/>
  <c r="Q597" i="8" s="1"/>
  <c r="Q330" i="2"/>
  <c r="R276" i="2"/>
  <c r="Q341" i="2"/>
  <c r="AB266" i="2"/>
  <c r="AB665" i="2"/>
  <c r="AD32" i="2"/>
  <c r="AD315" i="8"/>
  <c r="AD316" i="8" s="1"/>
  <c r="L816" i="8"/>
  <c r="L817" i="8" s="1"/>
  <c r="O1172" i="8"/>
  <c r="O1173" i="8" s="1"/>
  <c r="M756" i="8"/>
  <c r="M757" i="8" s="1"/>
  <c r="M338" i="2"/>
  <c r="M788" i="8" s="1"/>
  <c r="M789" i="8" s="1"/>
  <c r="Q604" i="8"/>
  <c r="Q605" i="8" s="1"/>
  <c r="R278" i="2"/>
  <c r="Q343" i="2"/>
  <c r="Q332" i="2"/>
  <c r="T35" i="2"/>
  <c r="T327" i="8"/>
  <c r="T328" i="8" s="1"/>
  <c r="M1180" i="8"/>
  <c r="M1181" i="8" s="1"/>
  <c r="P1000" i="8"/>
  <c r="P1001" i="8" s="1"/>
  <c r="Q677" i="2"/>
  <c r="P731" i="2"/>
  <c r="P742" i="2"/>
  <c r="Z761" i="2"/>
  <c r="Z790" i="2" s="1"/>
  <c r="Z718" i="2"/>
  <c r="P775" i="2"/>
  <c r="P1304" i="8" s="1"/>
  <c r="P1305" i="8" s="1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O828" i="8"/>
  <c r="O82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O1212" i="8"/>
  <c r="O1213" i="8" s="1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O804" i="8"/>
  <c r="O805" i="8" s="1"/>
  <c r="O349" i="2"/>
  <c r="O824" i="8" s="1"/>
  <c r="O825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L376" i="2" l="1"/>
  <c r="L908" i="8" s="1"/>
  <c r="L909" i="8" s="1"/>
  <c r="F1458" i="8"/>
  <c r="D1455" i="8" s="1"/>
  <c r="N1224" i="8"/>
  <c r="N1225" i="8" s="1"/>
  <c r="N117" i="2"/>
  <c r="O117" i="2" s="1"/>
  <c r="M240" i="2"/>
  <c r="N240" i="2" s="1"/>
  <c r="P375" i="2"/>
  <c r="P904" i="8" s="1"/>
  <c r="P905" i="8" s="1"/>
  <c r="N376" i="2"/>
  <c r="N908" i="8" s="1"/>
  <c r="N909" i="8" s="1"/>
  <c r="M7" i="8"/>
  <c r="M8" i="8" s="1"/>
  <c r="M63" i="8"/>
  <c r="M64" i="8" s="1"/>
  <c r="M58" i="2"/>
  <c r="N58" i="2" s="1"/>
  <c r="N23" i="8" s="1"/>
  <c r="N24" i="8" s="1"/>
  <c r="Q258" i="2"/>
  <c r="AE701" i="2"/>
  <c r="AE1068" i="8" s="1"/>
  <c r="AE1069" i="8" s="1"/>
  <c r="AD701" i="2"/>
  <c r="AD1068" i="8" s="1"/>
  <c r="AD1069" i="8" s="1"/>
  <c r="N239" i="2"/>
  <c r="N116" i="2"/>
  <c r="N51" i="8" s="1"/>
  <c r="N52" i="8" s="1"/>
  <c r="M51" i="8"/>
  <c r="M52" i="8" s="1"/>
  <c r="M176" i="2"/>
  <c r="N852" i="8"/>
  <c r="N853" i="8" s="1"/>
  <c r="M777" i="2"/>
  <c r="M1312" i="8" s="1"/>
  <c r="M1313" i="8" s="1"/>
  <c r="L1228" i="8"/>
  <c r="L1229" i="8" s="1"/>
  <c r="Q992" i="8"/>
  <c r="Q993" i="8" s="1"/>
  <c r="Q658" i="2"/>
  <c r="Q657" i="2"/>
  <c r="Q259" i="2"/>
  <c r="M135" i="8"/>
  <c r="M136" i="8" s="1"/>
  <c r="N774" i="2"/>
  <c r="N1300" i="8" s="1"/>
  <c r="N1301" i="8" s="1"/>
  <c r="N781" i="2"/>
  <c r="P832" i="8"/>
  <c r="P833" i="8" s="1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P856" i="8"/>
  <c r="P857" i="8" s="1"/>
  <c r="N120" i="2"/>
  <c r="N378" i="2"/>
  <c r="N916" i="8" s="1"/>
  <c r="N917" i="8" s="1"/>
  <c r="M1244" i="8"/>
  <c r="M1245" i="8" s="1"/>
  <c r="O844" i="8"/>
  <c r="O845" i="8" s="1"/>
  <c r="P1252" i="8"/>
  <c r="P1253" i="8" s="1"/>
  <c r="O1252" i="8"/>
  <c r="O1253" i="8" s="1"/>
  <c r="M375" i="2"/>
  <c r="M904" i="8" s="1"/>
  <c r="M905" i="8" s="1"/>
  <c r="F665" i="8"/>
  <c r="O375" i="2"/>
  <c r="O904" i="8" s="1"/>
  <c r="O905" i="8" s="1"/>
  <c r="O775" i="2"/>
  <c r="O1304" i="8" s="1"/>
  <c r="O1305" i="8" s="1"/>
  <c r="O840" i="8"/>
  <c r="O841" i="8" s="1"/>
  <c r="O836" i="8"/>
  <c r="O837" i="8" s="1"/>
  <c r="M1252" i="8"/>
  <c r="M1253" i="8" s="1"/>
  <c r="P844" i="8"/>
  <c r="P845" i="8" s="1"/>
  <c r="O382" i="2"/>
  <c r="M848" i="8"/>
  <c r="M849" i="8" s="1"/>
  <c r="P1240" i="8"/>
  <c r="P1241" i="8" s="1"/>
  <c r="M1248" i="8"/>
  <c r="M1249" i="8" s="1"/>
  <c r="N1244" i="8"/>
  <c r="N1245" i="8" s="1"/>
  <c r="O832" i="8"/>
  <c r="O833" i="8" s="1"/>
  <c r="M852" i="8"/>
  <c r="M853" i="8" s="1"/>
  <c r="O781" i="2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O238" i="2" s="1"/>
  <c r="N237" i="2"/>
  <c r="M127" i="8"/>
  <c r="M128" i="8" s="1"/>
  <c r="R353" i="2"/>
  <c r="P757" i="2"/>
  <c r="P1248" i="8" s="1"/>
  <c r="P1249" i="8" s="1"/>
  <c r="L355" i="2"/>
  <c r="L756" i="2"/>
  <c r="O852" i="8"/>
  <c r="O853" i="8" s="1"/>
  <c r="N1240" i="8"/>
  <c r="N1241" i="8" s="1"/>
  <c r="P753" i="2"/>
  <c r="P1232" i="8" s="1"/>
  <c r="P1233" i="8" s="1"/>
  <c r="P349" i="2"/>
  <c r="P824" i="8" s="1"/>
  <c r="P825" i="8" s="1"/>
  <c r="Q352" i="2"/>
  <c r="Q755" i="2"/>
  <c r="L352" i="2"/>
  <c r="L375" i="2" s="1"/>
  <c r="L904" i="8" s="1"/>
  <c r="L905" i="8" s="1"/>
  <c r="Q359" i="2"/>
  <c r="Q856" i="8" s="1"/>
  <c r="Q857" i="8" s="1"/>
  <c r="L757" i="2"/>
  <c r="Q756" i="2"/>
  <c r="M75" i="8"/>
  <c r="M76" i="8" s="1"/>
  <c r="N61" i="2"/>
  <c r="O61" i="2" s="1"/>
  <c r="N59" i="2"/>
  <c r="O59" i="2" s="1"/>
  <c r="S357" i="2"/>
  <c r="R758" i="2"/>
  <c r="AB701" i="2"/>
  <c r="AB1068" i="8" s="1"/>
  <c r="AB1069" i="8" s="1"/>
  <c r="N121" i="2"/>
  <c r="N71" i="8" s="1"/>
  <c r="N72" i="8" s="1"/>
  <c r="F436" i="8"/>
  <c r="P355" i="2"/>
  <c r="P751" i="2"/>
  <c r="P1224" i="8" s="1"/>
  <c r="P1225" i="8" s="1"/>
  <c r="L755" i="2"/>
  <c r="L1240" i="8" s="1"/>
  <c r="L1241" i="8" s="1"/>
  <c r="P1152" i="8"/>
  <c r="P1153" i="8" s="1"/>
  <c r="T701" i="2"/>
  <c r="T1068" i="8" s="1"/>
  <c r="T1069" i="8" s="1"/>
  <c r="Q354" i="2"/>
  <c r="N1228" i="8"/>
  <c r="N1229" i="8" s="1"/>
  <c r="F404" i="8"/>
  <c r="Q775" i="2"/>
  <c r="Q1304" i="8" s="1"/>
  <c r="Q1305" i="8" s="1"/>
  <c r="M1224" i="8"/>
  <c r="M1225" i="8" s="1"/>
  <c r="R675" i="2"/>
  <c r="M67" i="8"/>
  <c r="M68" i="8" s="1"/>
  <c r="L758" i="2"/>
  <c r="L1252" i="8" s="1"/>
  <c r="L1253" i="8" s="1"/>
  <c r="L753" i="2"/>
  <c r="P754" i="2"/>
  <c r="M55" i="8"/>
  <c r="M56" i="8" s="1"/>
  <c r="L754" i="2"/>
  <c r="N234" i="2"/>
  <c r="O234" i="2" s="1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P338" i="2"/>
  <c r="P788" i="8" s="1"/>
  <c r="P789" i="8" s="1"/>
  <c r="P358" i="2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Q729" i="2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Q740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P748" i="2"/>
  <c r="P1220" i="8" s="1"/>
  <c r="P1221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N177" i="2" s="1"/>
  <c r="F420" i="8"/>
  <c r="P737" i="2"/>
  <c r="P1184" i="8" s="1"/>
  <c r="P1185" i="8" s="1"/>
  <c r="P752" i="2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O774" i="2"/>
  <c r="O1300" i="8" s="1"/>
  <c r="O1301" i="8" s="1"/>
  <c r="L1164" i="8"/>
  <c r="L1165" i="8" s="1"/>
  <c r="L1236" i="8"/>
  <c r="L1237" i="8" s="1"/>
  <c r="L1200" i="8"/>
  <c r="L1201" i="8" s="1"/>
  <c r="M775" i="2"/>
  <c r="M1304" i="8" s="1"/>
  <c r="M1305" i="8" s="1"/>
  <c r="O374" i="2"/>
  <c r="O900" i="8" s="1"/>
  <c r="O901" i="8" s="1"/>
  <c r="P808" i="8"/>
  <c r="P809" i="8" s="1"/>
  <c r="O378" i="2"/>
  <c r="O916" i="8" s="1"/>
  <c r="O917" i="8" s="1"/>
  <c r="Q612" i="8"/>
  <c r="Q613" i="8" s="1"/>
  <c r="Q345" i="2"/>
  <c r="R280" i="2"/>
  <c r="Q334" i="2"/>
  <c r="L1212" i="8"/>
  <c r="L1213" i="8" s="1"/>
  <c r="M123" i="8"/>
  <c r="M124" i="8" s="1"/>
  <c r="L1176" i="8"/>
  <c r="L1177" i="8" s="1"/>
  <c r="L1248" i="8"/>
  <c r="L1249" i="8" s="1"/>
  <c r="Q792" i="8"/>
  <c r="Q793" i="8" s="1"/>
  <c r="L1204" i="8"/>
  <c r="L1205" i="8" s="1"/>
  <c r="L1208" i="8"/>
  <c r="L1209" i="8" s="1"/>
  <c r="Q820" i="8"/>
  <c r="Q821" i="8" s="1"/>
  <c r="P1200" i="8"/>
  <c r="P1201" i="8" s="1"/>
  <c r="T616" i="8"/>
  <c r="T617" i="8" s="1"/>
  <c r="T335" i="2"/>
  <c r="U281" i="2"/>
  <c r="T346" i="2"/>
  <c r="R282" i="2"/>
  <c r="Q347" i="2"/>
  <c r="Q336" i="2"/>
  <c r="Q620" i="8"/>
  <c r="Q621" i="8" s="1"/>
  <c r="R760" i="8"/>
  <c r="R761" i="8" s="1"/>
  <c r="M243" i="2"/>
  <c r="O360" i="2"/>
  <c r="R596" i="8"/>
  <c r="R597" i="8" s="1"/>
  <c r="R341" i="2"/>
  <c r="S276" i="2"/>
  <c r="R330" i="2"/>
  <c r="L1168" i="8"/>
  <c r="L1169" i="8" s="1"/>
  <c r="M773" i="2"/>
  <c r="F673" i="8"/>
  <c r="Q784" i="8"/>
  <c r="Q785" i="8" s="1"/>
  <c r="Q1004" i="8"/>
  <c r="Q1005" i="8" s="1"/>
  <c r="R678" i="2"/>
  <c r="Q743" i="2"/>
  <c r="Q732" i="2"/>
  <c r="P376" i="2"/>
  <c r="P908" i="8" s="1"/>
  <c r="P909" i="8" s="1"/>
  <c r="S812" i="8"/>
  <c r="S813" i="8" s="1"/>
  <c r="P780" i="8"/>
  <c r="P781" i="8" s="1"/>
  <c r="S600" i="8"/>
  <c r="S601" i="8" s="1"/>
  <c r="S342" i="2"/>
  <c r="S331" i="2"/>
  <c r="T277" i="2"/>
  <c r="L756" i="8"/>
  <c r="L757" i="8" s="1"/>
  <c r="L338" i="2"/>
  <c r="L788" i="8" s="1"/>
  <c r="L789" i="8" s="1"/>
  <c r="M759" i="2"/>
  <c r="Q756" i="8"/>
  <c r="Q757" i="8" s="1"/>
  <c r="P1192" i="8"/>
  <c r="P1193" i="8" s="1"/>
  <c r="R624" i="8"/>
  <c r="R625" i="8" s="1"/>
  <c r="S283" i="2"/>
  <c r="R337" i="2"/>
  <c r="R348" i="2"/>
  <c r="N374" i="2"/>
  <c r="S776" i="8"/>
  <c r="S777" i="8" s="1"/>
  <c r="S848" i="8"/>
  <c r="S849" i="8" s="1"/>
  <c r="P816" i="8"/>
  <c r="P817" i="8" s="1"/>
  <c r="R796" i="8"/>
  <c r="R797" i="8" s="1"/>
  <c r="P1156" i="8"/>
  <c r="P1157" i="8" s="1"/>
  <c r="Q800" i="8"/>
  <c r="Q801" i="8" s="1"/>
  <c r="Q996" i="8"/>
  <c r="Q997" i="8" s="1"/>
  <c r="R676" i="2"/>
  <c r="Q730" i="2"/>
  <c r="Q741" i="2"/>
  <c r="R604" i="8"/>
  <c r="R605" i="8" s="1"/>
  <c r="S278" i="2"/>
  <c r="R332" i="2"/>
  <c r="R343" i="2"/>
  <c r="L1180" i="8"/>
  <c r="L1181" i="8" s="1"/>
  <c r="P828" i="8"/>
  <c r="P829" i="8" s="1"/>
  <c r="Q1204" i="8"/>
  <c r="Q1205" i="8" s="1"/>
  <c r="S1020" i="8"/>
  <c r="S1021" i="8" s="1"/>
  <c r="T682" i="2"/>
  <c r="S747" i="2"/>
  <c r="S736" i="2"/>
  <c r="Q1016" i="8"/>
  <c r="Q1017" i="8" s="1"/>
  <c r="Q746" i="2"/>
  <c r="R681" i="2"/>
  <c r="Q735" i="2"/>
  <c r="R1180" i="8"/>
  <c r="R1181" i="8" s="1"/>
  <c r="R1252" i="8"/>
  <c r="R1253" i="8" s="1"/>
  <c r="M378" i="2"/>
  <c r="M916" i="8" s="1"/>
  <c r="M917" i="8" s="1"/>
  <c r="Q1188" i="8"/>
  <c r="Q1189" i="8" s="1"/>
  <c r="P1212" i="8"/>
  <c r="P1213" i="8" s="1"/>
  <c r="R1216" i="8"/>
  <c r="R1217" i="8" s="1"/>
  <c r="F396" i="8"/>
  <c r="O773" i="2"/>
  <c r="L1216" i="8"/>
  <c r="L1217" i="8" s="1"/>
  <c r="R992" i="8"/>
  <c r="R993" i="8" s="1"/>
  <c r="S675" i="2"/>
  <c r="R729" i="2"/>
  <c r="R740" i="2"/>
  <c r="F364" i="8"/>
  <c r="P1196" i="8"/>
  <c r="P1197" i="8" s="1"/>
  <c r="O759" i="2"/>
  <c r="O777" i="2"/>
  <c r="O1312" i="8" s="1"/>
  <c r="O1313" i="8" s="1"/>
  <c r="P768" i="8"/>
  <c r="P769" i="8" s="1"/>
  <c r="P840" i="8"/>
  <c r="P841" i="8" s="1"/>
  <c r="M774" i="2"/>
  <c r="M1300" i="8" s="1"/>
  <c r="M1301" i="8" s="1"/>
  <c r="R1008" i="8"/>
  <c r="R1009" i="8" s="1"/>
  <c r="R733" i="2"/>
  <c r="R744" i="2"/>
  <c r="S679" i="2"/>
  <c r="F308" i="8"/>
  <c r="P1160" i="8"/>
  <c r="P1161" i="8" s="1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P804" i="8"/>
  <c r="P805" i="8" s="1"/>
  <c r="F669" i="8"/>
  <c r="Q764" i="8"/>
  <c r="Q765" i="8" s="1"/>
  <c r="Q836" i="8"/>
  <c r="Q837" i="8" s="1"/>
  <c r="Q1168" i="8"/>
  <c r="Q1169" i="8" s="1"/>
  <c r="Q1240" i="8"/>
  <c r="Q1241" i="8" s="1"/>
  <c r="L792" i="8"/>
  <c r="L793" i="8" s="1"/>
  <c r="L349" i="2"/>
  <c r="L824" i="8" s="1"/>
  <c r="L825" i="8" s="1"/>
  <c r="P1176" i="8"/>
  <c r="P1177" i="8" s="1"/>
  <c r="F400" i="8"/>
  <c r="F360" i="8"/>
  <c r="Q1000" i="8"/>
  <c r="Q1001" i="8" s="1"/>
  <c r="Q731" i="2"/>
  <c r="R677" i="2"/>
  <c r="Q742" i="2"/>
  <c r="Q1208" i="8"/>
  <c r="Q1209" i="8" s="1"/>
  <c r="L1196" i="8"/>
  <c r="L1197" i="8" s="1"/>
  <c r="L748" i="2"/>
  <c r="L1220" i="8" s="1"/>
  <c r="L1221" i="8" s="1"/>
  <c r="F677" i="8"/>
  <c r="Q608" i="8"/>
  <c r="Q609" i="8" s="1"/>
  <c r="R279" i="2"/>
  <c r="Q344" i="2"/>
  <c r="Q333" i="2"/>
  <c r="L374" i="2"/>
  <c r="M181" i="2"/>
  <c r="M107" i="8" s="1"/>
  <c r="M108" i="8" s="1"/>
  <c r="N241" i="2"/>
  <c r="L768" i="8"/>
  <c r="L769" i="8" s="1"/>
  <c r="Q1172" i="8"/>
  <c r="Q1173" i="8" s="1"/>
  <c r="Q1244" i="8"/>
  <c r="Q1245" i="8" s="1"/>
  <c r="N773" i="2"/>
  <c r="F312" i="8"/>
  <c r="F432" i="8"/>
  <c r="M828" i="8"/>
  <c r="M829" i="8" s="1"/>
  <c r="M360" i="2"/>
  <c r="R1012" i="8"/>
  <c r="R1013" i="8" s="1"/>
  <c r="S680" i="2"/>
  <c r="R734" i="2"/>
  <c r="R745" i="2"/>
  <c r="N375" i="2"/>
  <c r="N904" i="8" s="1"/>
  <c r="N905" i="8" s="1"/>
  <c r="F300" i="8"/>
  <c r="L1172" i="8"/>
  <c r="L1173" i="8" s="1"/>
  <c r="L1244" i="8"/>
  <c r="L1245" i="8" s="1"/>
  <c r="P1164" i="8"/>
  <c r="P116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F392" i="8"/>
  <c r="M175" i="2"/>
  <c r="O242" i="2"/>
  <c r="N147" i="8"/>
  <c r="N148" i="8" s="1"/>
  <c r="O239" i="2"/>
  <c r="N135" i="8"/>
  <c r="N136" i="8" s="1"/>
  <c r="F344" i="8"/>
  <c r="F372" i="8"/>
  <c r="O57" i="2"/>
  <c r="N19" i="8"/>
  <c r="N20" i="8" s="1"/>
  <c r="M180" i="2"/>
  <c r="O240" i="2"/>
  <c r="N139" i="8"/>
  <c r="N140" i="8" s="1"/>
  <c r="N179" i="2"/>
  <c r="M99" i="8"/>
  <c r="M100" i="8" s="1"/>
  <c r="N178" i="2"/>
  <c r="M95" i="8"/>
  <c r="M96" i="8" s="1"/>
  <c r="O120" i="2"/>
  <c r="N67" i="8"/>
  <c r="N68" i="8" s="1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237" i="2"/>
  <c r="N127" i="8"/>
  <c r="N128" i="8" s="1"/>
  <c r="O122" i="2"/>
  <c r="N75" i="8"/>
  <c r="N76" i="8" s="1"/>
  <c r="O56" i="2"/>
  <c r="N15" i="8"/>
  <c r="N16" i="8" s="1"/>
  <c r="N174" i="2"/>
  <c r="M79" i="8"/>
  <c r="M80" i="8" s="1"/>
  <c r="F356" i="8"/>
  <c r="N131" i="8" l="1"/>
  <c r="N132" i="8" s="1"/>
  <c r="R366" i="2"/>
  <c r="O58" i="2"/>
  <c r="N115" i="8"/>
  <c r="N116" i="8" s="1"/>
  <c r="M23" i="8"/>
  <c r="M24" i="8" s="1"/>
  <c r="P117" i="2"/>
  <c r="O55" i="8"/>
  <c r="O56" i="8" s="1"/>
  <c r="O116" i="2"/>
  <c r="P116" i="2" s="1"/>
  <c r="N27" i="8"/>
  <c r="N28" i="8" s="1"/>
  <c r="R259" i="2"/>
  <c r="O121" i="2"/>
  <c r="M91" i="8"/>
  <c r="M92" i="8" s="1"/>
  <c r="M636" i="2"/>
  <c r="N636" i="2" s="1"/>
  <c r="O636" i="2" s="1"/>
  <c r="M458" i="2"/>
  <c r="N458" i="2" s="1"/>
  <c r="O458" i="2" s="1"/>
  <c r="P458" i="2" s="1"/>
  <c r="L781" i="2"/>
  <c r="L382" i="2"/>
  <c r="M634" i="2"/>
  <c r="N634" i="2" s="1"/>
  <c r="O634" i="2" s="1"/>
  <c r="M633" i="2"/>
  <c r="N633" i="2" s="1"/>
  <c r="O633" i="2" s="1"/>
  <c r="P633" i="2" s="1"/>
  <c r="N35" i="8"/>
  <c r="N36" i="8" s="1"/>
  <c r="R832" i="8"/>
  <c r="R833" i="8" s="1"/>
  <c r="N243" i="2"/>
  <c r="N31" i="8"/>
  <c r="N32" i="8" s="1"/>
  <c r="N123" i="8"/>
  <c r="N124" i="8" s="1"/>
  <c r="R658" i="2"/>
  <c r="R657" i="2"/>
  <c r="R258" i="2"/>
  <c r="M453" i="2"/>
  <c r="P1228" i="8"/>
  <c r="P1229" i="8" s="1"/>
  <c r="P382" i="2"/>
  <c r="O241" i="2"/>
  <c r="O243" i="2" s="1"/>
  <c r="N143" i="8"/>
  <c r="N144" i="8" s="1"/>
  <c r="N59" i="8"/>
  <c r="N60" i="8" s="1"/>
  <c r="N123" i="2"/>
  <c r="P781" i="2"/>
  <c r="P1236" i="8"/>
  <c r="P1237" i="8" s="1"/>
  <c r="R751" i="2"/>
  <c r="Q757" i="2"/>
  <c r="R354" i="2"/>
  <c r="R836" i="8" s="1"/>
  <c r="R837" i="8" s="1"/>
  <c r="Q358" i="2"/>
  <c r="Q852" i="8" s="1"/>
  <c r="Q853" i="8" s="1"/>
  <c r="S353" i="2"/>
  <c r="M580" i="2"/>
  <c r="N580" i="2" s="1"/>
  <c r="L840" i="8"/>
  <c r="L841" i="8" s="1"/>
  <c r="R755" i="2"/>
  <c r="S758" i="2"/>
  <c r="S1252" i="8" s="1"/>
  <c r="S1253" i="8" s="1"/>
  <c r="R352" i="2"/>
  <c r="T357" i="2"/>
  <c r="N455" i="2"/>
  <c r="O455" i="2" s="1"/>
  <c r="Q753" i="2"/>
  <c r="Q1232" i="8" s="1"/>
  <c r="Q1233" i="8" s="1"/>
  <c r="R756" i="2"/>
  <c r="R1244" i="8" s="1"/>
  <c r="R1245" i="8" s="1"/>
  <c r="Q752" i="2"/>
  <c r="Q1228" i="8" s="1"/>
  <c r="Q1229" i="8" s="1"/>
  <c r="R359" i="2"/>
  <c r="R856" i="8" s="1"/>
  <c r="R857" i="8" s="1"/>
  <c r="Q356" i="2"/>
  <c r="Q844" i="8" s="1"/>
  <c r="Q845" i="8" s="1"/>
  <c r="Q355" i="2"/>
  <c r="M860" i="8"/>
  <c r="M861" i="8" s="1"/>
  <c r="Q754" i="2"/>
  <c r="Q1236" i="8" s="1"/>
  <c r="Q1237" i="8" s="1"/>
  <c r="O860" i="8"/>
  <c r="O861" i="8" s="1"/>
  <c r="N860" i="8"/>
  <c r="N861" i="8" s="1"/>
  <c r="O1256" i="8"/>
  <c r="O1257" i="8" s="1"/>
  <c r="M1256" i="8"/>
  <c r="M1257" i="8" s="1"/>
  <c r="N1256" i="8"/>
  <c r="N1257" i="8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P852" i="8"/>
  <c r="P853" i="8" s="1"/>
  <c r="P374" i="2"/>
  <c r="P900" i="8" s="1"/>
  <c r="P901" i="8" s="1"/>
  <c r="L434" i="2"/>
  <c r="M461" i="2" s="1"/>
  <c r="N461" i="2" s="1"/>
  <c r="O461" i="2" s="1"/>
  <c r="P461" i="2" s="1"/>
  <c r="H656" i="2"/>
  <c r="F712" i="2" s="1"/>
  <c r="I656" i="2"/>
  <c r="G712" i="2" s="1"/>
  <c r="R765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Q751" i="2"/>
  <c r="Q1152" i="8"/>
  <c r="Q1153" i="8" s="1"/>
  <c r="H255" i="2"/>
  <c r="F317" i="2" s="1"/>
  <c r="I255" i="2"/>
  <c r="G317" i="2" s="1"/>
  <c r="O379" i="2"/>
  <c r="I654" i="2"/>
  <c r="G716" i="2" s="1"/>
  <c r="H654" i="2"/>
  <c r="F716" i="2" s="1"/>
  <c r="T769" i="2" s="1"/>
  <c r="M640" i="2"/>
  <c r="N640" i="2" s="1"/>
  <c r="F1413" i="8"/>
  <c r="I254" i="2"/>
  <c r="H254" i="2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O459" i="2" s="1"/>
  <c r="H253" i="2"/>
  <c r="I253" i="2"/>
  <c r="N181" i="2"/>
  <c r="N107" i="8" s="1"/>
  <c r="N108" i="8" s="1"/>
  <c r="Q737" i="2"/>
  <c r="Q1184" i="8" s="1"/>
  <c r="Q1185" i="8" s="1"/>
  <c r="Q772" i="8"/>
  <c r="Q773" i="8" s="1"/>
  <c r="L777" i="2"/>
  <c r="L1312" i="8" s="1"/>
  <c r="L1313" i="8" s="1"/>
  <c r="R612" i="8"/>
  <c r="R613" i="8" s="1"/>
  <c r="R345" i="2"/>
  <c r="S280" i="2"/>
  <c r="R334" i="2"/>
  <c r="Q808" i="8"/>
  <c r="Q809" i="8" s="1"/>
  <c r="P759" i="2"/>
  <c r="Q1196" i="8"/>
  <c r="Q1197" i="8" s="1"/>
  <c r="Q1176" i="8"/>
  <c r="Q1177" i="8" s="1"/>
  <c r="S1216" i="8"/>
  <c r="S1217" i="8" s="1"/>
  <c r="R784" i="8"/>
  <c r="R785" i="8" s="1"/>
  <c r="T812" i="8"/>
  <c r="T813" i="8" s="1"/>
  <c r="R820" i="8"/>
  <c r="R821" i="8" s="1"/>
  <c r="R1208" i="8"/>
  <c r="R1209" i="8" s="1"/>
  <c r="R1000" i="8"/>
  <c r="R1001" i="8" s="1"/>
  <c r="R731" i="2"/>
  <c r="S677" i="2"/>
  <c r="R742" i="2"/>
  <c r="P378" i="2"/>
  <c r="P916" i="8" s="1"/>
  <c r="P917" i="8" s="1"/>
  <c r="R1016" i="8"/>
  <c r="R1017" i="8" s="1"/>
  <c r="R746" i="2"/>
  <c r="S681" i="2"/>
  <c r="R735" i="2"/>
  <c r="T1020" i="8"/>
  <c r="T1021" i="8" s="1"/>
  <c r="U682" i="2"/>
  <c r="T747" i="2"/>
  <c r="T736" i="2"/>
  <c r="S624" i="8"/>
  <c r="S625" i="8" s="1"/>
  <c r="T283" i="2"/>
  <c r="T370" i="2" s="1"/>
  <c r="S348" i="2"/>
  <c r="S337" i="2"/>
  <c r="Q1164" i="8"/>
  <c r="Q1165" i="8" s="1"/>
  <c r="R756" i="8"/>
  <c r="R757" i="8" s="1"/>
  <c r="U616" i="8"/>
  <c r="U617" i="8" s="1"/>
  <c r="V281" i="2"/>
  <c r="U335" i="2"/>
  <c r="U346" i="2"/>
  <c r="R1172" i="8"/>
  <c r="R1173" i="8" s="1"/>
  <c r="L828" i="8"/>
  <c r="L829" i="8" s="1"/>
  <c r="L360" i="2"/>
  <c r="Q1200" i="8"/>
  <c r="Q1201" i="8" s="1"/>
  <c r="S596" i="8"/>
  <c r="S597" i="8" s="1"/>
  <c r="S341" i="2"/>
  <c r="T276" i="2"/>
  <c r="S330" i="2"/>
  <c r="T776" i="8"/>
  <c r="T777" i="8" s="1"/>
  <c r="S604" i="8"/>
  <c r="S605" i="8" s="1"/>
  <c r="T278" i="2"/>
  <c r="S332" i="2"/>
  <c r="S343" i="2"/>
  <c r="Q768" i="8"/>
  <c r="Q769" i="8" s="1"/>
  <c r="R1004" i="8"/>
  <c r="R1005" i="8" s="1"/>
  <c r="S678" i="2"/>
  <c r="R743" i="2"/>
  <c r="R732" i="2"/>
  <c r="R792" i="8"/>
  <c r="R793" i="8" s="1"/>
  <c r="P360" i="2"/>
  <c r="P774" i="2"/>
  <c r="P1300" i="8" s="1"/>
  <c r="P1301" i="8" s="1"/>
  <c r="Q804" i="8"/>
  <c r="Q805" i="8" s="1"/>
  <c r="L378" i="2"/>
  <c r="L916" i="8" s="1"/>
  <c r="L917" i="8" s="1"/>
  <c r="R608" i="8"/>
  <c r="R609" i="8" s="1"/>
  <c r="S279" i="2"/>
  <c r="S366" i="2" s="1"/>
  <c r="R344" i="2"/>
  <c r="R333" i="2"/>
  <c r="L1232" i="8"/>
  <c r="L1233" i="8" s="1"/>
  <c r="L759" i="2"/>
  <c r="O1296" i="8"/>
  <c r="O1297" i="8" s="1"/>
  <c r="O778" i="2"/>
  <c r="Q748" i="2"/>
  <c r="Q1220" i="8" s="1"/>
  <c r="Q1221" i="8" s="1"/>
  <c r="Q1192" i="8"/>
  <c r="Q1193" i="8" s="1"/>
  <c r="T600" i="8"/>
  <c r="T601" i="8" s="1"/>
  <c r="U277" i="2"/>
  <c r="T342" i="2"/>
  <c r="T331" i="2"/>
  <c r="Q376" i="2"/>
  <c r="Q908" i="8" s="1"/>
  <c r="Q909" i="8" s="1"/>
  <c r="L900" i="8"/>
  <c r="L901" i="8" s="1"/>
  <c r="S1008" i="8"/>
  <c r="S1009" i="8" s="1"/>
  <c r="S733" i="2"/>
  <c r="S744" i="2"/>
  <c r="T679" i="2"/>
  <c r="R1168" i="8"/>
  <c r="R1169" i="8" s="1"/>
  <c r="R1240" i="8"/>
  <c r="R1241" i="8" s="1"/>
  <c r="R1152" i="8"/>
  <c r="R1153" i="8" s="1"/>
  <c r="Q338" i="2"/>
  <c r="Q788" i="8" s="1"/>
  <c r="Q789" i="8" s="1"/>
  <c r="Q1160" i="8"/>
  <c r="Q1161" i="8" s="1"/>
  <c r="Q1212" i="8"/>
  <c r="Q1213" i="8" s="1"/>
  <c r="R1204" i="8"/>
  <c r="R1205" i="8" s="1"/>
  <c r="L775" i="2"/>
  <c r="L1304" i="8" s="1"/>
  <c r="L1305" i="8" s="1"/>
  <c r="Q828" i="8"/>
  <c r="Q829" i="8" s="1"/>
  <c r="L773" i="2"/>
  <c r="S992" i="8"/>
  <c r="S993" i="8" s="1"/>
  <c r="T675" i="2"/>
  <c r="S729" i="2"/>
  <c r="S740" i="2"/>
  <c r="Q375" i="2"/>
  <c r="Q904" i="8" s="1"/>
  <c r="Q905" i="8" s="1"/>
  <c r="S1180" i="8"/>
  <c r="S1181" i="8" s="1"/>
  <c r="Q1156" i="8"/>
  <c r="Q1157" i="8" s="1"/>
  <c r="S760" i="8"/>
  <c r="S761" i="8" s="1"/>
  <c r="R1188" i="8"/>
  <c r="R1189" i="8" s="1"/>
  <c r="S796" i="8"/>
  <c r="S797" i="8" s="1"/>
  <c r="N1296" i="8"/>
  <c r="N1297" i="8" s="1"/>
  <c r="N778" i="2"/>
  <c r="P777" i="2"/>
  <c r="P1312" i="8" s="1"/>
  <c r="P1313" i="8" s="1"/>
  <c r="R775" i="2"/>
  <c r="R1304" i="8" s="1"/>
  <c r="R1305" i="8" s="1"/>
  <c r="R800" i="8"/>
  <c r="R801" i="8" s="1"/>
  <c r="M1296" i="8"/>
  <c r="M1297" i="8" s="1"/>
  <c r="M778" i="2"/>
  <c r="Q780" i="8"/>
  <c r="Q781" i="8" s="1"/>
  <c r="R620" i="8"/>
  <c r="R621" i="8" s="1"/>
  <c r="S282" i="2"/>
  <c r="R347" i="2"/>
  <c r="R336" i="2"/>
  <c r="S1012" i="8"/>
  <c r="S1013" i="8" s="1"/>
  <c r="T680" i="2"/>
  <c r="S734" i="2"/>
  <c r="S745" i="2"/>
  <c r="R996" i="8"/>
  <c r="R997" i="8" s="1"/>
  <c r="R741" i="2"/>
  <c r="S676" i="2"/>
  <c r="R730" i="2"/>
  <c r="M900" i="8"/>
  <c r="M901" i="8" s="1"/>
  <c r="M379" i="2"/>
  <c r="R764" i="8"/>
  <c r="R765" i="8" s="1"/>
  <c r="N900" i="8"/>
  <c r="N901" i="8" s="1"/>
  <c r="N379" i="2"/>
  <c r="Q816" i="8"/>
  <c r="Q817" i="8" s="1"/>
  <c r="Q349" i="2"/>
  <c r="Q824" i="8" s="1"/>
  <c r="Q825" i="8" s="1"/>
  <c r="P773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174" i="2"/>
  <c r="N79" i="8"/>
  <c r="N80" i="8" s="1"/>
  <c r="P114" i="2"/>
  <c r="O43" i="8"/>
  <c r="O44" i="8" s="1"/>
  <c r="P234" i="2"/>
  <c r="O115" i="8"/>
  <c r="O116" i="8" s="1"/>
  <c r="P115" i="2"/>
  <c r="O47" i="8"/>
  <c r="O48" i="8" s="1"/>
  <c r="P237" i="2"/>
  <c r="O127" i="8"/>
  <c r="O128" i="8" s="1"/>
  <c r="O640" i="2"/>
  <c r="P455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O370" i="2" l="1"/>
  <c r="M370" i="2"/>
  <c r="M399" i="2" s="1"/>
  <c r="M976" i="8" s="1"/>
  <c r="M977" i="8" s="1"/>
  <c r="N370" i="2"/>
  <c r="P370" i="2"/>
  <c r="Q370" i="2"/>
  <c r="L370" i="2"/>
  <c r="R370" i="2"/>
  <c r="R399" i="2" s="1"/>
  <c r="R976" i="8" s="1"/>
  <c r="R977" i="8" s="1"/>
  <c r="Q382" i="2"/>
  <c r="O123" i="2"/>
  <c r="S764" i="2"/>
  <c r="S370" i="2"/>
  <c r="O765" i="2"/>
  <c r="M765" i="2"/>
  <c r="N765" i="2"/>
  <c r="P765" i="2"/>
  <c r="P794" i="2" s="1"/>
  <c r="P1356" i="8" s="1"/>
  <c r="P1357" i="8" s="1"/>
  <c r="L765" i="2"/>
  <c r="Q765" i="2"/>
  <c r="Q794" i="2" s="1"/>
  <c r="Q1356" i="8" s="1"/>
  <c r="Q1357" i="8" s="1"/>
  <c r="S765" i="2"/>
  <c r="U769" i="2"/>
  <c r="O51" i="8"/>
  <c r="O52" i="8" s="1"/>
  <c r="T766" i="2"/>
  <c r="N366" i="2"/>
  <c r="M366" i="2"/>
  <c r="M395" i="2" s="1"/>
  <c r="M960" i="8" s="1"/>
  <c r="M961" i="8" s="1"/>
  <c r="O366" i="2"/>
  <c r="L366" i="2"/>
  <c r="P366" i="2"/>
  <c r="P395" i="2" s="1"/>
  <c r="P960" i="8" s="1"/>
  <c r="P961" i="8" s="1"/>
  <c r="Q366" i="2"/>
  <c r="Q769" i="2"/>
  <c r="Q798" i="2" s="1"/>
  <c r="Q1372" i="8" s="1"/>
  <c r="Q1373" i="8" s="1"/>
  <c r="P769" i="2"/>
  <c r="N769" i="2"/>
  <c r="O769" i="2"/>
  <c r="M769" i="2"/>
  <c r="M798" i="2" s="1"/>
  <c r="M1372" i="8" s="1"/>
  <c r="M1373" i="8" s="1"/>
  <c r="L769" i="2"/>
  <c r="L798" i="2" s="1"/>
  <c r="L1372" i="8" s="1"/>
  <c r="L1373" i="8" s="1"/>
  <c r="R769" i="2"/>
  <c r="R798" i="2" s="1"/>
  <c r="R1372" i="8" s="1"/>
  <c r="R1373" i="8" s="1"/>
  <c r="S769" i="2"/>
  <c r="S798" i="2" s="1"/>
  <c r="S1372" i="8" s="1"/>
  <c r="S1373" i="8" s="1"/>
  <c r="Q840" i="8"/>
  <c r="Q841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N395" i="2"/>
  <c r="N960" i="8" s="1"/>
  <c r="N961" i="8" s="1"/>
  <c r="AB313" i="2"/>
  <c r="N313" i="2"/>
  <c r="V313" i="2"/>
  <c r="M313" i="2"/>
  <c r="AD313" i="2"/>
  <c r="Y313" i="2"/>
  <c r="AE313" i="2"/>
  <c r="O395" i="2"/>
  <c r="O960" i="8" s="1"/>
  <c r="O961" i="8" s="1"/>
  <c r="L395" i="2"/>
  <c r="L960" i="8" s="1"/>
  <c r="L961" i="8" s="1"/>
  <c r="Q395" i="2"/>
  <c r="S259" i="2"/>
  <c r="S1288" i="8"/>
  <c r="S1289" i="8" s="1"/>
  <c r="R716" i="2"/>
  <c r="T716" i="2"/>
  <c r="W716" i="2"/>
  <c r="AE716" i="2"/>
  <c r="S716" i="2"/>
  <c r="Q716" i="2"/>
  <c r="N798" i="2"/>
  <c r="N1372" i="8" s="1"/>
  <c r="N1373" i="8" s="1"/>
  <c r="AD716" i="2"/>
  <c r="AC716" i="2"/>
  <c r="Z716" i="2"/>
  <c r="AA716" i="2"/>
  <c r="M716" i="2"/>
  <c r="V716" i="2"/>
  <c r="Y716" i="2"/>
  <c r="N716" i="2"/>
  <c r="O798" i="2"/>
  <c r="O1372" i="8" s="1"/>
  <c r="O1373" i="8" s="1"/>
  <c r="P798" i="2"/>
  <c r="P1372" i="8" s="1"/>
  <c r="P1373" i="8" s="1"/>
  <c r="X716" i="2"/>
  <c r="P716" i="2"/>
  <c r="U716" i="2"/>
  <c r="L716" i="2"/>
  <c r="O716" i="2"/>
  <c r="AB716" i="2"/>
  <c r="O259" i="8"/>
  <c r="O260" i="8" s="1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O399" i="2"/>
  <c r="O976" i="8" s="1"/>
  <c r="O977" i="8" s="1"/>
  <c r="V317" i="2"/>
  <c r="O317" i="2"/>
  <c r="AD317" i="2"/>
  <c r="P399" i="2"/>
  <c r="P976" i="8" s="1"/>
  <c r="P977" i="8" s="1"/>
  <c r="L399" i="2"/>
  <c r="L976" i="8" s="1"/>
  <c r="L977" i="8" s="1"/>
  <c r="N399" i="2"/>
  <c r="N976" i="8" s="1"/>
  <c r="N977" i="8" s="1"/>
  <c r="Q399" i="2"/>
  <c r="T712" i="2"/>
  <c r="AE712" i="2"/>
  <c r="W712" i="2"/>
  <c r="S712" i="2"/>
  <c r="Q712" i="2"/>
  <c r="AB712" i="2"/>
  <c r="R712" i="2"/>
  <c r="Z712" i="2"/>
  <c r="AA712" i="2"/>
  <c r="M712" i="2"/>
  <c r="Y712" i="2"/>
  <c r="P712" i="2"/>
  <c r="L712" i="2"/>
  <c r="V712" i="2"/>
  <c r="X712" i="2"/>
  <c r="O712" i="2"/>
  <c r="N794" i="2"/>
  <c r="U712" i="2"/>
  <c r="AD712" i="2"/>
  <c r="N712" i="2"/>
  <c r="AC712" i="2"/>
  <c r="O794" i="2"/>
  <c r="M794" i="2"/>
  <c r="M1356" i="8" s="1"/>
  <c r="M1357" i="8" s="1"/>
  <c r="L794" i="2"/>
  <c r="S658" i="2"/>
  <c r="S657" i="2"/>
  <c r="S258" i="2"/>
  <c r="R892" i="8"/>
  <c r="R893" i="8" s="1"/>
  <c r="Q1224" i="8"/>
  <c r="Q1225" i="8" s="1"/>
  <c r="Q781" i="2"/>
  <c r="O181" i="2"/>
  <c r="P181" i="2" s="1"/>
  <c r="D1381" i="8"/>
  <c r="Q1272" i="8"/>
  <c r="Q1273" i="8" s="1"/>
  <c r="L860" i="8"/>
  <c r="L861" i="8" s="1"/>
  <c r="S756" i="2"/>
  <c r="S1244" i="8" s="1"/>
  <c r="S1245" i="8" s="1"/>
  <c r="T758" i="2"/>
  <c r="T1252" i="8" s="1"/>
  <c r="T1253" i="8" s="1"/>
  <c r="S354" i="2"/>
  <c r="P1256" i="8"/>
  <c r="P1257" i="8" s="1"/>
  <c r="T848" i="8"/>
  <c r="T849" i="8" s="1"/>
  <c r="U357" i="2"/>
  <c r="U848" i="8" s="1"/>
  <c r="U849" i="8" s="1"/>
  <c r="R757" i="2"/>
  <c r="R1248" i="8" s="1"/>
  <c r="R1249" i="8" s="1"/>
  <c r="O1316" i="8"/>
  <c r="O1317" i="8" s="1"/>
  <c r="P860" i="8"/>
  <c r="P861" i="8" s="1"/>
  <c r="S352" i="2"/>
  <c r="F1085" i="8"/>
  <c r="R356" i="2"/>
  <c r="M920" i="8"/>
  <c r="M921" i="8" s="1"/>
  <c r="T353" i="2"/>
  <c r="N1316" i="8"/>
  <c r="N1317" i="8" s="1"/>
  <c r="S751" i="2"/>
  <c r="R358" i="2"/>
  <c r="R754" i="2"/>
  <c r="R794" i="2" s="1"/>
  <c r="M1316" i="8"/>
  <c r="M1317" i="8" s="1"/>
  <c r="Q960" i="8"/>
  <c r="Q961" i="8" s="1"/>
  <c r="S359" i="2"/>
  <c r="S399" i="2" s="1"/>
  <c r="N920" i="8"/>
  <c r="N921" i="8" s="1"/>
  <c r="S832" i="8"/>
  <c r="S833" i="8" s="1"/>
  <c r="N251" i="8"/>
  <c r="N252" i="8" s="1"/>
  <c r="L1256" i="8"/>
  <c r="L1257" i="8" s="1"/>
  <c r="S755" i="2"/>
  <c r="S1240" i="8" s="1"/>
  <c r="S1241" i="8" s="1"/>
  <c r="R748" i="2"/>
  <c r="R1220" i="8" s="1"/>
  <c r="R1221" i="8" s="1"/>
  <c r="R355" i="2"/>
  <c r="R753" i="2"/>
  <c r="R1232" i="8" s="1"/>
  <c r="R1233" i="8" s="1"/>
  <c r="O920" i="8"/>
  <c r="O921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Q517" i="2" s="1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P235" i="8" s="1"/>
  <c r="P236" i="8" s="1"/>
  <c r="O191" i="8"/>
  <c r="O192" i="8" s="1"/>
  <c r="P514" i="2"/>
  <c r="Q514" i="2" s="1"/>
  <c r="N638" i="2"/>
  <c r="N279" i="8" s="1"/>
  <c r="N280" i="8" s="1"/>
  <c r="M642" i="2"/>
  <c r="F311" i="2"/>
  <c r="U364" i="2" s="1"/>
  <c r="F312" i="2"/>
  <c r="F310" i="2"/>
  <c r="F1069" i="8"/>
  <c r="G312" i="2"/>
  <c r="G311" i="2"/>
  <c r="G310" i="2"/>
  <c r="R737" i="2"/>
  <c r="R1184" i="8" s="1"/>
  <c r="R1185" i="8" s="1"/>
  <c r="R752" i="2"/>
  <c r="F1073" i="8"/>
  <c r="F1057" i="8"/>
  <c r="M522" i="2"/>
  <c r="N513" i="2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S367" i="2" s="1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Q976" i="8"/>
  <c r="Q977" i="8" s="1"/>
  <c r="O1356" i="8"/>
  <c r="O1357" i="8" s="1"/>
  <c r="F710" i="2"/>
  <c r="S763" i="2" s="1"/>
  <c r="F711" i="2"/>
  <c r="F709" i="2"/>
  <c r="N1356" i="8"/>
  <c r="N1357" i="8" s="1"/>
  <c r="L1356" i="8"/>
  <c r="L1357" i="8" s="1"/>
  <c r="Q378" i="2"/>
  <c r="Q916" i="8" s="1"/>
  <c r="Q917" i="8" s="1"/>
  <c r="Q774" i="2"/>
  <c r="Q1300" i="8" s="1"/>
  <c r="Q1301" i="8" s="1"/>
  <c r="R349" i="2"/>
  <c r="R824" i="8" s="1"/>
  <c r="R825" i="8" s="1"/>
  <c r="R772" i="8"/>
  <c r="R773" i="8" s="1"/>
  <c r="R844" i="8"/>
  <c r="R845" i="8" s="1"/>
  <c r="Q374" i="2"/>
  <c r="Q900" i="8" s="1"/>
  <c r="Q901" i="8" s="1"/>
  <c r="S775" i="2"/>
  <c r="S1304" i="8" s="1"/>
  <c r="S1305" i="8" s="1"/>
  <c r="T280" i="2"/>
  <c r="S334" i="2"/>
  <c r="S345" i="2"/>
  <c r="S612" i="8"/>
  <c r="S613" i="8" s="1"/>
  <c r="Q389" i="2"/>
  <c r="Q940" i="8" s="1"/>
  <c r="Q941" i="8" s="1"/>
  <c r="R808" i="8"/>
  <c r="R809" i="8" s="1"/>
  <c r="S1152" i="8"/>
  <c r="S1153" i="8" s="1"/>
  <c r="S1016" i="8"/>
  <c r="S1017" i="8" s="1"/>
  <c r="S735" i="2"/>
  <c r="T681" i="2"/>
  <c r="S746" i="2"/>
  <c r="R387" i="2"/>
  <c r="R932" i="8" s="1"/>
  <c r="R933" i="8" s="1"/>
  <c r="T760" i="8"/>
  <c r="T761" i="8" s="1"/>
  <c r="T832" i="8"/>
  <c r="T833" i="8" s="1"/>
  <c r="R1212" i="8"/>
  <c r="R1213" i="8" s="1"/>
  <c r="R376" i="2"/>
  <c r="R908" i="8" s="1"/>
  <c r="R909" i="8" s="1"/>
  <c r="T992" i="8"/>
  <c r="T993" i="8" s="1"/>
  <c r="U675" i="2"/>
  <c r="T740" i="2"/>
  <c r="T729" i="2"/>
  <c r="Q759" i="2"/>
  <c r="U600" i="8"/>
  <c r="U601" i="8" s="1"/>
  <c r="V277" i="2"/>
  <c r="U342" i="2"/>
  <c r="U331" i="2"/>
  <c r="R804" i="8"/>
  <c r="R805" i="8" s="1"/>
  <c r="R876" i="8"/>
  <c r="R877" i="8" s="1"/>
  <c r="R1164" i="8"/>
  <c r="R1165" i="8" s="1"/>
  <c r="R1236" i="8"/>
  <c r="R1237" i="8" s="1"/>
  <c r="S756" i="8"/>
  <c r="S757" i="8" s="1"/>
  <c r="S820" i="8"/>
  <c r="S821" i="8" s="1"/>
  <c r="S892" i="8"/>
  <c r="S893" i="8" s="1"/>
  <c r="R1176" i="8"/>
  <c r="R1177" i="8" s="1"/>
  <c r="R1224" i="8"/>
  <c r="R1225" i="8" s="1"/>
  <c r="T796" i="8"/>
  <c r="T797" i="8" s="1"/>
  <c r="R768" i="8"/>
  <c r="R769" i="8" s="1"/>
  <c r="R840" i="8"/>
  <c r="R841" i="8" s="1"/>
  <c r="S784" i="8"/>
  <c r="S785" i="8" s="1"/>
  <c r="R780" i="8"/>
  <c r="R781" i="8" s="1"/>
  <c r="R852" i="8"/>
  <c r="R853" i="8" s="1"/>
  <c r="S608" i="8"/>
  <c r="S609" i="8" s="1"/>
  <c r="S333" i="2"/>
  <c r="S344" i="2"/>
  <c r="T279" i="2"/>
  <c r="T366" i="2" s="1"/>
  <c r="R1200" i="8"/>
  <c r="R1201" i="8" s="1"/>
  <c r="R1272" i="8"/>
  <c r="R1273" i="8" s="1"/>
  <c r="T596" i="8"/>
  <c r="T597" i="8" s="1"/>
  <c r="T341" i="2"/>
  <c r="U276" i="2"/>
  <c r="U363" i="2" s="1"/>
  <c r="T330" i="2"/>
  <c r="U812" i="8"/>
  <c r="U813" i="8" s="1"/>
  <c r="T624" i="8"/>
  <c r="T625" i="8" s="1"/>
  <c r="T348" i="2"/>
  <c r="T337" i="2"/>
  <c r="U283" i="2"/>
  <c r="U370" i="2" s="1"/>
  <c r="S1168" i="8"/>
  <c r="S1169" i="8" s="1"/>
  <c r="L1296" i="8"/>
  <c r="L1297" i="8" s="1"/>
  <c r="L778" i="2"/>
  <c r="S1004" i="8"/>
  <c r="S1005" i="8" s="1"/>
  <c r="S743" i="2"/>
  <c r="T678" i="2"/>
  <c r="T765" i="2" s="1"/>
  <c r="S732" i="2"/>
  <c r="S800" i="8"/>
  <c r="S801" i="8" s="1"/>
  <c r="S792" i="8"/>
  <c r="S793" i="8" s="1"/>
  <c r="U776" i="8"/>
  <c r="U777" i="8" s="1"/>
  <c r="S620" i="8"/>
  <c r="S621" i="8" s="1"/>
  <c r="T282" i="2"/>
  <c r="S347" i="2"/>
  <c r="S336" i="2"/>
  <c r="S764" i="8"/>
  <c r="S765" i="8" s="1"/>
  <c r="S836" i="8"/>
  <c r="S837" i="8" s="1"/>
  <c r="V616" i="8"/>
  <c r="V617" i="8" s="1"/>
  <c r="W281" i="2"/>
  <c r="V335" i="2"/>
  <c r="V346" i="2"/>
  <c r="S786" i="2"/>
  <c r="S1328" i="8" s="1"/>
  <c r="S1329" i="8" s="1"/>
  <c r="N183" i="2"/>
  <c r="P379" i="2"/>
  <c r="T604" i="8"/>
  <c r="T605" i="8" s="1"/>
  <c r="U278" i="2"/>
  <c r="U365" i="2" s="1"/>
  <c r="T332" i="2"/>
  <c r="T343" i="2"/>
  <c r="T1180" i="8"/>
  <c r="T1181" i="8" s="1"/>
  <c r="R1196" i="8"/>
  <c r="R1197" i="8" s="1"/>
  <c r="P1296" i="8"/>
  <c r="P1297" i="8" s="1"/>
  <c r="P778" i="2"/>
  <c r="Q788" i="2"/>
  <c r="Q1336" i="8" s="1"/>
  <c r="Q1337" i="8" s="1"/>
  <c r="R338" i="2"/>
  <c r="R788" i="8" s="1"/>
  <c r="R789" i="8" s="1"/>
  <c r="T1216" i="8"/>
  <c r="T1217" i="8" s="1"/>
  <c r="T1288" i="8"/>
  <c r="T1289" i="8" s="1"/>
  <c r="S1000" i="8"/>
  <c r="S1001" i="8" s="1"/>
  <c r="S731" i="2"/>
  <c r="S742" i="2"/>
  <c r="T677" i="2"/>
  <c r="R816" i="8"/>
  <c r="R817" i="8" s="1"/>
  <c r="S1208" i="8"/>
  <c r="S1209" i="8" s="1"/>
  <c r="Q360" i="2"/>
  <c r="R828" i="8"/>
  <c r="R829" i="8" s="1"/>
  <c r="U1020" i="8"/>
  <c r="U1021" i="8" s="1"/>
  <c r="V682" i="2"/>
  <c r="V769" i="2" s="1"/>
  <c r="U747" i="2"/>
  <c r="U736" i="2"/>
  <c r="R1160" i="8"/>
  <c r="R1161" i="8" s="1"/>
  <c r="R1192" i="8"/>
  <c r="R1193" i="8" s="1"/>
  <c r="R1156" i="8"/>
  <c r="R1157" i="8" s="1"/>
  <c r="S1172" i="8"/>
  <c r="S1173" i="8" s="1"/>
  <c r="R375" i="2"/>
  <c r="R904" i="8" s="1"/>
  <c r="R905" i="8" s="1"/>
  <c r="Q1248" i="8"/>
  <c r="Q1249" i="8" s="1"/>
  <c r="Q773" i="2"/>
  <c r="S996" i="8"/>
  <c r="S997" i="8" s="1"/>
  <c r="S741" i="2"/>
  <c r="T676" i="2"/>
  <c r="S730" i="2"/>
  <c r="T1012" i="8"/>
  <c r="T1013" i="8" s="1"/>
  <c r="U680" i="2"/>
  <c r="T745" i="2"/>
  <c r="T734" i="2"/>
  <c r="T1008" i="8"/>
  <c r="T1009" i="8" s="1"/>
  <c r="T733" i="2"/>
  <c r="T744" i="2"/>
  <c r="U679" i="2"/>
  <c r="U766" i="2" s="1"/>
  <c r="S1188" i="8"/>
  <c r="S1189" i="8" s="1"/>
  <c r="S1204" i="8"/>
  <c r="S1205" i="8" s="1"/>
  <c r="Q777" i="2"/>
  <c r="Q1312" i="8" s="1"/>
  <c r="Q1313" i="8" s="1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576" i="2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N369" i="2" l="1"/>
  <c r="O369" i="2"/>
  <c r="L369" i="2"/>
  <c r="M369" i="2"/>
  <c r="P369" i="2"/>
  <c r="Q369" i="2"/>
  <c r="R369" i="2"/>
  <c r="R284" i="2"/>
  <c r="V364" i="2"/>
  <c r="M363" i="2"/>
  <c r="P363" i="2"/>
  <c r="N363" i="2"/>
  <c r="O363" i="2"/>
  <c r="L363" i="2"/>
  <c r="Q363" i="2"/>
  <c r="R363" i="2"/>
  <c r="S363" i="2"/>
  <c r="S369" i="2"/>
  <c r="N365" i="2"/>
  <c r="M365" i="2"/>
  <c r="L365" i="2"/>
  <c r="P365" i="2"/>
  <c r="O365" i="2"/>
  <c r="Q365" i="2"/>
  <c r="R365" i="2"/>
  <c r="S365" i="2"/>
  <c r="S872" i="8" s="1"/>
  <c r="S873" i="8" s="1"/>
  <c r="T363" i="2"/>
  <c r="N368" i="2"/>
  <c r="N397" i="2" s="1"/>
  <c r="Q368" i="2"/>
  <c r="O368" i="2"/>
  <c r="P368" i="2"/>
  <c r="M368" i="2"/>
  <c r="L368" i="2"/>
  <c r="R368" i="2"/>
  <c r="S368" i="2"/>
  <c r="T368" i="2"/>
  <c r="U368" i="2"/>
  <c r="Q456" i="2"/>
  <c r="R456" i="2" s="1"/>
  <c r="U767" i="2"/>
  <c r="W368" i="2"/>
  <c r="U762" i="2"/>
  <c r="N764" i="2"/>
  <c r="N793" i="2" s="1"/>
  <c r="M764" i="2"/>
  <c r="O764" i="2"/>
  <c r="L764" i="2"/>
  <c r="P764" i="2"/>
  <c r="Q764" i="2"/>
  <c r="R764" i="2"/>
  <c r="O763" i="2"/>
  <c r="N763" i="2"/>
  <c r="M763" i="2"/>
  <c r="L763" i="2"/>
  <c r="P763" i="2"/>
  <c r="P792" i="2" s="1"/>
  <c r="Q763" i="2"/>
  <c r="Q792" i="2" s="1"/>
  <c r="R763" i="2"/>
  <c r="V368" i="2"/>
  <c r="T763" i="2"/>
  <c r="T367" i="2"/>
  <c r="M766" i="2"/>
  <c r="P766" i="2"/>
  <c r="O766" i="2"/>
  <c r="N766" i="2"/>
  <c r="L766" i="2"/>
  <c r="Q766" i="2"/>
  <c r="R766" i="2"/>
  <c r="S766" i="2"/>
  <c r="S796" i="2"/>
  <c r="O767" i="2"/>
  <c r="O796" i="2" s="1"/>
  <c r="N767" i="2"/>
  <c r="M767" i="2"/>
  <c r="M796" i="2" s="1"/>
  <c r="P767" i="2"/>
  <c r="L767" i="2"/>
  <c r="Q767" i="2"/>
  <c r="R767" i="2"/>
  <c r="S767" i="2"/>
  <c r="T365" i="2"/>
  <c r="T369" i="2"/>
  <c r="T767" i="2"/>
  <c r="O768" i="2"/>
  <c r="N768" i="2"/>
  <c r="N797" i="2" s="1"/>
  <c r="M768" i="2"/>
  <c r="M797" i="2" s="1"/>
  <c r="P768" i="2"/>
  <c r="L768" i="2"/>
  <c r="Q768" i="2"/>
  <c r="Q797" i="2" s="1"/>
  <c r="R768" i="2"/>
  <c r="T764" i="2"/>
  <c r="S768" i="2"/>
  <c r="N364" i="2"/>
  <c r="O364" i="2"/>
  <c r="P364" i="2"/>
  <c r="Q364" i="2"/>
  <c r="M364" i="2"/>
  <c r="L364" i="2"/>
  <c r="R364" i="2"/>
  <c r="R393" i="2" s="1"/>
  <c r="S364" i="2"/>
  <c r="S393" i="2" s="1"/>
  <c r="T364" i="2"/>
  <c r="T393" i="2" s="1"/>
  <c r="R396" i="2"/>
  <c r="N367" i="2"/>
  <c r="O367" i="2"/>
  <c r="M367" i="2"/>
  <c r="P367" i="2"/>
  <c r="L367" i="2"/>
  <c r="Q367" i="2"/>
  <c r="R367" i="2"/>
  <c r="N762" i="2"/>
  <c r="O762" i="2"/>
  <c r="L762" i="2"/>
  <c r="M762" i="2"/>
  <c r="P762" i="2"/>
  <c r="Q762" i="2"/>
  <c r="R762" i="2"/>
  <c r="S762" i="2"/>
  <c r="S696" i="2"/>
  <c r="T768" i="2"/>
  <c r="R382" i="2"/>
  <c r="T762" i="2"/>
  <c r="T1276" i="8"/>
  <c r="T1277" i="8" s="1"/>
  <c r="R660" i="2"/>
  <c r="T659" i="2"/>
  <c r="N696" i="2"/>
  <c r="N683" i="2"/>
  <c r="O683" i="2"/>
  <c r="M683" i="2"/>
  <c r="M696" i="2"/>
  <c r="O696" i="2"/>
  <c r="P683" i="2"/>
  <c r="P696" i="2"/>
  <c r="L696" i="2"/>
  <c r="L683" i="2"/>
  <c r="R696" i="2"/>
  <c r="Q696" i="2"/>
  <c r="Q683" i="2"/>
  <c r="R683" i="2"/>
  <c r="S284" i="2"/>
  <c r="R793" i="2"/>
  <c r="R398" i="2"/>
  <c r="R972" i="8" s="1"/>
  <c r="R973" i="8" s="1"/>
  <c r="S297" i="2"/>
  <c r="T260" i="2"/>
  <c r="N284" i="2"/>
  <c r="N297" i="2"/>
  <c r="M297" i="2"/>
  <c r="O297" i="2"/>
  <c r="O284" i="2"/>
  <c r="M284" i="2"/>
  <c r="P297" i="2"/>
  <c r="L297" i="2"/>
  <c r="L284" i="2"/>
  <c r="P284" i="2"/>
  <c r="Q297" i="2"/>
  <c r="Q284" i="2"/>
  <c r="R792" i="2"/>
  <c r="R1348" i="8" s="1"/>
  <c r="R1349" i="8" s="1"/>
  <c r="S394" i="2"/>
  <c r="R374" i="2"/>
  <c r="R900" i="8" s="1"/>
  <c r="R901" i="8" s="1"/>
  <c r="R297" i="2"/>
  <c r="R797" i="2"/>
  <c r="Q876" i="8"/>
  <c r="Q877" i="8" s="1"/>
  <c r="S683" i="2"/>
  <c r="P203" i="8"/>
  <c r="P204" i="8" s="1"/>
  <c r="S856" i="8"/>
  <c r="S857" i="8" s="1"/>
  <c r="L315" i="2"/>
  <c r="U315" i="2"/>
  <c r="X315" i="2"/>
  <c r="R315" i="2"/>
  <c r="T315" i="2"/>
  <c r="S315" i="2"/>
  <c r="AC315" i="2"/>
  <c r="Y315" i="2"/>
  <c r="O397" i="2"/>
  <c r="M397" i="2"/>
  <c r="O315" i="2"/>
  <c r="V315" i="2"/>
  <c r="AA315" i="2"/>
  <c r="AD315" i="2"/>
  <c r="AE315" i="2"/>
  <c r="Q397" i="2"/>
  <c r="M315" i="2"/>
  <c r="Q315" i="2"/>
  <c r="W315" i="2"/>
  <c r="P315" i="2"/>
  <c r="P397" i="2"/>
  <c r="Z315" i="2"/>
  <c r="AB315" i="2"/>
  <c r="N315" i="2"/>
  <c r="R397" i="2"/>
  <c r="L397" i="2"/>
  <c r="S397" i="2"/>
  <c r="T397" i="2"/>
  <c r="L310" i="2"/>
  <c r="X310" i="2"/>
  <c r="T310" i="2"/>
  <c r="U310" i="2"/>
  <c r="R310" i="2"/>
  <c r="AC310" i="2"/>
  <c r="S310" i="2"/>
  <c r="P261" i="2"/>
  <c r="AB310" i="2"/>
  <c r="N310" i="2"/>
  <c r="P260" i="2"/>
  <c r="O310" i="2"/>
  <c r="M310" i="2"/>
  <c r="N261" i="2"/>
  <c r="L260" i="2"/>
  <c r="O261" i="2"/>
  <c r="V310" i="2"/>
  <c r="M261" i="2"/>
  <c r="N260" i="2"/>
  <c r="AD310" i="2"/>
  <c r="Z310" i="2"/>
  <c r="R261" i="2"/>
  <c r="O260" i="2"/>
  <c r="AE310" i="2"/>
  <c r="M260" i="2"/>
  <c r="Y310" i="2"/>
  <c r="Q310" i="2"/>
  <c r="Q260" i="2"/>
  <c r="Q261" i="2"/>
  <c r="AA310" i="2"/>
  <c r="W310" i="2"/>
  <c r="P310" i="2"/>
  <c r="L261" i="2"/>
  <c r="R260" i="2"/>
  <c r="S260" i="2"/>
  <c r="S261" i="2"/>
  <c r="L311" i="2"/>
  <c r="S311" i="2"/>
  <c r="X311" i="2"/>
  <c r="R311" i="2"/>
  <c r="AC311" i="2"/>
  <c r="T311" i="2"/>
  <c r="U311" i="2"/>
  <c r="L393" i="2"/>
  <c r="O393" i="2"/>
  <c r="AA311" i="2"/>
  <c r="V311" i="2"/>
  <c r="M393" i="2"/>
  <c r="AD311" i="2"/>
  <c r="AE311" i="2"/>
  <c r="W311" i="2"/>
  <c r="N393" i="2"/>
  <c r="O311" i="2"/>
  <c r="Q311" i="2"/>
  <c r="Y311" i="2"/>
  <c r="P311" i="2"/>
  <c r="M311" i="2"/>
  <c r="Z311" i="2"/>
  <c r="AB311" i="2"/>
  <c r="N311" i="2"/>
  <c r="P393" i="2"/>
  <c r="Q393" i="2"/>
  <c r="R395" i="2"/>
  <c r="R960" i="8" s="1"/>
  <c r="R961" i="8" s="1"/>
  <c r="AB710" i="2"/>
  <c r="Q710" i="2"/>
  <c r="R710" i="2"/>
  <c r="S710" i="2"/>
  <c r="T710" i="2"/>
  <c r="AE710" i="2"/>
  <c r="W710" i="2"/>
  <c r="X710" i="2"/>
  <c r="O710" i="2"/>
  <c r="U710" i="2"/>
  <c r="L710" i="2"/>
  <c r="N792" i="2"/>
  <c r="AC710" i="2"/>
  <c r="Z710" i="2"/>
  <c r="P710" i="2"/>
  <c r="AD710" i="2"/>
  <c r="AA710" i="2"/>
  <c r="M710" i="2"/>
  <c r="N710" i="2"/>
  <c r="Y710" i="2"/>
  <c r="V710" i="2"/>
  <c r="L792" i="2"/>
  <c r="O792" i="2"/>
  <c r="M792" i="2"/>
  <c r="R314" i="2"/>
  <c r="AC314" i="2"/>
  <c r="U314" i="2"/>
  <c r="S314" i="2"/>
  <c r="L314" i="2"/>
  <c r="X314" i="2"/>
  <c r="T314" i="2"/>
  <c r="AA314" i="2"/>
  <c r="P314" i="2"/>
  <c r="N396" i="2"/>
  <c r="N964" i="8" s="1"/>
  <c r="N965" i="8" s="1"/>
  <c r="Z314" i="2"/>
  <c r="O396" i="2"/>
  <c r="O964" i="8" s="1"/>
  <c r="O965" i="8" s="1"/>
  <c r="M396" i="2"/>
  <c r="M964" i="8" s="1"/>
  <c r="M965" i="8" s="1"/>
  <c r="AB314" i="2"/>
  <c r="N314" i="2"/>
  <c r="O314" i="2"/>
  <c r="M314" i="2"/>
  <c r="AD314" i="2"/>
  <c r="V314" i="2"/>
  <c r="Y314" i="2"/>
  <c r="AE314" i="2"/>
  <c r="Q314" i="2"/>
  <c r="W314" i="2"/>
  <c r="P396" i="2"/>
  <c r="P964" i="8" s="1"/>
  <c r="P965" i="8" s="1"/>
  <c r="L396" i="2"/>
  <c r="L964" i="8" s="1"/>
  <c r="L965" i="8" s="1"/>
  <c r="Q396" i="2"/>
  <c r="Q964" i="8" s="1"/>
  <c r="Q965" i="8" s="1"/>
  <c r="T261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N394" i="2"/>
  <c r="AB312" i="2"/>
  <c r="N312" i="2"/>
  <c r="U312" i="2"/>
  <c r="O394" i="2"/>
  <c r="V312" i="2"/>
  <c r="O312" i="2"/>
  <c r="M312" i="2"/>
  <c r="P394" i="2"/>
  <c r="M394" i="2"/>
  <c r="L394" i="2"/>
  <c r="Q394" i="2"/>
  <c r="R394" i="2"/>
  <c r="T798" i="2"/>
  <c r="T1372" i="8" s="1"/>
  <c r="T1373" i="8" s="1"/>
  <c r="S864" i="8"/>
  <c r="S865" i="8" s="1"/>
  <c r="W713" i="2"/>
  <c r="AE713" i="2"/>
  <c r="R713" i="2"/>
  <c r="Q713" i="2"/>
  <c r="S713" i="2"/>
  <c r="AB713" i="2"/>
  <c r="T713" i="2"/>
  <c r="AA713" i="2"/>
  <c r="M713" i="2"/>
  <c r="V713" i="2"/>
  <c r="O795" i="2"/>
  <c r="O1360" i="8" s="1"/>
  <c r="O1361" i="8" s="1"/>
  <c r="P713" i="2"/>
  <c r="L713" i="2"/>
  <c r="X713" i="2"/>
  <c r="O713" i="2"/>
  <c r="N713" i="2"/>
  <c r="U713" i="2"/>
  <c r="AC713" i="2"/>
  <c r="Y713" i="2"/>
  <c r="AD713" i="2"/>
  <c r="Z713" i="2"/>
  <c r="M795" i="2"/>
  <c r="N795" i="2"/>
  <c r="N1360" i="8" s="1"/>
  <c r="N1361" i="8" s="1"/>
  <c r="P795" i="2"/>
  <c r="Q795" i="2"/>
  <c r="Q1360" i="8" s="1"/>
  <c r="Q1361" i="8" s="1"/>
  <c r="L795" i="2"/>
  <c r="R795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N796" i="2"/>
  <c r="U714" i="2"/>
  <c r="AC714" i="2"/>
  <c r="AD714" i="2"/>
  <c r="V714" i="2"/>
  <c r="N714" i="2"/>
  <c r="AA714" i="2"/>
  <c r="L714" i="2"/>
  <c r="M714" i="2"/>
  <c r="P796" i="2"/>
  <c r="Q796" i="2"/>
  <c r="L796" i="2"/>
  <c r="R796" i="2"/>
  <c r="O107" i="8"/>
  <c r="O108" i="8" s="1"/>
  <c r="T658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O797" i="2"/>
  <c r="L797" i="2"/>
  <c r="P797" i="2"/>
  <c r="T258" i="2"/>
  <c r="W709" i="2"/>
  <c r="S709" i="2"/>
  <c r="Q709" i="2"/>
  <c r="AB709" i="2"/>
  <c r="T709" i="2"/>
  <c r="Q660" i="2"/>
  <c r="R709" i="2"/>
  <c r="AE709" i="2"/>
  <c r="V709" i="2"/>
  <c r="M659" i="2"/>
  <c r="M660" i="2"/>
  <c r="U709" i="2"/>
  <c r="AA709" i="2"/>
  <c r="M709" i="2"/>
  <c r="P709" i="2"/>
  <c r="L709" i="2"/>
  <c r="X709" i="2"/>
  <c r="O709" i="2"/>
  <c r="N709" i="2"/>
  <c r="P660" i="2"/>
  <c r="L660" i="2"/>
  <c r="O660" i="2"/>
  <c r="Y709" i="2"/>
  <c r="AD709" i="2"/>
  <c r="N660" i="2"/>
  <c r="P659" i="2"/>
  <c r="L659" i="2"/>
  <c r="AC709" i="2"/>
  <c r="O659" i="2"/>
  <c r="N659" i="2"/>
  <c r="Z709" i="2"/>
  <c r="Q659" i="2"/>
  <c r="S660" i="2"/>
  <c r="R659" i="2"/>
  <c r="S659" i="2"/>
  <c r="R781" i="2"/>
  <c r="T660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M793" i="2"/>
  <c r="AE711" i="2"/>
  <c r="O793" i="2"/>
  <c r="L793" i="2"/>
  <c r="P793" i="2"/>
  <c r="Q793" i="2"/>
  <c r="S795" i="2"/>
  <c r="T259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M398" i="2"/>
  <c r="O398" i="2"/>
  <c r="L398" i="2"/>
  <c r="N398" i="2"/>
  <c r="P398" i="2"/>
  <c r="Q398" i="2"/>
  <c r="S695" i="2"/>
  <c r="R888" i="8"/>
  <c r="R889" i="8" s="1"/>
  <c r="R360" i="2"/>
  <c r="R860" i="8" s="1"/>
  <c r="R861" i="8" s="1"/>
  <c r="T657" i="2"/>
  <c r="R964" i="8"/>
  <c r="R965" i="8" s="1"/>
  <c r="R1356" i="8"/>
  <c r="R1357" i="8" s="1"/>
  <c r="S976" i="8"/>
  <c r="S977" i="8" s="1"/>
  <c r="R1368" i="8"/>
  <c r="R1369" i="8" s="1"/>
  <c r="U868" i="8"/>
  <c r="U869" i="8" s="1"/>
  <c r="P247" i="8"/>
  <c r="P248" i="8" s="1"/>
  <c r="T892" i="8"/>
  <c r="T893" i="8" s="1"/>
  <c r="T872" i="8"/>
  <c r="T873" i="8" s="1"/>
  <c r="Q521" i="2"/>
  <c r="V884" i="8"/>
  <c r="V885" i="8" s="1"/>
  <c r="T756" i="2"/>
  <c r="T796" i="2" s="1"/>
  <c r="P199" i="8"/>
  <c r="P200" i="8" s="1"/>
  <c r="P191" i="8"/>
  <c r="P192" i="8" s="1"/>
  <c r="S752" i="2"/>
  <c r="S1228" i="8" s="1"/>
  <c r="S1229" i="8" s="1"/>
  <c r="U758" i="2"/>
  <c r="U775" i="2" s="1"/>
  <c r="U1304" i="8" s="1"/>
  <c r="U1305" i="8" s="1"/>
  <c r="S753" i="2"/>
  <c r="T354" i="2"/>
  <c r="T394" i="2" s="1"/>
  <c r="T755" i="2"/>
  <c r="V357" i="2"/>
  <c r="V848" i="8" s="1"/>
  <c r="V849" i="8" s="1"/>
  <c r="R1352" i="8"/>
  <c r="R1353" i="8" s="1"/>
  <c r="S358" i="2"/>
  <c r="S398" i="2" s="1"/>
  <c r="S356" i="2"/>
  <c r="L1316" i="8"/>
  <c r="L1317" i="8" s="1"/>
  <c r="U353" i="2"/>
  <c r="U393" i="2" s="1"/>
  <c r="T359" i="2"/>
  <c r="T399" i="2" s="1"/>
  <c r="Q1256" i="8"/>
  <c r="Q1257" i="8" s="1"/>
  <c r="P920" i="8"/>
  <c r="P921" i="8" s="1"/>
  <c r="S355" i="2"/>
  <c r="S395" i="2" s="1"/>
  <c r="T751" i="2"/>
  <c r="S757" i="2"/>
  <c r="S797" i="2" s="1"/>
  <c r="L920" i="8"/>
  <c r="L921" i="8" s="1"/>
  <c r="T352" i="2"/>
  <c r="T392" i="2" s="1"/>
  <c r="Q860" i="8"/>
  <c r="Q861" i="8" s="1"/>
  <c r="P1316" i="8"/>
  <c r="P1317" i="8" s="1"/>
  <c r="S754" i="2"/>
  <c r="S794" i="2" s="1"/>
  <c r="O227" i="8"/>
  <c r="O228" i="8" s="1"/>
  <c r="R389" i="2"/>
  <c r="R940" i="8" s="1"/>
  <c r="R941" i="8" s="1"/>
  <c r="F504" i="8"/>
  <c r="M327" i="2"/>
  <c r="M752" i="8" s="1"/>
  <c r="M753" i="8" s="1"/>
  <c r="M720" i="8"/>
  <c r="M721" i="8" s="1"/>
  <c r="M876" i="8"/>
  <c r="M877" i="8" s="1"/>
  <c r="M389" i="2"/>
  <c r="M940" i="8" s="1"/>
  <c r="M941" i="8" s="1"/>
  <c r="S722" i="2"/>
  <c r="S1132" i="8" s="1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P786" i="2"/>
  <c r="P1328" i="8" s="1"/>
  <c r="P1329" i="8" s="1"/>
  <c r="V1100" i="8"/>
  <c r="V1101" i="8" s="1"/>
  <c r="V722" i="2"/>
  <c r="V1132" i="8" s="1"/>
  <c r="V1133" i="8" s="1"/>
  <c r="AB722" i="2"/>
  <c r="AB1132" i="8" s="1"/>
  <c r="AB1133" i="8" s="1"/>
  <c r="AB1100" i="8"/>
  <c r="AB1101" i="8" s="1"/>
  <c r="Q327" i="2"/>
  <c r="Q752" i="8" s="1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323" i="2"/>
  <c r="S736" i="8" s="1"/>
  <c r="S737" i="8" s="1"/>
  <c r="AA1116" i="8"/>
  <c r="AA1117" i="8" s="1"/>
  <c r="AA726" i="2"/>
  <c r="AA1148" i="8" s="1"/>
  <c r="AA1149" i="8" s="1"/>
  <c r="Z1116" i="8"/>
  <c r="Z1117" i="8" s="1"/>
  <c r="Z726" i="2"/>
  <c r="Z1148" i="8" s="1"/>
  <c r="Z1149" i="8" s="1"/>
  <c r="O454" i="2"/>
  <c r="N462" i="2"/>
  <c r="N327" i="2"/>
  <c r="N752" i="8" s="1"/>
  <c r="N753" i="8" s="1"/>
  <c r="N720" i="8"/>
  <c r="N721" i="8" s="1"/>
  <c r="T722" i="2"/>
  <c r="T1132" i="8" s="1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323" i="2"/>
  <c r="V736" i="8" s="1"/>
  <c r="V737" i="8" s="1"/>
  <c r="W1100" i="8"/>
  <c r="W1101" i="8" s="1"/>
  <c r="W722" i="2"/>
  <c r="W1132" i="8" s="1"/>
  <c r="W1133" i="8" s="1"/>
  <c r="AB720" i="8"/>
  <c r="AB721" i="8" s="1"/>
  <c r="AB327" i="2"/>
  <c r="AB752" i="8" s="1"/>
  <c r="AB753" i="8" s="1"/>
  <c r="Z327" i="2"/>
  <c r="Z752" i="8" s="1"/>
  <c r="Z753" i="8" s="1"/>
  <c r="Z720" i="8"/>
  <c r="Z721" i="8" s="1"/>
  <c r="F472" i="8"/>
  <c r="L704" i="8"/>
  <c r="L705" i="8" s="1"/>
  <c r="L323" i="2"/>
  <c r="L736" i="8" s="1"/>
  <c r="L737" i="8" s="1"/>
  <c r="N187" i="8"/>
  <c r="N188" i="8" s="1"/>
  <c r="O513" i="2"/>
  <c r="N522" i="2"/>
  <c r="S748" i="2"/>
  <c r="S1220" i="8" s="1"/>
  <c r="S1221" i="8" s="1"/>
  <c r="AE1100" i="8"/>
  <c r="AE1101" i="8" s="1"/>
  <c r="AE722" i="2"/>
  <c r="AE1132" i="8" s="1"/>
  <c r="AE1133" i="8" s="1"/>
  <c r="U722" i="2"/>
  <c r="U1132" i="8" s="1"/>
  <c r="U1133" i="8" s="1"/>
  <c r="U1100" i="8"/>
  <c r="U1101" i="8" s="1"/>
  <c r="P892" i="8"/>
  <c r="P893" i="8" s="1"/>
  <c r="P387" i="2"/>
  <c r="P932" i="8" s="1"/>
  <c r="P933" i="8" s="1"/>
  <c r="Y327" i="2"/>
  <c r="Y752" i="8" s="1"/>
  <c r="Y753" i="8" s="1"/>
  <c r="Y720" i="8"/>
  <c r="Y721" i="8" s="1"/>
  <c r="F488" i="8"/>
  <c r="F532" i="8"/>
  <c r="F564" i="8"/>
  <c r="N704" i="8"/>
  <c r="N705" i="8" s="1"/>
  <c r="N323" i="2"/>
  <c r="N736" i="8" s="1"/>
  <c r="N737" i="8" s="1"/>
  <c r="S1116" i="8"/>
  <c r="S1117" i="8" s="1"/>
  <c r="S726" i="2"/>
  <c r="S1148" i="8" s="1"/>
  <c r="S1149" i="8" s="1"/>
  <c r="Y1116" i="8"/>
  <c r="Y1117" i="8" s="1"/>
  <c r="Y726" i="2"/>
  <c r="Y1148" i="8" s="1"/>
  <c r="Y1149" i="8" s="1"/>
  <c r="R720" i="8"/>
  <c r="R721" i="8" s="1"/>
  <c r="R327" i="2"/>
  <c r="R752" i="8" s="1"/>
  <c r="R753" i="8" s="1"/>
  <c r="Y1100" i="8"/>
  <c r="Y1101" i="8" s="1"/>
  <c r="Y722" i="2"/>
  <c r="Y1132" i="8" s="1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726" i="2"/>
  <c r="X1148" i="8" s="1"/>
  <c r="X1149" i="8" s="1"/>
  <c r="L876" i="8"/>
  <c r="L877" i="8" s="1"/>
  <c r="L389" i="2"/>
  <c r="L940" i="8" s="1"/>
  <c r="L941" i="8" s="1"/>
  <c r="O387" i="2"/>
  <c r="O932" i="8" s="1"/>
  <c r="O933" i="8" s="1"/>
  <c r="O892" i="8"/>
  <c r="O893" i="8" s="1"/>
  <c r="AD1116" i="8"/>
  <c r="AD1117" i="8" s="1"/>
  <c r="AD726" i="2"/>
  <c r="AD1148" i="8" s="1"/>
  <c r="AD1149" i="8" s="1"/>
  <c r="F520" i="8"/>
  <c r="Q1100" i="8"/>
  <c r="Q1101" i="8" s="1"/>
  <c r="Q722" i="2"/>
  <c r="Q1132" i="8" s="1"/>
  <c r="Q1133" i="8" s="1"/>
  <c r="P1272" i="8"/>
  <c r="P1273" i="8" s="1"/>
  <c r="P788" i="2"/>
  <c r="P1336" i="8" s="1"/>
  <c r="P1337" i="8" s="1"/>
  <c r="O720" i="8"/>
  <c r="O721" i="8" s="1"/>
  <c r="O327" i="2"/>
  <c r="O752" i="8" s="1"/>
  <c r="O753" i="8" s="1"/>
  <c r="T720" i="8"/>
  <c r="T721" i="8" s="1"/>
  <c r="T327" i="2"/>
  <c r="T752" i="8" s="1"/>
  <c r="T753" i="8" s="1"/>
  <c r="F480" i="8"/>
  <c r="F528" i="8"/>
  <c r="F552" i="8"/>
  <c r="F492" i="8"/>
  <c r="P323" i="2"/>
  <c r="P736" i="8" s="1"/>
  <c r="P737" i="8" s="1"/>
  <c r="P704" i="8"/>
  <c r="P705" i="8" s="1"/>
  <c r="R323" i="2"/>
  <c r="R736" i="8" s="1"/>
  <c r="R737" i="8" s="1"/>
  <c r="R704" i="8"/>
  <c r="R705" i="8" s="1"/>
  <c r="R1288" i="8"/>
  <c r="R1289" i="8" s="1"/>
  <c r="R786" i="2"/>
  <c r="R1328" i="8" s="1"/>
  <c r="R1329" i="8" s="1"/>
  <c r="O726" i="2"/>
  <c r="O1148" i="8" s="1"/>
  <c r="O1149" i="8" s="1"/>
  <c r="O1116" i="8"/>
  <c r="O1117" i="8" s="1"/>
  <c r="N1272" i="8"/>
  <c r="N1273" i="8" s="1"/>
  <c r="N788" i="2"/>
  <c r="N1336" i="8" s="1"/>
  <c r="N1337" i="8" s="1"/>
  <c r="X1100" i="8"/>
  <c r="X1101" i="8" s="1"/>
  <c r="X722" i="2"/>
  <c r="X1132" i="8" s="1"/>
  <c r="X1133" i="8" s="1"/>
  <c r="W1116" i="8"/>
  <c r="W1117" i="8" s="1"/>
  <c r="W726" i="2"/>
  <c r="W1148" i="8" s="1"/>
  <c r="W1149" i="8" s="1"/>
  <c r="O1100" i="8"/>
  <c r="O1101" i="8" s="1"/>
  <c r="O722" i="2"/>
  <c r="O1132" i="8" s="1"/>
  <c r="O1133" i="8" s="1"/>
  <c r="M1288" i="8"/>
  <c r="M1289" i="8" s="1"/>
  <c r="M786" i="2"/>
  <c r="M1328" i="8" s="1"/>
  <c r="M1329" i="8" s="1"/>
  <c r="R1100" i="8"/>
  <c r="R1101" i="8" s="1"/>
  <c r="R722" i="2"/>
  <c r="R1132" i="8" s="1"/>
  <c r="R1133" i="8" s="1"/>
  <c r="AE720" i="8"/>
  <c r="AE721" i="8" s="1"/>
  <c r="AE327" i="2"/>
  <c r="AE752" i="8" s="1"/>
  <c r="AE753" i="8" s="1"/>
  <c r="F468" i="8"/>
  <c r="F556" i="8"/>
  <c r="Z722" i="2"/>
  <c r="Z1132" i="8" s="1"/>
  <c r="Z1133" i="8" s="1"/>
  <c r="Z1100" i="8"/>
  <c r="Z1101" i="8" s="1"/>
  <c r="P722" i="2"/>
  <c r="P1132" i="8" s="1"/>
  <c r="P1133" i="8" s="1"/>
  <c r="P1100" i="8"/>
  <c r="P1101" i="8" s="1"/>
  <c r="AA327" i="2"/>
  <c r="AA752" i="8" s="1"/>
  <c r="AA753" i="8" s="1"/>
  <c r="AA720" i="8"/>
  <c r="AA721" i="8" s="1"/>
  <c r="AC720" i="8"/>
  <c r="AC721" i="8" s="1"/>
  <c r="AC327" i="2"/>
  <c r="AC752" i="8" s="1"/>
  <c r="AC753" i="8" s="1"/>
  <c r="F548" i="8"/>
  <c r="T323" i="2"/>
  <c r="T736" i="8" s="1"/>
  <c r="T737" i="8" s="1"/>
  <c r="T704" i="8"/>
  <c r="T705" i="8" s="1"/>
  <c r="AB704" i="8"/>
  <c r="AB705" i="8" s="1"/>
  <c r="AB323" i="2"/>
  <c r="AB736" i="8" s="1"/>
  <c r="AB737" i="8" s="1"/>
  <c r="Q1288" i="8"/>
  <c r="Q1289" i="8" s="1"/>
  <c r="Q786" i="2"/>
  <c r="Q1328" i="8" s="1"/>
  <c r="Q1329" i="8" s="1"/>
  <c r="U1116" i="8"/>
  <c r="U1117" i="8" s="1"/>
  <c r="U726" i="2"/>
  <c r="U1148" i="8" s="1"/>
  <c r="U1149" i="8" s="1"/>
  <c r="L720" i="8"/>
  <c r="L721" i="8" s="1"/>
  <c r="L327" i="2"/>
  <c r="L752" i="8" s="1"/>
  <c r="L753" i="8" s="1"/>
  <c r="F544" i="8"/>
  <c r="P720" i="8"/>
  <c r="P721" i="8" s="1"/>
  <c r="P327" i="2"/>
  <c r="P752" i="8" s="1"/>
  <c r="P753" i="8" s="1"/>
  <c r="F524" i="8"/>
  <c r="AC1100" i="8"/>
  <c r="AC1101" i="8" s="1"/>
  <c r="AC722" i="2"/>
  <c r="AC1132" i="8" s="1"/>
  <c r="AC1133" i="8" s="1"/>
  <c r="L1100" i="8"/>
  <c r="L1101" i="8" s="1"/>
  <c r="L722" i="2"/>
  <c r="L1132" i="8" s="1"/>
  <c r="L1133" i="8" s="1"/>
  <c r="AD720" i="8"/>
  <c r="AD721" i="8" s="1"/>
  <c r="AD327" i="2"/>
  <c r="AD752" i="8" s="1"/>
  <c r="AD753" i="8" s="1"/>
  <c r="S720" i="8"/>
  <c r="S721" i="8" s="1"/>
  <c r="S327" i="2"/>
  <c r="S752" i="8" s="1"/>
  <c r="S753" i="8" s="1"/>
  <c r="F540" i="8"/>
  <c r="O704" i="8"/>
  <c r="O705" i="8" s="1"/>
  <c r="O323" i="2"/>
  <c r="O736" i="8" s="1"/>
  <c r="O737" i="8" s="1"/>
  <c r="AE704" i="8"/>
  <c r="AE705" i="8" s="1"/>
  <c r="AE323" i="2"/>
  <c r="AE736" i="8" s="1"/>
  <c r="AE737" i="8" s="1"/>
  <c r="R1116" i="8"/>
  <c r="R1117" i="8" s="1"/>
  <c r="R726" i="2"/>
  <c r="R1148" i="8" s="1"/>
  <c r="R1149" i="8" s="1"/>
  <c r="AC1116" i="8"/>
  <c r="AC1117" i="8" s="1"/>
  <c r="AC726" i="2"/>
  <c r="AC1148" i="8" s="1"/>
  <c r="AC1149" i="8" s="1"/>
  <c r="M323" i="2"/>
  <c r="M736" i="8" s="1"/>
  <c r="M737" i="8" s="1"/>
  <c r="M704" i="8"/>
  <c r="M705" i="8" s="1"/>
  <c r="M722" i="2"/>
  <c r="M1132" i="8" s="1"/>
  <c r="M1133" i="8" s="1"/>
  <c r="M1100" i="8"/>
  <c r="M1101" i="8" s="1"/>
  <c r="F440" i="8"/>
  <c r="R788" i="2"/>
  <c r="R1336" i="8" s="1"/>
  <c r="R1337" i="8" s="1"/>
  <c r="M788" i="2"/>
  <c r="M1336" i="8" s="1"/>
  <c r="M1337" i="8" s="1"/>
  <c r="M1272" i="8"/>
  <c r="M1273" i="8" s="1"/>
  <c r="X327" i="2"/>
  <c r="X752" i="8" s="1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323" i="2"/>
  <c r="U736" i="8" s="1"/>
  <c r="U737" i="8" s="1"/>
  <c r="AA704" i="8"/>
  <c r="AA705" i="8" s="1"/>
  <c r="AA323" i="2"/>
  <c r="AA736" i="8" s="1"/>
  <c r="AA737" i="8" s="1"/>
  <c r="N1288" i="8"/>
  <c r="N1289" i="8" s="1"/>
  <c r="N786" i="2"/>
  <c r="N1328" i="8" s="1"/>
  <c r="N1329" i="8" s="1"/>
  <c r="T1116" i="8"/>
  <c r="T1117" i="8" s="1"/>
  <c r="T726" i="2"/>
  <c r="T1148" i="8" s="1"/>
  <c r="T1149" i="8" s="1"/>
  <c r="O638" i="2"/>
  <c r="N642" i="2"/>
  <c r="N1100" i="8"/>
  <c r="N1101" i="8" s="1"/>
  <c r="N722" i="2"/>
  <c r="N1132" i="8" s="1"/>
  <c r="N1133" i="8" s="1"/>
  <c r="W720" i="8"/>
  <c r="W721" i="8" s="1"/>
  <c r="W327" i="2"/>
  <c r="W752" i="8" s="1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323" i="2"/>
  <c r="AC736" i="8" s="1"/>
  <c r="AC737" i="8" s="1"/>
  <c r="AC704" i="8"/>
  <c r="AC705" i="8" s="1"/>
  <c r="Q704" i="8"/>
  <c r="Q705" i="8" s="1"/>
  <c r="Q323" i="2"/>
  <c r="Q736" i="8" s="1"/>
  <c r="Q737" i="8" s="1"/>
  <c r="AB1116" i="8"/>
  <c r="AB1117" i="8" s="1"/>
  <c r="AB726" i="2"/>
  <c r="AB1148" i="8" s="1"/>
  <c r="AB1149" i="8" s="1"/>
  <c r="V1116" i="8"/>
  <c r="V1117" i="8" s="1"/>
  <c r="V726" i="2"/>
  <c r="V1148" i="8" s="1"/>
  <c r="V1149" i="8" s="1"/>
  <c r="L1272" i="8"/>
  <c r="L1273" i="8" s="1"/>
  <c r="L788" i="2"/>
  <c r="L1336" i="8" s="1"/>
  <c r="L1337" i="8" s="1"/>
  <c r="V327" i="2"/>
  <c r="V752" i="8" s="1"/>
  <c r="V753" i="8" s="1"/>
  <c r="V720" i="8"/>
  <c r="V721" i="8" s="1"/>
  <c r="F444" i="8"/>
  <c r="F496" i="8"/>
  <c r="X704" i="8"/>
  <c r="X705" i="8" s="1"/>
  <c r="X323" i="2"/>
  <c r="X736" i="8" s="1"/>
  <c r="X737" i="8" s="1"/>
  <c r="Z704" i="8"/>
  <c r="Z705" i="8" s="1"/>
  <c r="Z323" i="2"/>
  <c r="Z736" i="8" s="1"/>
  <c r="Z737" i="8" s="1"/>
  <c r="Q1116" i="8"/>
  <c r="Q1117" i="8" s="1"/>
  <c r="Q726" i="2"/>
  <c r="Q1148" i="8" s="1"/>
  <c r="Q1149" i="8" s="1"/>
  <c r="P726" i="2"/>
  <c r="P1148" i="8" s="1"/>
  <c r="P1149" i="8" s="1"/>
  <c r="P1116" i="8"/>
  <c r="P1117" i="8" s="1"/>
  <c r="AA1100" i="8"/>
  <c r="AA1101" i="8" s="1"/>
  <c r="AA722" i="2"/>
  <c r="AA1132" i="8" s="1"/>
  <c r="AA1133" i="8" s="1"/>
  <c r="O1272" i="8"/>
  <c r="O1273" i="8" s="1"/>
  <c r="O788" i="2"/>
  <c r="O1336" i="8" s="1"/>
  <c r="O1337" i="8" s="1"/>
  <c r="U720" i="8"/>
  <c r="U721" i="8" s="1"/>
  <c r="U327" i="2"/>
  <c r="U752" i="8" s="1"/>
  <c r="U753" i="8" s="1"/>
  <c r="L1360" i="8"/>
  <c r="L1361" i="8" s="1"/>
  <c r="P1360" i="8"/>
  <c r="P1361" i="8" s="1"/>
  <c r="M1360" i="8"/>
  <c r="M1361" i="8" s="1"/>
  <c r="F476" i="8"/>
  <c r="Y704" i="8"/>
  <c r="Y705" i="8" s="1"/>
  <c r="Y323" i="2"/>
  <c r="Y736" i="8" s="1"/>
  <c r="Y737" i="8" s="1"/>
  <c r="AD704" i="8"/>
  <c r="AD705" i="8" s="1"/>
  <c r="AD323" i="2"/>
  <c r="AD736" i="8" s="1"/>
  <c r="AD737" i="8" s="1"/>
  <c r="L726" i="2"/>
  <c r="L1148" i="8" s="1"/>
  <c r="L1149" i="8" s="1"/>
  <c r="L1116" i="8"/>
  <c r="L1117" i="8" s="1"/>
  <c r="N1116" i="8"/>
  <c r="N1117" i="8" s="1"/>
  <c r="N726" i="2"/>
  <c r="N1148" i="8" s="1"/>
  <c r="N1149" i="8" s="1"/>
  <c r="AD1100" i="8"/>
  <c r="AD1101" i="8" s="1"/>
  <c r="AD722" i="2"/>
  <c r="AD1132" i="8" s="1"/>
  <c r="AD1133" i="8" s="1"/>
  <c r="F448" i="8"/>
  <c r="F452" i="8"/>
  <c r="W704" i="8"/>
  <c r="W705" i="8" s="1"/>
  <c r="W323" i="2"/>
  <c r="W736" i="8" s="1"/>
  <c r="W737" i="8" s="1"/>
  <c r="P876" i="8"/>
  <c r="P877" i="8" s="1"/>
  <c r="P389" i="2"/>
  <c r="P940" i="8" s="1"/>
  <c r="P941" i="8" s="1"/>
  <c r="AE1116" i="8"/>
  <c r="AE1117" i="8" s="1"/>
  <c r="AE726" i="2"/>
  <c r="AE1148" i="8" s="1"/>
  <c r="AE1149" i="8" s="1"/>
  <c r="M1116" i="8"/>
  <c r="M1117" i="8" s="1"/>
  <c r="M726" i="2"/>
  <c r="M1148" i="8" s="1"/>
  <c r="M1149" i="8" s="1"/>
  <c r="T786" i="2"/>
  <c r="T1328" i="8" s="1"/>
  <c r="T1329" i="8" s="1"/>
  <c r="Q379" i="2"/>
  <c r="S375" i="2"/>
  <c r="S904" i="8" s="1"/>
  <c r="S905" i="8" s="1"/>
  <c r="T775" i="2"/>
  <c r="T1304" i="8" s="1"/>
  <c r="T1305" i="8" s="1"/>
  <c r="S376" i="2"/>
  <c r="S908" i="8" s="1"/>
  <c r="S909" i="8" s="1"/>
  <c r="S808" i="8"/>
  <c r="S809" i="8" s="1"/>
  <c r="S880" i="8"/>
  <c r="S881" i="8" s="1"/>
  <c r="S844" i="8"/>
  <c r="S845" i="8" s="1"/>
  <c r="S772" i="8"/>
  <c r="S773" i="8" s="1"/>
  <c r="T345" i="2"/>
  <c r="T612" i="8"/>
  <c r="T613" i="8" s="1"/>
  <c r="U280" i="2"/>
  <c r="U367" i="2" s="1"/>
  <c r="T334" i="2"/>
  <c r="T996" i="8"/>
  <c r="T997" i="8" s="1"/>
  <c r="U676" i="2"/>
  <c r="T741" i="2"/>
  <c r="T730" i="2"/>
  <c r="T1004" i="8"/>
  <c r="T1005" i="8" s="1"/>
  <c r="T743" i="2"/>
  <c r="T782" i="2" s="1"/>
  <c r="U678" i="2"/>
  <c r="U765" i="2" s="1"/>
  <c r="T732" i="2"/>
  <c r="S804" i="8"/>
  <c r="S805" i="8" s="1"/>
  <c r="S1164" i="8"/>
  <c r="S1165" i="8" s="1"/>
  <c r="S1236" i="8"/>
  <c r="S1237" i="8" s="1"/>
  <c r="S1192" i="8"/>
  <c r="S1193" i="8" s="1"/>
  <c r="U1180" i="8"/>
  <c r="U1181" i="8" s="1"/>
  <c r="U1252" i="8"/>
  <c r="U1253" i="8" s="1"/>
  <c r="S1200" i="8"/>
  <c r="S1201" i="8" s="1"/>
  <c r="S1272" i="8"/>
  <c r="S1273" i="8" s="1"/>
  <c r="S768" i="8"/>
  <c r="S769" i="8" s="1"/>
  <c r="S737" i="2"/>
  <c r="S1184" i="8" s="1"/>
  <c r="S1185" i="8" s="1"/>
  <c r="U1216" i="8"/>
  <c r="U1217" i="8" s="1"/>
  <c r="U1288" i="8"/>
  <c r="U1289" i="8" s="1"/>
  <c r="S1224" i="8"/>
  <c r="S1225" i="8" s="1"/>
  <c r="S1160" i="8"/>
  <c r="S1161" i="8" s="1"/>
  <c r="T820" i="8"/>
  <c r="T821" i="8" s="1"/>
  <c r="U760" i="8"/>
  <c r="U761" i="8" s="1"/>
  <c r="S1156" i="8"/>
  <c r="S1157" i="8" s="1"/>
  <c r="S1260" i="8"/>
  <c r="S1261" i="8" s="1"/>
  <c r="T1000" i="8"/>
  <c r="T1001" i="8" s="1"/>
  <c r="T731" i="2"/>
  <c r="U677" i="2"/>
  <c r="U764" i="2" s="1"/>
  <c r="T742" i="2"/>
  <c r="S387" i="2"/>
  <c r="S932" i="8" s="1"/>
  <c r="S933" i="8" s="1"/>
  <c r="U796" i="8"/>
  <c r="U797" i="8" s="1"/>
  <c r="U624" i="8"/>
  <c r="U625" i="8" s="1"/>
  <c r="U337" i="2"/>
  <c r="U348" i="2"/>
  <c r="V283" i="2"/>
  <c r="V370" i="2" s="1"/>
  <c r="R1228" i="8"/>
  <c r="R1229" i="8" s="1"/>
  <c r="R774" i="2"/>
  <c r="R1300" i="8" s="1"/>
  <c r="R1301" i="8" s="1"/>
  <c r="V600" i="8"/>
  <c r="V601" i="8" s="1"/>
  <c r="W277" i="2"/>
  <c r="W364" i="2" s="1"/>
  <c r="V342" i="2"/>
  <c r="V331" i="2"/>
  <c r="T1172" i="8"/>
  <c r="T1173" i="8" s="1"/>
  <c r="T620" i="8"/>
  <c r="T621" i="8" s="1"/>
  <c r="U282" i="2"/>
  <c r="U369" i="2" s="1"/>
  <c r="T347" i="2"/>
  <c r="T336" i="2"/>
  <c r="S338" i="2"/>
  <c r="S788" i="8" s="1"/>
  <c r="S789" i="8" s="1"/>
  <c r="S1176" i="8"/>
  <c r="S1177" i="8" s="1"/>
  <c r="S816" i="8"/>
  <c r="S817" i="8" s="1"/>
  <c r="S888" i="8"/>
  <c r="S889" i="8" s="1"/>
  <c r="R759" i="2"/>
  <c r="T1208" i="8"/>
  <c r="T1209" i="8" s="1"/>
  <c r="T800" i="8"/>
  <c r="T801" i="8" s="1"/>
  <c r="S349" i="2"/>
  <c r="S824" i="8" s="1"/>
  <c r="S825" i="8" s="1"/>
  <c r="S1196" i="8"/>
  <c r="S1197" i="8" s="1"/>
  <c r="T784" i="8"/>
  <c r="T785" i="8" s="1"/>
  <c r="S780" i="8"/>
  <c r="S781" i="8" s="1"/>
  <c r="R773" i="2"/>
  <c r="U1012" i="8"/>
  <c r="U1013" i="8" s="1"/>
  <c r="V680" i="2"/>
  <c r="V767" i="2" s="1"/>
  <c r="U745" i="2"/>
  <c r="U734" i="2"/>
  <c r="T836" i="8"/>
  <c r="T837" i="8" s="1"/>
  <c r="T764" i="8"/>
  <c r="T765" i="8" s="1"/>
  <c r="T756" i="8"/>
  <c r="T757" i="8" s="1"/>
  <c r="S828" i="8"/>
  <c r="S829" i="8" s="1"/>
  <c r="V1020" i="8"/>
  <c r="V1021" i="8" s="1"/>
  <c r="W682" i="2"/>
  <c r="W769" i="2" s="1"/>
  <c r="V747" i="2"/>
  <c r="V736" i="2"/>
  <c r="U1008" i="8"/>
  <c r="U1009" i="8" s="1"/>
  <c r="U733" i="2"/>
  <c r="U744" i="2"/>
  <c r="V679" i="2"/>
  <c r="V766" i="2" s="1"/>
  <c r="Q1296" i="8"/>
  <c r="Q1297" i="8" s="1"/>
  <c r="Q778" i="2"/>
  <c r="U604" i="8"/>
  <c r="U605" i="8" s="1"/>
  <c r="V278" i="2"/>
  <c r="V365" i="2" s="1"/>
  <c r="U332" i="2"/>
  <c r="U343" i="2"/>
  <c r="V812" i="8"/>
  <c r="V813" i="8" s="1"/>
  <c r="U596" i="8"/>
  <c r="U597" i="8" s="1"/>
  <c r="U341" i="2"/>
  <c r="U330" i="2"/>
  <c r="V276" i="2"/>
  <c r="V363" i="2" s="1"/>
  <c r="R378" i="2"/>
  <c r="R916" i="8" s="1"/>
  <c r="R917" i="8" s="1"/>
  <c r="T1152" i="8"/>
  <c r="T1153" i="8" s="1"/>
  <c r="T1204" i="8"/>
  <c r="T1205" i="8" s="1"/>
  <c r="V776" i="8"/>
  <c r="V777" i="8" s="1"/>
  <c r="T792" i="8"/>
  <c r="T793" i="8" s="1"/>
  <c r="T1188" i="8"/>
  <c r="T1189" i="8" s="1"/>
  <c r="S1212" i="8"/>
  <c r="S1213" i="8" s="1"/>
  <c r="S1284" i="8"/>
  <c r="S1285" i="8" s="1"/>
  <c r="T608" i="8"/>
  <c r="T609" i="8" s="1"/>
  <c r="T333" i="2"/>
  <c r="T344" i="2"/>
  <c r="U279" i="2"/>
  <c r="U366" i="2" s="1"/>
  <c r="T1168" i="8"/>
  <c r="T1169" i="8" s="1"/>
  <c r="W616" i="8"/>
  <c r="W617" i="8" s="1"/>
  <c r="W346" i="2"/>
  <c r="X281" i="2"/>
  <c r="X368" i="2" s="1"/>
  <c r="W335" i="2"/>
  <c r="R777" i="2"/>
  <c r="R1312" i="8" s="1"/>
  <c r="R1313" i="8" s="1"/>
  <c r="U992" i="8"/>
  <c r="U993" i="8" s="1"/>
  <c r="V675" i="2"/>
  <c r="V762" i="2" s="1"/>
  <c r="U729" i="2"/>
  <c r="U740" i="2"/>
  <c r="T1016" i="8"/>
  <c r="T1017" i="8" s="1"/>
  <c r="T735" i="2"/>
  <c r="U681" i="2"/>
  <c r="U768" i="2" s="1"/>
  <c r="T746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576" i="2"/>
  <c r="Q235" i="8"/>
  <c r="Q236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T856" i="8" l="1"/>
  <c r="T857" i="8" s="1"/>
  <c r="T1244" i="8"/>
  <c r="T1245" i="8" s="1"/>
  <c r="S840" i="8"/>
  <c r="S841" i="8" s="1"/>
  <c r="T696" i="2"/>
  <c r="U660" i="2"/>
  <c r="U763" i="2"/>
  <c r="U659" i="2"/>
  <c r="Q695" i="2"/>
  <c r="S781" i="2"/>
  <c r="R695" i="2"/>
  <c r="T791" i="2"/>
  <c r="T383" i="2"/>
  <c r="O296" i="2"/>
  <c r="L695" i="2"/>
  <c r="T683" i="2"/>
  <c r="T1280" i="8"/>
  <c r="T1281" i="8" s="1"/>
  <c r="R1264" i="8"/>
  <c r="R1265" i="8" s="1"/>
  <c r="P695" i="2"/>
  <c r="R296" i="2"/>
  <c r="N695" i="2"/>
  <c r="R1268" i="8"/>
  <c r="R1269" i="8" s="1"/>
  <c r="O695" i="2"/>
  <c r="L296" i="2"/>
  <c r="S792" i="2"/>
  <c r="S1348" i="8" s="1"/>
  <c r="S1349" i="8" s="1"/>
  <c r="S382" i="2"/>
  <c r="M695" i="2"/>
  <c r="N296" i="2"/>
  <c r="T284" i="2"/>
  <c r="U260" i="2"/>
  <c r="R785" i="2"/>
  <c r="R1324" i="8" s="1"/>
  <c r="R1325" i="8" s="1"/>
  <c r="T795" i="2"/>
  <c r="T1360" i="8" s="1"/>
  <c r="T1361" i="8" s="1"/>
  <c r="M296" i="2"/>
  <c r="Q296" i="2"/>
  <c r="P296" i="2"/>
  <c r="T297" i="2"/>
  <c r="S296" i="2"/>
  <c r="S793" i="2"/>
  <c r="S1352" i="8" s="1"/>
  <c r="S1353" i="8" s="1"/>
  <c r="W397" i="2"/>
  <c r="S383" i="2"/>
  <c r="S396" i="2"/>
  <c r="S964" i="8" s="1"/>
  <c r="S965" i="8" s="1"/>
  <c r="U798" i="2"/>
  <c r="U1372" i="8" s="1"/>
  <c r="U1373" i="8" s="1"/>
  <c r="O383" i="2"/>
  <c r="O392" i="2"/>
  <c r="L782" i="2"/>
  <c r="L791" i="2"/>
  <c r="L383" i="2"/>
  <c r="L392" i="2"/>
  <c r="U832" i="8"/>
  <c r="U833" i="8" s="1"/>
  <c r="U259" i="2"/>
  <c r="S852" i="8"/>
  <c r="S853" i="8" s="1"/>
  <c r="U261" i="2"/>
  <c r="U399" i="2"/>
  <c r="Q782" i="2"/>
  <c r="Q791" i="2"/>
  <c r="R782" i="2"/>
  <c r="R791" i="2"/>
  <c r="V397" i="2"/>
  <c r="V968" i="8" s="1"/>
  <c r="V969" i="8" s="1"/>
  <c r="R383" i="2"/>
  <c r="R392" i="2"/>
  <c r="T375" i="2"/>
  <c r="T904" i="8" s="1"/>
  <c r="T905" i="8" s="1"/>
  <c r="P782" i="2"/>
  <c r="P791" i="2"/>
  <c r="N791" i="2"/>
  <c r="N782" i="2"/>
  <c r="U397" i="2"/>
  <c r="U968" i="8" s="1"/>
  <c r="U969" i="8" s="1"/>
  <c r="U884" i="8"/>
  <c r="U885" i="8" s="1"/>
  <c r="Q383" i="2"/>
  <c r="Q392" i="2"/>
  <c r="S782" i="2"/>
  <c r="O782" i="2"/>
  <c r="O791" i="2"/>
  <c r="N383" i="2"/>
  <c r="N392" i="2"/>
  <c r="M782" i="2"/>
  <c r="M791" i="2"/>
  <c r="M383" i="2"/>
  <c r="M392" i="2"/>
  <c r="S392" i="2"/>
  <c r="S948" i="8" s="1"/>
  <c r="S949" i="8" s="1"/>
  <c r="U658" i="2"/>
  <c r="S1268" i="8"/>
  <c r="S1269" i="8" s="1"/>
  <c r="P383" i="2"/>
  <c r="P392" i="2"/>
  <c r="S791" i="2"/>
  <c r="S1344" i="8" s="1"/>
  <c r="S1345" i="8" s="1"/>
  <c r="S1264" i="8"/>
  <c r="S1265" i="8" s="1"/>
  <c r="S773" i="2"/>
  <c r="U258" i="2"/>
  <c r="U657" i="2"/>
  <c r="T1240" i="8"/>
  <c r="T1241" i="8" s="1"/>
  <c r="S1368" i="8"/>
  <c r="S1369" i="8" s="1"/>
  <c r="S876" i="8"/>
  <c r="S877" i="8" s="1"/>
  <c r="T880" i="8"/>
  <c r="T881" i="8" s="1"/>
  <c r="T976" i="8"/>
  <c r="T977" i="8" s="1"/>
  <c r="T1268" i="8"/>
  <c r="T1269" i="8" s="1"/>
  <c r="U952" i="8"/>
  <c r="U953" i="8" s="1"/>
  <c r="S1356" i="8"/>
  <c r="S1357" i="8" s="1"/>
  <c r="T956" i="8"/>
  <c r="T957" i="8" s="1"/>
  <c r="S960" i="8"/>
  <c r="S961" i="8" s="1"/>
  <c r="U352" i="2"/>
  <c r="U755" i="2"/>
  <c r="U1240" i="8" s="1"/>
  <c r="U1241" i="8" s="1"/>
  <c r="U359" i="2"/>
  <c r="Q1268" i="8"/>
  <c r="Q1269" i="8" s="1"/>
  <c r="Q1352" i="8"/>
  <c r="Q1353" i="8" s="1"/>
  <c r="T884" i="8"/>
  <c r="T885" i="8" s="1"/>
  <c r="T968" i="8"/>
  <c r="T969" i="8" s="1"/>
  <c r="N888" i="8"/>
  <c r="N889" i="8" s="1"/>
  <c r="N972" i="8"/>
  <c r="N973" i="8" s="1"/>
  <c r="M868" i="8"/>
  <c r="M869" i="8" s="1"/>
  <c r="M952" i="8"/>
  <c r="M953" i="8" s="1"/>
  <c r="Q1316" i="8"/>
  <c r="Q1317" i="8" s="1"/>
  <c r="R1260" i="8"/>
  <c r="R1261" i="8" s="1"/>
  <c r="O1284" i="8"/>
  <c r="O1285" i="8" s="1"/>
  <c r="O1368" i="8"/>
  <c r="O1369" i="8" s="1"/>
  <c r="Q868" i="8"/>
  <c r="Q869" i="8" s="1"/>
  <c r="Q952" i="8"/>
  <c r="Q953" i="8" s="1"/>
  <c r="P872" i="8"/>
  <c r="P873" i="8" s="1"/>
  <c r="P956" i="8"/>
  <c r="P957" i="8" s="1"/>
  <c r="S972" i="8"/>
  <c r="S973" i="8" s="1"/>
  <c r="T754" i="2"/>
  <c r="T794" i="2" s="1"/>
  <c r="O884" i="8"/>
  <c r="O885" i="8" s="1"/>
  <c r="O968" i="8"/>
  <c r="O969" i="8" s="1"/>
  <c r="T356" i="2"/>
  <c r="T844" i="8" s="1"/>
  <c r="T845" i="8" s="1"/>
  <c r="Q1280" i="8"/>
  <c r="Q1281" i="8" s="1"/>
  <c r="Q1364" i="8"/>
  <c r="Q1365" i="8" s="1"/>
  <c r="P1280" i="8"/>
  <c r="P1281" i="8" s="1"/>
  <c r="P1364" i="8"/>
  <c r="P1365" i="8" s="1"/>
  <c r="P888" i="8"/>
  <c r="P889" i="8" s="1"/>
  <c r="P972" i="8"/>
  <c r="P973" i="8" s="1"/>
  <c r="Q888" i="8"/>
  <c r="Q889" i="8" s="1"/>
  <c r="Q972" i="8"/>
  <c r="Q973" i="8" s="1"/>
  <c r="O872" i="8"/>
  <c r="O873" i="8" s="1"/>
  <c r="O956" i="8"/>
  <c r="O957" i="8" s="1"/>
  <c r="M1280" i="8"/>
  <c r="M1281" i="8" s="1"/>
  <c r="M1364" i="8"/>
  <c r="M1365" i="8" s="1"/>
  <c r="P1268" i="8"/>
  <c r="P1269" i="8" s="1"/>
  <c r="P1352" i="8"/>
  <c r="P1353" i="8" s="1"/>
  <c r="L872" i="8"/>
  <c r="L873" i="8" s="1"/>
  <c r="L956" i="8"/>
  <c r="L957" i="8" s="1"/>
  <c r="W357" i="2"/>
  <c r="V758" i="2"/>
  <c r="V798" i="2" s="1"/>
  <c r="O1280" i="8"/>
  <c r="O1281" i="8" s="1"/>
  <c r="O1364" i="8"/>
  <c r="O1365" i="8" s="1"/>
  <c r="P1264" i="8"/>
  <c r="P1265" i="8" s="1"/>
  <c r="P1348" i="8"/>
  <c r="P1349" i="8" s="1"/>
  <c r="Q884" i="8"/>
  <c r="Q885" i="8" s="1"/>
  <c r="Q968" i="8"/>
  <c r="Q969" i="8" s="1"/>
  <c r="L1280" i="8"/>
  <c r="L1281" i="8" s="1"/>
  <c r="L1364" i="8"/>
  <c r="L1365" i="8" s="1"/>
  <c r="O1268" i="8"/>
  <c r="O1269" i="8" s="1"/>
  <c r="O1352" i="8"/>
  <c r="O1353" i="8" s="1"/>
  <c r="O888" i="8"/>
  <c r="O889" i="8" s="1"/>
  <c r="O972" i="8"/>
  <c r="O973" i="8" s="1"/>
  <c r="R872" i="8"/>
  <c r="R873" i="8" s="1"/>
  <c r="R956" i="8"/>
  <c r="R957" i="8" s="1"/>
  <c r="T355" i="2"/>
  <c r="T358" i="2"/>
  <c r="T398" i="2" s="1"/>
  <c r="M872" i="8"/>
  <c r="M873" i="8" s="1"/>
  <c r="M956" i="8"/>
  <c r="M957" i="8" s="1"/>
  <c r="L884" i="8"/>
  <c r="L885" i="8" s="1"/>
  <c r="L968" i="8"/>
  <c r="L969" i="8" s="1"/>
  <c r="S884" i="8"/>
  <c r="S885" i="8" s="1"/>
  <c r="S968" i="8"/>
  <c r="S969" i="8" s="1"/>
  <c r="Q872" i="8"/>
  <c r="Q873" i="8" s="1"/>
  <c r="Q956" i="8"/>
  <c r="Q957" i="8" s="1"/>
  <c r="R1256" i="8"/>
  <c r="R1257" i="8" s="1"/>
  <c r="R1280" i="8"/>
  <c r="R1281" i="8" s="1"/>
  <c r="R1364" i="8"/>
  <c r="R1365" i="8" s="1"/>
  <c r="S1232" i="8"/>
  <c r="S1233" i="8" s="1"/>
  <c r="O1264" i="8"/>
  <c r="O1265" i="8" s="1"/>
  <c r="O1348" i="8"/>
  <c r="O1349" i="8" s="1"/>
  <c r="L1284" i="8"/>
  <c r="L1285" i="8" s="1"/>
  <c r="L1368" i="8"/>
  <c r="L1369" i="8" s="1"/>
  <c r="V353" i="2"/>
  <c r="V393" i="2" s="1"/>
  <c r="T752" i="2"/>
  <c r="S759" i="2"/>
  <c r="N1280" i="8"/>
  <c r="N1281" i="8" s="1"/>
  <c r="N1364" i="8"/>
  <c r="N1365" i="8" s="1"/>
  <c r="R1276" i="8"/>
  <c r="R1277" i="8" s="1"/>
  <c r="R1360" i="8"/>
  <c r="R1361" i="8" s="1"/>
  <c r="N1264" i="8"/>
  <c r="N1265" i="8" s="1"/>
  <c r="N1348" i="8"/>
  <c r="N1349" i="8" s="1"/>
  <c r="Q1284" i="8"/>
  <c r="Q1285" i="8" s="1"/>
  <c r="Q1368" i="8"/>
  <c r="Q1369" i="8" s="1"/>
  <c r="S868" i="8"/>
  <c r="S869" i="8" s="1"/>
  <c r="S952" i="8"/>
  <c r="S953" i="8" s="1"/>
  <c r="U354" i="2"/>
  <c r="U394" i="2" s="1"/>
  <c r="R1284" i="8"/>
  <c r="R1285" i="8" s="1"/>
  <c r="S1248" i="8"/>
  <c r="S1249" i="8" s="1"/>
  <c r="T753" i="2"/>
  <c r="T793" i="2" s="1"/>
  <c r="Q920" i="8"/>
  <c r="Q921" i="8" s="1"/>
  <c r="L1264" i="8"/>
  <c r="L1265" i="8" s="1"/>
  <c r="L1348" i="8"/>
  <c r="L1349" i="8" s="1"/>
  <c r="N884" i="8"/>
  <c r="N885" i="8" s="1"/>
  <c r="N968" i="8"/>
  <c r="N969" i="8" s="1"/>
  <c r="T1364" i="8"/>
  <c r="T1365" i="8" s="1"/>
  <c r="L1268" i="8"/>
  <c r="L1269" i="8" s="1"/>
  <c r="L1352" i="8"/>
  <c r="L1353" i="8" s="1"/>
  <c r="P884" i="8"/>
  <c r="P885" i="8" s="1"/>
  <c r="P968" i="8"/>
  <c r="P969" i="8" s="1"/>
  <c r="M884" i="8"/>
  <c r="M885" i="8" s="1"/>
  <c r="M968" i="8"/>
  <c r="M969" i="8" s="1"/>
  <c r="T868" i="8"/>
  <c r="T869" i="8" s="1"/>
  <c r="T952" i="8"/>
  <c r="T953" i="8" s="1"/>
  <c r="Q1264" i="8"/>
  <c r="Q1265" i="8" s="1"/>
  <c r="Q1348" i="8"/>
  <c r="Q1349" i="8" s="1"/>
  <c r="M888" i="8"/>
  <c r="M889" i="8" s="1"/>
  <c r="M972" i="8"/>
  <c r="M973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R952" i="8"/>
  <c r="R953" i="8" s="1"/>
  <c r="S1280" i="8"/>
  <c r="S1281" i="8" s="1"/>
  <c r="S1364" i="8"/>
  <c r="S1365" i="8" s="1"/>
  <c r="M1268" i="8"/>
  <c r="M1269" i="8" s="1"/>
  <c r="M1352" i="8"/>
  <c r="M1353" i="8" s="1"/>
  <c r="P868" i="8"/>
  <c r="P869" i="8" s="1"/>
  <c r="P952" i="8"/>
  <c r="P953" i="8" s="1"/>
  <c r="N868" i="8"/>
  <c r="N869" i="8" s="1"/>
  <c r="N952" i="8"/>
  <c r="N953" i="8" s="1"/>
  <c r="P1284" i="8"/>
  <c r="P1285" i="8" s="1"/>
  <c r="P1368" i="8"/>
  <c r="P1369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S1360" i="8"/>
  <c r="S1361" i="8" s="1"/>
  <c r="S956" i="8"/>
  <c r="S957" i="8" s="1"/>
  <c r="U751" i="2"/>
  <c r="U791" i="2" s="1"/>
  <c r="U756" i="2"/>
  <c r="U796" i="2" s="1"/>
  <c r="R884" i="8"/>
  <c r="R885" i="8" s="1"/>
  <c r="R968" i="8"/>
  <c r="R969" i="8" s="1"/>
  <c r="O868" i="8"/>
  <c r="O869" i="8" s="1"/>
  <c r="O952" i="8"/>
  <c r="O953" i="8" s="1"/>
  <c r="T386" i="2"/>
  <c r="T928" i="8" s="1"/>
  <c r="T929" i="8" s="1"/>
  <c r="P183" i="2"/>
  <c r="V1096" i="8"/>
  <c r="V1097" i="8" s="1"/>
  <c r="V721" i="2"/>
  <c r="V1128" i="8" s="1"/>
  <c r="V1129" i="8" s="1"/>
  <c r="AC721" i="2"/>
  <c r="AC1128" i="8" s="1"/>
  <c r="AC1129" i="8" s="1"/>
  <c r="AC1096" i="8"/>
  <c r="AC1097" i="8" s="1"/>
  <c r="O785" i="2"/>
  <c r="O1324" i="8" s="1"/>
  <c r="O1325" i="8" s="1"/>
  <c r="O1260" i="8"/>
  <c r="O1261" i="8" s="1"/>
  <c r="O770" i="2"/>
  <c r="AD325" i="2"/>
  <c r="AD744" i="8" s="1"/>
  <c r="AD745" i="8" s="1"/>
  <c r="AD712" i="8"/>
  <c r="AD713" i="8" s="1"/>
  <c r="AA322" i="2"/>
  <c r="AA732" i="8" s="1"/>
  <c r="AA733" i="8" s="1"/>
  <c r="AA700" i="8"/>
  <c r="AA701" i="8" s="1"/>
  <c r="Q386" i="2"/>
  <c r="Q928" i="8" s="1"/>
  <c r="Q929" i="8" s="1"/>
  <c r="Q864" i="8"/>
  <c r="Q865" i="8" s="1"/>
  <c r="Q371" i="2"/>
  <c r="R784" i="2"/>
  <c r="R1320" i="8" s="1"/>
  <c r="R1321" i="8" s="1"/>
  <c r="U1104" i="8"/>
  <c r="U1105" i="8" s="1"/>
  <c r="U723" i="2"/>
  <c r="U1136" i="8" s="1"/>
  <c r="U1137" i="8" s="1"/>
  <c r="X724" i="2"/>
  <c r="X1140" i="8" s="1"/>
  <c r="X1141" i="8" s="1"/>
  <c r="X1108" i="8"/>
  <c r="X1109" i="8" s="1"/>
  <c r="V1108" i="8"/>
  <c r="V1109" i="8" s="1"/>
  <c r="V724" i="2"/>
  <c r="V1140" i="8" s="1"/>
  <c r="V1141" i="8" s="1"/>
  <c r="F1117" i="8"/>
  <c r="Q1104" i="8"/>
  <c r="Q1105" i="8" s="1"/>
  <c r="Q723" i="2"/>
  <c r="Q1136" i="8" s="1"/>
  <c r="Q1137" i="8" s="1"/>
  <c r="X1104" i="8"/>
  <c r="X1105" i="8" s="1"/>
  <c r="X723" i="2"/>
  <c r="X1136" i="8" s="1"/>
  <c r="X1137" i="8" s="1"/>
  <c r="AE720" i="2"/>
  <c r="AE1124" i="8" s="1"/>
  <c r="AE1125" i="8" s="1"/>
  <c r="AE1092" i="8"/>
  <c r="AE1093" i="8" s="1"/>
  <c r="O223" i="8"/>
  <c r="O224" i="8" s="1"/>
  <c r="O582" i="2"/>
  <c r="P573" i="2"/>
  <c r="L1096" i="8"/>
  <c r="L1097" i="8" s="1"/>
  <c r="L721" i="2"/>
  <c r="L1128" i="8" s="1"/>
  <c r="L1129" i="8" s="1"/>
  <c r="U1096" i="8"/>
  <c r="U1097" i="8" s="1"/>
  <c r="U721" i="2"/>
  <c r="U1128" i="8" s="1"/>
  <c r="U1129" i="8" s="1"/>
  <c r="AE1088" i="8"/>
  <c r="AE1089" i="8" s="1"/>
  <c r="AE719" i="2"/>
  <c r="AE1120" i="8" s="1"/>
  <c r="AE1121" i="8" s="1"/>
  <c r="Q1260" i="8"/>
  <c r="Q1261" i="8" s="1"/>
  <c r="Q770" i="2"/>
  <c r="Q785" i="2"/>
  <c r="Q1324" i="8" s="1"/>
  <c r="Q1325" i="8" s="1"/>
  <c r="F1133" i="8"/>
  <c r="AC325" i="2"/>
  <c r="AC744" i="8" s="1"/>
  <c r="AC745" i="8" s="1"/>
  <c r="AC712" i="8"/>
  <c r="AC713" i="8" s="1"/>
  <c r="P712" i="8"/>
  <c r="P713" i="8" s="1"/>
  <c r="P325" i="2"/>
  <c r="P744" i="8" s="1"/>
  <c r="P745" i="8" s="1"/>
  <c r="O708" i="8"/>
  <c r="O709" i="8" s="1"/>
  <c r="O324" i="2"/>
  <c r="O740" i="8" s="1"/>
  <c r="O741" i="8" s="1"/>
  <c r="AC324" i="2"/>
  <c r="AC740" i="8" s="1"/>
  <c r="AC741" i="8" s="1"/>
  <c r="AC708" i="8"/>
  <c r="AC709" i="8" s="1"/>
  <c r="U716" i="8"/>
  <c r="U717" i="8" s="1"/>
  <c r="U326" i="2"/>
  <c r="U748" i="8" s="1"/>
  <c r="U749" i="8" s="1"/>
  <c r="O725" i="2"/>
  <c r="O1144" i="8" s="1"/>
  <c r="O1145" i="8" s="1"/>
  <c r="O1112" i="8"/>
  <c r="O1113" i="8" s="1"/>
  <c r="M700" i="8"/>
  <c r="M701" i="8" s="1"/>
  <c r="M322" i="2"/>
  <c r="M732" i="8" s="1"/>
  <c r="M733" i="8" s="1"/>
  <c r="N322" i="2"/>
  <c r="N732" i="8" s="1"/>
  <c r="N733" i="8" s="1"/>
  <c r="N700" i="8"/>
  <c r="N701" i="8" s="1"/>
  <c r="AE692" i="8"/>
  <c r="AE693" i="8" s="1"/>
  <c r="AE320" i="2"/>
  <c r="AE724" i="8" s="1"/>
  <c r="AE725" i="8" s="1"/>
  <c r="Q692" i="8"/>
  <c r="Q693" i="8" s="1"/>
  <c r="Q320" i="2"/>
  <c r="Q724" i="8" s="1"/>
  <c r="Q725" i="8" s="1"/>
  <c r="W1104" i="8"/>
  <c r="W1105" i="8" s="1"/>
  <c r="W723" i="2"/>
  <c r="W1136" i="8" s="1"/>
  <c r="W1137" i="8" s="1"/>
  <c r="P720" i="2"/>
  <c r="P1124" i="8" s="1"/>
  <c r="P1125" i="8" s="1"/>
  <c r="P1092" i="8"/>
  <c r="P1093" i="8" s="1"/>
  <c r="P708" i="8"/>
  <c r="P709" i="8" s="1"/>
  <c r="P324" i="2"/>
  <c r="P740" i="8" s="1"/>
  <c r="P741" i="8" s="1"/>
  <c r="Z1112" i="8"/>
  <c r="Z1113" i="8" s="1"/>
  <c r="Z725" i="2"/>
  <c r="Z1144" i="8" s="1"/>
  <c r="Z1145" i="8" s="1"/>
  <c r="Z692" i="8"/>
  <c r="Z693" i="8" s="1"/>
  <c r="Z320" i="2"/>
  <c r="Z724" i="8" s="1"/>
  <c r="Z725" i="8" s="1"/>
  <c r="X1096" i="8"/>
  <c r="X1097" i="8" s="1"/>
  <c r="X721" i="2"/>
  <c r="X1128" i="8" s="1"/>
  <c r="X1129" i="8" s="1"/>
  <c r="M385" i="2"/>
  <c r="M880" i="8"/>
  <c r="M881" i="8" s="1"/>
  <c r="W708" i="8"/>
  <c r="W709" i="8" s="1"/>
  <c r="W324" i="2"/>
  <c r="W740" i="8" s="1"/>
  <c r="W741" i="8" s="1"/>
  <c r="Z321" i="2"/>
  <c r="Z728" i="8" s="1"/>
  <c r="Z729" i="8" s="1"/>
  <c r="Z696" i="8"/>
  <c r="Z697" i="8" s="1"/>
  <c r="AD700" i="8"/>
  <c r="AD701" i="8" s="1"/>
  <c r="AD322" i="2"/>
  <c r="AD732" i="8" s="1"/>
  <c r="AD733" i="8" s="1"/>
  <c r="AB320" i="2"/>
  <c r="AB724" i="8" s="1"/>
  <c r="AB725" i="8" s="1"/>
  <c r="AB692" i="8"/>
  <c r="AB693" i="8" s="1"/>
  <c r="S788" i="2"/>
  <c r="S1336" i="8" s="1"/>
  <c r="S1337" i="8" s="1"/>
  <c r="O1108" i="8"/>
  <c r="O1109" i="8" s="1"/>
  <c r="O724" i="2"/>
  <c r="O1140" i="8" s="1"/>
  <c r="O1141" i="8" s="1"/>
  <c r="F1149" i="8"/>
  <c r="O723" i="2"/>
  <c r="O1136" i="8" s="1"/>
  <c r="O1137" i="8" s="1"/>
  <c r="O1104" i="8"/>
  <c r="O1105" i="8" s="1"/>
  <c r="L723" i="2"/>
  <c r="L1136" i="8" s="1"/>
  <c r="L1137" i="8" s="1"/>
  <c r="L1104" i="8"/>
  <c r="L1105" i="8" s="1"/>
  <c r="Z1092" i="8"/>
  <c r="Z1093" i="8" s="1"/>
  <c r="Z720" i="2"/>
  <c r="Z1124" i="8" s="1"/>
  <c r="Z1125" i="8" s="1"/>
  <c r="V720" i="2"/>
  <c r="V1124" i="8" s="1"/>
  <c r="V1125" i="8" s="1"/>
  <c r="V1092" i="8"/>
  <c r="V1093" i="8" s="1"/>
  <c r="W1096" i="8"/>
  <c r="W1097" i="8" s="1"/>
  <c r="W721" i="2"/>
  <c r="W1128" i="8" s="1"/>
  <c r="W1129" i="8" s="1"/>
  <c r="AC1088" i="8"/>
  <c r="AC1089" i="8" s="1"/>
  <c r="AC719" i="2"/>
  <c r="AC1120" i="8" s="1"/>
  <c r="AC1121" i="8" s="1"/>
  <c r="P785" i="2"/>
  <c r="P1324" i="8" s="1"/>
  <c r="P1325" i="8" s="1"/>
  <c r="P1260" i="8"/>
  <c r="P1261" i="8" s="1"/>
  <c r="F1101" i="8"/>
  <c r="AB325" i="2"/>
  <c r="AB744" i="8" s="1"/>
  <c r="AB745" i="8" s="1"/>
  <c r="AB712" i="8"/>
  <c r="AB713" i="8" s="1"/>
  <c r="Y325" i="2"/>
  <c r="Y744" i="8" s="1"/>
  <c r="Y745" i="8" s="1"/>
  <c r="Y712" i="8"/>
  <c r="Y713" i="8" s="1"/>
  <c r="Q880" i="8"/>
  <c r="Q881" i="8" s="1"/>
  <c r="Q385" i="2"/>
  <c r="V708" i="8"/>
  <c r="V709" i="8" s="1"/>
  <c r="V324" i="2"/>
  <c r="V740" i="8" s="1"/>
  <c r="V741" i="8" s="1"/>
  <c r="AB716" i="8"/>
  <c r="AB717" i="8" s="1"/>
  <c r="AB326" i="2"/>
  <c r="AB748" i="8" s="1"/>
  <c r="AB749" i="8" s="1"/>
  <c r="AE716" i="8"/>
  <c r="AE717" i="8" s="1"/>
  <c r="AE326" i="2"/>
  <c r="AE748" i="8" s="1"/>
  <c r="AE749" i="8" s="1"/>
  <c r="AE1112" i="8"/>
  <c r="AE1113" i="8" s="1"/>
  <c r="AE725" i="2"/>
  <c r="AE1144" i="8" s="1"/>
  <c r="AE1145" i="8" s="1"/>
  <c r="W725" i="2"/>
  <c r="W1144" i="8" s="1"/>
  <c r="W1145" i="8" s="1"/>
  <c r="W1112" i="8"/>
  <c r="W1113" i="8" s="1"/>
  <c r="Q700" i="8"/>
  <c r="Q701" i="8" s="1"/>
  <c r="Q322" i="2"/>
  <c r="Q732" i="8" s="1"/>
  <c r="Q733" i="8" s="1"/>
  <c r="V322" i="2"/>
  <c r="V732" i="8" s="1"/>
  <c r="V733" i="8" s="1"/>
  <c r="V700" i="8"/>
  <c r="V701" i="8" s="1"/>
  <c r="F737" i="8"/>
  <c r="N692" i="8"/>
  <c r="N693" i="8" s="1"/>
  <c r="N320" i="2"/>
  <c r="N724" i="8" s="1"/>
  <c r="N725" i="8" s="1"/>
  <c r="S692" i="8"/>
  <c r="S693" i="8" s="1"/>
  <c r="S320" i="2"/>
  <c r="S724" i="8" s="1"/>
  <c r="S725" i="8" s="1"/>
  <c r="R864" i="8"/>
  <c r="R865" i="8" s="1"/>
  <c r="R386" i="2"/>
  <c r="R928" i="8" s="1"/>
  <c r="R929" i="8" s="1"/>
  <c r="N785" i="2"/>
  <c r="N1324" i="8" s="1"/>
  <c r="N1325" i="8" s="1"/>
  <c r="N1260" i="8"/>
  <c r="N1261" i="8" s="1"/>
  <c r="N770" i="2"/>
  <c r="AB1108" i="8"/>
  <c r="AB1109" i="8" s="1"/>
  <c r="AB724" i="2"/>
  <c r="AB1140" i="8" s="1"/>
  <c r="AB1141" i="8" s="1"/>
  <c r="M1096" i="8"/>
  <c r="M1097" i="8" s="1"/>
  <c r="M721" i="2"/>
  <c r="M1128" i="8" s="1"/>
  <c r="M1129" i="8" s="1"/>
  <c r="L712" i="8"/>
  <c r="L713" i="8" s="1"/>
  <c r="L325" i="2"/>
  <c r="L744" i="8" s="1"/>
  <c r="L745" i="8" s="1"/>
  <c r="X1112" i="8"/>
  <c r="X1113" i="8" s="1"/>
  <c r="X725" i="2"/>
  <c r="X1144" i="8" s="1"/>
  <c r="X1145" i="8" s="1"/>
  <c r="R700" i="8"/>
  <c r="R701" i="8" s="1"/>
  <c r="R322" i="2"/>
  <c r="R732" i="8" s="1"/>
  <c r="R733" i="8" s="1"/>
  <c r="O864" i="8"/>
  <c r="O865" i="8" s="1"/>
  <c r="O386" i="2"/>
  <c r="O928" i="8" s="1"/>
  <c r="O929" i="8" s="1"/>
  <c r="O371" i="2"/>
  <c r="P1108" i="8"/>
  <c r="P1109" i="8" s="1"/>
  <c r="P724" i="2"/>
  <c r="P1140" i="8" s="1"/>
  <c r="P1141" i="8" s="1"/>
  <c r="AA1108" i="8"/>
  <c r="AA1109" i="8" s="1"/>
  <c r="AA724" i="2"/>
  <c r="AA1140" i="8" s="1"/>
  <c r="AA1141" i="8" s="1"/>
  <c r="M1276" i="8"/>
  <c r="M1277" i="8" s="1"/>
  <c r="M784" i="2"/>
  <c r="V723" i="2"/>
  <c r="V1136" i="8" s="1"/>
  <c r="V1137" i="8" s="1"/>
  <c r="V1104" i="8"/>
  <c r="V1105" i="8" s="1"/>
  <c r="Y1092" i="8"/>
  <c r="Y1093" i="8" s="1"/>
  <c r="Y720" i="2"/>
  <c r="Y1124" i="8" s="1"/>
  <c r="Y1125" i="8" s="1"/>
  <c r="AD720" i="2"/>
  <c r="AD1124" i="8" s="1"/>
  <c r="AD1125" i="8" s="1"/>
  <c r="AD1092" i="8"/>
  <c r="AD1093" i="8" s="1"/>
  <c r="AB1096" i="8"/>
  <c r="AB1097" i="8" s="1"/>
  <c r="AB721" i="2"/>
  <c r="AB1128" i="8" s="1"/>
  <c r="AB1129" i="8" s="1"/>
  <c r="L1088" i="8"/>
  <c r="L1089" i="8" s="1"/>
  <c r="L719" i="2"/>
  <c r="L1120" i="8" s="1"/>
  <c r="L1121" i="8" s="1"/>
  <c r="L770" i="2"/>
  <c r="L785" i="2"/>
  <c r="L1324" i="8" s="1"/>
  <c r="L1325" i="8" s="1"/>
  <c r="L1260" i="8"/>
  <c r="L1261" i="8" s="1"/>
  <c r="R712" i="8"/>
  <c r="R713" i="8" s="1"/>
  <c r="R325" i="2"/>
  <c r="R744" i="8" s="1"/>
  <c r="R745" i="8" s="1"/>
  <c r="T712" i="8"/>
  <c r="T713" i="8" s="1"/>
  <c r="T325" i="2"/>
  <c r="T744" i="8" s="1"/>
  <c r="T745" i="8" s="1"/>
  <c r="N385" i="2"/>
  <c r="N880" i="8"/>
  <c r="N881" i="8" s="1"/>
  <c r="AA708" i="8"/>
  <c r="AA709" i="8" s="1"/>
  <c r="AA324" i="2"/>
  <c r="AA740" i="8" s="1"/>
  <c r="AA741" i="8" s="1"/>
  <c r="T716" i="8"/>
  <c r="T717" i="8" s="1"/>
  <c r="T326" i="2"/>
  <c r="T748" i="8" s="1"/>
  <c r="T749" i="8" s="1"/>
  <c r="U725" i="2"/>
  <c r="U1144" i="8" s="1"/>
  <c r="U1145" i="8" s="1"/>
  <c r="U1112" i="8"/>
  <c r="U1113" i="8" s="1"/>
  <c r="AA321" i="2"/>
  <c r="AA728" i="8" s="1"/>
  <c r="AA729" i="8" s="1"/>
  <c r="AA696" i="8"/>
  <c r="AA697" i="8" s="1"/>
  <c r="Y696" i="8"/>
  <c r="Y697" i="8" s="1"/>
  <c r="Y321" i="2"/>
  <c r="Y728" i="8" s="1"/>
  <c r="Y729" i="8" s="1"/>
  <c r="Z700" i="8"/>
  <c r="Z701" i="8" s="1"/>
  <c r="Z322" i="2"/>
  <c r="Z732" i="8" s="1"/>
  <c r="Z733" i="8" s="1"/>
  <c r="F705" i="8"/>
  <c r="N386" i="2"/>
  <c r="N928" i="8" s="1"/>
  <c r="N929" i="8" s="1"/>
  <c r="N864" i="8"/>
  <c r="N865" i="8" s="1"/>
  <c r="N371" i="2"/>
  <c r="AD692" i="8"/>
  <c r="AD693" i="8" s="1"/>
  <c r="AD320" i="2"/>
  <c r="AD724" i="8" s="1"/>
  <c r="AD725" i="8" s="1"/>
  <c r="O721" i="2"/>
  <c r="O1128" i="8" s="1"/>
  <c r="O1129" i="8" s="1"/>
  <c r="O1096" i="8"/>
  <c r="O1097" i="8" s="1"/>
  <c r="AA719" i="2"/>
  <c r="AA1120" i="8" s="1"/>
  <c r="AA1121" i="8" s="1"/>
  <c r="AA1088" i="8"/>
  <c r="AA1089" i="8" s="1"/>
  <c r="L371" i="2"/>
  <c r="L385" i="2"/>
  <c r="L880" i="8"/>
  <c r="L881" i="8" s="1"/>
  <c r="AC696" i="8"/>
  <c r="AC697" i="8" s="1"/>
  <c r="AC321" i="2"/>
  <c r="AC728" i="8" s="1"/>
  <c r="AC729" i="8" s="1"/>
  <c r="S322" i="2"/>
  <c r="S732" i="8" s="1"/>
  <c r="S733" i="8" s="1"/>
  <c r="S700" i="8"/>
  <c r="S701" i="8" s="1"/>
  <c r="O700" i="8"/>
  <c r="O701" i="8" s="1"/>
  <c r="O322" i="2"/>
  <c r="O732" i="8" s="1"/>
  <c r="O733" i="8" s="1"/>
  <c r="AD1108" i="8"/>
  <c r="AD1109" i="8" s="1"/>
  <c r="AD724" i="2"/>
  <c r="AD1140" i="8" s="1"/>
  <c r="AD1141" i="8" s="1"/>
  <c r="S321" i="2"/>
  <c r="S728" i="8" s="1"/>
  <c r="S729" i="8" s="1"/>
  <c r="S696" i="8"/>
  <c r="S697" i="8" s="1"/>
  <c r="N1108" i="8"/>
  <c r="N1109" i="8" s="1"/>
  <c r="N724" i="2"/>
  <c r="N1140" i="8" s="1"/>
  <c r="N1141" i="8" s="1"/>
  <c r="U1108" i="8"/>
  <c r="U1109" i="8" s="1"/>
  <c r="U724" i="2"/>
  <c r="U1140" i="8" s="1"/>
  <c r="U1141" i="8" s="1"/>
  <c r="N1104" i="8"/>
  <c r="N1105" i="8" s="1"/>
  <c r="N723" i="2"/>
  <c r="N1136" i="8" s="1"/>
  <c r="N1137" i="8" s="1"/>
  <c r="AA1104" i="8"/>
  <c r="AA1105" i="8" s="1"/>
  <c r="AA723" i="2"/>
  <c r="AA1136" i="8" s="1"/>
  <c r="AA1137" i="8" s="1"/>
  <c r="X1092" i="8"/>
  <c r="X1093" i="8" s="1"/>
  <c r="X720" i="2"/>
  <c r="X1124" i="8" s="1"/>
  <c r="X1125" i="8" s="1"/>
  <c r="U1092" i="8"/>
  <c r="U1093" i="8" s="1"/>
  <c r="U720" i="2"/>
  <c r="U1124" i="8" s="1"/>
  <c r="U1125" i="8" s="1"/>
  <c r="AE1096" i="8"/>
  <c r="AE1097" i="8" s="1"/>
  <c r="AE721" i="2"/>
  <c r="AE1128" i="8" s="1"/>
  <c r="AE1129" i="8" s="1"/>
  <c r="Z1088" i="8"/>
  <c r="Z1089" i="8" s="1"/>
  <c r="Z719" i="2"/>
  <c r="Z1120" i="8" s="1"/>
  <c r="Z1121" i="8" s="1"/>
  <c r="V1088" i="8"/>
  <c r="V1089" i="8" s="1"/>
  <c r="V719" i="2"/>
  <c r="V1120" i="8" s="1"/>
  <c r="V1121" i="8" s="1"/>
  <c r="N712" i="8"/>
  <c r="N713" i="8" s="1"/>
  <c r="N325" i="2"/>
  <c r="N744" i="8" s="1"/>
  <c r="N745" i="8" s="1"/>
  <c r="AE708" i="8"/>
  <c r="AE709" i="8" s="1"/>
  <c r="AE324" i="2"/>
  <c r="AE740" i="8" s="1"/>
  <c r="AE741" i="8" s="1"/>
  <c r="U708" i="8"/>
  <c r="U709" i="8" s="1"/>
  <c r="U324" i="2"/>
  <c r="U740" i="8" s="1"/>
  <c r="U741" i="8" s="1"/>
  <c r="AA716" i="8"/>
  <c r="AA717" i="8" s="1"/>
  <c r="AA326" i="2"/>
  <c r="AA748" i="8" s="1"/>
  <c r="AA749" i="8" s="1"/>
  <c r="Q326" i="2"/>
  <c r="Q748" i="8" s="1"/>
  <c r="Q749" i="8" s="1"/>
  <c r="Q716" i="8"/>
  <c r="Q717" i="8" s="1"/>
  <c r="M1112" i="8"/>
  <c r="M1113" i="8" s="1"/>
  <c r="M725" i="2"/>
  <c r="M1144" i="8" s="1"/>
  <c r="M1145" i="8" s="1"/>
  <c r="V725" i="2"/>
  <c r="V1144" i="8" s="1"/>
  <c r="V1145" i="8" s="1"/>
  <c r="V1112" i="8"/>
  <c r="V1113" i="8" s="1"/>
  <c r="AB696" i="8"/>
  <c r="AB697" i="8" s="1"/>
  <c r="AB321" i="2"/>
  <c r="AB728" i="8" s="1"/>
  <c r="AB729" i="8" s="1"/>
  <c r="L700" i="8"/>
  <c r="L701" i="8" s="1"/>
  <c r="L322" i="2"/>
  <c r="L732" i="8" s="1"/>
  <c r="L733" i="8" s="1"/>
  <c r="U700" i="8"/>
  <c r="U701" i="8" s="1"/>
  <c r="U322" i="2"/>
  <c r="U732" i="8" s="1"/>
  <c r="U733" i="8" s="1"/>
  <c r="M692" i="8"/>
  <c r="M693" i="8" s="1"/>
  <c r="M320" i="2"/>
  <c r="M724" i="8" s="1"/>
  <c r="M725" i="8" s="1"/>
  <c r="R692" i="8"/>
  <c r="R693" i="8" s="1"/>
  <c r="R320" i="2"/>
  <c r="R724" i="8" s="1"/>
  <c r="R725" i="8" s="1"/>
  <c r="O1088" i="8"/>
  <c r="O1089" i="8" s="1"/>
  <c r="O719" i="2"/>
  <c r="O1120" i="8" s="1"/>
  <c r="O1121" i="8" s="1"/>
  <c r="L708" i="8"/>
  <c r="L709" i="8" s="1"/>
  <c r="L324" i="2"/>
  <c r="L740" i="8" s="1"/>
  <c r="L741" i="8" s="1"/>
  <c r="Y723" i="2"/>
  <c r="Y1136" i="8" s="1"/>
  <c r="Y1137" i="8" s="1"/>
  <c r="Y1104" i="8"/>
  <c r="Y1105" i="8" s="1"/>
  <c r="N1096" i="8"/>
  <c r="N1097" i="8" s="1"/>
  <c r="N721" i="2"/>
  <c r="N1128" i="8" s="1"/>
  <c r="N1129" i="8" s="1"/>
  <c r="Q712" i="8"/>
  <c r="Q713" i="8" s="1"/>
  <c r="Q325" i="2"/>
  <c r="Q744" i="8" s="1"/>
  <c r="Q745" i="8" s="1"/>
  <c r="T748" i="2"/>
  <c r="T1220" i="8" s="1"/>
  <c r="T1221" i="8" s="1"/>
  <c r="R1108" i="8"/>
  <c r="R1109" i="8" s="1"/>
  <c r="R724" i="2"/>
  <c r="R1140" i="8" s="1"/>
  <c r="R1141" i="8" s="1"/>
  <c r="M719" i="2"/>
  <c r="M1120" i="8" s="1"/>
  <c r="M1121" i="8" s="1"/>
  <c r="M1088" i="8"/>
  <c r="M1089" i="8" s="1"/>
  <c r="S326" i="2"/>
  <c r="S748" i="8" s="1"/>
  <c r="S749" i="8" s="1"/>
  <c r="S716" i="8"/>
  <c r="S717" i="8" s="1"/>
  <c r="X696" i="8"/>
  <c r="X697" i="8" s="1"/>
  <c r="X321" i="2"/>
  <c r="X728" i="8" s="1"/>
  <c r="X729" i="8" s="1"/>
  <c r="P513" i="2"/>
  <c r="O187" i="8"/>
  <c r="O188" i="8" s="1"/>
  <c r="O522" i="2"/>
  <c r="W1108" i="8"/>
  <c r="W1109" i="8" s="1"/>
  <c r="W724" i="2"/>
  <c r="W1140" i="8" s="1"/>
  <c r="W1141" i="8" s="1"/>
  <c r="P770" i="2"/>
  <c r="P1276" i="8"/>
  <c r="P1277" i="8" s="1"/>
  <c r="P784" i="2"/>
  <c r="L1276" i="8"/>
  <c r="L1277" i="8" s="1"/>
  <c r="L784" i="2"/>
  <c r="R1092" i="8"/>
  <c r="R1093" i="8" s="1"/>
  <c r="R720" i="2"/>
  <c r="R1124" i="8" s="1"/>
  <c r="R1125" i="8" s="1"/>
  <c r="N1092" i="8"/>
  <c r="N1093" i="8" s="1"/>
  <c r="N720" i="2"/>
  <c r="N1124" i="8" s="1"/>
  <c r="N1125" i="8" s="1"/>
  <c r="S1096" i="8"/>
  <c r="S1097" i="8" s="1"/>
  <c r="S721" i="2"/>
  <c r="S1128" i="8" s="1"/>
  <c r="S1129" i="8" s="1"/>
  <c r="S1088" i="8"/>
  <c r="S1089" i="8" s="1"/>
  <c r="S719" i="2"/>
  <c r="S1120" i="8" s="1"/>
  <c r="S1121" i="8" s="1"/>
  <c r="Y1088" i="8"/>
  <c r="Y1089" i="8" s="1"/>
  <c r="Y719" i="2"/>
  <c r="Y1120" i="8" s="1"/>
  <c r="Y1121" i="8" s="1"/>
  <c r="V325" i="2"/>
  <c r="V744" i="8" s="1"/>
  <c r="V745" i="8" s="1"/>
  <c r="V712" i="8"/>
  <c r="V713" i="8" s="1"/>
  <c r="X712" i="8"/>
  <c r="X713" i="8" s="1"/>
  <c r="X325" i="2"/>
  <c r="X744" i="8" s="1"/>
  <c r="X745" i="8" s="1"/>
  <c r="N708" i="8"/>
  <c r="N709" i="8" s="1"/>
  <c r="N324" i="2"/>
  <c r="N740" i="8" s="1"/>
  <c r="N741" i="8" s="1"/>
  <c r="Z708" i="8"/>
  <c r="Z709" i="8" s="1"/>
  <c r="Z324" i="2"/>
  <c r="Z740" i="8" s="1"/>
  <c r="Z741" i="8" s="1"/>
  <c r="Z326" i="2"/>
  <c r="Z748" i="8" s="1"/>
  <c r="Z749" i="8" s="1"/>
  <c r="Z716" i="8"/>
  <c r="Z717" i="8" s="1"/>
  <c r="T725" i="2"/>
  <c r="T1144" i="8" s="1"/>
  <c r="T1145" i="8" s="1"/>
  <c r="T1112" i="8"/>
  <c r="T1113" i="8" s="1"/>
  <c r="AB1112" i="8"/>
  <c r="AB1113" i="8" s="1"/>
  <c r="AB725" i="2"/>
  <c r="AB1144" i="8" s="1"/>
  <c r="AB1145" i="8" s="1"/>
  <c r="P321" i="2"/>
  <c r="P728" i="8" s="1"/>
  <c r="P729" i="8" s="1"/>
  <c r="P696" i="8"/>
  <c r="P697" i="8" s="1"/>
  <c r="W696" i="8"/>
  <c r="W697" i="8" s="1"/>
  <c r="W321" i="2"/>
  <c r="W728" i="8" s="1"/>
  <c r="W729" i="8" s="1"/>
  <c r="L864" i="8"/>
  <c r="L865" i="8" s="1"/>
  <c r="L386" i="2"/>
  <c r="L928" i="8" s="1"/>
  <c r="L929" i="8" s="1"/>
  <c r="P692" i="8"/>
  <c r="P693" i="8" s="1"/>
  <c r="P320" i="2"/>
  <c r="P724" i="8" s="1"/>
  <c r="P725" i="8" s="1"/>
  <c r="X700" i="8"/>
  <c r="X701" i="8" s="1"/>
  <c r="X322" i="2"/>
  <c r="X732" i="8" s="1"/>
  <c r="X733" i="8" s="1"/>
  <c r="AB723" i="2"/>
  <c r="AB1136" i="8" s="1"/>
  <c r="AB1137" i="8" s="1"/>
  <c r="AB1104" i="8"/>
  <c r="AB1105" i="8" s="1"/>
  <c r="M724" i="2"/>
  <c r="M1140" i="8" s="1"/>
  <c r="M1141" i="8" s="1"/>
  <c r="M1108" i="8"/>
  <c r="M1109" i="8" s="1"/>
  <c r="T724" i="2"/>
  <c r="T1140" i="8" s="1"/>
  <c r="T1141" i="8" s="1"/>
  <c r="T1108" i="8"/>
  <c r="T1109" i="8" s="1"/>
  <c r="AE723" i="2"/>
  <c r="AE1136" i="8" s="1"/>
  <c r="AE1137" i="8" s="1"/>
  <c r="AE1104" i="8"/>
  <c r="AE1105" i="8" s="1"/>
  <c r="Q1276" i="8"/>
  <c r="Q1277" i="8" s="1"/>
  <c r="Q784" i="2"/>
  <c r="W1092" i="8"/>
  <c r="W1093" i="8" s="1"/>
  <c r="W720" i="2"/>
  <c r="W1124" i="8" s="1"/>
  <c r="W1125" i="8" s="1"/>
  <c r="Q1092" i="8"/>
  <c r="Q1093" i="8" s="1"/>
  <c r="Q720" i="2"/>
  <c r="Q1124" i="8" s="1"/>
  <c r="Q1125" i="8" s="1"/>
  <c r="AA721" i="2"/>
  <c r="AA1128" i="8" s="1"/>
  <c r="AA1129" i="8" s="1"/>
  <c r="AA1096" i="8"/>
  <c r="AA1097" i="8" s="1"/>
  <c r="AD1088" i="8"/>
  <c r="AD1089" i="8" s="1"/>
  <c r="AD719" i="2"/>
  <c r="AD1120" i="8" s="1"/>
  <c r="AD1121" i="8" s="1"/>
  <c r="U1088" i="8"/>
  <c r="U1089" i="8" s="1"/>
  <c r="U719" i="2"/>
  <c r="U1120" i="8" s="1"/>
  <c r="U1121" i="8" s="1"/>
  <c r="AA712" i="8"/>
  <c r="AA713" i="8" s="1"/>
  <c r="AA325" i="2"/>
  <c r="AA744" i="8" s="1"/>
  <c r="AA745" i="8" s="1"/>
  <c r="P385" i="2"/>
  <c r="P880" i="8"/>
  <c r="P881" i="8" s="1"/>
  <c r="T324" i="2"/>
  <c r="T740" i="8" s="1"/>
  <c r="T741" i="8" s="1"/>
  <c r="T708" i="8"/>
  <c r="T709" i="8" s="1"/>
  <c r="N716" i="8"/>
  <c r="N717" i="8" s="1"/>
  <c r="N326" i="2"/>
  <c r="N748" i="8" s="1"/>
  <c r="N749" i="8" s="1"/>
  <c r="L725" i="2"/>
  <c r="L1144" i="8" s="1"/>
  <c r="L1145" i="8" s="1"/>
  <c r="L1112" i="8"/>
  <c r="L1113" i="8" s="1"/>
  <c r="S1112" i="8"/>
  <c r="S1113" i="8" s="1"/>
  <c r="S725" i="2"/>
  <c r="S1144" i="8" s="1"/>
  <c r="S1145" i="8" s="1"/>
  <c r="O696" i="8"/>
  <c r="O697" i="8" s="1"/>
  <c r="O321" i="2"/>
  <c r="O728" i="8" s="1"/>
  <c r="O729" i="8" s="1"/>
  <c r="Y700" i="8"/>
  <c r="Y701" i="8" s="1"/>
  <c r="Y322" i="2"/>
  <c r="Y732" i="8" s="1"/>
  <c r="Y733" i="8" s="1"/>
  <c r="T322" i="2"/>
  <c r="T732" i="8" s="1"/>
  <c r="T733" i="8" s="1"/>
  <c r="T700" i="8"/>
  <c r="T701" i="8" s="1"/>
  <c r="W692" i="8"/>
  <c r="W693" i="8" s="1"/>
  <c r="W320" i="2"/>
  <c r="W724" i="8" s="1"/>
  <c r="W725" i="8" s="1"/>
  <c r="L692" i="8"/>
  <c r="L693" i="8" s="1"/>
  <c r="L320" i="2"/>
  <c r="L724" i="8" s="1"/>
  <c r="L725" i="8" s="1"/>
  <c r="R321" i="2"/>
  <c r="R728" i="8" s="1"/>
  <c r="R729" i="8" s="1"/>
  <c r="R696" i="8"/>
  <c r="R697" i="8" s="1"/>
  <c r="S723" i="2"/>
  <c r="S1136" i="8" s="1"/>
  <c r="S1137" i="8" s="1"/>
  <c r="S1104" i="8"/>
  <c r="S1105" i="8" s="1"/>
  <c r="T1092" i="8"/>
  <c r="T1093" i="8" s="1"/>
  <c r="T720" i="2"/>
  <c r="T1124" i="8" s="1"/>
  <c r="T1125" i="8" s="1"/>
  <c r="AC720" i="2"/>
  <c r="AC1124" i="8" s="1"/>
  <c r="AC1125" i="8" s="1"/>
  <c r="AC1092" i="8"/>
  <c r="AC1093" i="8" s="1"/>
  <c r="T1096" i="8"/>
  <c r="T1097" i="8" s="1"/>
  <c r="T721" i="2"/>
  <c r="T1128" i="8" s="1"/>
  <c r="T1129" i="8" s="1"/>
  <c r="P638" i="2"/>
  <c r="O642" i="2"/>
  <c r="O279" i="8"/>
  <c r="O280" i="8" s="1"/>
  <c r="X1088" i="8"/>
  <c r="X1089" i="8" s="1"/>
  <c r="X719" i="2"/>
  <c r="X1120" i="8" s="1"/>
  <c r="X1121" i="8" s="1"/>
  <c r="U712" i="8"/>
  <c r="U713" i="8" s="1"/>
  <c r="U325" i="2"/>
  <c r="U744" i="8" s="1"/>
  <c r="U745" i="8" s="1"/>
  <c r="M708" i="8"/>
  <c r="M709" i="8" s="1"/>
  <c r="M324" i="2"/>
  <c r="M740" i="8" s="1"/>
  <c r="M741" i="8" s="1"/>
  <c r="Y716" i="8"/>
  <c r="Y717" i="8" s="1"/>
  <c r="Y326" i="2"/>
  <c r="Y748" i="8" s="1"/>
  <c r="Y749" i="8" s="1"/>
  <c r="AD716" i="8"/>
  <c r="AD717" i="8" s="1"/>
  <c r="AD326" i="2"/>
  <c r="AD748" i="8" s="1"/>
  <c r="AD749" i="8" s="1"/>
  <c r="R1112" i="8"/>
  <c r="R1113" i="8" s="1"/>
  <c r="R725" i="2"/>
  <c r="R1144" i="8" s="1"/>
  <c r="R1145" i="8" s="1"/>
  <c r="AA1112" i="8"/>
  <c r="AA1113" i="8" s="1"/>
  <c r="AA725" i="2"/>
  <c r="AA1144" i="8" s="1"/>
  <c r="AA1145" i="8" s="1"/>
  <c r="Q696" i="8"/>
  <c r="Q697" i="8" s="1"/>
  <c r="Q321" i="2"/>
  <c r="Q728" i="8" s="1"/>
  <c r="Q729" i="8" s="1"/>
  <c r="V696" i="8"/>
  <c r="V697" i="8" s="1"/>
  <c r="V321" i="2"/>
  <c r="V728" i="8" s="1"/>
  <c r="V729" i="8" s="1"/>
  <c r="V692" i="8"/>
  <c r="V693" i="8" s="1"/>
  <c r="V320" i="2"/>
  <c r="V724" i="8" s="1"/>
  <c r="V725" i="8" s="1"/>
  <c r="AC692" i="8"/>
  <c r="AC693" i="8" s="1"/>
  <c r="AC320" i="2"/>
  <c r="AC724" i="8" s="1"/>
  <c r="AC725" i="8" s="1"/>
  <c r="S1092" i="8"/>
  <c r="S1093" i="8" s="1"/>
  <c r="S720" i="2"/>
  <c r="S1124" i="8" s="1"/>
  <c r="S1125" i="8" s="1"/>
  <c r="L724" i="2"/>
  <c r="L1140" i="8" s="1"/>
  <c r="L1141" i="8" s="1"/>
  <c r="L1108" i="8"/>
  <c r="L1109" i="8" s="1"/>
  <c r="S1108" i="8"/>
  <c r="S1109" i="8" s="1"/>
  <c r="S724" i="2"/>
  <c r="S1140" i="8" s="1"/>
  <c r="S1141" i="8" s="1"/>
  <c r="R723" i="2"/>
  <c r="R1136" i="8" s="1"/>
  <c r="R1137" i="8" s="1"/>
  <c r="R1104" i="8"/>
  <c r="R1105" i="8" s="1"/>
  <c r="O1276" i="8"/>
  <c r="O1277" i="8" s="1"/>
  <c r="O784" i="2"/>
  <c r="L1092" i="8"/>
  <c r="L1093" i="8" s="1"/>
  <c r="L720" i="2"/>
  <c r="L1124" i="8" s="1"/>
  <c r="L1125" i="8" s="1"/>
  <c r="AA1092" i="8"/>
  <c r="AA1093" i="8" s="1"/>
  <c r="AA720" i="2"/>
  <c r="AA1124" i="8" s="1"/>
  <c r="AA1125" i="8" s="1"/>
  <c r="R1096" i="8"/>
  <c r="R1097" i="8" s="1"/>
  <c r="R721" i="2"/>
  <c r="R1128" i="8" s="1"/>
  <c r="R1129" i="8" s="1"/>
  <c r="Z1096" i="8"/>
  <c r="Z1097" i="8" s="1"/>
  <c r="Z721" i="2"/>
  <c r="Z1128" i="8" s="1"/>
  <c r="Z1129" i="8" s="1"/>
  <c r="N1088" i="8"/>
  <c r="N1089" i="8" s="1"/>
  <c r="N719" i="2"/>
  <c r="N1120" i="8" s="1"/>
  <c r="N1121" i="8" s="1"/>
  <c r="W325" i="2"/>
  <c r="W744" i="8" s="1"/>
  <c r="W745" i="8" s="1"/>
  <c r="W712" i="8"/>
  <c r="W713" i="8" s="1"/>
  <c r="M712" i="8"/>
  <c r="M713" i="8" s="1"/>
  <c r="M325" i="2"/>
  <c r="M744" i="8" s="1"/>
  <c r="M745" i="8" s="1"/>
  <c r="Y708" i="8"/>
  <c r="Y709" i="8" s="1"/>
  <c r="Y324" i="2"/>
  <c r="Y740" i="8" s="1"/>
  <c r="Y741" i="8" s="1"/>
  <c r="R324" i="2"/>
  <c r="R740" i="8" s="1"/>
  <c r="R741" i="8" s="1"/>
  <c r="R708" i="8"/>
  <c r="R709" i="8" s="1"/>
  <c r="W716" i="8"/>
  <c r="W717" i="8" s="1"/>
  <c r="W326" i="2"/>
  <c r="W748" i="8" s="1"/>
  <c r="W749" i="8" s="1"/>
  <c r="AC716" i="8"/>
  <c r="AC717" i="8" s="1"/>
  <c r="AC326" i="2"/>
  <c r="AC748" i="8" s="1"/>
  <c r="AC749" i="8" s="1"/>
  <c r="AD725" i="2"/>
  <c r="AD1144" i="8" s="1"/>
  <c r="AD1145" i="8" s="1"/>
  <c r="AD1112" i="8"/>
  <c r="AD1113" i="8" s="1"/>
  <c r="N321" i="2"/>
  <c r="N728" i="8" s="1"/>
  <c r="N729" i="8" s="1"/>
  <c r="N696" i="8"/>
  <c r="N697" i="8" s="1"/>
  <c r="AB322" i="2"/>
  <c r="AB732" i="8" s="1"/>
  <c r="AB733" i="8" s="1"/>
  <c r="AB700" i="8"/>
  <c r="AB701" i="8" s="1"/>
  <c r="U692" i="8"/>
  <c r="U693" i="8" s="1"/>
  <c r="U320" i="2"/>
  <c r="U724" i="8" s="1"/>
  <c r="U725" i="8" s="1"/>
  <c r="O692" i="8"/>
  <c r="O693" i="8" s="1"/>
  <c r="O320" i="2"/>
  <c r="O724" i="8" s="1"/>
  <c r="O725" i="8" s="1"/>
  <c r="P700" i="8"/>
  <c r="P701" i="8" s="1"/>
  <c r="P322" i="2"/>
  <c r="P732" i="8" s="1"/>
  <c r="P733" i="8" s="1"/>
  <c r="T692" i="8"/>
  <c r="T693" i="8" s="1"/>
  <c r="T320" i="2"/>
  <c r="T724" i="8" s="1"/>
  <c r="T725" i="8" s="1"/>
  <c r="M864" i="8"/>
  <c r="M865" i="8" s="1"/>
  <c r="M386" i="2"/>
  <c r="M928" i="8" s="1"/>
  <c r="M929" i="8" s="1"/>
  <c r="M371" i="2"/>
  <c r="AD1104" i="8"/>
  <c r="AD1105" i="8" s="1"/>
  <c r="AD723" i="2"/>
  <c r="AD1136" i="8" s="1"/>
  <c r="AD1137" i="8" s="1"/>
  <c r="L716" i="8"/>
  <c r="L717" i="8" s="1"/>
  <c r="L326" i="2"/>
  <c r="L748" i="8" s="1"/>
  <c r="L749" i="8" s="1"/>
  <c r="AB708" i="8"/>
  <c r="AB709" i="8" s="1"/>
  <c r="AB324" i="2"/>
  <c r="AB740" i="8" s="1"/>
  <c r="AB741" i="8" s="1"/>
  <c r="Z1104" i="8"/>
  <c r="Z1105" i="8" s="1"/>
  <c r="Z723" i="2"/>
  <c r="Z1136" i="8" s="1"/>
  <c r="Z1137" i="8" s="1"/>
  <c r="AC1104" i="8"/>
  <c r="AC1105" i="8" s="1"/>
  <c r="AC723" i="2"/>
  <c r="AC1136" i="8" s="1"/>
  <c r="AC1137" i="8" s="1"/>
  <c r="P1096" i="8"/>
  <c r="P1097" i="8" s="1"/>
  <c r="P721" i="2"/>
  <c r="P1128" i="8" s="1"/>
  <c r="P1129" i="8" s="1"/>
  <c r="R1088" i="8"/>
  <c r="R1089" i="8" s="1"/>
  <c r="R719" i="2"/>
  <c r="R1120" i="8" s="1"/>
  <c r="R1121" i="8" s="1"/>
  <c r="R880" i="8"/>
  <c r="R881" i="8" s="1"/>
  <c r="R385" i="2"/>
  <c r="AD324" i="2"/>
  <c r="AD740" i="8" s="1"/>
  <c r="AD741" i="8" s="1"/>
  <c r="AD708" i="8"/>
  <c r="AD709" i="8" s="1"/>
  <c r="X326" i="2"/>
  <c r="X748" i="8" s="1"/>
  <c r="X749" i="8" s="1"/>
  <c r="X716" i="8"/>
  <c r="X717" i="8" s="1"/>
  <c r="P326" i="2"/>
  <c r="P748" i="8" s="1"/>
  <c r="P749" i="8" s="1"/>
  <c r="P716" i="8"/>
  <c r="P717" i="8" s="1"/>
  <c r="P1112" i="8"/>
  <c r="P1113" i="8" s="1"/>
  <c r="P725" i="2"/>
  <c r="P1144" i="8" s="1"/>
  <c r="P1145" i="8" s="1"/>
  <c r="Q1112" i="8"/>
  <c r="Q1113" i="8" s="1"/>
  <c r="Q725" i="2"/>
  <c r="Q1144" i="8" s="1"/>
  <c r="Q1145" i="8" s="1"/>
  <c r="L696" i="8"/>
  <c r="L697" i="8" s="1"/>
  <c r="L321" i="2"/>
  <c r="L728" i="8" s="1"/>
  <c r="L729" i="8" s="1"/>
  <c r="AE1108" i="8"/>
  <c r="AE1109" i="8" s="1"/>
  <c r="AE724" i="2"/>
  <c r="AE1140" i="8" s="1"/>
  <c r="AE1141" i="8" s="1"/>
  <c r="P1104" i="8"/>
  <c r="P1105" i="8" s="1"/>
  <c r="P723" i="2"/>
  <c r="P1136" i="8" s="1"/>
  <c r="P1137" i="8" s="1"/>
  <c r="N1276" i="8"/>
  <c r="N1277" i="8" s="1"/>
  <c r="N784" i="2"/>
  <c r="AB1092" i="8"/>
  <c r="AB1093" i="8" s="1"/>
  <c r="AB720" i="2"/>
  <c r="AB1124" i="8" s="1"/>
  <c r="AB1125" i="8" s="1"/>
  <c r="Y721" i="2"/>
  <c r="Y1128" i="8" s="1"/>
  <c r="Y1129" i="8" s="1"/>
  <c r="Y1096" i="8"/>
  <c r="Y1097" i="8" s="1"/>
  <c r="AB1088" i="8"/>
  <c r="AB1089" i="8" s="1"/>
  <c r="AB719" i="2"/>
  <c r="AB1120" i="8" s="1"/>
  <c r="AB1121" i="8" s="1"/>
  <c r="P1088" i="8"/>
  <c r="P1089" i="8" s="1"/>
  <c r="P719" i="2"/>
  <c r="P1120" i="8" s="1"/>
  <c r="P1121" i="8" s="1"/>
  <c r="D4" i="8"/>
  <c r="F721" i="8"/>
  <c r="O712" i="8"/>
  <c r="O713" i="8" s="1"/>
  <c r="O325" i="2"/>
  <c r="O744" i="8" s="1"/>
  <c r="O745" i="8" s="1"/>
  <c r="S712" i="8"/>
  <c r="S713" i="8" s="1"/>
  <c r="S325" i="2"/>
  <c r="S744" i="8" s="1"/>
  <c r="S745" i="8" s="1"/>
  <c r="X708" i="8"/>
  <c r="X709" i="8" s="1"/>
  <c r="X324" i="2"/>
  <c r="X740" i="8" s="1"/>
  <c r="X741" i="8" s="1"/>
  <c r="O880" i="8"/>
  <c r="O881" i="8" s="1"/>
  <c r="O385" i="2"/>
  <c r="O716" i="8"/>
  <c r="O717" i="8" s="1"/>
  <c r="O326" i="2"/>
  <c r="O748" i="8" s="1"/>
  <c r="O749" i="8" s="1"/>
  <c r="Y1112" i="8"/>
  <c r="Y1113" i="8" s="1"/>
  <c r="Y725" i="2"/>
  <c r="Y1144" i="8" s="1"/>
  <c r="Y1145" i="8" s="1"/>
  <c r="AE696" i="8"/>
  <c r="AE697" i="8" s="1"/>
  <c r="AE321" i="2"/>
  <c r="AE728" i="8" s="1"/>
  <c r="AE729" i="8" s="1"/>
  <c r="M696" i="8"/>
  <c r="M697" i="8" s="1"/>
  <c r="M321" i="2"/>
  <c r="M728" i="8" s="1"/>
  <c r="M729" i="8" s="1"/>
  <c r="AE700" i="8"/>
  <c r="AE701" i="8" s="1"/>
  <c r="AE322" i="2"/>
  <c r="AE732" i="8" s="1"/>
  <c r="AE733" i="8" s="1"/>
  <c r="AA692" i="8"/>
  <c r="AA693" i="8" s="1"/>
  <c r="AA320" i="2"/>
  <c r="AA724" i="8" s="1"/>
  <c r="AA725" i="8" s="1"/>
  <c r="P864" i="8"/>
  <c r="P865" i="8" s="1"/>
  <c r="P386" i="2"/>
  <c r="P928" i="8" s="1"/>
  <c r="P929" i="8" s="1"/>
  <c r="P371" i="2"/>
  <c r="Z724" i="2"/>
  <c r="Z1140" i="8" s="1"/>
  <c r="Z1141" i="8" s="1"/>
  <c r="Z1108" i="8"/>
  <c r="Z1109" i="8" s="1"/>
  <c r="R326" i="2"/>
  <c r="R748" i="8" s="1"/>
  <c r="R749" i="8" s="1"/>
  <c r="R716" i="8"/>
  <c r="R717" i="8" s="1"/>
  <c r="X692" i="8"/>
  <c r="X693" i="8" s="1"/>
  <c r="X320" i="2"/>
  <c r="X724" i="8" s="1"/>
  <c r="X725" i="8" s="1"/>
  <c r="Y1108" i="8"/>
  <c r="Y1109" i="8" s="1"/>
  <c r="Y724" i="2"/>
  <c r="Y1140" i="8" s="1"/>
  <c r="Y1141" i="8" s="1"/>
  <c r="W1088" i="8"/>
  <c r="W1089" i="8" s="1"/>
  <c r="W719" i="2"/>
  <c r="W1120" i="8" s="1"/>
  <c r="W1121" i="8" s="1"/>
  <c r="AC1108" i="8"/>
  <c r="AC1109" i="8" s="1"/>
  <c r="AC724" i="2"/>
  <c r="AC1140" i="8" s="1"/>
  <c r="AC1141" i="8" s="1"/>
  <c r="R770" i="2"/>
  <c r="R1292" i="8" s="1"/>
  <c r="R1293" i="8" s="1"/>
  <c r="M1092" i="8"/>
  <c r="M1093" i="8" s="1"/>
  <c r="M720" i="2"/>
  <c r="M1124" i="8" s="1"/>
  <c r="M1125" i="8" s="1"/>
  <c r="Q1096" i="8"/>
  <c r="Q1097" i="8" s="1"/>
  <c r="Q721" i="2"/>
  <c r="Q1128" i="8" s="1"/>
  <c r="Q1129" i="8" s="1"/>
  <c r="T1088" i="8"/>
  <c r="T1089" i="8" s="1"/>
  <c r="T719" i="2"/>
  <c r="T1120" i="8" s="1"/>
  <c r="T1121" i="8" s="1"/>
  <c r="F753" i="8"/>
  <c r="U321" i="2"/>
  <c r="U728" i="8" s="1"/>
  <c r="U729" i="8" s="1"/>
  <c r="U696" i="8"/>
  <c r="U697" i="8" s="1"/>
  <c r="R371" i="2"/>
  <c r="Q1108" i="8"/>
  <c r="Q1109" i="8" s="1"/>
  <c r="Q724" i="2"/>
  <c r="Q1140" i="8" s="1"/>
  <c r="Q1141" i="8" s="1"/>
  <c r="T1104" i="8"/>
  <c r="T1105" i="8" s="1"/>
  <c r="T723" i="2"/>
  <c r="T1136" i="8" s="1"/>
  <c r="T1137" i="8" s="1"/>
  <c r="M1104" i="8"/>
  <c r="M1105" i="8" s="1"/>
  <c r="M723" i="2"/>
  <c r="M1136" i="8" s="1"/>
  <c r="M1137" i="8" s="1"/>
  <c r="O1092" i="8"/>
  <c r="O1093" i="8" s="1"/>
  <c r="O720" i="2"/>
  <c r="O1124" i="8" s="1"/>
  <c r="O1125" i="8" s="1"/>
  <c r="AD1096" i="8"/>
  <c r="AD1097" i="8" s="1"/>
  <c r="AD721" i="2"/>
  <c r="AD1128" i="8" s="1"/>
  <c r="AD1129" i="8" s="1"/>
  <c r="M1260" i="8"/>
  <c r="M1261" i="8" s="1"/>
  <c r="M785" i="2"/>
  <c r="M1324" i="8" s="1"/>
  <c r="M1325" i="8" s="1"/>
  <c r="M770" i="2"/>
  <c r="Q1088" i="8"/>
  <c r="Q1089" i="8" s="1"/>
  <c r="Q719" i="2"/>
  <c r="Q1120" i="8" s="1"/>
  <c r="Q1121" i="8" s="1"/>
  <c r="AE325" i="2"/>
  <c r="AE744" i="8" s="1"/>
  <c r="AE745" i="8" s="1"/>
  <c r="AE712" i="8"/>
  <c r="AE713" i="8" s="1"/>
  <c r="Z712" i="8"/>
  <c r="Z713" i="8" s="1"/>
  <c r="Z325" i="2"/>
  <c r="Z744" i="8" s="1"/>
  <c r="Z745" i="8" s="1"/>
  <c r="S324" i="2"/>
  <c r="S740" i="8" s="1"/>
  <c r="S741" i="8" s="1"/>
  <c r="S708" i="8"/>
  <c r="S709" i="8" s="1"/>
  <c r="Q324" i="2"/>
  <c r="Q740" i="8" s="1"/>
  <c r="Q741" i="8" s="1"/>
  <c r="Q708" i="8"/>
  <c r="Q709" i="8" s="1"/>
  <c r="V326" i="2"/>
  <c r="V748" i="8" s="1"/>
  <c r="V749" i="8" s="1"/>
  <c r="V716" i="8"/>
  <c r="V717" i="8" s="1"/>
  <c r="M326" i="2"/>
  <c r="M748" i="8" s="1"/>
  <c r="M749" i="8" s="1"/>
  <c r="M716" i="8"/>
  <c r="M717" i="8" s="1"/>
  <c r="AC725" i="2"/>
  <c r="AC1144" i="8" s="1"/>
  <c r="AC1145" i="8" s="1"/>
  <c r="AC1112" i="8"/>
  <c r="AC1113" i="8" s="1"/>
  <c r="N725" i="2"/>
  <c r="N1144" i="8" s="1"/>
  <c r="N1145" i="8" s="1"/>
  <c r="N1112" i="8"/>
  <c r="N1113" i="8" s="1"/>
  <c r="AD696" i="8"/>
  <c r="AD697" i="8" s="1"/>
  <c r="AD321" i="2"/>
  <c r="AD728" i="8" s="1"/>
  <c r="AD729" i="8" s="1"/>
  <c r="T696" i="8"/>
  <c r="T697" i="8" s="1"/>
  <c r="T321" i="2"/>
  <c r="T728" i="8" s="1"/>
  <c r="T729" i="8" s="1"/>
  <c r="W700" i="8"/>
  <c r="W701" i="8" s="1"/>
  <c r="W322" i="2"/>
  <c r="W732" i="8" s="1"/>
  <c r="W733" i="8" s="1"/>
  <c r="AC322" i="2"/>
  <c r="AC732" i="8" s="1"/>
  <c r="AC733" i="8" s="1"/>
  <c r="AC700" i="8"/>
  <c r="AC701" i="8" s="1"/>
  <c r="P454" i="2"/>
  <c r="O155" i="8"/>
  <c r="O156" i="8" s="1"/>
  <c r="O462" i="2"/>
  <c r="Y692" i="8"/>
  <c r="Y693" i="8" s="1"/>
  <c r="Y320" i="2"/>
  <c r="Y724" i="8" s="1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280" i="2"/>
  <c r="V367" i="2" s="1"/>
  <c r="U345" i="2"/>
  <c r="U334" i="2"/>
  <c r="T772" i="8"/>
  <c r="T773" i="8" s="1"/>
  <c r="S371" i="2"/>
  <c r="S896" i="8" s="1"/>
  <c r="S897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681" i="2"/>
  <c r="V768" i="2" s="1"/>
  <c r="U735" i="2"/>
  <c r="U746" i="2"/>
  <c r="S784" i="2"/>
  <c r="V624" i="8"/>
  <c r="V625" i="8" s="1"/>
  <c r="V337" i="2"/>
  <c r="W283" i="2"/>
  <c r="W370" i="2" s="1"/>
  <c r="V348" i="2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U696" i="2" s="1"/>
  <c r="V677" i="2"/>
  <c r="V764" i="2" s="1"/>
  <c r="U742" i="2"/>
  <c r="V604" i="8"/>
  <c r="V605" i="8" s="1"/>
  <c r="W278" i="2"/>
  <c r="W365" i="2" s="1"/>
  <c r="V343" i="2"/>
  <c r="V332" i="2"/>
  <c r="U1152" i="8"/>
  <c r="U1153" i="8" s="1"/>
  <c r="T804" i="8"/>
  <c r="T805" i="8" s="1"/>
  <c r="W1020" i="8"/>
  <c r="W1021" i="8" s="1"/>
  <c r="X682" i="2"/>
  <c r="X769" i="2" s="1"/>
  <c r="W747" i="2"/>
  <c r="W736" i="2"/>
  <c r="X277" i="2"/>
  <c r="X364" i="2" s="1"/>
  <c r="W600" i="8"/>
  <c r="W601" i="8" s="1"/>
  <c r="W342" i="2"/>
  <c r="W331" i="2"/>
  <c r="S770" i="2"/>
  <c r="S1292" i="8" s="1"/>
  <c r="S1293" i="8" s="1"/>
  <c r="T1156" i="8"/>
  <c r="T1157" i="8" s="1"/>
  <c r="S774" i="2"/>
  <c r="S1300" i="8" s="1"/>
  <c r="S1301" i="8" s="1"/>
  <c r="S785" i="2"/>
  <c r="S1324" i="8" s="1"/>
  <c r="S1325" i="8" s="1"/>
  <c r="V760" i="8"/>
  <c r="V761" i="8" s="1"/>
  <c r="V832" i="8"/>
  <c r="V833" i="8" s="1"/>
  <c r="T1160" i="8"/>
  <c r="T1161" i="8" s="1"/>
  <c r="V1216" i="8"/>
  <c r="V1217" i="8" s="1"/>
  <c r="V1288" i="8"/>
  <c r="V1289" i="8" s="1"/>
  <c r="V992" i="8"/>
  <c r="V993" i="8" s="1"/>
  <c r="W675" i="2"/>
  <c r="W762" i="2" s="1"/>
  <c r="V729" i="2"/>
  <c r="V740" i="2"/>
  <c r="T768" i="8"/>
  <c r="T769" i="8" s="1"/>
  <c r="T840" i="8"/>
  <c r="T841" i="8" s="1"/>
  <c r="T864" i="8"/>
  <c r="T865" i="8" s="1"/>
  <c r="V596" i="8"/>
  <c r="V597" i="8" s="1"/>
  <c r="V330" i="2"/>
  <c r="V341" i="2"/>
  <c r="W276" i="2"/>
  <c r="W363" i="2" s="1"/>
  <c r="T1192" i="8"/>
  <c r="T1193" i="8" s="1"/>
  <c r="T1264" i="8"/>
  <c r="T1265" i="8" s="1"/>
  <c r="V796" i="8"/>
  <c r="V797" i="8" s="1"/>
  <c r="V868" i="8"/>
  <c r="V869" i="8" s="1"/>
  <c r="T349" i="2"/>
  <c r="T824" i="8" s="1"/>
  <c r="T825" i="8" s="1"/>
  <c r="S1296" i="8"/>
  <c r="S1297" i="8" s="1"/>
  <c r="U1172" i="8"/>
  <c r="U1173" i="8" s="1"/>
  <c r="U1244" i="8"/>
  <c r="U1245" i="8" s="1"/>
  <c r="U786" i="2"/>
  <c r="U1328" i="8" s="1"/>
  <c r="U1329" i="8" s="1"/>
  <c r="U1188" i="8"/>
  <c r="U1189" i="8" s="1"/>
  <c r="U792" i="8"/>
  <c r="U793" i="8" s="1"/>
  <c r="T948" i="8"/>
  <c r="T949" i="8" s="1"/>
  <c r="S360" i="2"/>
  <c r="U1208" i="8"/>
  <c r="U1209" i="8" s="1"/>
  <c r="U1280" i="8"/>
  <c r="U1281" i="8" s="1"/>
  <c r="S385" i="2"/>
  <c r="T780" i="8"/>
  <c r="T781" i="8" s="1"/>
  <c r="T852" i="8"/>
  <c r="T853" i="8" s="1"/>
  <c r="U756" i="8"/>
  <c r="U757" i="8" s="1"/>
  <c r="U996" i="8"/>
  <c r="U997" i="8" s="1"/>
  <c r="U730" i="2"/>
  <c r="V676" i="2"/>
  <c r="V763" i="2" s="1"/>
  <c r="U741" i="2"/>
  <c r="V1008" i="8"/>
  <c r="V1009" i="8" s="1"/>
  <c r="V744" i="2"/>
  <c r="W679" i="2"/>
  <c r="W766" i="2" s="1"/>
  <c r="V733" i="2"/>
  <c r="V1012" i="8"/>
  <c r="V1013" i="8" s="1"/>
  <c r="V745" i="2"/>
  <c r="W680" i="2"/>
  <c r="W767" i="2" s="1"/>
  <c r="V734" i="2"/>
  <c r="T816" i="8"/>
  <c r="T817" i="8" s="1"/>
  <c r="T888" i="8"/>
  <c r="T889" i="8" s="1"/>
  <c r="U608" i="8"/>
  <c r="U609" i="8" s="1"/>
  <c r="U344" i="2"/>
  <c r="V279" i="2"/>
  <c r="V366" i="2" s="1"/>
  <c r="U333" i="2"/>
  <c r="R379" i="2"/>
  <c r="W776" i="8"/>
  <c r="W777" i="8" s="1"/>
  <c r="W848" i="8"/>
  <c r="W849" i="8" s="1"/>
  <c r="U1204" i="8"/>
  <c r="U1205" i="8" s="1"/>
  <c r="U1276" i="8"/>
  <c r="U1277" i="8" s="1"/>
  <c r="T338" i="2"/>
  <c r="T788" i="8" s="1"/>
  <c r="T789" i="8" s="1"/>
  <c r="U620" i="8"/>
  <c r="U621" i="8" s="1"/>
  <c r="V282" i="2"/>
  <c r="V369" i="2" s="1"/>
  <c r="U347" i="2"/>
  <c r="U336" i="2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Y281" i="2"/>
  <c r="Y368" i="2" s="1"/>
  <c r="X335" i="2"/>
  <c r="T1344" i="8"/>
  <c r="T1345" i="8" s="1"/>
  <c r="T1224" i="8"/>
  <c r="T1225" i="8" s="1"/>
  <c r="U1168" i="8"/>
  <c r="U1169" i="8" s="1"/>
  <c r="T828" i="8"/>
  <c r="T829" i="8" s="1"/>
  <c r="R1296" i="8"/>
  <c r="R1297" i="8" s="1"/>
  <c r="R778" i="2"/>
  <c r="U1004" i="8"/>
  <c r="U1005" i="8" s="1"/>
  <c r="U743" i="2"/>
  <c r="U732" i="2"/>
  <c r="V678" i="2"/>
  <c r="V765" i="2" s="1"/>
  <c r="W812" i="8"/>
  <c r="W813" i="8" s="1"/>
  <c r="W884" i="8"/>
  <c r="W885" i="8" s="1"/>
  <c r="T737" i="2"/>
  <c r="T1184" i="8" s="1"/>
  <c r="T1185" i="8" s="1"/>
  <c r="S374" i="2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S799" i="2" l="1"/>
  <c r="T781" i="2"/>
  <c r="U392" i="2"/>
  <c r="U948" i="8" s="1"/>
  <c r="U949" i="8" s="1"/>
  <c r="T382" i="2"/>
  <c r="U836" i="8"/>
  <c r="U837" i="8" s="1"/>
  <c r="U284" i="2"/>
  <c r="V260" i="2"/>
  <c r="V660" i="2"/>
  <c r="T1236" i="8"/>
  <c r="T1237" i="8" s="1"/>
  <c r="U297" i="2"/>
  <c r="T695" i="2"/>
  <c r="U683" i="2"/>
  <c r="T296" i="2"/>
  <c r="U795" i="2"/>
  <c r="U1360" i="8" s="1"/>
  <c r="U1361" i="8" s="1"/>
  <c r="T395" i="2"/>
  <c r="T960" i="8" s="1"/>
  <c r="T961" i="8" s="1"/>
  <c r="T396" i="2"/>
  <c r="T972" i="8"/>
  <c r="T973" i="8" s="1"/>
  <c r="V261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T964" i="8"/>
  <c r="T965" i="8" s="1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968" i="8"/>
  <c r="W969" i="8" s="1"/>
  <c r="W1288" i="8"/>
  <c r="W1289" i="8" s="1"/>
  <c r="P1292" i="8"/>
  <c r="P1293" i="8" s="1"/>
  <c r="P780" i="2"/>
  <c r="P1438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L1438" i="8" s="1"/>
  <c r="N948" i="8"/>
  <c r="N949" i="8" s="1"/>
  <c r="N400" i="2"/>
  <c r="O1344" i="8"/>
  <c r="O1345" i="8" s="1"/>
  <c r="O799" i="2"/>
  <c r="R1344" i="8"/>
  <c r="R1345" i="8" s="1"/>
  <c r="R799" i="2"/>
  <c r="U754" i="2"/>
  <c r="U794" i="2" s="1"/>
  <c r="U856" i="8"/>
  <c r="U857" i="8" s="1"/>
  <c r="V354" i="2"/>
  <c r="V394" i="2" s="1"/>
  <c r="N1292" i="8"/>
  <c r="N1293" i="8" s="1"/>
  <c r="N780" i="2"/>
  <c r="N1438" i="8" s="1"/>
  <c r="Q948" i="8"/>
  <c r="Q949" i="8" s="1"/>
  <c r="Q400" i="2"/>
  <c r="V751" i="2"/>
  <c r="V791" i="2" s="1"/>
  <c r="O896" i="8"/>
  <c r="O897" i="8" s="1"/>
  <c r="O381" i="2"/>
  <c r="O1434" i="8" s="1"/>
  <c r="O1292" i="8"/>
  <c r="O1293" i="8" s="1"/>
  <c r="O780" i="2"/>
  <c r="O1438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M1434" i="8" s="1"/>
  <c r="N896" i="8"/>
  <c r="N897" i="8" s="1"/>
  <c r="N381" i="2"/>
  <c r="N1434" i="8" s="1"/>
  <c r="O948" i="8"/>
  <c r="O949" i="8" s="1"/>
  <c r="O400" i="2"/>
  <c r="S1256" i="8"/>
  <c r="S1257" i="8" s="1"/>
  <c r="S780" i="2"/>
  <c r="S1438" i="8" s="1"/>
  <c r="R780" i="2"/>
  <c r="R1438" i="8" s="1"/>
  <c r="R1316" i="8"/>
  <c r="R1317" i="8" s="1"/>
  <c r="R920" i="8"/>
  <c r="R921" i="8" s="1"/>
  <c r="Q1344" i="8"/>
  <c r="Q1345" i="8" s="1"/>
  <c r="Q799" i="2"/>
  <c r="R948" i="8"/>
  <c r="R949" i="8" s="1"/>
  <c r="R400" i="2"/>
  <c r="V756" i="2"/>
  <c r="V1244" i="8" s="1"/>
  <c r="V1245" i="8" s="1"/>
  <c r="U355" i="2"/>
  <c r="U840" i="8" s="1"/>
  <c r="U841" i="8" s="1"/>
  <c r="P1344" i="8"/>
  <c r="P1345" i="8" s="1"/>
  <c r="P799" i="2"/>
  <c r="M400" i="2"/>
  <c r="M948" i="8"/>
  <c r="M949" i="8" s="1"/>
  <c r="S860" i="8"/>
  <c r="S861" i="8" s="1"/>
  <c r="S381" i="2"/>
  <c r="S1434" i="8" s="1"/>
  <c r="W758" i="2"/>
  <c r="W798" i="2" s="1"/>
  <c r="U753" i="2"/>
  <c r="U1232" i="8" s="1"/>
  <c r="U1233" i="8" s="1"/>
  <c r="U1344" i="8"/>
  <c r="U1345" i="8" s="1"/>
  <c r="Q1292" i="8"/>
  <c r="Q1293" i="8" s="1"/>
  <c r="Q780" i="2"/>
  <c r="Q1438" i="8" s="1"/>
  <c r="U757" i="2"/>
  <c r="U1248" i="8" s="1"/>
  <c r="U1249" i="8" s="1"/>
  <c r="P896" i="8"/>
  <c r="P897" i="8" s="1"/>
  <c r="P381" i="2"/>
  <c r="P1434" i="8" s="1"/>
  <c r="T1232" i="8"/>
  <c r="T1233" i="8" s="1"/>
  <c r="L896" i="8"/>
  <c r="L897" i="8" s="1"/>
  <c r="L381" i="2"/>
  <c r="L1434" i="8" s="1"/>
  <c r="L1344" i="8"/>
  <c r="L1345" i="8" s="1"/>
  <c r="L799" i="2"/>
  <c r="Q896" i="8"/>
  <c r="Q897" i="8" s="1"/>
  <c r="Q381" i="2"/>
  <c r="Q1434" i="8" s="1"/>
  <c r="P948" i="8"/>
  <c r="P949" i="8" s="1"/>
  <c r="P400" i="2"/>
  <c r="R896" i="8"/>
  <c r="R897" i="8" s="1"/>
  <c r="R381" i="2"/>
  <c r="R1434" i="8" s="1"/>
  <c r="U752" i="2"/>
  <c r="U695" i="2" s="1"/>
  <c r="V352" i="2"/>
  <c r="V392" i="2" s="1"/>
  <c r="U387" i="2"/>
  <c r="U932" i="8" s="1"/>
  <c r="U933" i="8" s="1"/>
  <c r="S400" i="2"/>
  <c r="S1431" i="8" s="1"/>
  <c r="X357" i="2"/>
  <c r="X848" i="8" s="1"/>
  <c r="X849" i="8" s="1"/>
  <c r="M1292" i="8"/>
  <c r="M1293" i="8" s="1"/>
  <c r="M780" i="2"/>
  <c r="M1438" i="8" s="1"/>
  <c r="M1344" i="8"/>
  <c r="M1345" i="8" s="1"/>
  <c r="M799" i="2"/>
  <c r="S1435" i="8"/>
  <c r="S1436" i="8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R390" i="2"/>
  <c r="R944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T924" i="8" s="1"/>
  <c r="T925" i="8" s="1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Q789" i="2"/>
  <c r="F709" i="8"/>
  <c r="S1376" i="8"/>
  <c r="S1377" i="8" s="1"/>
  <c r="S649" i="2"/>
  <c r="P924" i="8"/>
  <c r="P925" i="8" s="1"/>
  <c r="P390" i="2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280" i="2"/>
  <c r="W367" i="2" s="1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T773" i="2"/>
  <c r="T1296" i="8" s="1"/>
  <c r="T1297" i="8" s="1"/>
  <c r="U1192" i="8"/>
  <c r="U1193" i="8" s="1"/>
  <c r="V1188" i="8"/>
  <c r="V1189" i="8" s="1"/>
  <c r="T799" i="2"/>
  <c r="V996" i="8"/>
  <c r="V997" i="8" s="1"/>
  <c r="V730" i="2"/>
  <c r="W676" i="2"/>
  <c r="W763" i="2" s="1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281" i="2"/>
  <c r="Z368" i="2" s="1"/>
  <c r="Y335" i="2"/>
  <c r="W1012" i="8"/>
  <c r="W1013" i="8" s="1"/>
  <c r="W745" i="2"/>
  <c r="X680" i="2"/>
  <c r="X767" i="2" s="1"/>
  <c r="W734" i="2"/>
  <c r="V820" i="8"/>
  <c r="V821" i="8" s="1"/>
  <c r="V892" i="8"/>
  <c r="V893" i="8" s="1"/>
  <c r="T774" i="2"/>
  <c r="T1300" i="8" s="1"/>
  <c r="T1301" i="8" s="1"/>
  <c r="S900" i="8"/>
  <c r="S901" i="8" s="1"/>
  <c r="S379" i="2"/>
  <c r="X812" i="8"/>
  <c r="X813" i="8" s="1"/>
  <c r="V1208" i="8"/>
  <c r="V1209" i="8" s="1"/>
  <c r="V1280" i="8"/>
  <c r="V1281" i="8" s="1"/>
  <c r="W330" i="2"/>
  <c r="W341" i="2"/>
  <c r="W596" i="8"/>
  <c r="W597" i="8" s="1"/>
  <c r="X276" i="2"/>
  <c r="X363" i="2" s="1"/>
  <c r="W760" i="8"/>
  <c r="W761" i="8" s="1"/>
  <c r="W624" i="8"/>
  <c r="W625" i="8" s="1"/>
  <c r="W348" i="2"/>
  <c r="W337" i="2"/>
  <c r="X283" i="2"/>
  <c r="X370" i="2" s="1"/>
  <c r="W992" i="8"/>
  <c r="W993" i="8" s="1"/>
  <c r="X675" i="2"/>
  <c r="X762" i="2" s="1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33" i="2"/>
  <c r="X679" i="2"/>
  <c r="X766" i="2" s="1"/>
  <c r="S778" i="2"/>
  <c r="Y277" i="2"/>
  <c r="Y364" i="2" s="1"/>
  <c r="X600" i="8"/>
  <c r="X601" i="8" s="1"/>
  <c r="X342" i="2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X776" i="8"/>
  <c r="X777" i="8" s="1"/>
  <c r="V1172" i="8"/>
  <c r="V1173" i="8" s="1"/>
  <c r="V1168" i="8"/>
  <c r="V1169" i="8" s="1"/>
  <c r="U375" i="2"/>
  <c r="U904" i="8" s="1"/>
  <c r="U905" i="8" s="1"/>
  <c r="V764" i="8"/>
  <c r="V765" i="8" s="1"/>
  <c r="T759" i="2"/>
  <c r="V620" i="8"/>
  <c r="V621" i="8" s="1"/>
  <c r="W282" i="2"/>
  <c r="W369" i="2" s="1"/>
  <c r="V347" i="2"/>
  <c r="V336" i="2"/>
  <c r="U768" i="8"/>
  <c r="U769" i="8" s="1"/>
  <c r="V1276" i="8"/>
  <c r="V1277" i="8" s="1"/>
  <c r="V1204" i="8"/>
  <c r="V1205" i="8" s="1"/>
  <c r="T371" i="2"/>
  <c r="T896" i="8" s="1"/>
  <c r="T897" i="8" s="1"/>
  <c r="W1180" i="8"/>
  <c r="W1181" i="8" s="1"/>
  <c r="W1252" i="8"/>
  <c r="W1253" i="8" s="1"/>
  <c r="W604" i="8"/>
  <c r="W605" i="8" s="1"/>
  <c r="X278" i="2"/>
  <c r="X365" i="2" s="1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678" i="2"/>
  <c r="W765" i="2" s="1"/>
  <c r="V608" i="8"/>
  <c r="V609" i="8" s="1"/>
  <c r="V344" i="2"/>
  <c r="W279" i="2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U777" i="2"/>
  <c r="U1312" i="8" s="1"/>
  <c r="U1313" i="8" s="1"/>
  <c r="V775" i="2"/>
  <c r="V1304" i="8" s="1"/>
  <c r="V1305" i="8" s="1"/>
  <c r="U804" i="8"/>
  <c r="U805" i="8" s="1"/>
  <c r="X1020" i="8"/>
  <c r="X1021" i="8" s="1"/>
  <c r="X747" i="2"/>
  <c r="Y682" i="2"/>
  <c r="Y769" i="2" s="1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677" i="2"/>
  <c r="W764" i="2" s="1"/>
  <c r="V742" i="2"/>
  <c r="V1000" i="8"/>
  <c r="V1001" i="8" s="1"/>
  <c r="V731" i="2"/>
  <c r="V1016" i="8"/>
  <c r="V1017" i="8" s="1"/>
  <c r="W681" i="2"/>
  <c r="W768" i="2" s="1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V836" i="8" l="1"/>
  <c r="V837" i="8" s="1"/>
  <c r="U792" i="2"/>
  <c r="V297" i="2"/>
  <c r="W259" i="2"/>
  <c r="W366" i="2"/>
  <c r="U1228" i="8"/>
  <c r="U1229" i="8" s="1"/>
  <c r="V696" i="2"/>
  <c r="V284" i="2"/>
  <c r="W657" i="2"/>
  <c r="U395" i="2"/>
  <c r="U960" i="8" s="1"/>
  <c r="U961" i="8" s="1"/>
  <c r="U797" i="2"/>
  <c r="U1368" i="8" s="1"/>
  <c r="U1369" i="8" s="1"/>
  <c r="V683" i="2"/>
  <c r="W659" i="2"/>
  <c r="V782" i="2"/>
  <c r="U296" i="2"/>
  <c r="W660" i="2"/>
  <c r="W258" i="2"/>
  <c r="V795" i="2"/>
  <c r="V1360" i="8" s="1"/>
  <c r="V1361" i="8" s="1"/>
  <c r="U964" i="8"/>
  <c r="U965" i="8" s="1"/>
  <c r="V399" i="2"/>
  <c r="W261" i="2"/>
  <c r="U793" i="2"/>
  <c r="U1352" i="8" s="1"/>
  <c r="U1353" i="8" s="1"/>
  <c r="W796" i="2"/>
  <c r="V383" i="2"/>
  <c r="V956" i="8"/>
  <c r="V957" i="8" s="1"/>
  <c r="W260" i="2"/>
  <c r="W1372" i="8"/>
  <c r="W1373" i="8" s="1"/>
  <c r="X397" i="2"/>
  <c r="X968" i="8" s="1"/>
  <c r="X969" i="8" s="1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R779" i="2"/>
  <c r="R1437" i="8" s="1"/>
  <c r="V376" i="2"/>
  <c r="V908" i="8" s="1"/>
  <c r="V909" i="8" s="1"/>
  <c r="V976" i="8"/>
  <c r="V977" i="8" s="1"/>
  <c r="W658" i="2"/>
  <c r="T400" i="2"/>
  <c r="T980" i="8" s="1"/>
  <c r="T981" i="8" s="1"/>
  <c r="U844" i="8"/>
  <c r="U845" i="8" s="1"/>
  <c r="U781" i="2"/>
  <c r="U382" i="2"/>
  <c r="X868" i="8"/>
  <c r="X869" i="8" s="1"/>
  <c r="W892" i="8"/>
  <c r="W893" i="8" s="1"/>
  <c r="W952" i="8"/>
  <c r="W953" i="8" s="1"/>
  <c r="U876" i="8"/>
  <c r="U877" i="8" s="1"/>
  <c r="S1316" i="8"/>
  <c r="S1317" i="8" s="1"/>
  <c r="S779" i="2"/>
  <c r="M1435" i="8"/>
  <c r="M1436" i="8"/>
  <c r="M649" i="2"/>
  <c r="M1376" i="8"/>
  <c r="M1377" i="8" s="1"/>
  <c r="L1340" i="8"/>
  <c r="L779" i="2"/>
  <c r="P1376" i="8"/>
  <c r="P1377" i="8" s="1"/>
  <c r="P649" i="2"/>
  <c r="P1435" i="8"/>
  <c r="P1436" i="8"/>
  <c r="N250" i="2"/>
  <c r="N980" i="8"/>
  <c r="N981" i="8" s="1"/>
  <c r="N1432" i="8"/>
  <c r="N1431" i="8"/>
  <c r="P980" i="8"/>
  <c r="P981" i="8" s="1"/>
  <c r="P250" i="2"/>
  <c r="P1432" i="8"/>
  <c r="P1431" i="8"/>
  <c r="N1436" i="8"/>
  <c r="N1435" i="8"/>
  <c r="N1376" i="8"/>
  <c r="N1377" i="8" s="1"/>
  <c r="N649" i="2"/>
  <c r="M944" i="8"/>
  <c r="M380" i="2"/>
  <c r="O1340" i="8"/>
  <c r="O779" i="2"/>
  <c r="O1431" i="8"/>
  <c r="O980" i="8"/>
  <c r="O981" i="8" s="1"/>
  <c r="O1432" i="8"/>
  <c r="O250" i="2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Q380" i="2"/>
  <c r="P1340" i="8"/>
  <c r="P779" i="2"/>
  <c r="P944" i="8"/>
  <c r="P380" i="2"/>
  <c r="V757" i="2"/>
  <c r="V797" i="2" s="1"/>
  <c r="V375" i="2"/>
  <c r="V904" i="8" s="1"/>
  <c r="V905" i="8" s="1"/>
  <c r="U1356" i="8"/>
  <c r="U1357" i="8" s="1"/>
  <c r="S250" i="2"/>
  <c r="X758" i="2"/>
  <c r="X1252" i="8" s="1"/>
  <c r="X1253" i="8" s="1"/>
  <c r="U378" i="2"/>
  <c r="U916" i="8" s="1"/>
  <c r="U917" i="8" s="1"/>
  <c r="W352" i="2"/>
  <c r="W392" i="2" s="1"/>
  <c r="W756" i="2"/>
  <c r="W1244" i="8" s="1"/>
  <c r="W1245" i="8" s="1"/>
  <c r="Q1340" i="8"/>
  <c r="Q779" i="2"/>
  <c r="S980" i="8"/>
  <c r="S981" i="8" s="1"/>
  <c r="Q1376" i="8"/>
  <c r="Q1377" i="8" s="1"/>
  <c r="Q649" i="2"/>
  <c r="Q1436" i="8"/>
  <c r="Q1435" i="8"/>
  <c r="R1435" i="8"/>
  <c r="R1436" i="8"/>
  <c r="R1376" i="8"/>
  <c r="R1377" i="8" s="1"/>
  <c r="R649" i="2"/>
  <c r="Y357" i="2"/>
  <c r="Y848" i="8" s="1"/>
  <c r="Y849" i="8" s="1"/>
  <c r="T1256" i="8"/>
  <c r="T1257" i="8" s="1"/>
  <c r="T780" i="2"/>
  <c r="T1438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S1432" i="8"/>
  <c r="M1431" i="8"/>
  <c r="M1432" i="8"/>
  <c r="M980" i="8"/>
  <c r="M981" i="8" s="1"/>
  <c r="M250" i="2"/>
  <c r="W359" i="2"/>
  <c r="W856" i="8" s="1"/>
  <c r="W857" i="8" s="1"/>
  <c r="S920" i="8"/>
  <c r="S921" i="8" s="1"/>
  <c r="S380" i="2"/>
  <c r="T860" i="8"/>
  <c r="T861" i="8" s="1"/>
  <c r="T381" i="2"/>
  <c r="T1434" i="8" s="1"/>
  <c r="W832" i="8"/>
  <c r="W833" i="8" s="1"/>
  <c r="V356" i="2"/>
  <c r="V396" i="2" s="1"/>
  <c r="O944" i="8"/>
  <c r="O380" i="2"/>
  <c r="R980" i="8"/>
  <c r="R981" i="8" s="1"/>
  <c r="R250" i="2"/>
  <c r="R1432" i="8"/>
  <c r="R1431" i="8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W791" i="2" s="1"/>
  <c r="N1340" i="8"/>
  <c r="N779" i="2"/>
  <c r="U1348" i="8"/>
  <c r="U1349" i="8" s="1"/>
  <c r="R380" i="2"/>
  <c r="O1376" i="8"/>
  <c r="O1377" i="8" s="1"/>
  <c r="O649" i="2"/>
  <c r="O1436" i="8"/>
  <c r="O1435" i="8"/>
  <c r="Q250" i="2"/>
  <c r="Q1432" i="8"/>
  <c r="Q980" i="8"/>
  <c r="Q981" i="8" s="1"/>
  <c r="Q1431" i="8"/>
  <c r="L944" i="8"/>
  <c r="L380" i="2"/>
  <c r="T1436" i="8"/>
  <c r="T1435" i="8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92" i="2" s="1"/>
  <c r="W786" i="2"/>
  <c r="W1328" i="8" s="1"/>
  <c r="W1329" i="8" s="1"/>
  <c r="T1376" i="8"/>
  <c r="T1377" i="8" s="1"/>
  <c r="T649" i="2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X280" i="2"/>
  <c r="X367" i="2" s="1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T379" i="2"/>
  <c r="W1204" i="8"/>
  <c r="W1205" i="8" s="1"/>
  <c r="W1276" i="8"/>
  <c r="W1277" i="8" s="1"/>
  <c r="X992" i="8"/>
  <c r="X993" i="8" s="1"/>
  <c r="X740" i="2"/>
  <c r="Y675" i="2"/>
  <c r="Y762" i="2" s="1"/>
  <c r="X729" i="2"/>
  <c r="V1224" i="8"/>
  <c r="V1225" i="8" s="1"/>
  <c r="V1344" i="8"/>
  <c r="V1345" i="8" s="1"/>
  <c r="W1168" i="8"/>
  <c r="W1169" i="8" s="1"/>
  <c r="W1000" i="8"/>
  <c r="W1001" i="8" s="1"/>
  <c r="X677" i="2"/>
  <c r="X764" i="2" s="1"/>
  <c r="W742" i="2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Y680" i="2"/>
  <c r="Y767" i="2" s="1"/>
  <c r="X734" i="2"/>
  <c r="U770" i="2"/>
  <c r="U1292" i="8" s="1"/>
  <c r="U1293" i="8" s="1"/>
  <c r="W608" i="8"/>
  <c r="W609" i="8" s="1"/>
  <c r="W333" i="2"/>
  <c r="W344" i="2"/>
  <c r="X279" i="2"/>
  <c r="X366" i="2" s="1"/>
  <c r="Y1020" i="8"/>
  <c r="Y1021" i="8" s="1"/>
  <c r="Y747" i="2"/>
  <c r="Z682" i="2"/>
  <c r="Z769" i="2" s="1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Y283" i="2"/>
  <c r="Y370" i="2" s="1"/>
  <c r="W620" i="8"/>
  <c r="W621" i="8" s="1"/>
  <c r="X282" i="2"/>
  <c r="X369" i="2" s="1"/>
  <c r="W336" i="2"/>
  <c r="W347" i="2"/>
  <c r="X796" i="8"/>
  <c r="X797" i="8" s="1"/>
  <c r="U371" i="2"/>
  <c r="U896" i="8" s="1"/>
  <c r="U897" i="8" s="1"/>
  <c r="V1192" i="8"/>
  <c r="V1193" i="8" s="1"/>
  <c r="W732" i="2"/>
  <c r="W743" i="2"/>
  <c r="W1004" i="8"/>
  <c r="W1005" i="8" s="1"/>
  <c r="X678" i="2"/>
  <c r="X765" i="2" s="1"/>
  <c r="W996" i="8"/>
  <c r="W997" i="8" s="1"/>
  <c r="W730" i="2"/>
  <c r="W741" i="2"/>
  <c r="X676" i="2"/>
  <c r="X763" i="2" s="1"/>
  <c r="V1212" i="8"/>
  <c r="V1213" i="8" s="1"/>
  <c r="U389" i="2"/>
  <c r="U940" i="8" s="1"/>
  <c r="U941" i="8" s="1"/>
  <c r="V1164" i="8"/>
  <c r="V1165" i="8" s="1"/>
  <c r="Z277" i="2"/>
  <c r="Z364" i="2" s="1"/>
  <c r="Y600" i="8"/>
  <c r="Y601" i="8" s="1"/>
  <c r="Y342" i="2"/>
  <c r="Y331" i="2"/>
  <c r="V828" i="8"/>
  <c r="V829" i="8" s="1"/>
  <c r="U360" i="2"/>
  <c r="Z616" i="8"/>
  <c r="Z617" i="8" s="1"/>
  <c r="Z346" i="2"/>
  <c r="AA281" i="2"/>
  <c r="AA368" i="2" s="1"/>
  <c r="Z335" i="2"/>
  <c r="V1156" i="8"/>
  <c r="V1157" i="8" s="1"/>
  <c r="V1176" i="8"/>
  <c r="V1177" i="8" s="1"/>
  <c r="T789" i="2"/>
  <c r="T1340" i="8" s="1"/>
  <c r="Y276" i="2"/>
  <c r="Y363" i="2" s="1"/>
  <c r="X330" i="2"/>
  <c r="X596" i="8"/>
  <c r="X597" i="8" s="1"/>
  <c r="X341" i="2"/>
  <c r="Y812" i="8"/>
  <c r="Y813" i="8" s="1"/>
  <c r="X604" i="8"/>
  <c r="X605" i="8" s="1"/>
  <c r="Y278" i="2"/>
  <c r="Y365" i="2" s="1"/>
  <c r="X343" i="2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681" i="2"/>
  <c r="X768" i="2" s="1"/>
  <c r="W746" i="2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679" i="2"/>
  <c r="Y766" i="2" s="1"/>
  <c r="X744" i="2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W297" i="2" l="1"/>
  <c r="V844" i="8"/>
  <c r="V845" i="8" s="1"/>
  <c r="W284" i="2"/>
  <c r="R1448" i="8"/>
  <c r="U400" i="2"/>
  <c r="R684" i="2"/>
  <c r="R685" i="2"/>
  <c r="R1469" i="8" s="1"/>
  <c r="N285" i="2"/>
  <c r="N286" i="2"/>
  <c r="N1466" i="8" s="1"/>
  <c r="M684" i="2"/>
  <c r="M685" i="2"/>
  <c r="M1469" i="8" s="1"/>
  <c r="L684" i="2"/>
  <c r="L685" i="2"/>
  <c r="W394" i="2"/>
  <c r="W956" i="8" s="1"/>
  <c r="W957" i="8" s="1"/>
  <c r="X657" i="2"/>
  <c r="X259" i="2"/>
  <c r="R285" i="2"/>
  <c r="R286" i="2"/>
  <c r="R1466" i="8" s="1"/>
  <c r="X260" i="2"/>
  <c r="O285" i="2"/>
  <c r="O286" i="2"/>
  <c r="O1466" i="8" s="1"/>
  <c r="M285" i="2"/>
  <c r="M286" i="2"/>
  <c r="M1466" i="8" s="1"/>
  <c r="N684" i="2"/>
  <c r="N685" i="2"/>
  <c r="N1469" i="8" s="1"/>
  <c r="P285" i="2"/>
  <c r="P286" i="2"/>
  <c r="P1466" i="8" s="1"/>
  <c r="V296" i="2"/>
  <c r="S285" i="2"/>
  <c r="S286" i="2"/>
  <c r="S1466" i="8" s="1"/>
  <c r="Y397" i="2"/>
  <c r="Y968" i="8" s="1"/>
  <c r="Y969" i="8" s="1"/>
  <c r="V398" i="2"/>
  <c r="V972" i="8" s="1"/>
  <c r="V973" i="8" s="1"/>
  <c r="W683" i="2"/>
  <c r="L285" i="2"/>
  <c r="L286" i="2"/>
  <c r="P684" i="2"/>
  <c r="P685" i="2"/>
  <c r="P1469" i="8" s="1"/>
  <c r="S684" i="2"/>
  <c r="S685" i="2"/>
  <c r="S1469" i="8" s="1"/>
  <c r="V695" i="2"/>
  <c r="O684" i="2"/>
  <c r="O685" i="2"/>
  <c r="O1469" i="8" s="1"/>
  <c r="W696" i="2"/>
  <c r="Q684" i="2"/>
  <c r="Q685" i="2"/>
  <c r="Q1469" i="8" s="1"/>
  <c r="Q285" i="2"/>
  <c r="Q286" i="2"/>
  <c r="Q1466" i="8" s="1"/>
  <c r="X798" i="2"/>
  <c r="X261" i="2"/>
  <c r="X832" i="8"/>
  <c r="X833" i="8" s="1"/>
  <c r="Z397" i="2"/>
  <c r="X795" i="2"/>
  <c r="W782" i="2"/>
  <c r="W383" i="2"/>
  <c r="W399" i="2"/>
  <c r="W976" i="8" s="1"/>
  <c r="W977" i="8" s="1"/>
  <c r="V793" i="2"/>
  <c r="V1352" i="8" s="1"/>
  <c r="V1353" i="8" s="1"/>
  <c r="V395" i="2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V1348" i="8"/>
  <c r="V1349" i="8" s="1"/>
  <c r="T1432" i="8"/>
  <c r="X258" i="2"/>
  <c r="Y884" i="8"/>
  <c r="Y885" i="8" s="1"/>
  <c r="V964" i="8"/>
  <c r="V965" i="8" s="1"/>
  <c r="X658" i="2"/>
  <c r="T250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P1433" i="8"/>
  <c r="P1445" i="8"/>
  <c r="W880" i="8"/>
  <c r="W881" i="8" s="1"/>
  <c r="S1433" i="8"/>
  <c r="S1445" i="8"/>
  <c r="P1437" i="8"/>
  <c r="P1448" i="8"/>
  <c r="Q1437" i="8"/>
  <c r="Q1448" i="8"/>
  <c r="Q1433" i="8"/>
  <c r="Q1445" i="8"/>
  <c r="O1437" i="8"/>
  <c r="O1448" i="8"/>
  <c r="S1437" i="8"/>
  <c r="S1448" i="8"/>
  <c r="R1433" i="8"/>
  <c r="R1445" i="8"/>
  <c r="X755" i="2"/>
  <c r="X1240" i="8" s="1"/>
  <c r="X1241" i="8" s="1"/>
  <c r="W355" i="2"/>
  <c r="T920" i="8"/>
  <c r="T921" i="8" s="1"/>
  <c r="T380" i="2"/>
  <c r="W356" i="2"/>
  <c r="W844" i="8" s="1"/>
  <c r="W845" i="8" s="1"/>
  <c r="X756" i="2"/>
  <c r="X1244" i="8" s="1"/>
  <c r="X1245" i="8" s="1"/>
  <c r="W757" i="2"/>
  <c r="W1248" i="8" s="1"/>
  <c r="W1249" i="8" s="1"/>
  <c r="X751" i="2"/>
  <c r="X791" i="2" s="1"/>
  <c r="X352" i="2"/>
  <c r="X392" i="2" s="1"/>
  <c r="U860" i="8"/>
  <c r="U861" i="8" s="1"/>
  <c r="U381" i="2"/>
  <c r="U1434" i="8" s="1"/>
  <c r="W752" i="2"/>
  <c r="W695" i="2" s="1"/>
  <c r="W358" i="2"/>
  <c r="W852" i="8" s="1"/>
  <c r="W853" i="8" s="1"/>
  <c r="Y758" i="2"/>
  <c r="Y798" i="2" s="1"/>
  <c r="T779" i="2"/>
  <c r="X354" i="2"/>
  <c r="X836" i="8" s="1"/>
  <c r="X837" i="8" s="1"/>
  <c r="W1364" i="8"/>
  <c r="W1365" i="8" s="1"/>
  <c r="U1256" i="8"/>
  <c r="U1257" i="8" s="1"/>
  <c r="U780" i="2"/>
  <c r="U1438" i="8" s="1"/>
  <c r="W1240" i="8"/>
  <c r="W1241" i="8" s="1"/>
  <c r="Z357" i="2"/>
  <c r="Z848" i="8" s="1"/>
  <c r="Z849" i="8" s="1"/>
  <c r="X1372" i="8"/>
  <c r="X1373" i="8" s="1"/>
  <c r="Y353" i="2"/>
  <c r="Y393" i="2" s="1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280" i="2"/>
  <c r="Y367" i="2" s="1"/>
  <c r="X345" i="2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Z278" i="2"/>
  <c r="Z365" i="2" s="1"/>
  <c r="W1164" i="8"/>
  <c r="W1165" i="8" s="1"/>
  <c r="X620" i="8"/>
  <c r="X621" i="8" s="1"/>
  <c r="X336" i="2"/>
  <c r="Y282" i="2"/>
  <c r="Y369" i="2" s="1"/>
  <c r="X347" i="2"/>
  <c r="V389" i="2"/>
  <c r="V940" i="8" s="1"/>
  <c r="V941" i="8" s="1"/>
  <c r="Y1008" i="8"/>
  <c r="Y1009" i="8" s="1"/>
  <c r="Z679" i="2"/>
  <c r="Z766" i="2" s="1"/>
  <c r="Y733" i="2"/>
  <c r="Y744" i="2"/>
  <c r="AB281" i="2"/>
  <c r="AB368" i="2" s="1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283" i="2"/>
  <c r="Z370" i="2" s="1"/>
  <c r="Y1012" i="8"/>
  <c r="Y1013" i="8" s="1"/>
  <c r="Y745" i="2"/>
  <c r="Z680" i="2"/>
  <c r="Z767" i="2" s="1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Z1020" i="8"/>
  <c r="Z1021" i="8" s="1"/>
  <c r="Z736" i="2"/>
  <c r="AA682" i="2"/>
  <c r="AA769" i="2" s="1"/>
  <c r="Z747" i="2"/>
  <c r="V378" i="2"/>
  <c r="V916" i="8" s="1"/>
  <c r="V917" i="8" s="1"/>
  <c r="Y992" i="8"/>
  <c r="Y993" i="8" s="1"/>
  <c r="Y740" i="2"/>
  <c r="Z675" i="2"/>
  <c r="Z762" i="2" s="1"/>
  <c r="Y729" i="2"/>
  <c r="W1224" i="8"/>
  <c r="W1225" i="8" s="1"/>
  <c r="X996" i="8"/>
  <c r="X997" i="8" s="1"/>
  <c r="X730" i="2"/>
  <c r="X741" i="2"/>
  <c r="Y676" i="2"/>
  <c r="Y763" i="2" s="1"/>
  <c r="W1260" i="8"/>
  <c r="W1261" i="8" s="1"/>
  <c r="X786" i="2"/>
  <c r="X1328" i="8" s="1"/>
  <c r="X1329" i="8" s="1"/>
  <c r="Z276" i="2"/>
  <c r="Z363" i="2" s="1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297" i="2" s="1"/>
  <c r="X344" i="2"/>
  <c r="Y279" i="2"/>
  <c r="Y366" i="2" s="1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Y681" i="2"/>
  <c r="Y768" i="2" s="1"/>
  <c r="V1248" i="8"/>
  <c r="V1249" i="8" s="1"/>
  <c r="V773" i="2"/>
  <c r="AA277" i="2"/>
  <c r="AA364" i="2" s="1"/>
  <c r="Z331" i="2"/>
  <c r="Z600" i="8"/>
  <c r="Z601" i="8" s="1"/>
  <c r="Z342" i="2"/>
  <c r="X1004" i="8"/>
  <c r="X1005" i="8" s="1"/>
  <c r="X743" i="2"/>
  <c r="X732" i="2"/>
  <c r="Y678" i="2"/>
  <c r="Y765" i="2" s="1"/>
  <c r="W804" i="8"/>
  <c r="W805" i="8" s="1"/>
  <c r="W876" i="8"/>
  <c r="W877" i="8" s="1"/>
  <c r="W376" i="2"/>
  <c r="W908" i="8" s="1"/>
  <c r="W909" i="8" s="1"/>
  <c r="X1000" i="8"/>
  <c r="X1001" i="8" s="1"/>
  <c r="Y677" i="2"/>
  <c r="Y764" i="2" s="1"/>
  <c r="X742" i="2"/>
  <c r="X782" i="2" s="1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X696" i="2" l="1"/>
  <c r="V400" i="2"/>
  <c r="V960" i="8"/>
  <c r="V961" i="8" s="1"/>
  <c r="W395" i="2"/>
  <c r="W960" i="8" s="1"/>
  <c r="W961" i="8" s="1"/>
  <c r="W296" i="2"/>
  <c r="T285" i="2"/>
  <c r="T286" i="2"/>
  <c r="T1466" i="8" s="1"/>
  <c r="W396" i="2"/>
  <c r="T684" i="2"/>
  <c r="T685" i="2"/>
  <c r="T1469" i="8" s="1"/>
  <c r="X284" i="2"/>
  <c r="Y658" i="2"/>
  <c r="Y659" i="2"/>
  <c r="X375" i="2"/>
  <c r="X904" i="8" s="1"/>
  <c r="X905" i="8" s="1"/>
  <c r="U1435" i="8"/>
  <c r="W793" i="2"/>
  <c r="W1352" i="8" s="1"/>
  <c r="W1353" i="8" s="1"/>
  <c r="L1469" i="8"/>
  <c r="U649" i="2"/>
  <c r="Y260" i="2"/>
  <c r="U1376" i="8"/>
  <c r="U1377" i="8" s="1"/>
  <c r="Y261" i="2"/>
  <c r="L1466" i="8"/>
  <c r="X856" i="8"/>
  <c r="X857" i="8" s="1"/>
  <c r="X683" i="2"/>
  <c r="X396" i="2"/>
  <c r="Y660" i="2"/>
  <c r="Y259" i="2"/>
  <c r="X394" i="2"/>
  <c r="W794" i="2"/>
  <c r="X383" i="2"/>
  <c r="W781" i="2"/>
  <c r="W797" i="2"/>
  <c r="W1368" i="8" s="1"/>
  <c r="W1369" i="8" s="1"/>
  <c r="Y657" i="2"/>
  <c r="W398" i="2"/>
  <c r="W972" i="8" s="1"/>
  <c r="W973" i="8" s="1"/>
  <c r="X796" i="2"/>
  <c r="X1364" i="8" s="1"/>
  <c r="X1365" i="8" s="1"/>
  <c r="W792" i="2"/>
  <c r="W1348" i="8" s="1"/>
  <c r="W1349" i="8" s="1"/>
  <c r="X1280" i="8"/>
  <c r="X1281" i="8" s="1"/>
  <c r="X387" i="2"/>
  <c r="X932" i="8" s="1"/>
  <c r="X933" i="8" s="1"/>
  <c r="Y258" i="2"/>
  <c r="Y1372" i="8"/>
  <c r="Y1373" i="8" s="1"/>
  <c r="Y952" i="8"/>
  <c r="Y953" i="8" s="1"/>
  <c r="X1360" i="8"/>
  <c r="X1361" i="8" s="1"/>
  <c r="V799" i="2"/>
  <c r="V649" i="2" s="1"/>
  <c r="W840" i="8"/>
  <c r="W841" i="8" s="1"/>
  <c r="W382" i="2"/>
  <c r="Z968" i="8"/>
  <c r="Z96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AA848" i="8" s="1"/>
  <c r="AA849" i="8" s="1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X956" i="8"/>
  <c r="X957" i="8" s="1"/>
  <c r="Z758" i="2"/>
  <c r="Z798" i="2" s="1"/>
  <c r="Y354" i="2"/>
  <c r="Y836" i="8" s="1"/>
  <c r="Y837" i="8" s="1"/>
  <c r="Y756" i="2"/>
  <c r="Y796" i="2" s="1"/>
  <c r="X752" i="2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W964" i="8"/>
  <c r="W965" i="8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V1434" i="8" s="1"/>
  <c r="X358" i="2"/>
  <c r="X852" i="8" s="1"/>
  <c r="X853" i="8" s="1"/>
  <c r="X356" i="2"/>
  <c r="X355" i="2"/>
  <c r="X395" i="2" s="1"/>
  <c r="V1256" i="8"/>
  <c r="V1257" i="8" s="1"/>
  <c r="V780" i="2"/>
  <c r="V1438" i="8" s="1"/>
  <c r="Y352" i="2"/>
  <c r="Y392" i="2" s="1"/>
  <c r="V1431" i="8"/>
  <c r="V1432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Z280" i="2"/>
  <c r="Z367" i="2" s="1"/>
  <c r="Y345" i="2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682" i="2"/>
  <c r="AB769" i="2" s="1"/>
  <c r="AA736" i="2"/>
  <c r="AA747" i="2"/>
  <c r="Y775" i="2"/>
  <c r="Y1304" i="8" s="1"/>
  <c r="Y1305" i="8" s="1"/>
  <c r="X948" i="8"/>
  <c r="X949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282" i="2"/>
  <c r="Z369" i="2" s="1"/>
  <c r="Y347" i="2"/>
  <c r="Y1016" i="8"/>
  <c r="Y1017" i="8" s="1"/>
  <c r="Y746" i="2"/>
  <c r="Z681" i="2"/>
  <c r="Z768" i="2" s="1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30" i="2"/>
  <c r="Z676" i="2"/>
  <c r="AA776" i="8"/>
  <c r="AA777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281" i="2"/>
  <c r="AC368" i="2" s="1"/>
  <c r="AB616" i="8"/>
  <c r="AB617" i="8" s="1"/>
  <c r="AB346" i="2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Z678" i="2"/>
  <c r="Z765" i="2" s="1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679" i="2"/>
  <c r="AA766" i="2" s="1"/>
  <c r="Z744" i="2"/>
  <c r="Z733" i="2"/>
  <c r="Z796" i="8"/>
  <c r="Z797" i="8" s="1"/>
  <c r="X1260" i="8"/>
  <c r="X1261" i="8" s="1"/>
  <c r="Z992" i="8"/>
  <c r="Z993" i="8" s="1"/>
  <c r="AA675" i="2"/>
  <c r="AA762" i="2" s="1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278" i="2"/>
  <c r="AA365" i="2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AA283" i="2"/>
  <c r="AA370" i="2" s="1"/>
  <c r="W773" i="2"/>
  <c r="W385" i="2"/>
  <c r="Z1012" i="8"/>
  <c r="Z1013" i="8" s="1"/>
  <c r="AA680" i="2"/>
  <c r="AA767" i="2" s="1"/>
  <c r="Z745" i="2"/>
  <c r="Z734" i="2"/>
  <c r="X1196" i="8"/>
  <c r="X1197" i="8" s="1"/>
  <c r="Z760" i="8"/>
  <c r="Z761" i="8" s="1"/>
  <c r="Z279" i="2"/>
  <c r="Z366" i="2" s="1"/>
  <c r="Y333" i="2"/>
  <c r="Y297" i="2" s="1"/>
  <c r="Y608" i="8"/>
  <c r="Y609" i="8" s="1"/>
  <c r="Y344" i="2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Z677" i="2"/>
  <c r="Z764" i="2" s="1"/>
  <c r="Y731" i="2"/>
  <c r="AA331" i="2"/>
  <c r="AA600" i="8"/>
  <c r="AA601" i="8" s="1"/>
  <c r="AB277" i="2"/>
  <c r="AB364" i="2" s="1"/>
  <c r="AA342" i="2"/>
  <c r="X804" i="8"/>
  <c r="X805" i="8" s="1"/>
  <c r="X876" i="8"/>
  <c r="X877" i="8" s="1"/>
  <c r="AA276" i="2"/>
  <c r="AA363" i="2" s="1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AA397" i="2" l="1"/>
  <c r="X695" i="2"/>
  <c r="Y399" i="2"/>
  <c r="Y976" i="8" s="1"/>
  <c r="Y977" i="8" s="1"/>
  <c r="Z660" i="2"/>
  <c r="Z763" i="2"/>
  <c r="Z393" i="2"/>
  <c r="Z952" i="8" s="1"/>
  <c r="Z953" i="8" s="1"/>
  <c r="U285" i="2"/>
  <c r="U286" i="2"/>
  <c r="Z260" i="2"/>
  <c r="X840" i="8"/>
  <c r="X841" i="8" s="1"/>
  <c r="V1435" i="8"/>
  <c r="U684" i="2"/>
  <c r="U685" i="2"/>
  <c r="U1469" i="8" s="1"/>
  <c r="Y683" i="2"/>
  <c r="X296" i="2"/>
  <c r="V1376" i="8"/>
  <c r="V1377" i="8" s="1"/>
  <c r="Y696" i="2"/>
  <c r="Z1252" i="8"/>
  <c r="Z1253" i="8" s="1"/>
  <c r="W799" i="2"/>
  <c r="W1436" i="8" s="1"/>
  <c r="Y383" i="2"/>
  <c r="Y284" i="2"/>
  <c r="X781" i="2"/>
  <c r="Y1244" i="8"/>
  <c r="Y1245" i="8" s="1"/>
  <c r="Y1240" i="8"/>
  <c r="Y1241" i="8" s="1"/>
  <c r="Z782" i="2"/>
  <c r="W400" i="2"/>
  <c r="W250" i="2" s="1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X972" i="8" s="1"/>
  <c r="X973" i="8" s="1"/>
  <c r="Z658" i="2"/>
  <c r="Z659" i="2"/>
  <c r="X797" i="2"/>
  <c r="X1368" i="8" s="1"/>
  <c r="X1369" i="8" s="1"/>
  <c r="X792" i="2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W1438" i="8" s="1"/>
  <c r="AB357" i="2"/>
  <c r="AB397" i="2" s="1"/>
  <c r="Y757" i="2"/>
  <c r="Y797" i="2" s="1"/>
  <c r="Y358" i="2"/>
  <c r="Y852" i="8" s="1"/>
  <c r="Y853" i="8" s="1"/>
  <c r="Z352" i="2"/>
  <c r="Z392" i="2" s="1"/>
  <c r="Y752" i="2"/>
  <c r="Y792" i="2" s="1"/>
  <c r="Z1372" i="8"/>
  <c r="Z1373" i="8" s="1"/>
  <c r="X784" i="2"/>
  <c r="X1320" i="8" s="1"/>
  <c r="X1321" i="8" s="1"/>
  <c r="Z755" i="2"/>
  <c r="Z795" i="2" s="1"/>
  <c r="Z1360" i="8" s="1"/>
  <c r="Z1361" i="8" s="1"/>
  <c r="W860" i="8"/>
  <c r="W861" i="8" s="1"/>
  <c r="W381" i="2"/>
  <c r="W1434" i="8" s="1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AA280" i="2"/>
  <c r="AA367" i="2" s="1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679" i="2"/>
  <c r="AB766" i="2" s="1"/>
  <c r="AA744" i="2"/>
  <c r="AA596" i="8"/>
  <c r="AA597" i="8" s="1"/>
  <c r="AB276" i="2"/>
  <c r="AB363" i="2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675" i="2"/>
  <c r="AB762" i="2" s="1"/>
  <c r="AA729" i="2"/>
  <c r="AA740" i="2"/>
  <c r="Y1224" i="8"/>
  <c r="Y1225" i="8" s="1"/>
  <c r="Z1004" i="8"/>
  <c r="Z1005" i="8" s="1"/>
  <c r="Z732" i="2"/>
  <c r="Z743" i="2"/>
  <c r="AA678" i="2"/>
  <c r="AA765" i="2" s="1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281" i="2"/>
  <c r="AD368" i="2" s="1"/>
  <c r="AC335" i="2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B283" i="2"/>
  <c r="AB370" i="2" s="1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680" i="2"/>
  <c r="AB767" i="2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C682" i="2"/>
  <c r="AC769" i="2" s="1"/>
  <c r="AA796" i="8"/>
  <c r="AA797" i="8" s="1"/>
  <c r="AA279" i="2"/>
  <c r="AA366" i="2" s="1"/>
  <c r="Z333" i="2"/>
  <c r="Z608" i="8"/>
  <c r="Z609" i="8" s="1"/>
  <c r="Z344" i="2"/>
  <c r="Z383" i="2" s="1"/>
  <c r="Z820" i="8"/>
  <c r="Z821" i="8" s="1"/>
  <c r="Z996" i="8"/>
  <c r="Z997" i="8" s="1"/>
  <c r="Z730" i="2"/>
  <c r="Z741" i="2"/>
  <c r="AA676" i="2"/>
  <c r="Z1016" i="8"/>
  <c r="Z1017" i="8" s="1"/>
  <c r="AA681" i="2"/>
  <c r="AA768" i="2" s="1"/>
  <c r="Z746" i="2"/>
  <c r="Z735" i="2"/>
  <c r="AB600" i="8"/>
  <c r="AB601" i="8" s="1"/>
  <c r="AB331" i="2"/>
  <c r="AB342" i="2"/>
  <c r="AC277" i="2"/>
  <c r="AC364" i="2" s="1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31" i="2"/>
  <c r="AA677" i="2"/>
  <c r="AA764" i="2" s="1"/>
  <c r="X774" i="2"/>
  <c r="X1300" i="8" s="1"/>
  <c r="X1301" i="8" s="1"/>
  <c r="AA343" i="2"/>
  <c r="AA604" i="8"/>
  <c r="AA605" i="8" s="1"/>
  <c r="AA332" i="2"/>
  <c r="AB278" i="2"/>
  <c r="AB365" i="2" s="1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284" i="2" s="1"/>
  <c r="Z347" i="2"/>
  <c r="AA282" i="2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Y398" i="2" l="1"/>
  <c r="Y972" i="8" s="1"/>
  <c r="Y973" i="8" s="1"/>
  <c r="Y296" i="2"/>
  <c r="AA258" i="2"/>
  <c r="AA369" i="2"/>
  <c r="AA658" i="2"/>
  <c r="AA763" i="2"/>
  <c r="W649" i="2"/>
  <c r="W1376" i="8"/>
  <c r="W1377" i="8" s="1"/>
  <c r="W1435" i="8"/>
  <c r="Z297" i="2"/>
  <c r="Z683" i="2"/>
  <c r="Z696" i="2"/>
  <c r="W980" i="8"/>
  <c r="W981" i="8" s="1"/>
  <c r="AA260" i="2"/>
  <c r="V285" i="2"/>
  <c r="V286" i="2"/>
  <c r="V1466" i="8" s="1"/>
  <c r="U1466" i="8"/>
  <c r="W1432" i="8"/>
  <c r="W1431" i="8"/>
  <c r="Y396" i="2"/>
  <c r="Z856" i="8"/>
  <c r="Z857" i="8" s="1"/>
  <c r="V684" i="2"/>
  <c r="V685" i="2"/>
  <c r="V1469" i="8" s="1"/>
  <c r="AA798" i="2"/>
  <c r="AA1372" i="8" s="1"/>
  <c r="AA1373" i="8" s="1"/>
  <c r="Y695" i="2"/>
  <c r="Y773" i="2"/>
  <c r="Y1296" i="8" s="1"/>
  <c r="Y1297" i="8" s="1"/>
  <c r="Y382" i="2"/>
  <c r="AA393" i="2"/>
  <c r="AA952" i="8" s="1"/>
  <c r="AA953" i="8" s="1"/>
  <c r="AA660" i="2"/>
  <c r="Y1248" i="8"/>
  <c r="Y1249" i="8" s="1"/>
  <c r="AA259" i="2"/>
  <c r="Z796" i="2"/>
  <c r="Z1364" i="8" s="1"/>
  <c r="Z1365" i="8" s="1"/>
  <c r="Y794" i="2"/>
  <c r="Y1356" i="8" s="1"/>
  <c r="Y1357" i="8" s="1"/>
  <c r="AA659" i="2"/>
  <c r="AB968" i="8"/>
  <c r="AB969" i="8" s="1"/>
  <c r="AA795" i="2"/>
  <c r="Y781" i="2"/>
  <c r="Y793" i="2"/>
  <c r="Y1352" i="8" s="1"/>
  <c r="Y1353" i="8" s="1"/>
  <c r="X799" i="2"/>
  <c r="X1436" i="8" s="1"/>
  <c r="AA261" i="2"/>
  <c r="Z836" i="8"/>
  <c r="Z837" i="8" s="1"/>
  <c r="X1348" i="8"/>
  <c r="X1349" i="8" s="1"/>
  <c r="AA657" i="2"/>
  <c r="Z976" i="8"/>
  <c r="Z977" i="8" s="1"/>
  <c r="X400" i="2"/>
  <c r="X1431" i="8" s="1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Y777" i="2"/>
  <c r="Y1312" i="8" s="1"/>
  <c r="Y1313" i="8" s="1"/>
  <c r="Z757" i="2"/>
  <c r="Z797" i="2" s="1"/>
  <c r="AC357" i="2"/>
  <c r="AC848" i="8" s="1"/>
  <c r="AC849" i="8" s="1"/>
  <c r="Z754" i="2"/>
  <c r="Z1236" i="8" s="1"/>
  <c r="Z1237" i="8" s="1"/>
  <c r="AA352" i="2"/>
  <c r="AA392" i="2" s="1"/>
  <c r="X1256" i="8"/>
  <c r="X1257" i="8" s="1"/>
  <c r="X780" i="2"/>
  <c r="X1438" i="8" s="1"/>
  <c r="Y840" i="8"/>
  <c r="Y841" i="8" s="1"/>
  <c r="Z358" i="2"/>
  <c r="Z852" i="8" s="1"/>
  <c r="Z853" i="8" s="1"/>
  <c r="Z752" i="2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1244" i="8" s="1"/>
  <c r="AA1245" i="8" s="1"/>
  <c r="AA755" i="2"/>
  <c r="AA1240" i="8" s="1"/>
  <c r="AA1241" i="8" s="1"/>
  <c r="X860" i="8"/>
  <c r="X861" i="8" s="1"/>
  <c r="X381" i="2"/>
  <c r="X1434" i="8" s="1"/>
  <c r="Z956" i="8"/>
  <c r="Z957" i="8" s="1"/>
  <c r="V183" i="2"/>
  <c r="Z753" i="2"/>
  <c r="Z1232" i="8" s="1"/>
  <c r="Z1233" i="8" s="1"/>
  <c r="AB353" i="2"/>
  <c r="X1435" i="8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X1376" i="8"/>
  <c r="X1377" i="8" s="1"/>
  <c r="X649" i="2"/>
  <c r="Z338" i="2"/>
  <c r="Z788" i="8" s="1"/>
  <c r="Z789" i="8" s="1"/>
  <c r="Z355" i="2"/>
  <c r="Z296" i="2" s="1"/>
  <c r="U223" i="8"/>
  <c r="U224" i="8" s="1"/>
  <c r="V573" i="2"/>
  <c r="U582" i="2"/>
  <c r="U522" i="2"/>
  <c r="V513" i="2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280" i="2"/>
  <c r="AB367" i="2" s="1"/>
  <c r="AA334" i="2"/>
  <c r="AA612" i="8"/>
  <c r="AA613" i="8" s="1"/>
  <c r="AA345" i="2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279" i="2"/>
  <c r="AB366" i="2" s="1"/>
  <c r="AA333" i="2"/>
  <c r="AA608" i="8"/>
  <c r="AA609" i="8" s="1"/>
  <c r="AA344" i="2"/>
  <c r="Y378" i="2"/>
  <c r="Y916" i="8" s="1"/>
  <c r="Y917" i="8" s="1"/>
  <c r="AA1172" i="8"/>
  <c r="AA1173" i="8" s="1"/>
  <c r="AA1188" i="8"/>
  <c r="AA1189" i="8" s="1"/>
  <c r="AA1016" i="8"/>
  <c r="AA1017" i="8" s="1"/>
  <c r="AB681" i="2"/>
  <c r="AB768" i="2" s="1"/>
  <c r="AA746" i="2"/>
  <c r="AA735" i="2"/>
  <c r="AA1152" i="8"/>
  <c r="AA1153" i="8" s="1"/>
  <c r="Y770" i="2"/>
  <c r="Y1292" i="8" s="1"/>
  <c r="Y1293" i="8" s="1"/>
  <c r="AB348" i="2"/>
  <c r="AB624" i="8"/>
  <c r="AB625" i="8" s="1"/>
  <c r="AC283" i="2"/>
  <c r="AC370" i="2" s="1"/>
  <c r="AB337" i="2"/>
  <c r="AC812" i="8"/>
  <c r="AC813" i="8" s="1"/>
  <c r="AC884" i="8"/>
  <c r="AC885" i="8" s="1"/>
  <c r="AB992" i="8"/>
  <c r="AB993" i="8" s="1"/>
  <c r="AB729" i="2"/>
  <c r="AB740" i="2"/>
  <c r="AC675" i="2"/>
  <c r="AC762" i="2" s="1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B676" i="2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276" i="2"/>
  <c r="AC363" i="2" s="1"/>
  <c r="AB341" i="2"/>
  <c r="AB330" i="2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678" i="2"/>
  <c r="AB765" i="2" s="1"/>
  <c r="AA1204" i="8"/>
  <c r="AA1205" i="8" s="1"/>
  <c r="Z864" i="8"/>
  <c r="Z865" i="8" s="1"/>
  <c r="AB343" i="2"/>
  <c r="AB332" i="2"/>
  <c r="AB604" i="8"/>
  <c r="AB605" i="8" s="1"/>
  <c r="AC278" i="2"/>
  <c r="AC365" i="2" s="1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281" i="2"/>
  <c r="AE368" i="2" s="1"/>
  <c r="AD335" i="2"/>
  <c r="AD346" i="2"/>
  <c r="AB1180" i="8"/>
  <c r="AB1181" i="8" s="1"/>
  <c r="Z1200" i="8"/>
  <c r="Z1201" i="8" s="1"/>
  <c r="AB1008" i="8"/>
  <c r="AB1009" i="8" s="1"/>
  <c r="AB744" i="2"/>
  <c r="AB733" i="2"/>
  <c r="AC679" i="2"/>
  <c r="AC766" i="2" s="1"/>
  <c r="Z386" i="2"/>
  <c r="Z928" i="8" s="1"/>
  <c r="Z929" i="8" s="1"/>
  <c r="Z828" i="8"/>
  <c r="Z829" i="8" s="1"/>
  <c r="AA620" i="8"/>
  <c r="AA621" i="8" s="1"/>
  <c r="AA336" i="2"/>
  <c r="AB282" i="2"/>
  <c r="AB369" i="2" s="1"/>
  <c r="AA347" i="2"/>
  <c r="Z816" i="8"/>
  <c r="Z817" i="8" s="1"/>
  <c r="AA1000" i="8"/>
  <c r="AA1001" i="8" s="1"/>
  <c r="AA742" i="2"/>
  <c r="AB677" i="2"/>
  <c r="AB764" i="2" s="1"/>
  <c r="AA731" i="2"/>
  <c r="AC600" i="8"/>
  <c r="AC601" i="8" s="1"/>
  <c r="AC331" i="2"/>
  <c r="AC342" i="2"/>
  <c r="AD277" i="2"/>
  <c r="AD364" i="2" s="1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D682" i="2"/>
  <c r="AD769" i="2" s="1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AB1012" i="8"/>
  <c r="AB1013" i="8" s="1"/>
  <c r="AB745" i="2"/>
  <c r="AB734" i="2"/>
  <c r="AC680" i="2"/>
  <c r="AC767" i="2" s="1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Z695" i="2" l="1"/>
  <c r="AB660" i="2"/>
  <c r="AB763" i="2"/>
  <c r="AA696" i="2"/>
  <c r="Z395" i="2"/>
  <c r="AA683" i="2"/>
  <c r="AA796" i="2"/>
  <c r="AA1364" i="8" s="1"/>
  <c r="AA1365" i="8" s="1"/>
  <c r="AA297" i="2"/>
  <c r="W285" i="2"/>
  <c r="W286" i="2"/>
  <c r="W684" i="2"/>
  <c r="W685" i="2"/>
  <c r="W1469" i="8" s="1"/>
  <c r="AB259" i="2"/>
  <c r="AA284" i="2"/>
  <c r="X1432" i="8"/>
  <c r="AA791" i="2"/>
  <c r="AA1344" i="8" s="1"/>
  <c r="AA1345" i="8" s="1"/>
  <c r="AB658" i="2"/>
  <c r="AB258" i="2"/>
  <c r="AB659" i="2"/>
  <c r="AA383" i="2"/>
  <c r="X250" i="2"/>
  <c r="Z774" i="2"/>
  <c r="Z1300" i="8" s="1"/>
  <c r="Z1301" i="8" s="1"/>
  <c r="X980" i="8"/>
  <c r="X981" i="8" s="1"/>
  <c r="Z374" i="2"/>
  <c r="Z900" i="8" s="1"/>
  <c r="Z901" i="8" s="1"/>
  <c r="Z398" i="2"/>
  <c r="Z972" i="8" s="1"/>
  <c r="Z973" i="8" s="1"/>
  <c r="Z794" i="2"/>
  <c r="Z1356" i="8" s="1"/>
  <c r="Z1357" i="8" s="1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832" i="8"/>
  <c r="AB833" i="8" s="1"/>
  <c r="AB260" i="2"/>
  <c r="AB261" i="2"/>
  <c r="AC397" i="2"/>
  <c r="AC968" i="8" s="1"/>
  <c r="AC969" i="8" s="1"/>
  <c r="Z793" i="2"/>
  <c r="Z792" i="2"/>
  <c r="Y799" i="2"/>
  <c r="Y1435" i="8" s="1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91" i="2" s="1"/>
  <c r="AB755" i="2"/>
  <c r="AB795" i="2" s="1"/>
  <c r="X920" i="8"/>
  <c r="X921" i="8" s="1"/>
  <c r="X380" i="2"/>
  <c r="Y1256" i="8"/>
  <c r="Y1257" i="8" s="1"/>
  <c r="Y780" i="2"/>
  <c r="Y1438" i="8" s="1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396" i="2" s="1"/>
  <c r="AA1360" i="8"/>
  <c r="AA1361" i="8" s="1"/>
  <c r="Y860" i="8"/>
  <c r="Y861" i="8" s="1"/>
  <c r="Y381" i="2"/>
  <c r="Y1434" i="8" s="1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A757" i="2"/>
  <c r="AA797" i="2" s="1"/>
  <c r="AC353" i="2"/>
  <c r="AC832" i="8" s="1"/>
  <c r="AC833" i="8" s="1"/>
  <c r="AD357" i="2"/>
  <c r="AD397" i="2" s="1"/>
  <c r="X1316" i="8"/>
  <c r="X1317" i="8" s="1"/>
  <c r="X779" i="2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B334" i="2"/>
  <c r="AC280" i="2"/>
  <c r="AC367" i="2" s="1"/>
  <c r="AB612" i="8"/>
  <c r="AB613" i="8" s="1"/>
  <c r="AB345" i="2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C678" i="2"/>
  <c r="AC765" i="2" s="1"/>
  <c r="Z759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D679" i="2"/>
  <c r="AD766" i="2" s="1"/>
  <c r="AC733" i="2"/>
  <c r="AC596" i="8"/>
  <c r="AC597" i="8" s="1"/>
  <c r="AD276" i="2"/>
  <c r="AD363" i="2" s="1"/>
  <c r="AC330" i="2"/>
  <c r="AC341" i="2"/>
  <c r="AD1020" i="8"/>
  <c r="AD1021" i="8" s="1"/>
  <c r="AD736" i="2"/>
  <c r="AD747" i="2"/>
  <c r="AE682" i="2"/>
  <c r="AE769" i="2" s="1"/>
  <c r="AC1012" i="8"/>
  <c r="AC1013" i="8" s="1"/>
  <c r="AC745" i="2"/>
  <c r="AC734" i="2"/>
  <c r="AD680" i="2"/>
  <c r="AD767" i="2" s="1"/>
  <c r="AC1216" i="8"/>
  <c r="AC1217" i="8" s="1"/>
  <c r="Z385" i="2"/>
  <c r="AC604" i="8"/>
  <c r="AC605" i="8" s="1"/>
  <c r="AC343" i="2"/>
  <c r="AC332" i="2"/>
  <c r="AD278" i="2"/>
  <c r="AD365" i="2" s="1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675" i="2"/>
  <c r="AD762" i="2" s="1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C676" i="2"/>
  <c r="AB741" i="2"/>
  <c r="AB730" i="2"/>
  <c r="AB1016" i="8"/>
  <c r="AB1017" i="8" s="1"/>
  <c r="AC681" i="2"/>
  <c r="AC768" i="2" s="1"/>
  <c r="AB746" i="2"/>
  <c r="AB735" i="2"/>
  <c r="AB608" i="8"/>
  <c r="AB609" i="8" s="1"/>
  <c r="AB333" i="2"/>
  <c r="AB344" i="2"/>
  <c r="AC279" i="2"/>
  <c r="AC366" i="2" s="1"/>
  <c r="AC760" i="8"/>
  <c r="AC761" i="8" s="1"/>
  <c r="AB1000" i="8"/>
  <c r="AB1001" i="8" s="1"/>
  <c r="AB731" i="2"/>
  <c r="AB742" i="2"/>
  <c r="AC677" i="2"/>
  <c r="AC764" i="2" s="1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AE335" i="2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376" i="2"/>
  <c r="AB908" i="8" s="1"/>
  <c r="AB909" i="8" s="1"/>
  <c r="AB620" i="8"/>
  <c r="AB621" i="8" s="1"/>
  <c r="AC282" i="2"/>
  <c r="AC369" i="2" s="1"/>
  <c r="AB347" i="2"/>
  <c r="AB336" i="2"/>
  <c r="Z788" i="2"/>
  <c r="Z1336" i="8" s="1"/>
  <c r="Z1337" i="8" s="1"/>
  <c r="AD283" i="2"/>
  <c r="AD370" i="2" s="1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277" i="2"/>
  <c r="AE364" i="2" s="1"/>
  <c r="AA780" i="8"/>
  <c r="AA781" i="8" s="1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Y1376" i="8" l="1"/>
  <c r="Y1377" i="8" s="1"/>
  <c r="Z799" i="2"/>
  <c r="AA374" i="2"/>
  <c r="AA1248" i="8"/>
  <c r="AA1249" i="8" s="1"/>
  <c r="AA844" i="8"/>
  <c r="AA845" i="8" s="1"/>
  <c r="AB696" i="2"/>
  <c r="AC1252" i="8"/>
  <c r="AC1253" i="8" s="1"/>
  <c r="AC658" i="2"/>
  <c r="AC763" i="2"/>
  <c r="AB297" i="2"/>
  <c r="AB683" i="2"/>
  <c r="Y1436" i="8"/>
  <c r="X285" i="2"/>
  <c r="X286" i="2"/>
  <c r="X1466" i="8" s="1"/>
  <c r="AB796" i="2"/>
  <c r="W1466" i="8"/>
  <c r="X684" i="2"/>
  <c r="X685" i="2"/>
  <c r="X1469" i="8" s="1"/>
  <c r="Z1348" i="8"/>
  <c r="Z1349" i="8" s="1"/>
  <c r="AC393" i="2"/>
  <c r="AC952" i="8" s="1"/>
  <c r="AC953" i="8" s="1"/>
  <c r="AB284" i="2"/>
  <c r="AA296" i="2"/>
  <c r="AB394" i="2"/>
  <c r="AB956" i="8" s="1"/>
  <c r="AB957" i="8" s="1"/>
  <c r="AA781" i="2"/>
  <c r="AB392" i="2"/>
  <c r="AB948" i="8" s="1"/>
  <c r="AB949" i="8" s="1"/>
  <c r="AA695" i="2"/>
  <c r="AC260" i="2"/>
  <c r="AA382" i="2"/>
  <c r="AA794" i="2"/>
  <c r="AA1356" i="8" s="1"/>
  <c r="AA1357" i="8" s="1"/>
  <c r="AA793" i="2"/>
  <c r="AC259" i="2"/>
  <c r="AB399" i="2"/>
  <c r="AB976" i="8" s="1"/>
  <c r="AB977" i="8" s="1"/>
  <c r="Z400" i="2"/>
  <c r="Z980" i="8" s="1"/>
  <c r="Z981" i="8" s="1"/>
  <c r="AA792" i="2"/>
  <c r="AA1348" i="8" s="1"/>
  <c r="AA1349" i="8" s="1"/>
  <c r="AB383" i="2"/>
  <c r="AC261" i="2"/>
  <c r="AC660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B1364" i="8"/>
  <c r="AB1365" i="8" s="1"/>
  <c r="AE357" i="2"/>
  <c r="AE848" i="8" s="1"/>
  <c r="AE849" i="8" s="1"/>
  <c r="F849" i="8" s="1"/>
  <c r="Z860" i="8"/>
  <c r="Z861" i="8" s="1"/>
  <c r="Z381" i="2"/>
  <c r="Z1434" i="8" s="1"/>
  <c r="AC755" i="2"/>
  <c r="AC1240" i="8" s="1"/>
  <c r="AC1241" i="8" s="1"/>
  <c r="AA1352" i="8"/>
  <c r="AA1353" i="8" s="1"/>
  <c r="AB358" i="2"/>
  <c r="AB398" i="2" s="1"/>
  <c r="AB752" i="2"/>
  <c r="AB792" i="2" s="1"/>
  <c r="AB1348" i="8" s="1"/>
  <c r="AB1349" i="8" s="1"/>
  <c r="AA1368" i="8"/>
  <c r="AA1369" i="8" s="1"/>
  <c r="AA1228" i="8"/>
  <c r="AA1229" i="8" s="1"/>
  <c r="AD353" i="2"/>
  <c r="AD393" i="2" s="1"/>
  <c r="AD758" i="2"/>
  <c r="AD1252" i="8" s="1"/>
  <c r="AD1253" i="8" s="1"/>
  <c r="Z1256" i="8"/>
  <c r="Z1257" i="8" s="1"/>
  <c r="Z780" i="2"/>
  <c r="Z1438" i="8" s="1"/>
  <c r="AB356" i="2"/>
  <c r="AB844" i="8" s="1"/>
  <c r="AB845" i="8" s="1"/>
  <c r="AC751" i="2"/>
  <c r="AC791" i="2" s="1"/>
  <c r="AC354" i="2"/>
  <c r="AC836" i="8" s="1"/>
  <c r="AC837" i="8" s="1"/>
  <c r="AC352" i="2"/>
  <c r="AC375" i="2" s="1"/>
  <c r="AC904" i="8" s="1"/>
  <c r="AC905" i="8" s="1"/>
  <c r="AB754" i="2"/>
  <c r="AB1236" i="8" s="1"/>
  <c r="AB1237" i="8" s="1"/>
  <c r="AB355" i="2"/>
  <c r="AB382" i="2" s="1"/>
  <c r="AA840" i="8"/>
  <c r="AA841" i="8" s="1"/>
  <c r="Y1316" i="8"/>
  <c r="Y1317" i="8" s="1"/>
  <c r="Y779" i="2"/>
  <c r="AA960" i="8"/>
  <c r="AA961" i="8" s="1"/>
  <c r="Z1436" i="8"/>
  <c r="Z1435" i="8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Z1376" i="8"/>
  <c r="Z1377" i="8" s="1"/>
  <c r="Z649" i="2"/>
  <c r="AA385" i="2"/>
  <c r="AA924" i="8" s="1"/>
  <c r="AA925" i="8" s="1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34" i="2"/>
  <c r="AD280" i="2"/>
  <c r="AD367" i="2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676" i="2"/>
  <c r="AD763" i="2" s="1"/>
  <c r="AC741" i="2"/>
  <c r="AC730" i="2"/>
  <c r="AD1008" i="8"/>
  <c r="AD1009" i="8" s="1"/>
  <c r="AE679" i="2"/>
  <c r="AE766" i="2" s="1"/>
  <c r="AD744" i="2"/>
  <c r="AD733" i="2"/>
  <c r="AD1012" i="8"/>
  <c r="AD1013" i="8" s="1"/>
  <c r="AD745" i="2"/>
  <c r="AD734" i="2"/>
  <c r="AE680" i="2"/>
  <c r="AE767" i="2" s="1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677" i="2"/>
  <c r="AD764" i="2" s="1"/>
  <c r="AC731" i="2"/>
  <c r="AC742" i="2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33" i="2"/>
  <c r="AC297" i="2" s="1"/>
  <c r="AD279" i="2"/>
  <c r="AD366" i="2" s="1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675" i="2"/>
  <c r="AE762" i="2" s="1"/>
  <c r="AE1020" i="8"/>
  <c r="AE1021" i="8" s="1"/>
  <c r="F1021" i="8" s="1"/>
  <c r="AE736" i="2"/>
  <c r="AE747" i="2"/>
  <c r="AE283" i="2"/>
  <c r="AE370" i="2" s="1"/>
  <c r="AD337" i="2"/>
  <c r="AD624" i="8"/>
  <c r="AD625" i="8" s="1"/>
  <c r="AD348" i="2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E278" i="2"/>
  <c r="AE365" i="2" s="1"/>
  <c r="AD332" i="2"/>
  <c r="AD1216" i="8"/>
  <c r="AD1217" i="8" s="1"/>
  <c r="AB1224" i="8"/>
  <c r="AB1225" i="8" s="1"/>
  <c r="AC1152" i="8"/>
  <c r="AC1153" i="8" s="1"/>
  <c r="AD1180" i="8"/>
  <c r="AD1181" i="8" s="1"/>
  <c r="AA900" i="8"/>
  <c r="AA90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1344" i="8"/>
  <c r="AB1345" i="8" s="1"/>
  <c r="AB864" i="8"/>
  <c r="AB865" i="8" s="1"/>
  <c r="AC1016" i="8"/>
  <c r="AC1017" i="8" s="1"/>
  <c r="AD681" i="2"/>
  <c r="AD768" i="2" s="1"/>
  <c r="AC746" i="2"/>
  <c r="AC735" i="2"/>
  <c r="AC696" i="2" s="1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C620" i="8"/>
  <c r="AC621" i="8" s="1"/>
  <c r="AD282" i="2"/>
  <c r="AD369" i="2" s="1"/>
  <c r="AC347" i="2"/>
  <c r="AC336" i="2"/>
  <c r="Z379" i="2"/>
  <c r="AC786" i="2"/>
  <c r="AC1328" i="8" s="1"/>
  <c r="AC1329" i="8" s="1"/>
  <c r="AD596" i="8"/>
  <c r="AD597" i="8" s="1"/>
  <c r="AE276" i="2"/>
  <c r="AE363" i="2" s="1"/>
  <c r="AD341" i="2"/>
  <c r="AD330" i="2"/>
  <c r="AC1004" i="8"/>
  <c r="AC1005" i="8" s="1"/>
  <c r="AD678" i="2"/>
  <c r="AD765" i="2" s="1"/>
  <c r="AC732" i="2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C683" i="2" l="1"/>
  <c r="AC796" i="2"/>
  <c r="AC795" i="2"/>
  <c r="Y285" i="2"/>
  <c r="Y286" i="2"/>
  <c r="AD261" i="2"/>
  <c r="AD260" i="2"/>
  <c r="AC392" i="2"/>
  <c r="AB1228" i="8"/>
  <c r="AB1229" i="8" s="1"/>
  <c r="AB695" i="2"/>
  <c r="AC394" i="2"/>
  <c r="AC956" i="8" s="1"/>
  <c r="AC957" i="8" s="1"/>
  <c r="Z1432" i="8"/>
  <c r="AB296" i="2"/>
  <c r="Z1431" i="8"/>
  <c r="AD798" i="2"/>
  <c r="AD1372" i="8" s="1"/>
  <c r="AD1373" i="8" s="1"/>
  <c r="AD660" i="2"/>
  <c r="AD258" i="2"/>
  <c r="Y684" i="2"/>
  <c r="Y685" i="2"/>
  <c r="AC284" i="2"/>
  <c r="AC856" i="8"/>
  <c r="AC857" i="8" s="1"/>
  <c r="AD775" i="2"/>
  <c r="AD1304" i="8" s="1"/>
  <c r="AD1305" i="8" s="1"/>
  <c r="AB1232" i="8"/>
  <c r="AB1233" i="8" s="1"/>
  <c r="Z250" i="2"/>
  <c r="AB395" i="2"/>
  <c r="AB960" i="8" s="1"/>
  <c r="AB961" i="8" s="1"/>
  <c r="AB794" i="2"/>
  <c r="AB1356" i="8" s="1"/>
  <c r="AB1357" i="8" s="1"/>
  <c r="AC383" i="2"/>
  <c r="AE397" i="2"/>
  <c r="AE968" i="8" s="1"/>
  <c r="AE969" i="8" s="1"/>
  <c r="F969" i="8" s="1"/>
  <c r="AB781" i="2"/>
  <c r="AD259" i="2"/>
  <c r="AB396" i="2"/>
  <c r="AB964" i="8" s="1"/>
  <c r="AB965" i="8" s="1"/>
  <c r="AD659" i="2"/>
  <c r="AD658" i="2"/>
  <c r="AC782" i="2"/>
  <c r="AB1248" i="8"/>
  <c r="AB1249" i="8" s="1"/>
  <c r="AC386" i="2"/>
  <c r="AC928" i="8" s="1"/>
  <c r="AC929" i="8" s="1"/>
  <c r="AB972" i="8"/>
  <c r="AB973" i="8" s="1"/>
  <c r="AD657" i="2"/>
  <c r="AB852" i="8"/>
  <c r="AB853" i="8" s="1"/>
  <c r="AC1360" i="8"/>
  <c r="AC1361" i="8" s="1"/>
  <c r="AB1352" i="8"/>
  <c r="AB1353" i="8" s="1"/>
  <c r="AC1364" i="8"/>
  <c r="AC1365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AA1438" i="8" s="1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91" i="2" s="1"/>
  <c r="AD756" i="2"/>
  <c r="AD796" i="2" s="1"/>
  <c r="AD354" i="2"/>
  <c r="AD836" i="8" s="1"/>
  <c r="AD837" i="8" s="1"/>
  <c r="AA860" i="8"/>
  <c r="AA861" i="8" s="1"/>
  <c r="AA381" i="2"/>
  <c r="AA1434" i="8" s="1"/>
  <c r="AC754" i="2"/>
  <c r="AC1236" i="8" s="1"/>
  <c r="AC1237" i="8" s="1"/>
  <c r="AE353" i="2"/>
  <c r="AE393" i="2" s="1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D392" i="2" s="1"/>
  <c r="AB385" i="2"/>
  <c r="AB924" i="8" s="1"/>
  <c r="AB925" i="8" s="1"/>
  <c r="AA1435" i="8"/>
  <c r="AA1436" i="8"/>
  <c r="AA390" i="2"/>
  <c r="AA944" i="8" s="1"/>
  <c r="X223" i="8"/>
  <c r="X224" i="8" s="1"/>
  <c r="X582" i="2"/>
  <c r="Y573" i="2"/>
  <c r="AA778" i="2"/>
  <c r="X642" i="2"/>
  <c r="Y638" i="2"/>
  <c r="X279" i="8"/>
  <c r="X280" i="8" s="1"/>
  <c r="Y513" i="2"/>
  <c r="X522" i="2"/>
  <c r="X187" i="8"/>
  <c r="X188" i="8" s="1"/>
  <c r="AB371" i="2"/>
  <c r="AB896" i="8" s="1"/>
  <c r="AB897" i="8" s="1"/>
  <c r="AD786" i="2"/>
  <c r="AD1328" i="8" s="1"/>
  <c r="AD1329" i="8" s="1"/>
  <c r="Y454" i="2"/>
  <c r="X155" i="8"/>
  <c r="X156" i="8" s="1"/>
  <c r="X462" i="2"/>
  <c r="AD345" i="2"/>
  <c r="AD334" i="2"/>
  <c r="AD284" i="2" s="1"/>
  <c r="AE280" i="2"/>
  <c r="AE367" i="2" s="1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279" i="2"/>
  <c r="AE366" i="2" s="1"/>
  <c r="AD344" i="2"/>
  <c r="AD333" i="2"/>
  <c r="AD297" i="2" s="1"/>
  <c r="AC1260" i="8"/>
  <c r="AC1261" i="8" s="1"/>
  <c r="AC768" i="8"/>
  <c r="AC769" i="8" s="1"/>
  <c r="AC1156" i="8"/>
  <c r="AC1157" i="8" s="1"/>
  <c r="AC1228" i="8"/>
  <c r="AC1229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676" i="2"/>
  <c r="AE763" i="2" s="1"/>
  <c r="AD741" i="2"/>
  <c r="AD730" i="2"/>
  <c r="AE760" i="8"/>
  <c r="AE761" i="8" s="1"/>
  <c r="F761" i="8" s="1"/>
  <c r="AD1000" i="8"/>
  <c r="AD1001" i="8" s="1"/>
  <c r="AD731" i="2"/>
  <c r="AE677" i="2"/>
  <c r="AE764" i="2" s="1"/>
  <c r="AD742" i="2"/>
  <c r="AD782" i="2" s="1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282" i="2"/>
  <c r="AE369" i="2" s="1"/>
  <c r="AD347" i="2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C948" i="8"/>
  <c r="AC949" i="8" s="1"/>
  <c r="AE1008" i="8"/>
  <c r="AE1009" i="8" s="1"/>
  <c r="F1009" i="8" s="1"/>
  <c r="AE733" i="2"/>
  <c r="AE744" i="2"/>
  <c r="AC1200" i="8"/>
  <c r="AC1201" i="8" s="1"/>
  <c r="AD746" i="2"/>
  <c r="AD1016" i="8"/>
  <c r="AD1017" i="8" s="1"/>
  <c r="AE681" i="2"/>
  <c r="AE768" i="2" s="1"/>
  <c r="AD735" i="2"/>
  <c r="AE1012" i="8"/>
  <c r="AE1013" i="8" s="1"/>
  <c r="F1013" i="8" s="1"/>
  <c r="AE745" i="2"/>
  <c r="AE734" i="2"/>
  <c r="AB784" i="2"/>
  <c r="AD1004" i="8"/>
  <c r="AD1005" i="8" s="1"/>
  <c r="AE678" i="2"/>
  <c r="AD732" i="2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D696" i="2" l="1"/>
  <c r="AC695" i="2"/>
  <c r="AE659" i="2"/>
  <c r="AE765" i="2"/>
  <c r="AD383" i="2"/>
  <c r="Z684" i="2"/>
  <c r="Z685" i="2"/>
  <c r="Z1469" i="8" s="1"/>
  <c r="AC396" i="2"/>
  <c r="Y1469" i="8"/>
  <c r="AC840" i="8"/>
  <c r="AC841" i="8" s="1"/>
  <c r="AC296" i="2"/>
  <c r="AD683" i="2"/>
  <c r="Z285" i="2"/>
  <c r="Z286" i="2"/>
  <c r="Z1466" i="8" s="1"/>
  <c r="Y1466" i="8"/>
  <c r="AE259" i="2"/>
  <c r="AB799" i="2"/>
  <c r="AB649" i="2" s="1"/>
  <c r="AD394" i="2"/>
  <c r="AE261" i="2"/>
  <c r="AE260" i="2"/>
  <c r="AE660" i="2"/>
  <c r="AE658" i="2"/>
  <c r="AA1431" i="8"/>
  <c r="AE798" i="2"/>
  <c r="AC395" i="2"/>
  <c r="AC400" i="2" s="1"/>
  <c r="AD398" i="2"/>
  <c r="AD399" i="2"/>
  <c r="AD976" i="8" s="1"/>
  <c r="AD977" i="8" s="1"/>
  <c r="AC793" i="2"/>
  <c r="AC1352" i="8" s="1"/>
  <c r="AC1353" i="8" s="1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C1368" i="8" s="1"/>
  <c r="AC1369" i="8" s="1"/>
  <c r="AA649" i="2"/>
  <c r="AC777" i="2"/>
  <c r="AC1312" i="8" s="1"/>
  <c r="AC1313" i="8" s="1"/>
  <c r="AC852" i="8"/>
  <c r="AC853" i="8" s="1"/>
  <c r="AD1364" i="8"/>
  <c r="AD1365" i="8" s="1"/>
  <c r="AE1372" i="8"/>
  <c r="AE1373" i="8" s="1"/>
  <c r="F1373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B1434" i="8" s="1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D956" i="8"/>
  <c r="AD957" i="8" s="1"/>
  <c r="AC964" i="8"/>
  <c r="AC965" i="8" s="1"/>
  <c r="AB1256" i="8"/>
  <c r="AB1257" i="8" s="1"/>
  <c r="AB780" i="2"/>
  <c r="AB1438" i="8" s="1"/>
  <c r="AE352" i="2"/>
  <c r="AE392" i="2" s="1"/>
  <c r="AD349" i="2"/>
  <c r="AD824" i="8" s="1"/>
  <c r="AD825" i="8" s="1"/>
  <c r="AD753" i="2"/>
  <c r="AD1232" i="8" s="1"/>
  <c r="AD1233" i="8" s="1"/>
  <c r="AD1244" i="8"/>
  <c r="AD1245" i="8" s="1"/>
  <c r="AD358" i="2"/>
  <c r="AD1240" i="8"/>
  <c r="AD1241" i="8" s="1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Y155" i="8"/>
  <c r="Y156" i="8" s="1"/>
  <c r="Z454" i="2"/>
  <c r="Y462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D1200" i="8"/>
  <c r="AD1201" i="8" s="1"/>
  <c r="AE347" i="2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D852" i="8"/>
  <c r="AD853" i="8" s="1"/>
  <c r="AC784" i="2"/>
  <c r="AE1188" i="8"/>
  <c r="AE1189" i="8" s="1"/>
  <c r="F1189" i="8" s="1"/>
  <c r="AE1004" i="8"/>
  <c r="AE1005" i="8" s="1"/>
  <c r="F1005" i="8" s="1"/>
  <c r="AE732" i="2"/>
  <c r="AE743" i="2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D1236" i="8"/>
  <c r="AD1237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F1485" i="8" s="1"/>
  <c r="AE730" i="2"/>
  <c r="AD387" i="2"/>
  <c r="AD932" i="8" s="1"/>
  <c r="AD933" i="8" s="1"/>
  <c r="AD804" i="8"/>
  <c r="AD805" i="8" s="1"/>
  <c r="AE784" i="8"/>
  <c r="AE785" i="8" s="1"/>
  <c r="F785" i="8" s="1"/>
  <c r="AE376" i="2"/>
  <c r="AE908" i="8" s="1"/>
  <c r="AE909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83" i="2" s="1"/>
  <c r="AE333" i="2"/>
  <c r="AE764" i="8"/>
  <c r="AE765" i="8" s="1"/>
  <c r="F765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E683" i="2" l="1"/>
  <c r="AD695" i="2"/>
  <c r="AE284" i="2"/>
  <c r="F1483" i="8"/>
  <c r="D1476" i="8" s="1"/>
  <c r="AC960" i="8"/>
  <c r="AC961" i="8" s="1"/>
  <c r="AB1376" i="8"/>
  <c r="AB1377" i="8" s="1"/>
  <c r="AB1435" i="8"/>
  <c r="AB1436" i="8"/>
  <c r="AD792" i="2"/>
  <c r="AE297" i="2"/>
  <c r="F1467" i="8"/>
  <c r="AE836" i="8"/>
  <c r="AE837" i="8" s="1"/>
  <c r="F837" i="8" s="1"/>
  <c r="AE791" i="2"/>
  <c r="AE696" i="2"/>
  <c r="F1470" i="8" s="1"/>
  <c r="AA684" i="2"/>
  <c r="AA685" i="2"/>
  <c r="AA1469" i="8" s="1"/>
  <c r="AE795" i="2"/>
  <c r="AE1360" i="8" s="1"/>
  <c r="AE1361" i="8" s="1"/>
  <c r="F1361" i="8" s="1"/>
  <c r="AA285" i="2"/>
  <c r="AA286" i="2"/>
  <c r="AD296" i="2"/>
  <c r="AD395" i="2"/>
  <c r="AD960" i="8" s="1"/>
  <c r="AD961" i="8" s="1"/>
  <c r="AD396" i="2"/>
  <c r="AD964" i="8" s="1"/>
  <c r="AD965" i="8" s="1"/>
  <c r="AD793" i="2"/>
  <c r="AD1352" i="8" s="1"/>
  <c r="AD1353" i="8" s="1"/>
  <c r="AE1244" i="8"/>
  <c r="AE1245" i="8" s="1"/>
  <c r="F1245" i="8" s="1"/>
  <c r="AD378" i="2"/>
  <c r="AD916" i="8" s="1"/>
  <c r="AD917" i="8" s="1"/>
  <c r="AE782" i="2"/>
  <c r="AB1432" i="8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434" i="8" s="1"/>
  <c r="AC1256" i="8"/>
  <c r="AC1257" i="8" s="1"/>
  <c r="AC780" i="2"/>
  <c r="AC1438" i="8" s="1"/>
  <c r="AD773" i="2"/>
  <c r="AD1296" i="8" s="1"/>
  <c r="AD1297" i="8" s="1"/>
  <c r="AD1248" i="8"/>
  <c r="AD1249" i="8" s="1"/>
  <c r="AB1316" i="8"/>
  <c r="AB1317" i="8" s="1"/>
  <c r="AB779" i="2"/>
  <c r="AE356" i="2"/>
  <c r="AE844" i="8" s="1"/>
  <c r="AE845" i="8" s="1"/>
  <c r="F845" i="8" s="1"/>
  <c r="AE753" i="2"/>
  <c r="AE1232" i="8" s="1"/>
  <c r="AE1233" i="8" s="1"/>
  <c r="F1233" i="8" s="1"/>
  <c r="AD1348" i="8"/>
  <c r="AD1349" i="8" s="1"/>
  <c r="AE757" i="2"/>
  <c r="AE797" i="2" s="1"/>
  <c r="AE754" i="2"/>
  <c r="AE1236" i="8" s="1"/>
  <c r="AE1237" i="8" s="1"/>
  <c r="F1237" i="8" s="1"/>
  <c r="AC799" i="2"/>
  <c r="AC1436" i="8" s="1"/>
  <c r="AE358" i="2"/>
  <c r="AE852" i="8" s="1"/>
  <c r="AE853" i="8" s="1"/>
  <c r="F853" i="8" s="1"/>
  <c r="AE752" i="2"/>
  <c r="AE781" i="2" s="1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C250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344" i="8"/>
  <c r="AE1345" i="8" s="1"/>
  <c r="F1345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99" i="2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E396" i="2" l="1"/>
  <c r="F877" i="8"/>
  <c r="AE794" i="2"/>
  <c r="AB684" i="2"/>
  <c r="AB685" i="2"/>
  <c r="AB1469" i="8" s="1"/>
  <c r="AB285" i="2"/>
  <c r="AB286" i="2"/>
  <c r="AE296" i="2"/>
  <c r="AA1466" i="8"/>
  <c r="AE695" i="2"/>
  <c r="AE398" i="2"/>
  <c r="AE400" i="2" s="1"/>
  <c r="AE1356" i="8"/>
  <c r="AE1357" i="8" s="1"/>
  <c r="F1357" i="8" s="1"/>
  <c r="AE382" i="2"/>
  <c r="AE1248" i="8"/>
  <c r="AE1249" i="8" s="1"/>
  <c r="F1249" i="8" s="1"/>
  <c r="AC649" i="2"/>
  <c r="AE792" i="2"/>
  <c r="AE793" i="2"/>
  <c r="AE1352" i="8" s="1"/>
  <c r="AE1353" i="8" s="1"/>
  <c r="F1353" i="8" s="1"/>
  <c r="F1269" i="8"/>
  <c r="AE1264" i="8"/>
  <c r="AE1265" i="8" s="1"/>
  <c r="F1265" i="8" s="1"/>
  <c r="AD400" i="2"/>
  <c r="AD250" i="2" s="1"/>
  <c r="AC1376" i="8"/>
  <c r="AC1377" i="8" s="1"/>
  <c r="AE964" i="8"/>
  <c r="AE965" i="8" s="1"/>
  <c r="F965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D1438" i="8" s="1"/>
  <c r="AE960" i="8"/>
  <c r="AE961" i="8" s="1"/>
  <c r="F961" i="8" s="1"/>
  <c r="AE378" i="2"/>
  <c r="AE916" i="8" s="1"/>
  <c r="AE917" i="8" s="1"/>
  <c r="F917" i="8" s="1"/>
  <c r="AD860" i="8"/>
  <c r="AD861" i="8" s="1"/>
  <c r="AD381" i="2"/>
  <c r="AD1434" i="8" s="1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E972" i="8" l="1"/>
  <c r="AE973" i="8" s="1"/>
  <c r="F973" i="8" s="1"/>
  <c r="AE799" i="2"/>
  <c r="AE1435" i="8" s="1"/>
  <c r="F1435" i="8" s="1"/>
  <c r="AC685" i="2"/>
  <c r="AC1469" i="8" s="1"/>
  <c r="AC684" i="2"/>
  <c r="AC285" i="2"/>
  <c r="AC286" i="2"/>
  <c r="AC1466" i="8" s="1"/>
  <c r="AD1431" i="8"/>
  <c r="AB1466" i="8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1438" i="8" s="1"/>
  <c r="F1438" i="8" s="1"/>
  <c r="AE860" i="8"/>
  <c r="AE861" i="8" s="1"/>
  <c r="F861" i="8" s="1"/>
  <c r="AE381" i="2"/>
  <c r="AE1434" i="8" s="1"/>
  <c r="F1434" i="8" s="1"/>
  <c r="AE1432" i="8"/>
  <c r="F1432" i="8" s="1"/>
  <c r="AE1431" i="8"/>
  <c r="F1431" i="8" s="1"/>
  <c r="F136" i="8"/>
  <c r="AE1436" i="8"/>
  <c r="F1436" i="8" s="1"/>
  <c r="F196" i="8"/>
  <c r="AC513" i="2"/>
  <c r="AB522" i="2"/>
  <c r="AB187" i="8"/>
  <c r="AB188" i="8" s="1"/>
  <c r="AE980" i="8"/>
  <c r="AE981" i="8" s="1"/>
  <c r="AE250" i="2"/>
  <c r="AC638" i="2"/>
  <c r="AB279" i="8"/>
  <c r="AB280" i="8" s="1"/>
  <c r="AB642" i="2"/>
  <c r="AE1376" i="8"/>
  <c r="AE1377" i="8" s="1"/>
  <c r="F1377" i="8" s="1"/>
  <c r="AE649" i="2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AD179" i="8"/>
  <c r="AD180" i="8" s="1"/>
  <c r="F184" i="8"/>
  <c r="AE179" i="2"/>
  <c r="AE99" i="8" s="1"/>
  <c r="AE100" i="8" s="1"/>
  <c r="AD99" i="8"/>
  <c r="AD100" i="8" s="1"/>
  <c r="F981" i="8" l="1"/>
  <c r="AD684" i="2"/>
  <c r="AD685" i="2"/>
  <c r="AD1469" i="8" s="1"/>
  <c r="AD286" i="2"/>
  <c r="AD285" i="2"/>
  <c r="F180" i="8"/>
  <c r="AD1437" i="8"/>
  <c r="AD1448" i="8"/>
  <c r="AD1433" i="8"/>
  <c r="AD1445" i="8"/>
  <c r="AE1316" i="8"/>
  <c r="AE1317" i="8" s="1"/>
  <c r="F1317" i="8" s="1"/>
  <c r="AE779" i="2"/>
  <c r="AE920" i="8"/>
  <c r="AE921" i="8" s="1"/>
  <c r="F921" i="8" s="1"/>
  <c r="AE380" i="2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AE285" i="2" l="1"/>
  <c r="AE286" i="2"/>
  <c r="F1472" i="8" s="1"/>
  <c r="AD1466" i="8"/>
  <c r="AE684" i="2"/>
  <c r="AE685" i="2"/>
  <c r="AE1437" i="8"/>
  <c r="F1437" i="8" s="1"/>
  <c r="AE1448" i="8"/>
  <c r="F1448" i="8" s="1"/>
  <c r="AE1433" i="8"/>
  <c r="F1433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1469" i="8" l="1"/>
  <c r="F1469" i="8" s="1"/>
  <c r="F1471" i="8"/>
  <c r="AE1466" i="8"/>
  <c r="F1466" i="8" s="1"/>
  <c r="F1468" i="8"/>
  <c r="D1429" i="8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1464" i="8" l="1"/>
  <c r="D3" i="8"/>
</calcChain>
</file>

<file path=xl/sharedStrings.xml><?xml version="1.0" encoding="utf-8"?>
<sst xmlns="http://schemas.openxmlformats.org/spreadsheetml/2006/main" count="9917" uniqueCount="2003">
  <si>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</si>
  <si>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</si>
  <si>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</si>
  <si>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</si>
  <si>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</si>
  <si>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</si>
  <si>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</si>
  <si>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</si>
  <si>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</si>
  <si>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</si>
  <si>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</si>
  <si>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</si>
  <si>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</si>
  <si>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</si>
  <si>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</si>
  <si>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</si>
  <si>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</si>
  <si>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</si>
  <si>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</si>
  <si>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</si>
  <si>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</si>
  <si>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</si>
  <si>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</si>
  <si>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</si>
  <si>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</si>
  <si>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</si>
  <si>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</si>
  <si>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</si>
  <si>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</si>
  <si>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</si>
  <si>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</si>
  <si>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</si>
  <si>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</si>
  <si>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</si>
  <si>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</si>
  <si>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</si>
  <si>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</si>
  <si>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</si>
  <si>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</si>
  <si>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</si>
  <si>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</si>
  <si>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</si>
  <si>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</si>
  <si>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</si>
  <si>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</si>
  <si>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</si>
  <si>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</si>
  <si>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</si>
  <si>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</si>
  <si>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</si>
  <si>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</si>
  <si>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</si>
  <si>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</si>
  <si>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</si>
  <si>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</si>
  <si>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</si>
  <si>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</si>
  <si>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</si>
  <si>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</si>
  <si>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</si>
  <si>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</si>
  <si>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</si>
  <si>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</si>
  <si>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</si>
  <si>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</si>
  <si>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</si>
  <si>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</si>
  <si>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</si>
  <si>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</si>
  <si>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</si>
  <si>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</si>
  <si>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</si>
  <si>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</si>
  <si>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</si>
  <si>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</si>
  <si>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</si>
  <si>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</si>
  <si>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</si>
  <si>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</si>
  <si>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</si>
  <si>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</si>
  <si>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</si>
  <si>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</si>
  <si>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</si>
  <si>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</si>
  <si>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</si>
  <si>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</si>
  <si>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</si>
  <si>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</si>
  <si>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</si>
  <si>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</si>
  <si>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</si>
  <si>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</si>
  <si>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</si>
  <si>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</si>
  <si>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</si>
  <si>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</si>
  <si>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</si>
  <si>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</si>
  <si>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</si>
  <si>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</si>
  <si>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</si>
  <si>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</si>
  <si>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</si>
  <si>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</si>
  <si>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</si>
  <si>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</si>
  <si>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</si>
  <si>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</si>
  <si>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</si>
  <si>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</si>
  <si>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</si>
  <si>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</si>
  <si>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</si>
  <si>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</si>
  <si>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</si>
  <si>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</si>
  <si>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</si>
  <si>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</si>
  <si>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</si>
  <si>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</si>
  <si>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</si>
  <si>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</si>
  <si>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</si>
  <si>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</si>
  <si>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</si>
  <si>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</si>
  <si>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</si>
  <si>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</si>
  <si>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</si>
  <si>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</si>
  <si>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</si>
  <si>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</si>
  <si>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</si>
  <si>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</si>
  <si>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</si>
  <si>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</si>
  <si>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</si>
  <si>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</si>
  <si>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</si>
  <si>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</si>
  <si>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</si>
  <si>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</si>
  <si>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</si>
  <si>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</si>
  <si>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</si>
  <si>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</si>
  <si>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</si>
  <si>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</si>
  <si>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</si>
  <si>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</si>
  <si>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</si>
  <si>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</si>
  <si>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</si>
  <si>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</si>
  <si>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</si>
  <si>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</si>
  <si>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</si>
  <si>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</si>
  <si>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</si>
  <si>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</si>
  <si>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</si>
  <si>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</si>
  <si>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</si>
  <si>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</si>
  <si>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</si>
  <si>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</si>
  <si>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</si>
  <si>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</si>
  <si>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</si>
  <si>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</si>
  <si>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</si>
  <si>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</si>
  <si>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</si>
  <si>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</si>
  <si>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</si>
  <si>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</si>
  <si>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</si>
  <si>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</si>
  <si>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</si>
  <si>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</si>
  <si>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</si>
  <si>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</si>
  <si>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</si>
  <si>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</si>
  <si>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</si>
  <si>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</si>
  <si>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</si>
  <si>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</si>
  <si>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</si>
  <si>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</si>
  <si>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</si>
  <si>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</si>
  <si>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</si>
  <si>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</si>
  <si>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</si>
  <si>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</si>
  <si>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</si>
  <si>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</si>
  <si>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</si>
  <si>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</si>
  <si>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</si>
  <si>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</si>
  <si>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</si>
  <si>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</si>
  <si>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</si>
  <si>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</si>
  <si>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</si>
  <si>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</si>
  <si>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</si>
  <si>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</si>
  <si>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</si>
  <si>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</si>
  <si>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</si>
  <si>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</si>
  <si>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</si>
  <si>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</si>
  <si>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</si>
  <si>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</si>
  <si>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</si>
  <si>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</si>
  <si>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</si>
  <si>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</si>
  <si>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</si>
  <si>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</si>
  <si>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</si>
  <si>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</si>
  <si>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</si>
  <si>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</si>
  <si>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</si>
  <si>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</si>
  <si>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</si>
  <si>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</si>
  <si>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</si>
  <si>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</si>
  <si>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</si>
  <si>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</si>
  <si>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</si>
  <si>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</si>
  <si>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</si>
  <si>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</si>
  <si>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</si>
  <si>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</si>
  <si>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</si>
  <si>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</si>
  <si>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</si>
  <si>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</si>
  <si>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</si>
  <si>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</si>
  <si>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</si>
  <si>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</si>
  <si>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</si>
  <si>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</si>
  <si>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</si>
  <si>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</si>
  <si>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</si>
  <si>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</si>
  <si>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</si>
  <si>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</si>
  <si>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</si>
  <si>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</si>
  <si>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</si>
  <si>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</si>
  <si>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</si>
  <si>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</si>
  <si>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</si>
  <si>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</si>
  <si>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</si>
  <si>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</si>
  <si>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</si>
  <si>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</si>
  <si>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</si>
  <si>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</si>
  <si>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</si>
  <si>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</si>
  <si>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</si>
  <si>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</si>
  <si>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</si>
  <si>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</si>
  <si>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</si>
  <si>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</si>
  <si>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</si>
  <si>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</si>
  <si>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</si>
  <si>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</si>
  <si>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</si>
  <si>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</si>
  <si>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</si>
  <si>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</si>
  <si>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</si>
  <si>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</si>
  <si>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</si>
  <si>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</si>
  <si>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</si>
  <si>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</si>
  <si>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</si>
  <si>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</si>
  <si>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</si>
  <si>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</si>
  <si>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</si>
  <si>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</si>
  <si>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</si>
  <si>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</si>
  <si>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</si>
  <si>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</si>
  <si>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</si>
  <si>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</si>
  <si>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</si>
  <si>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</si>
  <si>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</si>
  <si>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</si>
  <si>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</si>
  <si>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</si>
  <si>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</si>
  <si>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</si>
  <si>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</si>
  <si>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</si>
  <si>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</si>
  <si>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</si>
  <si>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</si>
  <si>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</si>
  <si>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</si>
  <si>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</si>
  <si>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</si>
  <si>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</si>
  <si>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</si>
  <si>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</si>
  <si>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</si>
  <si>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</si>
  <si>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</si>
  <si>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</si>
  <si>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</si>
  <si>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</si>
  <si>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</si>
  <si>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</si>
  <si>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</si>
  <si>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</si>
  <si>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</si>
  <si>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</si>
  <si>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</si>
  <si>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</si>
  <si>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</si>
  <si>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</si>
  <si>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</si>
  <si>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</si>
  <si>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</si>
  <si>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</si>
  <si>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</si>
  <si>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</si>
  <si>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</si>
  <si>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</si>
  <si>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</si>
  <si>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</si>
  <si>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</si>
  <si>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</si>
  <si>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</si>
  <si>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</si>
  <si>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</si>
  <si>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</si>
  <si>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</si>
  <si>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</si>
  <si>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</si>
  <si>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</si>
  <si>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</si>
  <si>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</si>
  <si>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</si>
  <si>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</si>
  <si>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</si>
  <si>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</si>
  <si>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</si>
  <si>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</si>
  <si>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</si>
  <si>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</si>
  <si>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</si>
  <si>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</si>
  <si>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</si>
  <si>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</si>
  <si>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</si>
  <si>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</si>
  <si>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</si>
  <si>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</si>
  <si>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</si>
  <si>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</si>
  <si>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</si>
  <si>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</si>
  <si>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</si>
  <si>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</si>
  <si>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</si>
  <si>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</si>
  <si>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</si>
  <si>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</si>
  <si>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</si>
  <si>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</si>
  <si>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</si>
  <si>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</si>
  <si>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</si>
  <si>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</si>
  <si>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</si>
  <si>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</si>
  <si>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</si>
  <si>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</si>
  <si>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</si>
  <si>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</si>
  <si>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</si>
  <si>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</si>
  <si>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</si>
  <si>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</si>
  <si>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</si>
  <si>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</si>
  <si>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</si>
  <si>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</si>
  <si>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</si>
  <si>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</si>
  <si>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</si>
  <si>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</si>
  <si>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</si>
  <si>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</si>
  <si>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</si>
  <si>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</si>
  <si>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</si>
  <si>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</si>
  <si>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</si>
  <si>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</si>
  <si>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</si>
  <si>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</si>
  <si>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</si>
  <si>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</si>
  <si>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</si>
  <si>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</si>
  <si>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</si>
  <si>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</si>
  <si>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</si>
  <si>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</si>
  <si>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</si>
  <si>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</si>
  <si>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</si>
  <si>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</si>
  <si>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</si>
  <si>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</si>
  <si>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</si>
  <si>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</si>
  <si>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</si>
  <si>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</si>
  <si>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</si>
  <si>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</si>
  <si>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</si>
  <si>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</si>
  <si>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</si>
  <si>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</si>
  <si>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</si>
  <si>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</si>
  <si>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</si>
  <si>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</si>
  <si>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</si>
  <si>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</si>
  <si>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</si>
  <si>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</si>
  <si>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</si>
  <si>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</si>
  <si>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</si>
  <si>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</si>
  <si>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</si>
  <si>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</si>
  <si>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</si>
  <si>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</si>
  <si>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</si>
  <si>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</si>
  <si>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</si>
  <si>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</si>
  <si>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</si>
  <si>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</si>
  <si>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</si>
  <si>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</si>
  <si>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</si>
  <si>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</si>
  <si>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</si>
  <si>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</si>
  <si>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</si>
  <si>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</si>
  <si>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</si>
  <si>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</si>
  <si>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</si>
  <si>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</si>
  <si>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</si>
  <si>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</si>
  <si>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</si>
  <si>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</si>
  <si>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</si>
  <si>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</si>
  <si>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</si>
  <si>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</si>
  <si>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</si>
  <si>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</si>
  <si>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</si>
  <si>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</si>
  <si>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</si>
  <si>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</si>
  <si>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</si>
  <si>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</si>
  <si>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</si>
  <si>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</si>
  <si>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</si>
  <si>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</si>
  <si>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</si>
  <si>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</si>
  <si>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</si>
  <si>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</si>
  <si>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</si>
  <si>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</si>
  <si>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</si>
  <si>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</si>
  <si>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</si>
  <si>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</si>
  <si>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</si>
  <si>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</si>
  <si>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</si>
  <si>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</si>
  <si>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</si>
  <si>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</si>
  <si>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</si>
  <si>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</si>
  <si>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</si>
  <si>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</si>
  <si>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</si>
  <si>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</si>
  <si>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</si>
  <si>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</si>
  <si>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</si>
  <si>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</si>
  <si>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</si>
  <si>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</si>
  <si>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</si>
  <si>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</si>
  <si>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</si>
  <si>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</si>
  <si>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</si>
  <si>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</si>
  <si>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</si>
  <si>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</si>
  <si>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</si>
  <si>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</si>
  <si>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</si>
  <si>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</si>
  <si>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</si>
  <si>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</si>
  <si>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</si>
  <si>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</si>
  <si>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</si>
  <si>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</si>
  <si>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</si>
  <si>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</si>
  <si>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</si>
  <si>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</si>
  <si>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</si>
  <si>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</si>
  <si>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</si>
  <si>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</si>
  <si>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</si>
  <si>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</si>
  <si>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</si>
  <si>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</si>
  <si>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</si>
  <si>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</si>
  <si>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</si>
  <si>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</si>
  <si>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</si>
  <si>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</si>
  <si>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</si>
  <si>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</si>
  <si>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</si>
  <si>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</si>
  <si>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</si>
  <si>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</si>
  <si>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</si>
  <si>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</si>
  <si>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</si>
  <si>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</si>
  <si>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</si>
  <si>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</si>
  <si>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</si>
  <si>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</si>
  <si>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</si>
  <si>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</si>
  <si>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</si>
  <si>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</si>
  <si>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</si>
  <si>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</si>
  <si>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</si>
  <si>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</si>
  <si>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</si>
  <si>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</si>
  <si>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</si>
  <si>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</si>
  <si>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</si>
  <si>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</si>
  <si>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</si>
  <si>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</si>
  <si>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</si>
  <si>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</si>
  <si>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</si>
  <si>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</si>
  <si>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</si>
  <si>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</si>
  <si>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</si>
  <si>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</si>
  <si>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</si>
  <si>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</si>
  <si>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</si>
  <si>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</si>
  <si>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</si>
  <si>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</si>
  <si>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</si>
  <si>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</si>
  <si>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</si>
  <si>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</si>
  <si>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</si>
  <si>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</si>
  <si>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</si>
  <si>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</si>
  <si>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</si>
  <si>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</si>
  <si>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</si>
  <si>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</si>
  <si>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</si>
  <si>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</si>
  <si>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</si>
  <si>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</si>
  <si>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</si>
  <si>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</si>
  <si>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</si>
  <si>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</si>
  <si>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</si>
  <si>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</si>
  <si>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</si>
  <si>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</si>
  <si>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</si>
  <si>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</si>
  <si>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</si>
  <si>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</si>
  <si>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</si>
  <si>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</si>
  <si>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</si>
  <si>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</si>
  <si>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</si>
  <si>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</si>
  <si>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</si>
  <si>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</si>
  <si>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</si>
  <si>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</si>
  <si>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</si>
  <si>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</si>
  <si>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</si>
  <si>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</si>
  <si>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</si>
  <si>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</si>
  <si>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</si>
  <si>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</si>
  <si>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</si>
  <si>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</si>
  <si>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</si>
  <si>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</si>
  <si>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</si>
  <si>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</si>
  <si>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</si>
  <si>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</si>
  <si>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</si>
  <si>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</si>
  <si>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</si>
  <si>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</si>
  <si>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</si>
  <si>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</si>
  <si>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</si>
  <si>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</si>
  <si>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</si>
  <si>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</si>
  <si>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</si>
  <si>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</si>
  <si>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</si>
  <si>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</si>
  <si>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</si>
  <si>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</si>
  <si>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</si>
  <si>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</si>
  <si>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</si>
  <si>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</si>
  <si>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</si>
  <si>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</si>
  <si>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</si>
  <si>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</si>
  <si>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</si>
  <si>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</si>
  <si>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</si>
  <si>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</si>
  <si>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</si>
  <si>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</si>
  <si>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</si>
  <si>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</si>
  <si>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</si>
  <si>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</si>
  <si>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</si>
  <si>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</si>
  <si>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</si>
  <si>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</si>
  <si>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</si>
  <si>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</si>
  <si>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</si>
  <si>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</si>
  <si>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</si>
  <si>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</si>
  <si>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</si>
  <si>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</si>
  <si>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</si>
  <si>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</si>
  <si>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</si>
  <si>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</si>
  <si>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</si>
  <si>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</si>
  <si>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</si>
  <si>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</si>
  <si>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</si>
  <si>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</si>
  <si>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</si>
  <si>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</si>
  <si>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</si>
  <si>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</si>
  <si>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</si>
  <si>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</si>
  <si>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</si>
  <si>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</si>
  <si>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</si>
  <si>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</si>
  <si>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</si>
  <si>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</si>
  <si>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</si>
  <si>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</si>
  <si>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</si>
  <si>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</si>
  <si>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</si>
  <si>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</si>
  <si>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</si>
  <si>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</si>
  <si>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</si>
  <si>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</si>
  <si>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</si>
  <si>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</si>
  <si>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</si>
  <si>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</si>
  <si>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</si>
  <si>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</si>
  <si>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</si>
  <si>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</si>
  <si>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</si>
  <si>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</si>
  <si>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</si>
  <si>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</si>
  <si>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</si>
  <si>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</si>
  <si>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</si>
  <si>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</si>
  <si>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</si>
  <si>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</si>
  <si>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</si>
  <si>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</si>
  <si>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</si>
  <si>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</si>
  <si>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</si>
  <si>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</si>
  <si>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</si>
  <si>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</si>
  <si>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</si>
  <si>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</si>
  <si>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</si>
  <si>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</si>
  <si>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</si>
  <si>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</si>
  <si>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</si>
  <si>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</si>
  <si>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</si>
  <si>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</si>
  <si>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</si>
  <si>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</si>
  <si>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</si>
  <si>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</si>
  <si>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</si>
  <si>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</si>
  <si>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</si>
  <si>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</si>
  <si>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</si>
  <si>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</si>
  <si>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</si>
  <si>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</si>
  <si>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</si>
  <si>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</si>
  <si>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</si>
  <si>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</si>
  <si>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</si>
  <si>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</si>
  <si>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</si>
  <si>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</si>
  <si>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</si>
  <si>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</si>
  <si>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</si>
  <si>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</si>
  <si>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</si>
  <si>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</si>
  <si>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</si>
  <si>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</si>
  <si>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</si>
  <si>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</si>
  <si>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</si>
  <si>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</si>
  <si>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</si>
  <si>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</si>
  <si>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</si>
  <si>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</si>
  <si>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</si>
  <si>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</si>
  <si>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</si>
  <si>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</si>
  <si>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</si>
  <si>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</si>
  <si>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</si>
  <si>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</si>
  <si>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</si>
  <si>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</si>
  <si>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</si>
  <si>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</si>
  <si>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</si>
  <si>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</si>
  <si>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</si>
  <si>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</si>
  <si>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</si>
  <si>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</si>
  <si>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</si>
  <si>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</si>
  <si>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</si>
  <si>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</si>
  <si>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</si>
  <si>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</si>
  <si>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</si>
  <si>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</si>
  <si>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</si>
  <si>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</si>
  <si>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</si>
  <si>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</si>
  <si>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</si>
  <si>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</si>
  <si>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</si>
  <si>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</si>
  <si>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</si>
  <si>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</si>
  <si>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</si>
  <si>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</si>
  <si>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</si>
  <si>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</si>
  <si>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</si>
  <si>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</si>
  <si>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</si>
  <si>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</si>
  <si>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</si>
  <si>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</si>
  <si>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</si>
  <si>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</si>
  <si>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</si>
  <si>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</si>
  <si>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</si>
  <si>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</si>
  <si>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</si>
  <si>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</si>
  <si>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</si>
  <si>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</si>
  <si>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</si>
  <si>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</si>
  <si>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</si>
  <si>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</si>
  <si>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</si>
  <si>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</si>
  <si>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</si>
  <si>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</si>
  <si>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</si>
  <si>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</si>
  <si>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</si>
  <si>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</si>
  <si>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</si>
  <si>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</si>
  <si>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</si>
  <si>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</si>
  <si>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</si>
  <si>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</si>
  <si>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</si>
  <si>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</si>
  <si>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</si>
  <si>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</si>
  <si>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</si>
  <si>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</si>
  <si>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</si>
  <si>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</si>
  <si>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</si>
  <si>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</si>
  <si>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</si>
  <si>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</si>
  <si>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</si>
  <si>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</si>
  <si>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</si>
  <si>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</si>
  <si>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</si>
  <si>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</si>
  <si>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</si>
  <si>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</si>
  <si>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</si>
  <si>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</si>
  <si>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</si>
  <si>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</si>
  <si>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</si>
  <si>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</si>
  <si>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</si>
  <si>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</si>
  <si>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</si>
  <si>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</si>
  <si>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</si>
  <si>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</si>
  <si>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</si>
  <si>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</si>
  <si>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</si>
  <si>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</si>
  <si>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</si>
  <si>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</si>
  <si>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</si>
  <si>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</si>
  <si>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</si>
  <si>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</si>
  <si>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</si>
  <si>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</si>
  <si>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</si>
  <si>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</si>
  <si>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</si>
  <si>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</si>
  <si>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</si>
  <si>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</si>
  <si>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</si>
  <si>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</si>
  <si>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</si>
  <si>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</si>
  <si>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</si>
  <si>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</si>
  <si>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</si>
  <si>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</si>
  <si>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</si>
  <si>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</si>
  <si>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</si>
  <si>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</si>
  <si>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</si>
  <si>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</si>
  <si>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</si>
  <si>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</si>
  <si>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</si>
  <si>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</si>
  <si>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</si>
  <si>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</si>
  <si>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</si>
  <si>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</si>
  <si>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</si>
  <si>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</si>
  <si>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</si>
  <si>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</si>
  <si>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</si>
  <si>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</si>
  <si>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</si>
  <si>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</si>
  <si>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</si>
  <si>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</si>
  <si>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</si>
  <si>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</si>
  <si>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</si>
  <si>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</si>
  <si>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</si>
  <si>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</si>
  <si>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</si>
  <si>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</si>
  <si>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</si>
  <si>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</si>
  <si>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</si>
  <si>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</si>
  <si>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</si>
  <si>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</si>
  <si>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</si>
  <si>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</si>
  <si>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</si>
  <si>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</si>
  <si>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</si>
  <si>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</si>
  <si>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</si>
  <si>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</si>
  <si>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</si>
  <si>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</si>
  <si>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</si>
  <si>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</si>
  <si>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</si>
  <si>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</si>
  <si>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</si>
  <si>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</si>
  <si>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</si>
  <si>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</si>
  <si>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</si>
  <si>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</si>
  <si>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</si>
  <si>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</si>
  <si>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</si>
  <si>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</si>
  <si>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</si>
  <si>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</si>
  <si>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</si>
  <si>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</si>
  <si>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</si>
  <si>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</si>
  <si>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</si>
  <si>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</si>
  <si>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</si>
  <si>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</si>
  <si>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</si>
  <si>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</si>
  <si>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</si>
  <si>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</si>
  <si>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</si>
  <si>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</si>
  <si>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</si>
  <si>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</si>
  <si>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</si>
  <si>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</si>
  <si>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</si>
  <si>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</si>
  <si>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</si>
  <si>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</si>
  <si>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</si>
  <si>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</si>
  <si>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</si>
  <si>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</si>
  <si>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</si>
  <si>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</si>
  <si>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</si>
  <si>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</si>
  <si>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</si>
  <si>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</si>
  <si>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</si>
  <si>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</si>
  <si>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</si>
  <si>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</si>
  <si>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</si>
  <si>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</si>
  <si>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</si>
  <si>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</si>
  <si>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</si>
  <si>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</si>
  <si>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</si>
  <si>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</si>
  <si>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</si>
  <si>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</si>
  <si>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</si>
  <si>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</si>
  <si>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</si>
  <si>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</si>
  <si>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</si>
  <si>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</si>
  <si>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</si>
  <si>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</si>
  <si>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</si>
  <si>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</si>
  <si>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</si>
  <si>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</si>
  <si>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</si>
  <si>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</si>
  <si>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</si>
  <si>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</si>
  <si>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</si>
  <si>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</si>
  <si>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</si>
  <si>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</si>
  <si>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</si>
  <si>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</si>
  <si>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</si>
  <si>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</si>
  <si>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</si>
  <si>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</si>
  <si>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</si>
  <si>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</si>
  <si>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</si>
  <si>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</si>
  <si>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</si>
  <si>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</si>
  <si>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</si>
  <si>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</si>
  <si>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</si>
  <si>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</si>
  <si>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</si>
  <si>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</si>
  <si>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</si>
  <si>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</si>
  <si>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</si>
  <si>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</si>
  <si>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</si>
  <si>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</si>
  <si>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</si>
  <si>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</si>
  <si>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</si>
  <si>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</si>
  <si>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</si>
  <si>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</si>
  <si>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</si>
  <si>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</si>
  <si>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</si>
  <si>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</si>
  <si>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</si>
  <si>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</si>
  <si>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</si>
  <si>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</si>
  <si>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</si>
  <si>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</si>
  <si>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</si>
  <si>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</si>
  <si>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</si>
  <si>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</si>
  <si>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</si>
  <si>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</si>
  <si>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</si>
  <si>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</si>
  <si>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</si>
  <si>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</si>
  <si>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</si>
  <si>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</si>
  <si>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</si>
  <si>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</si>
  <si>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</si>
  <si>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</si>
  <si>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</si>
  <si>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</si>
  <si>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</si>
  <si>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</si>
  <si>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</si>
  <si>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</si>
  <si>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</si>
  <si>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</si>
  <si>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</si>
  <si>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</si>
  <si>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</si>
  <si>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</si>
  <si>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</si>
  <si>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</si>
  <si>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</si>
  <si>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</si>
  <si>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</si>
  <si>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</si>
  <si>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</si>
  <si>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</si>
  <si>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</si>
  <si>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</si>
  <si>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</si>
  <si>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</si>
  <si>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</si>
  <si>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</si>
  <si>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</si>
  <si>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</si>
  <si>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</si>
  <si>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</si>
  <si>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</si>
  <si>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</si>
  <si>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</si>
  <si>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</si>
  <si>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</si>
  <si>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</si>
  <si>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</si>
  <si>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</si>
  <si>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</si>
  <si>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</si>
  <si>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</si>
  <si>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</si>
  <si>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</si>
  <si>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</si>
  <si>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</si>
  <si>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</si>
  <si>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</si>
  <si>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</si>
  <si>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</si>
  <si>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</si>
  <si>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</si>
  <si>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</si>
  <si>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</si>
  <si>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</si>
  <si>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</si>
  <si>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</si>
  <si>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</si>
  <si>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</si>
  <si>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</si>
  <si>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</si>
  <si>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</si>
  <si>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</si>
  <si>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</si>
  <si>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</si>
  <si>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</si>
  <si>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</si>
  <si>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</si>
  <si>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</si>
  <si>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</si>
  <si>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</si>
  <si>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</si>
  <si>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</si>
  <si>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</si>
  <si>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</si>
  <si>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</si>
  <si>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</si>
  <si>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</si>
  <si>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</si>
  <si>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</si>
  <si>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</si>
  <si>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</si>
  <si>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</si>
  <si>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</si>
  <si>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</si>
  <si>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</si>
  <si>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</si>
  <si>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</si>
  <si>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</si>
  <si>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</si>
  <si>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</si>
  <si>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</si>
  <si>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</si>
  <si>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</si>
  <si>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</si>
  <si>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</si>
  <si>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</si>
  <si>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</si>
  <si>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</si>
  <si>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</si>
  <si>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</si>
  <si>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</si>
  <si>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</si>
  <si>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</si>
  <si>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</si>
  <si>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</si>
  <si>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</si>
  <si>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</si>
  <si>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</si>
  <si>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</si>
  <si>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</si>
  <si>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</si>
  <si>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</si>
  <si>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</si>
  <si>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</si>
  <si>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</si>
  <si>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</si>
  <si>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</si>
  <si>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</si>
  <si>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</si>
  <si>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</si>
  <si>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</si>
  <si>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</si>
  <si>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</si>
  <si>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</si>
  <si>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</si>
  <si>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</si>
  <si>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</si>
  <si>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</si>
  <si>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</si>
  <si>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</si>
  <si>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</si>
  <si>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</si>
  <si>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</si>
  <si>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</si>
  <si>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</si>
  <si>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</si>
  <si>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</si>
  <si>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</si>
  <si>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</si>
  <si>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</si>
  <si>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</si>
  <si>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</si>
  <si>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</si>
  <si>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</si>
  <si>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</si>
  <si>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</si>
  <si>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</si>
  <si>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</si>
  <si>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</si>
  <si>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</si>
  <si>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</si>
  <si>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</si>
  <si>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</si>
  <si>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</si>
  <si>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</si>
  <si>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</si>
  <si>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</si>
  <si>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</si>
  <si>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</si>
  <si>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</si>
  <si>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</si>
  <si>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</si>
  <si>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</si>
  <si>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</si>
  <si>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</si>
  <si>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</si>
  <si>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</si>
  <si>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</si>
  <si>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</si>
  <si>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</si>
  <si>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</si>
  <si>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</si>
  <si>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</si>
  <si>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</si>
  <si>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</si>
  <si>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</si>
  <si>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</si>
  <si>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</si>
  <si>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</si>
  <si>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</si>
  <si>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</si>
  <si>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</si>
  <si>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</si>
  <si>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</si>
  <si>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</si>
  <si>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</si>
  <si>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</si>
  <si>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</si>
  <si>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</si>
  <si>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</si>
  <si>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</si>
  <si>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</si>
  <si>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</si>
  <si>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</si>
  <si>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</si>
  <si>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</si>
  <si>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</si>
  <si>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</si>
  <si>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</si>
  <si>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</si>
  <si>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</si>
  <si>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</si>
  <si>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</si>
  <si>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</si>
  <si>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</si>
  <si>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</si>
  <si>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</si>
  <si>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</si>
  <si>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</si>
  <si>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</si>
  <si>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</si>
  <si>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</si>
  <si>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</si>
  <si>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</si>
  <si>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</si>
  <si>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</si>
  <si>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</si>
  <si>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</si>
  <si>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</si>
  <si>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</si>
  <si>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</si>
  <si>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</si>
  <si>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</si>
  <si>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</si>
  <si>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</si>
  <si>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</si>
  <si>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</si>
  <si>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</si>
  <si>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</si>
  <si>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</si>
  <si>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</si>
  <si>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</si>
  <si>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</si>
  <si>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</si>
  <si>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</si>
  <si>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</si>
  <si>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</si>
  <si>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</si>
  <si>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</si>
  <si>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</si>
  <si>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</si>
  <si>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</si>
  <si>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</si>
  <si>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</si>
  <si>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</si>
  <si>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</si>
  <si>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</si>
  <si>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</si>
  <si>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</si>
  <si>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</si>
  <si>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</si>
  <si>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</si>
  <si>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</si>
  <si>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</si>
  <si>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</si>
  <si>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</si>
  <si>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</si>
  <si>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</si>
  <si>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</si>
  <si>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</si>
  <si>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</si>
  <si>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</si>
  <si>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</si>
  <si>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</si>
  <si>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</si>
  <si>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</si>
  <si>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</si>
  <si>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</si>
  <si>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</si>
  <si>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</si>
  <si>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</si>
  <si>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</si>
  <si>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</si>
  <si>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</si>
  <si>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</si>
  <si>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</si>
  <si>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</si>
  <si>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</si>
  <si>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</si>
  <si>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</si>
  <si>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</si>
  <si>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</si>
  <si>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</si>
  <si>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</si>
  <si>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</si>
  <si>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</si>
  <si>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</si>
  <si>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</si>
  <si>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</si>
  <si>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</si>
  <si>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</si>
  <si>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</si>
  <si>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</si>
  <si>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</si>
  <si>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</si>
  <si>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</si>
  <si>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</si>
  <si>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</si>
  <si>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</si>
  <si>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</si>
  <si>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</si>
  <si>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</si>
  <si>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</si>
  <si>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</si>
  <si>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</si>
  <si>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</si>
  <si>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</si>
  <si>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</si>
  <si>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</si>
  <si>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</si>
  <si>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</si>
  <si>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</si>
  <si>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</si>
  <si>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</si>
  <si>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</si>
  <si>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</si>
  <si>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</si>
  <si>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</si>
  <si>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</si>
  <si>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</si>
  <si>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</si>
  <si>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</si>
  <si>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</si>
  <si>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</si>
  <si>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</si>
  <si>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</si>
  <si>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</si>
  <si>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</si>
  <si>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</si>
  <si>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</si>
  <si>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</si>
  <si>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</si>
  <si>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</si>
  <si>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</si>
  <si>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</si>
  <si>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</si>
  <si>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</si>
  <si>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</si>
  <si>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</si>
  <si>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</si>
  <si>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</si>
  <si>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</si>
  <si>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</si>
  <si>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</si>
  <si>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</si>
  <si>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</si>
  <si>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</si>
  <si>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</si>
  <si>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</si>
  <si>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</si>
  <si>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</si>
  <si>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</si>
  <si>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</si>
  <si>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</si>
  <si>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</si>
  <si>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</si>
  <si>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</si>
  <si>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</si>
  <si>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</si>
  <si>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</si>
  <si>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</si>
  <si>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</si>
  <si>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</si>
  <si>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</si>
  <si>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</si>
  <si>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</si>
  <si>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</si>
  <si>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</si>
  <si>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</si>
  <si>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</si>
  <si>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</si>
  <si>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</si>
  <si>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</si>
  <si>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</si>
  <si>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</si>
  <si>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</si>
  <si>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</si>
  <si>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</si>
  <si>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</si>
  <si>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</si>
  <si>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</si>
  <si>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</si>
  <si>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</si>
  <si>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</si>
  <si>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</si>
  <si>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</si>
  <si>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</si>
  <si>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</si>
  <si>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</si>
  <si>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</si>
  <si>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</si>
  <si>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</si>
  <si>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</si>
  <si>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</si>
  <si>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</si>
  <si>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</si>
  <si>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</si>
  <si>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</si>
  <si>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</si>
  <si>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</si>
  <si>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</si>
  <si>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</si>
  <si>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</si>
  <si>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</si>
  <si>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</si>
  <si>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</si>
  <si>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</si>
  <si>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</si>
  <si>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</si>
  <si>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</si>
  <si>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</si>
  <si>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</si>
  <si>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</si>
  <si>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</si>
  <si>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</si>
  <si>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</si>
  <si>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</si>
  <si>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</si>
  <si>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</si>
  <si>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</si>
  <si>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</si>
  <si>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</si>
  <si>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</si>
  <si>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</si>
  <si>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</si>
  <si>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</si>
  <si>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</si>
  <si>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</si>
  <si>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</si>
  <si>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</si>
  <si>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</si>
  <si>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</si>
  <si>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</si>
  <si>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</si>
  <si>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</si>
  <si>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</si>
  <si>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</si>
  <si>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</si>
  <si>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</si>
  <si>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</si>
  <si>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</si>
  <si>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</si>
  <si>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</si>
  <si>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</si>
  <si>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</si>
  <si>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</si>
  <si>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</si>
  <si>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</si>
  <si>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</si>
  <si>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</si>
  <si>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</si>
  <si>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</si>
  <si>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</si>
  <si>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</si>
  <si>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</si>
  <si>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</si>
  <si>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</si>
  <si>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</si>
  <si>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</si>
  <si>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</si>
  <si>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</si>
  <si>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</si>
  <si>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</si>
  <si>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</si>
  <si>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</si>
  <si>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</si>
  <si>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</si>
  <si>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</si>
  <si>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</si>
  <si>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</si>
  <si>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</si>
  <si>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</si>
  <si>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</si>
  <si>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</si>
  <si>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</si>
  <si>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</si>
  <si>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</si>
  <si>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</si>
  <si>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</si>
  <si>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</si>
  <si>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</si>
  <si>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</si>
  <si>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</si>
  <si>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</si>
  <si>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</si>
  <si>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</si>
  <si>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</si>
  <si>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</si>
  <si>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</si>
  <si>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</si>
  <si>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</si>
  <si>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</si>
  <si>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</si>
  <si>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</si>
  <si>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</si>
  <si>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</si>
  <si>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</si>
  <si>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</si>
  <si>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</si>
  <si>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</si>
  <si>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</si>
  <si>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</si>
  <si>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</si>
  <si>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</si>
  <si>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</si>
  <si>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</si>
  <si>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</si>
  <si>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</si>
  <si>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</si>
  <si>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</si>
  <si>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</si>
  <si>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</si>
  <si>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</si>
  <si>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</si>
  <si>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</si>
  <si>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</si>
  <si>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</si>
  <si>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</si>
  <si>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</si>
  <si>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</si>
  <si>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</si>
  <si>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</si>
  <si>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</si>
  <si>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</si>
  <si>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</si>
  <si>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</si>
  <si>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</si>
  <si>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</si>
  <si>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</si>
  <si>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</si>
  <si>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</si>
  <si>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</si>
  <si>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</si>
  <si>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</si>
  <si>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</si>
  <si>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</si>
  <si>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</si>
  <si>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</si>
  <si>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</si>
  <si>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</si>
  <si>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</si>
  <si>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</si>
  <si>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</si>
  <si>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</si>
  <si>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</si>
  <si>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</si>
  <si>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</si>
  <si>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</si>
  <si>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</si>
  <si>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</si>
  <si>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</si>
  <si>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</si>
  <si>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</si>
  <si>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</si>
  <si>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</si>
  <si>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</si>
  <si>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</si>
  <si>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</si>
  <si>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</si>
  <si>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</si>
  <si>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</si>
  <si>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</si>
  <si>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</si>
  <si>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</si>
  <si>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</si>
  <si>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</si>
  <si>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</si>
  <si>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</si>
  <si>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</si>
  <si>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</si>
  <si>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</si>
  <si>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</si>
  <si>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</si>
  <si>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</si>
  <si>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</si>
  <si>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</si>
  <si>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</si>
  <si>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</si>
  <si>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</si>
  <si>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</si>
  <si>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</si>
  <si>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</si>
  <si>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</si>
  <si>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</si>
  <si>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</si>
  <si>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</si>
  <si>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</si>
  <si>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</si>
  <si>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</si>
  <si>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</si>
  <si>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</si>
  <si>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</si>
  <si>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</si>
  <si>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</si>
  <si>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</si>
  <si>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</si>
  <si>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</si>
  <si>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</si>
  <si>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</si>
  <si>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</si>
  <si>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</si>
  <si>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</si>
  <si>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</si>
  <si>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</si>
  <si>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</si>
  <si>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</si>
  <si>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</si>
  <si>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</si>
  <si>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</si>
  <si>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</si>
  <si>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</si>
  <si>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</si>
  <si>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</si>
  <si>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</si>
  <si>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</si>
  <si>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</si>
  <si>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</si>
  <si>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</si>
  <si>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</si>
  <si>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</si>
  <si>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</si>
  <si>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</si>
  <si>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</si>
  <si>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</si>
  <si>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</si>
  <si>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</si>
  <si>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</si>
  <si>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</si>
  <si>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</si>
  <si>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</si>
  <si>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</si>
  <si>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</si>
  <si>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</si>
  <si>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</si>
  <si>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</si>
  <si>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</si>
  <si>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</si>
  <si>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</si>
  <si>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</si>
  <si>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</si>
  <si>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</si>
  <si>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</si>
  <si>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</si>
  <si>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</si>
  <si>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</si>
  <si>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</si>
  <si>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</si>
  <si>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</si>
  <si>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</si>
  <si>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</si>
  <si>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</si>
  <si>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</si>
  <si>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</si>
  <si>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</si>
  <si>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</si>
  <si>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</si>
  <si>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</si>
  <si>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</si>
  <si>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</si>
  <si>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</si>
  <si>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</si>
  <si>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</si>
  <si>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</si>
  <si>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</si>
  <si>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</si>
  <si>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</si>
  <si>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</si>
  <si>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</si>
  <si>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</si>
  <si>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</si>
  <si>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</si>
  <si>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</si>
  <si>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</si>
  <si>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</si>
  <si>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</si>
  <si>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</si>
  <si>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</si>
  <si>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</si>
  <si>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</si>
  <si>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</si>
  <si>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</si>
  <si>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</si>
  <si>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</si>
  <si>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</si>
  <si>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</si>
  <si>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</si>
  <si>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</si>
  <si>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</si>
  <si>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</si>
  <si>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</si>
  <si>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</si>
  <si>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</si>
  <si>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</si>
  <si>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</si>
  <si>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</si>
  <si>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</si>
  <si>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</si>
  <si>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</si>
  <si>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</si>
  <si>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</si>
  <si>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</si>
  <si>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</si>
  <si>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</si>
  <si>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</si>
  <si>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</si>
  <si>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</si>
  <si>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</si>
  <si>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</si>
  <si>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</si>
  <si>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</si>
  <si>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</si>
  <si>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</si>
  <si>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</si>
  <si>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</si>
  <si>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</si>
  <si>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</si>
  <si>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</si>
  <si>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</si>
  <si>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</si>
  <si>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</si>
  <si>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</si>
  <si>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</si>
  <si>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</si>
  <si>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</si>
  <si>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</si>
  <si>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</si>
  <si>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</si>
  <si>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</si>
  <si>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</si>
  <si>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</si>
  <si>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</si>
  <si>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</si>
  <si>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</si>
  <si>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</si>
  <si>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</si>
  <si>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</si>
  <si>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</si>
  <si>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</si>
  <si>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</si>
  <si>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</si>
  <si>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</si>
  <si>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</si>
  <si>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</si>
  <si>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</si>
  <si>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</si>
  <si>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</si>
  <si>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</si>
  <si>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</si>
  <si>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</si>
  <si>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</si>
  <si>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</si>
  <si>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</si>
  <si>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</si>
  <si>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</si>
  <si>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</si>
  <si>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</si>
  <si>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</si>
  <si>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</si>
  <si>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</si>
  <si>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</si>
  <si>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</si>
  <si>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</si>
  <si>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</si>
  <si>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</si>
  <si>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</si>
  <si>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</si>
  <si>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</si>
  <si>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</si>
  <si>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</si>
  <si>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</si>
  <si>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</si>
  <si>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</si>
  <si>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</si>
  <si>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</si>
  <si>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</si>
  <si>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</si>
  <si>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</si>
  <si>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</si>
  <si>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</si>
  <si>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</si>
  <si>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</si>
  <si>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</si>
  <si>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</si>
  <si>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</si>
  <si>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</si>
  <si>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</si>
  <si>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</si>
  <si>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</si>
  <si>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</si>
  <si>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</si>
  <si>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</si>
  <si>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</si>
  <si>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</si>
  <si>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</si>
  <si>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</si>
  <si>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</si>
  <si>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</si>
  <si>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</si>
  <si>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</si>
  <si>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</si>
  <si>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</si>
  <si>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</si>
  <si>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</si>
  <si>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</si>
  <si>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</si>
  <si>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</si>
  <si>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</si>
  <si>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</si>
  <si>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</si>
  <si>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</si>
  <si>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</si>
  <si>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</si>
  <si>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</si>
  <si>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</si>
  <si>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</si>
  <si>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</si>
  <si>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</si>
  <si>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</si>
  <si>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</si>
  <si>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</si>
  <si>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</si>
  <si>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</si>
  <si>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</si>
  <si>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</si>
  <si>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</si>
  <si>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</si>
  <si>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</si>
  <si>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</si>
  <si>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</si>
  <si>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</si>
  <si>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</si>
  <si>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</si>
  <si>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</si>
  <si>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</si>
  <si>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</si>
  <si>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</si>
  <si>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</si>
  <si>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</si>
  <si>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</si>
  <si>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</si>
  <si>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</si>
  <si>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</si>
  <si>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</si>
  <si>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</si>
  <si>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</si>
  <si>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</si>
  <si>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</si>
  <si>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</si>
  <si>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</si>
  <si>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</si>
  <si>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</si>
  <si>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</si>
  <si>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</si>
  <si>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</si>
  <si>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</si>
  <si>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</si>
  <si>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</si>
  <si>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</si>
  <si>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</si>
  <si>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</si>
  <si>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</si>
  <si>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</si>
  <si>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</si>
  <si>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</si>
  <si>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</si>
  <si>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</si>
  <si>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CPAT industry kernel - Egypt prototype v0.9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</si>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</sst>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0" borderId="0" xfId="0" applyFont="1" applyAlignme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8" zoomScaleNormal="100" workbookViewId="0">
      <selection activeCell="A36" sqref="A36:XFD36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1999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1836</v>
      </c>
      <c r="B10" s="43" t="s">
        <v>1753</v>
      </c>
      <c r="C10" t="s">
        <v>1837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1838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2000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1840</v>
      </c>
      <c r="B31" s="95" t="s">
        <v>1841</v>
      </c>
      <c r="C31" t="s">
        <v>1842</v>
      </c>
    </row>
    <row r="32" spans="1:3" x14ac:dyDescent="0.45">
      <c r="A32" t="s">
        <v>1888</v>
      </c>
      <c r="B32" s="95" t="s">
        <v>1841</v>
      </c>
      <c r="C32" t="s">
        <v>1889</v>
      </c>
    </row>
    <row r="33" spans="1:3" x14ac:dyDescent="0.45">
      <c r="A33" t="s">
        <v>1917</v>
      </c>
      <c r="B33" s="95" t="s">
        <v>1841</v>
      </c>
      <c r="C33" t="s">
        <v>1918</v>
      </c>
    </row>
    <row r="34" spans="1:3" x14ac:dyDescent="0.45">
      <c r="A34" t="s">
        <v>1930</v>
      </c>
      <c r="B34" s="95" t="s">
        <v>1841</v>
      </c>
      <c r="C34" t="s">
        <v>1931</v>
      </c>
    </row>
    <row r="35" spans="1:3" x14ac:dyDescent="0.45">
      <c r="A35" t="s">
        <v>1947</v>
      </c>
      <c r="B35" s="95" t="s">
        <v>1841</v>
      </c>
      <c r="C35" t="s">
        <v>1948</v>
      </c>
    </row>
    <row r="36" spans="1:3" x14ac:dyDescent="0.45">
      <c r="A36" t="s">
        <v>2001</v>
      </c>
      <c r="B36" s="95" t="s">
        <v>1841</v>
      </c>
      <c r="C36" s="112" t="s">
        <v>2002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60"/>
  <sheetViews>
    <sheetView topLeftCell="A31" workbookViewId="0">
      <selection activeCell="A60" sqref="A60:XFD60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1869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1949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1950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1951</v>
      </c>
      <c r="E50" s="93" t="s">
        <v>1952</v>
      </c>
      <c r="F50" s="53" t="s">
        <v>1953</v>
      </c>
    </row>
    <row r="51" spans="1:31" x14ac:dyDescent="0.35">
      <c r="D51" s="53" t="s">
        <v>1954</v>
      </c>
    </row>
    <row r="52" spans="1:31" ht="38.65" x14ac:dyDescent="0.4">
      <c r="D52" s="58" t="s">
        <v>1323</v>
      </c>
      <c r="E52" s="58" t="s">
        <v>1955</v>
      </c>
      <c r="F52" s="102" t="s">
        <v>1956</v>
      </c>
      <c r="G52" s="102" t="s">
        <v>1957</v>
      </c>
      <c r="H52" s="102" t="s">
        <v>1958</v>
      </c>
      <c r="I52" s="102" t="s">
        <v>1959</v>
      </c>
      <c r="J52" s="102" t="s">
        <v>1960</v>
      </c>
      <c r="K52" s="102" t="s">
        <v>1961</v>
      </c>
      <c r="L52" s="102" t="s">
        <v>1962</v>
      </c>
      <c r="M52" s="102" t="s">
        <v>1963</v>
      </c>
      <c r="N52" s="102" t="s">
        <v>1964</v>
      </c>
      <c r="O52" s="102" t="s">
        <v>1965</v>
      </c>
      <c r="P52" s="102" t="s">
        <v>1966</v>
      </c>
      <c r="Q52" s="102" t="s">
        <v>1967</v>
      </c>
      <c r="R52" s="102" t="s">
        <v>1968</v>
      </c>
      <c r="S52" s="102" t="s">
        <v>1969</v>
      </c>
      <c r="T52" s="109" t="s">
        <v>1970</v>
      </c>
      <c r="U52" s="109" t="s">
        <v>1971</v>
      </c>
      <c r="V52" s="109" t="s">
        <v>1972</v>
      </c>
      <c r="W52" s="109" t="s">
        <v>1973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>IF(OR(I53=0,K53=0),0,-LN(1-K53/I53)/J53)</f>
        <v>1.0536051565782627E-3</v>
      </c>
      <c r="M53" s="107">
        <f>E53*H53</f>
        <v>1.0536051565782627E-3</v>
      </c>
      <c r="N53" s="107">
        <f>I53*L53</f>
        <v>1.0536051565782627E-3</v>
      </c>
      <c r="O53" s="104">
        <f>E53*(1-EXP(-H53*20))</f>
        <v>2.0851637639023202E-2</v>
      </c>
      <c r="P53" s="104">
        <f>I53*(1-EXP(-L53*20))</f>
        <v>2.0851637639023202E-2</v>
      </c>
      <c r="Q53" s="108" t="s">
        <v>1974</v>
      </c>
      <c r="R53" s="108" t="s">
        <v>1975</v>
      </c>
      <c r="S53" s="53" t="s">
        <v>1976</v>
      </c>
      <c r="T53" s="110">
        <f>IF($E$50="ADHOC",$E$40,H53)</f>
        <v>1.0536051565782627E-3</v>
      </c>
      <c r="U53" s="111">
        <f>IF($E$50="ADHOC",1,E53)</f>
        <v>1</v>
      </c>
      <c r="V53" s="110">
        <f>IF($E$50="ADHOC",$E$40,L53)</f>
        <v>1.0536051565782627E-3</v>
      </c>
      <c r="W53" s="111">
        <f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>IF(OR(E54=0,G54=0),0,-LN(1-G54/E54)/F54)</f>
        <v>2.0202707317519466E-4</v>
      </c>
      <c r="I54" s="103">
        <v>1</v>
      </c>
      <c r="J54" s="105">
        <v>100</v>
      </c>
      <c r="K54" s="103">
        <v>0.02</v>
      </c>
      <c r="L54" s="106">
        <f>IF(OR(I54=0,K54=0),0,-LN(1-K54/I54)/J54)</f>
        <v>2.0202707317519466E-4</v>
      </c>
      <c r="M54" s="107">
        <f>E54*H54</f>
        <v>2.0202707317519466E-4</v>
      </c>
      <c r="N54" s="107">
        <f>I54*L54</f>
        <v>2.0202707317519466E-4</v>
      </c>
      <c r="O54" s="104">
        <f>E54*(1-EXP(-H54*20))</f>
        <v>4.0323894590447162E-3</v>
      </c>
      <c r="P54" s="104">
        <f>I54*(1-EXP(-L54*20))</f>
        <v>4.0323894590447162E-3</v>
      </c>
      <c r="Q54" s="108" t="s">
        <v>1974</v>
      </c>
      <c r="R54" s="108" t="s">
        <v>1975</v>
      </c>
      <c r="S54" s="53" t="s">
        <v>1976</v>
      </c>
      <c r="T54" s="110">
        <f>IF($E$50="ADHOC",$E$41,H54)</f>
        <v>2.0202707317519466E-4</v>
      </c>
      <c r="U54" s="111">
        <f>IF($E$50="ADHOC",1,E54)</f>
        <v>1</v>
      </c>
      <c r="V54" s="110">
        <f>IF($E$50="ADHOC",$E$41,L54)</f>
        <v>2.0202707317519466E-4</v>
      </c>
      <c r="W54" s="111">
        <f>IF($E$50="ADHOC",1,I54)</f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>IF(OR(E55=0,G55=0),0,-LN(1-G55/E55)/F55)</f>
        <v>5.1293294387550576E-4</v>
      </c>
      <c r="I55" s="103">
        <v>1</v>
      </c>
      <c r="J55" s="105">
        <v>100</v>
      </c>
      <c r="K55" s="103">
        <v>0.05</v>
      </c>
      <c r="L55" s="106">
        <f>IF(OR(I55=0,K55=0),0,-LN(1-K55/I55)/J55)</f>
        <v>5.1293294387550576E-4</v>
      </c>
      <c r="M55" s="107">
        <f>E55*H55</f>
        <v>5.1293294387550576E-4</v>
      </c>
      <c r="N55" s="107">
        <f>I55*L55</f>
        <v>5.1293294387550576E-4</v>
      </c>
      <c r="O55" s="104">
        <f>E55*(1-EXP(-H55*20))</f>
        <v>1.0206218313011495E-2</v>
      </c>
      <c r="P55" s="104">
        <f>I55*(1-EXP(-L55*20))</f>
        <v>1.0206218313011495E-2</v>
      </c>
      <c r="Q55" s="108" t="s">
        <v>1977</v>
      </c>
      <c r="R55" s="108" t="s">
        <v>1975</v>
      </c>
      <c r="S55" s="53" t="s">
        <v>1976</v>
      </c>
      <c r="T55" s="110">
        <f>IF($E$50="ADHOC",$E$42,H55)</f>
        <v>5.1293294387550576E-4</v>
      </c>
      <c r="U55" s="111">
        <f>IF($E$50="ADHOC",1,E55)</f>
        <v>1</v>
      </c>
      <c r="V55" s="110">
        <f>IF($E$50="ADHOC",$E$42,L55)</f>
        <v>5.1293294387550576E-4</v>
      </c>
      <c r="W55" s="111">
        <f>IF($E$50="ADHOC",1,I55)</f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>IF(OR(E56=0,G56=0),0,-LN(1-G56/E56)/F56)</f>
        <v>8.338160893905101E-4</v>
      </c>
      <c r="I56" s="103">
        <v>1</v>
      </c>
      <c r="J56" s="105">
        <v>100</v>
      </c>
      <c r="K56" s="103">
        <v>0.08</v>
      </c>
      <c r="L56" s="106">
        <f>IF(OR(I56=0,K56=0),0,-LN(1-K56/I56)/J56)</f>
        <v>8.338160893905101E-4</v>
      </c>
      <c r="M56" s="107">
        <f>E56*H56</f>
        <v>8.338160893905101E-4</v>
      </c>
      <c r="N56" s="107">
        <f>I56*L56</f>
        <v>8.338160893905101E-4</v>
      </c>
      <c r="O56" s="104">
        <f>E56*(1-EXP(-H56*20))</f>
        <v>1.6538041668570203E-2</v>
      </c>
      <c r="P56" s="104">
        <f>I56*(1-EXP(-L56*20))</f>
        <v>1.6538041668570203E-2</v>
      </c>
      <c r="Q56" s="108" t="s">
        <v>1978</v>
      </c>
      <c r="R56" s="108" t="s">
        <v>1975</v>
      </c>
      <c r="S56" s="53" t="s">
        <v>1976</v>
      </c>
      <c r="T56" s="110">
        <f>IF($E$50="ADHOC",$E$43,H56)</f>
        <v>8.338160893905101E-4</v>
      </c>
      <c r="U56" s="111">
        <f>IF($E$50="ADHOC",1,E56)</f>
        <v>1</v>
      </c>
      <c r="V56" s="110">
        <f>IF($E$50="ADHOC",$E$43,L56)</f>
        <v>8.338160893905101E-4</v>
      </c>
      <c r="W56" s="111">
        <f>IF($E$50="ADHOC",1,I56)</f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>IF(OR(E57=0,G57=0),0,-LN(1-G57/E57)/F57)</f>
        <v>1.9845093872383817E-3</v>
      </c>
      <c r="I57" s="103">
        <v>1</v>
      </c>
      <c r="J57" s="105">
        <v>100</v>
      </c>
      <c r="K57" s="103">
        <v>0.18</v>
      </c>
      <c r="L57" s="106">
        <f>IF(OR(I57=0,K57=0),0,-LN(1-K57/I57)/J57)</f>
        <v>1.9845093872383817E-3</v>
      </c>
      <c r="M57" s="107">
        <f>E57*H57</f>
        <v>1.9845093872383817E-3</v>
      </c>
      <c r="N57" s="107">
        <f>I57*L57</f>
        <v>1.9845093872383817E-3</v>
      </c>
      <c r="O57" s="104">
        <f>E57*(1-EXP(-H57*20))</f>
        <v>3.8912850389936637E-2</v>
      </c>
      <c r="P57" s="104">
        <f>I57*(1-EXP(-L57*20))</f>
        <v>3.8912850389936637E-2</v>
      </c>
      <c r="Q57" s="108" t="s">
        <v>1979</v>
      </c>
      <c r="R57" s="108" t="s">
        <v>1975</v>
      </c>
      <c r="S57" s="53" t="s">
        <v>1976</v>
      </c>
      <c r="T57" s="110">
        <f>IF($E$50="ADHOC",$E$44,H57)</f>
        <v>1.9845093872383817E-3</v>
      </c>
      <c r="U57" s="111">
        <f>IF($E$50="ADHOC",1,E57)</f>
        <v>1</v>
      </c>
      <c r="V57" s="110">
        <f>IF($E$50="ADHOC",$E$44,L57)</f>
        <v>1.9845093872383817E-3</v>
      </c>
      <c r="W57" s="111">
        <f>IF($E$50="ADHOC",1,I57)</f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>IF(OR(E58=0,G58=0),0,-LN(1-G58/E58)/F58)</f>
        <v>0</v>
      </c>
      <c r="I58" s="103">
        <v>1</v>
      </c>
      <c r="J58" s="105">
        <v>100</v>
      </c>
      <c r="K58" s="103">
        <v>0</v>
      </c>
      <c r="L58" s="106">
        <f>IF(OR(I58=0,K58=0),0,-LN(1-K58/I58)/J58)</f>
        <v>0</v>
      </c>
      <c r="M58" s="107">
        <f>E58*H58</f>
        <v>0</v>
      </c>
      <c r="N58" s="107">
        <f>I58*L58</f>
        <v>0</v>
      </c>
      <c r="O58" s="104">
        <f>E58*(1-EXP(-H58*20))</f>
        <v>0</v>
      </c>
      <c r="P58" s="104">
        <f>I58*(1-EXP(-L58*20))</f>
        <v>0</v>
      </c>
      <c r="Q58" s="108" t="s">
        <v>1980</v>
      </c>
      <c r="R58" s="108" t="s">
        <v>1975</v>
      </c>
      <c r="S58" s="53" t="s">
        <v>1976</v>
      </c>
      <c r="T58" s="110">
        <f>IF($E$50="ADHOC",$E$45,H58)</f>
        <v>0</v>
      </c>
      <c r="U58" s="111">
        <f>IF($E$50="ADHOC",1,E58)</f>
        <v>1</v>
      </c>
      <c r="V58" s="110">
        <f>IF($E$50="ADHOC",$E$45,L58)</f>
        <v>0</v>
      </c>
      <c r="W58" s="111">
        <f>IF($E$50="ADHOC",1,I58)</f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>IF(OR(E59=0,G59=0),0,-LN(1-G59/E59)/F59)</f>
        <v>1.0498221244986778E-2</v>
      </c>
      <c r="I59" s="103">
        <v>1</v>
      </c>
      <c r="J59" s="105">
        <v>100</v>
      </c>
      <c r="K59" s="103">
        <v>0.65</v>
      </c>
      <c r="L59" s="106">
        <f>IF(OR(I59=0,K59=0),0,-LN(1-K59/I59)/J59)</f>
        <v>1.0498221244986778E-2</v>
      </c>
      <c r="M59" s="107">
        <f>E59*H59</f>
        <v>1.0498221244986778E-2</v>
      </c>
      <c r="N59" s="107">
        <f>I59*L59</f>
        <v>1.0498221244986778E-2</v>
      </c>
      <c r="O59" s="104">
        <f>E59*(1-EXP(-H59*20))</f>
        <v>0.18938691690105092</v>
      </c>
      <c r="P59" s="104">
        <f>I59*(1-EXP(-L59*20))</f>
        <v>0.18938691690105092</v>
      </c>
      <c r="Q59" s="108" t="s">
        <v>1981</v>
      </c>
      <c r="R59" s="108" t="s">
        <v>1982</v>
      </c>
      <c r="S59" s="53" t="s">
        <v>1976</v>
      </c>
      <c r="T59" s="110">
        <f>IF($E$50="ADHOC",$E$46,H59)</f>
        <v>1.0498221244986778E-2</v>
      </c>
      <c r="U59" s="111">
        <f>IF($E$50="ADHOC",1,E59)</f>
        <v>1</v>
      </c>
      <c r="V59" s="110">
        <f>IF($E$50="ADHOC",$E$46,L59)</f>
        <v>1.0498221244986778E-2</v>
      </c>
      <c r="W59" s="111">
        <f>IF($E$50="ADHOC",1,I59)</f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>IF(OR(E60=0,G60=0),0,-LN(1-G60/E60)/F60)</f>
        <v>8.338160893905101E-4</v>
      </c>
      <c r="I60" s="103">
        <v>1</v>
      </c>
      <c r="J60" s="105">
        <v>100</v>
      </c>
      <c r="K60" s="103">
        <v>0.08</v>
      </c>
      <c r="L60" s="106">
        <f>IF(OR(I60=0,K60=0),0,-LN(1-K60/I60)/J60)</f>
        <v>8.338160893905101E-4</v>
      </c>
      <c r="M60" s="107">
        <f>E60*H60</f>
        <v>8.338160893905101E-4</v>
      </c>
      <c r="N60" s="107">
        <f>I60*L60</f>
        <v>8.338160893905101E-4</v>
      </c>
      <c r="O60" s="104">
        <f>E60*(1-EXP(-H60*20))</f>
        <v>1.6538041668570203E-2</v>
      </c>
      <c r="P60" s="104">
        <f>I60*(1-EXP(-L60*20))</f>
        <v>1.6538041668570203E-2</v>
      </c>
      <c r="Q60" s="108" t="s">
        <v>1983</v>
      </c>
      <c r="R60" s="108" t="s">
        <v>1984</v>
      </c>
      <c r="S60" s="53" t="s">
        <v>1976</v>
      </c>
      <c r="T60" s="110">
        <f>IF($E$50="ADHOC",$E$47,H60)</f>
        <v>8.338160893905101E-4</v>
      </c>
      <c r="U60" s="111">
        <f>IF($E$50="ADHOC",1,E60)</f>
        <v>1</v>
      </c>
      <c r="V60" s="110">
        <f>IF($E$50="ADHOC",$E$47,L60)</f>
        <v>8.338160893905101E-4</v>
      </c>
      <c r="W60" s="111">
        <f>IF($E$50="ADHOC",1,I60)</f>
        <v>1</v>
      </c>
    </row>
  </sheetData>
  <dataValidations count="1">
    <dataValidation type="list" allowBlank="1" showInputMessage="1" showErrorMessage="1" sqref="E50" xr:uid="{BBAB76E4-3BBB-44C1-91D2-FEA44B1050B1}">
      <formula1>"IPCC,ADHOC"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3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1890</v>
      </c>
      <c r="N16" s="58" t="s">
        <v>1891</v>
      </c>
      <c r="O16" s="58" t="s">
        <v>1892</v>
      </c>
      <c r="P16" s="58" t="s">
        <v>1893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1890</v>
      </c>
      <c r="N26" s="56" t="s">
        <v>1891</v>
      </c>
      <c r="O26" s="56" t="s">
        <v>1892</v>
      </c>
      <c r="P26" s="56" t="s">
        <v>1893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1919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1920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1802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1803</v>
      </c>
      <c r="C47" s="53" t="s">
        <v>1804</v>
      </c>
      <c r="D47" s="53" t="s">
        <v>1800</v>
      </c>
      <c r="E47" s="53" t="s">
        <v>1414</v>
      </c>
      <c r="F47" s="53" t="s">
        <v>1788</v>
      </c>
      <c r="G47" s="94" t="s">
        <v>1805</v>
      </c>
      <c r="H47" s="53" t="s">
        <v>1806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1807</v>
      </c>
      <c r="C48" s="53" t="s">
        <v>1808</v>
      </c>
      <c r="D48" s="53" t="s">
        <v>1809</v>
      </c>
      <c r="E48" s="53" t="s">
        <v>79</v>
      </c>
      <c r="F48" s="53" t="s">
        <v>1788</v>
      </c>
      <c r="G48" s="94" t="s">
        <v>1810</v>
      </c>
      <c r="H48" s="53" t="s">
        <v>1811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1812</v>
      </c>
      <c r="C49" s="53" t="s">
        <v>1813</v>
      </c>
      <c r="D49" s="53" t="s">
        <v>1814</v>
      </c>
      <c r="E49" s="53" t="s">
        <v>1414</v>
      </c>
      <c r="F49" s="53" t="s">
        <v>1788</v>
      </c>
      <c r="G49" s="94" t="s">
        <v>1815</v>
      </c>
      <c r="H49" s="53" t="s">
        <v>1816</v>
      </c>
      <c r="J49" s="53" t="s">
        <v>1725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1817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1818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1819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1818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1820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1818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1821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1818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1822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1818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1823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1818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1824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1818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1825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1818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1826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1818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1828</v>
      </c>
    </row>
    <row r="62" spans="1:35" ht="13.15" x14ac:dyDescent="0.4">
      <c r="A62" s="56"/>
      <c r="B62" s="53" t="s">
        <v>1829</v>
      </c>
    </row>
    <row r="63" spans="1:35" ht="13.15" x14ac:dyDescent="0.4">
      <c r="A63" s="56"/>
      <c r="B63" s="53" t="s">
        <v>1830</v>
      </c>
    </row>
    <row r="64" spans="1:35" ht="13.15" x14ac:dyDescent="0.4">
      <c r="A64" s="56"/>
      <c r="B64" s="53" t="s">
        <v>1831</v>
      </c>
    </row>
    <row r="65" spans="1:2" ht="13.15" x14ac:dyDescent="0.4">
      <c r="A65" s="56"/>
      <c r="B65" s="53" t="s">
        <v>1832</v>
      </c>
    </row>
    <row r="66" spans="1:2" ht="13.15" x14ac:dyDescent="0.4">
      <c r="A66" s="56"/>
      <c r="B66" s="53" t="s">
        <v>1833</v>
      </c>
    </row>
    <row r="67" spans="1:2" ht="13.15" x14ac:dyDescent="0.4">
      <c r="A67" s="56"/>
      <c r="B67" s="53" t="s">
        <v>1834</v>
      </c>
    </row>
    <row r="68" spans="1:2" ht="13.15" x14ac:dyDescent="0.4">
      <c r="A68" s="56"/>
      <c r="B68" s="53" t="s">
        <v>1835</v>
      </c>
    </row>
    <row r="69" spans="1:2" x14ac:dyDescent="0.35">
      <c r="B69" s="53" t="s">
        <v>1879</v>
      </c>
    </row>
    <row r="70" spans="1:2" x14ac:dyDescent="0.35">
      <c r="B70" s="53" t="s">
        <v>1894</v>
      </c>
    </row>
    <row r="71" spans="1:2" x14ac:dyDescent="0.35">
      <c r="B71" s="53" t="s">
        <v>1921</v>
      </c>
    </row>
    <row r="72" spans="1:2" x14ac:dyDescent="0.35">
      <c r="B72" s="53" t="s">
        <v>1932</v>
      </c>
    </row>
    <row r="73" spans="1:2" x14ac:dyDescent="0.35">
      <c r="B73" s="53" t="s">
        <v>1998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667" activePane="bottomRight" state="frozen"/>
      <selection pane="topRight" activeCell="E1" sqref="E1"/>
      <selection pane="bottomLeft" activeCell="A2" sqref="A2"/>
      <selection pane="bottomRight" activeCell="A696" sqref="A696:XFD696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1865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1866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1867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1868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1906</v>
      </c>
      <c r="D258" s="72" t="s">
        <v>1907</v>
      </c>
      <c r="E258" s="72" t="s">
        <v>1874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21.221453892876493</v>
      </c>
      <c r="V258" s="72">
        <f t="shared" si="61"/>
        <v>21.929188494316183</v>
      </c>
      <c r="W258" s="72">
        <f t="shared" si="61"/>
        <v>22.660926639924462</v>
      </c>
      <c r="X258" s="72">
        <f t="shared" si="61"/>
        <v>23.417496589319807</v>
      </c>
      <c r="Y258" s="72">
        <f t="shared" si="61"/>
        <v>24.199755722449424</v>
      </c>
      <c r="Z258" s="72">
        <f t="shared" si="61"/>
        <v>25.008591585210855</v>
      </c>
      <c r="AA258" s="72">
        <f t="shared" si="61"/>
        <v>25.844922973525978</v>
      </c>
      <c r="AB258" s="72">
        <f t="shared" si="61"/>
        <v>26.70970105731983</v>
      </c>
      <c r="AC258" s="72">
        <f t="shared" si="61"/>
        <v>27.603910545913184</v>
      </c>
      <c r="AD258" s="72">
        <f t="shared" si="61"/>
        <v>28.528570896396591</v>
      </c>
      <c r="AE258" s="72">
        <f t="shared" si="61"/>
        <v>29.484737566614811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1908</v>
      </c>
      <c r="E259" s="72" t="s">
        <v>1874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6.0348730065378478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6.8995657584700698</v>
      </c>
      <c r="V259" s="72">
        <f t="shared" si="62"/>
        <v>7.1364424209471196</v>
      </c>
      <c r="W259" s="72">
        <f t="shared" si="62"/>
        <v>7.3822741634934586</v>
      </c>
      <c r="X259" s="72">
        <f t="shared" si="62"/>
        <v>7.6374227247843764</v>
      </c>
      <c r="Y259" s="72">
        <f t="shared" si="62"/>
        <v>7.9022650497302331</v>
      </c>
      <c r="Z259" s="72">
        <f t="shared" si="62"/>
        <v>8.1771939429249265</v>
      </c>
      <c r="AA259" s="72">
        <f t="shared" si="62"/>
        <v>8.4626187505023296</v>
      </c>
      <c r="AB259" s="72">
        <f t="shared" si="62"/>
        <v>8.7589660716430906</v>
      </c>
      <c r="AC259" s="72">
        <f t="shared" si="62"/>
        <v>9.0666805010286549</v>
      </c>
      <c r="AD259" s="72">
        <f t="shared" si="62"/>
        <v>9.3862254035963169</v>
      </c>
      <c r="AE259" s="72">
        <f t="shared" si="62"/>
        <v>9.718083723008446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1909</v>
      </c>
      <c r="E260" s="72" t="s">
        <v>1874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63">SUMPRODUCT(L$276:L$283*($J$264:$J$271&gt;0)*$J$264:$J$271*(1+$J$273*(EXP(-$E$363:$E$370*($F$310:$F$317*L$308+$G$310:$G$317*L$248))-1)))/1000</f>
        <v>25.304020994313927</v>
      </c>
      <c r="M260" s="72">
        <f t="shared" si="63"/>
        <v>26.150733850694163</v>
      </c>
      <c r="N260" s="72">
        <f t="shared" si="63"/>
        <v>27.026</v>
      </c>
      <c r="O260" s="72">
        <f t="shared" si="63"/>
        <v>27.930793999999999</v>
      </c>
      <c r="P260" s="72">
        <f t="shared" si="63"/>
        <v>28.866124285999998</v>
      </c>
      <c r="Q260" s="72">
        <f t="shared" si="63"/>
        <v>29.833034380633993</v>
      </c>
      <c r="R260" s="72">
        <f t="shared" si="63"/>
        <v>30.832604148514033</v>
      </c>
      <c r="S260" s="72">
        <f t="shared" si="63"/>
        <v>31.865951097485905</v>
      </c>
      <c r="T260" s="72">
        <f t="shared" si="63"/>
        <v>32.934231728309406</v>
      </c>
      <c r="U260" s="72">
        <f t="shared" si="63"/>
        <v>34.038642934657474</v>
      </c>
      <c r="V260" s="72">
        <f t="shared" si="63"/>
        <v>35.180423455406491</v>
      </c>
      <c r="W260" s="72">
        <f t="shared" si="63"/>
        <v>36.360855381272714</v>
      </c>
      <c r="X260" s="72">
        <f t="shared" si="63"/>
        <v>37.581265717934862</v>
      </c>
      <c r="Y260" s="72">
        <f t="shared" si="63"/>
        <v>38.843028007872753</v>
      </c>
      <c r="Z260" s="72">
        <f t="shared" si="63"/>
        <v>40.147564013244939</v>
      </c>
      <c r="AA260" s="72">
        <f t="shared" si="63"/>
        <v>41.496345462226095</v>
      </c>
      <c r="AB260" s="72">
        <f t="shared" si="63"/>
        <v>42.890895861326769</v>
      </c>
      <c r="AC260" s="72">
        <f t="shared" si="63"/>
        <v>44.332792376324477</v>
      </c>
      <c r="AD260" s="72">
        <f t="shared" si="63"/>
        <v>45.823667784546558</v>
      </c>
      <c r="AE260" s="72">
        <f t="shared" si="63"/>
        <v>47.36521250136132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1910</v>
      </c>
      <c r="E261" s="72" t="s">
        <v>1874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64">SUMPRODUCT(L$276:L$283*($K$264:$K$271&gt;0)*$K$264:$K$271*(1+$K$273*(EXP(-$E$363:$E$370*($F$310:$F$317*L$308+$G$310:$G$317*L$248))-1)))/1000</f>
        <v>0.78631830560210647</v>
      </c>
      <c r="M261" s="72">
        <f t="shared" si="64"/>
        <v>0.81117778540358554</v>
      </c>
      <c r="N261" s="72">
        <f t="shared" si="64"/>
        <v>0.83699999999999997</v>
      </c>
      <c r="O261" s="72">
        <f t="shared" si="64"/>
        <v>0.86382899999999996</v>
      </c>
      <c r="P261" s="72">
        <f t="shared" si="64"/>
        <v>0.89171106300000003</v>
      </c>
      <c r="Q261" s="72">
        <f t="shared" si="64"/>
        <v>0.92069481176099999</v>
      </c>
      <c r="R261" s="72">
        <f t="shared" si="64"/>
        <v>0.95083133879036696</v>
      </c>
      <c r="S261" s="72">
        <f t="shared" si="64"/>
        <v>0.9821743376787645</v>
      </c>
      <c r="T261" s="72">
        <f t="shared" si="64"/>
        <v>1.0147802415616323</v>
      </c>
      <c r="U261" s="72">
        <f t="shared" si="64"/>
        <v>1.0487083690948893</v>
      </c>
      <c r="V261" s="72">
        <f t="shared" si="64"/>
        <v>1.0840210783559179</v>
      </c>
      <c r="W261" s="72">
        <f t="shared" si="64"/>
        <v>1.1207839291034407</v>
      </c>
      <c r="X261" s="72">
        <f t="shared" si="64"/>
        <v>1.1590658538537117</v>
      </c>
      <c r="Y261" s="72">
        <f t="shared" si="64"/>
        <v>1.1989393382555391</v>
      </c>
      <c r="Z261" s="72">
        <f t="shared" si="64"/>
        <v>1.2404806112731439</v>
      </c>
      <c r="AA261" s="72">
        <f t="shared" si="64"/>
        <v>1.2837698457138154</v>
      </c>
      <c r="AB261" s="72">
        <f t="shared" si="64"/>
        <v>1.3288913696667775</v>
      </c>
      <c r="AC261" s="72">
        <f t="shared" si="64"/>
        <v>1.3759338894508044</v>
      </c>
      <c r="AD261" s="72">
        <f t="shared" si="64"/>
        <v>1.4249907247009044</v>
      </c>
      <c r="AE261" s="72">
        <f t="shared" si="64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5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6">N264+O264</f>
        <v>0.98003000000000007</v>
      </c>
      <c r="R264" s="76">
        <f t="shared" ref="R264:R271" si="67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5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6"/>
        <v>0.40525</v>
      </c>
      <c r="R265" s="76">
        <f t="shared" si="67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5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6"/>
        <v>2.3595000000000002</v>
      </c>
      <c r="R266" s="76">
        <f t="shared" si="67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5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6"/>
        <v>0.87055000000000005</v>
      </c>
      <c r="R267" s="76">
        <f t="shared" si="67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5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6"/>
        <v>1.8888</v>
      </c>
      <c r="R268" s="76">
        <f t="shared" si="67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5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6"/>
        <v>0.48764960000000002</v>
      </c>
      <c r="R269" s="76">
        <f t="shared" si="67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5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6"/>
        <v>1.52732</v>
      </c>
      <c r="R270" s="76">
        <f t="shared" si="67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5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6"/>
        <v>9.2560000000000002</v>
      </c>
      <c r="R271" s="76">
        <f t="shared" si="67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1895</v>
      </c>
      <c r="D272" s="73"/>
      <c r="E272" s="71"/>
      <c r="F272" s="71"/>
      <c r="G272" s="71"/>
      <c r="H272" s="71" t="s">
        <v>1897</v>
      </c>
      <c r="I272" s="71" t="s">
        <v>1898</v>
      </c>
      <c r="J272" s="71" t="s">
        <v>1899</v>
      </c>
      <c r="K272" s="71" t="s">
        <v>1900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1896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/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71"/>
      <c r="K276" s="72"/>
      <c r="L276" s="72">
        <f t="shared" ref="L276:L283" si="68">M276/(1+G276)</f>
        <v>4679.1738230501605</v>
      </c>
      <c r="M276" s="72">
        <f t="shared" ref="M276:M283" si="69">N276/(1+G276)</f>
        <v>4885.0574712643675</v>
      </c>
      <c r="N276" s="90">
        <f>IF(UPPER(Settings!$B$3)="EGY",F276,0)</f>
        <v>5100</v>
      </c>
      <c r="O276" s="72">
        <f t="shared" ref="O276:O283" si="70">N276*(1+G276)</f>
        <v>5324.4000000000005</v>
      </c>
      <c r="P276" s="72">
        <f t="shared" ref="P276:P283" si="71">O276*(1+G276)</f>
        <v>5558.673600000001</v>
      </c>
      <c r="Q276" s="72">
        <f t="shared" ref="Q276:Q283" si="72">P276*(1+G276)</f>
        <v>5803.255238400001</v>
      </c>
      <c r="R276" s="72">
        <f t="shared" ref="R276:R283" si="73">Q276*(1+G276)</f>
        <v>6058.5984688896015</v>
      </c>
      <c r="S276" s="72">
        <f t="shared" ref="S276:S283" si="74">R276*(1+G276)</f>
        <v>6325.1768015207444</v>
      </c>
      <c r="T276" s="72">
        <f t="shared" ref="T276:T283" si="75">S276*(1+G276)</f>
        <v>6603.4845807876573</v>
      </c>
      <c r="U276" s="72">
        <f t="shared" ref="U276:U283" si="76">T276*(1+G276)</f>
        <v>6894.0379023423147</v>
      </c>
      <c r="V276" s="72">
        <f t="shared" ref="V276:V283" si="77">U276*(1+G276)</f>
        <v>7197.3755700453767</v>
      </c>
      <c r="W276" s="72">
        <f t="shared" ref="W276:W283" si="78">V276*(1+G276)</f>
        <v>7514.0600951273736</v>
      </c>
      <c r="X276" s="72">
        <f t="shared" ref="X276:X283" si="79">W276*(1+G276)</f>
        <v>7844.678739312978</v>
      </c>
      <c r="Y276" s="72">
        <f t="shared" ref="Y276:Y283" si="80">X276*(1+G276)</f>
        <v>8189.8446038427492</v>
      </c>
      <c r="Z276" s="72">
        <f t="shared" ref="Z276:Z283" si="81">Y276*(1+G276)</f>
        <v>8550.1977664118313</v>
      </c>
      <c r="AA276" s="72">
        <f t="shared" ref="AA276:AA283" si="82">Z276*(1+G276)</f>
        <v>8926.4064681339514</v>
      </c>
      <c r="AB276" s="72">
        <f t="shared" ref="AB276:AB283" si="83">AA276*(1+G276)</f>
        <v>9319.1683527318455</v>
      </c>
      <c r="AC276" s="72">
        <f t="shared" ref="AC276:AC283" si="84">AB276*(1+G276)</f>
        <v>9729.2117602520466</v>
      </c>
      <c r="AD276" s="72">
        <f t="shared" ref="AD276:AD283" si="85">AC276*(1+G276)</f>
        <v>10157.297077703137</v>
      </c>
      <c r="AE276" s="72">
        <f t="shared" ref="AE276:AE283" si="86">AD276*(1+G276)</f>
        <v>10604.218149122074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71"/>
      <c r="K277" s="72"/>
      <c r="L277" s="72">
        <f t="shared" si="68"/>
        <v>4403.9283040472101</v>
      </c>
      <c r="M277" s="72">
        <f t="shared" si="69"/>
        <v>4597.7011494252874</v>
      </c>
      <c r="N277" s="90">
        <f>IF(UPPER(Settings!$B$3)="EGY",F277,0)</f>
        <v>4800</v>
      </c>
      <c r="O277" s="72">
        <f t="shared" si="70"/>
        <v>5011.2</v>
      </c>
      <c r="P277" s="72">
        <f t="shared" si="71"/>
        <v>5231.6927999999998</v>
      </c>
      <c r="Q277" s="72">
        <f t="shared" si="72"/>
        <v>5461.8872831999997</v>
      </c>
      <c r="R277" s="72">
        <f t="shared" si="73"/>
        <v>5702.2103236608</v>
      </c>
      <c r="S277" s="72">
        <f t="shared" si="74"/>
        <v>5953.1075779018756</v>
      </c>
      <c r="T277" s="72">
        <f t="shared" si="75"/>
        <v>6215.0443113295587</v>
      </c>
      <c r="U277" s="72">
        <f t="shared" si="76"/>
        <v>6488.5062610280593</v>
      </c>
      <c r="V277" s="72">
        <f t="shared" si="77"/>
        <v>6774.0005365132938</v>
      </c>
      <c r="W277" s="72">
        <f t="shared" si="78"/>
        <v>7072.0565601198787</v>
      </c>
      <c r="X277" s="72">
        <f t="shared" si="79"/>
        <v>7383.227048765154</v>
      </c>
      <c r="Y277" s="72">
        <f t="shared" si="80"/>
        <v>7708.0890389108208</v>
      </c>
      <c r="Z277" s="72">
        <f t="shared" si="81"/>
        <v>8047.244956622897</v>
      </c>
      <c r="AA277" s="72">
        <f t="shared" si="82"/>
        <v>8401.323734714304</v>
      </c>
      <c r="AB277" s="72">
        <f t="shared" si="83"/>
        <v>8770.9819790417332</v>
      </c>
      <c r="AC277" s="72">
        <f t="shared" si="84"/>
        <v>9156.9051861195694</v>
      </c>
      <c r="AD277" s="72">
        <f t="shared" si="85"/>
        <v>9559.8090143088302</v>
      </c>
      <c r="AE277" s="72">
        <f t="shared" si="86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71"/>
      <c r="K278" s="72"/>
      <c r="L278" s="72">
        <f t="shared" si="68"/>
        <v>0</v>
      </c>
      <c r="M278" s="72">
        <f t="shared" si="69"/>
        <v>0</v>
      </c>
      <c r="N278" s="90">
        <f>IF(UPPER(Settings!$B$3)="EGY",F278,0)</f>
        <v>0</v>
      </c>
      <c r="O278" s="72">
        <f t="shared" si="70"/>
        <v>0</v>
      </c>
      <c r="P278" s="72">
        <f t="shared" si="71"/>
        <v>0</v>
      </c>
      <c r="Q278" s="72">
        <f t="shared" si="72"/>
        <v>0</v>
      </c>
      <c r="R278" s="72">
        <f t="shared" si="73"/>
        <v>0</v>
      </c>
      <c r="S278" s="72">
        <f t="shared" si="74"/>
        <v>0</v>
      </c>
      <c r="T278" s="72">
        <f t="shared" si="75"/>
        <v>0</v>
      </c>
      <c r="U278" s="72">
        <f t="shared" si="76"/>
        <v>0</v>
      </c>
      <c r="V278" s="72">
        <f t="shared" si="77"/>
        <v>0</v>
      </c>
      <c r="W278" s="72">
        <f t="shared" si="78"/>
        <v>0</v>
      </c>
      <c r="X278" s="72">
        <f t="shared" si="79"/>
        <v>0</v>
      </c>
      <c r="Y278" s="72">
        <f t="shared" si="80"/>
        <v>0</v>
      </c>
      <c r="Z278" s="72">
        <f t="shared" si="81"/>
        <v>0</v>
      </c>
      <c r="AA278" s="72">
        <f t="shared" si="82"/>
        <v>0</v>
      </c>
      <c r="AB278" s="72">
        <f t="shared" si="83"/>
        <v>0</v>
      </c>
      <c r="AC278" s="72">
        <f t="shared" si="84"/>
        <v>0</v>
      </c>
      <c r="AD278" s="72">
        <f t="shared" si="85"/>
        <v>0</v>
      </c>
      <c r="AE278" s="72">
        <f t="shared" si="8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71"/>
      <c r="K279" s="72"/>
      <c r="L279" s="72">
        <f t="shared" si="68"/>
        <v>46856.447775209017</v>
      </c>
      <c r="M279" s="72">
        <f t="shared" si="69"/>
        <v>48402.710551790908</v>
      </c>
      <c r="N279" s="90">
        <f>IF(UPPER(Settings!$B$3)="EGY",F279,0)</f>
        <v>50000</v>
      </c>
      <c r="O279" s="72">
        <f t="shared" si="70"/>
        <v>51649.999999999993</v>
      </c>
      <c r="P279" s="72">
        <f t="shared" si="71"/>
        <v>53354.44999999999</v>
      </c>
      <c r="Q279" s="72">
        <f t="shared" si="72"/>
        <v>55115.146849999983</v>
      </c>
      <c r="R279" s="72">
        <f t="shared" si="73"/>
        <v>56933.946696049978</v>
      </c>
      <c r="S279" s="72">
        <f t="shared" si="74"/>
        <v>58812.766937019624</v>
      </c>
      <c r="T279" s="72">
        <f t="shared" si="75"/>
        <v>60753.588245941268</v>
      </c>
      <c r="U279" s="72">
        <f t="shared" si="76"/>
        <v>62758.456658057323</v>
      </c>
      <c r="V279" s="72">
        <f t="shared" si="77"/>
        <v>64829.485727773208</v>
      </c>
      <c r="W279" s="72">
        <f t="shared" si="78"/>
        <v>66968.858756789719</v>
      </c>
      <c r="X279" s="72">
        <f t="shared" si="79"/>
        <v>69178.831095763773</v>
      </c>
      <c r="Y279" s="72">
        <f t="shared" si="80"/>
        <v>71461.732521923972</v>
      </c>
      <c r="Z279" s="72">
        <f t="shared" si="81"/>
        <v>73819.969695147462</v>
      </c>
      <c r="AA279" s="72">
        <f t="shared" si="82"/>
        <v>76256.028695087327</v>
      </c>
      <c r="AB279" s="72">
        <f t="shared" si="83"/>
        <v>78772.477642025202</v>
      </c>
      <c r="AC279" s="72">
        <f t="shared" si="84"/>
        <v>81371.969404212025</v>
      </c>
      <c r="AD279" s="72">
        <f t="shared" si="85"/>
        <v>84057.244394551017</v>
      </c>
      <c r="AE279" s="72">
        <f t="shared" si="86"/>
        <v>86831.133459571196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71"/>
      <c r="K280" s="72"/>
      <c r="L280" s="72">
        <f t="shared" si="68"/>
        <v>1708.9778302013242</v>
      </c>
      <c r="M280" s="72">
        <f t="shared" si="69"/>
        <v>1746.5753424657535</v>
      </c>
      <c r="N280" s="90">
        <f>IF(UPPER(Settings!$B$3)="EGY",F280,0)</f>
        <v>1785</v>
      </c>
      <c r="O280" s="72">
        <f t="shared" si="70"/>
        <v>1824.27</v>
      </c>
      <c r="P280" s="72">
        <f t="shared" si="71"/>
        <v>1864.4039399999999</v>
      </c>
      <c r="Q280" s="72">
        <f t="shared" si="72"/>
        <v>1905.4208266799999</v>
      </c>
      <c r="R280" s="72">
        <f t="shared" si="73"/>
        <v>1947.3400848669598</v>
      </c>
      <c r="S280" s="72">
        <f t="shared" si="74"/>
        <v>1990.1815667340329</v>
      </c>
      <c r="T280" s="72">
        <f t="shared" si="75"/>
        <v>2033.9655612021818</v>
      </c>
      <c r="U280" s="72">
        <f t="shared" si="76"/>
        <v>2078.7128035486298</v>
      </c>
      <c r="V280" s="72">
        <f t="shared" si="77"/>
        <v>2124.4444852266997</v>
      </c>
      <c r="W280" s="72">
        <f t="shared" si="78"/>
        <v>2171.1822639016873</v>
      </c>
      <c r="X280" s="72">
        <f t="shared" si="79"/>
        <v>2218.9482737075245</v>
      </c>
      <c r="Y280" s="72">
        <f t="shared" si="80"/>
        <v>2267.7651357290902</v>
      </c>
      <c r="Z280" s="72">
        <f t="shared" si="81"/>
        <v>2317.6559687151303</v>
      </c>
      <c r="AA280" s="72">
        <f t="shared" si="82"/>
        <v>2368.644400026863</v>
      </c>
      <c r="AB280" s="72">
        <f t="shared" si="83"/>
        <v>2420.754576827454</v>
      </c>
      <c r="AC280" s="72">
        <f t="shared" si="84"/>
        <v>2474.0111775176579</v>
      </c>
      <c r="AD280" s="72">
        <f t="shared" si="85"/>
        <v>2528.4394234230463</v>
      </c>
      <c r="AE280" s="72">
        <f t="shared" si="86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71"/>
      <c r="K281" s="72"/>
      <c r="L281" s="72">
        <f t="shared" si="68"/>
        <v>2680.7495375707044</v>
      </c>
      <c r="M281" s="72">
        <f t="shared" si="69"/>
        <v>2739.7260273972602</v>
      </c>
      <c r="N281" s="90">
        <f>IF(UPPER(Settings!$B$3)="EGY",F281,0)</f>
        <v>2800</v>
      </c>
      <c r="O281" s="72">
        <f t="shared" si="70"/>
        <v>2861.6</v>
      </c>
      <c r="P281" s="72">
        <f t="shared" si="71"/>
        <v>2924.5551999999998</v>
      </c>
      <c r="Q281" s="72">
        <f t="shared" si="72"/>
        <v>2988.8954143999999</v>
      </c>
      <c r="R281" s="72">
        <f t="shared" si="73"/>
        <v>3054.6511135167998</v>
      </c>
      <c r="S281" s="72">
        <f t="shared" si="74"/>
        <v>3121.8534380141696</v>
      </c>
      <c r="T281" s="72">
        <f t="shared" si="75"/>
        <v>3190.5342136504814</v>
      </c>
      <c r="U281" s="72">
        <f t="shared" si="76"/>
        <v>3260.7259663507921</v>
      </c>
      <c r="V281" s="72">
        <f t="shared" si="77"/>
        <v>3332.4619376105097</v>
      </c>
      <c r="W281" s="72">
        <f t="shared" si="78"/>
        <v>3405.7761002379411</v>
      </c>
      <c r="X281" s="72">
        <f t="shared" si="79"/>
        <v>3480.7031744431761</v>
      </c>
      <c r="Y281" s="72">
        <f t="shared" si="80"/>
        <v>3557.2786442809261</v>
      </c>
      <c r="Z281" s="72">
        <f t="shared" si="81"/>
        <v>3635.5387744551067</v>
      </c>
      <c r="AA281" s="72">
        <f t="shared" si="82"/>
        <v>3715.5206274931193</v>
      </c>
      <c r="AB281" s="72">
        <f t="shared" si="83"/>
        <v>3797.2620812979681</v>
      </c>
      <c r="AC281" s="72">
        <f t="shared" si="84"/>
        <v>3880.8018470865236</v>
      </c>
      <c r="AD281" s="72">
        <f t="shared" si="85"/>
        <v>3966.179487722427</v>
      </c>
      <c r="AE281" s="72">
        <f t="shared" si="86"/>
        <v>4053.4354364523206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71"/>
      <c r="K282" s="72"/>
      <c r="L282" s="72">
        <f t="shared" si="68"/>
        <v>574.44632947943671</v>
      </c>
      <c r="M282" s="72">
        <f t="shared" si="69"/>
        <v>587.08414872798437</v>
      </c>
      <c r="N282" s="90">
        <f>IF(UPPER(Settings!$B$3)="EGY",F282,0)</f>
        <v>600</v>
      </c>
      <c r="O282" s="72">
        <f t="shared" si="70"/>
        <v>613.20000000000005</v>
      </c>
      <c r="P282" s="72">
        <f t="shared" si="71"/>
        <v>626.69040000000007</v>
      </c>
      <c r="Q282" s="72">
        <f t="shared" si="72"/>
        <v>640.47758880000004</v>
      </c>
      <c r="R282" s="72">
        <f t="shared" si="73"/>
        <v>654.56809575360001</v>
      </c>
      <c r="S282" s="72">
        <f t="shared" si="74"/>
        <v>668.96859386017923</v>
      </c>
      <c r="T282" s="72">
        <f t="shared" si="75"/>
        <v>683.68590292510316</v>
      </c>
      <c r="U282" s="72">
        <f t="shared" si="76"/>
        <v>698.72699278945549</v>
      </c>
      <c r="V282" s="72">
        <f t="shared" si="77"/>
        <v>714.09898663082356</v>
      </c>
      <c r="W282" s="72">
        <f t="shared" si="78"/>
        <v>729.80916433670166</v>
      </c>
      <c r="X282" s="72">
        <f t="shared" si="79"/>
        <v>745.86496595210906</v>
      </c>
      <c r="Y282" s="72">
        <f t="shared" si="80"/>
        <v>762.27399520305551</v>
      </c>
      <c r="Z282" s="72">
        <f t="shared" si="81"/>
        <v>779.04402309752277</v>
      </c>
      <c r="AA282" s="72">
        <f t="shared" si="82"/>
        <v>796.18299160566824</v>
      </c>
      <c r="AB282" s="72">
        <f t="shared" si="83"/>
        <v>813.69901742099296</v>
      </c>
      <c r="AC282" s="72">
        <f t="shared" si="84"/>
        <v>831.60039580425484</v>
      </c>
      <c r="AD282" s="72">
        <f t="shared" si="85"/>
        <v>849.89560451194848</v>
      </c>
      <c r="AE282" s="72">
        <f t="shared" si="86"/>
        <v>868.59330781121139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71"/>
      <c r="K283" s="72"/>
      <c r="L283" s="72">
        <f t="shared" si="68"/>
        <v>269.53572471417982</v>
      </c>
      <c r="M283" s="72">
        <f t="shared" si="69"/>
        <v>284.36018957345971</v>
      </c>
      <c r="N283" s="90">
        <f>IF(UPPER(Settings!$B$3)="EGY",F283,0)</f>
        <v>300</v>
      </c>
      <c r="O283" s="72">
        <f t="shared" si="70"/>
        <v>316.5</v>
      </c>
      <c r="P283" s="72">
        <f t="shared" si="71"/>
        <v>333.90749999999997</v>
      </c>
      <c r="Q283" s="72">
        <f t="shared" si="72"/>
        <v>352.27241249999997</v>
      </c>
      <c r="R283" s="72">
        <f t="shared" si="73"/>
        <v>371.64739518749997</v>
      </c>
      <c r="S283" s="72">
        <f t="shared" si="74"/>
        <v>392.08800192281245</v>
      </c>
      <c r="T283" s="72">
        <f t="shared" si="75"/>
        <v>413.65284202856714</v>
      </c>
      <c r="U283" s="72">
        <f t="shared" si="76"/>
        <v>436.40374834013829</v>
      </c>
      <c r="V283" s="72">
        <f t="shared" si="77"/>
        <v>460.40595449884586</v>
      </c>
      <c r="W283" s="72">
        <f t="shared" si="78"/>
        <v>485.72828199628236</v>
      </c>
      <c r="X283" s="72">
        <f t="shared" si="79"/>
        <v>512.44333750607791</v>
      </c>
      <c r="Y283" s="72">
        <f t="shared" si="80"/>
        <v>540.62772106891214</v>
      </c>
      <c r="Z283" s="72">
        <f t="shared" si="81"/>
        <v>570.36224572770232</v>
      </c>
      <c r="AA283" s="72">
        <f t="shared" si="82"/>
        <v>601.73216924272594</v>
      </c>
      <c r="AB283" s="72">
        <f t="shared" si="83"/>
        <v>634.82743855107583</v>
      </c>
      <c r="AC283" s="72">
        <f t="shared" si="84"/>
        <v>669.74294767138497</v>
      </c>
      <c r="AD283" s="72">
        <f t="shared" si="85"/>
        <v>706.57880979331105</v>
      </c>
      <c r="AE283" s="72">
        <f t="shared" si="86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1939</v>
      </c>
      <c r="D284" s="72" t="s">
        <v>1933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87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87"/>
        <v>0</v>
      </c>
      <c r="N284" s="101">
        <f t="shared" si="87"/>
        <v>0</v>
      </c>
      <c r="O284" s="101">
        <f t="shared" si="87"/>
        <v>0</v>
      </c>
      <c r="P284" s="101">
        <f t="shared" si="87"/>
        <v>0</v>
      </c>
      <c r="Q284" s="101">
        <f t="shared" si="87"/>
        <v>0</v>
      </c>
      <c r="R284" s="101">
        <f t="shared" si="87"/>
        <v>0</v>
      </c>
      <c r="S284" s="101">
        <f t="shared" si="87"/>
        <v>0</v>
      </c>
      <c r="T284" s="101">
        <f t="shared" si="87"/>
        <v>0</v>
      </c>
      <c r="U284" s="101">
        <f t="shared" si="87"/>
        <v>0</v>
      </c>
      <c r="V284" s="101">
        <f t="shared" si="87"/>
        <v>0</v>
      </c>
      <c r="W284" s="101">
        <f t="shared" si="87"/>
        <v>0</v>
      </c>
      <c r="X284" s="101">
        <f t="shared" si="87"/>
        <v>0</v>
      </c>
      <c r="Y284" s="101">
        <f t="shared" si="87"/>
        <v>0</v>
      </c>
      <c r="Z284" s="101">
        <f t="shared" si="87"/>
        <v>0</v>
      </c>
      <c r="AA284" s="101">
        <f t="shared" si="87"/>
        <v>0</v>
      </c>
      <c r="AB284" s="101">
        <f t="shared" si="87"/>
        <v>0</v>
      </c>
      <c r="AC284" s="101">
        <f t="shared" si="87"/>
        <v>0</v>
      </c>
      <c r="AD284" s="101">
        <f t="shared" si="87"/>
        <v>0</v>
      </c>
      <c r="AE284" s="101">
        <f t="shared" si="87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1934</v>
      </c>
      <c r="E285" s="72" t="s">
        <v>1935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88">IF(SUM(L$276:L$283)=0,0,L$380*1000/SUM(L$276:L$283))</f>
        <v>0.76858068667604662</v>
      </c>
      <c r="M285" s="76">
        <f t="shared" si="88"/>
        <v>0.7681952948756956</v>
      </c>
      <c r="N285" s="76">
        <f t="shared" si="88"/>
        <v>0.7678091840636232</v>
      </c>
      <c r="O285" s="76">
        <f t="shared" si="88"/>
        <v>0.76742240027798359</v>
      </c>
      <c r="P285" s="76">
        <f t="shared" si="88"/>
        <v>0.76703499073315395</v>
      </c>
      <c r="Q285" s="76">
        <f t="shared" si="88"/>
        <v>0.76664700383607165</v>
      </c>
      <c r="R285" s="76">
        <f t="shared" si="88"/>
        <v>0.76625848920260697</v>
      </c>
      <c r="S285" s="76">
        <f t="shared" si="88"/>
        <v>0.76586949767397305</v>
      </c>
      <c r="T285" s="76">
        <f t="shared" si="88"/>
        <v>0.7654800813331647</v>
      </c>
      <c r="U285" s="76">
        <f t="shared" si="88"/>
        <v>0.76509029352142133</v>
      </c>
      <c r="V285" s="76">
        <f t="shared" si="88"/>
        <v>0.76470018885470381</v>
      </c>
      <c r="W285" s="76">
        <f t="shared" si="88"/>
        <v>0.76430982324018981</v>
      </c>
      <c r="X285" s="76">
        <f t="shared" si="88"/>
        <v>0.76391925389276916</v>
      </c>
      <c r="Y285" s="76">
        <f t="shared" si="88"/>
        <v>0.76352853935153986</v>
      </c>
      <c r="Z285" s="76">
        <f t="shared" si="88"/>
        <v>0.76313773949630004</v>
      </c>
      <c r="AA285" s="76">
        <f t="shared" si="88"/>
        <v>0.76274691556402274</v>
      </c>
      <c r="AB285" s="76">
        <f t="shared" si="88"/>
        <v>0.76235613016531245</v>
      </c>
      <c r="AC285" s="76">
        <f t="shared" si="88"/>
        <v>0.76196544730083182</v>
      </c>
      <c r="AD285" s="76">
        <f t="shared" si="88"/>
        <v>0.76157493237769747</v>
      </c>
      <c r="AE285" s="76">
        <f t="shared" si="88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1936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89">IF((SUM(L$330:L$337)+SUM(L$341:L$348))=0,0,L$380/(SUM(L$330:L$337)+SUM(L$341:L$348))-1)</f>
        <v>0</v>
      </c>
      <c r="M286" s="101">
        <f t="shared" si="89"/>
        <v>-1.1102230246251565E-16</v>
      </c>
      <c r="N286" s="101">
        <f t="shared" si="89"/>
        <v>0</v>
      </c>
      <c r="O286" s="101">
        <f t="shared" si="89"/>
        <v>0</v>
      </c>
      <c r="P286" s="101">
        <f t="shared" si="89"/>
        <v>0</v>
      </c>
      <c r="Q286" s="101">
        <f t="shared" si="89"/>
        <v>0</v>
      </c>
      <c r="R286" s="101">
        <f t="shared" si="89"/>
        <v>0</v>
      </c>
      <c r="S286" s="101">
        <f t="shared" si="89"/>
        <v>-1.1102230246251565E-16</v>
      </c>
      <c r="T286" s="101">
        <f t="shared" si="89"/>
        <v>0</v>
      </c>
      <c r="U286" s="101">
        <f t="shared" si="89"/>
        <v>2.2204460492503131E-16</v>
      </c>
      <c r="V286" s="101">
        <f t="shared" si="89"/>
        <v>0</v>
      </c>
      <c r="W286" s="101">
        <f t="shared" si="89"/>
        <v>0</v>
      </c>
      <c r="X286" s="101">
        <f t="shared" si="89"/>
        <v>0</v>
      </c>
      <c r="Y286" s="101">
        <f t="shared" si="89"/>
        <v>0</v>
      </c>
      <c r="Z286" s="101">
        <f t="shared" si="89"/>
        <v>-2.2204460492503131E-16</v>
      </c>
      <c r="AA286" s="101">
        <f t="shared" si="89"/>
        <v>-2.2204460492503131E-16</v>
      </c>
      <c r="AB286" s="101">
        <f t="shared" si="89"/>
        <v>0</v>
      </c>
      <c r="AC286" s="101">
        <f t="shared" si="89"/>
        <v>0</v>
      </c>
      <c r="AD286" s="101">
        <f t="shared" si="89"/>
        <v>0</v>
      </c>
      <c r="AE286" s="101">
        <f t="shared" si="89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90">L274</f>
        <v>2022</v>
      </c>
      <c r="M287" s="74">
        <f t="shared" si="90"/>
        <v>2023</v>
      </c>
      <c r="N287" s="74">
        <f t="shared" si="90"/>
        <v>2024</v>
      </c>
      <c r="O287" s="74">
        <f t="shared" si="90"/>
        <v>2025</v>
      </c>
      <c r="P287" s="74">
        <f t="shared" si="90"/>
        <v>2026</v>
      </c>
      <c r="Q287" s="74">
        <f t="shared" si="90"/>
        <v>2027</v>
      </c>
      <c r="R287" s="74">
        <f t="shared" si="90"/>
        <v>2028</v>
      </c>
      <c r="S287" s="74">
        <f t="shared" si="90"/>
        <v>2029</v>
      </c>
      <c r="T287" s="74">
        <f t="shared" si="90"/>
        <v>2030</v>
      </c>
      <c r="U287" s="74">
        <f t="shared" si="90"/>
        <v>2031</v>
      </c>
      <c r="V287" s="74">
        <f t="shared" si="90"/>
        <v>2032</v>
      </c>
      <c r="W287" s="74">
        <f t="shared" si="90"/>
        <v>2033</v>
      </c>
      <c r="X287" s="74">
        <f t="shared" si="90"/>
        <v>2034</v>
      </c>
      <c r="Y287" s="74">
        <f t="shared" si="90"/>
        <v>2035</v>
      </c>
      <c r="Z287" s="74">
        <f t="shared" si="90"/>
        <v>2036</v>
      </c>
      <c r="AA287" s="74">
        <f t="shared" si="90"/>
        <v>2037</v>
      </c>
      <c r="AB287" s="74">
        <f t="shared" si="90"/>
        <v>2038</v>
      </c>
      <c r="AC287" s="74">
        <f t="shared" si="90"/>
        <v>2039</v>
      </c>
      <c r="AD287" s="74">
        <f t="shared" si="90"/>
        <v>2040</v>
      </c>
      <c r="AE287" s="74">
        <f t="shared" si="90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91">G288</f>
        <v>750</v>
      </c>
      <c r="M288" s="72">
        <f t="shared" ref="M288:M295" si="92">G288</f>
        <v>750</v>
      </c>
      <c r="N288" s="72">
        <f t="shared" ref="N288:N295" si="93">G288</f>
        <v>750</v>
      </c>
      <c r="O288" s="72">
        <f t="shared" ref="O288:O295" si="94">G288</f>
        <v>750</v>
      </c>
      <c r="P288" s="72">
        <f t="shared" ref="P288:P295" si="95">G288</f>
        <v>750</v>
      </c>
      <c r="Q288" s="72">
        <f t="shared" ref="Q288:Q295" si="96">G288</f>
        <v>750</v>
      </c>
      <c r="R288" s="72">
        <f t="shared" ref="R288:R295" si="97">G288</f>
        <v>750</v>
      </c>
      <c r="S288" s="72">
        <f t="shared" ref="S288:S295" si="98">G288</f>
        <v>750</v>
      </c>
      <c r="T288" s="72">
        <f t="shared" ref="T288:T295" si="99">G288</f>
        <v>750</v>
      </c>
      <c r="U288" s="72">
        <f t="shared" ref="U288:U295" si="100">G288</f>
        <v>750</v>
      </c>
      <c r="V288" s="72">
        <f t="shared" ref="V288:V295" si="101">G288</f>
        <v>750</v>
      </c>
      <c r="W288" s="72">
        <f t="shared" ref="W288:W295" si="102">G288</f>
        <v>750</v>
      </c>
      <c r="X288" s="72">
        <f t="shared" ref="X288:X295" si="103">G288</f>
        <v>750</v>
      </c>
      <c r="Y288" s="72">
        <f t="shared" ref="Y288:Y295" si="104">G288</f>
        <v>750</v>
      </c>
      <c r="Z288" s="72">
        <f t="shared" ref="Z288:Z295" si="105">G288</f>
        <v>750</v>
      </c>
      <c r="AA288" s="72">
        <f t="shared" ref="AA288:AA295" si="106">G288</f>
        <v>750</v>
      </c>
      <c r="AB288" s="72">
        <f t="shared" ref="AB288:AB295" si="107">G288</f>
        <v>750</v>
      </c>
      <c r="AC288" s="72">
        <f t="shared" ref="AC288:AC295" si="108">G288</f>
        <v>750</v>
      </c>
      <c r="AD288" s="72">
        <f t="shared" ref="AD288:AD295" si="109">G288</f>
        <v>750</v>
      </c>
      <c r="AE288" s="72">
        <f t="shared" ref="AE288:AE295" si="110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91"/>
        <v>680</v>
      </c>
      <c r="M289" s="72">
        <f t="shared" si="92"/>
        <v>680</v>
      </c>
      <c r="N289" s="72">
        <f t="shared" si="93"/>
        <v>680</v>
      </c>
      <c r="O289" s="72">
        <f t="shared" si="94"/>
        <v>680</v>
      </c>
      <c r="P289" s="72">
        <f t="shared" si="95"/>
        <v>680</v>
      </c>
      <c r="Q289" s="72">
        <f t="shared" si="96"/>
        <v>680</v>
      </c>
      <c r="R289" s="72">
        <f t="shared" si="97"/>
        <v>680</v>
      </c>
      <c r="S289" s="72">
        <f t="shared" si="98"/>
        <v>680</v>
      </c>
      <c r="T289" s="72">
        <f t="shared" si="99"/>
        <v>680</v>
      </c>
      <c r="U289" s="72">
        <f t="shared" si="100"/>
        <v>680</v>
      </c>
      <c r="V289" s="72">
        <f t="shared" si="101"/>
        <v>680</v>
      </c>
      <c r="W289" s="72">
        <f t="shared" si="102"/>
        <v>680</v>
      </c>
      <c r="X289" s="72">
        <f t="shared" si="103"/>
        <v>680</v>
      </c>
      <c r="Y289" s="72">
        <f t="shared" si="104"/>
        <v>680</v>
      </c>
      <c r="Z289" s="72">
        <f t="shared" si="105"/>
        <v>680</v>
      </c>
      <c r="AA289" s="72">
        <f t="shared" si="106"/>
        <v>680</v>
      </c>
      <c r="AB289" s="72">
        <f t="shared" si="107"/>
        <v>680</v>
      </c>
      <c r="AC289" s="72">
        <f t="shared" si="108"/>
        <v>680</v>
      </c>
      <c r="AD289" s="72">
        <f t="shared" si="109"/>
        <v>680</v>
      </c>
      <c r="AE289" s="72">
        <f t="shared" si="110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91"/>
        <v>620</v>
      </c>
      <c r="M290" s="72">
        <f t="shared" si="92"/>
        <v>620</v>
      </c>
      <c r="N290" s="72">
        <f t="shared" si="93"/>
        <v>620</v>
      </c>
      <c r="O290" s="72">
        <f t="shared" si="94"/>
        <v>620</v>
      </c>
      <c r="P290" s="72">
        <f t="shared" si="95"/>
        <v>620</v>
      </c>
      <c r="Q290" s="72">
        <f t="shared" si="96"/>
        <v>620</v>
      </c>
      <c r="R290" s="72">
        <f t="shared" si="97"/>
        <v>620</v>
      </c>
      <c r="S290" s="72">
        <f t="shared" si="98"/>
        <v>620</v>
      </c>
      <c r="T290" s="72">
        <f t="shared" si="99"/>
        <v>620</v>
      </c>
      <c r="U290" s="72">
        <f t="shared" si="100"/>
        <v>620</v>
      </c>
      <c r="V290" s="72">
        <f t="shared" si="101"/>
        <v>620</v>
      </c>
      <c r="W290" s="72">
        <f t="shared" si="102"/>
        <v>620</v>
      </c>
      <c r="X290" s="72">
        <f t="shared" si="103"/>
        <v>620</v>
      </c>
      <c r="Y290" s="72">
        <f t="shared" si="104"/>
        <v>620</v>
      </c>
      <c r="Z290" s="72">
        <f t="shared" si="105"/>
        <v>620</v>
      </c>
      <c r="AA290" s="72">
        <f t="shared" si="106"/>
        <v>620</v>
      </c>
      <c r="AB290" s="72">
        <f t="shared" si="107"/>
        <v>620</v>
      </c>
      <c r="AC290" s="72">
        <f t="shared" si="108"/>
        <v>620</v>
      </c>
      <c r="AD290" s="72">
        <f t="shared" si="109"/>
        <v>620</v>
      </c>
      <c r="AE290" s="72">
        <f t="shared" si="110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91"/>
        <v>110</v>
      </c>
      <c r="M291" s="72">
        <f t="shared" si="92"/>
        <v>110</v>
      </c>
      <c r="N291" s="72">
        <f t="shared" si="93"/>
        <v>110</v>
      </c>
      <c r="O291" s="72">
        <f t="shared" si="94"/>
        <v>110</v>
      </c>
      <c r="P291" s="72">
        <f t="shared" si="95"/>
        <v>110</v>
      </c>
      <c r="Q291" s="72">
        <f t="shared" si="96"/>
        <v>110</v>
      </c>
      <c r="R291" s="72">
        <f t="shared" si="97"/>
        <v>110</v>
      </c>
      <c r="S291" s="72">
        <f t="shared" si="98"/>
        <v>110</v>
      </c>
      <c r="T291" s="72">
        <f t="shared" si="99"/>
        <v>110</v>
      </c>
      <c r="U291" s="72">
        <f t="shared" si="100"/>
        <v>110</v>
      </c>
      <c r="V291" s="72">
        <f t="shared" si="101"/>
        <v>110</v>
      </c>
      <c r="W291" s="72">
        <f t="shared" si="102"/>
        <v>110</v>
      </c>
      <c r="X291" s="72">
        <f t="shared" si="103"/>
        <v>110</v>
      </c>
      <c r="Y291" s="72">
        <f t="shared" si="104"/>
        <v>110</v>
      </c>
      <c r="Z291" s="72">
        <f t="shared" si="105"/>
        <v>110</v>
      </c>
      <c r="AA291" s="72">
        <f t="shared" si="106"/>
        <v>110</v>
      </c>
      <c r="AB291" s="72">
        <f t="shared" si="107"/>
        <v>110</v>
      </c>
      <c r="AC291" s="72">
        <f t="shared" si="108"/>
        <v>110</v>
      </c>
      <c r="AD291" s="72">
        <f t="shared" si="109"/>
        <v>110</v>
      </c>
      <c r="AE291" s="72">
        <f t="shared" si="110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91"/>
        <v>450</v>
      </c>
      <c r="M292" s="72">
        <f t="shared" si="92"/>
        <v>450</v>
      </c>
      <c r="N292" s="72">
        <f t="shared" si="93"/>
        <v>450</v>
      </c>
      <c r="O292" s="72">
        <f t="shared" si="94"/>
        <v>450</v>
      </c>
      <c r="P292" s="72">
        <f t="shared" si="95"/>
        <v>450</v>
      </c>
      <c r="Q292" s="72">
        <f t="shared" si="96"/>
        <v>450</v>
      </c>
      <c r="R292" s="72">
        <f t="shared" si="97"/>
        <v>450</v>
      </c>
      <c r="S292" s="72">
        <f t="shared" si="98"/>
        <v>450</v>
      </c>
      <c r="T292" s="72">
        <f t="shared" si="99"/>
        <v>450</v>
      </c>
      <c r="U292" s="72">
        <f t="shared" si="100"/>
        <v>450</v>
      </c>
      <c r="V292" s="72">
        <f t="shared" si="101"/>
        <v>450</v>
      </c>
      <c r="W292" s="72">
        <f t="shared" si="102"/>
        <v>450</v>
      </c>
      <c r="X292" s="72">
        <f t="shared" si="103"/>
        <v>450</v>
      </c>
      <c r="Y292" s="72">
        <f t="shared" si="104"/>
        <v>450</v>
      </c>
      <c r="Z292" s="72">
        <f t="shared" si="105"/>
        <v>450</v>
      </c>
      <c r="AA292" s="72">
        <f t="shared" si="106"/>
        <v>450</v>
      </c>
      <c r="AB292" s="72">
        <f t="shared" si="107"/>
        <v>450</v>
      </c>
      <c r="AC292" s="72">
        <f t="shared" si="108"/>
        <v>450</v>
      </c>
      <c r="AD292" s="72">
        <f t="shared" si="109"/>
        <v>450</v>
      </c>
      <c r="AE292" s="72">
        <f t="shared" si="110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91"/>
        <v>380</v>
      </c>
      <c r="M293" s="72">
        <f t="shared" si="92"/>
        <v>380</v>
      </c>
      <c r="N293" s="72">
        <f t="shared" si="93"/>
        <v>380</v>
      </c>
      <c r="O293" s="72">
        <f t="shared" si="94"/>
        <v>380</v>
      </c>
      <c r="P293" s="72">
        <f t="shared" si="95"/>
        <v>380</v>
      </c>
      <c r="Q293" s="72">
        <f t="shared" si="96"/>
        <v>380</v>
      </c>
      <c r="R293" s="72">
        <f t="shared" si="97"/>
        <v>380</v>
      </c>
      <c r="S293" s="72">
        <f t="shared" si="98"/>
        <v>380</v>
      </c>
      <c r="T293" s="72">
        <f t="shared" si="99"/>
        <v>380</v>
      </c>
      <c r="U293" s="72">
        <f t="shared" si="100"/>
        <v>380</v>
      </c>
      <c r="V293" s="72">
        <f t="shared" si="101"/>
        <v>380</v>
      </c>
      <c r="W293" s="72">
        <f t="shared" si="102"/>
        <v>380</v>
      </c>
      <c r="X293" s="72">
        <f t="shared" si="103"/>
        <v>380</v>
      </c>
      <c r="Y293" s="72">
        <f t="shared" si="104"/>
        <v>380</v>
      </c>
      <c r="Z293" s="72">
        <f t="shared" si="105"/>
        <v>380</v>
      </c>
      <c r="AA293" s="72">
        <f t="shared" si="106"/>
        <v>380</v>
      </c>
      <c r="AB293" s="72">
        <f t="shared" si="107"/>
        <v>380</v>
      </c>
      <c r="AC293" s="72">
        <f t="shared" si="108"/>
        <v>380</v>
      </c>
      <c r="AD293" s="72">
        <f t="shared" si="109"/>
        <v>380</v>
      </c>
      <c r="AE293" s="72">
        <f t="shared" si="110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91"/>
        <v>320</v>
      </c>
      <c r="M294" s="72">
        <f t="shared" si="92"/>
        <v>320</v>
      </c>
      <c r="N294" s="72">
        <f t="shared" si="93"/>
        <v>320</v>
      </c>
      <c r="O294" s="72">
        <f t="shared" si="94"/>
        <v>320</v>
      </c>
      <c r="P294" s="72">
        <f t="shared" si="95"/>
        <v>320</v>
      </c>
      <c r="Q294" s="72">
        <f t="shared" si="96"/>
        <v>320</v>
      </c>
      <c r="R294" s="72">
        <f t="shared" si="97"/>
        <v>320</v>
      </c>
      <c r="S294" s="72">
        <f t="shared" si="98"/>
        <v>320</v>
      </c>
      <c r="T294" s="72">
        <f t="shared" si="99"/>
        <v>320</v>
      </c>
      <c r="U294" s="72">
        <f t="shared" si="100"/>
        <v>320</v>
      </c>
      <c r="V294" s="72">
        <f t="shared" si="101"/>
        <v>320</v>
      </c>
      <c r="W294" s="72">
        <f t="shared" si="102"/>
        <v>320</v>
      </c>
      <c r="X294" s="72">
        <f t="shared" si="103"/>
        <v>320</v>
      </c>
      <c r="Y294" s="72">
        <f t="shared" si="104"/>
        <v>320</v>
      </c>
      <c r="Z294" s="72">
        <f t="shared" si="105"/>
        <v>320</v>
      </c>
      <c r="AA294" s="72">
        <f t="shared" si="106"/>
        <v>320</v>
      </c>
      <c r="AB294" s="72">
        <f t="shared" si="107"/>
        <v>320</v>
      </c>
      <c r="AC294" s="72">
        <f t="shared" si="108"/>
        <v>320</v>
      </c>
      <c r="AD294" s="72">
        <f t="shared" si="109"/>
        <v>320</v>
      </c>
      <c r="AE294" s="72">
        <f t="shared" si="110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91"/>
        <v>2400</v>
      </c>
      <c r="M295" s="72">
        <f t="shared" si="92"/>
        <v>2400</v>
      </c>
      <c r="N295" s="72">
        <f t="shared" si="93"/>
        <v>2400</v>
      </c>
      <c r="O295" s="72">
        <f t="shared" si="94"/>
        <v>2400</v>
      </c>
      <c r="P295" s="72">
        <f t="shared" si="95"/>
        <v>2400</v>
      </c>
      <c r="Q295" s="72">
        <f t="shared" si="96"/>
        <v>2400</v>
      </c>
      <c r="R295" s="72">
        <f t="shared" si="97"/>
        <v>2400</v>
      </c>
      <c r="S295" s="72">
        <f t="shared" si="98"/>
        <v>2400</v>
      </c>
      <c r="T295" s="72">
        <f t="shared" si="99"/>
        <v>2400</v>
      </c>
      <c r="U295" s="72">
        <f t="shared" si="100"/>
        <v>2400</v>
      </c>
      <c r="V295" s="72">
        <f t="shared" si="101"/>
        <v>2400</v>
      </c>
      <c r="W295" s="72">
        <f t="shared" si="102"/>
        <v>2400</v>
      </c>
      <c r="X295" s="72">
        <f t="shared" si="103"/>
        <v>2400</v>
      </c>
      <c r="Y295" s="72">
        <f t="shared" si="104"/>
        <v>2400</v>
      </c>
      <c r="Z295" s="72">
        <f t="shared" si="105"/>
        <v>2400</v>
      </c>
      <c r="AA295" s="72">
        <f t="shared" si="106"/>
        <v>2400</v>
      </c>
      <c r="AB295" s="72">
        <f t="shared" si="107"/>
        <v>2400</v>
      </c>
      <c r="AC295" s="72">
        <f t="shared" si="108"/>
        <v>2400</v>
      </c>
      <c r="AD295" s="72">
        <f t="shared" si="109"/>
        <v>2400</v>
      </c>
      <c r="AE295" s="72">
        <f t="shared" si="110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1940</v>
      </c>
      <c r="D296" s="72" t="s">
        <v>1937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111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111"/>
        <v>0</v>
      </c>
      <c r="N296" s="101">
        <f t="shared" si="111"/>
        <v>0</v>
      </c>
      <c r="O296" s="101">
        <f t="shared" si="111"/>
        <v>0</v>
      </c>
      <c r="P296" s="101">
        <f t="shared" si="111"/>
        <v>0</v>
      </c>
      <c r="Q296" s="101">
        <f t="shared" si="111"/>
        <v>0</v>
      </c>
      <c r="R296" s="101">
        <f t="shared" si="111"/>
        <v>0</v>
      </c>
      <c r="S296" s="101">
        <f t="shared" si="111"/>
        <v>0</v>
      </c>
      <c r="T296" s="101">
        <f t="shared" si="111"/>
        <v>0</v>
      </c>
      <c r="U296" s="101">
        <f t="shared" si="111"/>
        <v>0</v>
      </c>
      <c r="V296" s="101">
        <f t="shared" si="111"/>
        <v>0</v>
      </c>
      <c r="W296" s="101">
        <f t="shared" si="111"/>
        <v>0</v>
      </c>
      <c r="X296" s="101">
        <f t="shared" si="111"/>
        <v>0</v>
      </c>
      <c r="Y296" s="101">
        <f t="shared" si="111"/>
        <v>0</v>
      </c>
      <c r="Z296" s="101">
        <f t="shared" si="111"/>
        <v>0</v>
      </c>
      <c r="AA296" s="101">
        <f t="shared" si="111"/>
        <v>0</v>
      </c>
      <c r="AB296" s="101">
        <f t="shared" si="111"/>
        <v>0</v>
      </c>
      <c r="AC296" s="101">
        <f t="shared" si="111"/>
        <v>0</v>
      </c>
      <c r="AD296" s="101">
        <f t="shared" si="111"/>
        <v>0</v>
      </c>
      <c r="AE296" s="101">
        <f t="shared" si="111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1938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112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112"/>
        <v>0</v>
      </c>
      <c r="N297" s="101">
        <f t="shared" si="112"/>
        <v>0</v>
      </c>
      <c r="O297" s="101">
        <f t="shared" si="112"/>
        <v>0</v>
      </c>
      <c r="P297" s="101">
        <f t="shared" si="112"/>
        <v>0</v>
      </c>
      <c r="Q297" s="101">
        <f t="shared" si="112"/>
        <v>0</v>
      </c>
      <c r="R297" s="101">
        <f t="shared" si="112"/>
        <v>0</v>
      </c>
      <c r="S297" s="101">
        <f t="shared" si="112"/>
        <v>0</v>
      </c>
      <c r="T297" s="101">
        <f t="shared" si="112"/>
        <v>0</v>
      </c>
      <c r="U297" s="101">
        <f t="shared" si="112"/>
        <v>0</v>
      </c>
      <c r="V297" s="101">
        <f t="shared" si="112"/>
        <v>0</v>
      </c>
      <c r="W297" s="101">
        <f t="shared" si="112"/>
        <v>0</v>
      </c>
      <c r="X297" s="101">
        <f t="shared" si="112"/>
        <v>0</v>
      </c>
      <c r="Y297" s="101">
        <f t="shared" si="112"/>
        <v>0</v>
      </c>
      <c r="Z297" s="101">
        <f t="shared" si="112"/>
        <v>0</v>
      </c>
      <c r="AA297" s="101">
        <f t="shared" si="112"/>
        <v>0</v>
      </c>
      <c r="AB297" s="101">
        <f t="shared" si="112"/>
        <v>0</v>
      </c>
      <c r="AC297" s="101">
        <f t="shared" si="112"/>
        <v>0</v>
      </c>
      <c r="AD297" s="101">
        <f t="shared" si="112"/>
        <v>0</v>
      </c>
      <c r="AE297" s="101">
        <f t="shared" si="112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1901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113">L246</f>
        <v>2022</v>
      </c>
      <c r="M298" s="74">
        <f t="shared" si="113"/>
        <v>2023</v>
      </c>
      <c r="N298" s="74">
        <f t="shared" si="113"/>
        <v>2024</v>
      </c>
      <c r="O298" s="74">
        <f t="shared" si="113"/>
        <v>2025</v>
      </c>
      <c r="P298" s="74">
        <f t="shared" si="113"/>
        <v>2026</v>
      </c>
      <c r="Q298" s="74">
        <f t="shared" si="113"/>
        <v>2027</v>
      </c>
      <c r="R298" s="74">
        <f t="shared" si="113"/>
        <v>2028</v>
      </c>
      <c r="S298" s="74">
        <f t="shared" si="113"/>
        <v>2029</v>
      </c>
      <c r="T298" s="74">
        <f t="shared" si="113"/>
        <v>2030</v>
      </c>
      <c r="U298" s="74">
        <f t="shared" si="113"/>
        <v>2031</v>
      </c>
      <c r="V298" s="74">
        <f t="shared" si="113"/>
        <v>2032</v>
      </c>
      <c r="W298" s="74">
        <f t="shared" si="113"/>
        <v>2033</v>
      </c>
      <c r="X298" s="74">
        <f t="shared" si="113"/>
        <v>2034</v>
      </c>
      <c r="Y298" s="74">
        <f t="shared" si="113"/>
        <v>2035</v>
      </c>
      <c r="Z298" s="74">
        <f t="shared" si="113"/>
        <v>2036</v>
      </c>
      <c r="AA298" s="74">
        <f t="shared" si="113"/>
        <v>2037</v>
      </c>
      <c r="AB298" s="74">
        <f t="shared" si="113"/>
        <v>2038</v>
      </c>
      <c r="AC298" s="74">
        <f t="shared" si="113"/>
        <v>2039</v>
      </c>
      <c r="AD298" s="74">
        <f t="shared" si="113"/>
        <v>2040</v>
      </c>
      <c r="AE298" s="74">
        <f t="shared" si="113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114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114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114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114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114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114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114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114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0"/>
      <c r="E307" s="70"/>
      <c r="F307" s="70"/>
      <c r="G307" s="70"/>
      <c r="H307" s="70"/>
      <c r="I307" s="70"/>
      <c r="J307" s="70"/>
      <c r="K307" s="72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1922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1923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1902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115">L298</f>
        <v>2022</v>
      </c>
      <c r="M309" s="74">
        <f t="shared" si="115"/>
        <v>2023</v>
      </c>
      <c r="N309" s="74">
        <f t="shared" si="115"/>
        <v>2024</v>
      </c>
      <c r="O309" s="74">
        <f t="shared" si="115"/>
        <v>2025</v>
      </c>
      <c r="P309" s="74">
        <f t="shared" si="115"/>
        <v>2026</v>
      </c>
      <c r="Q309" s="74">
        <f t="shared" si="115"/>
        <v>2027</v>
      </c>
      <c r="R309" s="74">
        <f t="shared" si="115"/>
        <v>2028</v>
      </c>
      <c r="S309" s="74">
        <f t="shared" si="115"/>
        <v>2029</v>
      </c>
      <c r="T309" s="74">
        <f t="shared" si="115"/>
        <v>2030</v>
      </c>
      <c r="U309" s="74">
        <f t="shared" si="115"/>
        <v>2031</v>
      </c>
      <c r="V309" s="74">
        <f t="shared" si="115"/>
        <v>2032</v>
      </c>
      <c r="W309" s="74">
        <f t="shared" si="115"/>
        <v>2033</v>
      </c>
      <c r="X309" s="74">
        <f t="shared" si="115"/>
        <v>2034</v>
      </c>
      <c r="Y309" s="74">
        <f t="shared" si="115"/>
        <v>2035</v>
      </c>
      <c r="Z309" s="74">
        <f t="shared" si="115"/>
        <v>2036</v>
      </c>
      <c r="AA309" s="74">
        <f t="shared" si="115"/>
        <v>2037</v>
      </c>
      <c r="AB309" s="74">
        <f t="shared" si="115"/>
        <v>2038</v>
      </c>
      <c r="AC309" s="74">
        <f t="shared" si="115"/>
        <v>2039</v>
      </c>
      <c r="AD309" s="74">
        <f t="shared" si="115"/>
        <v>2040</v>
      </c>
      <c r="AE309" s="74">
        <f t="shared" si="115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116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117">($F310*L$308+$G310*L$248)*$E310</f>
        <v>0</v>
      </c>
      <c r="M310" s="81">
        <f t="shared" si="117"/>
        <v>0</v>
      </c>
      <c r="N310" s="81">
        <f t="shared" si="117"/>
        <v>0</v>
      </c>
      <c r="O310" s="81">
        <f t="shared" si="117"/>
        <v>0</v>
      </c>
      <c r="P310" s="81">
        <f t="shared" si="117"/>
        <v>0</v>
      </c>
      <c r="Q310" s="81">
        <f t="shared" si="117"/>
        <v>0</v>
      </c>
      <c r="R310" s="81">
        <f t="shared" si="117"/>
        <v>0</v>
      </c>
      <c r="S310" s="81">
        <f t="shared" si="117"/>
        <v>0</v>
      </c>
      <c r="T310" s="81">
        <f t="shared" si="117"/>
        <v>0</v>
      </c>
      <c r="U310" s="81">
        <f t="shared" si="117"/>
        <v>0</v>
      </c>
      <c r="V310" s="81">
        <f t="shared" ref="V310:AE317" si="118">($F310*V$308+$G310*V$248)*$E310</f>
        <v>0</v>
      </c>
      <c r="W310" s="81">
        <f t="shared" si="118"/>
        <v>0</v>
      </c>
      <c r="X310" s="81">
        <f t="shared" si="118"/>
        <v>0</v>
      </c>
      <c r="Y310" s="81">
        <f t="shared" si="118"/>
        <v>0</v>
      </c>
      <c r="Z310" s="81">
        <f t="shared" si="118"/>
        <v>0</v>
      </c>
      <c r="AA310" s="81">
        <f t="shared" si="118"/>
        <v>0</v>
      </c>
      <c r="AB310" s="81">
        <f t="shared" si="118"/>
        <v>0</v>
      </c>
      <c r="AC310" s="81">
        <f t="shared" si="118"/>
        <v>0</v>
      </c>
      <c r="AD310" s="81">
        <f t="shared" si="118"/>
        <v>0</v>
      </c>
      <c r="AE310" s="81">
        <f t="shared" si="118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116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117"/>
        <v>0</v>
      </c>
      <c r="M311" s="81">
        <f t="shared" si="117"/>
        <v>0</v>
      </c>
      <c r="N311" s="81">
        <f t="shared" si="117"/>
        <v>0</v>
      </c>
      <c r="O311" s="81">
        <f t="shared" si="117"/>
        <v>0</v>
      </c>
      <c r="P311" s="81">
        <f t="shared" si="117"/>
        <v>0</v>
      </c>
      <c r="Q311" s="81">
        <f t="shared" si="117"/>
        <v>0</v>
      </c>
      <c r="R311" s="81">
        <f t="shared" si="117"/>
        <v>0</v>
      </c>
      <c r="S311" s="81">
        <f t="shared" si="117"/>
        <v>0</v>
      </c>
      <c r="T311" s="81">
        <f t="shared" si="117"/>
        <v>0</v>
      </c>
      <c r="U311" s="81">
        <f t="shared" si="117"/>
        <v>0</v>
      </c>
      <c r="V311" s="81">
        <f t="shared" si="118"/>
        <v>0</v>
      </c>
      <c r="W311" s="81">
        <f t="shared" si="118"/>
        <v>0</v>
      </c>
      <c r="X311" s="81">
        <f t="shared" si="118"/>
        <v>0</v>
      </c>
      <c r="Y311" s="81">
        <f t="shared" si="118"/>
        <v>0</v>
      </c>
      <c r="Z311" s="81">
        <f t="shared" si="118"/>
        <v>0</v>
      </c>
      <c r="AA311" s="81">
        <f t="shared" si="118"/>
        <v>0</v>
      </c>
      <c r="AB311" s="81">
        <f t="shared" si="118"/>
        <v>0</v>
      </c>
      <c r="AC311" s="81">
        <f t="shared" si="118"/>
        <v>0</v>
      </c>
      <c r="AD311" s="81">
        <f t="shared" si="118"/>
        <v>0</v>
      </c>
      <c r="AE311" s="81">
        <f t="shared" si="118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116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117"/>
        <v>0</v>
      </c>
      <c r="M312" s="81">
        <f t="shared" si="117"/>
        <v>0</v>
      </c>
      <c r="N312" s="81">
        <f t="shared" si="117"/>
        <v>0</v>
      </c>
      <c r="O312" s="81">
        <f t="shared" si="117"/>
        <v>0</v>
      </c>
      <c r="P312" s="81">
        <f t="shared" si="117"/>
        <v>0</v>
      </c>
      <c r="Q312" s="81">
        <f t="shared" si="117"/>
        <v>0</v>
      </c>
      <c r="R312" s="81">
        <f t="shared" si="117"/>
        <v>0</v>
      </c>
      <c r="S312" s="81">
        <f t="shared" si="117"/>
        <v>0</v>
      </c>
      <c r="T312" s="81">
        <f t="shared" si="117"/>
        <v>0</v>
      </c>
      <c r="U312" s="81">
        <f t="shared" si="117"/>
        <v>0</v>
      </c>
      <c r="V312" s="81">
        <f t="shared" si="118"/>
        <v>0</v>
      </c>
      <c r="W312" s="81">
        <f t="shared" si="118"/>
        <v>0</v>
      </c>
      <c r="X312" s="81">
        <f t="shared" si="118"/>
        <v>0</v>
      </c>
      <c r="Y312" s="81">
        <f t="shared" si="118"/>
        <v>0</v>
      </c>
      <c r="Z312" s="81">
        <f t="shared" si="118"/>
        <v>0</v>
      </c>
      <c r="AA312" s="81">
        <f t="shared" si="118"/>
        <v>0</v>
      </c>
      <c r="AB312" s="81">
        <f t="shared" si="118"/>
        <v>0</v>
      </c>
      <c r="AC312" s="81">
        <f t="shared" si="118"/>
        <v>0</v>
      </c>
      <c r="AD312" s="81">
        <f t="shared" si="118"/>
        <v>0</v>
      </c>
      <c r="AE312" s="81">
        <f t="shared" si="118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116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117"/>
        <v>0</v>
      </c>
      <c r="M313" s="81">
        <f t="shared" si="117"/>
        <v>0</v>
      </c>
      <c r="N313" s="81">
        <f t="shared" si="117"/>
        <v>0</v>
      </c>
      <c r="O313" s="81">
        <f t="shared" si="117"/>
        <v>0</v>
      </c>
      <c r="P313" s="81">
        <f t="shared" si="117"/>
        <v>0</v>
      </c>
      <c r="Q313" s="81">
        <f t="shared" si="117"/>
        <v>0</v>
      </c>
      <c r="R313" s="81">
        <f t="shared" si="117"/>
        <v>0</v>
      </c>
      <c r="S313" s="81">
        <f t="shared" si="117"/>
        <v>0</v>
      </c>
      <c r="T313" s="81">
        <f t="shared" si="117"/>
        <v>0</v>
      </c>
      <c r="U313" s="81">
        <f t="shared" si="117"/>
        <v>0</v>
      </c>
      <c r="V313" s="81">
        <f t="shared" si="118"/>
        <v>0</v>
      </c>
      <c r="W313" s="81">
        <f t="shared" si="118"/>
        <v>0</v>
      </c>
      <c r="X313" s="81">
        <f t="shared" si="118"/>
        <v>0</v>
      </c>
      <c r="Y313" s="81">
        <f t="shared" si="118"/>
        <v>0</v>
      </c>
      <c r="Z313" s="81">
        <f t="shared" si="118"/>
        <v>0</v>
      </c>
      <c r="AA313" s="81">
        <f t="shared" si="118"/>
        <v>0</v>
      </c>
      <c r="AB313" s="81">
        <f t="shared" si="118"/>
        <v>0</v>
      </c>
      <c r="AC313" s="81">
        <f t="shared" si="118"/>
        <v>0</v>
      </c>
      <c r="AD313" s="81">
        <f t="shared" si="118"/>
        <v>0</v>
      </c>
      <c r="AE313" s="81">
        <f t="shared" si="118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116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117"/>
        <v>0</v>
      </c>
      <c r="M314" s="81">
        <f t="shared" si="117"/>
        <v>0</v>
      </c>
      <c r="N314" s="81">
        <f t="shared" si="117"/>
        <v>0</v>
      </c>
      <c r="O314" s="81">
        <f t="shared" si="117"/>
        <v>0</v>
      </c>
      <c r="P314" s="81">
        <f t="shared" si="117"/>
        <v>0</v>
      </c>
      <c r="Q314" s="81">
        <f t="shared" si="117"/>
        <v>0</v>
      </c>
      <c r="R314" s="81">
        <f t="shared" si="117"/>
        <v>0</v>
      </c>
      <c r="S314" s="81">
        <f t="shared" si="117"/>
        <v>0</v>
      </c>
      <c r="T314" s="81">
        <f t="shared" si="117"/>
        <v>0</v>
      </c>
      <c r="U314" s="81">
        <f t="shared" si="117"/>
        <v>0</v>
      </c>
      <c r="V314" s="81">
        <f t="shared" si="118"/>
        <v>0</v>
      </c>
      <c r="W314" s="81">
        <f t="shared" si="118"/>
        <v>0</v>
      </c>
      <c r="X314" s="81">
        <f t="shared" si="118"/>
        <v>0</v>
      </c>
      <c r="Y314" s="81">
        <f t="shared" si="118"/>
        <v>0</v>
      </c>
      <c r="Z314" s="81">
        <f t="shared" si="118"/>
        <v>0</v>
      </c>
      <c r="AA314" s="81">
        <f t="shared" si="118"/>
        <v>0</v>
      </c>
      <c r="AB314" s="81">
        <f t="shared" si="118"/>
        <v>0</v>
      </c>
      <c r="AC314" s="81">
        <f t="shared" si="118"/>
        <v>0</v>
      </c>
      <c r="AD314" s="81">
        <f t="shared" si="118"/>
        <v>0</v>
      </c>
      <c r="AE314" s="81">
        <f t="shared" si="118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116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117"/>
        <v>0</v>
      </c>
      <c r="M315" s="81">
        <f t="shared" si="117"/>
        <v>0</v>
      </c>
      <c r="N315" s="81">
        <f t="shared" si="117"/>
        <v>0</v>
      </c>
      <c r="O315" s="81">
        <f t="shared" si="117"/>
        <v>0</v>
      </c>
      <c r="P315" s="81">
        <f t="shared" si="117"/>
        <v>0</v>
      </c>
      <c r="Q315" s="81">
        <f t="shared" si="117"/>
        <v>0</v>
      </c>
      <c r="R315" s="81">
        <f t="shared" si="117"/>
        <v>0</v>
      </c>
      <c r="S315" s="81">
        <f t="shared" si="117"/>
        <v>0</v>
      </c>
      <c r="T315" s="81">
        <f t="shared" si="117"/>
        <v>0</v>
      </c>
      <c r="U315" s="81">
        <f t="shared" si="117"/>
        <v>0</v>
      </c>
      <c r="V315" s="81">
        <f t="shared" si="118"/>
        <v>0</v>
      </c>
      <c r="W315" s="81">
        <f t="shared" si="118"/>
        <v>0</v>
      </c>
      <c r="X315" s="81">
        <f t="shared" si="118"/>
        <v>0</v>
      </c>
      <c r="Y315" s="81">
        <f t="shared" si="118"/>
        <v>0</v>
      </c>
      <c r="Z315" s="81">
        <f t="shared" si="118"/>
        <v>0</v>
      </c>
      <c r="AA315" s="81">
        <f t="shared" si="118"/>
        <v>0</v>
      </c>
      <c r="AB315" s="81">
        <f t="shared" si="118"/>
        <v>0</v>
      </c>
      <c r="AC315" s="81">
        <f t="shared" si="118"/>
        <v>0</v>
      </c>
      <c r="AD315" s="81">
        <f t="shared" si="118"/>
        <v>0</v>
      </c>
      <c r="AE315" s="81">
        <f t="shared" si="118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116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117"/>
        <v>0</v>
      </c>
      <c r="M316" s="81">
        <f t="shared" si="117"/>
        <v>0</v>
      </c>
      <c r="N316" s="81">
        <f t="shared" si="117"/>
        <v>0</v>
      </c>
      <c r="O316" s="81">
        <f t="shared" si="117"/>
        <v>0</v>
      </c>
      <c r="P316" s="81">
        <f t="shared" si="117"/>
        <v>0</v>
      </c>
      <c r="Q316" s="81">
        <f t="shared" si="117"/>
        <v>0</v>
      </c>
      <c r="R316" s="81">
        <f t="shared" si="117"/>
        <v>0</v>
      </c>
      <c r="S316" s="81">
        <f t="shared" si="117"/>
        <v>0</v>
      </c>
      <c r="T316" s="81">
        <f t="shared" si="117"/>
        <v>0</v>
      </c>
      <c r="U316" s="81">
        <f t="shared" si="117"/>
        <v>0</v>
      </c>
      <c r="V316" s="81">
        <f t="shared" si="118"/>
        <v>0</v>
      </c>
      <c r="W316" s="81">
        <f t="shared" si="118"/>
        <v>0</v>
      </c>
      <c r="X316" s="81">
        <f t="shared" si="118"/>
        <v>0</v>
      </c>
      <c r="Y316" s="81">
        <f t="shared" si="118"/>
        <v>0</v>
      </c>
      <c r="Z316" s="81">
        <f t="shared" si="118"/>
        <v>0</v>
      </c>
      <c r="AA316" s="81">
        <f t="shared" si="118"/>
        <v>0</v>
      </c>
      <c r="AB316" s="81">
        <f t="shared" si="118"/>
        <v>0</v>
      </c>
      <c r="AC316" s="81">
        <f t="shared" si="118"/>
        <v>0</v>
      </c>
      <c r="AD316" s="81">
        <f t="shared" si="118"/>
        <v>0</v>
      </c>
      <c r="AE316" s="81">
        <f t="shared" si="118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116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117"/>
        <v>0</v>
      </c>
      <c r="M317" s="81">
        <f t="shared" si="117"/>
        <v>0</v>
      </c>
      <c r="N317" s="81">
        <f t="shared" si="117"/>
        <v>0</v>
      </c>
      <c r="O317" s="81">
        <f t="shared" si="117"/>
        <v>0</v>
      </c>
      <c r="P317" s="81">
        <f t="shared" si="117"/>
        <v>0</v>
      </c>
      <c r="Q317" s="81">
        <f t="shared" si="117"/>
        <v>0</v>
      </c>
      <c r="R317" s="81">
        <f t="shared" si="117"/>
        <v>0</v>
      </c>
      <c r="S317" s="81">
        <f t="shared" si="117"/>
        <v>0</v>
      </c>
      <c r="T317" s="81">
        <f t="shared" si="117"/>
        <v>0</v>
      </c>
      <c r="U317" s="81">
        <f t="shared" si="117"/>
        <v>0</v>
      </c>
      <c r="V317" s="81">
        <f t="shared" si="118"/>
        <v>0</v>
      </c>
      <c r="W317" s="81">
        <f t="shared" si="118"/>
        <v>0</v>
      </c>
      <c r="X317" s="81">
        <f t="shared" si="118"/>
        <v>0</v>
      </c>
      <c r="Y317" s="81">
        <f t="shared" si="118"/>
        <v>0</v>
      </c>
      <c r="Z317" s="81">
        <f t="shared" si="118"/>
        <v>0</v>
      </c>
      <c r="AA317" s="81">
        <f t="shared" si="118"/>
        <v>0</v>
      </c>
      <c r="AB317" s="81">
        <f t="shared" si="118"/>
        <v>0</v>
      </c>
      <c r="AC317" s="81">
        <f t="shared" si="118"/>
        <v>0</v>
      </c>
      <c r="AD317" s="81">
        <f t="shared" si="118"/>
        <v>0</v>
      </c>
      <c r="AE317" s="81">
        <f t="shared" si="118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52"/>
      <c r="E318" s="70"/>
      <c r="F318" s="70"/>
      <c r="G318" s="70"/>
      <c r="H318" s="70"/>
      <c r="I318" s="70"/>
      <c r="J318" s="70"/>
      <c r="K318" s="72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</row>
    <row r="319" spans="1:35" x14ac:dyDescent="0.45">
      <c r="A319" s="70"/>
      <c r="B319" s="52"/>
      <c r="C319" s="73" t="s">
        <v>1479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19">L309</f>
        <v>2022</v>
      </c>
      <c r="M319" s="74">
        <f t="shared" si="119"/>
        <v>2023</v>
      </c>
      <c r="N319" s="74">
        <f t="shared" si="119"/>
        <v>2024</v>
      </c>
      <c r="O319" s="74">
        <f t="shared" si="119"/>
        <v>2025</v>
      </c>
      <c r="P319" s="74">
        <f t="shared" si="119"/>
        <v>2026</v>
      </c>
      <c r="Q319" s="74">
        <f t="shared" si="119"/>
        <v>2027</v>
      </c>
      <c r="R319" s="74">
        <f t="shared" si="119"/>
        <v>2028</v>
      </c>
      <c r="S319" s="74">
        <f t="shared" si="119"/>
        <v>2029</v>
      </c>
      <c r="T319" s="74">
        <f t="shared" si="119"/>
        <v>2030</v>
      </c>
      <c r="U319" s="74">
        <f t="shared" si="119"/>
        <v>2031</v>
      </c>
      <c r="V319" s="74">
        <f t="shared" si="119"/>
        <v>2032</v>
      </c>
      <c r="W319" s="74">
        <f t="shared" si="119"/>
        <v>2033</v>
      </c>
      <c r="X319" s="74">
        <f t="shared" si="119"/>
        <v>2034</v>
      </c>
      <c r="Y319" s="74">
        <f t="shared" si="119"/>
        <v>2035</v>
      </c>
      <c r="Z319" s="74">
        <f t="shared" si="119"/>
        <v>2036</v>
      </c>
      <c r="AA319" s="74">
        <f t="shared" si="119"/>
        <v>2037</v>
      </c>
      <c r="AB319" s="74">
        <f t="shared" si="119"/>
        <v>2038</v>
      </c>
      <c r="AC319" s="74">
        <f t="shared" si="119"/>
        <v>2039</v>
      </c>
      <c r="AD319" s="74">
        <f t="shared" si="119"/>
        <v>2040</v>
      </c>
      <c r="AE319" s="74">
        <f t="shared" si="119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 t="shared" ref="L320:AE320" si="120">(L310+L299)/L288</f>
        <v>0</v>
      </c>
      <c r="M320" s="78">
        <f t="shared" si="120"/>
        <v>0</v>
      </c>
      <c r="N320" s="78">
        <f t="shared" si="120"/>
        <v>0</v>
      </c>
      <c r="O320" s="78">
        <f t="shared" si="120"/>
        <v>0</v>
      </c>
      <c r="P320" s="78">
        <f t="shared" si="120"/>
        <v>0</v>
      </c>
      <c r="Q320" s="78">
        <f t="shared" si="120"/>
        <v>0</v>
      </c>
      <c r="R320" s="78">
        <f t="shared" si="120"/>
        <v>0</v>
      </c>
      <c r="S320" s="78">
        <f t="shared" si="120"/>
        <v>0</v>
      </c>
      <c r="T320" s="78">
        <f t="shared" si="120"/>
        <v>0</v>
      </c>
      <c r="U320" s="78">
        <f t="shared" si="120"/>
        <v>0</v>
      </c>
      <c r="V320" s="78">
        <f t="shared" si="120"/>
        <v>0</v>
      </c>
      <c r="W320" s="78">
        <f t="shared" si="120"/>
        <v>0</v>
      </c>
      <c r="X320" s="78">
        <f t="shared" si="120"/>
        <v>0</v>
      </c>
      <c r="Y320" s="78">
        <f t="shared" si="120"/>
        <v>0</v>
      </c>
      <c r="Z320" s="78">
        <f t="shared" si="120"/>
        <v>0</v>
      </c>
      <c r="AA320" s="78">
        <f t="shared" si="120"/>
        <v>0</v>
      </c>
      <c r="AB320" s="78">
        <f t="shared" si="120"/>
        <v>0</v>
      </c>
      <c r="AC320" s="78">
        <f t="shared" si="120"/>
        <v>0</v>
      </c>
      <c r="AD320" s="78">
        <f t="shared" si="120"/>
        <v>0</v>
      </c>
      <c r="AE320" s="78">
        <f t="shared" si="120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 t="shared" ref="L321:AE321" si="121">(L311+L300)/L289</f>
        <v>0</v>
      </c>
      <c r="M321" s="78">
        <f t="shared" si="121"/>
        <v>0</v>
      </c>
      <c r="N321" s="78">
        <f t="shared" si="121"/>
        <v>0</v>
      </c>
      <c r="O321" s="78">
        <f t="shared" si="121"/>
        <v>0</v>
      </c>
      <c r="P321" s="78">
        <f t="shared" si="121"/>
        <v>0</v>
      </c>
      <c r="Q321" s="78">
        <f t="shared" si="121"/>
        <v>0</v>
      </c>
      <c r="R321" s="78">
        <f t="shared" si="121"/>
        <v>0</v>
      </c>
      <c r="S321" s="78">
        <f t="shared" si="121"/>
        <v>0</v>
      </c>
      <c r="T321" s="78">
        <f t="shared" si="121"/>
        <v>0</v>
      </c>
      <c r="U321" s="78">
        <f t="shared" si="121"/>
        <v>0</v>
      </c>
      <c r="V321" s="78">
        <f t="shared" si="121"/>
        <v>0</v>
      </c>
      <c r="W321" s="78">
        <f t="shared" si="121"/>
        <v>0</v>
      </c>
      <c r="X321" s="78">
        <f t="shared" si="121"/>
        <v>0</v>
      </c>
      <c r="Y321" s="78">
        <f t="shared" si="121"/>
        <v>0</v>
      </c>
      <c r="Z321" s="78">
        <f t="shared" si="121"/>
        <v>0</v>
      </c>
      <c r="AA321" s="78">
        <f t="shared" si="121"/>
        <v>0</v>
      </c>
      <c r="AB321" s="78">
        <f t="shared" si="121"/>
        <v>0</v>
      </c>
      <c r="AC321" s="78">
        <f t="shared" si="121"/>
        <v>0</v>
      </c>
      <c r="AD321" s="78">
        <f t="shared" si="121"/>
        <v>0</v>
      </c>
      <c r="AE321" s="78">
        <f t="shared" si="121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 t="shared" ref="L322:AE322" si="122">(L312+L301)/L290</f>
        <v>0</v>
      </c>
      <c r="M322" s="78">
        <f t="shared" si="122"/>
        <v>0</v>
      </c>
      <c r="N322" s="78">
        <f t="shared" si="122"/>
        <v>0</v>
      </c>
      <c r="O322" s="78">
        <f t="shared" si="122"/>
        <v>0</v>
      </c>
      <c r="P322" s="78">
        <f t="shared" si="122"/>
        <v>0</v>
      </c>
      <c r="Q322" s="78">
        <f t="shared" si="122"/>
        <v>0</v>
      </c>
      <c r="R322" s="78">
        <f t="shared" si="122"/>
        <v>0</v>
      </c>
      <c r="S322" s="78">
        <f t="shared" si="122"/>
        <v>0</v>
      </c>
      <c r="T322" s="78">
        <f t="shared" si="122"/>
        <v>0</v>
      </c>
      <c r="U322" s="78">
        <f t="shared" si="122"/>
        <v>0</v>
      </c>
      <c r="V322" s="78">
        <f t="shared" si="122"/>
        <v>0</v>
      </c>
      <c r="W322" s="78">
        <f t="shared" si="122"/>
        <v>0</v>
      </c>
      <c r="X322" s="78">
        <f t="shared" si="122"/>
        <v>0</v>
      </c>
      <c r="Y322" s="78">
        <f t="shared" si="122"/>
        <v>0</v>
      </c>
      <c r="Z322" s="78">
        <f t="shared" si="122"/>
        <v>0</v>
      </c>
      <c r="AA322" s="78">
        <f t="shared" si="122"/>
        <v>0</v>
      </c>
      <c r="AB322" s="78">
        <f t="shared" si="122"/>
        <v>0</v>
      </c>
      <c r="AC322" s="78">
        <f t="shared" si="122"/>
        <v>0</v>
      </c>
      <c r="AD322" s="78">
        <f t="shared" si="122"/>
        <v>0</v>
      </c>
      <c r="AE322" s="78">
        <f t="shared" si="122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 t="shared" ref="L323:AE323" si="123">(L313+L302)/L291</f>
        <v>0</v>
      </c>
      <c r="M323" s="78">
        <f t="shared" si="123"/>
        <v>0</v>
      </c>
      <c r="N323" s="78">
        <f t="shared" si="123"/>
        <v>0</v>
      </c>
      <c r="O323" s="78">
        <f t="shared" si="123"/>
        <v>0</v>
      </c>
      <c r="P323" s="78">
        <f t="shared" si="123"/>
        <v>0</v>
      </c>
      <c r="Q323" s="78">
        <f t="shared" si="123"/>
        <v>0</v>
      </c>
      <c r="R323" s="78">
        <f t="shared" si="123"/>
        <v>0</v>
      </c>
      <c r="S323" s="78">
        <f t="shared" si="123"/>
        <v>0</v>
      </c>
      <c r="T323" s="78">
        <f t="shared" si="123"/>
        <v>0</v>
      </c>
      <c r="U323" s="78">
        <f t="shared" si="123"/>
        <v>0</v>
      </c>
      <c r="V323" s="78">
        <f t="shared" si="123"/>
        <v>0</v>
      </c>
      <c r="W323" s="78">
        <f t="shared" si="123"/>
        <v>0</v>
      </c>
      <c r="X323" s="78">
        <f t="shared" si="123"/>
        <v>0</v>
      </c>
      <c r="Y323" s="78">
        <f t="shared" si="123"/>
        <v>0</v>
      </c>
      <c r="Z323" s="78">
        <f t="shared" si="123"/>
        <v>0</v>
      </c>
      <c r="AA323" s="78">
        <f t="shared" si="123"/>
        <v>0</v>
      </c>
      <c r="AB323" s="78">
        <f t="shared" si="123"/>
        <v>0</v>
      </c>
      <c r="AC323" s="78">
        <f t="shared" si="123"/>
        <v>0</v>
      </c>
      <c r="AD323" s="78">
        <f t="shared" si="123"/>
        <v>0</v>
      </c>
      <c r="AE323" s="78">
        <f t="shared" si="123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 t="shared" ref="L324:AE324" si="124">(L314+L303)/L292</f>
        <v>0</v>
      </c>
      <c r="M324" s="78">
        <f t="shared" si="124"/>
        <v>0</v>
      </c>
      <c r="N324" s="78">
        <f t="shared" si="124"/>
        <v>0</v>
      </c>
      <c r="O324" s="78">
        <f t="shared" si="124"/>
        <v>0</v>
      </c>
      <c r="P324" s="78">
        <f t="shared" si="124"/>
        <v>0</v>
      </c>
      <c r="Q324" s="78">
        <f t="shared" si="124"/>
        <v>0</v>
      </c>
      <c r="R324" s="78">
        <f t="shared" si="124"/>
        <v>0</v>
      </c>
      <c r="S324" s="78">
        <f t="shared" si="124"/>
        <v>0</v>
      </c>
      <c r="T324" s="78">
        <f t="shared" si="124"/>
        <v>0</v>
      </c>
      <c r="U324" s="78">
        <f t="shared" si="124"/>
        <v>0</v>
      </c>
      <c r="V324" s="78">
        <f t="shared" si="124"/>
        <v>0</v>
      </c>
      <c r="W324" s="78">
        <f t="shared" si="124"/>
        <v>0</v>
      </c>
      <c r="X324" s="78">
        <f t="shared" si="124"/>
        <v>0</v>
      </c>
      <c r="Y324" s="78">
        <f t="shared" si="124"/>
        <v>0</v>
      </c>
      <c r="Z324" s="78">
        <f t="shared" si="124"/>
        <v>0</v>
      </c>
      <c r="AA324" s="78">
        <f t="shared" si="124"/>
        <v>0</v>
      </c>
      <c r="AB324" s="78">
        <f t="shared" si="124"/>
        <v>0</v>
      </c>
      <c r="AC324" s="78">
        <f t="shared" si="124"/>
        <v>0</v>
      </c>
      <c r="AD324" s="78">
        <f t="shared" si="124"/>
        <v>0</v>
      </c>
      <c r="AE324" s="78">
        <f t="shared" si="124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 t="shared" ref="L325:AE325" si="125">(L315+L304)/L293</f>
        <v>0</v>
      </c>
      <c r="M325" s="78">
        <f t="shared" si="125"/>
        <v>0</v>
      </c>
      <c r="N325" s="78">
        <f t="shared" si="125"/>
        <v>0</v>
      </c>
      <c r="O325" s="78">
        <f t="shared" si="125"/>
        <v>0</v>
      </c>
      <c r="P325" s="78">
        <f t="shared" si="125"/>
        <v>0</v>
      </c>
      <c r="Q325" s="78">
        <f t="shared" si="125"/>
        <v>0</v>
      </c>
      <c r="R325" s="78">
        <f t="shared" si="125"/>
        <v>0</v>
      </c>
      <c r="S325" s="78">
        <f t="shared" si="125"/>
        <v>0</v>
      </c>
      <c r="T325" s="78">
        <f t="shared" si="125"/>
        <v>0</v>
      </c>
      <c r="U325" s="78">
        <f t="shared" si="125"/>
        <v>0</v>
      </c>
      <c r="V325" s="78">
        <f t="shared" si="125"/>
        <v>0</v>
      </c>
      <c r="W325" s="78">
        <f t="shared" si="125"/>
        <v>0</v>
      </c>
      <c r="X325" s="78">
        <f t="shared" si="125"/>
        <v>0</v>
      </c>
      <c r="Y325" s="78">
        <f t="shared" si="125"/>
        <v>0</v>
      </c>
      <c r="Z325" s="78">
        <f t="shared" si="125"/>
        <v>0</v>
      </c>
      <c r="AA325" s="78">
        <f t="shared" si="125"/>
        <v>0</v>
      </c>
      <c r="AB325" s="78">
        <f t="shared" si="125"/>
        <v>0</v>
      </c>
      <c r="AC325" s="78">
        <f t="shared" si="125"/>
        <v>0</v>
      </c>
      <c r="AD325" s="78">
        <f t="shared" si="125"/>
        <v>0</v>
      </c>
      <c r="AE325" s="78">
        <f t="shared" si="125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 t="shared" ref="L326:AE326" si="126">(L316+L305)/L294</f>
        <v>0</v>
      </c>
      <c r="M326" s="78">
        <f t="shared" si="126"/>
        <v>0</v>
      </c>
      <c r="N326" s="78">
        <f t="shared" si="126"/>
        <v>0</v>
      </c>
      <c r="O326" s="78">
        <f t="shared" si="126"/>
        <v>0</v>
      </c>
      <c r="P326" s="78">
        <f t="shared" si="126"/>
        <v>0</v>
      </c>
      <c r="Q326" s="78">
        <f t="shared" si="126"/>
        <v>0</v>
      </c>
      <c r="R326" s="78">
        <f t="shared" si="126"/>
        <v>0</v>
      </c>
      <c r="S326" s="78">
        <f t="shared" si="126"/>
        <v>0</v>
      </c>
      <c r="T326" s="78">
        <f t="shared" si="126"/>
        <v>0</v>
      </c>
      <c r="U326" s="78">
        <f t="shared" si="126"/>
        <v>0</v>
      </c>
      <c r="V326" s="78">
        <f t="shared" si="126"/>
        <v>0</v>
      </c>
      <c r="W326" s="78">
        <f t="shared" si="126"/>
        <v>0</v>
      </c>
      <c r="X326" s="78">
        <f t="shared" si="126"/>
        <v>0</v>
      </c>
      <c r="Y326" s="78">
        <f t="shared" si="126"/>
        <v>0</v>
      </c>
      <c r="Z326" s="78">
        <f t="shared" si="126"/>
        <v>0</v>
      </c>
      <c r="AA326" s="78">
        <f t="shared" si="126"/>
        <v>0</v>
      </c>
      <c r="AB326" s="78">
        <f t="shared" si="126"/>
        <v>0</v>
      </c>
      <c r="AC326" s="78">
        <f t="shared" si="126"/>
        <v>0</v>
      </c>
      <c r="AD326" s="78">
        <f t="shared" si="126"/>
        <v>0</v>
      </c>
      <c r="AE326" s="78">
        <f t="shared" si="126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 t="shared" ref="L327:AE327" si="127">(L317+L306)/L295</f>
        <v>0</v>
      </c>
      <c r="M327" s="78">
        <f t="shared" si="127"/>
        <v>0</v>
      </c>
      <c r="N327" s="78">
        <f t="shared" si="127"/>
        <v>0</v>
      </c>
      <c r="O327" s="78">
        <f t="shared" si="127"/>
        <v>0</v>
      </c>
      <c r="P327" s="78">
        <f t="shared" si="127"/>
        <v>0</v>
      </c>
      <c r="Q327" s="78">
        <f t="shared" si="127"/>
        <v>0</v>
      </c>
      <c r="R327" s="78">
        <f t="shared" si="127"/>
        <v>0</v>
      </c>
      <c r="S327" s="78">
        <f t="shared" si="127"/>
        <v>0</v>
      </c>
      <c r="T327" s="78">
        <f t="shared" si="127"/>
        <v>0</v>
      </c>
      <c r="U327" s="78">
        <f t="shared" si="127"/>
        <v>0</v>
      </c>
      <c r="V327" s="78">
        <f t="shared" si="127"/>
        <v>0</v>
      </c>
      <c r="W327" s="78">
        <f t="shared" si="127"/>
        <v>0</v>
      </c>
      <c r="X327" s="78">
        <f t="shared" si="127"/>
        <v>0</v>
      </c>
      <c r="Y327" s="78">
        <f t="shared" si="127"/>
        <v>0</v>
      </c>
      <c r="Z327" s="78">
        <f t="shared" si="127"/>
        <v>0</v>
      </c>
      <c r="AA327" s="78">
        <f t="shared" si="127"/>
        <v>0</v>
      </c>
      <c r="AB327" s="78">
        <f t="shared" si="127"/>
        <v>0</v>
      </c>
      <c r="AC327" s="78">
        <f t="shared" si="127"/>
        <v>0</v>
      </c>
      <c r="AD327" s="78">
        <f t="shared" si="127"/>
        <v>0</v>
      </c>
      <c r="AE327" s="78">
        <f t="shared" si="127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52"/>
      <c r="E328" s="70"/>
      <c r="F328" s="70"/>
      <c r="G328" s="70"/>
      <c r="H328" s="70"/>
      <c r="I328" s="70"/>
      <c r="J328" s="70"/>
      <c r="K328" s="72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</row>
    <row r="329" spans="1:35" x14ac:dyDescent="0.45">
      <c r="A329" s="71"/>
      <c r="B329" s="52"/>
      <c r="C329" s="73" t="s">
        <v>1480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1903</v>
      </c>
      <c r="J329" s="72" t="s">
        <v>1904</v>
      </c>
      <c r="K329" s="72"/>
      <c r="L329" s="74">
        <f t="shared" ref="L329:AE329" si="128">L340</f>
        <v>2022</v>
      </c>
      <c r="M329" s="74">
        <f t="shared" si="128"/>
        <v>2023</v>
      </c>
      <c r="N329" s="74">
        <f t="shared" si="128"/>
        <v>2024</v>
      </c>
      <c r="O329" s="74">
        <f t="shared" si="128"/>
        <v>2025</v>
      </c>
      <c r="P329" s="74">
        <f t="shared" si="128"/>
        <v>2026</v>
      </c>
      <c r="Q329" s="74">
        <f t="shared" si="128"/>
        <v>2027</v>
      </c>
      <c r="R329" s="74">
        <f t="shared" si="128"/>
        <v>2028</v>
      </c>
      <c r="S329" s="74">
        <f t="shared" si="128"/>
        <v>2029</v>
      </c>
      <c r="T329" s="74">
        <f t="shared" si="128"/>
        <v>2030</v>
      </c>
      <c r="U329" s="74">
        <f t="shared" si="128"/>
        <v>2031</v>
      </c>
      <c r="V329" s="74">
        <f t="shared" si="128"/>
        <v>2032</v>
      </c>
      <c r="W329" s="74">
        <f t="shared" si="128"/>
        <v>2033</v>
      </c>
      <c r="X329" s="74">
        <f t="shared" si="128"/>
        <v>2034</v>
      </c>
      <c r="Y329" s="74">
        <f t="shared" si="128"/>
        <v>2035</v>
      </c>
      <c r="Z329" s="74">
        <f t="shared" si="128"/>
        <v>2036</v>
      </c>
      <c r="AA329" s="74">
        <f t="shared" si="128"/>
        <v>2037</v>
      </c>
      <c r="AB329" s="74">
        <f t="shared" si="128"/>
        <v>2038</v>
      </c>
      <c r="AC329" s="74">
        <f t="shared" si="128"/>
        <v>2039</v>
      </c>
      <c r="AD329" s="74">
        <f t="shared" si="128"/>
        <v>2040</v>
      </c>
      <c r="AE329" s="74">
        <f t="shared" si="128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129">H264+I264</f>
        <v>0.69003000000000003</v>
      </c>
      <c r="G330" s="72">
        <f t="shared" ref="G330:G337" si="130">MAX($J264,0)+MAX($K264,0)</f>
        <v>0.04</v>
      </c>
      <c r="H330" s="72">
        <f t="shared" ref="H330:H337" si="131">G330/F330</f>
        <v>5.7968494123443903E-2</v>
      </c>
      <c r="I330" s="100">
        <f t="shared" ref="I330:I337" si="132">IF($F330=0,0,$E299/$F330)</f>
        <v>1</v>
      </c>
      <c r="J330" s="100">
        <f t="shared" ref="J330:J337" si="133">IF($G330=0,0,$E310/$G330)</f>
        <v>1</v>
      </c>
      <c r="K330" s="72"/>
      <c r="L330" s="72">
        <f t="shared" ref="L330:AE330" si="134">L276*$F330/1000</f>
        <v>3.2287703131193024</v>
      </c>
      <c r="M330" s="72">
        <f t="shared" si="134"/>
        <v>3.3708362068965516</v>
      </c>
      <c r="N330" s="72">
        <f t="shared" si="134"/>
        <v>3.5191530000000002</v>
      </c>
      <c r="O330" s="72">
        <f t="shared" si="134"/>
        <v>3.6739957320000007</v>
      </c>
      <c r="P330" s="72">
        <f t="shared" si="134"/>
        <v>3.8356515442080008</v>
      </c>
      <c r="Q330" s="72">
        <f t="shared" si="134"/>
        <v>4.0044202121531534</v>
      </c>
      <c r="R330" s="72">
        <f t="shared" si="134"/>
        <v>4.1806147014878912</v>
      </c>
      <c r="S330" s="72">
        <f t="shared" si="134"/>
        <v>4.3645617483533599</v>
      </c>
      <c r="T330" s="72">
        <f t="shared" si="134"/>
        <v>4.556602465280907</v>
      </c>
      <c r="U330" s="72">
        <f t="shared" si="134"/>
        <v>4.7570929737532675</v>
      </c>
      <c r="V330" s="72">
        <f t="shared" si="134"/>
        <v>4.9664050645984119</v>
      </c>
      <c r="W330" s="72">
        <f t="shared" si="134"/>
        <v>5.1849268874407413</v>
      </c>
      <c r="X330" s="72">
        <f t="shared" si="134"/>
        <v>5.4130636704881345</v>
      </c>
      <c r="Y330" s="72">
        <f t="shared" si="134"/>
        <v>5.6512384719896129</v>
      </c>
      <c r="Z330" s="72">
        <f t="shared" si="134"/>
        <v>5.8998929647571554</v>
      </c>
      <c r="AA330" s="72">
        <f t="shared" si="134"/>
        <v>6.1594882552064707</v>
      </c>
      <c r="AB330" s="72">
        <f t="shared" si="134"/>
        <v>6.4305057384355555</v>
      </c>
      <c r="AC330" s="72">
        <f t="shared" si="134"/>
        <v>6.7134479909267206</v>
      </c>
      <c r="AD330" s="72">
        <f t="shared" si="134"/>
        <v>7.0088397025274967</v>
      </c>
      <c r="AE330" s="72">
        <f t="shared" si="134"/>
        <v>7.3172286494387055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129"/>
        <v>0.14025000000000001</v>
      </c>
      <c r="G331" s="72">
        <f t="shared" si="130"/>
        <v>1.4999999999999999E-2</v>
      </c>
      <c r="H331" s="72">
        <f t="shared" si="131"/>
        <v>0.10695187165775399</v>
      </c>
      <c r="I331" s="100">
        <f t="shared" si="132"/>
        <v>1</v>
      </c>
      <c r="J331" s="100">
        <f t="shared" si="133"/>
        <v>1</v>
      </c>
      <c r="K331" s="72"/>
      <c r="L331" s="72">
        <f t="shared" ref="L331:AE331" si="135">L277*$F331/1000</f>
        <v>0.61765094464262127</v>
      </c>
      <c r="M331" s="72">
        <f t="shared" si="135"/>
        <v>0.64482758620689662</v>
      </c>
      <c r="N331" s="72">
        <f t="shared" si="135"/>
        <v>0.67320000000000002</v>
      </c>
      <c r="O331" s="72">
        <f t="shared" si="135"/>
        <v>0.70282080000000002</v>
      </c>
      <c r="P331" s="72">
        <f t="shared" si="135"/>
        <v>0.73374491520000007</v>
      </c>
      <c r="Q331" s="72">
        <f t="shared" si="135"/>
        <v>0.76602969146880007</v>
      </c>
      <c r="R331" s="72">
        <f t="shared" si="135"/>
        <v>0.79973499789342728</v>
      </c>
      <c r="S331" s="72">
        <f t="shared" si="135"/>
        <v>0.83492333780073813</v>
      </c>
      <c r="T331" s="72">
        <f t="shared" si="135"/>
        <v>0.87165996466397067</v>
      </c>
      <c r="U331" s="72">
        <f t="shared" si="135"/>
        <v>0.91001300310918543</v>
      </c>
      <c r="V331" s="72">
        <f t="shared" si="135"/>
        <v>0.95005357524598955</v>
      </c>
      <c r="W331" s="72">
        <f t="shared" si="135"/>
        <v>0.99185593255681304</v>
      </c>
      <c r="X331" s="72">
        <f t="shared" si="135"/>
        <v>1.0354975935893131</v>
      </c>
      <c r="Y331" s="72">
        <f t="shared" si="135"/>
        <v>1.0810594877072426</v>
      </c>
      <c r="Z331" s="72">
        <f t="shared" si="135"/>
        <v>1.1286261051663613</v>
      </c>
      <c r="AA331" s="72">
        <f t="shared" si="135"/>
        <v>1.1782856537936812</v>
      </c>
      <c r="AB331" s="72">
        <f t="shared" si="135"/>
        <v>1.2301302225606032</v>
      </c>
      <c r="AC331" s="72">
        <f t="shared" si="135"/>
        <v>1.2842559523532697</v>
      </c>
      <c r="AD331" s="72">
        <f t="shared" si="135"/>
        <v>1.3407632142568136</v>
      </c>
      <c r="AE331" s="72">
        <f t="shared" si="135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129"/>
        <v>1.9220000000000002</v>
      </c>
      <c r="G332" s="72">
        <f t="shared" si="130"/>
        <v>0.25</v>
      </c>
      <c r="H332" s="72">
        <f t="shared" si="131"/>
        <v>0.13007284079084286</v>
      </c>
      <c r="I332" s="100">
        <f t="shared" si="132"/>
        <v>1</v>
      </c>
      <c r="J332" s="100">
        <f t="shared" si="133"/>
        <v>1</v>
      </c>
      <c r="K332" s="72"/>
      <c r="L332" s="72">
        <f t="shared" ref="L332:AE332" si="136">L278*$F332/1000</f>
        <v>0</v>
      </c>
      <c r="M332" s="72">
        <f t="shared" si="136"/>
        <v>0</v>
      </c>
      <c r="N332" s="72">
        <f t="shared" si="136"/>
        <v>0</v>
      </c>
      <c r="O332" s="72">
        <f t="shared" si="136"/>
        <v>0</v>
      </c>
      <c r="P332" s="72">
        <f t="shared" si="136"/>
        <v>0</v>
      </c>
      <c r="Q332" s="72">
        <f t="shared" si="136"/>
        <v>0</v>
      </c>
      <c r="R332" s="72">
        <f t="shared" si="136"/>
        <v>0</v>
      </c>
      <c r="S332" s="72">
        <f t="shared" si="136"/>
        <v>0</v>
      </c>
      <c r="T332" s="72">
        <f t="shared" si="136"/>
        <v>0</v>
      </c>
      <c r="U332" s="72">
        <f t="shared" si="136"/>
        <v>0</v>
      </c>
      <c r="V332" s="72">
        <f t="shared" si="136"/>
        <v>0</v>
      </c>
      <c r="W332" s="72">
        <f t="shared" si="136"/>
        <v>0</v>
      </c>
      <c r="X332" s="72">
        <f t="shared" si="136"/>
        <v>0</v>
      </c>
      <c r="Y332" s="72">
        <f t="shared" si="136"/>
        <v>0</v>
      </c>
      <c r="Z332" s="72">
        <f t="shared" si="136"/>
        <v>0</v>
      </c>
      <c r="AA332" s="72">
        <f t="shared" si="136"/>
        <v>0</v>
      </c>
      <c r="AB332" s="72">
        <f t="shared" si="136"/>
        <v>0</v>
      </c>
      <c r="AC332" s="72">
        <f t="shared" si="136"/>
        <v>0</v>
      </c>
      <c r="AD332" s="72">
        <f t="shared" si="136"/>
        <v>0</v>
      </c>
      <c r="AE332" s="72">
        <f t="shared" si="136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129"/>
        <v>0.2883</v>
      </c>
      <c r="G333" s="72">
        <f t="shared" si="130"/>
        <v>0.52600000000000002</v>
      </c>
      <c r="H333" s="72">
        <f t="shared" si="131"/>
        <v>1.8244883801595562</v>
      </c>
      <c r="I333" s="100">
        <f t="shared" si="132"/>
        <v>1</v>
      </c>
      <c r="J333" s="100">
        <f t="shared" si="133"/>
        <v>1</v>
      </c>
      <c r="K333" s="72"/>
      <c r="L333" s="72">
        <f t="shared" ref="L333:AE333" si="137">L279*$F333/1000</f>
        <v>13.508713893592759</v>
      </c>
      <c r="M333" s="72">
        <f t="shared" si="137"/>
        <v>13.954501452081319</v>
      </c>
      <c r="N333" s="72">
        <f t="shared" si="137"/>
        <v>14.414999999999999</v>
      </c>
      <c r="O333" s="72">
        <f t="shared" si="137"/>
        <v>14.890694999999997</v>
      </c>
      <c r="P333" s="72">
        <f t="shared" si="137"/>
        <v>15.382087934999998</v>
      </c>
      <c r="Q333" s="72">
        <f t="shared" si="137"/>
        <v>15.889696836854995</v>
      </c>
      <c r="R333" s="72">
        <f t="shared" si="137"/>
        <v>16.414056832471207</v>
      </c>
      <c r="S333" s="72">
        <f t="shared" si="137"/>
        <v>16.955720707942756</v>
      </c>
      <c r="T333" s="72">
        <f t="shared" si="137"/>
        <v>17.515259491304867</v>
      </c>
      <c r="U333" s="72">
        <f t="shared" si="137"/>
        <v>18.093263054517926</v>
      </c>
      <c r="V333" s="72">
        <f t="shared" si="137"/>
        <v>18.690340735317015</v>
      </c>
      <c r="W333" s="72">
        <f t="shared" si="137"/>
        <v>19.307121979582476</v>
      </c>
      <c r="X333" s="72">
        <f t="shared" si="137"/>
        <v>19.944257004908696</v>
      </c>
      <c r="Y333" s="72">
        <f t="shared" si="137"/>
        <v>20.602417486070681</v>
      </c>
      <c r="Z333" s="72">
        <f t="shared" si="137"/>
        <v>21.282297263111012</v>
      </c>
      <c r="AA333" s="72">
        <f t="shared" si="137"/>
        <v>21.984613072793675</v>
      </c>
      <c r="AB333" s="72">
        <f t="shared" si="137"/>
        <v>22.710105304195867</v>
      </c>
      <c r="AC333" s="72">
        <f t="shared" si="137"/>
        <v>23.459538779234329</v>
      </c>
      <c r="AD333" s="72">
        <f t="shared" si="137"/>
        <v>24.23370355894906</v>
      </c>
      <c r="AE333" s="72">
        <f t="shared" si="137"/>
        <v>25.033415776394378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129"/>
        <v>1.8512999999999999</v>
      </c>
      <c r="G334" s="72">
        <f t="shared" si="130"/>
        <v>0</v>
      </c>
      <c r="H334" s="72">
        <f t="shared" si="131"/>
        <v>0</v>
      </c>
      <c r="I334" s="100">
        <f t="shared" si="132"/>
        <v>1</v>
      </c>
      <c r="J334" s="100">
        <f t="shared" si="133"/>
        <v>0</v>
      </c>
      <c r="K334" s="72"/>
      <c r="L334" s="72">
        <f t="shared" ref="L334:AE334" si="138">L280*$F334/1000</f>
        <v>3.1638306570517116</v>
      </c>
      <c r="M334" s="72">
        <f t="shared" si="138"/>
        <v>3.2334349315068494</v>
      </c>
      <c r="N334" s="72">
        <f t="shared" si="138"/>
        <v>3.3045704999999996</v>
      </c>
      <c r="O334" s="72">
        <f t="shared" si="138"/>
        <v>3.3772710509999997</v>
      </c>
      <c r="P334" s="72">
        <f t="shared" si="138"/>
        <v>3.4515710141219995</v>
      </c>
      <c r="Q334" s="72">
        <f t="shared" si="138"/>
        <v>3.5275055764326835</v>
      </c>
      <c r="R334" s="72">
        <f t="shared" si="138"/>
        <v>3.6051106991142028</v>
      </c>
      <c r="S334" s="72">
        <f t="shared" si="138"/>
        <v>3.6844231344947151</v>
      </c>
      <c r="T334" s="72">
        <f t="shared" si="138"/>
        <v>3.7654804434535989</v>
      </c>
      <c r="U334" s="72">
        <f t="shared" si="138"/>
        <v>3.8483210132095782</v>
      </c>
      <c r="V334" s="72">
        <f t="shared" si="138"/>
        <v>3.932984075500189</v>
      </c>
      <c r="W334" s="72">
        <f t="shared" si="138"/>
        <v>4.0195097251611935</v>
      </c>
      <c r="X334" s="72">
        <f t="shared" si="138"/>
        <v>4.1079389391147396</v>
      </c>
      <c r="Y334" s="72">
        <f t="shared" si="138"/>
        <v>4.1983135957752644</v>
      </c>
      <c r="Z334" s="72">
        <f t="shared" si="138"/>
        <v>4.2906764948823204</v>
      </c>
      <c r="AA334" s="72">
        <f t="shared" si="138"/>
        <v>4.385071377769731</v>
      </c>
      <c r="AB334" s="72">
        <f t="shared" si="138"/>
        <v>4.4815429480806648</v>
      </c>
      <c r="AC334" s="72">
        <f t="shared" si="138"/>
        <v>4.5801368929384401</v>
      </c>
      <c r="AD334" s="72">
        <f t="shared" si="138"/>
        <v>4.680899904583085</v>
      </c>
      <c r="AE334" s="72">
        <f t="shared" si="138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129"/>
        <v>0.11219999999999999</v>
      </c>
      <c r="G335" s="72">
        <f t="shared" si="130"/>
        <v>0</v>
      </c>
      <c r="H335" s="72">
        <f t="shared" si="131"/>
        <v>0</v>
      </c>
      <c r="I335" s="100">
        <f t="shared" si="132"/>
        <v>1</v>
      </c>
      <c r="J335" s="100">
        <f t="shared" si="133"/>
        <v>0</v>
      </c>
      <c r="K335" s="72"/>
      <c r="L335" s="72">
        <f t="shared" ref="L335:AE335" si="139">L281*$F335/1000</f>
        <v>0.30078009811543305</v>
      </c>
      <c r="M335" s="72">
        <f t="shared" si="139"/>
        <v>0.30739726027397257</v>
      </c>
      <c r="N335" s="72">
        <f t="shared" si="139"/>
        <v>0.31415999999999999</v>
      </c>
      <c r="O335" s="72">
        <f t="shared" si="139"/>
        <v>0.32107151999999994</v>
      </c>
      <c r="P335" s="72">
        <f t="shared" si="139"/>
        <v>0.32813509343999991</v>
      </c>
      <c r="Q335" s="72">
        <f t="shared" si="139"/>
        <v>0.33535406549567992</v>
      </c>
      <c r="R335" s="72">
        <f t="shared" si="139"/>
        <v>0.34273185493658492</v>
      </c>
      <c r="S335" s="72">
        <f t="shared" si="139"/>
        <v>0.35027195574518982</v>
      </c>
      <c r="T335" s="72">
        <f t="shared" si="139"/>
        <v>0.35797793877158396</v>
      </c>
      <c r="U335" s="72">
        <f t="shared" si="139"/>
        <v>0.36585345342455883</v>
      </c>
      <c r="V335" s="72">
        <f t="shared" si="139"/>
        <v>0.37390222939989914</v>
      </c>
      <c r="W335" s="72">
        <f t="shared" si="139"/>
        <v>0.38212807844669699</v>
      </c>
      <c r="X335" s="72">
        <f t="shared" si="139"/>
        <v>0.39053489617252435</v>
      </c>
      <c r="Y335" s="72">
        <f t="shared" si="139"/>
        <v>0.39912666388831991</v>
      </c>
      <c r="Z335" s="72">
        <f t="shared" si="139"/>
        <v>0.40790745049386296</v>
      </c>
      <c r="AA335" s="72">
        <f t="shared" si="139"/>
        <v>0.41688141440472792</v>
      </c>
      <c r="AB335" s="72">
        <f t="shared" si="139"/>
        <v>0.42605280552163199</v>
      </c>
      <c r="AC335" s="72">
        <f t="shared" si="139"/>
        <v>0.43542596724310795</v>
      </c>
      <c r="AD335" s="72">
        <f t="shared" si="139"/>
        <v>0.44500533852245627</v>
      </c>
      <c r="AE335" s="72">
        <f t="shared" si="139"/>
        <v>0.45479545596995036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129"/>
        <v>0.11219999999999999</v>
      </c>
      <c r="G336" s="72">
        <f t="shared" si="130"/>
        <v>0.97</v>
      </c>
      <c r="H336" s="72">
        <f t="shared" si="131"/>
        <v>8.6452762923351152</v>
      </c>
      <c r="I336" s="100">
        <f t="shared" si="132"/>
        <v>1</v>
      </c>
      <c r="J336" s="100">
        <f t="shared" si="133"/>
        <v>1</v>
      </c>
      <c r="K336" s="72"/>
      <c r="L336" s="72">
        <f t="shared" ref="L336:AE336" si="140">L282*$F336/1000</f>
        <v>6.4452878167592806E-2</v>
      </c>
      <c r="M336" s="72">
        <f t="shared" si="140"/>
        <v>6.5870841487279841E-2</v>
      </c>
      <c r="N336" s="72">
        <f t="shared" si="140"/>
        <v>6.7319999999999991E-2</v>
      </c>
      <c r="O336" s="72">
        <f t="shared" si="140"/>
        <v>6.8801039999999994E-2</v>
      </c>
      <c r="P336" s="72">
        <f t="shared" si="140"/>
        <v>7.0314662880000003E-2</v>
      </c>
      <c r="Q336" s="72">
        <f t="shared" si="140"/>
        <v>7.1861585463359995E-2</v>
      </c>
      <c r="R336" s="72">
        <f t="shared" si="140"/>
        <v>7.3442540343553922E-2</v>
      </c>
      <c r="S336" s="72">
        <f t="shared" si="140"/>
        <v>7.5058276231112109E-2</v>
      </c>
      <c r="T336" s="72">
        <f t="shared" si="140"/>
        <v>7.6709558308196577E-2</v>
      </c>
      <c r="U336" s="72">
        <f t="shared" si="140"/>
        <v>7.8397168590976909E-2</v>
      </c>
      <c r="V336" s="72">
        <f t="shared" si="140"/>
        <v>8.012190629997841E-2</v>
      </c>
      <c r="W336" s="72">
        <f t="shared" si="140"/>
        <v>8.1884588238577916E-2</v>
      </c>
      <c r="X336" s="72">
        <f t="shared" si="140"/>
        <v>8.3686049179826624E-2</v>
      </c>
      <c r="Y336" s="72">
        <f t="shared" si="140"/>
        <v>8.5527142261782832E-2</v>
      </c>
      <c r="Z336" s="72">
        <f t="shared" si="140"/>
        <v>8.7408739391542062E-2</v>
      </c>
      <c r="AA336" s="72">
        <f t="shared" si="140"/>
        <v>8.9331731658155972E-2</v>
      </c>
      <c r="AB336" s="72">
        <f t="shared" si="140"/>
        <v>9.1297029754635398E-2</v>
      </c>
      <c r="AC336" s="72">
        <f t="shared" si="140"/>
        <v>9.3305564409237388E-2</v>
      </c>
      <c r="AD336" s="72">
        <f t="shared" si="140"/>
        <v>9.5358286826240618E-2</v>
      </c>
      <c r="AE336" s="72">
        <f t="shared" si="140"/>
        <v>9.7456169136417914E-2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129"/>
        <v>0.156</v>
      </c>
      <c r="G337" s="72">
        <f t="shared" si="130"/>
        <v>2.35</v>
      </c>
      <c r="H337" s="72">
        <f t="shared" si="131"/>
        <v>15.064102564102564</v>
      </c>
      <c r="I337" s="100">
        <f t="shared" si="132"/>
        <v>1</v>
      </c>
      <c r="J337" s="100">
        <f t="shared" si="133"/>
        <v>1</v>
      </c>
      <c r="K337" s="72"/>
      <c r="L337" s="72">
        <f t="shared" ref="L337:AE337" si="141">L283*$F337/1000</f>
        <v>4.2047573055412055E-2</v>
      </c>
      <c r="M337" s="72">
        <f t="shared" si="141"/>
        <v>4.4360189573459712E-2</v>
      </c>
      <c r="N337" s="72">
        <f t="shared" si="141"/>
        <v>4.6799999999999994E-2</v>
      </c>
      <c r="O337" s="72">
        <f t="shared" si="141"/>
        <v>4.9374000000000001E-2</v>
      </c>
      <c r="P337" s="72">
        <f t="shared" si="141"/>
        <v>5.2089569999999995E-2</v>
      </c>
      <c r="Q337" s="72">
        <f t="shared" si="141"/>
        <v>5.4954496349999993E-2</v>
      </c>
      <c r="R337" s="72">
        <f t="shared" si="141"/>
        <v>5.7976993649249998E-2</v>
      </c>
      <c r="S337" s="72">
        <f t="shared" si="141"/>
        <v>6.1165728299958741E-2</v>
      </c>
      <c r="T337" s="72">
        <f t="shared" si="141"/>
        <v>6.4529843356456465E-2</v>
      </c>
      <c r="U337" s="72">
        <f t="shared" si="141"/>
        <v>6.8078984741061568E-2</v>
      </c>
      <c r="V337" s="72">
        <f t="shared" si="141"/>
        <v>7.1823328901819944E-2</v>
      </c>
      <c r="W337" s="72">
        <f t="shared" si="141"/>
        <v>7.5773611991420048E-2</v>
      </c>
      <c r="X337" s="72">
        <f t="shared" si="141"/>
        <v>7.9941160650948154E-2</v>
      </c>
      <c r="Y337" s="72">
        <f t="shared" si="141"/>
        <v>8.4337924486750301E-2</v>
      </c>
      <c r="Z337" s="72">
        <f t="shared" si="141"/>
        <v>8.8976510333521566E-2</v>
      </c>
      <c r="AA337" s="72">
        <f t="shared" si="141"/>
        <v>9.3870218401865241E-2</v>
      </c>
      <c r="AB337" s="72">
        <f t="shared" si="141"/>
        <v>9.9033080413967828E-2</v>
      </c>
      <c r="AC337" s="72">
        <f t="shared" si="141"/>
        <v>0.10447989983673606</v>
      </c>
      <c r="AD337" s="72">
        <f t="shared" si="141"/>
        <v>0.11022629432775652</v>
      </c>
      <c r="AE337" s="72">
        <f t="shared" si="141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142">SUM(L330:L337)</f>
        <v>20.926246357744834</v>
      </c>
      <c r="M338" s="72">
        <f t="shared" si="142"/>
        <v>21.621228468026327</v>
      </c>
      <c r="N338" s="72">
        <f t="shared" si="142"/>
        <v>22.340203500000001</v>
      </c>
      <c r="O338" s="72">
        <f t="shared" si="142"/>
        <v>23.084029143000002</v>
      </c>
      <c r="P338" s="72">
        <f t="shared" si="142"/>
        <v>23.853594734849999</v>
      </c>
      <c r="Q338" s="72">
        <f t="shared" si="142"/>
        <v>24.649822464218669</v>
      </c>
      <c r="R338" s="72">
        <f t="shared" si="142"/>
        <v>25.473668619896113</v>
      </c>
      <c r="S338" s="72">
        <f t="shared" si="142"/>
        <v>26.326124888867827</v>
      </c>
      <c r="T338" s="72">
        <f t="shared" si="142"/>
        <v>27.20821970513958</v>
      </c>
      <c r="U338" s="72">
        <f t="shared" si="142"/>
        <v>28.121019651346554</v>
      </c>
      <c r="V338" s="72">
        <f t="shared" si="142"/>
        <v>29.065630915263306</v>
      </c>
      <c r="W338" s="72">
        <f t="shared" si="142"/>
        <v>30.043200803417918</v>
      </c>
      <c r="X338" s="72">
        <f t="shared" si="142"/>
        <v>31.054919314104183</v>
      </c>
      <c r="Y338" s="72">
        <f t="shared" si="142"/>
        <v>32.102020772179657</v>
      </c>
      <c r="Z338" s="72">
        <f t="shared" si="142"/>
        <v>33.185785528135781</v>
      </c>
      <c r="AA338" s="72">
        <f t="shared" si="142"/>
        <v>34.307541724028312</v>
      </c>
      <c r="AB338" s="72">
        <f t="shared" si="142"/>
        <v>35.468667128962927</v>
      </c>
      <c r="AC338" s="72">
        <f t="shared" si="142"/>
        <v>36.67059104694183</v>
      </c>
      <c r="AD338" s="72">
        <f t="shared" si="142"/>
        <v>37.914796299992908</v>
      </c>
      <c r="AE338" s="72">
        <f t="shared" si="142"/>
        <v>39.202821289623259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1486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43">L274</f>
        <v>2022</v>
      </c>
      <c r="M340" s="74">
        <f t="shared" si="143"/>
        <v>2023</v>
      </c>
      <c r="N340" s="74">
        <f t="shared" si="143"/>
        <v>2024</v>
      </c>
      <c r="O340" s="74">
        <f t="shared" si="143"/>
        <v>2025</v>
      </c>
      <c r="P340" s="74">
        <f t="shared" si="143"/>
        <v>2026</v>
      </c>
      <c r="Q340" s="74">
        <f t="shared" si="143"/>
        <v>2027</v>
      </c>
      <c r="R340" s="74">
        <f t="shared" si="143"/>
        <v>2028</v>
      </c>
      <c r="S340" s="74">
        <f t="shared" si="143"/>
        <v>2029</v>
      </c>
      <c r="T340" s="74">
        <f t="shared" si="143"/>
        <v>2030</v>
      </c>
      <c r="U340" s="74">
        <f t="shared" si="143"/>
        <v>2031</v>
      </c>
      <c r="V340" s="74">
        <f t="shared" si="143"/>
        <v>2032</v>
      </c>
      <c r="W340" s="74">
        <f t="shared" si="143"/>
        <v>2033</v>
      </c>
      <c r="X340" s="74">
        <f t="shared" si="143"/>
        <v>2034</v>
      </c>
      <c r="Y340" s="74">
        <f t="shared" si="143"/>
        <v>2035</v>
      </c>
      <c r="Z340" s="74">
        <f t="shared" si="143"/>
        <v>2036</v>
      </c>
      <c r="AA340" s="74">
        <f t="shared" si="143"/>
        <v>2037</v>
      </c>
      <c r="AB340" s="74">
        <f t="shared" si="143"/>
        <v>2038</v>
      </c>
      <c r="AC340" s="74">
        <f t="shared" si="143"/>
        <v>2039</v>
      </c>
      <c r="AD340" s="74">
        <f t="shared" si="143"/>
        <v>2040</v>
      </c>
      <c r="AE340" s="74">
        <f t="shared" si="143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44">L276*G330/1000</f>
        <v>0.18716695292200644</v>
      </c>
      <c r="M341" s="72">
        <f t="shared" ref="M341:M348" si="145">M276*G330/1000</f>
        <v>0.1954022988505747</v>
      </c>
      <c r="N341" s="72">
        <f t="shared" ref="N341:N348" si="146">N276*G330/1000</f>
        <v>0.20399999999999999</v>
      </c>
      <c r="O341" s="72">
        <f t="shared" ref="O341:O348" si="147">O276*G330/1000</f>
        <v>0.21297600000000003</v>
      </c>
      <c r="P341" s="72">
        <f t="shared" ref="P341:P348" si="148">P276*G330/1000</f>
        <v>0.22234694400000005</v>
      </c>
      <c r="Q341" s="72">
        <f t="shared" ref="Q341:Q348" si="149">Q276*G330/1000</f>
        <v>0.23213020953600005</v>
      </c>
      <c r="R341" s="72">
        <f t="shared" ref="R341:R348" si="150">R276*G330/1000</f>
        <v>0.24234393875558408</v>
      </c>
      <c r="S341" s="72">
        <f t="shared" ref="S341:S348" si="151">S276*G330/1000</f>
        <v>0.25300707206082979</v>
      </c>
      <c r="T341" s="72">
        <f t="shared" ref="T341:T348" si="152">T276*G330/1000</f>
        <v>0.26413938323150632</v>
      </c>
      <c r="U341" s="72">
        <f t="shared" ref="U341:U348" si="153">U276*G330/1000</f>
        <v>0.27576151609369259</v>
      </c>
      <c r="V341" s="72">
        <f t="shared" ref="V341:V348" si="154">V276*G330/1000</f>
        <v>0.28789502280181506</v>
      </c>
      <c r="W341" s="72">
        <f t="shared" ref="W341:W348" si="155">W276*G330/1000</f>
        <v>0.30056240380509497</v>
      </c>
      <c r="X341" s="72">
        <f t="shared" ref="X341:X348" si="156">X276*G330/1000</f>
        <v>0.31378714957251913</v>
      </c>
      <c r="Y341" s="72">
        <f t="shared" ref="Y341:Y348" si="157">Y276*G330/1000</f>
        <v>0.32759378415370999</v>
      </c>
      <c r="Z341" s="72">
        <f t="shared" ref="Z341:Z348" si="158">Z276*G330/1000</f>
        <v>0.34200791065647324</v>
      </c>
      <c r="AA341" s="72">
        <f t="shared" ref="AA341:AA348" si="159">AA276*G330/1000</f>
        <v>0.35705625872535807</v>
      </c>
      <c r="AB341" s="72">
        <f t="shared" ref="AB341:AB348" si="160">AB276*G330/1000</f>
        <v>0.37276673410927386</v>
      </c>
      <c r="AC341" s="72">
        <f t="shared" ref="AC341:AC348" si="161">AC276*G330/1000</f>
        <v>0.38916847041008185</v>
      </c>
      <c r="AD341" s="72">
        <f t="shared" ref="AD341:AD348" si="162">AD276*G330/1000</f>
        <v>0.40629188310812547</v>
      </c>
      <c r="AE341" s="72">
        <f t="shared" ref="AE341:AE348" si="163">AE276*G330/1000</f>
        <v>0.42416872596488298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44"/>
        <v>6.6058924560708152E-2</v>
      </c>
      <c r="M342" s="72">
        <f t="shared" si="145"/>
        <v>6.8965517241379309E-2</v>
      </c>
      <c r="N342" s="72">
        <f t="shared" si="146"/>
        <v>7.1999999999999995E-2</v>
      </c>
      <c r="O342" s="72">
        <f t="shared" si="147"/>
        <v>7.5167999999999999E-2</v>
      </c>
      <c r="P342" s="72">
        <f t="shared" si="148"/>
        <v>7.8475392000000005E-2</v>
      </c>
      <c r="Q342" s="72">
        <f t="shared" si="149"/>
        <v>8.1928309247999986E-2</v>
      </c>
      <c r="R342" s="72">
        <f t="shared" si="150"/>
        <v>8.5533154854912002E-2</v>
      </c>
      <c r="S342" s="72">
        <f t="shared" si="151"/>
        <v>8.9296613668528119E-2</v>
      </c>
      <c r="T342" s="72">
        <f t="shared" si="152"/>
        <v>9.3225664669943364E-2</v>
      </c>
      <c r="U342" s="72">
        <f t="shared" si="153"/>
        <v>9.7327593915420896E-2</v>
      </c>
      <c r="V342" s="72">
        <f t="shared" si="154"/>
        <v>0.10161000804769942</v>
      </c>
      <c r="W342" s="72">
        <f t="shared" si="155"/>
        <v>0.10608084840179818</v>
      </c>
      <c r="X342" s="72">
        <f t="shared" si="156"/>
        <v>0.1107484057314773</v>
      </c>
      <c r="Y342" s="72">
        <f t="shared" si="157"/>
        <v>0.1156213355836623</v>
      </c>
      <c r="Z342" s="72">
        <f t="shared" si="158"/>
        <v>0.12070867434934346</v>
      </c>
      <c r="AA342" s="72">
        <f t="shared" si="159"/>
        <v>0.12601985602071455</v>
      </c>
      <c r="AB342" s="72">
        <f t="shared" si="160"/>
        <v>0.13156472968562599</v>
      </c>
      <c r="AC342" s="72">
        <f t="shared" si="161"/>
        <v>0.13735357779179352</v>
      </c>
      <c r="AD342" s="72">
        <f t="shared" si="162"/>
        <v>0.14339713521463243</v>
      </c>
      <c r="AE342" s="72">
        <f t="shared" si="163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44"/>
        <v>0</v>
      </c>
      <c r="M343" s="72">
        <f t="shared" si="145"/>
        <v>0</v>
      </c>
      <c r="N343" s="72">
        <f t="shared" si="146"/>
        <v>0</v>
      </c>
      <c r="O343" s="72">
        <f t="shared" si="147"/>
        <v>0</v>
      </c>
      <c r="P343" s="72">
        <f t="shared" si="148"/>
        <v>0</v>
      </c>
      <c r="Q343" s="72">
        <f t="shared" si="149"/>
        <v>0</v>
      </c>
      <c r="R343" s="72">
        <f t="shared" si="150"/>
        <v>0</v>
      </c>
      <c r="S343" s="72">
        <f t="shared" si="151"/>
        <v>0</v>
      </c>
      <c r="T343" s="72">
        <f t="shared" si="152"/>
        <v>0</v>
      </c>
      <c r="U343" s="72">
        <f t="shared" si="153"/>
        <v>0</v>
      </c>
      <c r="V343" s="72">
        <f t="shared" si="154"/>
        <v>0</v>
      </c>
      <c r="W343" s="72">
        <f t="shared" si="155"/>
        <v>0</v>
      </c>
      <c r="X343" s="72">
        <f t="shared" si="156"/>
        <v>0</v>
      </c>
      <c r="Y343" s="72">
        <f t="shared" si="157"/>
        <v>0</v>
      </c>
      <c r="Z343" s="72">
        <f t="shared" si="158"/>
        <v>0</v>
      </c>
      <c r="AA343" s="72">
        <f t="shared" si="159"/>
        <v>0</v>
      </c>
      <c r="AB343" s="72">
        <f t="shared" si="160"/>
        <v>0</v>
      </c>
      <c r="AC343" s="72">
        <f t="shared" si="161"/>
        <v>0</v>
      </c>
      <c r="AD343" s="72">
        <f t="shared" si="162"/>
        <v>0</v>
      </c>
      <c r="AE343" s="72">
        <f t="shared" si="163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44"/>
        <v>24.646491529759945</v>
      </c>
      <c r="M344" s="72">
        <f t="shared" si="145"/>
        <v>25.459825750242022</v>
      </c>
      <c r="N344" s="72">
        <f t="shared" si="146"/>
        <v>26.3</v>
      </c>
      <c r="O344" s="72">
        <f t="shared" si="147"/>
        <v>27.167899999999999</v>
      </c>
      <c r="P344" s="72">
        <f t="shared" si="148"/>
        <v>28.064440699999995</v>
      </c>
      <c r="Q344" s="72">
        <f t="shared" si="149"/>
        <v>28.990567243099992</v>
      </c>
      <c r="R344" s="72">
        <f t="shared" si="150"/>
        <v>29.947255962122291</v>
      </c>
      <c r="S344" s="72">
        <f t="shared" si="151"/>
        <v>30.935515408872323</v>
      </c>
      <c r="T344" s="72">
        <f t="shared" si="152"/>
        <v>31.956387417365111</v>
      </c>
      <c r="U344" s="72">
        <f t="shared" si="153"/>
        <v>33.010948202138152</v>
      </c>
      <c r="V344" s="72">
        <f t="shared" si="154"/>
        <v>34.100309492808705</v>
      </c>
      <c r="W344" s="72">
        <f t="shared" si="155"/>
        <v>35.225619706071399</v>
      </c>
      <c r="X344" s="72">
        <f t="shared" si="156"/>
        <v>36.388065156371745</v>
      </c>
      <c r="Y344" s="72">
        <f t="shared" si="157"/>
        <v>37.588871306532013</v>
      </c>
      <c r="Z344" s="72">
        <f t="shared" si="158"/>
        <v>38.829304059647569</v>
      </c>
      <c r="AA344" s="72">
        <f t="shared" si="159"/>
        <v>40.110671093615935</v>
      </c>
      <c r="AB344" s="72">
        <f t="shared" si="160"/>
        <v>41.434323239705257</v>
      </c>
      <c r="AC344" s="72">
        <f t="shared" si="161"/>
        <v>42.801655906615522</v>
      </c>
      <c r="AD344" s="72">
        <f t="shared" si="162"/>
        <v>44.214110551533835</v>
      </c>
      <c r="AE344" s="72">
        <f t="shared" si="163"/>
        <v>45.673176199734449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44"/>
        <v>0</v>
      </c>
      <c r="M345" s="72">
        <f t="shared" si="145"/>
        <v>0</v>
      </c>
      <c r="N345" s="72">
        <f t="shared" si="146"/>
        <v>0</v>
      </c>
      <c r="O345" s="72">
        <f t="shared" si="147"/>
        <v>0</v>
      </c>
      <c r="P345" s="72">
        <f t="shared" si="148"/>
        <v>0</v>
      </c>
      <c r="Q345" s="72">
        <f t="shared" si="149"/>
        <v>0</v>
      </c>
      <c r="R345" s="72">
        <f t="shared" si="150"/>
        <v>0</v>
      </c>
      <c r="S345" s="72">
        <f t="shared" si="151"/>
        <v>0</v>
      </c>
      <c r="T345" s="72">
        <f t="shared" si="152"/>
        <v>0</v>
      </c>
      <c r="U345" s="72">
        <f t="shared" si="153"/>
        <v>0</v>
      </c>
      <c r="V345" s="72">
        <f t="shared" si="154"/>
        <v>0</v>
      </c>
      <c r="W345" s="72">
        <f t="shared" si="155"/>
        <v>0</v>
      </c>
      <c r="X345" s="72">
        <f t="shared" si="156"/>
        <v>0</v>
      </c>
      <c r="Y345" s="72">
        <f t="shared" si="157"/>
        <v>0</v>
      </c>
      <c r="Z345" s="72">
        <f t="shared" si="158"/>
        <v>0</v>
      </c>
      <c r="AA345" s="72">
        <f t="shared" si="159"/>
        <v>0</v>
      </c>
      <c r="AB345" s="72">
        <f t="shared" si="160"/>
        <v>0</v>
      </c>
      <c r="AC345" s="72">
        <f t="shared" si="161"/>
        <v>0</v>
      </c>
      <c r="AD345" s="72">
        <f t="shared" si="162"/>
        <v>0</v>
      </c>
      <c r="AE345" s="72">
        <f t="shared" si="163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44"/>
        <v>0</v>
      </c>
      <c r="M346" s="72">
        <f t="shared" si="145"/>
        <v>0</v>
      </c>
      <c r="N346" s="72">
        <f t="shared" si="146"/>
        <v>0</v>
      </c>
      <c r="O346" s="72">
        <f t="shared" si="147"/>
        <v>0</v>
      </c>
      <c r="P346" s="72">
        <f t="shared" si="148"/>
        <v>0</v>
      </c>
      <c r="Q346" s="72">
        <f t="shared" si="149"/>
        <v>0</v>
      </c>
      <c r="R346" s="72">
        <f t="shared" si="150"/>
        <v>0</v>
      </c>
      <c r="S346" s="72">
        <f t="shared" si="151"/>
        <v>0</v>
      </c>
      <c r="T346" s="72">
        <f t="shared" si="152"/>
        <v>0</v>
      </c>
      <c r="U346" s="72">
        <f t="shared" si="153"/>
        <v>0</v>
      </c>
      <c r="V346" s="72">
        <f t="shared" si="154"/>
        <v>0</v>
      </c>
      <c r="W346" s="72">
        <f t="shared" si="155"/>
        <v>0</v>
      </c>
      <c r="X346" s="72">
        <f t="shared" si="156"/>
        <v>0</v>
      </c>
      <c r="Y346" s="72">
        <f t="shared" si="157"/>
        <v>0</v>
      </c>
      <c r="Z346" s="72">
        <f t="shared" si="158"/>
        <v>0</v>
      </c>
      <c r="AA346" s="72">
        <f t="shared" si="159"/>
        <v>0</v>
      </c>
      <c r="AB346" s="72">
        <f t="shared" si="160"/>
        <v>0</v>
      </c>
      <c r="AC346" s="72">
        <f t="shared" si="161"/>
        <v>0</v>
      </c>
      <c r="AD346" s="72">
        <f t="shared" si="162"/>
        <v>0</v>
      </c>
      <c r="AE346" s="72">
        <f t="shared" si="163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44"/>
        <v>0.55721293959505358</v>
      </c>
      <c r="M347" s="72">
        <f t="shared" si="145"/>
        <v>0.56947162426614473</v>
      </c>
      <c r="N347" s="72">
        <f t="shared" si="146"/>
        <v>0.58199999999999996</v>
      </c>
      <c r="O347" s="72">
        <f t="shared" si="147"/>
        <v>0.594804</v>
      </c>
      <c r="P347" s="72">
        <f t="shared" si="148"/>
        <v>0.60788968800000009</v>
      </c>
      <c r="Q347" s="72">
        <f t="shared" si="149"/>
        <v>0.62126326113599994</v>
      </c>
      <c r="R347" s="72">
        <f t="shared" si="150"/>
        <v>0.63493105288099194</v>
      </c>
      <c r="S347" s="72">
        <f t="shared" si="151"/>
        <v>0.64889953604437378</v>
      </c>
      <c r="T347" s="72">
        <f t="shared" si="152"/>
        <v>0.66317532583735006</v>
      </c>
      <c r="U347" s="72">
        <f t="shared" si="153"/>
        <v>0.67776518300577182</v>
      </c>
      <c r="V347" s="72">
        <f t="shared" si="154"/>
        <v>0.69267601703189885</v>
      </c>
      <c r="W347" s="72">
        <f t="shared" si="155"/>
        <v>0.70791488940660052</v>
      </c>
      <c r="X347" s="72">
        <f t="shared" si="156"/>
        <v>0.72348901697354573</v>
      </c>
      <c r="Y347" s="72">
        <f t="shared" si="157"/>
        <v>0.73940577534696372</v>
      </c>
      <c r="Z347" s="72">
        <f t="shared" si="158"/>
        <v>0.75567270240459705</v>
      </c>
      <c r="AA347" s="72">
        <f t="shared" si="159"/>
        <v>0.77229750185749824</v>
      </c>
      <c r="AB347" s="72">
        <f t="shared" si="160"/>
        <v>0.78928804689836318</v>
      </c>
      <c r="AC347" s="72">
        <f t="shared" si="161"/>
        <v>0.80665238393012717</v>
      </c>
      <c r="AD347" s="72">
        <f t="shared" si="162"/>
        <v>0.82439873637659</v>
      </c>
      <c r="AE347" s="72">
        <f t="shared" si="163"/>
        <v>0.84253550857687498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44"/>
        <v>0.63340895307832257</v>
      </c>
      <c r="M348" s="72">
        <f t="shared" si="145"/>
        <v>0.66824644549763035</v>
      </c>
      <c r="N348" s="72">
        <f t="shared" si="146"/>
        <v>0.70499999999999996</v>
      </c>
      <c r="O348" s="72">
        <f t="shared" si="147"/>
        <v>0.74377499999999996</v>
      </c>
      <c r="P348" s="72">
        <f t="shared" si="148"/>
        <v>0.78468262499999997</v>
      </c>
      <c r="Q348" s="72">
        <f t="shared" si="149"/>
        <v>0.82784016937499993</v>
      </c>
      <c r="R348" s="72">
        <f t="shared" si="150"/>
        <v>0.87337137869062498</v>
      </c>
      <c r="S348" s="72">
        <f t="shared" si="151"/>
        <v>0.92140680451860935</v>
      </c>
      <c r="T348" s="72">
        <f t="shared" si="152"/>
        <v>0.97208417876713282</v>
      </c>
      <c r="U348" s="72">
        <f t="shared" si="153"/>
        <v>1.025548808599325</v>
      </c>
      <c r="V348" s="72">
        <f t="shared" si="154"/>
        <v>1.0819539930722879</v>
      </c>
      <c r="W348" s="72">
        <f t="shared" si="155"/>
        <v>1.1414614626912638</v>
      </c>
      <c r="X348" s="72">
        <f t="shared" si="156"/>
        <v>1.2042418431392832</v>
      </c>
      <c r="Y348" s="72">
        <f t="shared" si="157"/>
        <v>1.2704751445119435</v>
      </c>
      <c r="Z348" s="72">
        <f t="shared" si="158"/>
        <v>1.3403512774601003</v>
      </c>
      <c r="AA348" s="72">
        <f t="shared" si="159"/>
        <v>1.4140705977204062</v>
      </c>
      <c r="AB348" s="72">
        <f t="shared" si="160"/>
        <v>1.4918444805950282</v>
      </c>
      <c r="AC348" s="72">
        <f t="shared" si="161"/>
        <v>1.5738959270277546</v>
      </c>
      <c r="AD348" s="72">
        <f t="shared" si="162"/>
        <v>1.660460203014281</v>
      </c>
      <c r="AE348" s="72">
        <f t="shared" si="163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64">SUM(L341:L348)</f>
        <v>26.090339299916039</v>
      </c>
      <c r="M349" s="72">
        <f t="shared" si="164"/>
        <v>26.961911636097753</v>
      </c>
      <c r="N349" s="72">
        <f t="shared" si="164"/>
        <v>27.863</v>
      </c>
      <c r="O349" s="72">
        <f t="shared" si="164"/>
        <v>28.794622999999998</v>
      </c>
      <c r="P349" s="72">
        <f t="shared" si="164"/>
        <v>29.757835348999993</v>
      </c>
      <c r="Q349" s="72">
        <f t="shared" si="164"/>
        <v>30.753729192394996</v>
      </c>
      <c r="R349" s="72">
        <f t="shared" si="164"/>
        <v>31.783435487304406</v>
      </c>
      <c r="S349" s="72">
        <f t="shared" si="164"/>
        <v>32.848125435164668</v>
      </c>
      <c r="T349" s="72">
        <f t="shared" si="164"/>
        <v>33.949011969871044</v>
      </c>
      <c r="U349" s="72">
        <f t="shared" si="164"/>
        <v>35.087351303752364</v>
      </c>
      <c r="V349" s="72">
        <f t="shared" si="164"/>
        <v>36.264444533762408</v>
      </c>
      <c r="W349" s="72">
        <f t="shared" si="164"/>
        <v>37.481639310376153</v>
      </c>
      <c r="X349" s="72">
        <f t="shared" si="164"/>
        <v>38.740331571788573</v>
      </c>
      <c r="Y349" s="72">
        <f t="shared" si="164"/>
        <v>40.041967346128295</v>
      </c>
      <c r="Z349" s="72">
        <f t="shared" si="164"/>
        <v>41.388044624518081</v>
      </c>
      <c r="AA349" s="72">
        <f t="shared" si="164"/>
        <v>42.780115307939909</v>
      </c>
      <c r="AB349" s="72">
        <f t="shared" si="164"/>
        <v>44.219787230993546</v>
      </c>
      <c r="AC349" s="72">
        <f t="shared" si="164"/>
        <v>45.708726265775283</v>
      </c>
      <c r="AD349" s="72">
        <f t="shared" si="164"/>
        <v>47.248658509247463</v>
      </c>
      <c r="AE349" s="72">
        <f t="shared" si="164"/>
        <v>48.841372557620346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65">L298</f>
        <v>2022</v>
      </c>
      <c r="M351" s="74">
        <f t="shared" si="165"/>
        <v>2023</v>
      </c>
      <c r="N351" s="74">
        <f t="shared" si="165"/>
        <v>2024</v>
      </c>
      <c r="O351" s="74">
        <f t="shared" si="165"/>
        <v>2025</v>
      </c>
      <c r="P351" s="74">
        <f t="shared" si="165"/>
        <v>2026</v>
      </c>
      <c r="Q351" s="74">
        <f t="shared" si="165"/>
        <v>2027</v>
      </c>
      <c r="R351" s="74">
        <f t="shared" si="165"/>
        <v>2028</v>
      </c>
      <c r="S351" s="74">
        <f t="shared" si="165"/>
        <v>2029</v>
      </c>
      <c r="T351" s="74">
        <f t="shared" si="165"/>
        <v>2030</v>
      </c>
      <c r="U351" s="74">
        <f t="shared" si="165"/>
        <v>2031</v>
      </c>
      <c r="V351" s="74">
        <f t="shared" si="165"/>
        <v>2032</v>
      </c>
      <c r="W351" s="74">
        <f t="shared" si="165"/>
        <v>2033</v>
      </c>
      <c r="X351" s="74">
        <f t="shared" si="165"/>
        <v>2034</v>
      </c>
      <c r="Y351" s="74">
        <f t="shared" si="165"/>
        <v>2035</v>
      </c>
      <c r="Z351" s="74">
        <f t="shared" si="165"/>
        <v>2036</v>
      </c>
      <c r="AA351" s="74">
        <f t="shared" si="165"/>
        <v>2037</v>
      </c>
      <c r="AB351" s="74">
        <f t="shared" si="165"/>
        <v>2038</v>
      </c>
      <c r="AC351" s="74">
        <f t="shared" si="165"/>
        <v>2039</v>
      </c>
      <c r="AD351" s="74">
        <f t="shared" si="165"/>
        <v>2040</v>
      </c>
      <c r="AE351" s="74">
        <f t="shared" si="165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66">L330*(EXP(-($E352)*(L249))-1)</f>
        <v>0</v>
      </c>
      <c r="M352" s="72">
        <f t="shared" si="166"/>
        <v>0</v>
      </c>
      <c r="N352" s="72">
        <f t="shared" si="166"/>
        <v>0</v>
      </c>
      <c r="O352" s="72">
        <f t="shared" si="166"/>
        <v>0</v>
      </c>
      <c r="P352" s="72">
        <f t="shared" si="166"/>
        <v>0</v>
      </c>
      <c r="Q352" s="72">
        <f t="shared" si="166"/>
        <v>0</v>
      </c>
      <c r="R352" s="72">
        <f t="shared" si="166"/>
        <v>0</v>
      </c>
      <c r="S352" s="72">
        <f t="shared" si="166"/>
        <v>0</v>
      </c>
      <c r="T352" s="72">
        <f t="shared" si="166"/>
        <v>0</v>
      </c>
      <c r="U352" s="72">
        <f t="shared" si="166"/>
        <v>0</v>
      </c>
      <c r="V352" s="72">
        <f t="shared" si="166"/>
        <v>0</v>
      </c>
      <c r="W352" s="72">
        <f t="shared" si="166"/>
        <v>0</v>
      </c>
      <c r="X352" s="72">
        <f t="shared" si="166"/>
        <v>0</v>
      </c>
      <c r="Y352" s="72">
        <f t="shared" si="166"/>
        <v>0</v>
      </c>
      <c r="Z352" s="72">
        <f t="shared" si="166"/>
        <v>0</v>
      </c>
      <c r="AA352" s="72">
        <f t="shared" si="166"/>
        <v>0</v>
      </c>
      <c r="AB352" s="72">
        <f t="shared" si="166"/>
        <v>0</v>
      </c>
      <c r="AC352" s="72">
        <f t="shared" si="166"/>
        <v>0</v>
      </c>
      <c r="AD352" s="72">
        <f t="shared" si="166"/>
        <v>0</v>
      </c>
      <c r="AE352" s="72">
        <f t="shared" si="166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67">L331*(EXP(-($E353)*(L249))-1)</f>
        <v>0</v>
      </c>
      <c r="M353" s="72">
        <f t="shared" si="167"/>
        <v>0</v>
      </c>
      <c r="N353" s="72">
        <f t="shared" si="167"/>
        <v>0</v>
      </c>
      <c r="O353" s="72">
        <f t="shared" si="167"/>
        <v>0</v>
      </c>
      <c r="P353" s="72">
        <f t="shared" si="167"/>
        <v>0</v>
      </c>
      <c r="Q353" s="72">
        <f t="shared" si="167"/>
        <v>0</v>
      </c>
      <c r="R353" s="72">
        <f t="shared" si="167"/>
        <v>0</v>
      </c>
      <c r="S353" s="72">
        <f t="shared" si="167"/>
        <v>0</v>
      </c>
      <c r="T353" s="72">
        <f t="shared" si="167"/>
        <v>0</v>
      </c>
      <c r="U353" s="72">
        <f t="shared" si="167"/>
        <v>0</v>
      </c>
      <c r="V353" s="72">
        <f t="shared" si="167"/>
        <v>0</v>
      </c>
      <c r="W353" s="72">
        <f t="shared" si="167"/>
        <v>0</v>
      </c>
      <c r="X353" s="72">
        <f t="shared" si="167"/>
        <v>0</v>
      </c>
      <c r="Y353" s="72">
        <f t="shared" si="167"/>
        <v>0</v>
      </c>
      <c r="Z353" s="72">
        <f t="shared" si="167"/>
        <v>0</v>
      </c>
      <c r="AA353" s="72">
        <f t="shared" si="167"/>
        <v>0</v>
      </c>
      <c r="AB353" s="72">
        <f t="shared" si="167"/>
        <v>0</v>
      </c>
      <c r="AC353" s="72">
        <f t="shared" si="167"/>
        <v>0</v>
      </c>
      <c r="AD353" s="72">
        <f t="shared" si="167"/>
        <v>0</v>
      </c>
      <c r="AE353" s="72">
        <f t="shared" si="167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68">L332*(EXP(-($E354)*(L249))-1)</f>
        <v>0</v>
      </c>
      <c r="M354" s="72">
        <f t="shared" si="168"/>
        <v>0</v>
      </c>
      <c r="N354" s="72">
        <f t="shared" si="168"/>
        <v>0</v>
      </c>
      <c r="O354" s="72">
        <f t="shared" si="168"/>
        <v>0</v>
      </c>
      <c r="P354" s="72">
        <f t="shared" si="168"/>
        <v>0</v>
      </c>
      <c r="Q354" s="72">
        <f t="shared" si="168"/>
        <v>0</v>
      </c>
      <c r="R354" s="72">
        <f t="shared" si="168"/>
        <v>0</v>
      </c>
      <c r="S354" s="72">
        <f t="shared" si="168"/>
        <v>0</v>
      </c>
      <c r="T354" s="72">
        <f t="shared" si="168"/>
        <v>0</v>
      </c>
      <c r="U354" s="72">
        <f t="shared" si="168"/>
        <v>0</v>
      </c>
      <c r="V354" s="72">
        <f t="shared" si="168"/>
        <v>0</v>
      </c>
      <c r="W354" s="72">
        <f t="shared" si="168"/>
        <v>0</v>
      </c>
      <c r="X354" s="72">
        <f t="shared" si="168"/>
        <v>0</v>
      </c>
      <c r="Y354" s="72">
        <f t="shared" si="168"/>
        <v>0</v>
      </c>
      <c r="Z354" s="72">
        <f t="shared" si="168"/>
        <v>0</v>
      </c>
      <c r="AA354" s="72">
        <f t="shared" si="168"/>
        <v>0</v>
      </c>
      <c r="AB354" s="72">
        <f t="shared" si="168"/>
        <v>0</v>
      </c>
      <c r="AC354" s="72">
        <f t="shared" si="168"/>
        <v>0</v>
      </c>
      <c r="AD354" s="72">
        <f t="shared" si="168"/>
        <v>0</v>
      </c>
      <c r="AE354" s="72">
        <f t="shared" si="168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69">L333*(EXP(-($E355)*(L249))-1)</f>
        <v>0</v>
      </c>
      <c r="M355" s="72">
        <f t="shared" si="169"/>
        <v>0</v>
      </c>
      <c r="N355" s="72">
        <f t="shared" si="169"/>
        <v>0</v>
      </c>
      <c r="O355" s="72">
        <f t="shared" si="169"/>
        <v>0</v>
      </c>
      <c r="P355" s="72">
        <f t="shared" si="169"/>
        <v>0</v>
      </c>
      <c r="Q355" s="72">
        <f t="shared" si="169"/>
        <v>0</v>
      </c>
      <c r="R355" s="72">
        <f t="shared" si="169"/>
        <v>0</v>
      </c>
      <c r="S355" s="72">
        <f t="shared" si="169"/>
        <v>0</v>
      </c>
      <c r="T355" s="72">
        <f t="shared" si="169"/>
        <v>0</v>
      </c>
      <c r="U355" s="72">
        <f t="shared" si="169"/>
        <v>0</v>
      </c>
      <c r="V355" s="72">
        <f t="shared" si="169"/>
        <v>0</v>
      </c>
      <c r="W355" s="72">
        <f t="shared" si="169"/>
        <v>0</v>
      </c>
      <c r="X355" s="72">
        <f t="shared" si="169"/>
        <v>0</v>
      </c>
      <c r="Y355" s="72">
        <f t="shared" si="169"/>
        <v>0</v>
      </c>
      <c r="Z355" s="72">
        <f t="shared" si="169"/>
        <v>0</v>
      </c>
      <c r="AA355" s="72">
        <f t="shared" si="169"/>
        <v>0</v>
      </c>
      <c r="AB355" s="72">
        <f t="shared" si="169"/>
        <v>0</v>
      </c>
      <c r="AC355" s="72">
        <f t="shared" si="169"/>
        <v>0</v>
      </c>
      <c r="AD355" s="72">
        <f t="shared" si="169"/>
        <v>0</v>
      </c>
      <c r="AE355" s="72">
        <f t="shared" si="169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70">L334*(EXP(-($E356)*(L249))-1)</f>
        <v>0</v>
      </c>
      <c r="M356" s="72">
        <f t="shared" si="170"/>
        <v>0</v>
      </c>
      <c r="N356" s="72">
        <f t="shared" si="170"/>
        <v>0</v>
      </c>
      <c r="O356" s="72">
        <f t="shared" si="170"/>
        <v>0</v>
      </c>
      <c r="P356" s="72">
        <f t="shared" si="170"/>
        <v>0</v>
      </c>
      <c r="Q356" s="72">
        <f t="shared" si="170"/>
        <v>0</v>
      </c>
      <c r="R356" s="72">
        <f t="shared" si="170"/>
        <v>0</v>
      </c>
      <c r="S356" s="72">
        <f t="shared" si="170"/>
        <v>0</v>
      </c>
      <c r="T356" s="72">
        <f t="shared" si="170"/>
        <v>0</v>
      </c>
      <c r="U356" s="72">
        <f t="shared" si="170"/>
        <v>0</v>
      </c>
      <c r="V356" s="72">
        <f t="shared" si="170"/>
        <v>0</v>
      </c>
      <c r="W356" s="72">
        <f t="shared" si="170"/>
        <v>0</v>
      </c>
      <c r="X356" s="72">
        <f t="shared" si="170"/>
        <v>0</v>
      </c>
      <c r="Y356" s="72">
        <f t="shared" si="170"/>
        <v>0</v>
      </c>
      <c r="Z356" s="72">
        <f t="shared" si="170"/>
        <v>0</v>
      </c>
      <c r="AA356" s="72">
        <f t="shared" si="170"/>
        <v>0</v>
      </c>
      <c r="AB356" s="72">
        <f t="shared" si="170"/>
        <v>0</v>
      </c>
      <c r="AC356" s="72">
        <f t="shared" si="170"/>
        <v>0</v>
      </c>
      <c r="AD356" s="72">
        <f t="shared" si="170"/>
        <v>0</v>
      </c>
      <c r="AE356" s="72">
        <f t="shared" si="170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71">L335*(EXP(-($E357)*(L249))-1)</f>
        <v>0</v>
      </c>
      <c r="M357" s="72">
        <f t="shared" si="171"/>
        <v>0</v>
      </c>
      <c r="N357" s="72">
        <f t="shared" si="171"/>
        <v>0</v>
      </c>
      <c r="O357" s="72">
        <f t="shared" si="171"/>
        <v>0</v>
      </c>
      <c r="P357" s="72">
        <f t="shared" si="171"/>
        <v>0</v>
      </c>
      <c r="Q357" s="72">
        <f t="shared" si="171"/>
        <v>0</v>
      </c>
      <c r="R357" s="72">
        <f t="shared" si="171"/>
        <v>0</v>
      </c>
      <c r="S357" s="72">
        <f t="shared" si="171"/>
        <v>0</v>
      </c>
      <c r="T357" s="72">
        <f t="shared" si="171"/>
        <v>0</v>
      </c>
      <c r="U357" s="72">
        <f t="shared" si="171"/>
        <v>0</v>
      </c>
      <c r="V357" s="72">
        <f t="shared" si="171"/>
        <v>0</v>
      </c>
      <c r="W357" s="72">
        <f t="shared" si="171"/>
        <v>0</v>
      </c>
      <c r="X357" s="72">
        <f t="shared" si="171"/>
        <v>0</v>
      </c>
      <c r="Y357" s="72">
        <f t="shared" si="171"/>
        <v>0</v>
      </c>
      <c r="Z357" s="72">
        <f t="shared" si="171"/>
        <v>0</v>
      </c>
      <c r="AA357" s="72">
        <f t="shared" si="171"/>
        <v>0</v>
      </c>
      <c r="AB357" s="72">
        <f t="shared" si="171"/>
        <v>0</v>
      </c>
      <c r="AC357" s="72">
        <f t="shared" si="171"/>
        <v>0</v>
      </c>
      <c r="AD357" s="72">
        <f t="shared" si="171"/>
        <v>0</v>
      </c>
      <c r="AE357" s="72">
        <f t="shared" si="171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72">L336*(EXP(-($E358)*(L249))-1)</f>
        <v>0</v>
      </c>
      <c r="M358" s="72">
        <f t="shared" si="172"/>
        <v>0</v>
      </c>
      <c r="N358" s="72">
        <f t="shared" si="172"/>
        <v>0</v>
      </c>
      <c r="O358" s="72">
        <f t="shared" si="172"/>
        <v>0</v>
      </c>
      <c r="P358" s="72">
        <f t="shared" si="172"/>
        <v>0</v>
      </c>
      <c r="Q358" s="72">
        <f t="shared" si="172"/>
        <v>0</v>
      </c>
      <c r="R358" s="72">
        <f t="shared" si="172"/>
        <v>0</v>
      </c>
      <c r="S358" s="72">
        <f t="shared" si="172"/>
        <v>0</v>
      </c>
      <c r="T358" s="72">
        <f t="shared" si="172"/>
        <v>0</v>
      </c>
      <c r="U358" s="72">
        <f t="shared" si="172"/>
        <v>0</v>
      </c>
      <c r="V358" s="72">
        <f t="shared" si="172"/>
        <v>0</v>
      </c>
      <c r="W358" s="72">
        <f t="shared" si="172"/>
        <v>0</v>
      </c>
      <c r="X358" s="72">
        <f t="shared" si="172"/>
        <v>0</v>
      </c>
      <c r="Y358" s="72">
        <f t="shared" si="172"/>
        <v>0</v>
      </c>
      <c r="Z358" s="72">
        <f t="shared" si="172"/>
        <v>0</v>
      </c>
      <c r="AA358" s="72">
        <f t="shared" si="172"/>
        <v>0</v>
      </c>
      <c r="AB358" s="72">
        <f t="shared" si="172"/>
        <v>0</v>
      </c>
      <c r="AC358" s="72">
        <f t="shared" si="172"/>
        <v>0</v>
      </c>
      <c r="AD358" s="72">
        <f t="shared" si="172"/>
        <v>0</v>
      </c>
      <c r="AE358" s="72">
        <f t="shared" si="172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73">L337*(EXP(-($E359)*(L249))-1)</f>
        <v>0</v>
      </c>
      <c r="M359" s="72">
        <f t="shared" si="173"/>
        <v>0</v>
      </c>
      <c r="N359" s="72">
        <f t="shared" si="173"/>
        <v>0</v>
      </c>
      <c r="O359" s="72">
        <f t="shared" si="173"/>
        <v>0</v>
      </c>
      <c r="P359" s="72">
        <f t="shared" si="173"/>
        <v>0</v>
      </c>
      <c r="Q359" s="72">
        <f t="shared" si="173"/>
        <v>0</v>
      </c>
      <c r="R359" s="72">
        <f t="shared" si="173"/>
        <v>0</v>
      </c>
      <c r="S359" s="72">
        <f t="shared" si="173"/>
        <v>0</v>
      </c>
      <c r="T359" s="72">
        <f t="shared" si="173"/>
        <v>0</v>
      </c>
      <c r="U359" s="72">
        <f t="shared" si="173"/>
        <v>0</v>
      </c>
      <c r="V359" s="72">
        <f t="shared" si="173"/>
        <v>0</v>
      </c>
      <c r="W359" s="72">
        <f t="shared" si="173"/>
        <v>0</v>
      </c>
      <c r="X359" s="72">
        <f t="shared" si="173"/>
        <v>0</v>
      </c>
      <c r="Y359" s="72">
        <f t="shared" si="173"/>
        <v>0</v>
      </c>
      <c r="Z359" s="72">
        <f t="shared" si="173"/>
        <v>0</v>
      </c>
      <c r="AA359" s="72">
        <f t="shared" si="173"/>
        <v>0</v>
      </c>
      <c r="AB359" s="72">
        <f t="shared" si="173"/>
        <v>0</v>
      </c>
      <c r="AC359" s="72">
        <f t="shared" si="173"/>
        <v>0</v>
      </c>
      <c r="AD359" s="72">
        <f t="shared" si="173"/>
        <v>0</v>
      </c>
      <c r="AE359" s="72">
        <f t="shared" si="173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74">SUM(L352:L359)</f>
        <v>0</v>
      </c>
      <c r="M360" s="72">
        <f t="shared" si="174"/>
        <v>0</v>
      </c>
      <c r="N360" s="72">
        <f t="shared" si="174"/>
        <v>0</v>
      </c>
      <c r="O360" s="72">
        <f t="shared" si="174"/>
        <v>0</v>
      </c>
      <c r="P360" s="72">
        <f t="shared" si="174"/>
        <v>0</v>
      </c>
      <c r="Q360" s="72">
        <f t="shared" si="174"/>
        <v>0</v>
      </c>
      <c r="R360" s="72">
        <f t="shared" si="174"/>
        <v>0</v>
      </c>
      <c r="S360" s="72">
        <f t="shared" si="174"/>
        <v>0</v>
      </c>
      <c r="T360" s="72">
        <f t="shared" si="174"/>
        <v>0</v>
      </c>
      <c r="U360" s="72">
        <f t="shared" si="174"/>
        <v>0</v>
      </c>
      <c r="V360" s="72">
        <f t="shared" si="174"/>
        <v>0</v>
      </c>
      <c r="W360" s="72">
        <f t="shared" si="174"/>
        <v>0</v>
      </c>
      <c r="X360" s="72">
        <f t="shared" si="174"/>
        <v>0</v>
      </c>
      <c r="Y360" s="72">
        <f t="shared" si="174"/>
        <v>0</v>
      </c>
      <c r="Z360" s="72">
        <f t="shared" si="174"/>
        <v>0</v>
      </c>
      <c r="AA360" s="72">
        <f t="shared" si="174"/>
        <v>0</v>
      </c>
      <c r="AB360" s="72">
        <f t="shared" si="174"/>
        <v>0</v>
      </c>
      <c r="AC360" s="72">
        <f t="shared" si="174"/>
        <v>0</v>
      </c>
      <c r="AD360" s="72">
        <f t="shared" si="174"/>
        <v>0</v>
      </c>
      <c r="AE360" s="72">
        <f t="shared" si="174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1985</v>
      </c>
      <c r="F362" s="72" t="s">
        <v>1986</v>
      </c>
      <c r="G362" s="72" t="s">
        <v>1987</v>
      </c>
      <c r="H362" s="74" t="s">
        <v>1988</v>
      </c>
      <c r="I362" s="74"/>
      <c r="J362" s="74"/>
      <c r="K362" s="74"/>
      <c r="L362" s="74">
        <f t="shared" ref="L362:AE362" si="175">L309</f>
        <v>2022</v>
      </c>
      <c r="M362" s="74">
        <f t="shared" si="175"/>
        <v>2023</v>
      </c>
      <c r="N362" s="74">
        <f t="shared" si="175"/>
        <v>2024</v>
      </c>
      <c r="O362" s="74">
        <f t="shared" si="175"/>
        <v>2025</v>
      </c>
      <c r="P362" s="74">
        <f t="shared" si="175"/>
        <v>2026</v>
      </c>
      <c r="Q362" s="74">
        <f t="shared" si="175"/>
        <v>2027</v>
      </c>
      <c r="R362" s="74">
        <f t="shared" si="175"/>
        <v>2028</v>
      </c>
      <c r="S362" s="74">
        <f t="shared" si="175"/>
        <v>2029</v>
      </c>
      <c r="T362" s="74">
        <f t="shared" si="175"/>
        <v>2030</v>
      </c>
      <c r="U362" s="74">
        <f t="shared" si="175"/>
        <v>2031</v>
      </c>
      <c r="V362" s="74">
        <f t="shared" si="175"/>
        <v>2032</v>
      </c>
      <c r="W362" s="74">
        <f t="shared" si="175"/>
        <v>2033</v>
      </c>
      <c r="X362" s="74">
        <f t="shared" si="175"/>
        <v>2034</v>
      </c>
      <c r="Y362" s="74">
        <f t="shared" si="175"/>
        <v>2035</v>
      </c>
      <c r="Z362" s="74">
        <f t="shared" si="175"/>
        <v>2036</v>
      </c>
      <c r="AA362" s="74">
        <f t="shared" si="175"/>
        <v>2037</v>
      </c>
      <c r="AB362" s="74">
        <f t="shared" si="175"/>
        <v>2038</v>
      </c>
      <c r="AC362" s="74">
        <f t="shared" si="175"/>
        <v>2039</v>
      </c>
      <c r="AD362" s="74">
        <f t="shared" si="175"/>
        <v>2040</v>
      </c>
      <c r="AE362" s="74">
        <f t="shared" si="175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/>
      <c r="J363" s="70"/>
      <c r="K363" s="70"/>
      <c r="L363" s="72">
        <f>-L$276/1000*($J$273*MAX($J$264,0)*$F363*(1-EXP(-$E363*($F$310*L$308+$G$310*L$248)))+$K$273*MAX($K$264,0)*$H363*(1-EXP(-$G363*($F$310*L$308+$G$310*L$248))))</f>
        <v>0</v>
      </c>
      <c r="M363" s="72">
        <f>-M$276/1000*($J$273*MAX($J$264,0)*$F363*(1-EXP(-$E363*($F$310*M$308+$G$310*M$248)))+$K$273*MAX($K$264,0)*$H363*(1-EXP(-$G363*($F$310*M$308+$G$310*M$248))))</f>
        <v>0</v>
      </c>
      <c r="N363" s="72">
        <f>-N$276/1000*($J$273*MAX($J$264,0)*$F363*(1-EXP(-$E363*($F$310*N$308+$G$310*N$248)))+$K$273*MAX($K$264,0)*$H363*(1-EXP(-$G363*($F$310*N$308+$G$310*N$248))))</f>
        <v>0</v>
      </c>
      <c r="O363" s="72">
        <f>-O$276/1000*($J$273*MAX($J$264,0)*$F363*(1-EXP(-$E363*($F$310*O$308+$G$310*O$248)))+$K$273*MAX($K$264,0)*$H363*(1-EXP(-$G363*($F$310*O$308+$G$310*O$248))))</f>
        <v>0</v>
      </c>
      <c r="P363" s="72">
        <f>-P$276/1000*($J$273*MAX($J$264,0)*$F363*(1-EXP(-$E363*($F$310*P$308+$G$310*P$248)))+$K$273*MAX($K$264,0)*$H363*(1-EXP(-$G363*($F$310*P$308+$G$310*P$248))))</f>
        <v>0</v>
      </c>
      <c r="Q363" s="72">
        <f>-Q$276/1000*($J$273*MAX($J$264,0)*$F363*(1-EXP(-$E363*($F$310*Q$308+$G$310*Q$248)))+$K$273*MAX($K$264,0)*$H363*(1-EXP(-$G363*($F$310*Q$308+$G$310*Q$248))))</f>
        <v>0</v>
      </c>
      <c r="R363" s="72">
        <f>-R$276/1000*($J$273*MAX($J$264,0)*$F363*(1-EXP(-$E363*($F$310*R$308+$G$310*R$248)))+$K$273*MAX($K$264,0)*$H363*(1-EXP(-$G363*($F$310*R$308+$G$310*R$248))))</f>
        <v>0</v>
      </c>
      <c r="S363" s="72">
        <f>-S$276/1000*($J$273*MAX($J$264,0)*$F363*(1-EXP(-$E363*($F$310*S$308+$G$310*S$248)))+$K$273*MAX($K$264,0)*$H363*(1-EXP(-$G363*($F$310*S$308+$G$310*S$248))))</f>
        <v>0</v>
      </c>
      <c r="T363" s="72">
        <f>-T$276/1000*($J$273*MAX($J$264,0)*$F363*(1-EXP(-$E363*($F$310*T$308+$G$310*T$248)))+$K$273*MAX($K$264,0)*$H363*(1-EXP(-$G363*($F$310*T$308+$G$310*T$248))))</f>
        <v>0</v>
      </c>
      <c r="U363" s="72">
        <f>-U$276/1000*($J$273*MAX($J$264,0)*$F363*(1-EXP(-$E363*($F$310*U$308+$G$310*U$248)))+$K$273*MAX($K$264,0)*$H363*(1-EXP(-$G363*($F$310*U$308+$G$310*U$248))))</f>
        <v>0</v>
      </c>
      <c r="V363" s="72">
        <f>-V$276/1000*($J$273*MAX($J$264,0)*$F363*(1-EXP(-$E363*($F$310*V$308+$G$310*V$248)))+$K$273*MAX($K$264,0)*$H363*(1-EXP(-$G363*($F$310*V$308+$G$310*V$248))))</f>
        <v>0</v>
      </c>
      <c r="W363" s="72">
        <f>-W$276/1000*($J$273*MAX($J$264,0)*$F363*(1-EXP(-$E363*($F$310*W$308+$G$310*W$248)))+$K$273*MAX($K$264,0)*$H363*(1-EXP(-$G363*($F$310*W$308+$G$310*W$248))))</f>
        <v>0</v>
      </c>
      <c r="X363" s="72">
        <f>-X$276/1000*($J$273*MAX($J$264,0)*$F363*(1-EXP(-$E363*($F$310*X$308+$G$310*X$248)))+$K$273*MAX($K$264,0)*$H363*(1-EXP(-$G363*($F$310*X$308+$G$310*X$248))))</f>
        <v>0</v>
      </c>
      <c r="Y363" s="72">
        <f>-Y$276/1000*($J$273*MAX($J$264,0)*$F363*(1-EXP(-$E363*($F$310*Y$308+$G$310*Y$248)))+$K$273*MAX($K$264,0)*$H363*(1-EXP(-$G363*($F$310*Y$308+$G$310*Y$248))))</f>
        <v>0</v>
      </c>
      <c r="Z363" s="72">
        <f>-Z$276/1000*($J$273*MAX($J$264,0)*$F363*(1-EXP(-$E363*($F$310*Z$308+$G$310*Z$248)))+$K$273*MAX($K$264,0)*$H363*(1-EXP(-$G363*($F$310*Z$308+$G$310*Z$248))))</f>
        <v>0</v>
      </c>
      <c r="AA363" s="72">
        <f>-AA$276/1000*($J$273*MAX($J$264,0)*$F363*(1-EXP(-$E363*($F$310*AA$308+$G$310*AA$248)))+$K$273*MAX($K$264,0)*$H363*(1-EXP(-$G363*($F$310*AA$308+$G$310*AA$248))))</f>
        <v>0</v>
      </c>
      <c r="AB363" s="72">
        <f>-AB$276/1000*($J$273*MAX($J$264,0)*$F363*(1-EXP(-$E363*($F$310*AB$308+$G$310*AB$248)))+$K$273*MAX($K$264,0)*$H363*(1-EXP(-$G363*($F$310*AB$308+$G$310*AB$248))))</f>
        <v>0</v>
      </c>
      <c r="AC363" s="72">
        <f>-AC$276/1000*($J$273*MAX($J$264,0)*$F363*(1-EXP(-$E363*($F$310*AC$308+$G$310*AC$248)))+$K$273*MAX($K$264,0)*$H363*(1-EXP(-$G363*($F$310*AC$308+$G$310*AC$248))))</f>
        <v>0</v>
      </c>
      <c r="AD363" s="72">
        <f>-AD$276/1000*($J$273*MAX($J$264,0)*$F363*(1-EXP(-$E363*($F$310*AD$308+$G$310*AD$248)))+$K$273*MAX($K$264,0)*$H363*(1-EXP(-$G363*($F$310*AD$308+$G$310*AD$248))))</f>
        <v>0</v>
      </c>
      <c r="AE363" s="72">
        <f>-AE$276/1000*($J$273*MAX($J$264,0)*$F363*(1-EXP(-$E363*($F$310*AE$308+$G$310*AE$248)))+$K$273*MAX($K$264,0)*$H363*(1-EXP(-$G363*($F$310*AE$308+$G$310*AE$248))))</f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>-L$277/1000*($J$273*MAX($J$265,0)*$F364*(1-EXP(-$E364*($F$311*L$308+$G$311*L$248)))+$K$273*MAX($K$265,0)*$H364*(1-EXP(-$G364*($F$311*L$308+$G$311*L$248))))</f>
        <v>0</v>
      </c>
      <c r="M364" s="72">
        <f>-M$277/1000*($J$273*MAX($J$265,0)*$F364*(1-EXP(-$E364*($F$311*M$308+$G$311*M$248)))+$K$273*MAX($K$265,0)*$H364*(1-EXP(-$G364*($F$311*M$308+$G$311*M$248))))</f>
        <v>0</v>
      </c>
      <c r="N364" s="72">
        <f>-N$277/1000*($J$273*MAX($J$265,0)*$F364*(1-EXP(-$E364*($F$311*N$308+$G$311*N$248)))+$K$273*MAX($K$265,0)*$H364*(1-EXP(-$G364*($F$311*N$308+$G$311*N$248))))</f>
        <v>0</v>
      </c>
      <c r="O364" s="72">
        <f>-O$277/1000*($J$273*MAX($J$265,0)*$F364*(1-EXP(-$E364*($F$311*O$308+$G$311*O$248)))+$K$273*MAX($K$265,0)*$H364*(1-EXP(-$G364*($F$311*O$308+$G$311*O$248))))</f>
        <v>0</v>
      </c>
      <c r="P364" s="72">
        <f>-P$277/1000*($J$273*MAX($J$265,0)*$F364*(1-EXP(-$E364*($F$311*P$308+$G$311*P$248)))+$K$273*MAX($K$265,0)*$H364*(1-EXP(-$G364*($F$311*P$308+$G$311*P$248))))</f>
        <v>0</v>
      </c>
      <c r="Q364" s="72">
        <f>-Q$277/1000*($J$273*MAX($J$265,0)*$F364*(1-EXP(-$E364*($F$311*Q$308+$G$311*Q$248)))+$K$273*MAX($K$265,0)*$H364*(1-EXP(-$G364*($F$311*Q$308+$G$311*Q$248))))</f>
        <v>0</v>
      </c>
      <c r="R364" s="72">
        <f>-R$277/1000*($J$273*MAX($J$265,0)*$F364*(1-EXP(-$E364*($F$311*R$308+$G$311*R$248)))+$K$273*MAX($K$265,0)*$H364*(1-EXP(-$G364*($F$311*R$308+$G$311*R$248))))</f>
        <v>0</v>
      </c>
      <c r="S364" s="72">
        <f>-S$277/1000*($J$273*MAX($J$265,0)*$F364*(1-EXP(-$E364*($F$311*S$308+$G$311*S$248)))+$K$273*MAX($K$265,0)*$H364*(1-EXP(-$G364*($F$311*S$308+$G$311*S$248))))</f>
        <v>0</v>
      </c>
      <c r="T364" s="72">
        <f>-T$277/1000*($J$273*MAX($J$265,0)*$F364*(1-EXP(-$E364*($F$311*T$308+$G$311*T$248)))+$K$273*MAX($K$265,0)*$H364*(1-EXP(-$G364*($F$311*T$308+$G$311*T$248))))</f>
        <v>0</v>
      </c>
      <c r="U364" s="72">
        <f>-U$277/1000*($J$273*MAX($J$265,0)*$F364*(1-EXP(-$E364*($F$311*U$308+$G$311*U$248)))+$K$273*MAX($K$265,0)*$H364*(1-EXP(-$G364*($F$311*U$308+$G$311*U$248))))</f>
        <v>0</v>
      </c>
      <c r="V364" s="72">
        <f>-V$277/1000*($J$273*MAX($J$265,0)*$F364*(1-EXP(-$E364*($F$311*V$308+$G$311*V$248)))+$K$273*MAX($K$265,0)*$H364*(1-EXP(-$G364*($F$311*V$308+$G$311*V$248))))</f>
        <v>0</v>
      </c>
      <c r="W364" s="72">
        <f>-W$277/1000*($J$273*MAX($J$265,0)*$F364*(1-EXP(-$E364*($F$311*W$308+$G$311*W$248)))+$K$273*MAX($K$265,0)*$H364*(1-EXP(-$G364*($F$311*W$308+$G$311*W$248))))</f>
        <v>0</v>
      </c>
      <c r="X364" s="72">
        <f>-X$277/1000*($J$273*MAX($J$265,0)*$F364*(1-EXP(-$E364*($F$311*X$308+$G$311*X$248)))+$K$273*MAX($K$265,0)*$H364*(1-EXP(-$G364*($F$311*X$308+$G$311*X$248))))</f>
        <v>0</v>
      </c>
      <c r="Y364" s="72">
        <f>-Y$277/1000*($J$273*MAX($J$265,0)*$F364*(1-EXP(-$E364*($F$311*Y$308+$G$311*Y$248)))+$K$273*MAX($K$265,0)*$H364*(1-EXP(-$G364*($F$311*Y$308+$G$311*Y$248))))</f>
        <v>0</v>
      </c>
      <c r="Z364" s="72">
        <f>-Z$277/1000*($J$273*MAX($J$265,0)*$F364*(1-EXP(-$E364*($F$311*Z$308+$G$311*Z$248)))+$K$273*MAX($K$265,0)*$H364*(1-EXP(-$G364*($F$311*Z$308+$G$311*Z$248))))</f>
        <v>0</v>
      </c>
      <c r="AA364" s="72">
        <f>-AA$277/1000*($J$273*MAX($J$265,0)*$F364*(1-EXP(-$E364*($F$311*AA$308+$G$311*AA$248)))+$K$273*MAX($K$265,0)*$H364*(1-EXP(-$G364*($F$311*AA$308+$G$311*AA$248))))</f>
        <v>0</v>
      </c>
      <c r="AB364" s="72">
        <f>-AB$277/1000*($J$273*MAX($J$265,0)*$F364*(1-EXP(-$E364*($F$311*AB$308+$G$311*AB$248)))+$K$273*MAX($K$265,0)*$H364*(1-EXP(-$G364*($F$311*AB$308+$G$311*AB$248))))</f>
        <v>0</v>
      </c>
      <c r="AC364" s="72">
        <f>-AC$277/1000*($J$273*MAX($J$265,0)*$F364*(1-EXP(-$E364*($F$311*AC$308+$G$311*AC$248)))+$K$273*MAX($K$265,0)*$H364*(1-EXP(-$G364*($F$311*AC$308+$G$311*AC$248))))</f>
        <v>0</v>
      </c>
      <c r="AD364" s="72">
        <f>-AD$277/1000*($J$273*MAX($J$265,0)*$F364*(1-EXP(-$E364*($F$311*AD$308+$G$311*AD$248)))+$K$273*MAX($K$265,0)*$H364*(1-EXP(-$G364*($F$311*AD$308+$G$311*AD$248))))</f>
        <v>0</v>
      </c>
      <c r="AE364" s="72">
        <f>-AE$277/1000*($J$273*MAX($J$265,0)*$F364*(1-EXP(-$E364*($F$311*AE$308+$G$311*AE$248)))+$K$273*MAX($K$265,0)*$H364*(1-EXP(-$G364*($F$311*AE$308+$G$311*AE$248))))</f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>-L$278/1000*($J$273*MAX($J$266,0)*$F365*(1-EXP(-$E365*($F$312*L$308+$G$312*L$248)))+$K$273*MAX($K$266,0)*$H365*(1-EXP(-$G365*($F$312*L$308+$G$312*L$248))))</f>
        <v>0</v>
      </c>
      <c r="M365" s="72">
        <f>-M$278/1000*($J$273*MAX($J$266,0)*$F365*(1-EXP(-$E365*($F$312*M$308+$G$312*M$248)))+$K$273*MAX($K$266,0)*$H365*(1-EXP(-$G365*($F$312*M$308+$G$312*M$248))))</f>
        <v>0</v>
      </c>
      <c r="N365" s="72">
        <f>-N$278/1000*($J$273*MAX($J$266,0)*$F365*(1-EXP(-$E365*($F$312*N$308+$G$312*N$248)))+$K$273*MAX($K$266,0)*$H365*(1-EXP(-$G365*($F$312*N$308+$G$312*N$248))))</f>
        <v>0</v>
      </c>
      <c r="O365" s="72">
        <f>-O$278/1000*($J$273*MAX($J$266,0)*$F365*(1-EXP(-$E365*($F$312*O$308+$G$312*O$248)))+$K$273*MAX($K$266,0)*$H365*(1-EXP(-$G365*($F$312*O$308+$G$312*O$248))))</f>
        <v>0</v>
      </c>
      <c r="P365" s="72">
        <f>-P$278/1000*($J$273*MAX($J$266,0)*$F365*(1-EXP(-$E365*($F$312*P$308+$G$312*P$248)))+$K$273*MAX($K$266,0)*$H365*(1-EXP(-$G365*($F$312*P$308+$G$312*P$248))))</f>
        <v>0</v>
      </c>
      <c r="Q365" s="72">
        <f>-Q$278/1000*($J$273*MAX($J$266,0)*$F365*(1-EXP(-$E365*($F$312*Q$308+$G$312*Q$248)))+$K$273*MAX($K$266,0)*$H365*(1-EXP(-$G365*($F$312*Q$308+$G$312*Q$248))))</f>
        <v>0</v>
      </c>
      <c r="R365" s="72">
        <f>-R$278/1000*($J$273*MAX($J$266,0)*$F365*(1-EXP(-$E365*($F$312*R$308+$G$312*R$248)))+$K$273*MAX($K$266,0)*$H365*(1-EXP(-$G365*($F$312*R$308+$G$312*R$248))))</f>
        <v>0</v>
      </c>
      <c r="S365" s="72">
        <f>-S$278/1000*($J$273*MAX($J$266,0)*$F365*(1-EXP(-$E365*($F$312*S$308+$G$312*S$248)))+$K$273*MAX($K$266,0)*$H365*(1-EXP(-$G365*($F$312*S$308+$G$312*S$248))))</f>
        <v>0</v>
      </c>
      <c r="T365" s="72">
        <f>-T$278/1000*($J$273*MAX($J$266,0)*$F365*(1-EXP(-$E365*($F$312*T$308+$G$312*T$248)))+$K$273*MAX($K$266,0)*$H365*(1-EXP(-$G365*($F$312*T$308+$G$312*T$248))))</f>
        <v>0</v>
      </c>
      <c r="U365" s="72">
        <f>-U$278/1000*($J$273*MAX($J$266,0)*$F365*(1-EXP(-$E365*($F$312*U$308+$G$312*U$248)))+$K$273*MAX($K$266,0)*$H365*(1-EXP(-$G365*($F$312*U$308+$G$312*U$248))))</f>
        <v>0</v>
      </c>
      <c r="V365" s="72">
        <f>-V$278/1000*($J$273*MAX($J$266,0)*$F365*(1-EXP(-$E365*($F$312*V$308+$G$312*V$248)))+$K$273*MAX($K$266,0)*$H365*(1-EXP(-$G365*($F$312*V$308+$G$312*V$248))))</f>
        <v>0</v>
      </c>
      <c r="W365" s="72">
        <f>-W$278/1000*($J$273*MAX($J$266,0)*$F365*(1-EXP(-$E365*($F$312*W$308+$G$312*W$248)))+$K$273*MAX($K$266,0)*$H365*(1-EXP(-$G365*($F$312*W$308+$G$312*W$248))))</f>
        <v>0</v>
      </c>
      <c r="X365" s="72">
        <f>-X$278/1000*($J$273*MAX($J$266,0)*$F365*(1-EXP(-$E365*($F$312*X$308+$G$312*X$248)))+$K$273*MAX($K$266,0)*$H365*(1-EXP(-$G365*($F$312*X$308+$G$312*X$248))))</f>
        <v>0</v>
      </c>
      <c r="Y365" s="72">
        <f>-Y$278/1000*($J$273*MAX($J$266,0)*$F365*(1-EXP(-$E365*($F$312*Y$308+$G$312*Y$248)))+$K$273*MAX($K$266,0)*$H365*(1-EXP(-$G365*($F$312*Y$308+$G$312*Y$248))))</f>
        <v>0</v>
      </c>
      <c r="Z365" s="72">
        <f>-Z$278/1000*($J$273*MAX($J$266,0)*$F365*(1-EXP(-$E365*($F$312*Z$308+$G$312*Z$248)))+$K$273*MAX($K$266,0)*$H365*(1-EXP(-$G365*($F$312*Z$308+$G$312*Z$248))))</f>
        <v>0</v>
      </c>
      <c r="AA365" s="72">
        <f>-AA$278/1000*($J$273*MAX($J$266,0)*$F365*(1-EXP(-$E365*($F$312*AA$308+$G$312*AA$248)))+$K$273*MAX($K$266,0)*$H365*(1-EXP(-$G365*($F$312*AA$308+$G$312*AA$248))))</f>
        <v>0</v>
      </c>
      <c r="AB365" s="72">
        <f>-AB$278/1000*($J$273*MAX($J$266,0)*$F365*(1-EXP(-$E365*($F$312*AB$308+$G$312*AB$248)))+$K$273*MAX($K$266,0)*$H365*(1-EXP(-$G365*($F$312*AB$308+$G$312*AB$248))))</f>
        <v>0</v>
      </c>
      <c r="AC365" s="72">
        <f>-AC$278/1000*($J$273*MAX($J$266,0)*$F365*(1-EXP(-$E365*($F$312*AC$308+$G$312*AC$248)))+$K$273*MAX($K$266,0)*$H365*(1-EXP(-$G365*($F$312*AC$308+$G$312*AC$248))))</f>
        <v>0</v>
      </c>
      <c r="AD365" s="72">
        <f>-AD$278/1000*($J$273*MAX($J$266,0)*$F365*(1-EXP(-$E365*($F$312*AD$308+$G$312*AD$248)))+$K$273*MAX($K$266,0)*$H365*(1-EXP(-$G365*($F$312*AD$308+$G$312*AD$248))))</f>
        <v>0</v>
      </c>
      <c r="AE365" s="72">
        <f>-AE$278/1000*($J$273*MAX($J$266,0)*$F365*(1-EXP(-$E365*($F$312*AE$308+$G$312*AE$248)))+$K$273*MAX($K$266,0)*$H365*(1-EXP(-$G365*($F$312*AE$308+$G$312*AE$248))))</f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>-L$279/1000*($J$273*MAX($J$267,0)*$F366*(1-EXP(-$E366*($F$313*L$308+$G$313*L$248)))+$K$273*MAX($K$267,0)*$H366*(1-EXP(-$G366*($F$313*L$308+$G$313*L$248))))</f>
        <v>0</v>
      </c>
      <c r="M366" s="72">
        <f>-M$279/1000*($J$273*MAX($J$267,0)*$F366*(1-EXP(-$E366*($F$313*M$308+$G$313*M$248)))+$K$273*MAX($K$267,0)*$H366*(1-EXP(-$G366*($F$313*M$308+$G$313*M$248))))</f>
        <v>0</v>
      </c>
      <c r="N366" s="72">
        <f>-N$279/1000*($J$273*MAX($J$267,0)*$F366*(1-EXP(-$E366*($F$313*N$308+$G$313*N$248)))+$K$273*MAX($K$267,0)*$H366*(1-EXP(-$G366*($F$313*N$308+$G$313*N$248))))</f>
        <v>0</v>
      </c>
      <c r="O366" s="72">
        <f>-O$279/1000*($J$273*MAX($J$267,0)*$F366*(1-EXP(-$E366*($F$313*O$308+$G$313*O$248)))+$K$273*MAX($K$267,0)*$H366*(1-EXP(-$G366*($F$313*O$308+$G$313*O$248))))</f>
        <v>0</v>
      </c>
      <c r="P366" s="72">
        <f>-P$279/1000*($J$273*MAX($J$267,0)*$F366*(1-EXP(-$E366*($F$313*P$308+$G$313*P$248)))+$K$273*MAX($K$267,0)*$H366*(1-EXP(-$G366*($F$313*P$308+$G$313*P$248))))</f>
        <v>0</v>
      </c>
      <c r="Q366" s="72">
        <f>-Q$279/1000*($J$273*MAX($J$267,0)*$F366*(1-EXP(-$E366*($F$313*Q$308+$G$313*Q$248)))+$K$273*MAX($K$267,0)*$H366*(1-EXP(-$G366*($F$313*Q$308+$G$313*Q$248))))</f>
        <v>0</v>
      </c>
      <c r="R366" s="72">
        <f>-R$279/1000*($J$273*MAX($J$267,0)*$F366*(1-EXP(-$E366*($F$313*R$308+$G$313*R$248)))+$K$273*MAX($K$267,0)*$H366*(1-EXP(-$G366*($F$313*R$308+$G$313*R$248))))</f>
        <v>0</v>
      </c>
      <c r="S366" s="72">
        <f>-S$279/1000*($J$273*MAX($J$267,0)*$F366*(1-EXP(-$E366*($F$313*S$308+$G$313*S$248)))+$K$273*MAX($K$267,0)*$H366*(1-EXP(-$G366*($F$313*S$308+$G$313*S$248))))</f>
        <v>0</v>
      </c>
      <c r="T366" s="72">
        <f>-T$279/1000*($J$273*MAX($J$267,0)*$F366*(1-EXP(-$E366*($F$313*T$308+$G$313*T$248)))+$K$273*MAX($K$267,0)*$H366*(1-EXP(-$G366*($F$313*T$308+$G$313*T$248))))</f>
        <v>0</v>
      </c>
      <c r="U366" s="72">
        <f>-U$279/1000*($J$273*MAX($J$267,0)*$F366*(1-EXP(-$E366*($F$313*U$308+$G$313*U$248)))+$K$273*MAX($K$267,0)*$H366*(1-EXP(-$G366*($F$313*U$308+$G$313*U$248))))</f>
        <v>0</v>
      </c>
      <c r="V366" s="72">
        <f>-V$279/1000*($J$273*MAX($J$267,0)*$F366*(1-EXP(-$E366*($F$313*V$308+$G$313*V$248)))+$K$273*MAX($K$267,0)*$H366*(1-EXP(-$G366*($F$313*V$308+$G$313*V$248))))</f>
        <v>0</v>
      </c>
      <c r="W366" s="72">
        <f>-W$279/1000*($J$273*MAX($J$267,0)*$F366*(1-EXP(-$E366*($F$313*W$308+$G$313*W$248)))+$K$273*MAX($K$267,0)*$H366*(1-EXP(-$G366*($F$313*W$308+$G$313*W$248))))</f>
        <v>0</v>
      </c>
      <c r="X366" s="72">
        <f>-X$279/1000*($J$273*MAX($J$267,0)*$F366*(1-EXP(-$E366*($F$313*X$308+$G$313*X$248)))+$K$273*MAX($K$267,0)*$H366*(1-EXP(-$G366*($F$313*X$308+$G$313*X$248))))</f>
        <v>0</v>
      </c>
      <c r="Y366" s="72">
        <f>-Y$279/1000*($J$273*MAX($J$267,0)*$F366*(1-EXP(-$E366*($F$313*Y$308+$G$313*Y$248)))+$K$273*MAX($K$267,0)*$H366*(1-EXP(-$G366*($F$313*Y$308+$G$313*Y$248))))</f>
        <v>0</v>
      </c>
      <c r="Z366" s="72">
        <f>-Z$279/1000*($J$273*MAX($J$267,0)*$F366*(1-EXP(-$E366*($F$313*Z$308+$G$313*Z$248)))+$K$273*MAX($K$267,0)*$H366*(1-EXP(-$G366*($F$313*Z$308+$G$313*Z$248))))</f>
        <v>0</v>
      </c>
      <c r="AA366" s="72">
        <f>-AA$279/1000*($J$273*MAX($J$267,0)*$F366*(1-EXP(-$E366*($F$313*AA$308+$G$313*AA$248)))+$K$273*MAX($K$267,0)*$H366*(1-EXP(-$G366*($F$313*AA$308+$G$313*AA$248))))</f>
        <v>0</v>
      </c>
      <c r="AB366" s="72">
        <f>-AB$279/1000*($J$273*MAX($J$267,0)*$F366*(1-EXP(-$E366*($F$313*AB$308+$G$313*AB$248)))+$K$273*MAX($K$267,0)*$H366*(1-EXP(-$G366*($F$313*AB$308+$G$313*AB$248))))</f>
        <v>0</v>
      </c>
      <c r="AC366" s="72">
        <f>-AC$279/1000*($J$273*MAX($J$267,0)*$F366*(1-EXP(-$E366*($F$313*AC$308+$G$313*AC$248)))+$K$273*MAX($K$267,0)*$H366*(1-EXP(-$G366*($F$313*AC$308+$G$313*AC$248))))</f>
        <v>0</v>
      </c>
      <c r="AD366" s="72">
        <f>-AD$279/1000*($J$273*MAX($J$267,0)*$F366*(1-EXP(-$E366*($F$313*AD$308+$G$313*AD$248)))+$K$273*MAX($K$267,0)*$H366*(1-EXP(-$G366*($F$313*AD$308+$G$313*AD$248))))</f>
        <v>0</v>
      </c>
      <c r="AE366" s="72">
        <f>-AE$279/1000*($J$273*MAX($J$267,0)*$F366*(1-EXP(-$E366*($F$313*AE$308+$G$313*AE$248)))+$K$273*MAX($K$267,0)*$H366*(1-EXP(-$G366*($F$313*AE$308+$G$313*AE$248))))</f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>-L$280/1000*($J$273*MAX($J$268,0)*$F367*(1-EXP(-$E367*($F$314*L$308+$G$314*L$248)))+$K$273*MAX($K$268,0)*$H367*(1-EXP(-$G367*($F$314*L$308+$G$314*L$248))))</f>
        <v>0</v>
      </c>
      <c r="M367" s="72">
        <f>-M$280/1000*($J$273*MAX($J$268,0)*$F367*(1-EXP(-$E367*($F$314*M$308+$G$314*M$248)))+$K$273*MAX($K$268,0)*$H367*(1-EXP(-$G367*($F$314*M$308+$G$314*M$248))))</f>
        <v>0</v>
      </c>
      <c r="N367" s="72">
        <f>-N$280/1000*($J$273*MAX($J$268,0)*$F367*(1-EXP(-$E367*($F$314*N$308+$G$314*N$248)))+$K$273*MAX($K$268,0)*$H367*(1-EXP(-$G367*($F$314*N$308+$G$314*N$248))))</f>
        <v>0</v>
      </c>
      <c r="O367" s="72">
        <f>-O$280/1000*($J$273*MAX($J$268,0)*$F367*(1-EXP(-$E367*($F$314*O$308+$G$314*O$248)))+$K$273*MAX($K$268,0)*$H367*(1-EXP(-$G367*($F$314*O$308+$G$314*O$248))))</f>
        <v>0</v>
      </c>
      <c r="P367" s="72">
        <f>-P$280/1000*($J$273*MAX($J$268,0)*$F367*(1-EXP(-$E367*($F$314*P$308+$G$314*P$248)))+$K$273*MAX($K$268,0)*$H367*(1-EXP(-$G367*($F$314*P$308+$G$314*P$248))))</f>
        <v>0</v>
      </c>
      <c r="Q367" s="72">
        <f>-Q$280/1000*($J$273*MAX($J$268,0)*$F367*(1-EXP(-$E367*($F$314*Q$308+$G$314*Q$248)))+$K$273*MAX($K$268,0)*$H367*(1-EXP(-$G367*($F$314*Q$308+$G$314*Q$248))))</f>
        <v>0</v>
      </c>
      <c r="R367" s="72">
        <f>-R$280/1000*($J$273*MAX($J$268,0)*$F367*(1-EXP(-$E367*($F$314*R$308+$G$314*R$248)))+$K$273*MAX($K$268,0)*$H367*(1-EXP(-$G367*($F$314*R$308+$G$314*R$248))))</f>
        <v>0</v>
      </c>
      <c r="S367" s="72">
        <f>-S$280/1000*($J$273*MAX($J$268,0)*$F367*(1-EXP(-$E367*($F$314*S$308+$G$314*S$248)))+$K$273*MAX($K$268,0)*$H367*(1-EXP(-$G367*($F$314*S$308+$G$314*S$248))))</f>
        <v>0</v>
      </c>
      <c r="T367" s="72">
        <f>-T$280/1000*($J$273*MAX($J$268,0)*$F367*(1-EXP(-$E367*($F$314*T$308+$G$314*T$248)))+$K$273*MAX($K$268,0)*$H367*(1-EXP(-$G367*($F$314*T$308+$G$314*T$248))))</f>
        <v>0</v>
      </c>
      <c r="U367" s="72">
        <f>-U$280/1000*($J$273*MAX($J$268,0)*$F367*(1-EXP(-$E367*($F$314*U$308+$G$314*U$248)))+$K$273*MAX($K$268,0)*$H367*(1-EXP(-$G367*($F$314*U$308+$G$314*U$248))))</f>
        <v>0</v>
      </c>
      <c r="V367" s="72">
        <f>-V$280/1000*($J$273*MAX($J$268,0)*$F367*(1-EXP(-$E367*($F$314*V$308+$G$314*V$248)))+$K$273*MAX($K$268,0)*$H367*(1-EXP(-$G367*($F$314*V$308+$G$314*V$248))))</f>
        <v>0</v>
      </c>
      <c r="W367" s="72">
        <f>-W$280/1000*($J$273*MAX($J$268,0)*$F367*(1-EXP(-$E367*($F$314*W$308+$G$314*W$248)))+$K$273*MAX($K$268,0)*$H367*(1-EXP(-$G367*($F$314*W$308+$G$314*W$248))))</f>
        <v>0</v>
      </c>
      <c r="X367" s="72">
        <f>-X$280/1000*($J$273*MAX($J$268,0)*$F367*(1-EXP(-$E367*($F$314*X$308+$G$314*X$248)))+$K$273*MAX($K$268,0)*$H367*(1-EXP(-$G367*($F$314*X$308+$G$314*X$248))))</f>
        <v>0</v>
      </c>
      <c r="Y367" s="72">
        <f>-Y$280/1000*($J$273*MAX($J$268,0)*$F367*(1-EXP(-$E367*($F$314*Y$308+$G$314*Y$248)))+$K$273*MAX($K$268,0)*$H367*(1-EXP(-$G367*($F$314*Y$308+$G$314*Y$248))))</f>
        <v>0</v>
      </c>
      <c r="Z367" s="72">
        <f>-Z$280/1000*($J$273*MAX($J$268,0)*$F367*(1-EXP(-$E367*($F$314*Z$308+$G$314*Z$248)))+$K$273*MAX($K$268,0)*$H367*(1-EXP(-$G367*($F$314*Z$308+$G$314*Z$248))))</f>
        <v>0</v>
      </c>
      <c r="AA367" s="72">
        <f>-AA$280/1000*($J$273*MAX($J$268,0)*$F367*(1-EXP(-$E367*($F$314*AA$308+$G$314*AA$248)))+$K$273*MAX($K$268,0)*$H367*(1-EXP(-$G367*($F$314*AA$308+$G$314*AA$248))))</f>
        <v>0</v>
      </c>
      <c r="AB367" s="72">
        <f>-AB$280/1000*($J$273*MAX($J$268,0)*$F367*(1-EXP(-$E367*($F$314*AB$308+$G$314*AB$248)))+$K$273*MAX($K$268,0)*$H367*(1-EXP(-$G367*($F$314*AB$308+$G$314*AB$248))))</f>
        <v>0</v>
      </c>
      <c r="AC367" s="72">
        <f>-AC$280/1000*($J$273*MAX($J$268,0)*$F367*(1-EXP(-$E367*($F$314*AC$308+$G$314*AC$248)))+$K$273*MAX($K$268,0)*$H367*(1-EXP(-$G367*($F$314*AC$308+$G$314*AC$248))))</f>
        <v>0</v>
      </c>
      <c r="AD367" s="72">
        <f>-AD$280/1000*($J$273*MAX($J$268,0)*$F367*(1-EXP(-$E367*($F$314*AD$308+$G$314*AD$248)))+$K$273*MAX($K$268,0)*$H367*(1-EXP(-$G367*($F$314*AD$308+$G$314*AD$248))))</f>
        <v>0</v>
      </c>
      <c r="AE367" s="72">
        <f>-AE$280/1000*($J$273*MAX($J$268,0)*$F367*(1-EXP(-$E367*($F$314*AE$308+$G$314*AE$248)))+$K$273*MAX($K$268,0)*$H367*(1-EXP(-$G367*($F$314*AE$308+$G$314*AE$248))))</f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>-L$281/1000*($J$273*MAX($J$269,0)*$F368*(1-EXP(-$E368*($F$315*L$308+$G$315*L$248)))+$K$273*MAX($K$269,0)*$H368*(1-EXP(-$G368*($F$315*L$308+$G$315*L$248))))</f>
        <v>0</v>
      </c>
      <c r="M368" s="72">
        <f>-M$281/1000*($J$273*MAX($J$269,0)*$F368*(1-EXP(-$E368*($F$315*M$308+$G$315*M$248)))+$K$273*MAX($K$269,0)*$H368*(1-EXP(-$G368*($F$315*M$308+$G$315*M$248))))</f>
        <v>0</v>
      </c>
      <c r="N368" s="72">
        <f>-N$281/1000*($J$273*MAX($J$269,0)*$F368*(1-EXP(-$E368*($F$315*N$308+$G$315*N$248)))+$K$273*MAX($K$269,0)*$H368*(1-EXP(-$G368*($F$315*N$308+$G$315*N$248))))</f>
        <v>0</v>
      </c>
      <c r="O368" s="72">
        <f>-O$281/1000*($J$273*MAX($J$269,0)*$F368*(1-EXP(-$E368*($F$315*O$308+$G$315*O$248)))+$K$273*MAX($K$269,0)*$H368*(1-EXP(-$G368*($F$315*O$308+$G$315*O$248))))</f>
        <v>0</v>
      </c>
      <c r="P368" s="72">
        <f>-P$281/1000*($J$273*MAX($J$269,0)*$F368*(1-EXP(-$E368*($F$315*P$308+$G$315*P$248)))+$K$273*MAX($K$269,0)*$H368*(1-EXP(-$G368*($F$315*P$308+$G$315*P$248))))</f>
        <v>0</v>
      </c>
      <c r="Q368" s="72">
        <f>-Q$281/1000*($J$273*MAX($J$269,0)*$F368*(1-EXP(-$E368*($F$315*Q$308+$G$315*Q$248)))+$K$273*MAX($K$269,0)*$H368*(1-EXP(-$G368*($F$315*Q$308+$G$315*Q$248))))</f>
        <v>0</v>
      </c>
      <c r="R368" s="72">
        <f>-R$281/1000*($J$273*MAX($J$269,0)*$F368*(1-EXP(-$E368*($F$315*R$308+$G$315*R$248)))+$K$273*MAX($K$269,0)*$H368*(1-EXP(-$G368*($F$315*R$308+$G$315*R$248))))</f>
        <v>0</v>
      </c>
      <c r="S368" s="72">
        <f>-S$281/1000*($J$273*MAX($J$269,0)*$F368*(1-EXP(-$E368*($F$315*S$308+$G$315*S$248)))+$K$273*MAX($K$269,0)*$H368*(1-EXP(-$G368*($F$315*S$308+$G$315*S$248))))</f>
        <v>0</v>
      </c>
      <c r="T368" s="72">
        <f>-T$281/1000*($J$273*MAX($J$269,0)*$F368*(1-EXP(-$E368*($F$315*T$308+$G$315*T$248)))+$K$273*MAX($K$269,0)*$H368*(1-EXP(-$G368*($F$315*T$308+$G$315*T$248))))</f>
        <v>0</v>
      </c>
      <c r="U368" s="72">
        <f>-U$281/1000*($J$273*MAX($J$269,0)*$F368*(1-EXP(-$E368*($F$315*U$308+$G$315*U$248)))+$K$273*MAX($K$269,0)*$H368*(1-EXP(-$G368*($F$315*U$308+$G$315*U$248))))</f>
        <v>0</v>
      </c>
      <c r="V368" s="72">
        <f>-V$281/1000*($J$273*MAX($J$269,0)*$F368*(1-EXP(-$E368*($F$315*V$308+$G$315*V$248)))+$K$273*MAX($K$269,0)*$H368*(1-EXP(-$G368*($F$315*V$308+$G$315*V$248))))</f>
        <v>0</v>
      </c>
      <c r="W368" s="72">
        <f>-W$281/1000*($J$273*MAX($J$269,0)*$F368*(1-EXP(-$E368*($F$315*W$308+$G$315*W$248)))+$K$273*MAX($K$269,0)*$H368*(1-EXP(-$G368*($F$315*W$308+$G$315*W$248))))</f>
        <v>0</v>
      </c>
      <c r="X368" s="72">
        <f>-X$281/1000*($J$273*MAX($J$269,0)*$F368*(1-EXP(-$E368*($F$315*X$308+$G$315*X$248)))+$K$273*MAX($K$269,0)*$H368*(1-EXP(-$G368*($F$315*X$308+$G$315*X$248))))</f>
        <v>0</v>
      </c>
      <c r="Y368" s="72">
        <f>-Y$281/1000*($J$273*MAX($J$269,0)*$F368*(1-EXP(-$E368*($F$315*Y$308+$G$315*Y$248)))+$K$273*MAX($K$269,0)*$H368*(1-EXP(-$G368*($F$315*Y$308+$G$315*Y$248))))</f>
        <v>0</v>
      </c>
      <c r="Z368" s="72">
        <f>-Z$281/1000*($J$273*MAX($J$269,0)*$F368*(1-EXP(-$E368*($F$315*Z$308+$G$315*Z$248)))+$K$273*MAX($K$269,0)*$H368*(1-EXP(-$G368*($F$315*Z$308+$G$315*Z$248))))</f>
        <v>0</v>
      </c>
      <c r="AA368" s="72">
        <f>-AA$281/1000*($J$273*MAX($J$269,0)*$F368*(1-EXP(-$E368*($F$315*AA$308+$G$315*AA$248)))+$K$273*MAX($K$269,0)*$H368*(1-EXP(-$G368*($F$315*AA$308+$G$315*AA$248))))</f>
        <v>0</v>
      </c>
      <c r="AB368" s="72">
        <f>-AB$281/1000*($J$273*MAX($J$269,0)*$F368*(1-EXP(-$E368*($F$315*AB$308+$G$315*AB$248)))+$K$273*MAX($K$269,0)*$H368*(1-EXP(-$G368*($F$315*AB$308+$G$315*AB$248))))</f>
        <v>0</v>
      </c>
      <c r="AC368" s="72">
        <f>-AC$281/1000*($J$273*MAX($J$269,0)*$F368*(1-EXP(-$E368*($F$315*AC$308+$G$315*AC$248)))+$K$273*MAX($K$269,0)*$H368*(1-EXP(-$G368*($F$315*AC$308+$G$315*AC$248))))</f>
        <v>0</v>
      </c>
      <c r="AD368" s="72">
        <f>-AD$281/1000*($J$273*MAX($J$269,0)*$F368*(1-EXP(-$E368*($F$315*AD$308+$G$315*AD$248)))+$K$273*MAX($K$269,0)*$H368*(1-EXP(-$G368*($F$315*AD$308+$G$315*AD$248))))</f>
        <v>0</v>
      </c>
      <c r="AE368" s="72">
        <f>-AE$281/1000*($J$273*MAX($J$269,0)*$F368*(1-EXP(-$E368*($F$315*AE$308+$G$315*AE$248)))+$K$273*MAX($K$269,0)*$H368*(1-EXP(-$G368*($F$315*AE$308+$G$315*AE$248))))</f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>-L$282/1000*($J$273*MAX($J$270,0)*$F369*(1-EXP(-$E369*($F$316*L$308+$G$316*L$248)))+$K$273*MAX($K$270,0)*$H369*(1-EXP(-$G369*($F$316*L$308+$G$316*L$248))))</f>
        <v>0</v>
      </c>
      <c r="M369" s="72">
        <f>-M$282/1000*($J$273*MAX($J$270,0)*$F369*(1-EXP(-$E369*($F$316*M$308+$G$316*M$248)))+$K$273*MAX($K$270,0)*$H369*(1-EXP(-$G369*($F$316*M$308+$G$316*M$248))))</f>
        <v>0</v>
      </c>
      <c r="N369" s="72">
        <f>-N$282/1000*($J$273*MAX($J$270,0)*$F369*(1-EXP(-$E369*($F$316*N$308+$G$316*N$248)))+$K$273*MAX($K$270,0)*$H369*(1-EXP(-$G369*($F$316*N$308+$G$316*N$248))))</f>
        <v>0</v>
      </c>
      <c r="O369" s="72">
        <f>-O$282/1000*($J$273*MAX($J$270,0)*$F369*(1-EXP(-$E369*($F$316*O$308+$G$316*O$248)))+$K$273*MAX($K$270,0)*$H369*(1-EXP(-$G369*($F$316*O$308+$G$316*O$248))))</f>
        <v>0</v>
      </c>
      <c r="P369" s="72">
        <f>-P$282/1000*($J$273*MAX($J$270,0)*$F369*(1-EXP(-$E369*($F$316*P$308+$G$316*P$248)))+$K$273*MAX($K$270,0)*$H369*(1-EXP(-$G369*($F$316*P$308+$G$316*P$248))))</f>
        <v>0</v>
      </c>
      <c r="Q369" s="72">
        <f>-Q$282/1000*($J$273*MAX($J$270,0)*$F369*(1-EXP(-$E369*($F$316*Q$308+$G$316*Q$248)))+$K$273*MAX($K$270,0)*$H369*(1-EXP(-$G369*($F$316*Q$308+$G$316*Q$248))))</f>
        <v>0</v>
      </c>
      <c r="R369" s="72">
        <f>-R$282/1000*($J$273*MAX($J$270,0)*$F369*(1-EXP(-$E369*($F$316*R$308+$G$316*R$248)))+$K$273*MAX($K$270,0)*$H369*(1-EXP(-$G369*($F$316*R$308+$G$316*R$248))))</f>
        <v>0</v>
      </c>
      <c r="S369" s="72">
        <f>-S$282/1000*($J$273*MAX($J$270,0)*$F369*(1-EXP(-$E369*($F$316*S$308+$G$316*S$248)))+$K$273*MAX($K$270,0)*$H369*(1-EXP(-$G369*($F$316*S$308+$G$316*S$248))))</f>
        <v>0</v>
      </c>
      <c r="T369" s="72">
        <f>-T$282/1000*($J$273*MAX($J$270,0)*$F369*(1-EXP(-$E369*($F$316*T$308+$G$316*T$248)))+$K$273*MAX($K$270,0)*$H369*(1-EXP(-$G369*($F$316*T$308+$G$316*T$248))))</f>
        <v>0</v>
      </c>
      <c r="U369" s="72">
        <f>-U$282/1000*($J$273*MAX($J$270,0)*$F369*(1-EXP(-$E369*($F$316*U$308+$G$316*U$248)))+$K$273*MAX($K$270,0)*$H369*(1-EXP(-$G369*($F$316*U$308+$G$316*U$248))))</f>
        <v>0</v>
      </c>
      <c r="V369" s="72">
        <f>-V$282/1000*($J$273*MAX($J$270,0)*$F369*(1-EXP(-$E369*($F$316*V$308+$G$316*V$248)))+$K$273*MAX($K$270,0)*$H369*(1-EXP(-$G369*($F$316*V$308+$G$316*V$248))))</f>
        <v>0</v>
      </c>
      <c r="W369" s="72">
        <f>-W$282/1000*($J$273*MAX($J$270,0)*$F369*(1-EXP(-$E369*($F$316*W$308+$G$316*W$248)))+$K$273*MAX($K$270,0)*$H369*(1-EXP(-$G369*($F$316*W$308+$G$316*W$248))))</f>
        <v>0</v>
      </c>
      <c r="X369" s="72">
        <f>-X$282/1000*($J$273*MAX($J$270,0)*$F369*(1-EXP(-$E369*($F$316*X$308+$G$316*X$248)))+$K$273*MAX($K$270,0)*$H369*(1-EXP(-$G369*($F$316*X$308+$G$316*X$248))))</f>
        <v>0</v>
      </c>
      <c r="Y369" s="72">
        <f>-Y$282/1000*($J$273*MAX($J$270,0)*$F369*(1-EXP(-$E369*($F$316*Y$308+$G$316*Y$248)))+$K$273*MAX($K$270,0)*$H369*(1-EXP(-$G369*($F$316*Y$308+$G$316*Y$248))))</f>
        <v>0</v>
      </c>
      <c r="Z369" s="72">
        <f>-Z$282/1000*($J$273*MAX($J$270,0)*$F369*(1-EXP(-$E369*($F$316*Z$308+$G$316*Z$248)))+$K$273*MAX($K$270,0)*$H369*(1-EXP(-$G369*($F$316*Z$308+$G$316*Z$248))))</f>
        <v>0</v>
      </c>
      <c r="AA369" s="72">
        <f>-AA$282/1000*($J$273*MAX($J$270,0)*$F369*(1-EXP(-$E369*($F$316*AA$308+$G$316*AA$248)))+$K$273*MAX($K$270,0)*$H369*(1-EXP(-$G369*($F$316*AA$308+$G$316*AA$248))))</f>
        <v>0</v>
      </c>
      <c r="AB369" s="72">
        <f>-AB$282/1000*($J$273*MAX($J$270,0)*$F369*(1-EXP(-$E369*($F$316*AB$308+$G$316*AB$248)))+$K$273*MAX($K$270,0)*$H369*(1-EXP(-$G369*($F$316*AB$308+$G$316*AB$248))))</f>
        <v>0</v>
      </c>
      <c r="AC369" s="72">
        <f>-AC$282/1000*($J$273*MAX($J$270,0)*$F369*(1-EXP(-$E369*($F$316*AC$308+$G$316*AC$248)))+$K$273*MAX($K$270,0)*$H369*(1-EXP(-$G369*($F$316*AC$308+$G$316*AC$248))))</f>
        <v>0</v>
      </c>
      <c r="AD369" s="72">
        <f>-AD$282/1000*($J$273*MAX($J$270,0)*$F369*(1-EXP(-$E369*($F$316*AD$308+$G$316*AD$248)))+$K$273*MAX($K$270,0)*$H369*(1-EXP(-$G369*($F$316*AD$308+$G$316*AD$248))))</f>
        <v>0</v>
      </c>
      <c r="AE369" s="72">
        <f>-AE$282/1000*($J$273*MAX($J$270,0)*$F369*(1-EXP(-$E369*($F$316*AE$308+$G$316*AE$248)))+$K$273*MAX($K$270,0)*$H369*(1-EXP(-$G369*($F$316*AE$308+$G$316*AE$248))))</f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>-L$283/1000*($J$273*MAX($J$271,0)*$F370*(1-EXP(-$E370*($F$317*L$308+$G$317*L$248)))+$K$273*MAX($K$271,0)*$H370*(1-EXP(-$G370*($F$317*L$308+$G$317*L$248))))</f>
        <v>0</v>
      </c>
      <c r="M370" s="72">
        <f>-M$283/1000*($J$273*MAX($J$271,0)*$F370*(1-EXP(-$E370*($F$317*M$308+$G$317*M$248)))+$K$273*MAX($K$271,0)*$H370*(1-EXP(-$G370*($F$317*M$308+$G$317*M$248))))</f>
        <v>0</v>
      </c>
      <c r="N370" s="72">
        <f>-N$283/1000*($J$273*MAX($J$271,0)*$F370*(1-EXP(-$E370*($F$317*N$308+$G$317*N$248)))+$K$273*MAX($K$271,0)*$H370*(1-EXP(-$G370*($F$317*N$308+$G$317*N$248))))</f>
        <v>0</v>
      </c>
      <c r="O370" s="72">
        <f>-O$283/1000*($J$273*MAX($J$271,0)*$F370*(1-EXP(-$E370*($F$317*O$308+$G$317*O$248)))+$K$273*MAX($K$271,0)*$H370*(1-EXP(-$G370*($F$317*O$308+$G$317*O$248))))</f>
        <v>0</v>
      </c>
      <c r="P370" s="72">
        <f>-P$283/1000*($J$273*MAX($J$271,0)*$F370*(1-EXP(-$E370*($F$317*P$308+$G$317*P$248)))+$K$273*MAX($K$271,0)*$H370*(1-EXP(-$G370*($F$317*P$308+$G$317*P$248))))</f>
        <v>0</v>
      </c>
      <c r="Q370" s="72">
        <f>-Q$283/1000*($J$273*MAX($J$271,0)*$F370*(1-EXP(-$E370*($F$317*Q$308+$G$317*Q$248)))+$K$273*MAX($K$271,0)*$H370*(1-EXP(-$G370*($F$317*Q$308+$G$317*Q$248))))</f>
        <v>0</v>
      </c>
      <c r="R370" s="72">
        <f>-R$283/1000*($J$273*MAX($J$271,0)*$F370*(1-EXP(-$E370*($F$317*R$308+$G$317*R$248)))+$K$273*MAX($K$271,0)*$H370*(1-EXP(-$G370*($F$317*R$308+$G$317*R$248))))</f>
        <v>0</v>
      </c>
      <c r="S370" s="72">
        <f>-S$283/1000*($J$273*MAX($J$271,0)*$F370*(1-EXP(-$E370*($F$317*S$308+$G$317*S$248)))+$K$273*MAX($K$271,0)*$H370*(1-EXP(-$G370*($F$317*S$308+$G$317*S$248))))</f>
        <v>0</v>
      </c>
      <c r="T370" s="72">
        <f>-T$283/1000*($J$273*MAX($J$271,0)*$F370*(1-EXP(-$E370*($F$317*T$308+$G$317*T$248)))+$K$273*MAX($K$271,0)*$H370*(1-EXP(-$G370*($F$317*T$308+$G$317*T$248))))</f>
        <v>0</v>
      </c>
      <c r="U370" s="72">
        <f>-U$283/1000*($J$273*MAX($J$271,0)*$F370*(1-EXP(-$E370*($F$317*U$308+$G$317*U$248)))+$K$273*MAX($K$271,0)*$H370*(1-EXP(-$G370*($F$317*U$308+$G$317*U$248))))</f>
        <v>0</v>
      </c>
      <c r="V370" s="72">
        <f>-V$283/1000*($J$273*MAX($J$271,0)*$F370*(1-EXP(-$E370*($F$317*V$308+$G$317*V$248)))+$K$273*MAX($K$271,0)*$H370*(1-EXP(-$G370*($F$317*V$308+$G$317*V$248))))</f>
        <v>0</v>
      </c>
      <c r="W370" s="72">
        <f>-W$283/1000*($J$273*MAX($J$271,0)*$F370*(1-EXP(-$E370*($F$317*W$308+$G$317*W$248)))+$K$273*MAX($K$271,0)*$H370*(1-EXP(-$G370*($F$317*W$308+$G$317*W$248))))</f>
        <v>0</v>
      </c>
      <c r="X370" s="72">
        <f>-X$283/1000*($J$273*MAX($J$271,0)*$F370*(1-EXP(-$E370*($F$317*X$308+$G$317*X$248)))+$K$273*MAX($K$271,0)*$H370*(1-EXP(-$G370*($F$317*X$308+$G$317*X$248))))</f>
        <v>0</v>
      </c>
      <c r="Y370" s="72">
        <f>-Y$283/1000*($J$273*MAX($J$271,0)*$F370*(1-EXP(-$E370*($F$317*Y$308+$G$317*Y$248)))+$K$273*MAX($K$271,0)*$H370*(1-EXP(-$G370*($F$317*Y$308+$G$317*Y$248))))</f>
        <v>0</v>
      </c>
      <c r="Z370" s="72">
        <f>-Z$283/1000*($J$273*MAX($J$271,0)*$F370*(1-EXP(-$E370*($F$317*Z$308+$G$317*Z$248)))+$K$273*MAX($K$271,0)*$H370*(1-EXP(-$G370*($F$317*Z$308+$G$317*Z$248))))</f>
        <v>0</v>
      </c>
      <c r="AA370" s="72">
        <f>-AA$283/1000*($J$273*MAX($J$271,0)*$F370*(1-EXP(-$E370*($F$317*AA$308+$G$317*AA$248)))+$K$273*MAX($K$271,0)*$H370*(1-EXP(-$G370*($F$317*AA$308+$G$317*AA$248))))</f>
        <v>0</v>
      </c>
      <c r="AB370" s="72">
        <f>-AB$283/1000*($J$273*MAX($J$271,0)*$F370*(1-EXP(-$E370*($F$317*AB$308+$G$317*AB$248)))+$K$273*MAX($K$271,0)*$H370*(1-EXP(-$G370*($F$317*AB$308+$G$317*AB$248))))</f>
        <v>0</v>
      </c>
      <c r="AC370" s="72">
        <f>-AC$283/1000*($J$273*MAX($J$271,0)*$F370*(1-EXP(-$E370*($F$317*AC$308+$G$317*AC$248)))+$K$273*MAX($K$271,0)*$H370*(1-EXP(-$G370*($F$317*AC$308+$G$317*AC$248))))</f>
        <v>0</v>
      </c>
      <c r="AD370" s="72">
        <f>-AD$283/1000*($J$273*MAX($J$271,0)*$F370*(1-EXP(-$E370*($F$317*AD$308+$G$317*AD$248)))+$K$273*MAX($K$271,0)*$H370*(1-EXP(-$G370*($F$317*AD$308+$G$317*AD$248))))</f>
        <v>0</v>
      </c>
      <c r="AE370" s="72">
        <f>-AE$283/1000*($J$273*MAX($J$271,0)*$F370*(1-EXP(-$E370*($F$317*AE$308+$G$317*AE$248)))+$K$273*MAX($K$271,0)*$H370*(1-EXP(-$G370*($F$317*AE$308+$G$317*AE$248))))</f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76">SUM(L363:L370)</f>
        <v>0</v>
      </c>
      <c r="M371" s="72">
        <f t="shared" si="176"/>
        <v>0</v>
      </c>
      <c r="N371" s="72">
        <f t="shared" si="176"/>
        <v>0</v>
      </c>
      <c r="O371" s="72">
        <f t="shared" si="176"/>
        <v>0</v>
      </c>
      <c r="P371" s="72">
        <f t="shared" si="176"/>
        <v>0</v>
      </c>
      <c r="Q371" s="72">
        <f t="shared" si="176"/>
        <v>0</v>
      </c>
      <c r="R371" s="72">
        <f t="shared" si="176"/>
        <v>0</v>
      </c>
      <c r="S371" s="72">
        <f t="shared" si="176"/>
        <v>0</v>
      </c>
      <c r="T371" s="72">
        <f t="shared" si="176"/>
        <v>0</v>
      </c>
      <c r="U371" s="72">
        <f t="shared" si="176"/>
        <v>0</v>
      </c>
      <c r="V371" s="72">
        <f t="shared" si="176"/>
        <v>0</v>
      </c>
      <c r="W371" s="72">
        <f t="shared" si="176"/>
        <v>0</v>
      </c>
      <c r="X371" s="72">
        <f t="shared" si="176"/>
        <v>0</v>
      </c>
      <c r="Y371" s="72">
        <f t="shared" si="176"/>
        <v>0</v>
      </c>
      <c r="Z371" s="72">
        <f t="shared" si="176"/>
        <v>0</v>
      </c>
      <c r="AA371" s="72">
        <f t="shared" si="176"/>
        <v>0</v>
      </c>
      <c r="AB371" s="72">
        <f t="shared" si="176"/>
        <v>0</v>
      </c>
      <c r="AC371" s="72">
        <f t="shared" si="176"/>
        <v>0</v>
      </c>
      <c r="AD371" s="72">
        <f t="shared" si="176"/>
        <v>0</v>
      </c>
      <c r="AE371" s="72">
        <f t="shared" si="176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77">SUM(L334:L336)+SUM(L356:L358)</f>
        <v>3.5290636333347374</v>
      </c>
      <c r="M374" s="72">
        <f t="shared" si="177"/>
        <v>3.6067030332681016</v>
      </c>
      <c r="N374" s="72">
        <f t="shared" si="177"/>
        <v>3.6860504999999999</v>
      </c>
      <c r="O374" s="72">
        <f t="shared" si="177"/>
        <v>3.7671436109999994</v>
      </c>
      <c r="P374" s="72">
        <f t="shared" si="177"/>
        <v>3.8500207704419993</v>
      </c>
      <c r="Q374" s="72">
        <f t="shared" si="177"/>
        <v>3.9347212273917234</v>
      </c>
      <c r="R374" s="72">
        <f t="shared" si="177"/>
        <v>4.0212850943943419</v>
      </c>
      <c r="S374" s="72">
        <f t="shared" si="177"/>
        <v>4.1097533664710166</v>
      </c>
      <c r="T374" s="72">
        <f t="shared" si="177"/>
        <v>4.2001679405333787</v>
      </c>
      <c r="U374" s="72">
        <f t="shared" si="177"/>
        <v>4.292571635225114</v>
      </c>
      <c r="V374" s="72">
        <f t="shared" si="177"/>
        <v>4.3870082112000661</v>
      </c>
      <c r="W374" s="72">
        <f t="shared" si="177"/>
        <v>4.4835223918464688</v>
      </c>
      <c r="X374" s="72">
        <f t="shared" si="177"/>
        <v>4.5821598844670905</v>
      </c>
      <c r="Y374" s="72">
        <f t="shared" si="177"/>
        <v>4.6829674019253673</v>
      </c>
      <c r="Z374" s="72">
        <f t="shared" si="177"/>
        <v>4.7859926847677254</v>
      </c>
      <c r="AA374" s="72">
        <f t="shared" si="177"/>
        <v>4.8912845238326152</v>
      </c>
      <c r="AB374" s="72">
        <f t="shared" si="177"/>
        <v>4.9988927833569319</v>
      </c>
      <c r="AC374" s="72">
        <f t="shared" si="177"/>
        <v>5.1088684245907858</v>
      </c>
      <c r="AD374" s="72">
        <f t="shared" si="177"/>
        <v>5.2212635299317824</v>
      </c>
      <c r="AE374" s="72">
        <f t="shared" si="177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78">SUM(L330:L332)+SUM(L352:L354)</f>
        <v>3.8464212577619237</v>
      </c>
      <c r="M375" s="72">
        <f t="shared" si="178"/>
        <v>4.0156637931034478</v>
      </c>
      <c r="N375" s="72">
        <f t="shared" si="178"/>
        <v>4.1923530000000007</v>
      </c>
      <c r="O375" s="72">
        <f t="shared" si="178"/>
        <v>4.3768165320000012</v>
      </c>
      <c r="P375" s="72">
        <f t="shared" si="178"/>
        <v>4.5693964594080008</v>
      </c>
      <c r="Q375" s="72">
        <f t="shared" si="178"/>
        <v>4.7704499036219534</v>
      </c>
      <c r="R375" s="72">
        <f t="shared" si="178"/>
        <v>4.9803496993813186</v>
      </c>
      <c r="S375" s="72">
        <f t="shared" si="178"/>
        <v>5.1994850861540982</v>
      </c>
      <c r="T375" s="72">
        <f t="shared" si="178"/>
        <v>5.4282624299448781</v>
      </c>
      <c r="U375" s="72">
        <f t="shared" si="178"/>
        <v>5.6671059768624525</v>
      </c>
      <c r="V375" s="72">
        <f t="shared" si="178"/>
        <v>5.9164586398444019</v>
      </c>
      <c r="W375" s="72">
        <f t="shared" si="178"/>
        <v>6.1767828199975545</v>
      </c>
      <c r="X375" s="72">
        <f t="shared" si="178"/>
        <v>6.4485612640774477</v>
      </c>
      <c r="Y375" s="72">
        <f t="shared" si="178"/>
        <v>6.7322979596968553</v>
      </c>
      <c r="Z375" s="72">
        <f t="shared" si="178"/>
        <v>7.0285190699235169</v>
      </c>
      <c r="AA375" s="72">
        <f t="shared" si="178"/>
        <v>7.3377739090001519</v>
      </c>
      <c r="AB375" s="72">
        <f t="shared" si="178"/>
        <v>7.6606359609961583</v>
      </c>
      <c r="AC375" s="72">
        <f t="shared" si="178"/>
        <v>7.9977039432799906</v>
      </c>
      <c r="AD375" s="72">
        <f t="shared" si="178"/>
        <v>8.3496029167843098</v>
      </c>
      <c r="AE375" s="72">
        <f t="shared" si="178"/>
        <v>8.7169854451228197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79">L337+L359</f>
        <v>4.2047573055412055E-2</v>
      </c>
      <c r="M376" s="72">
        <f t="shared" si="179"/>
        <v>4.4360189573459712E-2</v>
      </c>
      <c r="N376" s="72">
        <f t="shared" si="179"/>
        <v>4.6799999999999994E-2</v>
      </c>
      <c r="O376" s="72">
        <f t="shared" si="179"/>
        <v>4.9374000000000001E-2</v>
      </c>
      <c r="P376" s="72">
        <f t="shared" si="179"/>
        <v>5.2089569999999995E-2</v>
      </c>
      <c r="Q376" s="72">
        <f t="shared" si="179"/>
        <v>5.4954496349999993E-2</v>
      </c>
      <c r="R376" s="72">
        <f t="shared" si="179"/>
        <v>5.7976993649249998E-2</v>
      </c>
      <c r="S376" s="72">
        <f t="shared" si="179"/>
        <v>6.1165728299958741E-2</v>
      </c>
      <c r="T376" s="72">
        <f t="shared" si="179"/>
        <v>6.4529843356456465E-2</v>
      </c>
      <c r="U376" s="72">
        <f t="shared" si="179"/>
        <v>6.8078984741061568E-2</v>
      </c>
      <c r="V376" s="72">
        <f t="shared" si="179"/>
        <v>7.1823328901819944E-2</v>
      </c>
      <c r="W376" s="72">
        <f t="shared" si="179"/>
        <v>7.5773611991420048E-2</v>
      </c>
      <c r="X376" s="72">
        <f t="shared" si="179"/>
        <v>7.9941160650948154E-2</v>
      </c>
      <c r="Y376" s="72">
        <f t="shared" si="179"/>
        <v>8.4337924486750301E-2</v>
      </c>
      <c r="Z376" s="72">
        <f t="shared" si="179"/>
        <v>8.8976510333521566E-2</v>
      </c>
      <c r="AA376" s="72">
        <f t="shared" si="179"/>
        <v>9.3870218401865241E-2</v>
      </c>
      <c r="AB376" s="72">
        <f t="shared" si="179"/>
        <v>9.9033080413967828E-2</v>
      </c>
      <c r="AC376" s="72">
        <f t="shared" si="179"/>
        <v>0.10447989983673606</v>
      </c>
      <c r="AD376" s="72">
        <f t="shared" si="179"/>
        <v>0.11022629432775652</v>
      </c>
      <c r="AE376" s="72">
        <f t="shared" si="179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80">L333+L355</f>
        <v>13.508713893592759</v>
      </c>
      <c r="M378" s="72">
        <f t="shared" si="180"/>
        <v>13.954501452081319</v>
      </c>
      <c r="N378" s="72">
        <f t="shared" si="180"/>
        <v>14.414999999999999</v>
      </c>
      <c r="O378" s="72">
        <f t="shared" si="180"/>
        <v>14.890694999999997</v>
      </c>
      <c r="P378" s="72">
        <f t="shared" si="180"/>
        <v>15.382087934999998</v>
      </c>
      <c r="Q378" s="72">
        <f t="shared" si="180"/>
        <v>15.889696836854995</v>
      </c>
      <c r="R378" s="72">
        <f t="shared" si="180"/>
        <v>16.414056832471207</v>
      </c>
      <c r="S378" s="72">
        <f t="shared" si="180"/>
        <v>16.955720707942756</v>
      </c>
      <c r="T378" s="72">
        <f t="shared" si="180"/>
        <v>17.515259491304867</v>
      </c>
      <c r="U378" s="72">
        <f t="shared" si="180"/>
        <v>18.093263054517926</v>
      </c>
      <c r="V378" s="72">
        <f t="shared" si="180"/>
        <v>18.690340735317015</v>
      </c>
      <c r="W378" s="72">
        <f t="shared" si="180"/>
        <v>19.307121979582476</v>
      </c>
      <c r="X378" s="72">
        <f t="shared" si="180"/>
        <v>19.944257004908696</v>
      </c>
      <c r="Y378" s="72">
        <f t="shared" si="180"/>
        <v>20.602417486070681</v>
      </c>
      <c r="Z378" s="72">
        <f t="shared" si="180"/>
        <v>21.282297263111012</v>
      </c>
      <c r="AA378" s="72">
        <f t="shared" si="180"/>
        <v>21.984613072793675</v>
      </c>
      <c r="AB378" s="72">
        <f t="shared" si="180"/>
        <v>22.710105304195867</v>
      </c>
      <c r="AC378" s="72">
        <f t="shared" si="180"/>
        <v>23.459538779234329</v>
      </c>
      <c r="AD378" s="72">
        <f t="shared" si="180"/>
        <v>24.23370355894906</v>
      </c>
      <c r="AE378" s="72">
        <f t="shared" si="180"/>
        <v>25.033415776394378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81">SUM(L374:L378)</f>
        <v>20.926246357744834</v>
      </c>
      <c r="M379" s="72">
        <f t="shared" si="181"/>
        <v>21.621228468026327</v>
      </c>
      <c r="N379" s="72">
        <f t="shared" si="181"/>
        <v>22.340203500000001</v>
      </c>
      <c r="O379" s="72">
        <f t="shared" si="181"/>
        <v>23.084029142999999</v>
      </c>
      <c r="P379" s="72">
        <f t="shared" si="181"/>
        <v>23.853594734849999</v>
      </c>
      <c r="Q379" s="72">
        <f t="shared" si="181"/>
        <v>24.649822464218673</v>
      </c>
      <c r="R379" s="72">
        <f t="shared" si="181"/>
        <v>25.473668619896117</v>
      </c>
      <c r="S379" s="72">
        <f t="shared" si="181"/>
        <v>26.326124888867831</v>
      </c>
      <c r="T379" s="72">
        <f t="shared" si="181"/>
        <v>27.20821970513958</v>
      </c>
      <c r="U379" s="72">
        <f t="shared" si="181"/>
        <v>28.121019651346558</v>
      </c>
      <c r="V379" s="72">
        <f t="shared" si="181"/>
        <v>29.065630915263306</v>
      </c>
      <c r="W379" s="72">
        <f t="shared" si="181"/>
        <v>30.043200803417918</v>
      </c>
      <c r="X379" s="72">
        <f t="shared" si="181"/>
        <v>31.054919314104183</v>
      </c>
      <c r="Y379" s="72">
        <f t="shared" si="181"/>
        <v>32.102020772179657</v>
      </c>
      <c r="Z379" s="72">
        <f t="shared" si="181"/>
        <v>33.185785528135774</v>
      </c>
      <c r="AA379" s="72">
        <f t="shared" si="181"/>
        <v>34.307541724028304</v>
      </c>
      <c r="AB379" s="72">
        <f t="shared" si="181"/>
        <v>35.46866712896292</v>
      </c>
      <c r="AC379" s="72">
        <f t="shared" si="181"/>
        <v>36.670591046941837</v>
      </c>
      <c r="AD379" s="72">
        <f t="shared" si="181"/>
        <v>37.914796299992908</v>
      </c>
      <c r="AE379" s="72">
        <f t="shared" si="181"/>
        <v>39.202821289623259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1873</v>
      </c>
      <c r="E380" s="72" t="s">
        <v>1874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82">L$379+L$390</f>
        <v>47.016585657660869</v>
      </c>
      <c r="M380" s="72">
        <f t="shared" si="182"/>
        <v>48.583140104124077</v>
      </c>
      <c r="N380" s="72">
        <f t="shared" si="182"/>
        <v>50.203203500000001</v>
      </c>
      <c r="O380" s="72">
        <f t="shared" si="182"/>
        <v>51.878652142999996</v>
      </c>
      <c r="P380" s="72">
        <f t="shared" si="182"/>
        <v>53.611430083849996</v>
      </c>
      <c r="Q380" s="72">
        <f t="shared" si="182"/>
        <v>55.403551656613665</v>
      </c>
      <c r="R380" s="72">
        <f t="shared" si="182"/>
        <v>57.257104107200519</v>
      </c>
      <c r="S380" s="72">
        <f t="shared" si="182"/>
        <v>59.174250324032492</v>
      </c>
      <c r="T380" s="72">
        <f t="shared" si="182"/>
        <v>61.157231675010621</v>
      </c>
      <c r="U380" s="72">
        <f t="shared" si="182"/>
        <v>63.208370955098921</v>
      </c>
      <c r="V380" s="72">
        <f t="shared" si="182"/>
        <v>65.330075449025713</v>
      </c>
      <c r="W380" s="72">
        <f t="shared" si="182"/>
        <v>67.52484011379407</v>
      </c>
      <c r="X380" s="72">
        <f t="shared" si="182"/>
        <v>69.795250885892756</v>
      </c>
      <c r="Y380" s="72">
        <f t="shared" si="182"/>
        <v>72.143988118307959</v>
      </c>
      <c r="Z380" s="72">
        <f t="shared" si="182"/>
        <v>74.573830152653855</v>
      </c>
      <c r="AA380" s="72">
        <f t="shared" si="182"/>
        <v>77.087657031968206</v>
      </c>
      <c r="AB380" s="72">
        <f t="shared" si="182"/>
        <v>79.688454359956467</v>
      </c>
      <c r="AC380" s="72">
        <f t="shared" si="182"/>
        <v>82.37931731271712</v>
      </c>
      <c r="AD380" s="72">
        <f t="shared" si="182"/>
        <v>85.163454809240363</v>
      </c>
      <c r="AE380" s="72">
        <f t="shared" si="182"/>
        <v>88.044193847243605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1875</v>
      </c>
      <c r="E381" s="72" t="s">
        <v>1874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83">L$360+L$371</f>
        <v>0</v>
      </c>
      <c r="M381" s="72">
        <f t="shared" si="183"/>
        <v>0</v>
      </c>
      <c r="N381" s="72">
        <f t="shared" si="183"/>
        <v>0</v>
      </c>
      <c r="O381" s="72">
        <f t="shared" si="183"/>
        <v>0</v>
      </c>
      <c r="P381" s="72">
        <f t="shared" si="183"/>
        <v>0</v>
      </c>
      <c r="Q381" s="72">
        <f t="shared" si="183"/>
        <v>0</v>
      </c>
      <c r="R381" s="72">
        <f t="shared" si="183"/>
        <v>0</v>
      </c>
      <c r="S381" s="72">
        <f t="shared" si="183"/>
        <v>0</v>
      </c>
      <c r="T381" s="72">
        <f t="shared" si="183"/>
        <v>0</v>
      </c>
      <c r="U381" s="72">
        <f t="shared" si="183"/>
        <v>0</v>
      </c>
      <c r="V381" s="72">
        <f t="shared" si="183"/>
        <v>0</v>
      </c>
      <c r="W381" s="72">
        <f t="shared" si="183"/>
        <v>0</v>
      </c>
      <c r="X381" s="72">
        <f t="shared" si="183"/>
        <v>0</v>
      </c>
      <c r="Y381" s="72">
        <f t="shared" si="183"/>
        <v>0</v>
      </c>
      <c r="Z381" s="72">
        <f t="shared" si="183"/>
        <v>0</v>
      </c>
      <c r="AA381" s="72">
        <f t="shared" si="183"/>
        <v>0</v>
      </c>
      <c r="AB381" s="72">
        <f t="shared" si="183"/>
        <v>0</v>
      </c>
      <c r="AC381" s="72">
        <f t="shared" si="183"/>
        <v>0</v>
      </c>
      <c r="AD381" s="72">
        <f t="shared" si="183"/>
        <v>0</v>
      </c>
      <c r="AE381" s="72">
        <f t="shared" si="183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1905</v>
      </c>
      <c r="E382" s="72" t="s">
        <v>1876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84">SUMPRODUCT((L$330:L$337+L$352:L$359)*$I$330:$I$337*($F$299:$F$306*L$247+$G$299:$G$306*L$248))</f>
        <v>0</v>
      </c>
      <c r="M382" s="72">
        <f t="shared" si="184"/>
        <v>0</v>
      </c>
      <c r="N382" s="72">
        <f t="shared" si="184"/>
        <v>0</v>
      </c>
      <c r="O382" s="72">
        <f t="shared" si="184"/>
        <v>0</v>
      </c>
      <c r="P382" s="72">
        <f t="shared" si="184"/>
        <v>0</v>
      </c>
      <c r="Q382" s="72">
        <f t="shared" si="184"/>
        <v>0</v>
      </c>
      <c r="R382" s="72">
        <f t="shared" si="184"/>
        <v>0</v>
      </c>
      <c r="S382" s="72">
        <f t="shared" si="184"/>
        <v>0</v>
      </c>
      <c r="T382" s="72">
        <f t="shared" si="184"/>
        <v>0</v>
      </c>
      <c r="U382" s="72">
        <f t="shared" si="184"/>
        <v>0</v>
      </c>
      <c r="V382" s="72">
        <f t="shared" si="184"/>
        <v>0</v>
      </c>
      <c r="W382" s="72">
        <f t="shared" si="184"/>
        <v>0</v>
      </c>
      <c r="X382" s="72">
        <f t="shared" si="184"/>
        <v>0</v>
      </c>
      <c r="Y382" s="72">
        <f t="shared" si="184"/>
        <v>0</v>
      </c>
      <c r="Z382" s="72">
        <f t="shared" si="184"/>
        <v>0</v>
      </c>
      <c r="AA382" s="72">
        <f t="shared" si="184"/>
        <v>0</v>
      </c>
      <c r="AB382" s="72">
        <f t="shared" si="184"/>
        <v>0</v>
      </c>
      <c r="AC382" s="72">
        <f t="shared" si="184"/>
        <v>0</v>
      </c>
      <c r="AD382" s="72">
        <f t="shared" si="184"/>
        <v>0</v>
      </c>
      <c r="AE382" s="72">
        <f t="shared" si="184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1924</v>
      </c>
      <c r="E383" s="72" t="s">
        <v>1876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85">SUMPRODUCT((L$341:L$348*$J$330:$J$337+L$363:L$370)*($F$310:$F$317*L$308+$G$310:$G$317*L$248))</f>
        <v>0</v>
      </c>
      <c r="M383" s="72">
        <f t="shared" si="185"/>
        <v>0</v>
      </c>
      <c r="N383" s="72">
        <f t="shared" si="185"/>
        <v>0</v>
      </c>
      <c r="O383" s="72">
        <f t="shared" si="185"/>
        <v>0</v>
      </c>
      <c r="P383" s="72">
        <f t="shared" si="185"/>
        <v>0</v>
      </c>
      <c r="Q383" s="72">
        <f t="shared" si="185"/>
        <v>0</v>
      </c>
      <c r="R383" s="72">
        <f t="shared" si="185"/>
        <v>0</v>
      </c>
      <c r="S383" s="72">
        <f t="shared" si="185"/>
        <v>0</v>
      </c>
      <c r="T383" s="72">
        <f t="shared" si="185"/>
        <v>0</v>
      </c>
      <c r="U383" s="72">
        <f t="shared" si="185"/>
        <v>0</v>
      </c>
      <c r="V383" s="72">
        <f t="shared" si="185"/>
        <v>0</v>
      </c>
      <c r="W383" s="72">
        <f t="shared" si="185"/>
        <v>0</v>
      </c>
      <c r="X383" s="72">
        <f t="shared" si="185"/>
        <v>0</v>
      </c>
      <c r="Y383" s="72">
        <f t="shared" si="185"/>
        <v>0</v>
      </c>
      <c r="Z383" s="72">
        <f t="shared" si="185"/>
        <v>0</v>
      </c>
      <c r="AA383" s="72">
        <f t="shared" si="185"/>
        <v>0</v>
      </c>
      <c r="AB383" s="72">
        <f t="shared" si="185"/>
        <v>0</v>
      </c>
      <c r="AC383" s="72">
        <f t="shared" si="185"/>
        <v>0</v>
      </c>
      <c r="AD383" s="72">
        <f t="shared" si="185"/>
        <v>0</v>
      </c>
      <c r="AE383" s="72">
        <f t="shared" si="185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86">SUM(L345:L347)+SUM(L367:L369)</f>
        <v>0.55721293959505358</v>
      </c>
      <c r="M385" s="72">
        <f t="shared" si="186"/>
        <v>0.56947162426614473</v>
      </c>
      <c r="N385" s="72">
        <f t="shared" si="186"/>
        <v>0.58199999999999996</v>
      </c>
      <c r="O385" s="72">
        <f t="shared" si="186"/>
        <v>0.594804</v>
      </c>
      <c r="P385" s="72">
        <f t="shared" si="186"/>
        <v>0.60788968800000009</v>
      </c>
      <c r="Q385" s="72">
        <f t="shared" si="186"/>
        <v>0.62126326113599994</v>
      </c>
      <c r="R385" s="72">
        <f t="shared" si="186"/>
        <v>0.63493105288099194</v>
      </c>
      <c r="S385" s="72">
        <f t="shared" si="186"/>
        <v>0.64889953604437378</v>
      </c>
      <c r="T385" s="72">
        <f t="shared" si="186"/>
        <v>0.66317532583735006</v>
      </c>
      <c r="U385" s="72">
        <f t="shared" si="186"/>
        <v>0.67776518300577182</v>
      </c>
      <c r="V385" s="72">
        <f t="shared" si="186"/>
        <v>0.69267601703189885</v>
      </c>
      <c r="W385" s="72">
        <f t="shared" si="186"/>
        <v>0.70791488940660052</v>
      </c>
      <c r="X385" s="72">
        <f t="shared" si="186"/>
        <v>0.72348901697354573</v>
      </c>
      <c r="Y385" s="72">
        <f t="shared" si="186"/>
        <v>0.73940577534696372</v>
      </c>
      <c r="Z385" s="72">
        <f t="shared" si="186"/>
        <v>0.75567270240459705</v>
      </c>
      <c r="AA385" s="72">
        <f t="shared" si="186"/>
        <v>0.77229750185749824</v>
      </c>
      <c r="AB385" s="72">
        <f t="shared" si="186"/>
        <v>0.78928804689836318</v>
      </c>
      <c r="AC385" s="72">
        <f t="shared" si="186"/>
        <v>0.80665238393012717</v>
      </c>
      <c r="AD385" s="72">
        <f t="shared" si="186"/>
        <v>0.82439873637659</v>
      </c>
      <c r="AE385" s="72">
        <f t="shared" si="186"/>
        <v>0.84253550857687498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87">SUM(L341:L343)+SUM(L363:L365)</f>
        <v>0.25322587748271458</v>
      </c>
      <c r="M386" s="72">
        <f t="shared" si="187"/>
        <v>0.26436781609195403</v>
      </c>
      <c r="N386" s="72">
        <f t="shared" si="187"/>
        <v>0.27599999999999997</v>
      </c>
      <c r="O386" s="72">
        <f t="shared" si="187"/>
        <v>0.28814400000000001</v>
      </c>
      <c r="P386" s="72">
        <f t="shared" si="187"/>
        <v>0.30082233600000008</v>
      </c>
      <c r="Q386" s="72">
        <f t="shared" si="187"/>
        <v>0.31405851878400004</v>
      </c>
      <c r="R386" s="72">
        <f t="shared" si="187"/>
        <v>0.32787709361049611</v>
      </c>
      <c r="S386" s="72">
        <f t="shared" si="187"/>
        <v>0.34230368572935788</v>
      </c>
      <c r="T386" s="72">
        <f t="shared" si="187"/>
        <v>0.35736504790144968</v>
      </c>
      <c r="U386" s="72">
        <f t="shared" si="187"/>
        <v>0.37308911000911349</v>
      </c>
      <c r="V386" s="72">
        <f t="shared" si="187"/>
        <v>0.38950503084951449</v>
      </c>
      <c r="W386" s="72">
        <f t="shared" si="187"/>
        <v>0.40664325220689312</v>
      </c>
      <c r="X386" s="72">
        <f t="shared" si="187"/>
        <v>0.42453555530399645</v>
      </c>
      <c r="Y386" s="72">
        <f t="shared" si="187"/>
        <v>0.44321511973737227</v>
      </c>
      <c r="Z386" s="72">
        <f t="shared" si="187"/>
        <v>0.46271658500581669</v>
      </c>
      <c r="AA386" s="72">
        <f t="shared" si="187"/>
        <v>0.48307611474607259</v>
      </c>
      <c r="AB386" s="72">
        <f t="shared" si="187"/>
        <v>0.5043314637948999</v>
      </c>
      <c r="AC386" s="72">
        <f t="shared" si="187"/>
        <v>0.52652204820187531</v>
      </c>
      <c r="AD386" s="72">
        <f t="shared" si="187"/>
        <v>0.54968901832275785</v>
      </c>
      <c r="AE386" s="72">
        <f t="shared" si="187"/>
        <v>0.57387533512895927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88">L348+L370</f>
        <v>0.63340895307832257</v>
      </c>
      <c r="M387" s="72">
        <f t="shared" si="188"/>
        <v>0.66824644549763035</v>
      </c>
      <c r="N387" s="72">
        <f t="shared" si="188"/>
        <v>0.70499999999999996</v>
      </c>
      <c r="O387" s="72">
        <f t="shared" si="188"/>
        <v>0.74377499999999996</v>
      </c>
      <c r="P387" s="72">
        <f t="shared" si="188"/>
        <v>0.78468262499999997</v>
      </c>
      <c r="Q387" s="72">
        <f t="shared" si="188"/>
        <v>0.82784016937499993</v>
      </c>
      <c r="R387" s="72">
        <f t="shared" si="188"/>
        <v>0.87337137869062498</v>
      </c>
      <c r="S387" s="72">
        <f t="shared" si="188"/>
        <v>0.92140680451860935</v>
      </c>
      <c r="T387" s="72">
        <f t="shared" si="188"/>
        <v>0.97208417876713282</v>
      </c>
      <c r="U387" s="72">
        <f t="shared" si="188"/>
        <v>1.025548808599325</v>
      </c>
      <c r="V387" s="72">
        <f t="shared" si="188"/>
        <v>1.0819539930722879</v>
      </c>
      <c r="W387" s="72">
        <f t="shared" si="188"/>
        <v>1.1414614626912638</v>
      </c>
      <c r="X387" s="72">
        <f t="shared" si="188"/>
        <v>1.2042418431392832</v>
      </c>
      <c r="Y387" s="72">
        <f t="shared" si="188"/>
        <v>1.2704751445119435</v>
      </c>
      <c r="Z387" s="72">
        <f t="shared" si="188"/>
        <v>1.3403512774601003</v>
      </c>
      <c r="AA387" s="72">
        <f t="shared" si="188"/>
        <v>1.4140705977204062</v>
      </c>
      <c r="AB387" s="72">
        <f t="shared" si="188"/>
        <v>1.4918444805950282</v>
      </c>
      <c r="AC387" s="72">
        <f t="shared" si="188"/>
        <v>1.5738959270277546</v>
      </c>
      <c r="AD387" s="72">
        <f t="shared" si="188"/>
        <v>1.660460203014281</v>
      </c>
      <c r="AE387" s="72">
        <f t="shared" si="188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89">L344+L366</f>
        <v>24.646491529759945</v>
      </c>
      <c r="M389" s="72">
        <f t="shared" si="189"/>
        <v>25.459825750242022</v>
      </c>
      <c r="N389" s="72">
        <f t="shared" si="189"/>
        <v>26.3</v>
      </c>
      <c r="O389" s="72">
        <f t="shared" si="189"/>
        <v>27.167899999999999</v>
      </c>
      <c r="P389" s="72">
        <f t="shared" si="189"/>
        <v>28.064440699999995</v>
      </c>
      <c r="Q389" s="72">
        <f t="shared" si="189"/>
        <v>28.990567243099992</v>
      </c>
      <c r="R389" s="72">
        <f t="shared" si="189"/>
        <v>29.947255962122291</v>
      </c>
      <c r="S389" s="72">
        <f t="shared" si="189"/>
        <v>30.935515408872323</v>
      </c>
      <c r="T389" s="72">
        <f t="shared" si="189"/>
        <v>31.956387417365111</v>
      </c>
      <c r="U389" s="72">
        <f t="shared" si="189"/>
        <v>33.010948202138152</v>
      </c>
      <c r="V389" s="72">
        <f t="shared" si="189"/>
        <v>34.100309492808705</v>
      </c>
      <c r="W389" s="72">
        <f t="shared" si="189"/>
        <v>35.225619706071399</v>
      </c>
      <c r="X389" s="72">
        <f t="shared" si="189"/>
        <v>36.388065156371745</v>
      </c>
      <c r="Y389" s="72">
        <f t="shared" si="189"/>
        <v>37.588871306532013</v>
      </c>
      <c r="Z389" s="72">
        <f t="shared" si="189"/>
        <v>38.829304059647569</v>
      </c>
      <c r="AA389" s="72">
        <f t="shared" si="189"/>
        <v>40.110671093615935</v>
      </c>
      <c r="AB389" s="72">
        <f t="shared" si="189"/>
        <v>41.434323239705257</v>
      </c>
      <c r="AC389" s="72">
        <f t="shared" si="189"/>
        <v>42.801655906615522</v>
      </c>
      <c r="AD389" s="72">
        <f t="shared" si="189"/>
        <v>44.214110551533835</v>
      </c>
      <c r="AE389" s="72">
        <f t="shared" si="189"/>
        <v>45.673176199734449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90">SUM(L385:L389)</f>
        <v>26.090339299916035</v>
      </c>
      <c r="M390" s="72">
        <f t="shared" si="190"/>
        <v>26.961911636097749</v>
      </c>
      <c r="N390" s="72">
        <f t="shared" si="190"/>
        <v>27.863</v>
      </c>
      <c r="O390" s="72">
        <f t="shared" si="190"/>
        <v>28.794623000000001</v>
      </c>
      <c r="P390" s="72">
        <f t="shared" si="190"/>
        <v>29.757835348999997</v>
      </c>
      <c r="Q390" s="72">
        <f t="shared" si="190"/>
        <v>30.753729192394992</v>
      </c>
      <c r="R390" s="72">
        <f t="shared" si="190"/>
        <v>31.783435487304406</v>
      </c>
      <c r="S390" s="72">
        <f t="shared" si="190"/>
        <v>32.848125435164661</v>
      </c>
      <c r="T390" s="72">
        <f t="shared" si="190"/>
        <v>33.949011969871044</v>
      </c>
      <c r="U390" s="72">
        <f t="shared" si="190"/>
        <v>35.087351303752364</v>
      </c>
      <c r="V390" s="72">
        <f t="shared" si="190"/>
        <v>36.264444533762408</v>
      </c>
      <c r="W390" s="72">
        <f t="shared" si="190"/>
        <v>37.481639310376153</v>
      </c>
      <c r="X390" s="72">
        <f t="shared" si="190"/>
        <v>38.740331571788573</v>
      </c>
      <c r="Y390" s="72">
        <f t="shared" si="190"/>
        <v>40.041967346128295</v>
      </c>
      <c r="Z390" s="72">
        <f t="shared" si="190"/>
        <v>41.388044624518081</v>
      </c>
      <c r="AA390" s="72">
        <f t="shared" si="190"/>
        <v>42.780115307939909</v>
      </c>
      <c r="AB390" s="72">
        <f t="shared" si="190"/>
        <v>44.219787230993546</v>
      </c>
      <c r="AC390" s="72">
        <f t="shared" si="190"/>
        <v>45.708726265775283</v>
      </c>
      <c r="AD390" s="72">
        <f t="shared" si="190"/>
        <v>47.248658509247463</v>
      </c>
      <c r="AE390" s="72">
        <f t="shared" si="190"/>
        <v>48.841372557620346</v>
      </c>
      <c r="AF390" s="70"/>
      <c r="AG390" s="70"/>
      <c r="AH390" s="70"/>
      <c r="AI390" s="70"/>
    </row>
    <row r="391" spans="1:35" x14ac:dyDescent="0.45">
      <c r="A391" s="70"/>
      <c r="B391" s="52" t="s">
        <v>1877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91">L362</f>
        <v>2022</v>
      </c>
      <c r="M391" s="74">
        <f t="shared" si="191"/>
        <v>2023</v>
      </c>
      <c r="N391" s="74">
        <f t="shared" si="191"/>
        <v>2024</v>
      </c>
      <c r="O391" s="74">
        <f t="shared" si="191"/>
        <v>2025</v>
      </c>
      <c r="P391" s="74">
        <f t="shared" si="191"/>
        <v>2026</v>
      </c>
      <c r="Q391" s="74">
        <f t="shared" si="191"/>
        <v>2027</v>
      </c>
      <c r="R391" s="74">
        <f t="shared" si="191"/>
        <v>2028</v>
      </c>
      <c r="S391" s="74">
        <f t="shared" si="191"/>
        <v>2029</v>
      </c>
      <c r="T391" s="74">
        <f t="shared" si="191"/>
        <v>2030</v>
      </c>
      <c r="U391" s="74">
        <f t="shared" si="191"/>
        <v>2031</v>
      </c>
      <c r="V391" s="74">
        <f t="shared" si="191"/>
        <v>2032</v>
      </c>
      <c r="W391" s="74">
        <f t="shared" si="191"/>
        <v>2033</v>
      </c>
      <c r="X391" s="74">
        <f t="shared" si="191"/>
        <v>2034</v>
      </c>
      <c r="Y391" s="74">
        <f t="shared" si="191"/>
        <v>2035</v>
      </c>
      <c r="Z391" s="74">
        <f t="shared" si="191"/>
        <v>2036</v>
      </c>
      <c r="AA391" s="74">
        <f t="shared" si="191"/>
        <v>2037</v>
      </c>
      <c r="AB391" s="74">
        <f t="shared" si="191"/>
        <v>2038</v>
      </c>
      <c r="AC391" s="74">
        <f t="shared" si="191"/>
        <v>2039</v>
      </c>
      <c r="AD391" s="74">
        <f t="shared" si="191"/>
        <v>2040</v>
      </c>
      <c r="AE391" s="74">
        <f t="shared" si="191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92">(L330+L352)*$I330*($F299*L$247+$G299*L$248)+(L341*$J330+L363)*($F310*L$308+$G310*L$248)</f>
        <v>0</v>
      </c>
      <c r="M392" s="72">
        <f t="shared" si="192"/>
        <v>0</v>
      </c>
      <c r="N392" s="72">
        <f t="shared" si="192"/>
        <v>0</v>
      </c>
      <c r="O392" s="72">
        <f t="shared" si="192"/>
        <v>0</v>
      </c>
      <c r="P392" s="72">
        <f t="shared" si="192"/>
        <v>0</v>
      </c>
      <c r="Q392" s="72">
        <f t="shared" si="192"/>
        <v>0</v>
      </c>
      <c r="R392" s="72">
        <f t="shared" si="192"/>
        <v>0</v>
      </c>
      <c r="S392" s="72">
        <f t="shared" si="192"/>
        <v>0</v>
      </c>
      <c r="T392" s="72">
        <f t="shared" si="192"/>
        <v>0</v>
      </c>
      <c r="U392" s="72">
        <f t="shared" si="192"/>
        <v>0</v>
      </c>
      <c r="V392" s="72">
        <f t="shared" si="192"/>
        <v>0</v>
      </c>
      <c r="W392" s="72">
        <f t="shared" si="192"/>
        <v>0</v>
      </c>
      <c r="X392" s="72">
        <f t="shared" si="192"/>
        <v>0</v>
      </c>
      <c r="Y392" s="72">
        <f t="shared" si="192"/>
        <v>0</v>
      </c>
      <c r="Z392" s="72">
        <f t="shared" si="192"/>
        <v>0</v>
      </c>
      <c r="AA392" s="72">
        <f t="shared" si="192"/>
        <v>0</v>
      </c>
      <c r="AB392" s="72">
        <f t="shared" si="192"/>
        <v>0</v>
      </c>
      <c r="AC392" s="72">
        <f t="shared" si="192"/>
        <v>0</v>
      </c>
      <c r="AD392" s="72">
        <f t="shared" si="192"/>
        <v>0</v>
      </c>
      <c r="AE392" s="72">
        <f t="shared" si="192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93">(L331+L353)*$I331*($F300*L$247+$G300*L$248)+(L342*$J331+L364)*($F311*L$308+$G311*L$248)</f>
        <v>0</v>
      </c>
      <c r="M393" s="72">
        <f t="shared" si="193"/>
        <v>0</v>
      </c>
      <c r="N393" s="72">
        <f t="shared" si="193"/>
        <v>0</v>
      </c>
      <c r="O393" s="72">
        <f t="shared" si="193"/>
        <v>0</v>
      </c>
      <c r="P393" s="72">
        <f t="shared" si="193"/>
        <v>0</v>
      </c>
      <c r="Q393" s="72">
        <f t="shared" si="193"/>
        <v>0</v>
      </c>
      <c r="R393" s="72">
        <f t="shared" si="193"/>
        <v>0</v>
      </c>
      <c r="S393" s="72">
        <f t="shared" si="193"/>
        <v>0</v>
      </c>
      <c r="T393" s="72">
        <f t="shared" si="193"/>
        <v>0</v>
      </c>
      <c r="U393" s="72">
        <f t="shared" si="193"/>
        <v>0</v>
      </c>
      <c r="V393" s="72">
        <f t="shared" si="193"/>
        <v>0</v>
      </c>
      <c r="W393" s="72">
        <f t="shared" si="193"/>
        <v>0</v>
      </c>
      <c r="X393" s="72">
        <f t="shared" si="193"/>
        <v>0</v>
      </c>
      <c r="Y393" s="72">
        <f t="shared" si="193"/>
        <v>0</v>
      </c>
      <c r="Z393" s="72">
        <f t="shared" si="193"/>
        <v>0</v>
      </c>
      <c r="AA393" s="72">
        <f t="shared" si="193"/>
        <v>0</v>
      </c>
      <c r="AB393" s="72">
        <f t="shared" si="193"/>
        <v>0</v>
      </c>
      <c r="AC393" s="72">
        <f t="shared" si="193"/>
        <v>0</v>
      </c>
      <c r="AD393" s="72">
        <f t="shared" si="193"/>
        <v>0</v>
      </c>
      <c r="AE393" s="72">
        <f t="shared" si="193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94">(L332+L354)*$I332*($F301*L$247+$G301*L$248)+(L343*$J332+L365)*($F312*L$308+$G312*L$248)</f>
        <v>0</v>
      </c>
      <c r="M394" s="72">
        <f t="shared" si="194"/>
        <v>0</v>
      </c>
      <c r="N394" s="72">
        <f t="shared" si="194"/>
        <v>0</v>
      </c>
      <c r="O394" s="72">
        <f t="shared" si="194"/>
        <v>0</v>
      </c>
      <c r="P394" s="72">
        <f t="shared" si="194"/>
        <v>0</v>
      </c>
      <c r="Q394" s="72">
        <f t="shared" si="194"/>
        <v>0</v>
      </c>
      <c r="R394" s="72">
        <f t="shared" si="194"/>
        <v>0</v>
      </c>
      <c r="S394" s="72">
        <f t="shared" si="194"/>
        <v>0</v>
      </c>
      <c r="T394" s="72">
        <f t="shared" si="194"/>
        <v>0</v>
      </c>
      <c r="U394" s="72">
        <f t="shared" si="194"/>
        <v>0</v>
      </c>
      <c r="V394" s="72">
        <f t="shared" si="194"/>
        <v>0</v>
      </c>
      <c r="W394" s="72">
        <f t="shared" si="194"/>
        <v>0</v>
      </c>
      <c r="X394" s="72">
        <f t="shared" si="194"/>
        <v>0</v>
      </c>
      <c r="Y394" s="72">
        <f t="shared" si="194"/>
        <v>0</v>
      </c>
      <c r="Z394" s="72">
        <f t="shared" si="194"/>
        <v>0</v>
      </c>
      <c r="AA394" s="72">
        <f t="shared" si="194"/>
        <v>0</v>
      </c>
      <c r="AB394" s="72">
        <f t="shared" si="194"/>
        <v>0</v>
      </c>
      <c r="AC394" s="72">
        <f t="shared" si="194"/>
        <v>0</v>
      </c>
      <c r="AD394" s="72">
        <f t="shared" si="194"/>
        <v>0</v>
      </c>
      <c r="AE394" s="72">
        <f t="shared" si="194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95">(L333+L355)*$I333*($F302*L$247+$G302*L$248)+(L344*$J333+L366)*($F313*L$308+$G313*L$248)</f>
        <v>0</v>
      </c>
      <c r="M395" s="72">
        <f t="shared" si="195"/>
        <v>0</v>
      </c>
      <c r="N395" s="72">
        <f t="shared" si="195"/>
        <v>0</v>
      </c>
      <c r="O395" s="72">
        <f t="shared" si="195"/>
        <v>0</v>
      </c>
      <c r="P395" s="72">
        <f t="shared" si="195"/>
        <v>0</v>
      </c>
      <c r="Q395" s="72">
        <f t="shared" si="195"/>
        <v>0</v>
      </c>
      <c r="R395" s="72">
        <f t="shared" si="195"/>
        <v>0</v>
      </c>
      <c r="S395" s="72">
        <f t="shared" si="195"/>
        <v>0</v>
      </c>
      <c r="T395" s="72">
        <f t="shared" si="195"/>
        <v>0</v>
      </c>
      <c r="U395" s="72">
        <f t="shared" si="195"/>
        <v>0</v>
      </c>
      <c r="V395" s="72">
        <f t="shared" si="195"/>
        <v>0</v>
      </c>
      <c r="W395" s="72">
        <f t="shared" si="195"/>
        <v>0</v>
      </c>
      <c r="X395" s="72">
        <f t="shared" si="195"/>
        <v>0</v>
      </c>
      <c r="Y395" s="72">
        <f t="shared" si="195"/>
        <v>0</v>
      </c>
      <c r="Z395" s="72">
        <f t="shared" si="195"/>
        <v>0</v>
      </c>
      <c r="AA395" s="72">
        <f t="shared" si="195"/>
        <v>0</v>
      </c>
      <c r="AB395" s="72">
        <f t="shared" si="195"/>
        <v>0</v>
      </c>
      <c r="AC395" s="72">
        <f t="shared" si="195"/>
        <v>0</v>
      </c>
      <c r="AD395" s="72">
        <f t="shared" si="195"/>
        <v>0</v>
      </c>
      <c r="AE395" s="72">
        <f t="shared" si="195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96">(L334+L356)*$I334*($F303*L$247+$G303*L$248)+(L345*$J334+L367)*($F314*L$308+$G314*L$248)</f>
        <v>0</v>
      </c>
      <c r="M396" s="72">
        <f t="shared" si="196"/>
        <v>0</v>
      </c>
      <c r="N396" s="72">
        <f t="shared" si="196"/>
        <v>0</v>
      </c>
      <c r="O396" s="72">
        <f t="shared" si="196"/>
        <v>0</v>
      </c>
      <c r="P396" s="72">
        <f t="shared" si="196"/>
        <v>0</v>
      </c>
      <c r="Q396" s="72">
        <f t="shared" si="196"/>
        <v>0</v>
      </c>
      <c r="R396" s="72">
        <f t="shared" si="196"/>
        <v>0</v>
      </c>
      <c r="S396" s="72">
        <f t="shared" si="196"/>
        <v>0</v>
      </c>
      <c r="T396" s="72">
        <f t="shared" si="196"/>
        <v>0</v>
      </c>
      <c r="U396" s="72">
        <f t="shared" si="196"/>
        <v>0</v>
      </c>
      <c r="V396" s="72">
        <f t="shared" si="196"/>
        <v>0</v>
      </c>
      <c r="W396" s="72">
        <f t="shared" si="196"/>
        <v>0</v>
      </c>
      <c r="X396" s="72">
        <f t="shared" si="196"/>
        <v>0</v>
      </c>
      <c r="Y396" s="72">
        <f t="shared" si="196"/>
        <v>0</v>
      </c>
      <c r="Z396" s="72">
        <f t="shared" si="196"/>
        <v>0</v>
      </c>
      <c r="AA396" s="72">
        <f t="shared" si="196"/>
        <v>0</v>
      </c>
      <c r="AB396" s="72">
        <f t="shared" si="196"/>
        <v>0</v>
      </c>
      <c r="AC396" s="72">
        <f t="shared" si="196"/>
        <v>0</v>
      </c>
      <c r="AD396" s="72">
        <f t="shared" si="196"/>
        <v>0</v>
      </c>
      <c r="AE396" s="72">
        <f t="shared" si="196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97">(L335+L357)*$I335*($F304*L$247+$G304*L$248)+(L346*$J335+L368)*($F315*L$308+$G315*L$248)</f>
        <v>0</v>
      </c>
      <c r="M397" s="72">
        <f t="shared" si="197"/>
        <v>0</v>
      </c>
      <c r="N397" s="72">
        <f t="shared" si="197"/>
        <v>0</v>
      </c>
      <c r="O397" s="72">
        <f t="shared" si="197"/>
        <v>0</v>
      </c>
      <c r="P397" s="72">
        <f t="shared" si="197"/>
        <v>0</v>
      </c>
      <c r="Q397" s="72">
        <f t="shared" si="197"/>
        <v>0</v>
      </c>
      <c r="R397" s="72">
        <f t="shared" si="197"/>
        <v>0</v>
      </c>
      <c r="S397" s="72">
        <f t="shared" si="197"/>
        <v>0</v>
      </c>
      <c r="T397" s="72">
        <f t="shared" si="197"/>
        <v>0</v>
      </c>
      <c r="U397" s="72">
        <f t="shared" si="197"/>
        <v>0</v>
      </c>
      <c r="V397" s="72">
        <f t="shared" si="197"/>
        <v>0</v>
      </c>
      <c r="W397" s="72">
        <f t="shared" si="197"/>
        <v>0</v>
      </c>
      <c r="X397" s="72">
        <f t="shared" si="197"/>
        <v>0</v>
      </c>
      <c r="Y397" s="72">
        <f t="shared" si="197"/>
        <v>0</v>
      </c>
      <c r="Z397" s="72">
        <f t="shared" si="197"/>
        <v>0</v>
      </c>
      <c r="AA397" s="72">
        <f t="shared" si="197"/>
        <v>0</v>
      </c>
      <c r="AB397" s="72">
        <f t="shared" si="197"/>
        <v>0</v>
      </c>
      <c r="AC397" s="72">
        <f t="shared" si="197"/>
        <v>0</v>
      </c>
      <c r="AD397" s="72">
        <f t="shared" si="197"/>
        <v>0</v>
      </c>
      <c r="AE397" s="72">
        <f t="shared" si="197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98">(L336+L358)*$I336*($F305*L$247+$G305*L$248)+(L347*$J336+L369)*($F316*L$308+$G316*L$248)</f>
        <v>0</v>
      </c>
      <c r="M398" s="72">
        <f t="shared" si="198"/>
        <v>0</v>
      </c>
      <c r="N398" s="72">
        <f t="shared" si="198"/>
        <v>0</v>
      </c>
      <c r="O398" s="72">
        <f t="shared" si="198"/>
        <v>0</v>
      </c>
      <c r="P398" s="72">
        <f t="shared" si="198"/>
        <v>0</v>
      </c>
      <c r="Q398" s="72">
        <f t="shared" si="198"/>
        <v>0</v>
      </c>
      <c r="R398" s="72">
        <f t="shared" si="198"/>
        <v>0</v>
      </c>
      <c r="S398" s="72">
        <f t="shared" si="198"/>
        <v>0</v>
      </c>
      <c r="T398" s="72">
        <f t="shared" si="198"/>
        <v>0</v>
      </c>
      <c r="U398" s="72">
        <f t="shared" si="198"/>
        <v>0</v>
      </c>
      <c r="V398" s="72">
        <f t="shared" si="198"/>
        <v>0</v>
      </c>
      <c r="W398" s="72">
        <f t="shared" si="198"/>
        <v>0</v>
      </c>
      <c r="X398" s="72">
        <f t="shared" si="198"/>
        <v>0</v>
      </c>
      <c r="Y398" s="72">
        <f t="shared" si="198"/>
        <v>0</v>
      </c>
      <c r="Z398" s="72">
        <f t="shared" si="198"/>
        <v>0</v>
      </c>
      <c r="AA398" s="72">
        <f t="shared" si="198"/>
        <v>0</v>
      </c>
      <c r="AB398" s="72">
        <f t="shared" si="198"/>
        <v>0</v>
      </c>
      <c r="AC398" s="72">
        <f t="shared" si="198"/>
        <v>0</v>
      </c>
      <c r="AD398" s="72">
        <f t="shared" si="198"/>
        <v>0</v>
      </c>
      <c r="AE398" s="72">
        <f t="shared" si="198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99">(L337+L359)*$I337*($F306*L$247+$G306*L$248)+(L348*$J337+L370)*($F317*L$308+$G317*L$248)</f>
        <v>0</v>
      </c>
      <c r="M399" s="72">
        <f t="shared" si="199"/>
        <v>0</v>
      </c>
      <c r="N399" s="72">
        <f t="shared" si="199"/>
        <v>0</v>
      </c>
      <c r="O399" s="72">
        <f t="shared" si="199"/>
        <v>0</v>
      </c>
      <c r="P399" s="72">
        <f t="shared" si="199"/>
        <v>0</v>
      </c>
      <c r="Q399" s="72">
        <f t="shared" si="199"/>
        <v>0</v>
      </c>
      <c r="R399" s="72">
        <f t="shared" si="199"/>
        <v>0</v>
      </c>
      <c r="S399" s="72">
        <f t="shared" si="199"/>
        <v>0</v>
      </c>
      <c r="T399" s="72">
        <f t="shared" si="199"/>
        <v>0</v>
      </c>
      <c r="U399" s="72">
        <f t="shared" si="199"/>
        <v>0</v>
      </c>
      <c r="V399" s="72">
        <f t="shared" si="199"/>
        <v>0</v>
      </c>
      <c r="W399" s="72">
        <f t="shared" si="199"/>
        <v>0</v>
      </c>
      <c r="X399" s="72">
        <f t="shared" si="199"/>
        <v>0</v>
      </c>
      <c r="Y399" s="72">
        <f t="shared" si="199"/>
        <v>0</v>
      </c>
      <c r="Z399" s="72">
        <f t="shared" si="199"/>
        <v>0</v>
      </c>
      <c r="AA399" s="72">
        <f t="shared" si="199"/>
        <v>0</v>
      </c>
      <c r="AB399" s="72">
        <f t="shared" si="199"/>
        <v>0</v>
      </c>
      <c r="AC399" s="72">
        <f t="shared" si="199"/>
        <v>0</v>
      </c>
      <c r="AD399" s="72">
        <f t="shared" si="199"/>
        <v>0</v>
      </c>
      <c r="AE399" s="72">
        <f t="shared" si="199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1876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1878</v>
      </c>
      <c r="J400" s="70"/>
      <c r="K400" s="72"/>
      <c r="L400" s="72">
        <f t="shared" ref="L400:AE400" si="200">SUM(L392:L399)</f>
        <v>0</v>
      </c>
      <c r="M400" s="72">
        <f t="shared" si="200"/>
        <v>0</v>
      </c>
      <c r="N400" s="72">
        <f t="shared" si="200"/>
        <v>0</v>
      </c>
      <c r="O400" s="72">
        <f t="shared" si="200"/>
        <v>0</v>
      </c>
      <c r="P400" s="72">
        <f t="shared" si="200"/>
        <v>0</v>
      </c>
      <c r="Q400" s="72">
        <f t="shared" si="200"/>
        <v>0</v>
      </c>
      <c r="R400" s="72">
        <f t="shared" si="200"/>
        <v>0</v>
      </c>
      <c r="S400" s="72">
        <f t="shared" si="200"/>
        <v>0</v>
      </c>
      <c r="T400" s="72">
        <f t="shared" si="200"/>
        <v>0</v>
      </c>
      <c r="U400" s="72">
        <f t="shared" si="200"/>
        <v>0</v>
      </c>
      <c r="V400" s="72">
        <f t="shared" si="200"/>
        <v>0</v>
      </c>
      <c r="W400" s="72">
        <f t="shared" si="200"/>
        <v>0</v>
      </c>
      <c r="X400" s="72">
        <f t="shared" si="200"/>
        <v>0</v>
      </c>
      <c r="Y400" s="72">
        <f t="shared" si="200"/>
        <v>0</v>
      </c>
      <c r="Z400" s="72">
        <f t="shared" si="200"/>
        <v>0</v>
      </c>
      <c r="AA400" s="72">
        <f t="shared" si="200"/>
        <v>0</v>
      </c>
      <c r="AB400" s="72">
        <f t="shared" si="200"/>
        <v>0</v>
      </c>
      <c r="AC400" s="72">
        <f t="shared" si="200"/>
        <v>0</v>
      </c>
      <c r="AD400" s="72">
        <f t="shared" si="200"/>
        <v>0</v>
      </c>
      <c r="AE400" s="72">
        <f t="shared" si="200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201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201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201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201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201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201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201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201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201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202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202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202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202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202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202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202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202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202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203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203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203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203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203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203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203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203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203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204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204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204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204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204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204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204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204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204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205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206">L453*(1+M$438)^($E443*M$439)*(1+M$440)*IF(L416&lt;=0,1,M416/L416)^$F443*(IF(L426&lt;=0,1,M426/L426)^$G443/(1+$H443+$I443))^(1+$F443)</f>
        <v>189.45265610688699</v>
      </c>
      <c r="N453" s="24">
        <f t="shared" si="206"/>
        <v>217.72883870914094</v>
      </c>
      <c r="O453" s="24">
        <f t="shared" si="206"/>
        <v>237.89793015048883</v>
      </c>
      <c r="P453" s="24">
        <f t="shared" si="206"/>
        <v>232.65006903124424</v>
      </c>
      <c r="Q453" s="24">
        <f t="shared" si="206"/>
        <v>218.61847136811463</v>
      </c>
      <c r="R453" s="24">
        <f t="shared" si="206"/>
        <v>210.28498690349488</v>
      </c>
      <c r="S453" s="24">
        <f t="shared" si="206"/>
        <v>203.14643963897521</v>
      </c>
      <c r="T453" s="24">
        <f t="shared" si="206"/>
        <v>196.84230886321788</v>
      </c>
      <c r="U453" s="24">
        <f t="shared" si="206"/>
        <v>191.39075749537983</v>
      </c>
      <c r="V453" s="24">
        <f t="shared" si="206"/>
        <v>186.2178811492559</v>
      </c>
      <c r="W453" s="24">
        <f t="shared" si="206"/>
        <v>181.78008799508211</v>
      </c>
      <c r="X453" s="24">
        <f t="shared" si="206"/>
        <v>177.97349187208462</v>
      </c>
      <c r="Y453" s="24">
        <f t="shared" si="206"/>
        <v>174.72635256308322</v>
      </c>
      <c r="Z453" s="24">
        <f t="shared" si="206"/>
        <v>171.99928670368777</v>
      </c>
      <c r="AA453" s="24">
        <f t="shared" si="206"/>
        <v>169.74391219112042</v>
      </c>
      <c r="AB453" s="24">
        <f t="shared" si="206"/>
        <v>167.91465652501745</v>
      </c>
      <c r="AC453" s="24">
        <f t="shared" si="206"/>
        <v>166.45600964782685</v>
      </c>
      <c r="AD453" s="24">
        <f t="shared" si="206"/>
        <v>165.32123471166477</v>
      </c>
      <c r="AE453" s="24">
        <f t="shared" si="206"/>
        <v>164.47316873515103</v>
      </c>
    </row>
    <row r="454" spans="1:35" x14ac:dyDescent="0.45">
      <c r="B454" s="14" t="s">
        <v>53</v>
      </c>
      <c r="C454" s="14" t="str">
        <f t="shared" si="205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207">L454*(1+M$438)^($E444*M$439)*(1+M$440)*IF(L417&lt;=0,1,M417/L417)^$F444*(IF(L427&lt;=0,1,M427/L427)^$G444/(1+$H444+$I444))^(1+$F444)</f>
        <v>1431.7775208824874</v>
      </c>
      <c r="N454" s="24">
        <f t="shared" si="207"/>
        <v>1603.1180815212331</v>
      </c>
      <c r="O454" s="24">
        <f t="shared" si="207"/>
        <v>1666.4691074748598</v>
      </c>
      <c r="P454" s="24">
        <f t="shared" si="207"/>
        <v>1729.0519522219979</v>
      </c>
      <c r="Q454" s="24">
        <f t="shared" si="207"/>
        <v>1637.7863258003924</v>
      </c>
      <c r="R454" s="24">
        <f t="shared" si="207"/>
        <v>1578.6642302926864</v>
      </c>
      <c r="S454" s="24">
        <f t="shared" si="207"/>
        <v>1529.186426457856</v>
      </c>
      <c r="T454" s="24">
        <f t="shared" si="207"/>
        <v>1485.5462441642121</v>
      </c>
      <c r="U454" s="24">
        <f t="shared" si="207"/>
        <v>1450.0773513762758</v>
      </c>
      <c r="V454" s="24">
        <f t="shared" si="207"/>
        <v>1421.68890759584</v>
      </c>
      <c r="W454" s="24">
        <f t="shared" si="207"/>
        <v>1399.5811578972732</v>
      </c>
      <c r="X454" s="24">
        <f t="shared" si="207"/>
        <v>1383.0540457815339</v>
      </c>
      <c r="Y454" s="24">
        <f t="shared" si="207"/>
        <v>1371.7254363432983</v>
      </c>
      <c r="Z454" s="24">
        <f t="shared" si="207"/>
        <v>1365.5951108489835</v>
      </c>
      <c r="AA454" s="24">
        <f t="shared" si="207"/>
        <v>1364.4341895239882</v>
      </c>
      <c r="AB454" s="24">
        <f t="shared" si="207"/>
        <v>1367.9863527047892</v>
      </c>
      <c r="AC454" s="24">
        <f t="shared" si="207"/>
        <v>1375.7703000424308</v>
      </c>
      <c r="AD454" s="24">
        <f t="shared" si="207"/>
        <v>1387.3865840128042</v>
      </c>
      <c r="AE454" s="24">
        <f t="shared" si="207"/>
        <v>1402.5434936424028</v>
      </c>
    </row>
    <row r="455" spans="1:35" x14ac:dyDescent="0.45">
      <c r="B455" s="14" t="s">
        <v>55</v>
      </c>
      <c r="C455" s="14" t="str">
        <f t="shared" si="205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208">L455*(1+M$438)^($E445*M$439)*(1+M$440)*IF(L418&lt;=0,1,M418/L418)^$F445*(IF(L428&lt;=0,1,M428/L428)^$G445/(1+$H445+$I445))^(1+$F445)</f>
        <v>0</v>
      </c>
      <c r="N455" s="24">
        <f t="shared" si="208"/>
        <v>0</v>
      </c>
      <c r="O455" s="24">
        <f t="shared" si="208"/>
        <v>0</v>
      </c>
      <c r="P455" s="24">
        <f t="shared" si="208"/>
        <v>0</v>
      </c>
      <c r="Q455" s="24">
        <f t="shared" si="208"/>
        <v>0</v>
      </c>
      <c r="R455" s="24">
        <f t="shared" si="208"/>
        <v>0</v>
      </c>
      <c r="S455" s="24">
        <f t="shared" si="208"/>
        <v>0</v>
      </c>
      <c r="T455" s="24">
        <f t="shared" si="208"/>
        <v>0</v>
      </c>
      <c r="U455" s="24">
        <f t="shared" si="208"/>
        <v>0</v>
      </c>
      <c r="V455" s="24">
        <f t="shared" si="208"/>
        <v>0</v>
      </c>
      <c r="W455" s="24">
        <f t="shared" si="208"/>
        <v>0</v>
      </c>
      <c r="X455" s="24">
        <f t="shared" si="208"/>
        <v>0</v>
      </c>
      <c r="Y455" s="24">
        <f t="shared" si="208"/>
        <v>0</v>
      </c>
      <c r="Z455" s="24">
        <f t="shared" si="208"/>
        <v>0</v>
      </c>
      <c r="AA455" s="24">
        <f t="shared" si="208"/>
        <v>0</v>
      </c>
      <c r="AB455" s="24">
        <f t="shared" si="208"/>
        <v>0</v>
      </c>
      <c r="AC455" s="24">
        <f t="shared" si="208"/>
        <v>0</v>
      </c>
      <c r="AD455" s="24">
        <f t="shared" si="208"/>
        <v>0</v>
      </c>
      <c r="AE455" s="24">
        <f t="shared" si="208"/>
        <v>0</v>
      </c>
    </row>
    <row r="456" spans="1:35" x14ac:dyDescent="0.45">
      <c r="B456" s="14" t="s">
        <v>58</v>
      </c>
      <c r="C456" s="14" t="str">
        <f t="shared" si="205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209">L456*(1+M$438)^($E446*M$439)*(1+M$440)*IF(L419&lt;=0,1,M419/L419)^$F446*(IF(L429&lt;=0,1,M429/L429)^$G446/(1+$H446+$I446))^(1+$F446)</f>
        <v>0</v>
      </c>
      <c r="N456" s="24">
        <f t="shared" si="209"/>
        <v>0</v>
      </c>
      <c r="O456" s="24">
        <f t="shared" si="209"/>
        <v>0</v>
      </c>
      <c r="P456" s="24">
        <f t="shared" si="209"/>
        <v>0</v>
      </c>
      <c r="Q456" s="24">
        <f t="shared" si="209"/>
        <v>0</v>
      </c>
      <c r="R456" s="24">
        <f t="shared" si="209"/>
        <v>0</v>
      </c>
      <c r="S456" s="24">
        <f t="shared" si="209"/>
        <v>0</v>
      </c>
      <c r="T456" s="24">
        <f t="shared" si="209"/>
        <v>0</v>
      </c>
      <c r="U456" s="24">
        <f t="shared" si="209"/>
        <v>0</v>
      </c>
      <c r="V456" s="24">
        <f t="shared" si="209"/>
        <v>0</v>
      </c>
      <c r="W456" s="24">
        <f t="shared" si="209"/>
        <v>0</v>
      </c>
      <c r="X456" s="24">
        <f t="shared" si="209"/>
        <v>0</v>
      </c>
      <c r="Y456" s="24">
        <f t="shared" si="209"/>
        <v>0</v>
      </c>
      <c r="Z456" s="24">
        <f t="shared" si="209"/>
        <v>0</v>
      </c>
      <c r="AA456" s="24">
        <f t="shared" si="209"/>
        <v>0</v>
      </c>
      <c r="AB456" s="24">
        <f t="shared" si="209"/>
        <v>0</v>
      </c>
      <c r="AC456" s="24">
        <f t="shared" si="209"/>
        <v>0</v>
      </c>
      <c r="AD456" s="24">
        <f t="shared" si="209"/>
        <v>0</v>
      </c>
      <c r="AE456" s="24">
        <f t="shared" si="209"/>
        <v>0</v>
      </c>
    </row>
    <row r="457" spans="1:35" x14ac:dyDescent="0.45">
      <c r="B457" s="14" t="s">
        <v>60</v>
      </c>
      <c r="C457" s="14" t="str">
        <f t="shared" si="205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210">L457*(1+M$438)^($E447*M$439)*(1+M$440)*IF(L420&lt;=0,1,M420/L420)^$F447*(IF(L430&lt;=0,1,M430/L430)^$G447/(1+$H447+$I447))^(1+$F447)</f>
        <v>0</v>
      </c>
      <c r="N457" s="24">
        <f t="shared" si="210"/>
        <v>0</v>
      </c>
      <c r="O457" s="24">
        <f t="shared" si="210"/>
        <v>0</v>
      </c>
      <c r="P457" s="24">
        <f t="shared" si="210"/>
        <v>0</v>
      </c>
      <c r="Q457" s="24">
        <f t="shared" si="210"/>
        <v>0</v>
      </c>
      <c r="R457" s="24">
        <f t="shared" si="210"/>
        <v>0</v>
      </c>
      <c r="S457" s="24">
        <f t="shared" si="210"/>
        <v>0</v>
      </c>
      <c r="T457" s="24">
        <f t="shared" si="210"/>
        <v>0</v>
      </c>
      <c r="U457" s="24">
        <f t="shared" si="210"/>
        <v>0</v>
      </c>
      <c r="V457" s="24">
        <f t="shared" si="210"/>
        <v>0</v>
      </c>
      <c r="W457" s="24">
        <f t="shared" si="210"/>
        <v>0</v>
      </c>
      <c r="X457" s="24">
        <f t="shared" si="210"/>
        <v>0</v>
      </c>
      <c r="Y457" s="24">
        <f t="shared" si="210"/>
        <v>0</v>
      </c>
      <c r="Z457" s="24">
        <f t="shared" si="210"/>
        <v>0</v>
      </c>
      <c r="AA457" s="24">
        <f t="shared" si="210"/>
        <v>0</v>
      </c>
      <c r="AB457" s="24">
        <f t="shared" si="210"/>
        <v>0</v>
      </c>
      <c r="AC457" s="24">
        <f t="shared" si="210"/>
        <v>0</v>
      </c>
      <c r="AD457" s="24">
        <f t="shared" si="210"/>
        <v>0</v>
      </c>
      <c r="AE457" s="24">
        <f t="shared" si="210"/>
        <v>0</v>
      </c>
    </row>
    <row r="458" spans="1:35" x14ac:dyDescent="0.45">
      <c r="B458" s="14" t="s">
        <v>62</v>
      </c>
      <c r="C458" s="14" t="str">
        <f t="shared" si="205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211">L458*(1+M$438)^($E448*M$439)*(1+M$440)*IF(L421&lt;=0,1,M421/L421)^$F448*(IF(L431&lt;=0,1,M431/L431)^$G448/(1+$H448+$I448))^(1+$F448)</f>
        <v>0</v>
      </c>
      <c r="N458" s="24">
        <f t="shared" si="211"/>
        <v>0</v>
      </c>
      <c r="O458" s="24">
        <f t="shared" si="211"/>
        <v>0</v>
      </c>
      <c r="P458" s="24">
        <f t="shared" si="211"/>
        <v>0</v>
      </c>
      <c r="Q458" s="24">
        <f t="shared" si="211"/>
        <v>0</v>
      </c>
      <c r="R458" s="24">
        <f t="shared" si="211"/>
        <v>0</v>
      </c>
      <c r="S458" s="24">
        <f t="shared" si="211"/>
        <v>0</v>
      </c>
      <c r="T458" s="24">
        <f t="shared" si="211"/>
        <v>0</v>
      </c>
      <c r="U458" s="24">
        <f t="shared" si="211"/>
        <v>0</v>
      </c>
      <c r="V458" s="24">
        <f t="shared" si="211"/>
        <v>0</v>
      </c>
      <c r="W458" s="24">
        <f t="shared" si="211"/>
        <v>0</v>
      </c>
      <c r="X458" s="24">
        <f t="shared" si="211"/>
        <v>0</v>
      </c>
      <c r="Y458" s="24">
        <f t="shared" si="211"/>
        <v>0</v>
      </c>
      <c r="Z458" s="24">
        <f t="shared" si="211"/>
        <v>0</v>
      </c>
      <c r="AA458" s="24">
        <f t="shared" si="211"/>
        <v>0</v>
      </c>
      <c r="AB458" s="24">
        <f t="shared" si="211"/>
        <v>0</v>
      </c>
      <c r="AC458" s="24">
        <f t="shared" si="211"/>
        <v>0</v>
      </c>
      <c r="AD458" s="24">
        <f t="shared" si="211"/>
        <v>0</v>
      </c>
      <c r="AE458" s="24">
        <f t="shared" si="211"/>
        <v>0</v>
      </c>
    </row>
    <row r="459" spans="1:35" x14ac:dyDescent="0.45">
      <c r="B459" s="14" t="s">
        <v>64</v>
      </c>
      <c r="C459" s="14" t="str">
        <f t="shared" si="205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212">L459*(1+M$438)^($E449*M$439)*(1+M$440)*IF(L422&lt;=0,1,M422/L422)^$F449*(IF(L432&lt;=0,1,M432/L432)^$G449/(1+$H449+$I449))^(1+$F449)</f>
        <v>0</v>
      </c>
      <c r="N459" s="24">
        <f t="shared" si="212"/>
        <v>0</v>
      </c>
      <c r="O459" s="24">
        <f t="shared" si="212"/>
        <v>0</v>
      </c>
      <c r="P459" s="24">
        <f t="shared" si="212"/>
        <v>0</v>
      </c>
      <c r="Q459" s="24">
        <f t="shared" si="212"/>
        <v>0</v>
      </c>
      <c r="R459" s="24">
        <f t="shared" si="212"/>
        <v>0</v>
      </c>
      <c r="S459" s="24">
        <f t="shared" si="212"/>
        <v>0</v>
      </c>
      <c r="T459" s="24">
        <f t="shared" si="212"/>
        <v>0</v>
      </c>
      <c r="U459" s="24">
        <f t="shared" si="212"/>
        <v>0</v>
      </c>
      <c r="V459" s="24">
        <f t="shared" si="212"/>
        <v>0</v>
      </c>
      <c r="W459" s="24">
        <f t="shared" si="212"/>
        <v>0</v>
      </c>
      <c r="X459" s="24">
        <f t="shared" si="212"/>
        <v>0</v>
      </c>
      <c r="Y459" s="24">
        <f t="shared" si="212"/>
        <v>0</v>
      </c>
      <c r="Z459" s="24">
        <f t="shared" si="212"/>
        <v>0</v>
      </c>
      <c r="AA459" s="24">
        <f t="shared" si="212"/>
        <v>0</v>
      </c>
      <c r="AB459" s="24">
        <f t="shared" si="212"/>
        <v>0</v>
      </c>
      <c r="AC459" s="24">
        <f t="shared" si="212"/>
        <v>0</v>
      </c>
      <c r="AD459" s="24">
        <f t="shared" si="212"/>
        <v>0</v>
      </c>
      <c r="AE459" s="24">
        <f t="shared" si="212"/>
        <v>0</v>
      </c>
    </row>
    <row r="460" spans="1:35" x14ac:dyDescent="0.45">
      <c r="B460" s="14" t="s">
        <v>67</v>
      </c>
      <c r="C460" s="14" t="str">
        <f t="shared" si="205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213">L460*(1+M$438)^($E450*M$439)*(1+M$440)*IF(L423&lt;=0,1,M423/L423)^$F450*(IF(L433&lt;=0,1,M433/L433)^$G450/(1+$H450+$I450))^(1+$F450)</f>
        <v>0</v>
      </c>
      <c r="N460" s="24">
        <f t="shared" si="213"/>
        <v>0</v>
      </c>
      <c r="O460" s="24">
        <f t="shared" si="213"/>
        <v>0</v>
      </c>
      <c r="P460" s="24">
        <f t="shared" si="213"/>
        <v>0</v>
      </c>
      <c r="Q460" s="24">
        <f t="shared" si="213"/>
        <v>0</v>
      </c>
      <c r="R460" s="24">
        <f t="shared" si="213"/>
        <v>0</v>
      </c>
      <c r="S460" s="24">
        <f t="shared" si="213"/>
        <v>0</v>
      </c>
      <c r="T460" s="24">
        <f t="shared" si="213"/>
        <v>0</v>
      </c>
      <c r="U460" s="24">
        <f t="shared" si="213"/>
        <v>0</v>
      </c>
      <c r="V460" s="24">
        <f t="shared" si="213"/>
        <v>0</v>
      </c>
      <c r="W460" s="24">
        <f t="shared" si="213"/>
        <v>0</v>
      </c>
      <c r="X460" s="24">
        <f t="shared" si="213"/>
        <v>0</v>
      </c>
      <c r="Y460" s="24">
        <f t="shared" si="213"/>
        <v>0</v>
      </c>
      <c r="Z460" s="24">
        <f t="shared" si="213"/>
        <v>0</v>
      </c>
      <c r="AA460" s="24">
        <f t="shared" si="213"/>
        <v>0</v>
      </c>
      <c r="AB460" s="24">
        <f t="shared" si="213"/>
        <v>0</v>
      </c>
      <c r="AC460" s="24">
        <f t="shared" si="213"/>
        <v>0</v>
      </c>
      <c r="AD460" s="24">
        <f t="shared" si="213"/>
        <v>0</v>
      </c>
      <c r="AE460" s="24">
        <f t="shared" si="213"/>
        <v>0</v>
      </c>
    </row>
    <row r="461" spans="1:35" x14ac:dyDescent="0.45">
      <c r="B461" s="14" t="s">
        <v>69</v>
      </c>
      <c r="C461" s="14" t="str">
        <f t="shared" si="205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214">L461*(1+M$438)^($E451*M$439)*(1+M$440)*IF(L424&lt;=0,1,M424/L424)^$F451*(IF(L434&lt;=0,1,M434/L434)^$G451/(1+$H451+$I451))^(1+$F451)</f>
        <v>0</v>
      </c>
      <c r="N461" s="24">
        <f t="shared" si="214"/>
        <v>0</v>
      </c>
      <c r="O461" s="24">
        <f t="shared" si="214"/>
        <v>0</v>
      </c>
      <c r="P461" s="24">
        <f t="shared" si="214"/>
        <v>0</v>
      </c>
      <c r="Q461" s="24">
        <f t="shared" si="214"/>
        <v>0</v>
      </c>
      <c r="R461" s="24">
        <f t="shared" si="214"/>
        <v>0</v>
      </c>
      <c r="S461" s="24">
        <f t="shared" si="214"/>
        <v>0</v>
      </c>
      <c r="T461" s="24">
        <f t="shared" si="214"/>
        <v>0</v>
      </c>
      <c r="U461" s="24">
        <f t="shared" si="214"/>
        <v>0</v>
      </c>
      <c r="V461" s="24">
        <f t="shared" si="214"/>
        <v>0</v>
      </c>
      <c r="W461" s="24">
        <f t="shared" si="214"/>
        <v>0</v>
      </c>
      <c r="X461" s="24">
        <f t="shared" si="214"/>
        <v>0</v>
      </c>
      <c r="Y461" s="24">
        <f t="shared" si="214"/>
        <v>0</v>
      </c>
      <c r="Z461" s="24">
        <f t="shared" si="214"/>
        <v>0</v>
      </c>
      <c r="AA461" s="24">
        <f t="shared" si="214"/>
        <v>0</v>
      </c>
      <c r="AB461" s="24">
        <f t="shared" si="214"/>
        <v>0</v>
      </c>
      <c r="AC461" s="24">
        <f t="shared" si="214"/>
        <v>0</v>
      </c>
      <c r="AD461" s="24">
        <f t="shared" si="214"/>
        <v>0</v>
      </c>
      <c r="AE461" s="24">
        <f t="shared" si="214"/>
        <v>0</v>
      </c>
    </row>
    <row r="462" spans="1:35" x14ac:dyDescent="0.45">
      <c r="B462" s="14" t="s">
        <v>110</v>
      </c>
      <c r="C462" s="14" t="str">
        <f t="shared" si="205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215">SUM(L453:L461)</f>
        <v>1901.7140738122609</v>
      </c>
      <c r="M462" s="26">
        <f t="shared" si="215"/>
        <v>1621.2301769893743</v>
      </c>
      <c r="N462" s="26">
        <f t="shared" si="215"/>
        <v>1820.8469202303741</v>
      </c>
      <c r="O462" s="26">
        <f t="shared" si="215"/>
        <v>1904.3670376253485</v>
      </c>
      <c r="P462" s="26">
        <f t="shared" si="215"/>
        <v>1961.702021253242</v>
      </c>
      <c r="Q462" s="26">
        <f t="shared" si="215"/>
        <v>1856.404797168507</v>
      </c>
      <c r="R462" s="26">
        <f t="shared" si="215"/>
        <v>1788.9492171961813</v>
      </c>
      <c r="S462" s="26">
        <f t="shared" si="215"/>
        <v>1732.3328660968311</v>
      </c>
      <c r="T462" s="26">
        <f t="shared" si="215"/>
        <v>1682.3885530274299</v>
      </c>
      <c r="U462" s="26">
        <f t="shared" si="215"/>
        <v>1641.4681088716557</v>
      </c>
      <c r="V462" s="26">
        <f t="shared" si="215"/>
        <v>1607.9067887450958</v>
      </c>
      <c r="W462" s="26">
        <f t="shared" si="215"/>
        <v>1581.3612458923553</v>
      </c>
      <c r="X462" s="26">
        <f t="shared" si="215"/>
        <v>1561.0275376536185</v>
      </c>
      <c r="Y462" s="26">
        <f t="shared" si="215"/>
        <v>1546.4517889063816</v>
      </c>
      <c r="Z462" s="26">
        <f t="shared" si="215"/>
        <v>1537.5943975526714</v>
      </c>
      <c r="AA462" s="26">
        <f t="shared" si="215"/>
        <v>1534.1781017151086</v>
      </c>
      <c r="AB462" s="26">
        <f t="shared" si="215"/>
        <v>1535.9010092298067</v>
      </c>
      <c r="AC462" s="26">
        <f t="shared" si="215"/>
        <v>1542.2263096902577</v>
      </c>
      <c r="AD462" s="26">
        <f t="shared" si="215"/>
        <v>1552.707818724469</v>
      </c>
      <c r="AE462" s="26">
        <f t="shared" si="215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216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216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216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216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216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216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216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216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216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217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217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217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217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217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217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217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217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217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18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18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18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18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18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18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18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18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18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19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19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19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19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19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19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19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19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19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20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21">L513*(1+M$498)^($E503*M$499)*(1+M$500)*IF(L476&lt;=0,1,M476/L476)^$F503*(IF(L486&lt;=0,1,M486/L486)^$G503/(1+$H503+$I503))^(1+$F503)</f>
        <v>1191.3644362517186</v>
      </c>
      <c r="N513" s="24">
        <f t="shared" si="221"/>
        <v>1369.1779282213379</v>
      </c>
      <c r="O513" s="24">
        <f t="shared" si="221"/>
        <v>1496.0103450821184</v>
      </c>
      <c r="P513" s="24">
        <f t="shared" si="221"/>
        <v>1463.0094084242087</v>
      </c>
      <c r="Q513" s="24">
        <f t="shared" si="221"/>
        <v>1374.7723428524598</v>
      </c>
      <c r="R513" s="24">
        <f t="shared" si="221"/>
        <v>1322.3676037201524</v>
      </c>
      <c r="S513" s="24">
        <f t="shared" si="221"/>
        <v>1277.4771729802817</v>
      </c>
      <c r="T513" s="24">
        <f t="shared" si="221"/>
        <v>1237.8339324892117</v>
      </c>
      <c r="U513" s="24">
        <f t="shared" si="221"/>
        <v>1203.5520989403735</v>
      </c>
      <c r="V513" s="24">
        <f t="shared" si="221"/>
        <v>1171.0227006276741</v>
      </c>
      <c r="W513" s="24">
        <f t="shared" si="221"/>
        <v>1143.1158396315363</v>
      </c>
      <c r="X513" s="24">
        <f t="shared" si="221"/>
        <v>1119.1782325411702</v>
      </c>
      <c r="Y513" s="24">
        <f t="shared" si="221"/>
        <v>1098.7587442542565</v>
      </c>
      <c r="Z513" s="24">
        <f t="shared" si="221"/>
        <v>1081.6097142698629</v>
      </c>
      <c r="AA513" s="24">
        <f t="shared" si="221"/>
        <v>1067.4268939287992</v>
      </c>
      <c r="AB513" s="24">
        <f t="shared" si="221"/>
        <v>1055.9237026292408</v>
      </c>
      <c r="AC513" s="24">
        <f t="shared" si="221"/>
        <v>1046.7510678916517</v>
      </c>
      <c r="AD513" s="24">
        <f t="shared" si="221"/>
        <v>1039.6150871676307</v>
      </c>
      <c r="AE513" s="24">
        <f t="shared" si="221"/>
        <v>1034.2820627341093</v>
      </c>
    </row>
    <row r="514" spans="1:35" x14ac:dyDescent="0.45">
      <c r="B514" s="14" t="s">
        <v>53</v>
      </c>
      <c r="C514" s="14" t="str">
        <f t="shared" si="220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22">L514*(1+M$498)^($E504*M$499)*(1+M$500)*IF(L477&lt;=0,1,M477/L477)^$F504*(IF(L487&lt;=0,1,M487/L487)^$G504/(1+$H504+$I504))^(1+$F504)</f>
        <v>1498.9759731403976</v>
      </c>
      <c r="N514" s="24">
        <f t="shared" si="222"/>
        <v>1678.358160579395</v>
      </c>
      <c r="O514" s="24">
        <f t="shared" si="222"/>
        <v>1744.6824773068638</v>
      </c>
      <c r="P514" s="24">
        <f t="shared" si="222"/>
        <v>1810.2025593297435</v>
      </c>
      <c r="Q514" s="24">
        <f t="shared" si="222"/>
        <v>1714.6535098550225</v>
      </c>
      <c r="R514" s="24">
        <f t="shared" si="222"/>
        <v>1652.7566024408457</v>
      </c>
      <c r="S514" s="24">
        <f t="shared" si="222"/>
        <v>1600.9566278844272</v>
      </c>
      <c r="T514" s="24">
        <f t="shared" si="222"/>
        <v>1555.2682553771401</v>
      </c>
      <c r="U514" s="24">
        <f t="shared" si="222"/>
        <v>1518.134680287737</v>
      </c>
      <c r="V514" s="24">
        <f t="shared" si="222"/>
        <v>1488.4138650625532</v>
      </c>
      <c r="W514" s="24">
        <f t="shared" si="222"/>
        <v>1465.2685194100193</v>
      </c>
      <c r="X514" s="24">
        <f t="shared" si="222"/>
        <v>1447.9657306697538</v>
      </c>
      <c r="Y514" s="24">
        <f t="shared" si="222"/>
        <v>1436.1054289752974</v>
      </c>
      <c r="Z514" s="24">
        <f t="shared" si="222"/>
        <v>1429.6873853271168</v>
      </c>
      <c r="AA514" s="24">
        <f t="shared" si="222"/>
        <v>1428.4719778022093</v>
      </c>
      <c r="AB514" s="24">
        <f t="shared" si="222"/>
        <v>1432.1908567362859</v>
      </c>
      <c r="AC514" s="24">
        <f t="shared" si="222"/>
        <v>1440.340132629459</v>
      </c>
      <c r="AD514" s="24">
        <f t="shared" si="222"/>
        <v>1452.5016104532156</v>
      </c>
      <c r="AE514" s="24">
        <f t="shared" si="222"/>
        <v>1468.3698881922217</v>
      </c>
    </row>
    <row r="515" spans="1:35" x14ac:dyDescent="0.45">
      <c r="B515" s="14" t="s">
        <v>55</v>
      </c>
      <c r="C515" s="14" t="str">
        <f t="shared" si="220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23">L515*(1+M$498)^($E505*M$499)*(1+M$500)*IF(L478&lt;=0,1,M478/L478)^$F505*(IF(L488&lt;=0,1,M488/L488)^$G505/(1+$H505+$I505))^(1+$F505)</f>
        <v>0</v>
      </c>
      <c r="N515" s="24">
        <f t="shared" si="223"/>
        <v>0</v>
      </c>
      <c r="O515" s="24">
        <f t="shared" si="223"/>
        <v>0</v>
      </c>
      <c r="P515" s="24">
        <f t="shared" si="223"/>
        <v>0</v>
      </c>
      <c r="Q515" s="24">
        <f t="shared" si="223"/>
        <v>0</v>
      </c>
      <c r="R515" s="24">
        <f t="shared" si="223"/>
        <v>0</v>
      </c>
      <c r="S515" s="24">
        <f t="shared" si="223"/>
        <v>0</v>
      </c>
      <c r="T515" s="24">
        <f t="shared" si="223"/>
        <v>0</v>
      </c>
      <c r="U515" s="24">
        <f t="shared" si="223"/>
        <v>0</v>
      </c>
      <c r="V515" s="24">
        <f t="shared" si="223"/>
        <v>0</v>
      </c>
      <c r="W515" s="24">
        <f t="shared" si="223"/>
        <v>0</v>
      </c>
      <c r="X515" s="24">
        <f t="shared" si="223"/>
        <v>0</v>
      </c>
      <c r="Y515" s="24">
        <f t="shared" si="223"/>
        <v>0</v>
      </c>
      <c r="Z515" s="24">
        <f t="shared" si="223"/>
        <v>0</v>
      </c>
      <c r="AA515" s="24">
        <f t="shared" si="223"/>
        <v>0</v>
      </c>
      <c r="AB515" s="24">
        <f t="shared" si="223"/>
        <v>0</v>
      </c>
      <c r="AC515" s="24">
        <f t="shared" si="223"/>
        <v>0</v>
      </c>
      <c r="AD515" s="24">
        <f t="shared" si="223"/>
        <v>0</v>
      </c>
      <c r="AE515" s="24">
        <f t="shared" si="223"/>
        <v>0</v>
      </c>
    </row>
    <row r="516" spans="1:35" x14ac:dyDescent="0.45">
      <c r="B516" s="14" t="s">
        <v>58</v>
      </c>
      <c r="C516" s="14" t="str">
        <f t="shared" si="220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24">L516*(1+M$498)^($E506*M$499)*(1+M$500)*IF(L479&lt;=0,1,M479/L479)^$F506*(IF(L489&lt;=0,1,M489/L489)^$G506/(1+$H506+$I506))^(1+$F506)</f>
        <v>0</v>
      </c>
      <c r="N516" s="24">
        <f t="shared" si="224"/>
        <v>0</v>
      </c>
      <c r="O516" s="24">
        <f t="shared" si="224"/>
        <v>0</v>
      </c>
      <c r="P516" s="24">
        <f t="shared" si="224"/>
        <v>0</v>
      </c>
      <c r="Q516" s="24">
        <f t="shared" si="224"/>
        <v>0</v>
      </c>
      <c r="R516" s="24">
        <f t="shared" si="224"/>
        <v>0</v>
      </c>
      <c r="S516" s="24">
        <f t="shared" si="224"/>
        <v>0</v>
      </c>
      <c r="T516" s="24">
        <f t="shared" si="224"/>
        <v>0</v>
      </c>
      <c r="U516" s="24">
        <f t="shared" si="224"/>
        <v>0</v>
      </c>
      <c r="V516" s="24">
        <f t="shared" si="224"/>
        <v>0</v>
      </c>
      <c r="W516" s="24">
        <f t="shared" si="224"/>
        <v>0</v>
      </c>
      <c r="X516" s="24">
        <f t="shared" si="224"/>
        <v>0</v>
      </c>
      <c r="Y516" s="24">
        <f t="shared" si="224"/>
        <v>0</v>
      </c>
      <c r="Z516" s="24">
        <f t="shared" si="224"/>
        <v>0</v>
      </c>
      <c r="AA516" s="24">
        <f t="shared" si="224"/>
        <v>0</v>
      </c>
      <c r="AB516" s="24">
        <f t="shared" si="224"/>
        <v>0</v>
      </c>
      <c r="AC516" s="24">
        <f t="shared" si="224"/>
        <v>0</v>
      </c>
      <c r="AD516" s="24">
        <f t="shared" si="224"/>
        <v>0</v>
      </c>
      <c r="AE516" s="24">
        <f t="shared" si="224"/>
        <v>0</v>
      </c>
    </row>
    <row r="517" spans="1:35" x14ac:dyDescent="0.45">
      <c r="B517" s="14" t="s">
        <v>60</v>
      </c>
      <c r="C517" s="14" t="str">
        <f t="shared" si="220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25">L517*(1+M$498)^($E507*M$499)*(1+M$500)*IF(L480&lt;=0,1,M480/L480)^$F507*(IF(L490&lt;=0,1,M490/L490)^$G507/(1+$H507+$I507))^(1+$F507)</f>
        <v>0</v>
      </c>
      <c r="N517" s="24">
        <f t="shared" si="225"/>
        <v>0</v>
      </c>
      <c r="O517" s="24">
        <f t="shared" si="225"/>
        <v>0</v>
      </c>
      <c r="P517" s="24">
        <f t="shared" si="225"/>
        <v>0</v>
      </c>
      <c r="Q517" s="24">
        <f t="shared" si="225"/>
        <v>0</v>
      </c>
      <c r="R517" s="24">
        <f t="shared" si="225"/>
        <v>0</v>
      </c>
      <c r="S517" s="24">
        <f t="shared" si="225"/>
        <v>0</v>
      </c>
      <c r="T517" s="24">
        <f t="shared" si="225"/>
        <v>0</v>
      </c>
      <c r="U517" s="24">
        <f t="shared" si="225"/>
        <v>0</v>
      </c>
      <c r="V517" s="24">
        <f t="shared" si="225"/>
        <v>0</v>
      </c>
      <c r="W517" s="24">
        <f t="shared" si="225"/>
        <v>0</v>
      </c>
      <c r="X517" s="24">
        <f t="shared" si="225"/>
        <v>0</v>
      </c>
      <c r="Y517" s="24">
        <f t="shared" si="225"/>
        <v>0</v>
      </c>
      <c r="Z517" s="24">
        <f t="shared" si="225"/>
        <v>0</v>
      </c>
      <c r="AA517" s="24">
        <f t="shared" si="225"/>
        <v>0</v>
      </c>
      <c r="AB517" s="24">
        <f t="shared" si="225"/>
        <v>0</v>
      </c>
      <c r="AC517" s="24">
        <f t="shared" si="225"/>
        <v>0</v>
      </c>
      <c r="AD517" s="24">
        <f t="shared" si="225"/>
        <v>0</v>
      </c>
      <c r="AE517" s="24">
        <f t="shared" si="225"/>
        <v>0</v>
      </c>
    </row>
    <row r="518" spans="1:35" x14ac:dyDescent="0.45">
      <c r="B518" s="14" t="s">
        <v>62</v>
      </c>
      <c r="C518" s="14" t="str">
        <f t="shared" si="220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26">L518*(1+M$498)^($E508*M$499)*(1+M$500)*IF(L481&lt;=0,1,M481/L481)^$F508*(IF(L491&lt;=0,1,M491/L491)^$G508/(1+$H508+$I508))^(1+$F508)</f>
        <v>0</v>
      </c>
      <c r="N518" s="24">
        <f t="shared" si="226"/>
        <v>0</v>
      </c>
      <c r="O518" s="24">
        <f t="shared" si="226"/>
        <v>0</v>
      </c>
      <c r="P518" s="24">
        <f t="shared" si="226"/>
        <v>0</v>
      </c>
      <c r="Q518" s="24">
        <f t="shared" si="226"/>
        <v>0</v>
      </c>
      <c r="R518" s="24">
        <f t="shared" si="226"/>
        <v>0</v>
      </c>
      <c r="S518" s="24">
        <f t="shared" si="226"/>
        <v>0</v>
      </c>
      <c r="T518" s="24">
        <f t="shared" si="226"/>
        <v>0</v>
      </c>
      <c r="U518" s="24">
        <f t="shared" si="226"/>
        <v>0</v>
      </c>
      <c r="V518" s="24">
        <f t="shared" si="226"/>
        <v>0</v>
      </c>
      <c r="W518" s="24">
        <f t="shared" si="226"/>
        <v>0</v>
      </c>
      <c r="X518" s="24">
        <f t="shared" si="226"/>
        <v>0</v>
      </c>
      <c r="Y518" s="24">
        <f t="shared" si="226"/>
        <v>0</v>
      </c>
      <c r="Z518" s="24">
        <f t="shared" si="226"/>
        <v>0</v>
      </c>
      <c r="AA518" s="24">
        <f t="shared" si="226"/>
        <v>0</v>
      </c>
      <c r="AB518" s="24">
        <f t="shared" si="226"/>
        <v>0</v>
      </c>
      <c r="AC518" s="24">
        <f t="shared" si="226"/>
        <v>0</v>
      </c>
      <c r="AD518" s="24">
        <f t="shared" si="226"/>
        <v>0</v>
      </c>
      <c r="AE518" s="24">
        <f t="shared" si="226"/>
        <v>0</v>
      </c>
    </row>
    <row r="519" spans="1:35" x14ac:dyDescent="0.45">
      <c r="B519" s="14" t="s">
        <v>64</v>
      </c>
      <c r="C519" s="14" t="str">
        <f t="shared" si="220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27">L519*(1+M$498)^($E509*M$499)*(1+M$500)*IF(L482&lt;=0,1,M482/L482)^$F509*(IF(L492&lt;=0,1,M492/L492)^$G509/(1+$H509+$I509))^(1+$F509)</f>
        <v>0</v>
      </c>
      <c r="N519" s="24">
        <f t="shared" si="227"/>
        <v>0</v>
      </c>
      <c r="O519" s="24">
        <f t="shared" si="227"/>
        <v>0</v>
      </c>
      <c r="P519" s="24">
        <f t="shared" si="227"/>
        <v>0</v>
      </c>
      <c r="Q519" s="24">
        <f t="shared" si="227"/>
        <v>0</v>
      </c>
      <c r="R519" s="24">
        <f t="shared" si="227"/>
        <v>0</v>
      </c>
      <c r="S519" s="24">
        <f t="shared" si="227"/>
        <v>0</v>
      </c>
      <c r="T519" s="24">
        <f t="shared" si="227"/>
        <v>0</v>
      </c>
      <c r="U519" s="24">
        <f t="shared" si="227"/>
        <v>0</v>
      </c>
      <c r="V519" s="24">
        <f t="shared" si="227"/>
        <v>0</v>
      </c>
      <c r="W519" s="24">
        <f t="shared" si="227"/>
        <v>0</v>
      </c>
      <c r="X519" s="24">
        <f t="shared" si="227"/>
        <v>0</v>
      </c>
      <c r="Y519" s="24">
        <f t="shared" si="227"/>
        <v>0</v>
      </c>
      <c r="Z519" s="24">
        <f t="shared" si="227"/>
        <v>0</v>
      </c>
      <c r="AA519" s="24">
        <f t="shared" si="227"/>
        <v>0</v>
      </c>
      <c r="AB519" s="24">
        <f t="shared" si="227"/>
        <v>0</v>
      </c>
      <c r="AC519" s="24">
        <f t="shared" si="227"/>
        <v>0</v>
      </c>
      <c r="AD519" s="24">
        <f t="shared" si="227"/>
        <v>0</v>
      </c>
      <c r="AE519" s="24">
        <f t="shared" si="227"/>
        <v>0</v>
      </c>
    </row>
    <row r="520" spans="1:35" x14ac:dyDescent="0.45">
      <c r="B520" s="14" t="s">
        <v>67</v>
      </c>
      <c r="C520" s="14" t="str">
        <f t="shared" si="220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28">L520*(1+M$498)^($E510*M$499)*(1+M$500)*IF(L483&lt;=0,1,M483/L483)^$F510*(IF(L493&lt;=0,1,M493/L493)^$G510/(1+$H510+$I510))^(1+$F510)</f>
        <v>0</v>
      </c>
      <c r="N520" s="24">
        <f t="shared" si="228"/>
        <v>0</v>
      </c>
      <c r="O520" s="24">
        <f t="shared" si="228"/>
        <v>0</v>
      </c>
      <c r="P520" s="24">
        <f t="shared" si="228"/>
        <v>0</v>
      </c>
      <c r="Q520" s="24">
        <f t="shared" si="228"/>
        <v>0</v>
      </c>
      <c r="R520" s="24">
        <f t="shared" si="228"/>
        <v>0</v>
      </c>
      <c r="S520" s="24">
        <f t="shared" si="228"/>
        <v>0</v>
      </c>
      <c r="T520" s="24">
        <f t="shared" si="228"/>
        <v>0</v>
      </c>
      <c r="U520" s="24">
        <f t="shared" si="228"/>
        <v>0</v>
      </c>
      <c r="V520" s="24">
        <f t="shared" si="228"/>
        <v>0</v>
      </c>
      <c r="W520" s="24">
        <f t="shared" si="228"/>
        <v>0</v>
      </c>
      <c r="X520" s="24">
        <f t="shared" si="228"/>
        <v>0</v>
      </c>
      <c r="Y520" s="24">
        <f t="shared" si="228"/>
        <v>0</v>
      </c>
      <c r="Z520" s="24">
        <f t="shared" si="228"/>
        <v>0</v>
      </c>
      <c r="AA520" s="24">
        <f t="shared" si="228"/>
        <v>0</v>
      </c>
      <c r="AB520" s="24">
        <f t="shared" si="228"/>
        <v>0</v>
      </c>
      <c r="AC520" s="24">
        <f t="shared" si="228"/>
        <v>0</v>
      </c>
      <c r="AD520" s="24">
        <f t="shared" si="228"/>
        <v>0</v>
      </c>
      <c r="AE520" s="24">
        <f t="shared" si="228"/>
        <v>0</v>
      </c>
    </row>
    <row r="521" spans="1:35" x14ac:dyDescent="0.45">
      <c r="B521" s="14" t="s">
        <v>69</v>
      </c>
      <c r="C521" s="14" t="str">
        <f t="shared" si="220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29">L521*(1+M$498)^($E511*M$499)*(1+M$500)*IF(L484&lt;=0,1,M484/L484)^$F511*(IF(L494&lt;=0,1,M494/L494)^$G511/(1+$H511+$I511))^(1+$F511)</f>
        <v>0</v>
      </c>
      <c r="N521" s="24">
        <f t="shared" si="229"/>
        <v>0</v>
      </c>
      <c r="O521" s="24">
        <f t="shared" si="229"/>
        <v>0</v>
      </c>
      <c r="P521" s="24">
        <f t="shared" si="229"/>
        <v>0</v>
      </c>
      <c r="Q521" s="24">
        <f t="shared" si="229"/>
        <v>0</v>
      </c>
      <c r="R521" s="24">
        <f t="shared" si="229"/>
        <v>0</v>
      </c>
      <c r="S521" s="24">
        <f t="shared" si="229"/>
        <v>0</v>
      </c>
      <c r="T521" s="24">
        <f t="shared" si="229"/>
        <v>0</v>
      </c>
      <c r="U521" s="24">
        <f t="shared" si="229"/>
        <v>0</v>
      </c>
      <c r="V521" s="24">
        <f t="shared" si="229"/>
        <v>0</v>
      </c>
      <c r="W521" s="24">
        <f t="shared" si="229"/>
        <v>0</v>
      </c>
      <c r="X521" s="24">
        <f t="shared" si="229"/>
        <v>0</v>
      </c>
      <c r="Y521" s="24">
        <f t="shared" si="229"/>
        <v>0</v>
      </c>
      <c r="Z521" s="24">
        <f t="shared" si="229"/>
        <v>0</v>
      </c>
      <c r="AA521" s="24">
        <f t="shared" si="229"/>
        <v>0</v>
      </c>
      <c r="AB521" s="24">
        <f t="shared" si="229"/>
        <v>0</v>
      </c>
      <c r="AC521" s="24">
        <f t="shared" si="229"/>
        <v>0</v>
      </c>
      <c r="AD521" s="24">
        <f t="shared" si="229"/>
        <v>0</v>
      </c>
      <c r="AE521" s="24">
        <f t="shared" si="229"/>
        <v>0</v>
      </c>
    </row>
    <row r="522" spans="1:35" x14ac:dyDescent="0.45">
      <c r="B522" s="14" t="s">
        <v>110</v>
      </c>
      <c r="C522" s="14" t="str">
        <f t="shared" si="220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30">SUM(L513:L521)</f>
        <v>3210.4467592248702</v>
      </c>
      <c r="M522" s="26">
        <f t="shared" si="230"/>
        <v>2690.3404093921163</v>
      </c>
      <c r="N522" s="26">
        <f t="shared" si="230"/>
        <v>3047.5360888007326</v>
      </c>
      <c r="O522" s="26">
        <f t="shared" si="230"/>
        <v>3240.6928223889822</v>
      </c>
      <c r="P522" s="26">
        <f t="shared" si="230"/>
        <v>3273.2119677539522</v>
      </c>
      <c r="Q522" s="26">
        <f t="shared" si="230"/>
        <v>3089.4258527074826</v>
      </c>
      <c r="R522" s="26">
        <f t="shared" si="230"/>
        <v>2975.1242061609983</v>
      </c>
      <c r="S522" s="26">
        <f t="shared" si="230"/>
        <v>2878.4338008647092</v>
      </c>
      <c r="T522" s="26">
        <f t="shared" si="230"/>
        <v>2793.1021878663519</v>
      </c>
      <c r="U522" s="26">
        <f t="shared" si="230"/>
        <v>2721.6867792281105</v>
      </c>
      <c r="V522" s="26">
        <f t="shared" si="230"/>
        <v>2659.4365656902273</v>
      </c>
      <c r="W522" s="26">
        <f t="shared" si="230"/>
        <v>2608.3843590415554</v>
      </c>
      <c r="X522" s="26">
        <f t="shared" si="230"/>
        <v>2567.1439632109241</v>
      </c>
      <c r="Y522" s="26">
        <f t="shared" si="230"/>
        <v>2534.8641732295537</v>
      </c>
      <c r="Z522" s="26">
        <f t="shared" si="230"/>
        <v>2511.2970995969799</v>
      </c>
      <c r="AA522" s="26">
        <f t="shared" si="230"/>
        <v>2495.8988717310085</v>
      </c>
      <c r="AB522" s="26">
        <f t="shared" si="230"/>
        <v>2488.1145593655265</v>
      </c>
      <c r="AC522" s="26">
        <f t="shared" si="230"/>
        <v>2487.0912005211107</v>
      </c>
      <c r="AD522" s="26">
        <f t="shared" si="230"/>
        <v>2492.116697620846</v>
      </c>
      <c r="AE522" s="26">
        <f t="shared" si="230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31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31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31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31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31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31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31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31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31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32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32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32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32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32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32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32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32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32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33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33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33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33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33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33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33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33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33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34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34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34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34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34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34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34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34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34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35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36">L573*(1+M$558)^($E563*M$559)*(1+M$560)*IF(L536&lt;=0,1,M536/L536)^$F563*(IF(L546&lt;=0,1,M546/L546)^$G563/(1+$H563+$I563))^(1+$F563)</f>
        <v>0</v>
      </c>
      <c r="N573" s="24">
        <f t="shared" si="236"/>
        <v>0</v>
      </c>
      <c r="O573" s="24">
        <f t="shared" si="236"/>
        <v>0</v>
      </c>
      <c r="P573" s="24">
        <f t="shared" si="236"/>
        <v>0</v>
      </c>
      <c r="Q573" s="24">
        <f t="shared" si="236"/>
        <v>0</v>
      </c>
      <c r="R573" s="24">
        <f t="shared" si="236"/>
        <v>0</v>
      </c>
      <c r="S573" s="24">
        <f t="shared" si="236"/>
        <v>0</v>
      </c>
      <c r="T573" s="24">
        <f t="shared" si="236"/>
        <v>0</v>
      </c>
      <c r="U573" s="24">
        <f t="shared" si="236"/>
        <v>0</v>
      </c>
      <c r="V573" s="24">
        <f t="shared" si="236"/>
        <v>0</v>
      </c>
      <c r="W573" s="24">
        <f t="shared" si="236"/>
        <v>0</v>
      </c>
      <c r="X573" s="24">
        <f t="shared" si="236"/>
        <v>0</v>
      </c>
      <c r="Y573" s="24">
        <f t="shared" si="236"/>
        <v>0</v>
      </c>
      <c r="Z573" s="24">
        <f t="shared" si="236"/>
        <v>0</v>
      </c>
      <c r="AA573" s="24">
        <f t="shared" si="236"/>
        <v>0</v>
      </c>
      <c r="AB573" s="24">
        <f t="shared" si="236"/>
        <v>0</v>
      </c>
      <c r="AC573" s="24">
        <f t="shared" si="236"/>
        <v>0</v>
      </c>
      <c r="AD573" s="24">
        <f t="shared" si="236"/>
        <v>0</v>
      </c>
      <c r="AE573" s="24">
        <f t="shared" si="236"/>
        <v>0</v>
      </c>
    </row>
    <row r="574" spans="2:31" x14ac:dyDescent="0.45">
      <c r="B574" s="14" t="s">
        <v>53</v>
      </c>
      <c r="C574" s="14" t="str">
        <f t="shared" si="235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37">L574*(1+M$558)^($E564*M$559)*(1+M$560)*IF(L537&lt;=0,1,M537/L537)^$F564*(IF(L547&lt;=0,1,M547/L547)^$G564/(1+$H564+$I564))^(1+$F564)</f>
        <v>0</v>
      </c>
      <c r="N574" s="24">
        <f t="shared" si="237"/>
        <v>0</v>
      </c>
      <c r="O574" s="24">
        <f t="shared" si="237"/>
        <v>0</v>
      </c>
      <c r="P574" s="24">
        <f t="shared" si="237"/>
        <v>0</v>
      </c>
      <c r="Q574" s="24">
        <f t="shared" si="237"/>
        <v>0</v>
      </c>
      <c r="R574" s="24">
        <f t="shared" si="237"/>
        <v>0</v>
      </c>
      <c r="S574" s="24">
        <f t="shared" si="237"/>
        <v>0</v>
      </c>
      <c r="T574" s="24">
        <f t="shared" si="237"/>
        <v>0</v>
      </c>
      <c r="U574" s="24">
        <f t="shared" si="237"/>
        <v>0</v>
      </c>
      <c r="V574" s="24">
        <f t="shared" si="237"/>
        <v>0</v>
      </c>
      <c r="W574" s="24">
        <f t="shared" si="237"/>
        <v>0</v>
      </c>
      <c r="X574" s="24">
        <f t="shared" si="237"/>
        <v>0</v>
      </c>
      <c r="Y574" s="24">
        <f t="shared" si="237"/>
        <v>0</v>
      </c>
      <c r="Z574" s="24">
        <f t="shared" si="237"/>
        <v>0</v>
      </c>
      <c r="AA574" s="24">
        <f t="shared" si="237"/>
        <v>0</v>
      </c>
      <c r="AB574" s="24">
        <f t="shared" si="237"/>
        <v>0</v>
      </c>
      <c r="AC574" s="24">
        <f t="shared" si="237"/>
        <v>0</v>
      </c>
      <c r="AD574" s="24">
        <f t="shared" si="237"/>
        <v>0</v>
      </c>
      <c r="AE574" s="24">
        <f t="shared" si="237"/>
        <v>0</v>
      </c>
    </row>
    <row r="575" spans="2:31" x14ac:dyDescent="0.45">
      <c r="B575" s="14" t="s">
        <v>55</v>
      </c>
      <c r="C575" s="14" t="str">
        <f t="shared" si="235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38">L575*(1+M$558)^($E565*M$559)*(1+M$560)*IF(L538&lt;=0,1,M538/L538)^$F565*(IF(L548&lt;=0,1,M548/L548)^$G565/(1+$H565+$I565))^(1+$F565)</f>
        <v>0</v>
      </c>
      <c r="N575" s="24">
        <f t="shared" si="238"/>
        <v>0</v>
      </c>
      <c r="O575" s="24">
        <f t="shared" si="238"/>
        <v>0</v>
      </c>
      <c r="P575" s="24">
        <f t="shared" si="238"/>
        <v>0</v>
      </c>
      <c r="Q575" s="24">
        <f t="shared" si="238"/>
        <v>0</v>
      </c>
      <c r="R575" s="24">
        <f t="shared" si="238"/>
        <v>0</v>
      </c>
      <c r="S575" s="24">
        <f t="shared" si="238"/>
        <v>0</v>
      </c>
      <c r="T575" s="24">
        <f t="shared" si="238"/>
        <v>0</v>
      </c>
      <c r="U575" s="24">
        <f t="shared" si="238"/>
        <v>0</v>
      </c>
      <c r="V575" s="24">
        <f t="shared" si="238"/>
        <v>0</v>
      </c>
      <c r="W575" s="24">
        <f t="shared" si="238"/>
        <v>0</v>
      </c>
      <c r="X575" s="24">
        <f t="shared" si="238"/>
        <v>0</v>
      </c>
      <c r="Y575" s="24">
        <f t="shared" si="238"/>
        <v>0</v>
      </c>
      <c r="Z575" s="24">
        <f t="shared" si="238"/>
        <v>0</v>
      </c>
      <c r="AA575" s="24">
        <f t="shared" si="238"/>
        <v>0</v>
      </c>
      <c r="AB575" s="24">
        <f t="shared" si="238"/>
        <v>0</v>
      </c>
      <c r="AC575" s="24">
        <f t="shared" si="238"/>
        <v>0</v>
      </c>
      <c r="AD575" s="24">
        <f t="shared" si="238"/>
        <v>0</v>
      </c>
      <c r="AE575" s="24">
        <f t="shared" si="238"/>
        <v>0</v>
      </c>
    </row>
    <row r="576" spans="2:31" x14ac:dyDescent="0.45">
      <c r="B576" s="14" t="s">
        <v>58</v>
      </c>
      <c r="C576" s="14" t="str">
        <f t="shared" si="235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39">L576*(1+M$558)^($E566*M$559)*(1+M$560)*IF(L539&lt;=0,1,M539/L539)^$F566*(IF(L549&lt;=0,1,M549/L549)^$G566/(1+$H566+$I566))^(1+$F566)</f>
        <v>0</v>
      </c>
      <c r="N576" s="24">
        <f t="shared" si="239"/>
        <v>0</v>
      </c>
      <c r="O576" s="24">
        <f t="shared" si="239"/>
        <v>0</v>
      </c>
      <c r="P576" s="24">
        <f t="shared" si="239"/>
        <v>0</v>
      </c>
      <c r="Q576" s="24">
        <f t="shared" si="239"/>
        <v>0</v>
      </c>
      <c r="R576" s="24">
        <f t="shared" si="239"/>
        <v>0</v>
      </c>
      <c r="S576" s="24">
        <f t="shared" si="239"/>
        <v>0</v>
      </c>
      <c r="T576" s="24">
        <f t="shared" si="239"/>
        <v>0</v>
      </c>
      <c r="U576" s="24">
        <f t="shared" si="239"/>
        <v>0</v>
      </c>
      <c r="V576" s="24">
        <f t="shared" si="239"/>
        <v>0</v>
      </c>
      <c r="W576" s="24">
        <f t="shared" si="239"/>
        <v>0</v>
      </c>
      <c r="X576" s="24">
        <f t="shared" si="239"/>
        <v>0</v>
      </c>
      <c r="Y576" s="24">
        <f t="shared" si="239"/>
        <v>0</v>
      </c>
      <c r="Z576" s="24">
        <f t="shared" si="239"/>
        <v>0</v>
      </c>
      <c r="AA576" s="24">
        <f t="shared" si="239"/>
        <v>0</v>
      </c>
      <c r="AB576" s="24">
        <f t="shared" si="239"/>
        <v>0</v>
      </c>
      <c r="AC576" s="24">
        <f t="shared" si="239"/>
        <v>0</v>
      </c>
      <c r="AD576" s="24">
        <f t="shared" si="239"/>
        <v>0</v>
      </c>
      <c r="AE576" s="24">
        <f t="shared" si="239"/>
        <v>0</v>
      </c>
    </row>
    <row r="577" spans="1:35" x14ac:dyDescent="0.45">
      <c r="B577" s="14" t="s">
        <v>60</v>
      </c>
      <c r="C577" s="14" t="str">
        <f t="shared" si="235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40">L577*(1+M$558)^($E567*M$559)*(1+M$560)*IF(L540&lt;=0,1,M540/L540)^$F567*(IF(L550&lt;=0,1,M550/L550)^$G567/(1+$H567+$I567))^(1+$F567)</f>
        <v>0</v>
      </c>
      <c r="N577" s="24">
        <f t="shared" si="240"/>
        <v>0</v>
      </c>
      <c r="O577" s="24">
        <f t="shared" si="240"/>
        <v>0</v>
      </c>
      <c r="P577" s="24">
        <f t="shared" si="240"/>
        <v>0</v>
      </c>
      <c r="Q577" s="24">
        <f t="shared" si="240"/>
        <v>0</v>
      </c>
      <c r="R577" s="24">
        <f t="shared" si="240"/>
        <v>0</v>
      </c>
      <c r="S577" s="24">
        <f t="shared" si="240"/>
        <v>0</v>
      </c>
      <c r="T577" s="24">
        <f t="shared" si="240"/>
        <v>0</v>
      </c>
      <c r="U577" s="24">
        <f t="shared" si="240"/>
        <v>0</v>
      </c>
      <c r="V577" s="24">
        <f t="shared" si="240"/>
        <v>0</v>
      </c>
      <c r="W577" s="24">
        <f t="shared" si="240"/>
        <v>0</v>
      </c>
      <c r="X577" s="24">
        <f t="shared" si="240"/>
        <v>0</v>
      </c>
      <c r="Y577" s="24">
        <f t="shared" si="240"/>
        <v>0</v>
      </c>
      <c r="Z577" s="24">
        <f t="shared" si="240"/>
        <v>0</v>
      </c>
      <c r="AA577" s="24">
        <f t="shared" si="240"/>
        <v>0</v>
      </c>
      <c r="AB577" s="24">
        <f t="shared" si="240"/>
        <v>0</v>
      </c>
      <c r="AC577" s="24">
        <f t="shared" si="240"/>
        <v>0</v>
      </c>
      <c r="AD577" s="24">
        <f t="shared" si="240"/>
        <v>0</v>
      </c>
      <c r="AE577" s="24">
        <f t="shared" si="240"/>
        <v>0</v>
      </c>
    </row>
    <row r="578" spans="1:35" x14ac:dyDescent="0.45">
      <c r="B578" s="14" t="s">
        <v>62</v>
      </c>
      <c r="C578" s="14" t="str">
        <f t="shared" si="235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41">L578*(1+M$558)^($E568*M$559)*(1+M$560)*IF(L541&lt;=0,1,M541/L541)^$F568*(IF(L551&lt;=0,1,M551/L551)^$G568/(1+$H568+$I568))^(1+$F568)</f>
        <v>0</v>
      </c>
      <c r="N578" s="24">
        <f t="shared" si="241"/>
        <v>0</v>
      </c>
      <c r="O578" s="24">
        <f t="shared" si="241"/>
        <v>0</v>
      </c>
      <c r="P578" s="24">
        <f t="shared" si="241"/>
        <v>0</v>
      </c>
      <c r="Q578" s="24">
        <f t="shared" si="241"/>
        <v>0</v>
      </c>
      <c r="R578" s="24">
        <f t="shared" si="241"/>
        <v>0</v>
      </c>
      <c r="S578" s="24">
        <f t="shared" si="241"/>
        <v>0</v>
      </c>
      <c r="T578" s="24">
        <f t="shared" si="241"/>
        <v>0</v>
      </c>
      <c r="U578" s="24">
        <f t="shared" si="241"/>
        <v>0</v>
      </c>
      <c r="V578" s="24">
        <f t="shared" si="241"/>
        <v>0</v>
      </c>
      <c r="W578" s="24">
        <f t="shared" si="241"/>
        <v>0</v>
      </c>
      <c r="X578" s="24">
        <f t="shared" si="241"/>
        <v>0</v>
      </c>
      <c r="Y578" s="24">
        <f t="shared" si="241"/>
        <v>0</v>
      </c>
      <c r="Z578" s="24">
        <f t="shared" si="241"/>
        <v>0</v>
      </c>
      <c r="AA578" s="24">
        <f t="shared" si="241"/>
        <v>0</v>
      </c>
      <c r="AB578" s="24">
        <f t="shared" si="241"/>
        <v>0</v>
      </c>
      <c r="AC578" s="24">
        <f t="shared" si="241"/>
        <v>0</v>
      </c>
      <c r="AD578" s="24">
        <f t="shared" si="241"/>
        <v>0</v>
      </c>
      <c r="AE578" s="24">
        <f t="shared" si="241"/>
        <v>0</v>
      </c>
    </row>
    <row r="579" spans="1:35" x14ac:dyDescent="0.45">
      <c r="B579" s="14" t="s">
        <v>64</v>
      </c>
      <c r="C579" s="14" t="str">
        <f t="shared" si="235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42">L579*(1+M$558)^($E569*M$559)*(1+M$560)*IF(L542&lt;=0,1,M542/L542)^$F569*(IF(L552&lt;=0,1,M552/L552)^$G569/(1+$H569+$I569))^(1+$F569)</f>
        <v>0</v>
      </c>
      <c r="N579" s="24">
        <f t="shared" si="242"/>
        <v>0</v>
      </c>
      <c r="O579" s="24">
        <f t="shared" si="242"/>
        <v>0</v>
      </c>
      <c r="P579" s="24">
        <f t="shared" si="242"/>
        <v>0</v>
      </c>
      <c r="Q579" s="24">
        <f t="shared" si="242"/>
        <v>0</v>
      </c>
      <c r="R579" s="24">
        <f t="shared" si="242"/>
        <v>0</v>
      </c>
      <c r="S579" s="24">
        <f t="shared" si="242"/>
        <v>0</v>
      </c>
      <c r="T579" s="24">
        <f t="shared" si="242"/>
        <v>0</v>
      </c>
      <c r="U579" s="24">
        <f t="shared" si="242"/>
        <v>0</v>
      </c>
      <c r="V579" s="24">
        <f t="shared" si="242"/>
        <v>0</v>
      </c>
      <c r="W579" s="24">
        <f t="shared" si="242"/>
        <v>0</v>
      </c>
      <c r="X579" s="24">
        <f t="shared" si="242"/>
        <v>0</v>
      </c>
      <c r="Y579" s="24">
        <f t="shared" si="242"/>
        <v>0</v>
      </c>
      <c r="Z579" s="24">
        <f t="shared" si="242"/>
        <v>0</v>
      </c>
      <c r="AA579" s="24">
        <f t="shared" si="242"/>
        <v>0</v>
      </c>
      <c r="AB579" s="24">
        <f t="shared" si="242"/>
        <v>0</v>
      </c>
      <c r="AC579" s="24">
        <f t="shared" si="242"/>
        <v>0</v>
      </c>
      <c r="AD579" s="24">
        <f t="shared" si="242"/>
        <v>0</v>
      </c>
      <c r="AE579" s="24">
        <f t="shared" si="242"/>
        <v>0</v>
      </c>
    </row>
    <row r="580" spans="1:35" x14ac:dyDescent="0.45">
      <c r="B580" s="14" t="s">
        <v>67</v>
      </c>
      <c r="C580" s="14" t="str">
        <f t="shared" si="235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43">L580*(1+M$558)^($E570*M$559)*(1+M$560)*IF(L543&lt;=0,1,M543/L543)^$F570*(IF(L553&lt;=0,1,M553/L553)^$G570/(1+$H570+$I570))^(1+$F570)</f>
        <v>0</v>
      </c>
      <c r="N580" s="24">
        <f t="shared" si="243"/>
        <v>0</v>
      </c>
      <c r="O580" s="24">
        <f t="shared" si="243"/>
        <v>0</v>
      </c>
      <c r="P580" s="24">
        <f t="shared" si="243"/>
        <v>0</v>
      </c>
      <c r="Q580" s="24">
        <f t="shared" si="243"/>
        <v>0</v>
      </c>
      <c r="R580" s="24">
        <f t="shared" si="243"/>
        <v>0</v>
      </c>
      <c r="S580" s="24">
        <f t="shared" si="243"/>
        <v>0</v>
      </c>
      <c r="T580" s="24">
        <f t="shared" si="243"/>
        <v>0</v>
      </c>
      <c r="U580" s="24">
        <f t="shared" si="243"/>
        <v>0</v>
      </c>
      <c r="V580" s="24">
        <f t="shared" si="243"/>
        <v>0</v>
      </c>
      <c r="W580" s="24">
        <f t="shared" si="243"/>
        <v>0</v>
      </c>
      <c r="X580" s="24">
        <f t="shared" si="243"/>
        <v>0</v>
      </c>
      <c r="Y580" s="24">
        <f t="shared" si="243"/>
        <v>0</v>
      </c>
      <c r="Z580" s="24">
        <f t="shared" si="243"/>
        <v>0</v>
      </c>
      <c r="AA580" s="24">
        <f t="shared" si="243"/>
        <v>0</v>
      </c>
      <c r="AB580" s="24">
        <f t="shared" si="243"/>
        <v>0</v>
      </c>
      <c r="AC580" s="24">
        <f t="shared" si="243"/>
        <v>0</v>
      </c>
      <c r="AD580" s="24">
        <f t="shared" si="243"/>
        <v>0</v>
      </c>
      <c r="AE580" s="24">
        <f t="shared" si="243"/>
        <v>0</v>
      </c>
    </row>
    <row r="581" spans="1:35" x14ac:dyDescent="0.45">
      <c r="B581" s="14" t="s">
        <v>69</v>
      </c>
      <c r="C581" s="14" t="str">
        <f t="shared" si="235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44">L581*(1+M$558)^($E571*M$559)*(1+M$560)*IF(L544&lt;=0,1,M544/L544)^$F571*(IF(L554&lt;=0,1,M554/L554)^$G571/(1+$H571+$I571))^(1+$F571)</f>
        <v>0</v>
      </c>
      <c r="N581" s="24">
        <f t="shared" si="244"/>
        <v>0</v>
      </c>
      <c r="O581" s="24">
        <f t="shared" si="244"/>
        <v>0</v>
      </c>
      <c r="P581" s="24">
        <f t="shared" si="244"/>
        <v>0</v>
      </c>
      <c r="Q581" s="24">
        <f t="shared" si="244"/>
        <v>0</v>
      </c>
      <c r="R581" s="24">
        <f t="shared" si="244"/>
        <v>0</v>
      </c>
      <c r="S581" s="24">
        <f t="shared" si="244"/>
        <v>0</v>
      </c>
      <c r="T581" s="24">
        <f t="shared" si="244"/>
        <v>0</v>
      </c>
      <c r="U581" s="24">
        <f t="shared" si="244"/>
        <v>0</v>
      </c>
      <c r="V581" s="24">
        <f t="shared" si="244"/>
        <v>0</v>
      </c>
      <c r="W581" s="24">
        <f t="shared" si="244"/>
        <v>0</v>
      </c>
      <c r="X581" s="24">
        <f t="shared" si="244"/>
        <v>0</v>
      </c>
      <c r="Y581" s="24">
        <f t="shared" si="244"/>
        <v>0</v>
      </c>
      <c r="Z581" s="24">
        <f t="shared" si="244"/>
        <v>0</v>
      </c>
      <c r="AA581" s="24">
        <f t="shared" si="244"/>
        <v>0</v>
      </c>
      <c r="AB581" s="24">
        <f t="shared" si="244"/>
        <v>0</v>
      </c>
      <c r="AC581" s="24">
        <f t="shared" si="244"/>
        <v>0</v>
      </c>
      <c r="AD581" s="24">
        <f t="shared" si="244"/>
        <v>0</v>
      </c>
      <c r="AE581" s="24">
        <f t="shared" si="244"/>
        <v>0</v>
      </c>
    </row>
    <row r="582" spans="1:35" x14ac:dyDescent="0.45">
      <c r="B582" s="14" t="s">
        <v>110</v>
      </c>
      <c r="C582" s="14" t="str">
        <f t="shared" si="235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45">SUM(L573:L581)</f>
        <v>0</v>
      </c>
      <c r="M582" s="26">
        <f t="shared" si="245"/>
        <v>0</v>
      </c>
      <c r="N582" s="26">
        <f t="shared" si="245"/>
        <v>0</v>
      </c>
      <c r="O582" s="26">
        <f t="shared" si="245"/>
        <v>0</v>
      </c>
      <c r="P582" s="26">
        <f t="shared" si="245"/>
        <v>0</v>
      </c>
      <c r="Q582" s="26">
        <f t="shared" si="245"/>
        <v>0</v>
      </c>
      <c r="R582" s="26">
        <f t="shared" si="245"/>
        <v>0</v>
      </c>
      <c r="S582" s="26">
        <f t="shared" si="245"/>
        <v>0</v>
      </c>
      <c r="T582" s="26">
        <f t="shared" si="245"/>
        <v>0</v>
      </c>
      <c r="U582" s="26">
        <f t="shared" si="245"/>
        <v>0</v>
      </c>
      <c r="V582" s="26">
        <f t="shared" si="245"/>
        <v>0</v>
      </c>
      <c r="W582" s="26">
        <f t="shared" si="245"/>
        <v>0</v>
      </c>
      <c r="X582" s="26">
        <f t="shared" si="245"/>
        <v>0</v>
      </c>
      <c r="Y582" s="26">
        <f t="shared" si="245"/>
        <v>0</v>
      </c>
      <c r="Z582" s="26">
        <f t="shared" si="245"/>
        <v>0</v>
      </c>
      <c r="AA582" s="26">
        <f t="shared" si="245"/>
        <v>0</v>
      </c>
      <c r="AB582" s="26">
        <f t="shared" si="245"/>
        <v>0</v>
      </c>
      <c r="AC582" s="26">
        <f t="shared" si="245"/>
        <v>0</v>
      </c>
      <c r="AD582" s="26">
        <f t="shared" si="245"/>
        <v>0</v>
      </c>
      <c r="AE582" s="26">
        <f t="shared" si="24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4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4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4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4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4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4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4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4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4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4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4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4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4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4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4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4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4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4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4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4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4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4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4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4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4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4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4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4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4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4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4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4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4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4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4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4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5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51">L633*(1+M$618)^($E623*M$619)*(1+M$620)*IF(L596&lt;=0,1,M596/L596)^$F623*(IF(L606&lt;=0,1,M606/L606)^$G623/(1+$H623+$I623))^(1+$F623)</f>
        <v>0</v>
      </c>
      <c r="N633" s="24">
        <f t="shared" si="251"/>
        <v>0</v>
      </c>
      <c r="O633" s="24">
        <f t="shared" si="251"/>
        <v>0</v>
      </c>
      <c r="P633" s="24">
        <f t="shared" si="251"/>
        <v>0</v>
      </c>
      <c r="Q633" s="24">
        <f t="shared" si="251"/>
        <v>0</v>
      </c>
      <c r="R633" s="24">
        <f t="shared" si="251"/>
        <v>0</v>
      </c>
      <c r="S633" s="24">
        <f t="shared" si="251"/>
        <v>0</v>
      </c>
      <c r="T633" s="24">
        <f t="shared" si="251"/>
        <v>0</v>
      </c>
      <c r="U633" s="24">
        <f t="shared" si="251"/>
        <v>0</v>
      </c>
      <c r="V633" s="24">
        <f t="shared" si="251"/>
        <v>0</v>
      </c>
      <c r="W633" s="24">
        <f t="shared" si="251"/>
        <v>0</v>
      </c>
      <c r="X633" s="24">
        <f t="shared" si="251"/>
        <v>0</v>
      </c>
      <c r="Y633" s="24">
        <f t="shared" si="251"/>
        <v>0</v>
      </c>
      <c r="Z633" s="24">
        <f t="shared" si="251"/>
        <v>0</v>
      </c>
      <c r="AA633" s="24">
        <f t="shared" si="251"/>
        <v>0</v>
      </c>
      <c r="AB633" s="24">
        <f t="shared" si="251"/>
        <v>0</v>
      </c>
      <c r="AC633" s="24">
        <f t="shared" si="251"/>
        <v>0</v>
      </c>
      <c r="AD633" s="24">
        <f t="shared" si="251"/>
        <v>0</v>
      </c>
      <c r="AE633" s="24">
        <f t="shared" si="251"/>
        <v>0</v>
      </c>
    </row>
    <row r="634" spans="2:31" x14ac:dyDescent="0.45">
      <c r="B634" s="14" t="s">
        <v>53</v>
      </c>
      <c r="C634" s="14" t="str">
        <f t="shared" si="25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52">L634*(1+M$618)^($E624*M$619)*(1+M$620)*IF(L597&lt;=0,1,M597/L597)^$F624*(IF(L607&lt;=0,1,M607/L607)^$G624/(1+$H624+$I624))^(1+$F624)</f>
        <v>0</v>
      </c>
      <c r="N634" s="24">
        <f t="shared" si="252"/>
        <v>0</v>
      </c>
      <c r="O634" s="24">
        <f t="shared" si="252"/>
        <v>0</v>
      </c>
      <c r="P634" s="24">
        <f t="shared" si="252"/>
        <v>0</v>
      </c>
      <c r="Q634" s="24">
        <f t="shared" si="252"/>
        <v>0</v>
      </c>
      <c r="R634" s="24">
        <f t="shared" si="252"/>
        <v>0</v>
      </c>
      <c r="S634" s="24">
        <f t="shared" si="252"/>
        <v>0</v>
      </c>
      <c r="T634" s="24">
        <f t="shared" si="252"/>
        <v>0</v>
      </c>
      <c r="U634" s="24">
        <f t="shared" si="252"/>
        <v>0</v>
      </c>
      <c r="V634" s="24">
        <f t="shared" si="252"/>
        <v>0</v>
      </c>
      <c r="W634" s="24">
        <f t="shared" si="252"/>
        <v>0</v>
      </c>
      <c r="X634" s="24">
        <f t="shared" si="252"/>
        <v>0</v>
      </c>
      <c r="Y634" s="24">
        <f t="shared" si="252"/>
        <v>0</v>
      </c>
      <c r="Z634" s="24">
        <f t="shared" si="252"/>
        <v>0</v>
      </c>
      <c r="AA634" s="24">
        <f t="shared" si="252"/>
        <v>0</v>
      </c>
      <c r="AB634" s="24">
        <f t="shared" si="252"/>
        <v>0</v>
      </c>
      <c r="AC634" s="24">
        <f t="shared" si="252"/>
        <v>0</v>
      </c>
      <c r="AD634" s="24">
        <f t="shared" si="252"/>
        <v>0</v>
      </c>
      <c r="AE634" s="24">
        <f t="shared" si="252"/>
        <v>0</v>
      </c>
    </row>
    <row r="635" spans="2:31" x14ac:dyDescent="0.45">
      <c r="B635" s="14" t="s">
        <v>55</v>
      </c>
      <c r="C635" s="14" t="str">
        <f t="shared" si="25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53">L635*(1+M$618)^($E625*M$619)*(1+M$620)*IF(L598&lt;=0,1,M598/L598)^$F625*(IF(L608&lt;=0,1,M608/L608)^$G625/(1+$H625+$I625))^(1+$F625)</f>
        <v>0</v>
      </c>
      <c r="N635" s="24">
        <f t="shared" si="253"/>
        <v>0</v>
      </c>
      <c r="O635" s="24">
        <f t="shared" si="253"/>
        <v>0</v>
      </c>
      <c r="P635" s="24">
        <f t="shared" si="253"/>
        <v>0</v>
      </c>
      <c r="Q635" s="24">
        <f t="shared" si="253"/>
        <v>0</v>
      </c>
      <c r="R635" s="24">
        <f t="shared" si="253"/>
        <v>0</v>
      </c>
      <c r="S635" s="24">
        <f t="shared" si="253"/>
        <v>0</v>
      </c>
      <c r="T635" s="24">
        <f t="shared" si="253"/>
        <v>0</v>
      </c>
      <c r="U635" s="24">
        <f t="shared" si="253"/>
        <v>0</v>
      </c>
      <c r="V635" s="24">
        <f t="shared" si="253"/>
        <v>0</v>
      </c>
      <c r="W635" s="24">
        <f t="shared" si="253"/>
        <v>0</v>
      </c>
      <c r="X635" s="24">
        <f t="shared" si="253"/>
        <v>0</v>
      </c>
      <c r="Y635" s="24">
        <f t="shared" si="253"/>
        <v>0</v>
      </c>
      <c r="Z635" s="24">
        <f t="shared" si="253"/>
        <v>0</v>
      </c>
      <c r="AA635" s="24">
        <f t="shared" si="253"/>
        <v>0</v>
      </c>
      <c r="AB635" s="24">
        <f t="shared" si="253"/>
        <v>0</v>
      </c>
      <c r="AC635" s="24">
        <f t="shared" si="253"/>
        <v>0</v>
      </c>
      <c r="AD635" s="24">
        <f t="shared" si="253"/>
        <v>0</v>
      </c>
      <c r="AE635" s="24">
        <f t="shared" si="253"/>
        <v>0</v>
      </c>
    </row>
    <row r="636" spans="2:31" x14ac:dyDescent="0.45">
      <c r="B636" s="14" t="s">
        <v>58</v>
      </c>
      <c r="C636" s="14" t="str">
        <f t="shared" si="25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54">L636*(1+M$618)^($E626*M$619)*(1+M$620)*IF(L599&lt;=0,1,M599/L599)^$F626*(IF(L609&lt;=0,1,M609/L609)^$G626/(1+$H626+$I626))^(1+$F626)</f>
        <v>0</v>
      </c>
      <c r="N636" s="24">
        <f t="shared" si="254"/>
        <v>0</v>
      </c>
      <c r="O636" s="24">
        <f t="shared" si="254"/>
        <v>0</v>
      </c>
      <c r="P636" s="24">
        <f t="shared" si="254"/>
        <v>0</v>
      </c>
      <c r="Q636" s="24">
        <f t="shared" si="254"/>
        <v>0</v>
      </c>
      <c r="R636" s="24">
        <f t="shared" si="254"/>
        <v>0</v>
      </c>
      <c r="S636" s="24">
        <f t="shared" si="254"/>
        <v>0</v>
      </c>
      <c r="T636" s="24">
        <f t="shared" si="254"/>
        <v>0</v>
      </c>
      <c r="U636" s="24">
        <f t="shared" si="254"/>
        <v>0</v>
      </c>
      <c r="V636" s="24">
        <f t="shared" si="254"/>
        <v>0</v>
      </c>
      <c r="W636" s="24">
        <f t="shared" si="254"/>
        <v>0</v>
      </c>
      <c r="X636" s="24">
        <f t="shared" si="254"/>
        <v>0</v>
      </c>
      <c r="Y636" s="24">
        <f t="shared" si="254"/>
        <v>0</v>
      </c>
      <c r="Z636" s="24">
        <f t="shared" si="254"/>
        <v>0</v>
      </c>
      <c r="AA636" s="24">
        <f t="shared" si="254"/>
        <v>0</v>
      </c>
      <c r="AB636" s="24">
        <f t="shared" si="254"/>
        <v>0</v>
      </c>
      <c r="AC636" s="24">
        <f t="shared" si="254"/>
        <v>0</v>
      </c>
      <c r="AD636" s="24">
        <f t="shared" si="254"/>
        <v>0</v>
      </c>
      <c r="AE636" s="24">
        <f t="shared" si="254"/>
        <v>0</v>
      </c>
    </row>
    <row r="637" spans="2:31" x14ac:dyDescent="0.45">
      <c r="B637" s="14" t="s">
        <v>60</v>
      </c>
      <c r="C637" s="14" t="str">
        <f t="shared" si="25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55">L637*(1+M$618)^($E627*M$619)*(1+M$620)*IF(L600&lt;=0,1,M600/L600)^$F627*(IF(L610&lt;=0,1,M610/L610)^$G627/(1+$H627+$I627))^(1+$F627)</f>
        <v>0</v>
      </c>
      <c r="N637" s="24">
        <f t="shared" si="255"/>
        <v>0</v>
      </c>
      <c r="O637" s="24">
        <f t="shared" si="255"/>
        <v>0</v>
      </c>
      <c r="P637" s="24">
        <f t="shared" si="255"/>
        <v>0</v>
      </c>
      <c r="Q637" s="24">
        <f t="shared" si="255"/>
        <v>0</v>
      </c>
      <c r="R637" s="24">
        <f t="shared" si="255"/>
        <v>0</v>
      </c>
      <c r="S637" s="24">
        <f t="shared" si="255"/>
        <v>0</v>
      </c>
      <c r="T637" s="24">
        <f t="shared" si="255"/>
        <v>0</v>
      </c>
      <c r="U637" s="24">
        <f t="shared" si="255"/>
        <v>0</v>
      </c>
      <c r="V637" s="24">
        <f t="shared" si="255"/>
        <v>0</v>
      </c>
      <c r="W637" s="24">
        <f t="shared" si="255"/>
        <v>0</v>
      </c>
      <c r="X637" s="24">
        <f t="shared" si="255"/>
        <v>0</v>
      </c>
      <c r="Y637" s="24">
        <f t="shared" si="255"/>
        <v>0</v>
      </c>
      <c r="Z637" s="24">
        <f t="shared" si="255"/>
        <v>0</v>
      </c>
      <c r="AA637" s="24">
        <f t="shared" si="255"/>
        <v>0</v>
      </c>
      <c r="AB637" s="24">
        <f t="shared" si="255"/>
        <v>0</v>
      </c>
      <c r="AC637" s="24">
        <f t="shared" si="255"/>
        <v>0</v>
      </c>
      <c r="AD637" s="24">
        <f t="shared" si="255"/>
        <v>0</v>
      </c>
      <c r="AE637" s="24">
        <f t="shared" si="255"/>
        <v>0</v>
      </c>
    </row>
    <row r="638" spans="2:31" x14ac:dyDescent="0.45">
      <c r="B638" s="14" t="s">
        <v>62</v>
      </c>
      <c r="C638" s="14" t="str">
        <f t="shared" si="25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56">L638*(1+M$618)^($E628*M$619)*(1+M$620)*IF(L601&lt;=0,1,M601/L601)^$F628*(IF(L611&lt;=0,1,M611/L611)^$G628/(1+$H628+$I628))^(1+$F628)</f>
        <v>0</v>
      </c>
      <c r="N638" s="24">
        <f t="shared" si="256"/>
        <v>0</v>
      </c>
      <c r="O638" s="24">
        <f t="shared" si="256"/>
        <v>0</v>
      </c>
      <c r="P638" s="24">
        <f t="shared" si="256"/>
        <v>0</v>
      </c>
      <c r="Q638" s="24">
        <f t="shared" si="256"/>
        <v>0</v>
      </c>
      <c r="R638" s="24">
        <f t="shared" si="256"/>
        <v>0</v>
      </c>
      <c r="S638" s="24">
        <f t="shared" si="256"/>
        <v>0</v>
      </c>
      <c r="T638" s="24">
        <f t="shared" si="256"/>
        <v>0</v>
      </c>
      <c r="U638" s="24">
        <f t="shared" si="256"/>
        <v>0</v>
      </c>
      <c r="V638" s="24">
        <f t="shared" si="256"/>
        <v>0</v>
      </c>
      <c r="W638" s="24">
        <f t="shared" si="256"/>
        <v>0</v>
      </c>
      <c r="X638" s="24">
        <f t="shared" si="256"/>
        <v>0</v>
      </c>
      <c r="Y638" s="24">
        <f t="shared" si="256"/>
        <v>0</v>
      </c>
      <c r="Z638" s="24">
        <f t="shared" si="256"/>
        <v>0</v>
      </c>
      <c r="AA638" s="24">
        <f t="shared" si="256"/>
        <v>0</v>
      </c>
      <c r="AB638" s="24">
        <f t="shared" si="256"/>
        <v>0</v>
      </c>
      <c r="AC638" s="24">
        <f t="shared" si="256"/>
        <v>0</v>
      </c>
      <c r="AD638" s="24">
        <f t="shared" si="256"/>
        <v>0</v>
      </c>
      <c r="AE638" s="24">
        <f t="shared" si="256"/>
        <v>0</v>
      </c>
    </row>
    <row r="639" spans="2:31" x14ac:dyDescent="0.45">
      <c r="B639" s="14" t="s">
        <v>64</v>
      </c>
      <c r="C639" s="14" t="str">
        <f t="shared" si="25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57">L639*(1+M$618)^($E629*M$619)*(1+M$620)*IF(L602&lt;=0,1,M602/L602)^$F629*(IF(L612&lt;=0,1,M612/L612)^$G629/(1+$H629+$I629))^(1+$F629)</f>
        <v>0</v>
      </c>
      <c r="N639" s="24">
        <f t="shared" si="257"/>
        <v>0</v>
      </c>
      <c r="O639" s="24">
        <f t="shared" si="257"/>
        <v>0</v>
      </c>
      <c r="P639" s="24">
        <f t="shared" si="257"/>
        <v>0</v>
      </c>
      <c r="Q639" s="24">
        <f t="shared" si="257"/>
        <v>0</v>
      </c>
      <c r="R639" s="24">
        <f t="shared" si="257"/>
        <v>0</v>
      </c>
      <c r="S639" s="24">
        <f t="shared" si="257"/>
        <v>0</v>
      </c>
      <c r="T639" s="24">
        <f t="shared" si="257"/>
        <v>0</v>
      </c>
      <c r="U639" s="24">
        <f t="shared" si="257"/>
        <v>0</v>
      </c>
      <c r="V639" s="24">
        <f t="shared" si="257"/>
        <v>0</v>
      </c>
      <c r="W639" s="24">
        <f t="shared" si="257"/>
        <v>0</v>
      </c>
      <c r="X639" s="24">
        <f t="shared" si="257"/>
        <v>0</v>
      </c>
      <c r="Y639" s="24">
        <f t="shared" si="257"/>
        <v>0</v>
      </c>
      <c r="Z639" s="24">
        <f t="shared" si="257"/>
        <v>0</v>
      </c>
      <c r="AA639" s="24">
        <f t="shared" si="257"/>
        <v>0</v>
      </c>
      <c r="AB639" s="24">
        <f t="shared" si="257"/>
        <v>0</v>
      </c>
      <c r="AC639" s="24">
        <f t="shared" si="257"/>
        <v>0</v>
      </c>
      <c r="AD639" s="24">
        <f t="shared" si="257"/>
        <v>0</v>
      </c>
      <c r="AE639" s="24">
        <f t="shared" si="257"/>
        <v>0</v>
      </c>
    </row>
    <row r="640" spans="2:31" x14ac:dyDescent="0.45">
      <c r="B640" s="14" t="s">
        <v>67</v>
      </c>
      <c r="C640" s="14" t="str">
        <f t="shared" si="25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58">L640*(1+M$618)^($E630*M$619)*(1+M$620)*IF(L603&lt;=0,1,M603/L603)^$F630*(IF(L613&lt;=0,1,M613/L613)^$G630/(1+$H630+$I630))^(1+$F630)</f>
        <v>0</v>
      </c>
      <c r="N640" s="24">
        <f t="shared" si="258"/>
        <v>0</v>
      </c>
      <c r="O640" s="24">
        <f t="shared" si="258"/>
        <v>0</v>
      </c>
      <c r="P640" s="24">
        <f t="shared" si="258"/>
        <v>0</v>
      </c>
      <c r="Q640" s="24">
        <f t="shared" si="258"/>
        <v>0</v>
      </c>
      <c r="R640" s="24">
        <f t="shared" si="258"/>
        <v>0</v>
      </c>
      <c r="S640" s="24">
        <f t="shared" si="258"/>
        <v>0</v>
      </c>
      <c r="T640" s="24">
        <f t="shared" si="258"/>
        <v>0</v>
      </c>
      <c r="U640" s="24">
        <f t="shared" si="258"/>
        <v>0</v>
      </c>
      <c r="V640" s="24">
        <f t="shared" si="258"/>
        <v>0</v>
      </c>
      <c r="W640" s="24">
        <f t="shared" si="258"/>
        <v>0</v>
      </c>
      <c r="X640" s="24">
        <f t="shared" si="258"/>
        <v>0</v>
      </c>
      <c r="Y640" s="24">
        <f t="shared" si="258"/>
        <v>0</v>
      </c>
      <c r="Z640" s="24">
        <f t="shared" si="258"/>
        <v>0</v>
      </c>
      <c r="AA640" s="24">
        <f t="shared" si="258"/>
        <v>0</v>
      </c>
      <c r="AB640" s="24">
        <f t="shared" si="258"/>
        <v>0</v>
      </c>
      <c r="AC640" s="24">
        <f t="shared" si="258"/>
        <v>0</v>
      </c>
      <c r="AD640" s="24">
        <f t="shared" si="258"/>
        <v>0</v>
      </c>
      <c r="AE640" s="24">
        <f t="shared" si="258"/>
        <v>0</v>
      </c>
    </row>
    <row r="641" spans="1:35" x14ac:dyDescent="0.45">
      <c r="B641" s="14" t="s">
        <v>69</v>
      </c>
      <c r="C641" s="14" t="str">
        <f t="shared" si="25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59">L641*(1+M$618)^($E631*M$619)*(1+M$620)*IF(L604&lt;=0,1,M604/L604)^$F631*(IF(L614&lt;=0,1,M614/L614)^$G631/(1+$H631+$I631))^(1+$F631)</f>
        <v>0</v>
      </c>
      <c r="N641" s="24">
        <f t="shared" si="259"/>
        <v>0</v>
      </c>
      <c r="O641" s="24">
        <f t="shared" si="259"/>
        <v>0</v>
      </c>
      <c r="P641" s="24">
        <f t="shared" si="259"/>
        <v>0</v>
      </c>
      <c r="Q641" s="24">
        <f t="shared" si="259"/>
        <v>0</v>
      </c>
      <c r="R641" s="24">
        <f t="shared" si="259"/>
        <v>0</v>
      </c>
      <c r="S641" s="24">
        <f t="shared" si="259"/>
        <v>0</v>
      </c>
      <c r="T641" s="24">
        <f t="shared" si="259"/>
        <v>0</v>
      </c>
      <c r="U641" s="24">
        <f t="shared" si="259"/>
        <v>0</v>
      </c>
      <c r="V641" s="24">
        <f t="shared" si="259"/>
        <v>0</v>
      </c>
      <c r="W641" s="24">
        <f t="shared" si="259"/>
        <v>0</v>
      </c>
      <c r="X641" s="24">
        <f t="shared" si="259"/>
        <v>0</v>
      </c>
      <c r="Y641" s="24">
        <f t="shared" si="259"/>
        <v>0</v>
      </c>
      <c r="Z641" s="24">
        <f t="shared" si="259"/>
        <v>0</v>
      </c>
      <c r="AA641" s="24">
        <f t="shared" si="259"/>
        <v>0</v>
      </c>
      <c r="AB641" s="24">
        <f t="shared" si="259"/>
        <v>0</v>
      </c>
      <c r="AC641" s="24">
        <f t="shared" si="259"/>
        <v>0</v>
      </c>
      <c r="AD641" s="24">
        <f t="shared" si="259"/>
        <v>0</v>
      </c>
      <c r="AE641" s="24">
        <f t="shared" si="259"/>
        <v>0</v>
      </c>
    </row>
    <row r="642" spans="1:35" x14ac:dyDescent="0.45">
      <c r="B642" s="14" t="s">
        <v>110</v>
      </c>
      <c r="C642" s="14" t="str">
        <f t="shared" si="25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60">SUM(L633:L641)</f>
        <v>0</v>
      </c>
      <c r="M642" s="26">
        <f t="shared" si="260"/>
        <v>0</v>
      </c>
      <c r="N642" s="26">
        <f t="shared" si="260"/>
        <v>0</v>
      </c>
      <c r="O642" s="26">
        <f t="shared" si="260"/>
        <v>0</v>
      </c>
      <c r="P642" s="26">
        <f t="shared" si="260"/>
        <v>0</v>
      </c>
      <c r="Q642" s="26">
        <f t="shared" si="260"/>
        <v>0</v>
      </c>
      <c r="R642" s="26">
        <f t="shared" si="260"/>
        <v>0</v>
      </c>
      <c r="S642" s="26">
        <f t="shared" si="260"/>
        <v>0</v>
      </c>
      <c r="T642" s="26">
        <f t="shared" si="260"/>
        <v>0</v>
      </c>
      <c r="U642" s="26">
        <f t="shared" si="260"/>
        <v>0</v>
      </c>
      <c r="V642" s="26">
        <f t="shared" si="260"/>
        <v>0</v>
      </c>
      <c r="W642" s="26">
        <f t="shared" si="260"/>
        <v>0</v>
      </c>
      <c r="X642" s="26">
        <f t="shared" si="260"/>
        <v>0</v>
      </c>
      <c r="Y642" s="26">
        <f t="shared" si="260"/>
        <v>0</v>
      </c>
      <c r="Z642" s="26">
        <f t="shared" si="260"/>
        <v>0</v>
      </c>
      <c r="AA642" s="26">
        <f t="shared" si="260"/>
        <v>0</v>
      </c>
      <c r="AB642" s="26">
        <f t="shared" si="260"/>
        <v>0</v>
      </c>
      <c r="AC642" s="26">
        <f t="shared" si="260"/>
        <v>0</v>
      </c>
      <c r="AD642" s="26">
        <f t="shared" si="260"/>
        <v>0</v>
      </c>
      <c r="AE642" s="26">
        <f t="shared" si="260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61">L739</f>
        <v>2022</v>
      </c>
      <c r="M645" s="74">
        <f t="shared" si="261"/>
        <v>2023</v>
      </c>
      <c r="N645" s="74">
        <f t="shared" si="261"/>
        <v>2024</v>
      </c>
      <c r="O645" s="74">
        <f t="shared" si="261"/>
        <v>2025</v>
      </c>
      <c r="P645" s="74">
        <f t="shared" si="261"/>
        <v>2026</v>
      </c>
      <c r="Q645" s="74">
        <f t="shared" si="261"/>
        <v>2027</v>
      </c>
      <c r="R645" s="74">
        <f t="shared" si="261"/>
        <v>2028</v>
      </c>
      <c r="S645" s="74">
        <f t="shared" si="261"/>
        <v>2029</v>
      </c>
      <c r="T645" s="74">
        <f t="shared" si="261"/>
        <v>2030</v>
      </c>
      <c r="U645" s="74">
        <f t="shared" si="261"/>
        <v>2031</v>
      </c>
      <c r="V645" s="74">
        <f t="shared" si="261"/>
        <v>2032</v>
      </c>
      <c r="W645" s="74">
        <f t="shared" si="261"/>
        <v>2033</v>
      </c>
      <c r="X645" s="74">
        <f t="shared" si="261"/>
        <v>2034</v>
      </c>
      <c r="Y645" s="74">
        <f t="shared" si="261"/>
        <v>2035</v>
      </c>
      <c r="Z645" s="74">
        <f t="shared" si="261"/>
        <v>2036</v>
      </c>
      <c r="AA645" s="74">
        <f t="shared" si="261"/>
        <v>2037</v>
      </c>
      <c r="AB645" s="74">
        <f t="shared" si="261"/>
        <v>2038</v>
      </c>
      <c r="AC645" s="74">
        <f t="shared" si="261"/>
        <v>2039</v>
      </c>
      <c r="AD645" s="74">
        <f t="shared" si="261"/>
        <v>2040</v>
      </c>
      <c r="AE645" s="74">
        <f t="shared" si="261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1865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1866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1867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1868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1906</v>
      </c>
      <c r="D657" s="72" t="s">
        <v>1907</v>
      </c>
      <c r="E657" s="72" t="s">
        <v>1874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62">SUMPRODUCT(L$675:L$682*$H$663:$H$670*EXP(-$E$751:$E$758*L$648))/1000</f>
        <v>15.80851477988204</v>
      </c>
      <c r="M657" s="72">
        <f t="shared" si="262"/>
        <v>16.333156432126469</v>
      </c>
      <c r="N657" s="72">
        <f t="shared" si="262"/>
        <v>16.8755025</v>
      </c>
      <c r="O657" s="72">
        <f t="shared" si="262"/>
        <v>17.436160520999998</v>
      </c>
      <c r="P657" s="72">
        <f t="shared" si="262"/>
        <v>18.015759258365996</v>
      </c>
      <c r="Q657" s="72">
        <f t="shared" si="262"/>
        <v>18.614949457680826</v>
      </c>
      <c r="R657" s="72">
        <f t="shared" si="262"/>
        <v>19.234404631062102</v>
      </c>
      <c r="S657" s="72">
        <f t="shared" si="262"/>
        <v>19.874821869976433</v>
      </c>
      <c r="T657" s="72">
        <f t="shared" si="262"/>
        <v>20.536922687748202</v>
      </c>
      <c r="U657" s="72">
        <f t="shared" si="262"/>
        <v>21.221453892876493</v>
      </c>
      <c r="V657" s="72">
        <f t="shared" si="262"/>
        <v>21.929188494316183</v>
      </c>
      <c r="W657" s="72">
        <f t="shared" si="262"/>
        <v>22.660926639924462</v>
      </c>
      <c r="X657" s="72">
        <f t="shared" si="262"/>
        <v>23.417496589319807</v>
      </c>
      <c r="Y657" s="72">
        <f t="shared" si="262"/>
        <v>24.199755722449424</v>
      </c>
      <c r="Z657" s="72">
        <f t="shared" si="262"/>
        <v>25.008591585210855</v>
      </c>
      <c r="AA657" s="72">
        <f t="shared" si="262"/>
        <v>25.844922973525978</v>
      </c>
      <c r="AB657" s="72">
        <f t="shared" si="262"/>
        <v>26.70970105731983</v>
      </c>
      <c r="AC657" s="72">
        <f t="shared" si="262"/>
        <v>27.603910545913184</v>
      </c>
      <c r="AD657" s="72">
        <f t="shared" si="262"/>
        <v>28.528570896396591</v>
      </c>
      <c r="AE657" s="72">
        <f t="shared" si="262"/>
        <v>29.484737566614811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1908</v>
      </c>
      <c r="E658" s="72" t="s">
        <v>1874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63">SUMPRODUCT(L$675:L$682*$I$663:$I$670*EXP(-$E$751:$E$758*L$648))/1000</f>
        <v>5.1177315778627914</v>
      </c>
      <c r="M658" s="72">
        <f t="shared" si="263"/>
        <v>5.2880720358998579</v>
      </c>
      <c r="N658" s="72">
        <f t="shared" si="263"/>
        <v>5.4647009999999998</v>
      </c>
      <c r="O658" s="72">
        <f t="shared" si="263"/>
        <v>5.6478686219999998</v>
      </c>
      <c r="P658" s="72">
        <f t="shared" si="263"/>
        <v>5.8378354764840008</v>
      </c>
      <c r="Q658" s="72">
        <f t="shared" si="263"/>
        <v>6.0348730065378478</v>
      </c>
      <c r="R658" s="72">
        <f t="shared" si="263"/>
        <v>6.2392639888340149</v>
      </c>
      <c r="S658" s="72">
        <f t="shared" si="263"/>
        <v>6.451303018891398</v>
      </c>
      <c r="T658" s="72">
        <f t="shared" si="263"/>
        <v>6.6712970173913781</v>
      </c>
      <c r="U658" s="72">
        <f t="shared" si="263"/>
        <v>6.8995657584700698</v>
      </c>
      <c r="V658" s="72">
        <f t="shared" si="263"/>
        <v>7.1364424209471196</v>
      </c>
      <c r="W658" s="72">
        <f t="shared" si="263"/>
        <v>7.3822741634934586</v>
      </c>
      <c r="X658" s="72">
        <f t="shared" si="263"/>
        <v>7.6374227247843764</v>
      </c>
      <c r="Y658" s="72">
        <f t="shared" si="263"/>
        <v>7.9022650497302331</v>
      </c>
      <c r="Z658" s="72">
        <f t="shared" si="263"/>
        <v>8.1771939429249265</v>
      </c>
      <c r="AA658" s="72">
        <f t="shared" si="263"/>
        <v>8.4626187505023296</v>
      </c>
      <c r="AB658" s="72">
        <f t="shared" si="263"/>
        <v>8.7589660716430906</v>
      </c>
      <c r="AC658" s="72">
        <f t="shared" si="263"/>
        <v>9.0666805010286549</v>
      </c>
      <c r="AD658" s="72">
        <f t="shared" si="263"/>
        <v>9.3862254035963169</v>
      </c>
      <c r="AE658" s="72">
        <f t="shared" si="263"/>
        <v>9.718083723008446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1909</v>
      </c>
      <c r="E659" s="72" t="s">
        <v>1874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264">SUMPRODUCT(L$675:L$682*($J$663:$J$670&gt;0)*$J$663:$J$670*(1+$J$672*(EXP(-$E$762:$E$769*($F$709:$F$716*L$707+$G$709:$G$716*L$647))-1)))/1000</f>
        <v>25.304020994313927</v>
      </c>
      <c r="M659" s="72">
        <f t="shared" si="264"/>
        <v>26.150733850694163</v>
      </c>
      <c r="N659" s="72">
        <f t="shared" si="264"/>
        <v>27.026</v>
      </c>
      <c r="O659" s="72">
        <f t="shared" si="264"/>
        <v>27.930793999999999</v>
      </c>
      <c r="P659" s="72">
        <f t="shared" si="264"/>
        <v>28.866124285999998</v>
      </c>
      <c r="Q659" s="72">
        <f t="shared" si="264"/>
        <v>29.833034380633993</v>
      </c>
      <c r="R659" s="72">
        <f t="shared" si="264"/>
        <v>30.832604148514033</v>
      </c>
      <c r="S659" s="72">
        <f t="shared" si="264"/>
        <v>31.865951097485905</v>
      </c>
      <c r="T659" s="72">
        <f t="shared" si="264"/>
        <v>32.934231728309406</v>
      </c>
      <c r="U659" s="72">
        <f t="shared" si="264"/>
        <v>34.038642934657474</v>
      </c>
      <c r="V659" s="72">
        <f t="shared" si="264"/>
        <v>35.180423455406491</v>
      </c>
      <c r="W659" s="72">
        <f t="shared" si="264"/>
        <v>36.360855381272714</v>
      </c>
      <c r="X659" s="72">
        <f t="shared" si="264"/>
        <v>37.581265717934862</v>
      </c>
      <c r="Y659" s="72">
        <f t="shared" si="264"/>
        <v>38.843028007872753</v>
      </c>
      <c r="Z659" s="72">
        <f t="shared" si="264"/>
        <v>40.147564013244939</v>
      </c>
      <c r="AA659" s="72">
        <f t="shared" si="264"/>
        <v>41.496345462226095</v>
      </c>
      <c r="AB659" s="72">
        <f t="shared" si="264"/>
        <v>42.890895861326769</v>
      </c>
      <c r="AC659" s="72">
        <f t="shared" si="264"/>
        <v>44.332792376324477</v>
      </c>
      <c r="AD659" s="72">
        <f t="shared" si="264"/>
        <v>45.823667784546558</v>
      </c>
      <c r="AE659" s="72">
        <f t="shared" si="264"/>
        <v>47.36521250136132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1910</v>
      </c>
      <c r="E660" s="72" t="s">
        <v>1874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265">SUMPRODUCT(L$675:L$682*($K$663:$K$670&gt;0)*$K$663:$K$670*(1+$K$672*(EXP(-$E$762:$E$769*($F$709:$F$716*L$707+$G$709:$G$716*L$647))-1)))/1000</f>
        <v>0.78631830560210647</v>
      </c>
      <c r="M660" s="72">
        <f t="shared" si="265"/>
        <v>0.81117778540358554</v>
      </c>
      <c r="N660" s="72">
        <f t="shared" si="265"/>
        <v>0.83699999999999997</v>
      </c>
      <c r="O660" s="72">
        <f t="shared" si="265"/>
        <v>0.86382899999999996</v>
      </c>
      <c r="P660" s="72">
        <f t="shared" si="265"/>
        <v>0.89171106300000003</v>
      </c>
      <c r="Q660" s="72">
        <f t="shared" si="265"/>
        <v>0.92069481176099999</v>
      </c>
      <c r="R660" s="72">
        <f t="shared" si="265"/>
        <v>0.95083133879036696</v>
      </c>
      <c r="S660" s="72">
        <f t="shared" si="265"/>
        <v>0.9821743376787645</v>
      </c>
      <c r="T660" s="72">
        <f t="shared" si="265"/>
        <v>1.0147802415616323</v>
      </c>
      <c r="U660" s="72">
        <f t="shared" si="265"/>
        <v>1.0487083690948893</v>
      </c>
      <c r="V660" s="72">
        <f t="shared" si="265"/>
        <v>1.0840210783559179</v>
      </c>
      <c r="W660" s="72">
        <f t="shared" si="265"/>
        <v>1.1207839291034407</v>
      </c>
      <c r="X660" s="72">
        <f t="shared" si="265"/>
        <v>1.1590658538537117</v>
      </c>
      <c r="Y660" s="72">
        <f t="shared" si="265"/>
        <v>1.1989393382555391</v>
      </c>
      <c r="Z660" s="72">
        <f t="shared" si="265"/>
        <v>1.2404806112731439</v>
      </c>
      <c r="AA660" s="72">
        <f t="shared" si="265"/>
        <v>1.2837698457138154</v>
      </c>
      <c r="AB660" s="72">
        <f t="shared" si="265"/>
        <v>1.3288913696667775</v>
      </c>
      <c r="AC660" s="72">
        <f t="shared" si="265"/>
        <v>1.3759338894508044</v>
      </c>
      <c r="AD660" s="72">
        <f t="shared" si="265"/>
        <v>1.4249907247009044</v>
      </c>
      <c r="AE660" s="72">
        <f t="shared" si="265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66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67">N663+O663</f>
        <v>0.98003000000000007</v>
      </c>
      <c r="R663" s="76">
        <f t="shared" ref="R663:R670" si="268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66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67"/>
        <v>0.40525</v>
      </c>
      <c r="R664" s="76">
        <f t="shared" si="268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66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67"/>
        <v>2.3595000000000002</v>
      </c>
      <c r="R665" s="76">
        <f t="shared" si="268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66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67"/>
        <v>0.87055000000000005</v>
      </c>
      <c r="R666" s="76">
        <f t="shared" si="268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66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67"/>
        <v>1.8888</v>
      </c>
      <c r="R667" s="76">
        <f t="shared" si="268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66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67"/>
        <v>0.48764960000000002</v>
      </c>
      <c r="R668" s="76">
        <f t="shared" si="268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66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67"/>
        <v>1.52732</v>
      </c>
      <c r="R669" s="76">
        <f t="shared" si="268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66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67"/>
        <v>9.2560000000000002</v>
      </c>
      <c r="R670" s="76">
        <f t="shared" si="268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1895</v>
      </c>
      <c r="D671" s="73"/>
      <c r="E671" s="71"/>
      <c r="F671" s="71"/>
      <c r="G671" s="71"/>
      <c r="H671" s="71" t="s">
        <v>1897</v>
      </c>
      <c r="I671" s="71" t="s">
        <v>1898</v>
      </c>
      <c r="J671" s="71" t="s">
        <v>1899</v>
      </c>
      <c r="K671" s="71" t="s">
        <v>1900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1896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/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71"/>
      <c r="K675" s="72"/>
      <c r="L675" s="72">
        <f t="shared" ref="L675:L682" si="269">M675/(1+G675)</f>
        <v>4679.1738230501605</v>
      </c>
      <c r="M675" s="72">
        <f t="shared" ref="M675:M682" si="270">N675/(1+G675)</f>
        <v>4885.0574712643675</v>
      </c>
      <c r="N675" s="90">
        <f>IF(UPPER(Settings!$B$3)="EGY",F675,0)</f>
        <v>5100</v>
      </c>
      <c r="O675" s="72">
        <f t="shared" ref="O675:O682" si="271">N675*(1+G675)</f>
        <v>5324.4000000000005</v>
      </c>
      <c r="P675" s="72">
        <f t="shared" ref="P675:P682" si="272">O675*(1+G675)</f>
        <v>5558.673600000001</v>
      </c>
      <c r="Q675" s="72">
        <f t="shared" ref="Q675:Q682" si="273">P675*(1+G675)</f>
        <v>5803.255238400001</v>
      </c>
      <c r="R675" s="72">
        <f t="shared" ref="R675:R682" si="274">Q675*(1+G675)</f>
        <v>6058.5984688896015</v>
      </c>
      <c r="S675" s="72">
        <f t="shared" ref="S675:S682" si="275">R675*(1+G675)</f>
        <v>6325.1768015207444</v>
      </c>
      <c r="T675" s="72">
        <f t="shared" ref="T675:T682" si="276">S675*(1+G675)</f>
        <v>6603.4845807876573</v>
      </c>
      <c r="U675" s="72">
        <f t="shared" ref="U675:U682" si="277">T675*(1+G675)</f>
        <v>6894.0379023423147</v>
      </c>
      <c r="V675" s="72">
        <f t="shared" ref="V675:V682" si="278">U675*(1+G675)</f>
        <v>7197.3755700453767</v>
      </c>
      <c r="W675" s="72">
        <f t="shared" ref="W675:W682" si="279">V675*(1+G675)</f>
        <v>7514.0600951273736</v>
      </c>
      <c r="X675" s="72">
        <f t="shared" ref="X675:X682" si="280">W675*(1+G675)</f>
        <v>7844.678739312978</v>
      </c>
      <c r="Y675" s="72">
        <f t="shared" ref="Y675:Y682" si="281">X675*(1+G675)</f>
        <v>8189.8446038427492</v>
      </c>
      <c r="Z675" s="72">
        <f t="shared" ref="Z675:Z682" si="282">Y675*(1+G675)</f>
        <v>8550.1977664118313</v>
      </c>
      <c r="AA675" s="72">
        <f t="shared" ref="AA675:AA682" si="283">Z675*(1+G675)</f>
        <v>8926.4064681339514</v>
      </c>
      <c r="AB675" s="72">
        <f t="shared" ref="AB675:AB682" si="284">AA675*(1+G675)</f>
        <v>9319.1683527318455</v>
      </c>
      <c r="AC675" s="72">
        <f t="shared" ref="AC675:AC682" si="285">AB675*(1+G675)</f>
        <v>9729.2117602520466</v>
      </c>
      <c r="AD675" s="72">
        <f t="shared" ref="AD675:AD682" si="286">AC675*(1+G675)</f>
        <v>10157.297077703137</v>
      </c>
      <c r="AE675" s="72">
        <f t="shared" ref="AE675:AE682" si="287">AD675*(1+G675)</f>
        <v>10604.218149122074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71"/>
      <c r="K676" s="72"/>
      <c r="L676" s="72">
        <f t="shared" si="269"/>
        <v>4403.9283040472101</v>
      </c>
      <c r="M676" s="72">
        <f t="shared" si="270"/>
        <v>4597.7011494252874</v>
      </c>
      <c r="N676" s="90">
        <f>IF(UPPER(Settings!$B$3)="EGY",F676,0)</f>
        <v>4800</v>
      </c>
      <c r="O676" s="72">
        <f t="shared" si="271"/>
        <v>5011.2</v>
      </c>
      <c r="P676" s="72">
        <f t="shared" si="272"/>
        <v>5231.6927999999998</v>
      </c>
      <c r="Q676" s="72">
        <f t="shared" si="273"/>
        <v>5461.8872831999997</v>
      </c>
      <c r="R676" s="72">
        <f t="shared" si="274"/>
        <v>5702.2103236608</v>
      </c>
      <c r="S676" s="72">
        <f t="shared" si="275"/>
        <v>5953.1075779018756</v>
      </c>
      <c r="T676" s="72">
        <f t="shared" si="276"/>
        <v>6215.0443113295587</v>
      </c>
      <c r="U676" s="72">
        <f t="shared" si="277"/>
        <v>6488.5062610280593</v>
      </c>
      <c r="V676" s="72">
        <f t="shared" si="278"/>
        <v>6774.0005365132938</v>
      </c>
      <c r="W676" s="72">
        <f t="shared" si="279"/>
        <v>7072.0565601198787</v>
      </c>
      <c r="X676" s="72">
        <f t="shared" si="280"/>
        <v>7383.227048765154</v>
      </c>
      <c r="Y676" s="72">
        <f t="shared" si="281"/>
        <v>7708.0890389108208</v>
      </c>
      <c r="Z676" s="72">
        <f t="shared" si="282"/>
        <v>8047.244956622897</v>
      </c>
      <c r="AA676" s="72">
        <f t="shared" si="283"/>
        <v>8401.323734714304</v>
      </c>
      <c r="AB676" s="72">
        <f t="shared" si="284"/>
        <v>8770.9819790417332</v>
      </c>
      <c r="AC676" s="72">
        <f t="shared" si="285"/>
        <v>9156.9051861195694</v>
      </c>
      <c r="AD676" s="72">
        <f t="shared" si="286"/>
        <v>9559.8090143088302</v>
      </c>
      <c r="AE676" s="72">
        <f t="shared" si="287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71"/>
      <c r="K677" s="72"/>
      <c r="L677" s="72">
        <f t="shared" si="269"/>
        <v>0</v>
      </c>
      <c r="M677" s="72">
        <f t="shared" si="270"/>
        <v>0</v>
      </c>
      <c r="N677" s="90">
        <f>IF(UPPER(Settings!$B$3)="EGY",F677,0)</f>
        <v>0</v>
      </c>
      <c r="O677" s="72">
        <f t="shared" si="271"/>
        <v>0</v>
      </c>
      <c r="P677" s="72">
        <f t="shared" si="272"/>
        <v>0</v>
      </c>
      <c r="Q677" s="72">
        <f t="shared" si="273"/>
        <v>0</v>
      </c>
      <c r="R677" s="72">
        <f t="shared" si="274"/>
        <v>0</v>
      </c>
      <c r="S677" s="72">
        <f t="shared" si="275"/>
        <v>0</v>
      </c>
      <c r="T677" s="72">
        <f t="shared" si="276"/>
        <v>0</v>
      </c>
      <c r="U677" s="72">
        <f t="shared" si="277"/>
        <v>0</v>
      </c>
      <c r="V677" s="72">
        <f t="shared" si="278"/>
        <v>0</v>
      </c>
      <c r="W677" s="72">
        <f t="shared" si="279"/>
        <v>0</v>
      </c>
      <c r="X677" s="72">
        <f t="shared" si="280"/>
        <v>0</v>
      </c>
      <c r="Y677" s="72">
        <f t="shared" si="281"/>
        <v>0</v>
      </c>
      <c r="Z677" s="72">
        <f t="shared" si="282"/>
        <v>0</v>
      </c>
      <c r="AA677" s="72">
        <f t="shared" si="283"/>
        <v>0</v>
      </c>
      <c r="AB677" s="72">
        <f t="shared" si="284"/>
        <v>0</v>
      </c>
      <c r="AC677" s="72">
        <f t="shared" si="285"/>
        <v>0</v>
      </c>
      <c r="AD677" s="72">
        <f t="shared" si="286"/>
        <v>0</v>
      </c>
      <c r="AE677" s="72">
        <f t="shared" si="287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71"/>
      <c r="K678" s="72"/>
      <c r="L678" s="72">
        <f t="shared" si="269"/>
        <v>46856.447775209017</v>
      </c>
      <c r="M678" s="72">
        <f t="shared" si="270"/>
        <v>48402.710551790908</v>
      </c>
      <c r="N678" s="90">
        <f>IF(UPPER(Settings!$B$3)="EGY",F678,0)</f>
        <v>50000</v>
      </c>
      <c r="O678" s="72">
        <f t="shared" si="271"/>
        <v>51649.999999999993</v>
      </c>
      <c r="P678" s="72">
        <f t="shared" si="272"/>
        <v>53354.44999999999</v>
      </c>
      <c r="Q678" s="72">
        <f t="shared" si="273"/>
        <v>55115.146849999983</v>
      </c>
      <c r="R678" s="72">
        <f t="shared" si="274"/>
        <v>56933.946696049978</v>
      </c>
      <c r="S678" s="72">
        <f t="shared" si="275"/>
        <v>58812.766937019624</v>
      </c>
      <c r="T678" s="72">
        <f t="shared" si="276"/>
        <v>60753.588245941268</v>
      </c>
      <c r="U678" s="72">
        <f t="shared" si="277"/>
        <v>62758.456658057323</v>
      </c>
      <c r="V678" s="72">
        <f t="shared" si="278"/>
        <v>64829.485727773208</v>
      </c>
      <c r="W678" s="72">
        <f t="shared" si="279"/>
        <v>66968.858756789719</v>
      </c>
      <c r="X678" s="72">
        <f t="shared" si="280"/>
        <v>69178.831095763773</v>
      </c>
      <c r="Y678" s="72">
        <f t="shared" si="281"/>
        <v>71461.732521923972</v>
      </c>
      <c r="Z678" s="72">
        <f t="shared" si="282"/>
        <v>73819.969695147462</v>
      </c>
      <c r="AA678" s="72">
        <f t="shared" si="283"/>
        <v>76256.028695087327</v>
      </c>
      <c r="AB678" s="72">
        <f t="shared" si="284"/>
        <v>78772.477642025202</v>
      </c>
      <c r="AC678" s="72">
        <f t="shared" si="285"/>
        <v>81371.969404212025</v>
      </c>
      <c r="AD678" s="72">
        <f t="shared" si="286"/>
        <v>84057.244394551017</v>
      </c>
      <c r="AE678" s="72">
        <f t="shared" si="287"/>
        <v>86831.133459571196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71"/>
      <c r="K679" s="72"/>
      <c r="L679" s="72">
        <f t="shared" si="269"/>
        <v>1708.9778302013242</v>
      </c>
      <c r="M679" s="72">
        <f t="shared" si="270"/>
        <v>1746.5753424657535</v>
      </c>
      <c r="N679" s="90">
        <f>IF(UPPER(Settings!$B$3)="EGY",F679,0)</f>
        <v>1785</v>
      </c>
      <c r="O679" s="72">
        <f t="shared" si="271"/>
        <v>1824.27</v>
      </c>
      <c r="P679" s="72">
        <f t="shared" si="272"/>
        <v>1864.4039399999999</v>
      </c>
      <c r="Q679" s="72">
        <f t="shared" si="273"/>
        <v>1905.4208266799999</v>
      </c>
      <c r="R679" s="72">
        <f t="shared" si="274"/>
        <v>1947.3400848669598</v>
      </c>
      <c r="S679" s="72">
        <f t="shared" si="275"/>
        <v>1990.1815667340329</v>
      </c>
      <c r="T679" s="72">
        <f t="shared" si="276"/>
        <v>2033.9655612021818</v>
      </c>
      <c r="U679" s="72">
        <f t="shared" si="277"/>
        <v>2078.7128035486298</v>
      </c>
      <c r="V679" s="72">
        <f t="shared" si="278"/>
        <v>2124.4444852266997</v>
      </c>
      <c r="W679" s="72">
        <f t="shared" si="279"/>
        <v>2171.1822639016873</v>
      </c>
      <c r="X679" s="72">
        <f t="shared" si="280"/>
        <v>2218.9482737075245</v>
      </c>
      <c r="Y679" s="72">
        <f t="shared" si="281"/>
        <v>2267.7651357290902</v>
      </c>
      <c r="Z679" s="72">
        <f t="shared" si="282"/>
        <v>2317.6559687151303</v>
      </c>
      <c r="AA679" s="72">
        <f t="shared" si="283"/>
        <v>2368.644400026863</v>
      </c>
      <c r="AB679" s="72">
        <f t="shared" si="284"/>
        <v>2420.754576827454</v>
      </c>
      <c r="AC679" s="72">
        <f t="shared" si="285"/>
        <v>2474.0111775176579</v>
      </c>
      <c r="AD679" s="72">
        <f t="shared" si="286"/>
        <v>2528.4394234230463</v>
      </c>
      <c r="AE679" s="72">
        <f t="shared" si="287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71"/>
      <c r="K680" s="72"/>
      <c r="L680" s="72">
        <f t="shared" si="269"/>
        <v>2680.7495375707044</v>
      </c>
      <c r="M680" s="72">
        <f t="shared" si="270"/>
        <v>2739.7260273972602</v>
      </c>
      <c r="N680" s="90">
        <f>IF(UPPER(Settings!$B$3)="EGY",F680,0)</f>
        <v>2800</v>
      </c>
      <c r="O680" s="72">
        <f t="shared" si="271"/>
        <v>2861.6</v>
      </c>
      <c r="P680" s="72">
        <f t="shared" si="272"/>
        <v>2924.5551999999998</v>
      </c>
      <c r="Q680" s="72">
        <f t="shared" si="273"/>
        <v>2988.8954143999999</v>
      </c>
      <c r="R680" s="72">
        <f t="shared" si="274"/>
        <v>3054.6511135167998</v>
      </c>
      <c r="S680" s="72">
        <f t="shared" si="275"/>
        <v>3121.8534380141696</v>
      </c>
      <c r="T680" s="72">
        <f t="shared" si="276"/>
        <v>3190.5342136504814</v>
      </c>
      <c r="U680" s="72">
        <f t="shared" si="277"/>
        <v>3260.7259663507921</v>
      </c>
      <c r="V680" s="72">
        <f t="shared" si="278"/>
        <v>3332.4619376105097</v>
      </c>
      <c r="W680" s="72">
        <f t="shared" si="279"/>
        <v>3405.7761002379411</v>
      </c>
      <c r="X680" s="72">
        <f t="shared" si="280"/>
        <v>3480.7031744431761</v>
      </c>
      <c r="Y680" s="72">
        <f t="shared" si="281"/>
        <v>3557.2786442809261</v>
      </c>
      <c r="Z680" s="72">
        <f t="shared" si="282"/>
        <v>3635.5387744551067</v>
      </c>
      <c r="AA680" s="72">
        <f t="shared" si="283"/>
        <v>3715.5206274931193</v>
      </c>
      <c r="AB680" s="72">
        <f t="shared" si="284"/>
        <v>3797.2620812979681</v>
      </c>
      <c r="AC680" s="72">
        <f t="shared" si="285"/>
        <v>3880.8018470865236</v>
      </c>
      <c r="AD680" s="72">
        <f t="shared" si="286"/>
        <v>3966.179487722427</v>
      </c>
      <c r="AE680" s="72">
        <f t="shared" si="287"/>
        <v>4053.4354364523206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71"/>
      <c r="K681" s="72"/>
      <c r="L681" s="72">
        <f t="shared" si="269"/>
        <v>574.44632947943671</v>
      </c>
      <c r="M681" s="72">
        <f t="shared" si="270"/>
        <v>587.08414872798437</v>
      </c>
      <c r="N681" s="90">
        <f>IF(UPPER(Settings!$B$3)="EGY",F681,0)</f>
        <v>600</v>
      </c>
      <c r="O681" s="72">
        <f t="shared" si="271"/>
        <v>613.20000000000005</v>
      </c>
      <c r="P681" s="72">
        <f t="shared" si="272"/>
        <v>626.69040000000007</v>
      </c>
      <c r="Q681" s="72">
        <f t="shared" si="273"/>
        <v>640.47758880000004</v>
      </c>
      <c r="R681" s="72">
        <f t="shared" si="274"/>
        <v>654.56809575360001</v>
      </c>
      <c r="S681" s="72">
        <f t="shared" si="275"/>
        <v>668.96859386017923</v>
      </c>
      <c r="T681" s="72">
        <f t="shared" si="276"/>
        <v>683.68590292510316</v>
      </c>
      <c r="U681" s="72">
        <f t="shared" si="277"/>
        <v>698.72699278945549</v>
      </c>
      <c r="V681" s="72">
        <f t="shared" si="278"/>
        <v>714.09898663082356</v>
      </c>
      <c r="W681" s="72">
        <f t="shared" si="279"/>
        <v>729.80916433670166</v>
      </c>
      <c r="X681" s="72">
        <f t="shared" si="280"/>
        <v>745.86496595210906</v>
      </c>
      <c r="Y681" s="72">
        <f t="shared" si="281"/>
        <v>762.27399520305551</v>
      </c>
      <c r="Z681" s="72">
        <f t="shared" si="282"/>
        <v>779.04402309752277</v>
      </c>
      <c r="AA681" s="72">
        <f t="shared" si="283"/>
        <v>796.18299160566824</v>
      </c>
      <c r="AB681" s="72">
        <f t="shared" si="284"/>
        <v>813.69901742099296</v>
      </c>
      <c r="AC681" s="72">
        <f t="shared" si="285"/>
        <v>831.60039580425484</v>
      </c>
      <c r="AD681" s="72">
        <f t="shared" si="286"/>
        <v>849.89560451194848</v>
      </c>
      <c r="AE681" s="72">
        <f t="shared" si="287"/>
        <v>868.59330781121139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71"/>
      <c r="K682" s="72"/>
      <c r="L682" s="72">
        <f t="shared" si="269"/>
        <v>269.53572471417982</v>
      </c>
      <c r="M682" s="72">
        <f t="shared" si="270"/>
        <v>284.36018957345971</v>
      </c>
      <c r="N682" s="90">
        <f>IF(UPPER(Settings!$B$3)="EGY",F682,0)</f>
        <v>300</v>
      </c>
      <c r="O682" s="72">
        <f t="shared" si="271"/>
        <v>316.5</v>
      </c>
      <c r="P682" s="72">
        <f t="shared" si="272"/>
        <v>333.90749999999997</v>
      </c>
      <c r="Q682" s="72">
        <f t="shared" si="273"/>
        <v>352.27241249999997</v>
      </c>
      <c r="R682" s="72">
        <f t="shared" si="274"/>
        <v>371.64739518749997</v>
      </c>
      <c r="S682" s="72">
        <f t="shared" si="275"/>
        <v>392.08800192281245</v>
      </c>
      <c r="T682" s="72">
        <f t="shared" si="276"/>
        <v>413.65284202856714</v>
      </c>
      <c r="U682" s="72">
        <f t="shared" si="277"/>
        <v>436.40374834013829</v>
      </c>
      <c r="V682" s="72">
        <f t="shared" si="278"/>
        <v>460.40595449884586</v>
      </c>
      <c r="W682" s="72">
        <f t="shared" si="279"/>
        <v>485.72828199628236</v>
      </c>
      <c r="X682" s="72">
        <f t="shared" si="280"/>
        <v>512.44333750607791</v>
      </c>
      <c r="Y682" s="72">
        <f t="shared" si="281"/>
        <v>540.62772106891214</v>
      </c>
      <c r="Z682" s="72">
        <f t="shared" si="282"/>
        <v>570.36224572770232</v>
      </c>
      <c r="AA682" s="72">
        <f t="shared" si="283"/>
        <v>601.73216924272594</v>
      </c>
      <c r="AB682" s="72">
        <f t="shared" si="284"/>
        <v>634.82743855107583</v>
      </c>
      <c r="AC682" s="72">
        <f t="shared" si="285"/>
        <v>669.74294767138497</v>
      </c>
      <c r="AD682" s="72">
        <f t="shared" si="286"/>
        <v>706.57880979331105</v>
      </c>
      <c r="AE682" s="72">
        <f t="shared" si="287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1939</v>
      </c>
      <c r="D683" s="72" t="s">
        <v>1933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88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288"/>
        <v>0.44503563214908298</v>
      </c>
      <c r="N683" s="101">
        <f t="shared" si="288"/>
        <v>0.44499557682608842</v>
      </c>
      <c r="O683" s="101">
        <f t="shared" si="288"/>
        <v>0.44496200632526917</v>
      </c>
      <c r="P683" s="101">
        <f t="shared" si="288"/>
        <v>0.44493487111875607</v>
      </c>
      <c r="Q683" s="101">
        <f t="shared" si="288"/>
        <v>0.44491412061443458</v>
      </c>
      <c r="R683" s="101">
        <f t="shared" si="288"/>
        <v>0.44489970313906613</v>
      </c>
      <c r="S683" s="101">
        <f t="shared" si="288"/>
        <v>0.44489156592113127</v>
      </c>
      <c r="T683" s="101">
        <f t="shared" si="288"/>
        <v>0.4448896550734015</v>
      </c>
      <c r="U683" s="101">
        <f t="shared" si="288"/>
        <v>0.44489391557524516</v>
      </c>
      <c r="V683" s="101">
        <f t="shared" si="288"/>
        <v>0.44490429125467618</v>
      </c>
      <c r="W683" s="101">
        <f t="shared" si="288"/>
        <v>0.44492072477015238</v>
      </c>
      <c r="X683" s="101">
        <f t="shared" si="288"/>
        <v>0.44494315759213215</v>
      </c>
      <c r="Y683" s="101">
        <f t="shared" si="288"/>
        <v>0.4449715299843971</v>
      </c>
      <c r="Z683" s="101">
        <f t="shared" si="288"/>
        <v>0.44500578098515159</v>
      </c>
      <c r="AA683" s="101">
        <f t="shared" si="288"/>
        <v>0.44504584838790712</v>
      </c>
      <c r="AB683" s="101">
        <f t="shared" si="288"/>
        <v>0.44509166872216271</v>
      </c>
      <c r="AC683" s="101">
        <f t="shared" si="288"/>
        <v>0.44514317723389157</v>
      </c>
      <c r="AD683" s="101">
        <f t="shared" si="288"/>
        <v>0.44520030786584641</v>
      </c>
      <c r="AE683" s="101">
        <f t="shared" si="288"/>
        <v>0.44526299323769186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1934</v>
      </c>
      <c r="E684" s="72" t="s">
        <v>1935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89">IF(SUM(L$675:L$682)=0,0,L$779*1000/SUM(L$675:L$682))</f>
        <v>0.76858068667604662</v>
      </c>
      <c r="M684" s="76">
        <f t="shared" si="289"/>
        <v>0.7681952948756956</v>
      </c>
      <c r="N684" s="76">
        <f t="shared" si="289"/>
        <v>0.7678091840636232</v>
      </c>
      <c r="O684" s="76">
        <f t="shared" si="289"/>
        <v>0.76742240027798359</v>
      </c>
      <c r="P684" s="76">
        <f t="shared" si="289"/>
        <v>0.76703499073315395</v>
      </c>
      <c r="Q684" s="76">
        <f t="shared" si="289"/>
        <v>0.76664700383607165</v>
      </c>
      <c r="R684" s="76">
        <f t="shared" si="289"/>
        <v>0.76625848920260697</v>
      </c>
      <c r="S684" s="76">
        <f t="shared" si="289"/>
        <v>0.76586949767397305</v>
      </c>
      <c r="T684" s="76">
        <f t="shared" si="289"/>
        <v>0.7654800813331647</v>
      </c>
      <c r="U684" s="76">
        <f t="shared" si="289"/>
        <v>0.76509029352142133</v>
      </c>
      <c r="V684" s="76">
        <f t="shared" si="289"/>
        <v>0.76470018885470381</v>
      </c>
      <c r="W684" s="76">
        <f t="shared" si="289"/>
        <v>0.76430982324018981</v>
      </c>
      <c r="X684" s="76">
        <f t="shared" si="289"/>
        <v>0.76391925389276916</v>
      </c>
      <c r="Y684" s="76">
        <f t="shared" si="289"/>
        <v>0.76352853935153986</v>
      </c>
      <c r="Z684" s="76">
        <f t="shared" si="289"/>
        <v>0.76313773949630004</v>
      </c>
      <c r="AA684" s="76">
        <f t="shared" si="289"/>
        <v>0.76274691556402274</v>
      </c>
      <c r="AB684" s="76">
        <f t="shared" si="289"/>
        <v>0.76235613016531245</v>
      </c>
      <c r="AC684" s="76">
        <f t="shared" si="289"/>
        <v>0.76196544730083182</v>
      </c>
      <c r="AD684" s="76">
        <f t="shared" si="289"/>
        <v>0.76157493237769747</v>
      </c>
      <c r="AE684" s="76">
        <f t="shared" si="289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1936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90">IF((SUM(L$729:L$736)+SUM(L$740:L$747))=0,0,L$779/(SUM(L$729:L$736)+SUM(L$740:L$747))-1)</f>
        <v>0</v>
      </c>
      <c r="M685" s="101">
        <f t="shared" si="290"/>
        <v>-1.1102230246251565E-16</v>
      </c>
      <c r="N685" s="101">
        <f t="shared" si="290"/>
        <v>0</v>
      </c>
      <c r="O685" s="101">
        <f t="shared" si="290"/>
        <v>0</v>
      </c>
      <c r="P685" s="101">
        <f t="shared" si="290"/>
        <v>0</v>
      </c>
      <c r="Q685" s="101">
        <f t="shared" si="290"/>
        <v>0</v>
      </c>
      <c r="R685" s="101">
        <f t="shared" si="290"/>
        <v>0</v>
      </c>
      <c r="S685" s="101">
        <f t="shared" si="290"/>
        <v>-1.1102230246251565E-16</v>
      </c>
      <c r="T685" s="101">
        <f t="shared" si="290"/>
        <v>0</v>
      </c>
      <c r="U685" s="101">
        <f t="shared" si="290"/>
        <v>2.2204460492503131E-16</v>
      </c>
      <c r="V685" s="101">
        <f t="shared" si="290"/>
        <v>0</v>
      </c>
      <c r="W685" s="101">
        <f t="shared" si="290"/>
        <v>0</v>
      </c>
      <c r="X685" s="101">
        <f t="shared" si="290"/>
        <v>0</v>
      </c>
      <c r="Y685" s="101">
        <f t="shared" si="290"/>
        <v>0</v>
      </c>
      <c r="Z685" s="101">
        <f t="shared" si="290"/>
        <v>-2.2204460492503131E-16</v>
      </c>
      <c r="AA685" s="101">
        <f t="shared" si="290"/>
        <v>-2.2204460492503131E-16</v>
      </c>
      <c r="AB685" s="101">
        <f t="shared" si="290"/>
        <v>0</v>
      </c>
      <c r="AC685" s="101">
        <f t="shared" si="290"/>
        <v>0</v>
      </c>
      <c r="AD685" s="101">
        <f t="shared" si="290"/>
        <v>0</v>
      </c>
      <c r="AE685" s="101">
        <f t="shared" si="290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91">L673</f>
        <v>2022</v>
      </c>
      <c r="M686" s="74">
        <f t="shared" si="291"/>
        <v>2023</v>
      </c>
      <c r="N686" s="74">
        <f t="shared" si="291"/>
        <v>2024</v>
      </c>
      <c r="O686" s="74">
        <f t="shared" si="291"/>
        <v>2025</v>
      </c>
      <c r="P686" s="74">
        <f t="shared" si="291"/>
        <v>2026</v>
      </c>
      <c r="Q686" s="74">
        <f t="shared" si="291"/>
        <v>2027</v>
      </c>
      <c r="R686" s="74">
        <f t="shared" si="291"/>
        <v>2028</v>
      </c>
      <c r="S686" s="74">
        <f t="shared" si="291"/>
        <v>2029</v>
      </c>
      <c r="T686" s="74">
        <f t="shared" si="291"/>
        <v>2030</v>
      </c>
      <c r="U686" s="74">
        <f t="shared" si="291"/>
        <v>2031</v>
      </c>
      <c r="V686" s="74">
        <f t="shared" si="291"/>
        <v>2032</v>
      </c>
      <c r="W686" s="74">
        <f t="shared" si="291"/>
        <v>2033</v>
      </c>
      <c r="X686" s="74">
        <f t="shared" si="291"/>
        <v>2034</v>
      </c>
      <c r="Y686" s="74">
        <f t="shared" si="291"/>
        <v>2035</v>
      </c>
      <c r="Z686" s="74">
        <f t="shared" si="291"/>
        <v>2036</v>
      </c>
      <c r="AA686" s="74">
        <f t="shared" si="291"/>
        <v>2037</v>
      </c>
      <c r="AB686" s="74">
        <f t="shared" si="291"/>
        <v>2038</v>
      </c>
      <c r="AC686" s="74">
        <f t="shared" si="291"/>
        <v>2039</v>
      </c>
      <c r="AD686" s="74">
        <f t="shared" si="291"/>
        <v>2040</v>
      </c>
      <c r="AE686" s="74">
        <f t="shared" si="291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92">G687</f>
        <v>750</v>
      </c>
      <c r="M687" s="72">
        <f t="shared" ref="M687:M694" si="293">G687</f>
        <v>750</v>
      </c>
      <c r="N687" s="72">
        <f t="shared" ref="N687:N694" si="294">G687</f>
        <v>750</v>
      </c>
      <c r="O687" s="72">
        <f t="shared" ref="O687:O694" si="295">G687</f>
        <v>750</v>
      </c>
      <c r="P687" s="72">
        <f t="shared" ref="P687:P694" si="296">G687</f>
        <v>750</v>
      </c>
      <c r="Q687" s="72">
        <f t="shared" ref="Q687:Q694" si="297">G687</f>
        <v>750</v>
      </c>
      <c r="R687" s="72">
        <f t="shared" ref="R687:R694" si="298">G687</f>
        <v>750</v>
      </c>
      <c r="S687" s="72">
        <f t="shared" ref="S687:S694" si="299">G687</f>
        <v>750</v>
      </c>
      <c r="T687" s="72">
        <f t="shared" ref="T687:T694" si="300">G687</f>
        <v>750</v>
      </c>
      <c r="U687" s="72">
        <f t="shared" ref="U687:U694" si="301">G687</f>
        <v>750</v>
      </c>
      <c r="V687" s="72">
        <f t="shared" ref="V687:V694" si="302">G687</f>
        <v>750</v>
      </c>
      <c r="W687" s="72">
        <f t="shared" ref="W687:W694" si="303">G687</f>
        <v>750</v>
      </c>
      <c r="X687" s="72">
        <f t="shared" ref="X687:X694" si="304">G687</f>
        <v>750</v>
      </c>
      <c r="Y687" s="72">
        <f t="shared" ref="Y687:Y694" si="305">G687</f>
        <v>750</v>
      </c>
      <c r="Z687" s="72">
        <f t="shared" ref="Z687:Z694" si="306">G687</f>
        <v>750</v>
      </c>
      <c r="AA687" s="72">
        <f t="shared" ref="AA687:AA694" si="307">G687</f>
        <v>750</v>
      </c>
      <c r="AB687" s="72">
        <f t="shared" ref="AB687:AB694" si="308">G687</f>
        <v>750</v>
      </c>
      <c r="AC687" s="72">
        <f t="shared" ref="AC687:AC694" si="309">G687</f>
        <v>750</v>
      </c>
      <c r="AD687" s="72">
        <f t="shared" ref="AD687:AD694" si="310">G687</f>
        <v>750</v>
      </c>
      <c r="AE687" s="72">
        <f t="shared" ref="AE687:AE694" si="311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92"/>
        <v>680</v>
      </c>
      <c r="M688" s="72">
        <f t="shared" si="293"/>
        <v>680</v>
      </c>
      <c r="N688" s="72">
        <f t="shared" si="294"/>
        <v>680</v>
      </c>
      <c r="O688" s="72">
        <f t="shared" si="295"/>
        <v>680</v>
      </c>
      <c r="P688" s="72">
        <f t="shared" si="296"/>
        <v>680</v>
      </c>
      <c r="Q688" s="72">
        <f t="shared" si="297"/>
        <v>680</v>
      </c>
      <c r="R688" s="72">
        <f t="shared" si="298"/>
        <v>680</v>
      </c>
      <c r="S688" s="72">
        <f t="shared" si="299"/>
        <v>680</v>
      </c>
      <c r="T688" s="72">
        <f t="shared" si="300"/>
        <v>680</v>
      </c>
      <c r="U688" s="72">
        <f t="shared" si="301"/>
        <v>680</v>
      </c>
      <c r="V688" s="72">
        <f t="shared" si="302"/>
        <v>680</v>
      </c>
      <c r="W688" s="72">
        <f t="shared" si="303"/>
        <v>680</v>
      </c>
      <c r="X688" s="72">
        <f t="shared" si="304"/>
        <v>680</v>
      </c>
      <c r="Y688" s="72">
        <f t="shared" si="305"/>
        <v>680</v>
      </c>
      <c r="Z688" s="72">
        <f t="shared" si="306"/>
        <v>680</v>
      </c>
      <c r="AA688" s="72">
        <f t="shared" si="307"/>
        <v>680</v>
      </c>
      <c r="AB688" s="72">
        <f t="shared" si="308"/>
        <v>680</v>
      </c>
      <c r="AC688" s="72">
        <f t="shared" si="309"/>
        <v>680</v>
      </c>
      <c r="AD688" s="72">
        <f t="shared" si="310"/>
        <v>680</v>
      </c>
      <c r="AE688" s="72">
        <f t="shared" si="311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92"/>
        <v>620</v>
      </c>
      <c r="M689" s="72">
        <f t="shared" si="293"/>
        <v>620</v>
      </c>
      <c r="N689" s="72">
        <f t="shared" si="294"/>
        <v>620</v>
      </c>
      <c r="O689" s="72">
        <f t="shared" si="295"/>
        <v>620</v>
      </c>
      <c r="P689" s="72">
        <f t="shared" si="296"/>
        <v>620</v>
      </c>
      <c r="Q689" s="72">
        <f t="shared" si="297"/>
        <v>620</v>
      </c>
      <c r="R689" s="72">
        <f t="shared" si="298"/>
        <v>620</v>
      </c>
      <c r="S689" s="72">
        <f t="shared" si="299"/>
        <v>620</v>
      </c>
      <c r="T689" s="72">
        <f t="shared" si="300"/>
        <v>620</v>
      </c>
      <c r="U689" s="72">
        <f t="shared" si="301"/>
        <v>620</v>
      </c>
      <c r="V689" s="72">
        <f t="shared" si="302"/>
        <v>620</v>
      </c>
      <c r="W689" s="72">
        <f t="shared" si="303"/>
        <v>620</v>
      </c>
      <c r="X689" s="72">
        <f t="shared" si="304"/>
        <v>620</v>
      </c>
      <c r="Y689" s="72">
        <f t="shared" si="305"/>
        <v>620</v>
      </c>
      <c r="Z689" s="72">
        <f t="shared" si="306"/>
        <v>620</v>
      </c>
      <c r="AA689" s="72">
        <f t="shared" si="307"/>
        <v>620</v>
      </c>
      <c r="AB689" s="72">
        <f t="shared" si="308"/>
        <v>620</v>
      </c>
      <c r="AC689" s="72">
        <f t="shared" si="309"/>
        <v>620</v>
      </c>
      <c r="AD689" s="72">
        <f t="shared" si="310"/>
        <v>620</v>
      </c>
      <c r="AE689" s="72">
        <f t="shared" si="311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92"/>
        <v>110</v>
      </c>
      <c r="M690" s="72">
        <f t="shared" si="293"/>
        <v>110</v>
      </c>
      <c r="N690" s="72">
        <f t="shared" si="294"/>
        <v>110</v>
      </c>
      <c r="O690" s="72">
        <f t="shared" si="295"/>
        <v>110</v>
      </c>
      <c r="P690" s="72">
        <f t="shared" si="296"/>
        <v>110</v>
      </c>
      <c r="Q690" s="72">
        <f t="shared" si="297"/>
        <v>110</v>
      </c>
      <c r="R690" s="72">
        <f t="shared" si="298"/>
        <v>110</v>
      </c>
      <c r="S690" s="72">
        <f t="shared" si="299"/>
        <v>110</v>
      </c>
      <c r="T690" s="72">
        <f t="shared" si="300"/>
        <v>110</v>
      </c>
      <c r="U690" s="72">
        <f t="shared" si="301"/>
        <v>110</v>
      </c>
      <c r="V690" s="72">
        <f t="shared" si="302"/>
        <v>110</v>
      </c>
      <c r="W690" s="72">
        <f t="shared" si="303"/>
        <v>110</v>
      </c>
      <c r="X690" s="72">
        <f t="shared" si="304"/>
        <v>110</v>
      </c>
      <c r="Y690" s="72">
        <f t="shared" si="305"/>
        <v>110</v>
      </c>
      <c r="Z690" s="72">
        <f t="shared" si="306"/>
        <v>110</v>
      </c>
      <c r="AA690" s="72">
        <f t="shared" si="307"/>
        <v>110</v>
      </c>
      <c r="AB690" s="72">
        <f t="shared" si="308"/>
        <v>110</v>
      </c>
      <c r="AC690" s="72">
        <f t="shared" si="309"/>
        <v>110</v>
      </c>
      <c r="AD690" s="72">
        <f t="shared" si="310"/>
        <v>110</v>
      </c>
      <c r="AE690" s="72">
        <f t="shared" si="311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92"/>
        <v>450</v>
      </c>
      <c r="M691" s="72">
        <f t="shared" si="293"/>
        <v>450</v>
      </c>
      <c r="N691" s="72">
        <f t="shared" si="294"/>
        <v>450</v>
      </c>
      <c r="O691" s="72">
        <f t="shared" si="295"/>
        <v>450</v>
      </c>
      <c r="P691" s="72">
        <f t="shared" si="296"/>
        <v>450</v>
      </c>
      <c r="Q691" s="72">
        <f t="shared" si="297"/>
        <v>450</v>
      </c>
      <c r="R691" s="72">
        <f t="shared" si="298"/>
        <v>450</v>
      </c>
      <c r="S691" s="72">
        <f t="shared" si="299"/>
        <v>450</v>
      </c>
      <c r="T691" s="72">
        <f t="shared" si="300"/>
        <v>450</v>
      </c>
      <c r="U691" s="72">
        <f t="shared" si="301"/>
        <v>450</v>
      </c>
      <c r="V691" s="72">
        <f t="shared" si="302"/>
        <v>450</v>
      </c>
      <c r="W691" s="72">
        <f t="shared" si="303"/>
        <v>450</v>
      </c>
      <c r="X691" s="72">
        <f t="shared" si="304"/>
        <v>450</v>
      </c>
      <c r="Y691" s="72">
        <f t="shared" si="305"/>
        <v>450</v>
      </c>
      <c r="Z691" s="72">
        <f t="shared" si="306"/>
        <v>450</v>
      </c>
      <c r="AA691" s="72">
        <f t="shared" si="307"/>
        <v>450</v>
      </c>
      <c r="AB691" s="72">
        <f t="shared" si="308"/>
        <v>450</v>
      </c>
      <c r="AC691" s="72">
        <f t="shared" si="309"/>
        <v>450</v>
      </c>
      <c r="AD691" s="72">
        <f t="shared" si="310"/>
        <v>450</v>
      </c>
      <c r="AE691" s="72">
        <f t="shared" si="311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92"/>
        <v>380</v>
      </c>
      <c r="M692" s="72">
        <f t="shared" si="293"/>
        <v>380</v>
      </c>
      <c r="N692" s="72">
        <f t="shared" si="294"/>
        <v>380</v>
      </c>
      <c r="O692" s="72">
        <f t="shared" si="295"/>
        <v>380</v>
      </c>
      <c r="P692" s="72">
        <f t="shared" si="296"/>
        <v>380</v>
      </c>
      <c r="Q692" s="72">
        <f t="shared" si="297"/>
        <v>380</v>
      </c>
      <c r="R692" s="72">
        <f t="shared" si="298"/>
        <v>380</v>
      </c>
      <c r="S692" s="72">
        <f t="shared" si="299"/>
        <v>380</v>
      </c>
      <c r="T692" s="72">
        <f t="shared" si="300"/>
        <v>380</v>
      </c>
      <c r="U692" s="72">
        <f t="shared" si="301"/>
        <v>380</v>
      </c>
      <c r="V692" s="72">
        <f t="shared" si="302"/>
        <v>380</v>
      </c>
      <c r="W692" s="72">
        <f t="shared" si="303"/>
        <v>380</v>
      </c>
      <c r="X692" s="72">
        <f t="shared" si="304"/>
        <v>380</v>
      </c>
      <c r="Y692" s="72">
        <f t="shared" si="305"/>
        <v>380</v>
      </c>
      <c r="Z692" s="72">
        <f t="shared" si="306"/>
        <v>380</v>
      </c>
      <c r="AA692" s="72">
        <f t="shared" si="307"/>
        <v>380</v>
      </c>
      <c r="AB692" s="72">
        <f t="shared" si="308"/>
        <v>380</v>
      </c>
      <c r="AC692" s="72">
        <f t="shared" si="309"/>
        <v>380</v>
      </c>
      <c r="AD692" s="72">
        <f t="shared" si="310"/>
        <v>380</v>
      </c>
      <c r="AE692" s="72">
        <f t="shared" si="311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92"/>
        <v>320</v>
      </c>
      <c r="M693" s="72">
        <f t="shared" si="293"/>
        <v>320</v>
      </c>
      <c r="N693" s="72">
        <f t="shared" si="294"/>
        <v>320</v>
      </c>
      <c r="O693" s="72">
        <f t="shared" si="295"/>
        <v>320</v>
      </c>
      <c r="P693" s="72">
        <f t="shared" si="296"/>
        <v>320</v>
      </c>
      <c r="Q693" s="72">
        <f t="shared" si="297"/>
        <v>320</v>
      </c>
      <c r="R693" s="72">
        <f t="shared" si="298"/>
        <v>320</v>
      </c>
      <c r="S693" s="72">
        <f t="shared" si="299"/>
        <v>320</v>
      </c>
      <c r="T693" s="72">
        <f t="shared" si="300"/>
        <v>320</v>
      </c>
      <c r="U693" s="72">
        <f t="shared" si="301"/>
        <v>320</v>
      </c>
      <c r="V693" s="72">
        <f t="shared" si="302"/>
        <v>320</v>
      </c>
      <c r="W693" s="72">
        <f t="shared" si="303"/>
        <v>320</v>
      </c>
      <c r="X693" s="72">
        <f t="shared" si="304"/>
        <v>320</v>
      </c>
      <c r="Y693" s="72">
        <f t="shared" si="305"/>
        <v>320</v>
      </c>
      <c r="Z693" s="72">
        <f t="shared" si="306"/>
        <v>320</v>
      </c>
      <c r="AA693" s="72">
        <f t="shared" si="307"/>
        <v>320</v>
      </c>
      <c r="AB693" s="72">
        <f t="shared" si="308"/>
        <v>320</v>
      </c>
      <c r="AC693" s="72">
        <f t="shared" si="309"/>
        <v>320</v>
      </c>
      <c r="AD693" s="72">
        <f t="shared" si="310"/>
        <v>320</v>
      </c>
      <c r="AE693" s="72">
        <f t="shared" si="311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92"/>
        <v>2400</v>
      </c>
      <c r="M694" s="72">
        <f t="shared" si="293"/>
        <v>2400</v>
      </c>
      <c r="N694" s="72">
        <f t="shared" si="294"/>
        <v>2400</v>
      </c>
      <c r="O694" s="72">
        <f t="shared" si="295"/>
        <v>2400</v>
      </c>
      <c r="P694" s="72">
        <f t="shared" si="296"/>
        <v>2400</v>
      </c>
      <c r="Q694" s="72">
        <f t="shared" si="297"/>
        <v>2400</v>
      </c>
      <c r="R694" s="72">
        <f t="shared" si="298"/>
        <v>2400</v>
      </c>
      <c r="S694" s="72">
        <f t="shared" si="299"/>
        <v>2400</v>
      </c>
      <c r="T694" s="72">
        <f t="shared" si="300"/>
        <v>2400</v>
      </c>
      <c r="U694" s="72">
        <f t="shared" si="301"/>
        <v>2400</v>
      </c>
      <c r="V694" s="72">
        <f t="shared" si="302"/>
        <v>2400</v>
      </c>
      <c r="W694" s="72">
        <f t="shared" si="303"/>
        <v>2400</v>
      </c>
      <c r="X694" s="72">
        <f t="shared" si="304"/>
        <v>2400</v>
      </c>
      <c r="Y694" s="72">
        <f t="shared" si="305"/>
        <v>2400</v>
      </c>
      <c r="Z694" s="72">
        <f t="shared" si="306"/>
        <v>2400</v>
      </c>
      <c r="AA694" s="72">
        <f t="shared" si="307"/>
        <v>2400</v>
      </c>
      <c r="AB694" s="72">
        <f t="shared" si="308"/>
        <v>2400</v>
      </c>
      <c r="AC694" s="72">
        <f t="shared" si="309"/>
        <v>2400</v>
      </c>
      <c r="AD694" s="72">
        <f t="shared" si="310"/>
        <v>2400</v>
      </c>
      <c r="AE694" s="72">
        <f t="shared" si="311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1940</v>
      </c>
      <c r="D695" s="72" t="s">
        <v>1937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312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312"/>
        <v>0</v>
      </c>
      <c r="N695" s="101">
        <f t="shared" si="312"/>
        <v>0</v>
      </c>
      <c r="O695" s="101">
        <f t="shared" si="312"/>
        <v>0</v>
      </c>
      <c r="P695" s="101">
        <f t="shared" si="312"/>
        <v>0</v>
      </c>
      <c r="Q695" s="101">
        <f t="shared" si="312"/>
        <v>0</v>
      </c>
      <c r="R695" s="101">
        <f t="shared" si="312"/>
        <v>0</v>
      </c>
      <c r="S695" s="101">
        <f t="shared" si="312"/>
        <v>0</v>
      </c>
      <c r="T695" s="101">
        <f t="shared" si="312"/>
        <v>0</v>
      </c>
      <c r="U695" s="101">
        <f t="shared" si="312"/>
        <v>0</v>
      </c>
      <c r="V695" s="101">
        <f t="shared" si="312"/>
        <v>0</v>
      </c>
      <c r="W695" s="101">
        <f t="shared" si="312"/>
        <v>0</v>
      </c>
      <c r="X695" s="101">
        <f t="shared" si="312"/>
        <v>0</v>
      </c>
      <c r="Y695" s="101">
        <f t="shared" si="312"/>
        <v>0</v>
      </c>
      <c r="Z695" s="101">
        <f t="shared" si="312"/>
        <v>0</v>
      </c>
      <c r="AA695" s="101">
        <f t="shared" si="312"/>
        <v>0</v>
      </c>
      <c r="AB695" s="101">
        <f t="shared" si="312"/>
        <v>0</v>
      </c>
      <c r="AC695" s="101">
        <f t="shared" si="312"/>
        <v>0</v>
      </c>
      <c r="AD695" s="101">
        <f t="shared" si="312"/>
        <v>0</v>
      </c>
      <c r="AE695" s="101">
        <f t="shared" si="312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1938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313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313"/>
        <v>0.54710770173786794</v>
      </c>
      <c r="N696" s="101">
        <f t="shared" si="313"/>
        <v>0.54710770173786805</v>
      </c>
      <c r="O696" s="101">
        <f t="shared" si="313"/>
        <v>0.54710770173786794</v>
      </c>
      <c r="P696" s="101">
        <f t="shared" si="313"/>
        <v>0.54710770173786794</v>
      </c>
      <c r="Q696" s="101">
        <f t="shared" si="313"/>
        <v>0.54710770173786794</v>
      </c>
      <c r="R696" s="101">
        <f t="shared" si="313"/>
        <v>0.54710770173786771</v>
      </c>
      <c r="S696" s="101">
        <f t="shared" si="313"/>
        <v>0.54710770173786805</v>
      </c>
      <c r="T696" s="101">
        <f t="shared" si="313"/>
        <v>0.54710770173786794</v>
      </c>
      <c r="U696" s="101">
        <f t="shared" si="313"/>
        <v>0.54710770173786794</v>
      </c>
      <c r="V696" s="101">
        <f t="shared" si="313"/>
        <v>0.54710770173786794</v>
      </c>
      <c r="W696" s="101">
        <f t="shared" si="313"/>
        <v>0.54710770173786794</v>
      </c>
      <c r="X696" s="101">
        <f t="shared" si="313"/>
        <v>0.54710770173786771</v>
      </c>
      <c r="Y696" s="101">
        <f t="shared" si="313"/>
        <v>0.54710770173786794</v>
      </c>
      <c r="Z696" s="101">
        <f t="shared" si="313"/>
        <v>0.54710770173786782</v>
      </c>
      <c r="AA696" s="101">
        <f t="shared" si="313"/>
        <v>0.54710770173786782</v>
      </c>
      <c r="AB696" s="101">
        <f t="shared" si="313"/>
        <v>0.54710770173786794</v>
      </c>
      <c r="AC696" s="101">
        <f t="shared" si="313"/>
        <v>0.54710770173786794</v>
      </c>
      <c r="AD696" s="101">
        <f t="shared" si="313"/>
        <v>0.54710770173786794</v>
      </c>
      <c r="AE696" s="101">
        <f t="shared" si="313"/>
        <v>0.54710770173786805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1901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314">L645</f>
        <v>2022</v>
      </c>
      <c r="M697" s="74">
        <f t="shared" si="314"/>
        <v>2023</v>
      </c>
      <c r="N697" s="74">
        <f t="shared" si="314"/>
        <v>2024</v>
      </c>
      <c r="O697" s="74">
        <f t="shared" si="314"/>
        <v>2025</v>
      </c>
      <c r="P697" s="74">
        <f t="shared" si="314"/>
        <v>2026</v>
      </c>
      <c r="Q697" s="74">
        <f t="shared" si="314"/>
        <v>2027</v>
      </c>
      <c r="R697" s="74">
        <f t="shared" si="314"/>
        <v>2028</v>
      </c>
      <c r="S697" s="74">
        <f t="shared" si="314"/>
        <v>2029</v>
      </c>
      <c r="T697" s="74">
        <f t="shared" si="314"/>
        <v>2030</v>
      </c>
      <c r="U697" s="74">
        <f t="shared" si="314"/>
        <v>2031</v>
      </c>
      <c r="V697" s="74">
        <f t="shared" si="314"/>
        <v>2032</v>
      </c>
      <c r="W697" s="74">
        <f t="shared" si="314"/>
        <v>2033</v>
      </c>
      <c r="X697" s="74">
        <f t="shared" si="314"/>
        <v>2034</v>
      </c>
      <c r="Y697" s="74">
        <f t="shared" si="314"/>
        <v>2035</v>
      </c>
      <c r="Z697" s="74">
        <f t="shared" si="314"/>
        <v>2036</v>
      </c>
      <c r="AA697" s="74">
        <f t="shared" si="314"/>
        <v>2037</v>
      </c>
      <c r="AB697" s="74">
        <f t="shared" si="314"/>
        <v>2038</v>
      </c>
      <c r="AC697" s="74">
        <f t="shared" si="314"/>
        <v>2039</v>
      </c>
      <c r="AD697" s="74">
        <f t="shared" si="314"/>
        <v>2040</v>
      </c>
      <c r="AE697" s="74">
        <f t="shared" si="314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315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315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315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315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315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315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315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315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0"/>
      <c r="E706" s="70"/>
      <c r="F706" s="70"/>
      <c r="G706" s="70"/>
      <c r="H706" s="70"/>
      <c r="I706" s="70"/>
      <c r="J706" s="70"/>
      <c r="K706" s="72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1922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1923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1902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316">L697</f>
        <v>2022</v>
      </c>
      <c r="M708" s="74">
        <f t="shared" si="316"/>
        <v>2023</v>
      </c>
      <c r="N708" s="74">
        <f t="shared" si="316"/>
        <v>2024</v>
      </c>
      <c r="O708" s="74">
        <f t="shared" si="316"/>
        <v>2025</v>
      </c>
      <c r="P708" s="74">
        <f t="shared" si="316"/>
        <v>2026</v>
      </c>
      <c r="Q708" s="74">
        <f t="shared" si="316"/>
        <v>2027</v>
      </c>
      <c r="R708" s="74">
        <f t="shared" si="316"/>
        <v>2028</v>
      </c>
      <c r="S708" s="74">
        <f t="shared" si="316"/>
        <v>2029</v>
      </c>
      <c r="T708" s="74">
        <f t="shared" si="316"/>
        <v>2030</v>
      </c>
      <c r="U708" s="74">
        <f t="shared" si="316"/>
        <v>2031</v>
      </c>
      <c r="V708" s="74">
        <f t="shared" si="316"/>
        <v>2032</v>
      </c>
      <c r="W708" s="74">
        <f t="shared" si="316"/>
        <v>2033</v>
      </c>
      <c r="X708" s="74">
        <f t="shared" si="316"/>
        <v>2034</v>
      </c>
      <c r="Y708" s="74">
        <f t="shared" si="316"/>
        <v>2035</v>
      </c>
      <c r="Z708" s="74">
        <f t="shared" si="316"/>
        <v>2036</v>
      </c>
      <c r="AA708" s="74">
        <f t="shared" si="316"/>
        <v>2037</v>
      </c>
      <c r="AB708" s="74">
        <f t="shared" si="316"/>
        <v>2038</v>
      </c>
      <c r="AC708" s="74">
        <f t="shared" si="316"/>
        <v>2039</v>
      </c>
      <c r="AD708" s="74">
        <f t="shared" si="316"/>
        <v>2040</v>
      </c>
      <c r="AE708" s="74">
        <f t="shared" si="316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317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318">($F709*L$707+$G709*L$647)*$E709</f>
        <v>0</v>
      </c>
      <c r="M709" s="81">
        <f t="shared" si="318"/>
        <v>0</v>
      </c>
      <c r="N709" s="81">
        <f t="shared" si="318"/>
        <v>0</v>
      </c>
      <c r="O709" s="81">
        <f t="shared" si="318"/>
        <v>0</v>
      </c>
      <c r="P709" s="81">
        <f t="shared" si="318"/>
        <v>0</v>
      </c>
      <c r="Q709" s="81">
        <f t="shared" si="318"/>
        <v>0</v>
      </c>
      <c r="R709" s="81">
        <f t="shared" si="318"/>
        <v>0</v>
      </c>
      <c r="S709" s="81">
        <f t="shared" si="318"/>
        <v>0</v>
      </c>
      <c r="T709" s="81">
        <f t="shared" si="318"/>
        <v>0</v>
      </c>
      <c r="U709" s="81">
        <f t="shared" si="318"/>
        <v>0</v>
      </c>
      <c r="V709" s="81">
        <f t="shared" ref="V709:AE716" si="319">($F709*V$707+$G709*V$647)*$E709</f>
        <v>0</v>
      </c>
      <c r="W709" s="81">
        <f t="shared" si="319"/>
        <v>0</v>
      </c>
      <c r="X709" s="81">
        <f t="shared" si="319"/>
        <v>0</v>
      </c>
      <c r="Y709" s="81">
        <f t="shared" si="319"/>
        <v>0</v>
      </c>
      <c r="Z709" s="81">
        <f t="shared" si="319"/>
        <v>0</v>
      </c>
      <c r="AA709" s="81">
        <f t="shared" si="319"/>
        <v>0</v>
      </c>
      <c r="AB709" s="81">
        <f t="shared" si="319"/>
        <v>0</v>
      </c>
      <c r="AC709" s="81">
        <f t="shared" si="319"/>
        <v>0</v>
      </c>
      <c r="AD709" s="81">
        <f t="shared" si="319"/>
        <v>0</v>
      </c>
      <c r="AE709" s="81">
        <f t="shared" si="319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317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318"/>
        <v>0</v>
      </c>
      <c r="M710" s="81">
        <f t="shared" si="318"/>
        <v>0</v>
      </c>
      <c r="N710" s="81">
        <f t="shared" si="318"/>
        <v>0</v>
      </c>
      <c r="O710" s="81">
        <f t="shared" si="318"/>
        <v>0</v>
      </c>
      <c r="P710" s="81">
        <f t="shared" si="318"/>
        <v>0</v>
      </c>
      <c r="Q710" s="81">
        <f t="shared" si="318"/>
        <v>0</v>
      </c>
      <c r="R710" s="81">
        <f t="shared" si="318"/>
        <v>0</v>
      </c>
      <c r="S710" s="81">
        <f t="shared" si="318"/>
        <v>0</v>
      </c>
      <c r="T710" s="81">
        <f t="shared" si="318"/>
        <v>0</v>
      </c>
      <c r="U710" s="81">
        <f t="shared" si="318"/>
        <v>0</v>
      </c>
      <c r="V710" s="81">
        <f t="shared" si="319"/>
        <v>0</v>
      </c>
      <c r="W710" s="81">
        <f t="shared" si="319"/>
        <v>0</v>
      </c>
      <c r="X710" s="81">
        <f t="shared" si="319"/>
        <v>0</v>
      </c>
      <c r="Y710" s="81">
        <f t="shared" si="319"/>
        <v>0</v>
      </c>
      <c r="Z710" s="81">
        <f t="shared" si="319"/>
        <v>0</v>
      </c>
      <c r="AA710" s="81">
        <f t="shared" si="319"/>
        <v>0</v>
      </c>
      <c r="AB710" s="81">
        <f t="shared" si="319"/>
        <v>0</v>
      </c>
      <c r="AC710" s="81">
        <f t="shared" si="319"/>
        <v>0</v>
      </c>
      <c r="AD710" s="81">
        <f t="shared" si="319"/>
        <v>0</v>
      </c>
      <c r="AE710" s="81">
        <f t="shared" si="319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317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318"/>
        <v>0</v>
      </c>
      <c r="M711" s="81">
        <f t="shared" si="318"/>
        <v>0</v>
      </c>
      <c r="N711" s="81">
        <f t="shared" si="318"/>
        <v>0</v>
      </c>
      <c r="O711" s="81">
        <f t="shared" si="318"/>
        <v>0</v>
      </c>
      <c r="P711" s="81">
        <f t="shared" si="318"/>
        <v>0</v>
      </c>
      <c r="Q711" s="81">
        <f t="shared" si="318"/>
        <v>0</v>
      </c>
      <c r="R711" s="81">
        <f t="shared" si="318"/>
        <v>0</v>
      </c>
      <c r="S711" s="81">
        <f t="shared" si="318"/>
        <v>0</v>
      </c>
      <c r="T711" s="81">
        <f t="shared" si="318"/>
        <v>0</v>
      </c>
      <c r="U711" s="81">
        <f t="shared" si="318"/>
        <v>0</v>
      </c>
      <c r="V711" s="81">
        <f t="shared" si="319"/>
        <v>0</v>
      </c>
      <c r="W711" s="81">
        <f t="shared" si="319"/>
        <v>0</v>
      </c>
      <c r="X711" s="81">
        <f t="shared" si="319"/>
        <v>0</v>
      </c>
      <c r="Y711" s="81">
        <f t="shared" si="319"/>
        <v>0</v>
      </c>
      <c r="Z711" s="81">
        <f t="shared" si="319"/>
        <v>0</v>
      </c>
      <c r="AA711" s="81">
        <f t="shared" si="319"/>
        <v>0</v>
      </c>
      <c r="AB711" s="81">
        <f t="shared" si="319"/>
        <v>0</v>
      </c>
      <c r="AC711" s="81">
        <f t="shared" si="319"/>
        <v>0</v>
      </c>
      <c r="AD711" s="81">
        <f t="shared" si="319"/>
        <v>0</v>
      </c>
      <c r="AE711" s="81">
        <f t="shared" si="319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317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318"/>
        <v>0</v>
      </c>
      <c r="M712" s="81">
        <f t="shared" si="318"/>
        <v>0</v>
      </c>
      <c r="N712" s="81">
        <f t="shared" si="318"/>
        <v>0</v>
      </c>
      <c r="O712" s="81">
        <f t="shared" si="318"/>
        <v>0</v>
      </c>
      <c r="P712" s="81">
        <f t="shared" si="318"/>
        <v>0</v>
      </c>
      <c r="Q712" s="81">
        <f t="shared" si="318"/>
        <v>0</v>
      </c>
      <c r="R712" s="81">
        <f t="shared" si="318"/>
        <v>0</v>
      </c>
      <c r="S712" s="81">
        <f t="shared" si="318"/>
        <v>0</v>
      </c>
      <c r="T712" s="81">
        <f t="shared" si="318"/>
        <v>0</v>
      </c>
      <c r="U712" s="81">
        <f t="shared" si="318"/>
        <v>0</v>
      </c>
      <c r="V712" s="81">
        <f t="shared" si="319"/>
        <v>0</v>
      </c>
      <c r="W712" s="81">
        <f t="shared" si="319"/>
        <v>0</v>
      </c>
      <c r="X712" s="81">
        <f t="shared" si="319"/>
        <v>0</v>
      </c>
      <c r="Y712" s="81">
        <f t="shared" si="319"/>
        <v>0</v>
      </c>
      <c r="Z712" s="81">
        <f t="shared" si="319"/>
        <v>0</v>
      </c>
      <c r="AA712" s="81">
        <f t="shared" si="319"/>
        <v>0</v>
      </c>
      <c r="AB712" s="81">
        <f t="shared" si="319"/>
        <v>0</v>
      </c>
      <c r="AC712" s="81">
        <f t="shared" si="319"/>
        <v>0</v>
      </c>
      <c r="AD712" s="81">
        <f t="shared" si="319"/>
        <v>0</v>
      </c>
      <c r="AE712" s="81">
        <f t="shared" si="319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317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318"/>
        <v>0</v>
      </c>
      <c r="M713" s="81">
        <f t="shared" si="318"/>
        <v>0</v>
      </c>
      <c r="N713" s="81">
        <f t="shared" si="318"/>
        <v>0</v>
      </c>
      <c r="O713" s="81">
        <f t="shared" si="318"/>
        <v>0</v>
      </c>
      <c r="P713" s="81">
        <f t="shared" si="318"/>
        <v>0</v>
      </c>
      <c r="Q713" s="81">
        <f t="shared" si="318"/>
        <v>0</v>
      </c>
      <c r="R713" s="81">
        <f t="shared" si="318"/>
        <v>0</v>
      </c>
      <c r="S713" s="81">
        <f t="shared" si="318"/>
        <v>0</v>
      </c>
      <c r="T713" s="81">
        <f t="shared" si="318"/>
        <v>0</v>
      </c>
      <c r="U713" s="81">
        <f t="shared" si="318"/>
        <v>0</v>
      </c>
      <c r="V713" s="81">
        <f t="shared" si="319"/>
        <v>0</v>
      </c>
      <c r="W713" s="81">
        <f t="shared" si="319"/>
        <v>0</v>
      </c>
      <c r="X713" s="81">
        <f t="shared" si="319"/>
        <v>0</v>
      </c>
      <c r="Y713" s="81">
        <f t="shared" si="319"/>
        <v>0</v>
      </c>
      <c r="Z713" s="81">
        <f t="shared" si="319"/>
        <v>0</v>
      </c>
      <c r="AA713" s="81">
        <f t="shared" si="319"/>
        <v>0</v>
      </c>
      <c r="AB713" s="81">
        <f t="shared" si="319"/>
        <v>0</v>
      </c>
      <c r="AC713" s="81">
        <f t="shared" si="319"/>
        <v>0</v>
      </c>
      <c r="AD713" s="81">
        <f t="shared" si="319"/>
        <v>0</v>
      </c>
      <c r="AE713" s="81">
        <f t="shared" si="319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317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318"/>
        <v>0</v>
      </c>
      <c r="M714" s="81">
        <f t="shared" si="318"/>
        <v>0</v>
      </c>
      <c r="N714" s="81">
        <f t="shared" si="318"/>
        <v>0</v>
      </c>
      <c r="O714" s="81">
        <f t="shared" si="318"/>
        <v>0</v>
      </c>
      <c r="P714" s="81">
        <f t="shared" si="318"/>
        <v>0</v>
      </c>
      <c r="Q714" s="81">
        <f t="shared" si="318"/>
        <v>0</v>
      </c>
      <c r="R714" s="81">
        <f t="shared" si="318"/>
        <v>0</v>
      </c>
      <c r="S714" s="81">
        <f t="shared" si="318"/>
        <v>0</v>
      </c>
      <c r="T714" s="81">
        <f t="shared" si="318"/>
        <v>0</v>
      </c>
      <c r="U714" s="81">
        <f t="shared" si="318"/>
        <v>0</v>
      </c>
      <c r="V714" s="81">
        <f t="shared" si="319"/>
        <v>0</v>
      </c>
      <c r="W714" s="81">
        <f t="shared" si="319"/>
        <v>0</v>
      </c>
      <c r="X714" s="81">
        <f t="shared" si="319"/>
        <v>0</v>
      </c>
      <c r="Y714" s="81">
        <f t="shared" si="319"/>
        <v>0</v>
      </c>
      <c r="Z714" s="81">
        <f t="shared" si="319"/>
        <v>0</v>
      </c>
      <c r="AA714" s="81">
        <f t="shared" si="319"/>
        <v>0</v>
      </c>
      <c r="AB714" s="81">
        <f t="shared" si="319"/>
        <v>0</v>
      </c>
      <c r="AC714" s="81">
        <f t="shared" si="319"/>
        <v>0</v>
      </c>
      <c r="AD714" s="81">
        <f t="shared" si="319"/>
        <v>0</v>
      </c>
      <c r="AE714" s="81">
        <f t="shared" si="319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317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318"/>
        <v>0</v>
      </c>
      <c r="M715" s="81">
        <f t="shared" si="318"/>
        <v>0</v>
      </c>
      <c r="N715" s="81">
        <f t="shared" si="318"/>
        <v>0</v>
      </c>
      <c r="O715" s="81">
        <f t="shared" si="318"/>
        <v>0</v>
      </c>
      <c r="P715" s="81">
        <f t="shared" si="318"/>
        <v>0</v>
      </c>
      <c r="Q715" s="81">
        <f t="shared" si="318"/>
        <v>0</v>
      </c>
      <c r="R715" s="81">
        <f t="shared" si="318"/>
        <v>0</v>
      </c>
      <c r="S715" s="81">
        <f t="shared" si="318"/>
        <v>0</v>
      </c>
      <c r="T715" s="81">
        <f t="shared" si="318"/>
        <v>0</v>
      </c>
      <c r="U715" s="81">
        <f t="shared" si="318"/>
        <v>0</v>
      </c>
      <c r="V715" s="81">
        <f t="shared" si="319"/>
        <v>0</v>
      </c>
      <c r="W715" s="81">
        <f t="shared" si="319"/>
        <v>0</v>
      </c>
      <c r="X715" s="81">
        <f t="shared" si="319"/>
        <v>0</v>
      </c>
      <c r="Y715" s="81">
        <f t="shared" si="319"/>
        <v>0</v>
      </c>
      <c r="Z715" s="81">
        <f t="shared" si="319"/>
        <v>0</v>
      </c>
      <c r="AA715" s="81">
        <f t="shared" si="319"/>
        <v>0</v>
      </c>
      <c r="AB715" s="81">
        <f t="shared" si="319"/>
        <v>0</v>
      </c>
      <c r="AC715" s="81">
        <f t="shared" si="319"/>
        <v>0</v>
      </c>
      <c r="AD715" s="81">
        <f t="shared" si="319"/>
        <v>0</v>
      </c>
      <c r="AE715" s="81">
        <f t="shared" si="319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317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318"/>
        <v>0</v>
      </c>
      <c r="M716" s="81">
        <f t="shared" si="318"/>
        <v>0</v>
      </c>
      <c r="N716" s="81">
        <f t="shared" si="318"/>
        <v>0</v>
      </c>
      <c r="O716" s="81">
        <f t="shared" si="318"/>
        <v>0</v>
      </c>
      <c r="P716" s="81">
        <f t="shared" si="318"/>
        <v>0</v>
      </c>
      <c r="Q716" s="81">
        <f t="shared" si="318"/>
        <v>0</v>
      </c>
      <c r="R716" s="81">
        <f t="shared" si="318"/>
        <v>0</v>
      </c>
      <c r="S716" s="81">
        <f t="shared" si="318"/>
        <v>0</v>
      </c>
      <c r="T716" s="81">
        <f t="shared" si="318"/>
        <v>0</v>
      </c>
      <c r="U716" s="81">
        <f t="shared" si="318"/>
        <v>0</v>
      </c>
      <c r="V716" s="81">
        <f t="shared" si="319"/>
        <v>0</v>
      </c>
      <c r="W716" s="81">
        <f t="shared" si="319"/>
        <v>0</v>
      </c>
      <c r="X716" s="81">
        <f t="shared" si="319"/>
        <v>0</v>
      </c>
      <c r="Y716" s="81">
        <f t="shared" si="319"/>
        <v>0</v>
      </c>
      <c r="Z716" s="81">
        <f t="shared" si="319"/>
        <v>0</v>
      </c>
      <c r="AA716" s="81">
        <f t="shared" si="319"/>
        <v>0</v>
      </c>
      <c r="AB716" s="81">
        <f t="shared" si="319"/>
        <v>0</v>
      </c>
      <c r="AC716" s="81">
        <f t="shared" si="319"/>
        <v>0</v>
      </c>
      <c r="AD716" s="81">
        <f t="shared" si="319"/>
        <v>0</v>
      </c>
      <c r="AE716" s="81">
        <f t="shared" si="319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52"/>
      <c r="E717" s="70"/>
      <c r="F717" s="70"/>
      <c r="G717" s="70"/>
      <c r="H717" s="70"/>
      <c r="I717" s="70"/>
      <c r="J717" s="70"/>
      <c r="K717" s="72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</row>
    <row r="718" spans="1:35" x14ac:dyDescent="0.45">
      <c r="A718" s="70"/>
      <c r="B718" s="52"/>
      <c r="C718" s="73" t="s">
        <v>1479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320">L708</f>
        <v>2022</v>
      </c>
      <c r="M718" s="74">
        <f t="shared" si="320"/>
        <v>2023</v>
      </c>
      <c r="N718" s="74">
        <f t="shared" si="320"/>
        <v>2024</v>
      </c>
      <c r="O718" s="74">
        <f t="shared" si="320"/>
        <v>2025</v>
      </c>
      <c r="P718" s="74">
        <f t="shared" si="320"/>
        <v>2026</v>
      </c>
      <c r="Q718" s="74">
        <f t="shared" si="320"/>
        <v>2027</v>
      </c>
      <c r="R718" s="74">
        <f t="shared" si="320"/>
        <v>2028</v>
      </c>
      <c r="S718" s="74">
        <f t="shared" si="320"/>
        <v>2029</v>
      </c>
      <c r="T718" s="74">
        <f t="shared" si="320"/>
        <v>2030</v>
      </c>
      <c r="U718" s="74">
        <f t="shared" si="320"/>
        <v>2031</v>
      </c>
      <c r="V718" s="74">
        <f t="shared" si="320"/>
        <v>2032</v>
      </c>
      <c r="W718" s="74">
        <f t="shared" si="320"/>
        <v>2033</v>
      </c>
      <c r="X718" s="74">
        <f t="shared" si="320"/>
        <v>2034</v>
      </c>
      <c r="Y718" s="74">
        <f t="shared" si="320"/>
        <v>2035</v>
      </c>
      <c r="Z718" s="74">
        <f t="shared" si="320"/>
        <v>2036</v>
      </c>
      <c r="AA718" s="74">
        <f t="shared" si="320"/>
        <v>2037</v>
      </c>
      <c r="AB718" s="74">
        <f t="shared" si="320"/>
        <v>2038</v>
      </c>
      <c r="AC718" s="74">
        <f t="shared" si="320"/>
        <v>2039</v>
      </c>
      <c r="AD718" s="74">
        <f t="shared" si="320"/>
        <v>2040</v>
      </c>
      <c r="AE718" s="74">
        <f t="shared" si="320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 t="shared" ref="L719:AE719" si="321">(L709+L698)/L687</f>
        <v>0</v>
      </c>
      <c r="M719" s="78">
        <f t="shared" si="321"/>
        <v>0</v>
      </c>
      <c r="N719" s="78">
        <f t="shared" si="321"/>
        <v>0</v>
      </c>
      <c r="O719" s="78">
        <f t="shared" si="321"/>
        <v>0</v>
      </c>
      <c r="P719" s="78">
        <f t="shared" si="321"/>
        <v>0</v>
      </c>
      <c r="Q719" s="78">
        <f t="shared" si="321"/>
        <v>1.15005E-2</v>
      </c>
      <c r="R719" s="78">
        <f t="shared" si="321"/>
        <v>2.3001000000000001E-2</v>
      </c>
      <c r="S719" s="78">
        <f t="shared" si="321"/>
        <v>3.4501500000000004E-2</v>
      </c>
      <c r="T719" s="78">
        <f t="shared" si="321"/>
        <v>4.6002000000000001E-2</v>
      </c>
      <c r="U719" s="78">
        <f t="shared" si="321"/>
        <v>5.7502500000000005E-2</v>
      </c>
      <c r="V719" s="78">
        <f t="shared" si="321"/>
        <v>6.9003000000000009E-2</v>
      </c>
      <c r="W719" s="78">
        <f t="shared" si="321"/>
        <v>8.0503500000000006E-2</v>
      </c>
      <c r="X719" s="78">
        <f t="shared" si="321"/>
        <v>9.2004000000000002E-2</v>
      </c>
      <c r="Y719" s="78">
        <f t="shared" si="321"/>
        <v>0.10350450000000001</v>
      </c>
      <c r="Z719" s="78">
        <f t="shared" si="321"/>
        <v>0.11500500000000001</v>
      </c>
      <c r="AA719" s="78">
        <f t="shared" si="321"/>
        <v>0.12650549999999999</v>
      </c>
      <c r="AB719" s="78">
        <f t="shared" si="321"/>
        <v>0.13800600000000002</v>
      </c>
      <c r="AC719" s="78">
        <f t="shared" si="321"/>
        <v>0.14950649999999999</v>
      </c>
      <c r="AD719" s="78">
        <f t="shared" si="321"/>
        <v>0.16100700000000001</v>
      </c>
      <c r="AE719" s="78">
        <f t="shared" si="321"/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 t="shared" ref="L720:AE720" si="322">(L710+L699)/L688</f>
        <v>0</v>
      </c>
      <c r="M720" s="78">
        <f t="shared" si="322"/>
        <v>0</v>
      </c>
      <c r="N720" s="78">
        <f t="shared" si="322"/>
        <v>0</v>
      </c>
      <c r="O720" s="78">
        <f t="shared" si="322"/>
        <v>0</v>
      </c>
      <c r="P720" s="78">
        <f t="shared" si="322"/>
        <v>0</v>
      </c>
      <c r="Q720" s="78">
        <f t="shared" si="322"/>
        <v>2.5781250000000006E-3</v>
      </c>
      <c r="R720" s="78">
        <f t="shared" si="322"/>
        <v>5.1562500000000011E-3</v>
      </c>
      <c r="S720" s="78">
        <f t="shared" si="322"/>
        <v>7.7343750000000008E-3</v>
      </c>
      <c r="T720" s="78">
        <f t="shared" si="322"/>
        <v>1.0312500000000002E-2</v>
      </c>
      <c r="U720" s="78">
        <f t="shared" si="322"/>
        <v>1.2890624999999999E-2</v>
      </c>
      <c r="V720" s="78">
        <f t="shared" si="322"/>
        <v>1.5468750000000002E-2</v>
      </c>
      <c r="W720" s="78">
        <f t="shared" si="322"/>
        <v>1.8046875E-2</v>
      </c>
      <c r="X720" s="78">
        <f t="shared" si="322"/>
        <v>2.0625000000000004E-2</v>
      </c>
      <c r="Y720" s="78">
        <f t="shared" si="322"/>
        <v>2.3203125000000002E-2</v>
      </c>
      <c r="Z720" s="78">
        <f t="shared" si="322"/>
        <v>2.5781249999999999E-2</v>
      </c>
      <c r="AA720" s="78">
        <f t="shared" si="322"/>
        <v>2.8359375000000003E-2</v>
      </c>
      <c r="AB720" s="78">
        <f t="shared" si="322"/>
        <v>3.0937500000000003E-2</v>
      </c>
      <c r="AC720" s="78">
        <f t="shared" si="322"/>
        <v>3.3515625E-2</v>
      </c>
      <c r="AD720" s="78">
        <f t="shared" si="322"/>
        <v>3.6093750000000001E-2</v>
      </c>
      <c r="AE720" s="78">
        <f t="shared" si="322"/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 t="shared" ref="L721:AE721" si="323">(L711+L700)/L689</f>
        <v>0</v>
      </c>
      <c r="M721" s="78">
        <f t="shared" si="323"/>
        <v>0</v>
      </c>
      <c r="N721" s="78">
        <f t="shared" si="323"/>
        <v>0</v>
      </c>
      <c r="O721" s="78">
        <f t="shared" si="323"/>
        <v>0</v>
      </c>
      <c r="P721" s="78">
        <f t="shared" si="323"/>
        <v>0</v>
      </c>
      <c r="Q721" s="78">
        <f t="shared" si="323"/>
        <v>3.8750000000000007E-2</v>
      </c>
      <c r="R721" s="78">
        <f t="shared" si="323"/>
        <v>7.7500000000000013E-2</v>
      </c>
      <c r="S721" s="78">
        <f t="shared" si="323"/>
        <v>0.11625000000000001</v>
      </c>
      <c r="T721" s="78">
        <f t="shared" si="323"/>
        <v>0.15500000000000003</v>
      </c>
      <c r="U721" s="78">
        <f t="shared" si="323"/>
        <v>0.19375000000000003</v>
      </c>
      <c r="V721" s="78">
        <f t="shared" si="323"/>
        <v>0.23250000000000001</v>
      </c>
      <c r="W721" s="78">
        <f t="shared" si="323"/>
        <v>0.27124999999999999</v>
      </c>
      <c r="X721" s="78">
        <f t="shared" si="323"/>
        <v>0.31000000000000005</v>
      </c>
      <c r="Y721" s="78">
        <f t="shared" si="323"/>
        <v>0.34875000000000006</v>
      </c>
      <c r="Z721" s="78">
        <f t="shared" si="323"/>
        <v>0.38750000000000007</v>
      </c>
      <c r="AA721" s="78">
        <f t="shared" si="323"/>
        <v>0.42625000000000007</v>
      </c>
      <c r="AB721" s="78">
        <f t="shared" si="323"/>
        <v>0.46500000000000002</v>
      </c>
      <c r="AC721" s="78">
        <f t="shared" si="323"/>
        <v>0.50375000000000003</v>
      </c>
      <c r="AD721" s="78">
        <f t="shared" si="323"/>
        <v>0.54249999999999998</v>
      </c>
      <c r="AE721" s="78">
        <f t="shared" si="323"/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 t="shared" ref="L722:AE722" si="324">(L712+L701)/L690</f>
        <v>0</v>
      </c>
      <c r="M722" s="78">
        <f t="shared" si="324"/>
        <v>0</v>
      </c>
      <c r="N722" s="78">
        <f t="shared" si="324"/>
        <v>0</v>
      </c>
      <c r="O722" s="78">
        <f t="shared" si="324"/>
        <v>0</v>
      </c>
      <c r="P722" s="78">
        <f t="shared" si="324"/>
        <v>0</v>
      </c>
      <c r="Q722" s="78">
        <f t="shared" si="324"/>
        <v>3.2761363636363637E-2</v>
      </c>
      <c r="R722" s="78">
        <f t="shared" si="324"/>
        <v>6.5522727272727274E-2</v>
      </c>
      <c r="S722" s="78">
        <f t="shared" si="324"/>
        <v>9.8284090909090904E-2</v>
      </c>
      <c r="T722" s="78">
        <f t="shared" si="324"/>
        <v>0.13104545454545455</v>
      </c>
      <c r="U722" s="78">
        <f t="shared" si="324"/>
        <v>0.16380681818181819</v>
      </c>
      <c r="V722" s="78">
        <f t="shared" si="324"/>
        <v>0.19656818181818181</v>
      </c>
      <c r="W722" s="78">
        <f t="shared" si="324"/>
        <v>0.22932954545454545</v>
      </c>
      <c r="X722" s="78">
        <f t="shared" si="324"/>
        <v>0.2620909090909091</v>
      </c>
      <c r="Y722" s="78">
        <f t="shared" si="324"/>
        <v>0.29485227272727277</v>
      </c>
      <c r="Z722" s="78">
        <f t="shared" si="324"/>
        <v>0.32761363636363638</v>
      </c>
      <c r="AA722" s="78">
        <f t="shared" si="324"/>
        <v>0.360375</v>
      </c>
      <c r="AB722" s="78">
        <f t="shared" si="324"/>
        <v>0.39313636363636362</v>
      </c>
      <c r="AC722" s="78">
        <f t="shared" si="324"/>
        <v>0.42589772727272729</v>
      </c>
      <c r="AD722" s="78">
        <f t="shared" si="324"/>
        <v>0.45865909090909091</v>
      </c>
      <c r="AE722" s="78">
        <f t="shared" si="324"/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 t="shared" ref="L723:AE723" si="325">(L713+L702)/L691</f>
        <v>0</v>
      </c>
      <c r="M723" s="78">
        <f t="shared" si="325"/>
        <v>0</v>
      </c>
      <c r="N723" s="78">
        <f t="shared" si="325"/>
        <v>0</v>
      </c>
      <c r="O723" s="78">
        <f t="shared" si="325"/>
        <v>0</v>
      </c>
      <c r="P723" s="78">
        <f t="shared" si="325"/>
        <v>0</v>
      </c>
      <c r="Q723" s="78">
        <f t="shared" si="325"/>
        <v>5.1424999999999998E-2</v>
      </c>
      <c r="R723" s="78">
        <f t="shared" si="325"/>
        <v>0.10285</v>
      </c>
      <c r="S723" s="78">
        <f t="shared" si="325"/>
        <v>0.154275</v>
      </c>
      <c r="T723" s="78">
        <f t="shared" si="325"/>
        <v>0.20569999999999999</v>
      </c>
      <c r="U723" s="78">
        <f t="shared" si="325"/>
        <v>0.25712499999999999</v>
      </c>
      <c r="V723" s="78">
        <f t="shared" si="325"/>
        <v>0.30854999999999999</v>
      </c>
      <c r="W723" s="78">
        <f t="shared" si="325"/>
        <v>0.35997499999999993</v>
      </c>
      <c r="X723" s="78">
        <f t="shared" si="325"/>
        <v>0.41139999999999999</v>
      </c>
      <c r="Y723" s="78">
        <f t="shared" si="325"/>
        <v>0.46282499999999993</v>
      </c>
      <c r="Z723" s="78">
        <f t="shared" si="325"/>
        <v>0.51424999999999998</v>
      </c>
      <c r="AA723" s="78">
        <f t="shared" si="325"/>
        <v>0.56567499999999993</v>
      </c>
      <c r="AB723" s="78">
        <f t="shared" si="325"/>
        <v>0.61709999999999998</v>
      </c>
      <c r="AC723" s="78">
        <f t="shared" si="325"/>
        <v>0.66852500000000004</v>
      </c>
      <c r="AD723" s="78">
        <f t="shared" si="325"/>
        <v>0.71994999999999987</v>
      </c>
      <c r="AE723" s="78">
        <f t="shared" si="325"/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 t="shared" ref="L724:AE724" si="326">(L714+L703)/L692</f>
        <v>0</v>
      </c>
      <c r="M724" s="78">
        <f t="shared" si="326"/>
        <v>0</v>
      </c>
      <c r="N724" s="78">
        <f t="shared" si="326"/>
        <v>0</v>
      </c>
      <c r="O724" s="78">
        <f t="shared" si="326"/>
        <v>0</v>
      </c>
      <c r="P724" s="78">
        <f t="shared" si="326"/>
        <v>0</v>
      </c>
      <c r="Q724" s="78">
        <f t="shared" si="326"/>
        <v>3.6907894736842102E-3</v>
      </c>
      <c r="R724" s="78">
        <f t="shared" si="326"/>
        <v>7.3815789473684204E-3</v>
      </c>
      <c r="S724" s="78">
        <f t="shared" si="326"/>
        <v>1.1072368421052631E-2</v>
      </c>
      <c r="T724" s="78">
        <f t="shared" si="326"/>
        <v>1.4763157894736841E-2</v>
      </c>
      <c r="U724" s="78">
        <f t="shared" si="326"/>
        <v>1.8453947368421052E-2</v>
      </c>
      <c r="V724" s="78">
        <f t="shared" si="326"/>
        <v>2.2144736842105262E-2</v>
      </c>
      <c r="W724" s="78">
        <f t="shared" si="326"/>
        <v>2.5835526315789472E-2</v>
      </c>
      <c r="X724" s="78">
        <f t="shared" si="326"/>
        <v>2.9526315789473682E-2</v>
      </c>
      <c r="Y724" s="78">
        <f t="shared" si="326"/>
        <v>3.3217105263157888E-2</v>
      </c>
      <c r="Z724" s="78">
        <f t="shared" si="326"/>
        <v>3.6907894736842105E-2</v>
      </c>
      <c r="AA724" s="78">
        <f t="shared" si="326"/>
        <v>4.0598684210526315E-2</v>
      </c>
      <c r="AB724" s="78">
        <f t="shared" si="326"/>
        <v>4.4289473684210524E-2</v>
      </c>
      <c r="AC724" s="78">
        <f t="shared" si="326"/>
        <v>4.7980263157894734E-2</v>
      </c>
      <c r="AD724" s="78">
        <f t="shared" si="326"/>
        <v>5.1671052631578944E-2</v>
      </c>
      <c r="AE724" s="78">
        <f t="shared" si="326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 t="shared" ref="L725:AE725" si="327">(L715+L704)/L693</f>
        <v>0</v>
      </c>
      <c r="M725" s="78">
        <f t="shared" si="327"/>
        <v>0</v>
      </c>
      <c r="N725" s="78">
        <f t="shared" si="327"/>
        <v>0</v>
      </c>
      <c r="O725" s="78">
        <f t="shared" si="327"/>
        <v>0</v>
      </c>
      <c r="P725" s="78">
        <f t="shared" si="327"/>
        <v>0</v>
      </c>
      <c r="Q725" s="78">
        <f t="shared" si="327"/>
        <v>4.3828124999999996E-3</v>
      </c>
      <c r="R725" s="78">
        <f t="shared" si="327"/>
        <v>8.7656249999999991E-3</v>
      </c>
      <c r="S725" s="78">
        <f t="shared" si="327"/>
        <v>1.3148437499999999E-2</v>
      </c>
      <c r="T725" s="78">
        <f t="shared" si="327"/>
        <v>1.7531249999999998E-2</v>
      </c>
      <c r="U725" s="78">
        <f t="shared" si="327"/>
        <v>2.1914062499999998E-2</v>
      </c>
      <c r="V725" s="78">
        <f t="shared" si="327"/>
        <v>2.6296874999999997E-2</v>
      </c>
      <c r="W725" s="78">
        <f t="shared" si="327"/>
        <v>3.0679687499999997E-2</v>
      </c>
      <c r="X725" s="78">
        <f t="shared" si="327"/>
        <v>3.5062499999999996E-2</v>
      </c>
      <c r="Y725" s="78">
        <f t="shared" si="327"/>
        <v>3.9445312499999996E-2</v>
      </c>
      <c r="Z725" s="78">
        <f t="shared" si="327"/>
        <v>4.3828124999999996E-2</v>
      </c>
      <c r="AA725" s="78">
        <f t="shared" si="327"/>
        <v>4.8210937499999995E-2</v>
      </c>
      <c r="AB725" s="78">
        <f t="shared" si="327"/>
        <v>5.2593749999999995E-2</v>
      </c>
      <c r="AC725" s="78">
        <f t="shared" si="327"/>
        <v>5.6976562499999994E-2</v>
      </c>
      <c r="AD725" s="78">
        <f t="shared" si="327"/>
        <v>6.1359374999999994E-2</v>
      </c>
      <c r="AE725" s="78">
        <f t="shared" si="327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 t="shared" ref="L726:AE726" si="328">(L716+L705)/L694</f>
        <v>0</v>
      </c>
      <c r="M726" s="78">
        <f t="shared" si="328"/>
        <v>0</v>
      </c>
      <c r="N726" s="78">
        <f t="shared" si="328"/>
        <v>0</v>
      </c>
      <c r="O726" s="78">
        <f t="shared" si="328"/>
        <v>0</v>
      </c>
      <c r="P726" s="78">
        <f t="shared" si="328"/>
        <v>0</v>
      </c>
      <c r="Q726" s="78">
        <f t="shared" si="328"/>
        <v>8.1249999999999996E-4</v>
      </c>
      <c r="R726" s="78">
        <f t="shared" si="328"/>
        <v>1.6249999999999999E-3</v>
      </c>
      <c r="S726" s="78">
        <f t="shared" si="328"/>
        <v>2.4375E-3</v>
      </c>
      <c r="T726" s="78">
        <f t="shared" si="328"/>
        <v>3.2499999999999999E-3</v>
      </c>
      <c r="U726" s="78">
        <f t="shared" si="328"/>
        <v>4.0625000000000001E-3</v>
      </c>
      <c r="V726" s="78">
        <f t="shared" si="328"/>
        <v>4.875E-3</v>
      </c>
      <c r="W726" s="78">
        <f t="shared" si="328"/>
        <v>5.6874999999999998E-3</v>
      </c>
      <c r="X726" s="78">
        <f t="shared" si="328"/>
        <v>6.4999999999999997E-3</v>
      </c>
      <c r="Y726" s="78">
        <f t="shared" si="328"/>
        <v>7.3125000000000004E-3</v>
      </c>
      <c r="Z726" s="78">
        <f t="shared" si="328"/>
        <v>8.1250000000000003E-3</v>
      </c>
      <c r="AA726" s="78">
        <f t="shared" si="328"/>
        <v>8.9374999999999993E-3</v>
      </c>
      <c r="AB726" s="78">
        <f t="shared" si="328"/>
        <v>9.75E-3</v>
      </c>
      <c r="AC726" s="78">
        <f t="shared" si="328"/>
        <v>1.0562500000000001E-2</v>
      </c>
      <c r="AD726" s="78">
        <f t="shared" si="328"/>
        <v>1.1375E-2</v>
      </c>
      <c r="AE726" s="78">
        <f t="shared" si="328"/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52"/>
      <c r="E727" s="70"/>
      <c r="F727" s="70"/>
      <c r="G727" s="70"/>
      <c r="H727" s="70"/>
      <c r="I727" s="70"/>
      <c r="J727" s="70"/>
      <c r="K727" s="72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</row>
    <row r="728" spans="1:35" x14ac:dyDescent="0.45">
      <c r="A728" s="71"/>
      <c r="B728" s="52"/>
      <c r="C728" s="73" t="s">
        <v>1480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1903</v>
      </c>
      <c r="J728" s="72" t="s">
        <v>1904</v>
      </c>
      <c r="K728" s="72"/>
      <c r="L728" s="74">
        <f t="shared" ref="L728:AE728" si="329">L739</f>
        <v>2022</v>
      </c>
      <c r="M728" s="74">
        <f t="shared" si="329"/>
        <v>2023</v>
      </c>
      <c r="N728" s="74">
        <f t="shared" si="329"/>
        <v>2024</v>
      </c>
      <c r="O728" s="74">
        <f t="shared" si="329"/>
        <v>2025</v>
      </c>
      <c r="P728" s="74">
        <f t="shared" si="329"/>
        <v>2026</v>
      </c>
      <c r="Q728" s="74">
        <f t="shared" si="329"/>
        <v>2027</v>
      </c>
      <c r="R728" s="74">
        <f t="shared" si="329"/>
        <v>2028</v>
      </c>
      <c r="S728" s="74">
        <f t="shared" si="329"/>
        <v>2029</v>
      </c>
      <c r="T728" s="74">
        <f t="shared" si="329"/>
        <v>2030</v>
      </c>
      <c r="U728" s="74">
        <f t="shared" si="329"/>
        <v>2031</v>
      </c>
      <c r="V728" s="74">
        <f t="shared" si="329"/>
        <v>2032</v>
      </c>
      <c r="W728" s="74">
        <f t="shared" si="329"/>
        <v>2033</v>
      </c>
      <c r="X728" s="74">
        <f t="shared" si="329"/>
        <v>2034</v>
      </c>
      <c r="Y728" s="74">
        <f t="shared" si="329"/>
        <v>2035</v>
      </c>
      <c r="Z728" s="74">
        <f t="shared" si="329"/>
        <v>2036</v>
      </c>
      <c r="AA728" s="74">
        <f t="shared" si="329"/>
        <v>2037</v>
      </c>
      <c r="AB728" s="74">
        <f t="shared" si="329"/>
        <v>2038</v>
      </c>
      <c r="AC728" s="74">
        <f t="shared" si="329"/>
        <v>2039</v>
      </c>
      <c r="AD728" s="74">
        <f t="shared" si="329"/>
        <v>2040</v>
      </c>
      <c r="AE728" s="74">
        <f t="shared" si="329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330">H663+I663</f>
        <v>0.69003000000000003</v>
      </c>
      <c r="G729" s="72">
        <f t="shared" ref="G729:G736" si="331">MAX($J663,0)+MAX($K663,0)</f>
        <v>0.04</v>
      </c>
      <c r="H729" s="72">
        <f t="shared" ref="H729:H736" si="332">G729/F729</f>
        <v>5.7968494123443903E-2</v>
      </c>
      <c r="I729" s="100">
        <f t="shared" ref="I729:I736" si="333">IF($F729=0,0,$E698/$F729)</f>
        <v>1</v>
      </c>
      <c r="J729" s="100">
        <f t="shared" ref="J729:J736" si="334">IF($G729=0,0,$E709/$G729)</f>
        <v>1</v>
      </c>
      <c r="K729" s="72"/>
      <c r="L729" s="72">
        <f t="shared" ref="L729:AE729" si="335">L675*$F729/1000</f>
        <v>3.2287703131193024</v>
      </c>
      <c r="M729" s="72">
        <f t="shared" si="335"/>
        <v>3.3708362068965516</v>
      </c>
      <c r="N729" s="72">
        <f t="shared" si="335"/>
        <v>3.5191530000000002</v>
      </c>
      <c r="O729" s="72">
        <f t="shared" si="335"/>
        <v>3.6739957320000007</v>
      </c>
      <c r="P729" s="72">
        <f t="shared" si="335"/>
        <v>3.8356515442080008</v>
      </c>
      <c r="Q729" s="72">
        <f t="shared" si="335"/>
        <v>4.0044202121531534</v>
      </c>
      <c r="R729" s="72">
        <f t="shared" si="335"/>
        <v>4.1806147014878912</v>
      </c>
      <c r="S729" s="72">
        <f t="shared" si="335"/>
        <v>4.3645617483533599</v>
      </c>
      <c r="T729" s="72">
        <f t="shared" si="335"/>
        <v>4.556602465280907</v>
      </c>
      <c r="U729" s="72">
        <f t="shared" si="335"/>
        <v>4.7570929737532675</v>
      </c>
      <c r="V729" s="72">
        <f t="shared" si="335"/>
        <v>4.9664050645984119</v>
      </c>
      <c r="W729" s="72">
        <f t="shared" si="335"/>
        <v>5.1849268874407413</v>
      </c>
      <c r="X729" s="72">
        <f t="shared" si="335"/>
        <v>5.4130636704881345</v>
      </c>
      <c r="Y729" s="72">
        <f t="shared" si="335"/>
        <v>5.6512384719896129</v>
      </c>
      <c r="Z729" s="72">
        <f t="shared" si="335"/>
        <v>5.8998929647571554</v>
      </c>
      <c r="AA729" s="72">
        <f t="shared" si="335"/>
        <v>6.1594882552064707</v>
      </c>
      <c r="AB729" s="72">
        <f t="shared" si="335"/>
        <v>6.4305057384355555</v>
      </c>
      <c r="AC729" s="72">
        <f t="shared" si="335"/>
        <v>6.7134479909267206</v>
      </c>
      <c r="AD729" s="72">
        <f t="shared" si="335"/>
        <v>7.0088397025274967</v>
      </c>
      <c r="AE729" s="72">
        <f t="shared" si="335"/>
        <v>7.3172286494387055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330"/>
        <v>0.14025000000000001</v>
      </c>
      <c r="G730" s="72">
        <f t="shared" si="331"/>
        <v>1.4999999999999999E-2</v>
      </c>
      <c r="H730" s="72">
        <f t="shared" si="332"/>
        <v>0.10695187165775399</v>
      </c>
      <c r="I730" s="100">
        <f t="shared" si="333"/>
        <v>1</v>
      </c>
      <c r="J730" s="100">
        <f t="shared" si="334"/>
        <v>1</v>
      </c>
      <c r="K730" s="72"/>
      <c r="L730" s="72">
        <f t="shared" ref="L730:AE730" si="336">L676*$F730/1000</f>
        <v>0.61765094464262127</v>
      </c>
      <c r="M730" s="72">
        <f t="shared" si="336"/>
        <v>0.64482758620689662</v>
      </c>
      <c r="N730" s="72">
        <f t="shared" si="336"/>
        <v>0.67320000000000002</v>
      </c>
      <c r="O730" s="72">
        <f t="shared" si="336"/>
        <v>0.70282080000000002</v>
      </c>
      <c r="P730" s="72">
        <f t="shared" si="336"/>
        <v>0.73374491520000007</v>
      </c>
      <c r="Q730" s="72">
        <f t="shared" si="336"/>
        <v>0.76602969146880007</v>
      </c>
      <c r="R730" s="72">
        <f t="shared" si="336"/>
        <v>0.79973499789342728</v>
      </c>
      <c r="S730" s="72">
        <f t="shared" si="336"/>
        <v>0.83492333780073813</v>
      </c>
      <c r="T730" s="72">
        <f t="shared" si="336"/>
        <v>0.87165996466397067</v>
      </c>
      <c r="U730" s="72">
        <f t="shared" si="336"/>
        <v>0.91001300310918543</v>
      </c>
      <c r="V730" s="72">
        <f t="shared" si="336"/>
        <v>0.95005357524598955</v>
      </c>
      <c r="W730" s="72">
        <f t="shared" si="336"/>
        <v>0.99185593255681304</v>
      </c>
      <c r="X730" s="72">
        <f t="shared" si="336"/>
        <v>1.0354975935893131</v>
      </c>
      <c r="Y730" s="72">
        <f t="shared" si="336"/>
        <v>1.0810594877072426</v>
      </c>
      <c r="Z730" s="72">
        <f t="shared" si="336"/>
        <v>1.1286261051663613</v>
      </c>
      <c r="AA730" s="72">
        <f t="shared" si="336"/>
        <v>1.1782856537936812</v>
      </c>
      <c r="AB730" s="72">
        <f t="shared" si="336"/>
        <v>1.2301302225606032</v>
      </c>
      <c r="AC730" s="72">
        <f t="shared" si="336"/>
        <v>1.2842559523532697</v>
      </c>
      <c r="AD730" s="72">
        <f t="shared" si="336"/>
        <v>1.3407632142568136</v>
      </c>
      <c r="AE730" s="72">
        <f t="shared" si="336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330"/>
        <v>1.9220000000000002</v>
      </c>
      <c r="G731" s="72">
        <f t="shared" si="331"/>
        <v>0.25</v>
      </c>
      <c r="H731" s="72">
        <f t="shared" si="332"/>
        <v>0.13007284079084286</v>
      </c>
      <c r="I731" s="100">
        <f t="shared" si="333"/>
        <v>1</v>
      </c>
      <c r="J731" s="100">
        <f t="shared" si="334"/>
        <v>1</v>
      </c>
      <c r="K731" s="72"/>
      <c r="L731" s="72">
        <f t="shared" ref="L731:AE731" si="337">L677*$F731/1000</f>
        <v>0</v>
      </c>
      <c r="M731" s="72">
        <f t="shared" si="337"/>
        <v>0</v>
      </c>
      <c r="N731" s="72">
        <f t="shared" si="337"/>
        <v>0</v>
      </c>
      <c r="O731" s="72">
        <f t="shared" si="337"/>
        <v>0</v>
      </c>
      <c r="P731" s="72">
        <f t="shared" si="337"/>
        <v>0</v>
      </c>
      <c r="Q731" s="72">
        <f t="shared" si="337"/>
        <v>0</v>
      </c>
      <c r="R731" s="72">
        <f t="shared" si="337"/>
        <v>0</v>
      </c>
      <c r="S731" s="72">
        <f t="shared" si="337"/>
        <v>0</v>
      </c>
      <c r="T731" s="72">
        <f t="shared" si="337"/>
        <v>0</v>
      </c>
      <c r="U731" s="72">
        <f t="shared" si="337"/>
        <v>0</v>
      </c>
      <c r="V731" s="72">
        <f t="shared" si="337"/>
        <v>0</v>
      </c>
      <c r="W731" s="72">
        <f t="shared" si="337"/>
        <v>0</v>
      </c>
      <c r="X731" s="72">
        <f t="shared" si="337"/>
        <v>0</v>
      </c>
      <c r="Y731" s="72">
        <f t="shared" si="337"/>
        <v>0</v>
      </c>
      <c r="Z731" s="72">
        <f t="shared" si="337"/>
        <v>0</v>
      </c>
      <c r="AA731" s="72">
        <f t="shared" si="337"/>
        <v>0</v>
      </c>
      <c r="AB731" s="72">
        <f t="shared" si="337"/>
        <v>0</v>
      </c>
      <c r="AC731" s="72">
        <f t="shared" si="337"/>
        <v>0</v>
      </c>
      <c r="AD731" s="72">
        <f t="shared" si="337"/>
        <v>0</v>
      </c>
      <c r="AE731" s="72">
        <f t="shared" si="337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330"/>
        <v>0.2883</v>
      </c>
      <c r="G732" s="72">
        <f t="shared" si="331"/>
        <v>0.52600000000000002</v>
      </c>
      <c r="H732" s="72">
        <f t="shared" si="332"/>
        <v>1.8244883801595562</v>
      </c>
      <c r="I732" s="100">
        <f t="shared" si="333"/>
        <v>1</v>
      </c>
      <c r="J732" s="100">
        <f t="shared" si="334"/>
        <v>1</v>
      </c>
      <c r="K732" s="72"/>
      <c r="L732" s="72">
        <f t="shared" ref="L732:AE732" si="338">L678*$F732/1000</f>
        <v>13.508713893592759</v>
      </c>
      <c r="M732" s="72">
        <f t="shared" si="338"/>
        <v>13.954501452081319</v>
      </c>
      <c r="N732" s="72">
        <f t="shared" si="338"/>
        <v>14.414999999999999</v>
      </c>
      <c r="O732" s="72">
        <f t="shared" si="338"/>
        <v>14.890694999999997</v>
      </c>
      <c r="P732" s="72">
        <f t="shared" si="338"/>
        <v>15.382087934999998</v>
      </c>
      <c r="Q732" s="72">
        <f t="shared" si="338"/>
        <v>15.889696836854995</v>
      </c>
      <c r="R732" s="72">
        <f t="shared" si="338"/>
        <v>16.414056832471207</v>
      </c>
      <c r="S732" s="72">
        <f t="shared" si="338"/>
        <v>16.955720707942756</v>
      </c>
      <c r="T732" s="72">
        <f t="shared" si="338"/>
        <v>17.515259491304867</v>
      </c>
      <c r="U732" s="72">
        <f t="shared" si="338"/>
        <v>18.093263054517926</v>
      </c>
      <c r="V732" s="72">
        <f t="shared" si="338"/>
        <v>18.690340735317015</v>
      </c>
      <c r="W732" s="72">
        <f t="shared" si="338"/>
        <v>19.307121979582476</v>
      </c>
      <c r="X732" s="72">
        <f t="shared" si="338"/>
        <v>19.944257004908696</v>
      </c>
      <c r="Y732" s="72">
        <f t="shared" si="338"/>
        <v>20.602417486070681</v>
      </c>
      <c r="Z732" s="72">
        <f t="shared" si="338"/>
        <v>21.282297263111012</v>
      </c>
      <c r="AA732" s="72">
        <f t="shared" si="338"/>
        <v>21.984613072793675</v>
      </c>
      <c r="AB732" s="72">
        <f t="shared" si="338"/>
        <v>22.710105304195867</v>
      </c>
      <c r="AC732" s="72">
        <f t="shared" si="338"/>
        <v>23.459538779234329</v>
      </c>
      <c r="AD732" s="72">
        <f t="shared" si="338"/>
        <v>24.23370355894906</v>
      </c>
      <c r="AE732" s="72">
        <f t="shared" si="338"/>
        <v>25.033415776394378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330"/>
        <v>1.8512999999999999</v>
      </c>
      <c r="G733" s="72">
        <f t="shared" si="331"/>
        <v>0</v>
      </c>
      <c r="H733" s="72">
        <f t="shared" si="332"/>
        <v>0</v>
      </c>
      <c r="I733" s="100">
        <f t="shared" si="333"/>
        <v>1</v>
      </c>
      <c r="J733" s="100">
        <f t="shared" si="334"/>
        <v>0</v>
      </c>
      <c r="K733" s="72"/>
      <c r="L733" s="72">
        <f t="shared" ref="L733:AE733" si="339">L679*$F733/1000</f>
        <v>3.1638306570517116</v>
      </c>
      <c r="M733" s="72">
        <f t="shared" si="339"/>
        <v>3.2334349315068494</v>
      </c>
      <c r="N733" s="72">
        <f t="shared" si="339"/>
        <v>3.3045704999999996</v>
      </c>
      <c r="O733" s="72">
        <f t="shared" si="339"/>
        <v>3.3772710509999997</v>
      </c>
      <c r="P733" s="72">
        <f t="shared" si="339"/>
        <v>3.4515710141219995</v>
      </c>
      <c r="Q733" s="72">
        <f t="shared" si="339"/>
        <v>3.5275055764326835</v>
      </c>
      <c r="R733" s="72">
        <f t="shared" si="339"/>
        <v>3.6051106991142028</v>
      </c>
      <c r="S733" s="72">
        <f t="shared" si="339"/>
        <v>3.6844231344947151</v>
      </c>
      <c r="T733" s="72">
        <f t="shared" si="339"/>
        <v>3.7654804434535989</v>
      </c>
      <c r="U733" s="72">
        <f t="shared" si="339"/>
        <v>3.8483210132095782</v>
      </c>
      <c r="V733" s="72">
        <f t="shared" si="339"/>
        <v>3.932984075500189</v>
      </c>
      <c r="W733" s="72">
        <f t="shared" si="339"/>
        <v>4.0195097251611935</v>
      </c>
      <c r="X733" s="72">
        <f t="shared" si="339"/>
        <v>4.1079389391147396</v>
      </c>
      <c r="Y733" s="72">
        <f t="shared" si="339"/>
        <v>4.1983135957752644</v>
      </c>
      <c r="Z733" s="72">
        <f t="shared" si="339"/>
        <v>4.2906764948823204</v>
      </c>
      <c r="AA733" s="72">
        <f t="shared" si="339"/>
        <v>4.385071377769731</v>
      </c>
      <c r="AB733" s="72">
        <f t="shared" si="339"/>
        <v>4.4815429480806648</v>
      </c>
      <c r="AC733" s="72">
        <f t="shared" si="339"/>
        <v>4.5801368929384401</v>
      </c>
      <c r="AD733" s="72">
        <f t="shared" si="339"/>
        <v>4.680899904583085</v>
      </c>
      <c r="AE733" s="72">
        <f t="shared" si="339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330"/>
        <v>0.11219999999999999</v>
      </c>
      <c r="G734" s="72">
        <f t="shared" si="331"/>
        <v>0</v>
      </c>
      <c r="H734" s="72">
        <f t="shared" si="332"/>
        <v>0</v>
      </c>
      <c r="I734" s="100">
        <f t="shared" si="333"/>
        <v>1</v>
      </c>
      <c r="J734" s="100">
        <f t="shared" si="334"/>
        <v>0</v>
      </c>
      <c r="K734" s="72"/>
      <c r="L734" s="72">
        <f t="shared" ref="L734:AE734" si="340">L680*$F734/1000</f>
        <v>0.30078009811543305</v>
      </c>
      <c r="M734" s="72">
        <f t="shared" si="340"/>
        <v>0.30739726027397257</v>
      </c>
      <c r="N734" s="72">
        <f t="shared" si="340"/>
        <v>0.31415999999999999</v>
      </c>
      <c r="O734" s="72">
        <f t="shared" si="340"/>
        <v>0.32107151999999994</v>
      </c>
      <c r="P734" s="72">
        <f t="shared" si="340"/>
        <v>0.32813509343999991</v>
      </c>
      <c r="Q734" s="72">
        <f t="shared" si="340"/>
        <v>0.33535406549567992</v>
      </c>
      <c r="R734" s="72">
        <f t="shared" si="340"/>
        <v>0.34273185493658492</v>
      </c>
      <c r="S734" s="72">
        <f t="shared" si="340"/>
        <v>0.35027195574518982</v>
      </c>
      <c r="T734" s="72">
        <f t="shared" si="340"/>
        <v>0.35797793877158396</v>
      </c>
      <c r="U734" s="72">
        <f t="shared" si="340"/>
        <v>0.36585345342455883</v>
      </c>
      <c r="V734" s="72">
        <f t="shared" si="340"/>
        <v>0.37390222939989914</v>
      </c>
      <c r="W734" s="72">
        <f t="shared" si="340"/>
        <v>0.38212807844669699</v>
      </c>
      <c r="X734" s="72">
        <f t="shared" si="340"/>
        <v>0.39053489617252435</v>
      </c>
      <c r="Y734" s="72">
        <f t="shared" si="340"/>
        <v>0.39912666388831991</v>
      </c>
      <c r="Z734" s="72">
        <f t="shared" si="340"/>
        <v>0.40790745049386296</v>
      </c>
      <c r="AA734" s="72">
        <f t="shared" si="340"/>
        <v>0.41688141440472792</v>
      </c>
      <c r="AB734" s="72">
        <f t="shared" si="340"/>
        <v>0.42605280552163199</v>
      </c>
      <c r="AC734" s="72">
        <f t="shared" si="340"/>
        <v>0.43542596724310795</v>
      </c>
      <c r="AD734" s="72">
        <f t="shared" si="340"/>
        <v>0.44500533852245627</v>
      </c>
      <c r="AE734" s="72">
        <f t="shared" si="340"/>
        <v>0.45479545596995036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330"/>
        <v>0.11219999999999999</v>
      </c>
      <c r="G735" s="72">
        <f t="shared" si="331"/>
        <v>0.97</v>
      </c>
      <c r="H735" s="72">
        <f t="shared" si="332"/>
        <v>8.6452762923351152</v>
      </c>
      <c r="I735" s="100">
        <f t="shared" si="333"/>
        <v>1</v>
      </c>
      <c r="J735" s="100">
        <f t="shared" si="334"/>
        <v>1</v>
      </c>
      <c r="K735" s="72"/>
      <c r="L735" s="72">
        <f t="shared" ref="L735:AE735" si="341">L681*$F735/1000</f>
        <v>6.4452878167592806E-2</v>
      </c>
      <c r="M735" s="72">
        <f t="shared" si="341"/>
        <v>6.5870841487279841E-2</v>
      </c>
      <c r="N735" s="72">
        <f t="shared" si="341"/>
        <v>6.7319999999999991E-2</v>
      </c>
      <c r="O735" s="72">
        <f t="shared" si="341"/>
        <v>6.8801039999999994E-2</v>
      </c>
      <c r="P735" s="72">
        <f t="shared" si="341"/>
        <v>7.0314662880000003E-2</v>
      </c>
      <c r="Q735" s="72">
        <f t="shared" si="341"/>
        <v>7.1861585463359995E-2</v>
      </c>
      <c r="R735" s="72">
        <f t="shared" si="341"/>
        <v>7.3442540343553922E-2</v>
      </c>
      <c r="S735" s="72">
        <f t="shared" si="341"/>
        <v>7.5058276231112109E-2</v>
      </c>
      <c r="T735" s="72">
        <f t="shared" si="341"/>
        <v>7.6709558308196577E-2</v>
      </c>
      <c r="U735" s="72">
        <f t="shared" si="341"/>
        <v>7.8397168590976909E-2</v>
      </c>
      <c r="V735" s="72">
        <f t="shared" si="341"/>
        <v>8.012190629997841E-2</v>
      </c>
      <c r="W735" s="72">
        <f t="shared" si="341"/>
        <v>8.1884588238577916E-2</v>
      </c>
      <c r="X735" s="72">
        <f t="shared" si="341"/>
        <v>8.3686049179826624E-2</v>
      </c>
      <c r="Y735" s="72">
        <f t="shared" si="341"/>
        <v>8.5527142261782832E-2</v>
      </c>
      <c r="Z735" s="72">
        <f t="shared" si="341"/>
        <v>8.7408739391542062E-2</v>
      </c>
      <c r="AA735" s="72">
        <f t="shared" si="341"/>
        <v>8.9331731658155972E-2</v>
      </c>
      <c r="AB735" s="72">
        <f t="shared" si="341"/>
        <v>9.1297029754635398E-2</v>
      </c>
      <c r="AC735" s="72">
        <f t="shared" si="341"/>
        <v>9.3305564409237388E-2</v>
      </c>
      <c r="AD735" s="72">
        <f t="shared" si="341"/>
        <v>9.5358286826240618E-2</v>
      </c>
      <c r="AE735" s="72">
        <f t="shared" si="341"/>
        <v>9.7456169136417914E-2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330"/>
        <v>0.156</v>
      </c>
      <c r="G736" s="72">
        <f t="shared" si="331"/>
        <v>2.35</v>
      </c>
      <c r="H736" s="72">
        <f t="shared" si="332"/>
        <v>15.064102564102564</v>
      </c>
      <c r="I736" s="100">
        <f t="shared" si="333"/>
        <v>1</v>
      </c>
      <c r="J736" s="100">
        <f t="shared" si="334"/>
        <v>1</v>
      </c>
      <c r="K736" s="72"/>
      <c r="L736" s="72">
        <f t="shared" ref="L736:AE736" si="342">L682*$F736/1000</f>
        <v>4.2047573055412055E-2</v>
      </c>
      <c r="M736" s="72">
        <f t="shared" si="342"/>
        <v>4.4360189573459712E-2</v>
      </c>
      <c r="N736" s="72">
        <f t="shared" si="342"/>
        <v>4.6799999999999994E-2</v>
      </c>
      <c r="O736" s="72">
        <f t="shared" si="342"/>
        <v>4.9374000000000001E-2</v>
      </c>
      <c r="P736" s="72">
        <f t="shared" si="342"/>
        <v>5.2089569999999995E-2</v>
      </c>
      <c r="Q736" s="72">
        <f t="shared" si="342"/>
        <v>5.4954496349999993E-2</v>
      </c>
      <c r="R736" s="72">
        <f t="shared" si="342"/>
        <v>5.7976993649249998E-2</v>
      </c>
      <c r="S736" s="72">
        <f t="shared" si="342"/>
        <v>6.1165728299958741E-2</v>
      </c>
      <c r="T736" s="72">
        <f t="shared" si="342"/>
        <v>6.4529843356456465E-2</v>
      </c>
      <c r="U736" s="72">
        <f t="shared" si="342"/>
        <v>6.8078984741061568E-2</v>
      </c>
      <c r="V736" s="72">
        <f t="shared" si="342"/>
        <v>7.1823328901819944E-2</v>
      </c>
      <c r="W736" s="72">
        <f t="shared" si="342"/>
        <v>7.5773611991420048E-2</v>
      </c>
      <c r="X736" s="72">
        <f t="shared" si="342"/>
        <v>7.9941160650948154E-2</v>
      </c>
      <c r="Y736" s="72">
        <f t="shared" si="342"/>
        <v>8.4337924486750301E-2</v>
      </c>
      <c r="Z736" s="72">
        <f t="shared" si="342"/>
        <v>8.8976510333521566E-2</v>
      </c>
      <c r="AA736" s="72">
        <f t="shared" si="342"/>
        <v>9.3870218401865241E-2</v>
      </c>
      <c r="AB736" s="72">
        <f t="shared" si="342"/>
        <v>9.9033080413967828E-2</v>
      </c>
      <c r="AC736" s="72">
        <f t="shared" si="342"/>
        <v>0.10447989983673606</v>
      </c>
      <c r="AD736" s="72">
        <f t="shared" si="342"/>
        <v>0.11022629432775652</v>
      </c>
      <c r="AE736" s="72">
        <f t="shared" si="342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343">SUM(L729:L736)</f>
        <v>20.926246357744834</v>
      </c>
      <c r="M737" s="72">
        <f t="shared" si="343"/>
        <v>21.621228468026327</v>
      </c>
      <c r="N737" s="72">
        <f t="shared" si="343"/>
        <v>22.340203500000001</v>
      </c>
      <c r="O737" s="72">
        <f t="shared" si="343"/>
        <v>23.084029143000002</v>
      </c>
      <c r="P737" s="72">
        <f t="shared" si="343"/>
        <v>23.853594734849999</v>
      </c>
      <c r="Q737" s="72">
        <f t="shared" si="343"/>
        <v>24.649822464218669</v>
      </c>
      <c r="R737" s="72">
        <f t="shared" si="343"/>
        <v>25.473668619896113</v>
      </c>
      <c r="S737" s="72">
        <f t="shared" si="343"/>
        <v>26.326124888867827</v>
      </c>
      <c r="T737" s="72">
        <f t="shared" si="343"/>
        <v>27.20821970513958</v>
      </c>
      <c r="U737" s="72">
        <f t="shared" si="343"/>
        <v>28.121019651346554</v>
      </c>
      <c r="V737" s="72">
        <f t="shared" si="343"/>
        <v>29.065630915263306</v>
      </c>
      <c r="W737" s="72">
        <f t="shared" si="343"/>
        <v>30.043200803417918</v>
      </c>
      <c r="X737" s="72">
        <f t="shared" si="343"/>
        <v>31.054919314104183</v>
      </c>
      <c r="Y737" s="72">
        <f t="shared" si="343"/>
        <v>32.102020772179657</v>
      </c>
      <c r="Z737" s="72">
        <f t="shared" si="343"/>
        <v>33.185785528135781</v>
      </c>
      <c r="AA737" s="72">
        <f t="shared" si="343"/>
        <v>34.307541724028312</v>
      </c>
      <c r="AB737" s="72">
        <f t="shared" si="343"/>
        <v>35.468667128962927</v>
      </c>
      <c r="AC737" s="72">
        <f t="shared" si="343"/>
        <v>36.67059104694183</v>
      </c>
      <c r="AD737" s="72">
        <f t="shared" si="343"/>
        <v>37.914796299992908</v>
      </c>
      <c r="AE737" s="72">
        <f t="shared" si="343"/>
        <v>39.202821289623259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1486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44">L673</f>
        <v>2022</v>
      </c>
      <c r="M739" s="74">
        <f t="shared" si="344"/>
        <v>2023</v>
      </c>
      <c r="N739" s="74">
        <f t="shared" si="344"/>
        <v>2024</v>
      </c>
      <c r="O739" s="74">
        <f t="shared" si="344"/>
        <v>2025</v>
      </c>
      <c r="P739" s="74">
        <f t="shared" si="344"/>
        <v>2026</v>
      </c>
      <c r="Q739" s="74">
        <f t="shared" si="344"/>
        <v>2027</v>
      </c>
      <c r="R739" s="74">
        <f t="shared" si="344"/>
        <v>2028</v>
      </c>
      <c r="S739" s="74">
        <f t="shared" si="344"/>
        <v>2029</v>
      </c>
      <c r="T739" s="74">
        <f t="shared" si="344"/>
        <v>2030</v>
      </c>
      <c r="U739" s="74">
        <f t="shared" si="344"/>
        <v>2031</v>
      </c>
      <c r="V739" s="74">
        <f t="shared" si="344"/>
        <v>2032</v>
      </c>
      <c r="W739" s="74">
        <f t="shared" si="344"/>
        <v>2033</v>
      </c>
      <c r="X739" s="74">
        <f t="shared" si="344"/>
        <v>2034</v>
      </c>
      <c r="Y739" s="74">
        <f t="shared" si="344"/>
        <v>2035</v>
      </c>
      <c r="Z739" s="74">
        <f t="shared" si="344"/>
        <v>2036</v>
      </c>
      <c r="AA739" s="74">
        <f t="shared" si="344"/>
        <v>2037</v>
      </c>
      <c r="AB739" s="74">
        <f t="shared" si="344"/>
        <v>2038</v>
      </c>
      <c r="AC739" s="74">
        <f t="shared" si="344"/>
        <v>2039</v>
      </c>
      <c r="AD739" s="74">
        <f t="shared" si="344"/>
        <v>2040</v>
      </c>
      <c r="AE739" s="74">
        <f t="shared" si="344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345">L675*G729/1000</f>
        <v>0.18716695292200644</v>
      </c>
      <c r="M740" s="72">
        <f t="shared" ref="M740:M747" si="346">M675*G729/1000</f>
        <v>0.1954022988505747</v>
      </c>
      <c r="N740" s="72">
        <f t="shared" ref="N740:N747" si="347">N675*G729/1000</f>
        <v>0.20399999999999999</v>
      </c>
      <c r="O740" s="72">
        <f t="shared" ref="O740:O747" si="348">O675*G729/1000</f>
        <v>0.21297600000000003</v>
      </c>
      <c r="P740" s="72">
        <f t="shared" ref="P740:P747" si="349">P675*G729/1000</f>
        <v>0.22234694400000005</v>
      </c>
      <c r="Q740" s="72">
        <f t="shared" ref="Q740:Q747" si="350">Q675*G729/1000</f>
        <v>0.23213020953600005</v>
      </c>
      <c r="R740" s="72">
        <f t="shared" ref="R740:R747" si="351">R675*G729/1000</f>
        <v>0.24234393875558408</v>
      </c>
      <c r="S740" s="72">
        <f t="shared" ref="S740:S747" si="352">S675*G729/1000</f>
        <v>0.25300707206082979</v>
      </c>
      <c r="T740" s="72">
        <f t="shared" ref="T740:T747" si="353">T675*G729/1000</f>
        <v>0.26413938323150632</v>
      </c>
      <c r="U740" s="72">
        <f t="shared" ref="U740:U747" si="354">U675*G729/1000</f>
        <v>0.27576151609369259</v>
      </c>
      <c r="V740" s="72">
        <f t="shared" ref="V740:V747" si="355">V675*G729/1000</f>
        <v>0.28789502280181506</v>
      </c>
      <c r="W740" s="72">
        <f t="shared" ref="W740:W747" si="356">W675*G729/1000</f>
        <v>0.30056240380509497</v>
      </c>
      <c r="X740" s="72">
        <f t="shared" ref="X740:X747" si="357">X675*G729/1000</f>
        <v>0.31378714957251913</v>
      </c>
      <c r="Y740" s="72">
        <f t="shared" ref="Y740:Y747" si="358">Y675*G729/1000</f>
        <v>0.32759378415370999</v>
      </c>
      <c r="Z740" s="72">
        <f t="shared" ref="Z740:Z747" si="359">Z675*G729/1000</f>
        <v>0.34200791065647324</v>
      </c>
      <c r="AA740" s="72">
        <f t="shared" ref="AA740:AA747" si="360">AA675*G729/1000</f>
        <v>0.35705625872535807</v>
      </c>
      <c r="AB740" s="72">
        <f t="shared" ref="AB740:AB747" si="361">AB675*G729/1000</f>
        <v>0.37276673410927386</v>
      </c>
      <c r="AC740" s="72">
        <f t="shared" ref="AC740:AC747" si="362">AC675*G729/1000</f>
        <v>0.38916847041008185</v>
      </c>
      <c r="AD740" s="72">
        <f t="shared" ref="AD740:AD747" si="363">AD675*G729/1000</f>
        <v>0.40629188310812547</v>
      </c>
      <c r="AE740" s="72">
        <f t="shared" ref="AE740:AE747" si="364">AE675*G729/1000</f>
        <v>0.42416872596488298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345"/>
        <v>6.6058924560708152E-2</v>
      </c>
      <c r="M741" s="72">
        <f t="shared" si="346"/>
        <v>6.8965517241379309E-2</v>
      </c>
      <c r="N741" s="72">
        <f t="shared" si="347"/>
        <v>7.1999999999999995E-2</v>
      </c>
      <c r="O741" s="72">
        <f t="shared" si="348"/>
        <v>7.5167999999999999E-2</v>
      </c>
      <c r="P741" s="72">
        <f t="shared" si="349"/>
        <v>7.8475392000000005E-2</v>
      </c>
      <c r="Q741" s="72">
        <f t="shared" si="350"/>
        <v>8.1928309247999986E-2</v>
      </c>
      <c r="R741" s="72">
        <f t="shared" si="351"/>
        <v>8.5533154854912002E-2</v>
      </c>
      <c r="S741" s="72">
        <f t="shared" si="352"/>
        <v>8.9296613668528119E-2</v>
      </c>
      <c r="T741" s="72">
        <f t="shared" si="353"/>
        <v>9.3225664669943364E-2</v>
      </c>
      <c r="U741" s="72">
        <f t="shared" si="354"/>
        <v>9.7327593915420896E-2</v>
      </c>
      <c r="V741" s="72">
        <f t="shared" si="355"/>
        <v>0.10161000804769942</v>
      </c>
      <c r="W741" s="72">
        <f t="shared" si="356"/>
        <v>0.10608084840179818</v>
      </c>
      <c r="X741" s="72">
        <f t="shared" si="357"/>
        <v>0.1107484057314773</v>
      </c>
      <c r="Y741" s="72">
        <f t="shared" si="358"/>
        <v>0.1156213355836623</v>
      </c>
      <c r="Z741" s="72">
        <f t="shared" si="359"/>
        <v>0.12070867434934346</v>
      </c>
      <c r="AA741" s="72">
        <f t="shared" si="360"/>
        <v>0.12601985602071455</v>
      </c>
      <c r="AB741" s="72">
        <f t="shared" si="361"/>
        <v>0.13156472968562599</v>
      </c>
      <c r="AC741" s="72">
        <f t="shared" si="362"/>
        <v>0.13735357779179352</v>
      </c>
      <c r="AD741" s="72">
        <f t="shared" si="363"/>
        <v>0.14339713521463243</v>
      </c>
      <c r="AE741" s="72">
        <f t="shared" si="364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345"/>
        <v>0</v>
      </c>
      <c r="M742" s="72">
        <f t="shared" si="346"/>
        <v>0</v>
      </c>
      <c r="N742" s="72">
        <f t="shared" si="347"/>
        <v>0</v>
      </c>
      <c r="O742" s="72">
        <f t="shared" si="348"/>
        <v>0</v>
      </c>
      <c r="P742" s="72">
        <f t="shared" si="349"/>
        <v>0</v>
      </c>
      <c r="Q742" s="72">
        <f t="shared" si="350"/>
        <v>0</v>
      </c>
      <c r="R742" s="72">
        <f t="shared" si="351"/>
        <v>0</v>
      </c>
      <c r="S742" s="72">
        <f t="shared" si="352"/>
        <v>0</v>
      </c>
      <c r="T742" s="72">
        <f t="shared" si="353"/>
        <v>0</v>
      </c>
      <c r="U742" s="72">
        <f t="shared" si="354"/>
        <v>0</v>
      </c>
      <c r="V742" s="72">
        <f t="shared" si="355"/>
        <v>0</v>
      </c>
      <c r="W742" s="72">
        <f t="shared" si="356"/>
        <v>0</v>
      </c>
      <c r="X742" s="72">
        <f t="shared" si="357"/>
        <v>0</v>
      </c>
      <c r="Y742" s="72">
        <f t="shared" si="358"/>
        <v>0</v>
      </c>
      <c r="Z742" s="72">
        <f t="shared" si="359"/>
        <v>0</v>
      </c>
      <c r="AA742" s="72">
        <f t="shared" si="360"/>
        <v>0</v>
      </c>
      <c r="AB742" s="72">
        <f t="shared" si="361"/>
        <v>0</v>
      </c>
      <c r="AC742" s="72">
        <f t="shared" si="362"/>
        <v>0</v>
      </c>
      <c r="AD742" s="72">
        <f t="shared" si="363"/>
        <v>0</v>
      </c>
      <c r="AE742" s="72">
        <f t="shared" si="364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345"/>
        <v>24.646491529759945</v>
      </c>
      <c r="M743" s="72">
        <f t="shared" si="346"/>
        <v>25.459825750242022</v>
      </c>
      <c r="N743" s="72">
        <f t="shared" si="347"/>
        <v>26.3</v>
      </c>
      <c r="O743" s="72">
        <f t="shared" si="348"/>
        <v>27.167899999999999</v>
      </c>
      <c r="P743" s="72">
        <f t="shared" si="349"/>
        <v>28.064440699999995</v>
      </c>
      <c r="Q743" s="72">
        <f t="shared" si="350"/>
        <v>28.990567243099992</v>
      </c>
      <c r="R743" s="72">
        <f t="shared" si="351"/>
        <v>29.947255962122291</v>
      </c>
      <c r="S743" s="72">
        <f t="shared" si="352"/>
        <v>30.935515408872323</v>
      </c>
      <c r="T743" s="72">
        <f t="shared" si="353"/>
        <v>31.956387417365111</v>
      </c>
      <c r="U743" s="72">
        <f t="shared" si="354"/>
        <v>33.010948202138152</v>
      </c>
      <c r="V743" s="72">
        <f t="shared" si="355"/>
        <v>34.100309492808705</v>
      </c>
      <c r="W743" s="72">
        <f t="shared" si="356"/>
        <v>35.225619706071399</v>
      </c>
      <c r="X743" s="72">
        <f t="shared" si="357"/>
        <v>36.388065156371745</v>
      </c>
      <c r="Y743" s="72">
        <f t="shared" si="358"/>
        <v>37.588871306532013</v>
      </c>
      <c r="Z743" s="72">
        <f t="shared" si="359"/>
        <v>38.829304059647569</v>
      </c>
      <c r="AA743" s="72">
        <f t="shared" si="360"/>
        <v>40.110671093615935</v>
      </c>
      <c r="AB743" s="72">
        <f t="shared" si="361"/>
        <v>41.434323239705257</v>
      </c>
      <c r="AC743" s="72">
        <f t="shared" si="362"/>
        <v>42.801655906615522</v>
      </c>
      <c r="AD743" s="72">
        <f t="shared" si="363"/>
        <v>44.214110551533835</v>
      </c>
      <c r="AE743" s="72">
        <f t="shared" si="364"/>
        <v>45.673176199734449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345"/>
        <v>0</v>
      </c>
      <c r="M744" s="72">
        <f t="shared" si="346"/>
        <v>0</v>
      </c>
      <c r="N744" s="72">
        <f t="shared" si="347"/>
        <v>0</v>
      </c>
      <c r="O744" s="72">
        <f t="shared" si="348"/>
        <v>0</v>
      </c>
      <c r="P744" s="72">
        <f t="shared" si="349"/>
        <v>0</v>
      </c>
      <c r="Q744" s="72">
        <f t="shared" si="350"/>
        <v>0</v>
      </c>
      <c r="R744" s="72">
        <f t="shared" si="351"/>
        <v>0</v>
      </c>
      <c r="S744" s="72">
        <f t="shared" si="352"/>
        <v>0</v>
      </c>
      <c r="T744" s="72">
        <f t="shared" si="353"/>
        <v>0</v>
      </c>
      <c r="U744" s="72">
        <f t="shared" si="354"/>
        <v>0</v>
      </c>
      <c r="V744" s="72">
        <f t="shared" si="355"/>
        <v>0</v>
      </c>
      <c r="W744" s="72">
        <f t="shared" si="356"/>
        <v>0</v>
      </c>
      <c r="X744" s="72">
        <f t="shared" si="357"/>
        <v>0</v>
      </c>
      <c r="Y744" s="72">
        <f t="shared" si="358"/>
        <v>0</v>
      </c>
      <c r="Z744" s="72">
        <f t="shared" si="359"/>
        <v>0</v>
      </c>
      <c r="AA744" s="72">
        <f t="shared" si="360"/>
        <v>0</v>
      </c>
      <c r="AB744" s="72">
        <f t="shared" si="361"/>
        <v>0</v>
      </c>
      <c r="AC744" s="72">
        <f t="shared" si="362"/>
        <v>0</v>
      </c>
      <c r="AD744" s="72">
        <f t="shared" si="363"/>
        <v>0</v>
      </c>
      <c r="AE744" s="72">
        <f t="shared" si="364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345"/>
        <v>0</v>
      </c>
      <c r="M745" s="72">
        <f t="shared" si="346"/>
        <v>0</v>
      </c>
      <c r="N745" s="72">
        <f t="shared" si="347"/>
        <v>0</v>
      </c>
      <c r="O745" s="72">
        <f t="shared" si="348"/>
        <v>0</v>
      </c>
      <c r="P745" s="72">
        <f t="shared" si="349"/>
        <v>0</v>
      </c>
      <c r="Q745" s="72">
        <f t="shared" si="350"/>
        <v>0</v>
      </c>
      <c r="R745" s="72">
        <f t="shared" si="351"/>
        <v>0</v>
      </c>
      <c r="S745" s="72">
        <f t="shared" si="352"/>
        <v>0</v>
      </c>
      <c r="T745" s="72">
        <f t="shared" si="353"/>
        <v>0</v>
      </c>
      <c r="U745" s="72">
        <f t="shared" si="354"/>
        <v>0</v>
      </c>
      <c r="V745" s="72">
        <f t="shared" si="355"/>
        <v>0</v>
      </c>
      <c r="W745" s="72">
        <f t="shared" si="356"/>
        <v>0</v>
      </c>
      <c r="X745" s="72">
        <f t="shared" si="357"/>
        <v>0</v>
      </c>
      <c r="Y745" s="72">
        <f t="shared" si="358"/>
        <v>0</v>
      </c>
      <c r="Z745" s="72">
        <f t="shared" si="359"/>
        <v>0</v>
      </c>
      <c r="AA745" s="72">
        <f t="shared" si="360"/>
        <v>0</v>
      </c>
      <c r="AB745" s="72">
        <f t="shared" si="361"/>
        <v>0</v>
      </c>
      <c r="AC745" s="72">
        <f t="shared" si="362"/>
        <v>0</v>
      </c>
      <c r="AD745" s="72">
        <f t="shared" si="363"/>
        <v>0</v>
      </c>
      <c r="AE745" s="72">
        <f t="shared" si="364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345"/>
        <v>0.55721293959505358</v>
      </c>
      <c r="M746" s="72">
        <f t="shared" si="346"/>
        <v>0.56947162426614473</v>
      </c>
      <c r="N746" s="72">
        <f t="shared" si="347"/>
        <v>0.58199999999999996</v>
      </c>
      <c r="O746" s="72">
        <f t="shared" si="348"/>
        <v>0.594804</v>
      </c>
      <c r="P746" s="72">
        <f t="shared" si="349"/>
        <v>0.60788968800000009</v>
      </c>
      <c r="Q746" s="72">
        <f t="shared" si="350"/>
        <v>0.62126326113599994</v>
      </c>
      <c r="R746" s="72">
        <f t="shared" si="351"/>
        <v>0.63493105288099194</v>
      </c>
      <c r="S746" s="72">
        <f t="shared" si="352"/>
        <v>0.64889953604437378</v>
      </c>
      <c r="T746" s="72">
        <f t="shared" si="353"/>
        <v>0.66317532583735006</v>
      </c>
      <c r="U746" s="72">
        <f t="shared" si="354"/>
        <v>0.67776518300577182</v>
      </c>
      <c r="V746" s="72">
        <f t="shared" si="355"/>
        <v>0.69267601703189885</v>
      </c>
      <c r="W746" s="72">
        <f t="shared" si="356"/>
        <v>0.70791488940660052</v>
      </c>
      <c r="X746" s="72">
        <f t="shared" si="357"/>
        <v>0.72348901697354573</v>
      </c>
      <c r="Y746" s="72">
        <f t="shared" si="358"/>
        <v>0.73940577534696372</v>
      </c>
      <c r="Z746" s="72">
        <f t="shared" si="359"/>
        <v>0.75567270240459705</v>
      </c>
      <c r="AA746" s="72">
        <f t="shared" si="360"/>
        <v>0.77229750185749824</v>
      </c>
      <c r="AB746" s="72">
        <f t="shared" si="361"/>
        <v>0.78928804689836318</v>
      </c>
      <c r="AC746" s="72">
        <f t="shared" si="362"/>
        <v>0.80665238393012717</v>
      </c>
      <c r="AD746" s="72">
        <f t="shared" si="363"/>
        <v>0.82439873637659</v>
      </c>
      <c r="AE746" s="72">
        <f t="shared" si="364"/>
        <v>0.84253550857687498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345"/>
        <v>0.63340895307832257</v>
      </c>
      <c r="M747" s="72">
        <f t="shared" si="346"/>
        <v>0.66824644549763035</v>
      </c>
      <c r="N747" s="72">
        <f t="shared" si="347"/>
        <v>0.70499999999999996</v>
      </c>
      <c r="O747" s="72">
        <f t="shared" si="348"/>
        <v>0.74377499999999996</v>
      </c>
      <c r="P747" s="72">
        <f t="shared" si="349"/>
        <v>0.78468262499999997</v>
      </c>
      <c r="Q747" s="72">
        <f t="shared" si="350"/>
        <v>0.82784016937499993</v>
      </c>
      <c r="R747" s="72">
        <f t="shared" si="351"/>
        <v>0.87337137869062498</v>
      </c>
      <c r="S747" s="72">
        <f t="shared" si="352"/>
        <v>0.92140680451860935</v>
      </c>
      <c r="T747" s="72">
        <f t="shared" si="353"/>
        <v>0.97208417876713282</v>
      </c>
      <c r="U747" s="72">
        <f t="shared" si="354"/>
        <v>1.025548808599325</v>
      </c>
      <c r="V747" s="72">
        <f t="shared" si="355"/>
        <v>1.0819539930722879</v>
      </c>
      <c r="W747" s="72">
        <f t="shared" si="356"/>
        <v>1.1414614626912638</v>
      </c>
      <c r="X747" s="72">
        <f t="shared" si="357"/>
        <v>1.2042418431392832</v>
      </c>
      <c r="Y747" s="72">
        <f t="shared" si="358"/>
        <v>1.2704751445119435</v>
      </c>
      <c r="Z747" s="72">
        <f t="shared" si="359"/>
        <v>1.3403512774601003</v>
      </c>
      <c r="AA747" s="72">
        <f t="shared" si="360"/>
        <v>1.4140705977204062</v>
      </c>
      <c r="AB747" s="72">
        <f t="shared" si="361"/>
        <v>1.4918444805950282</v>
      </c>
      <c r="AC747" s="72">
        <f t="shared" si="362"/>
        <v>1.5738959270277546</v>
      </c>
      <c r="AD747" s="72">
        <f t="shared" si="363"/>
        <v>1.660460203014281</v>
      </c>
      <c r="AE747" s="72">
        <f t="shared" si="364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365">SUM(L740:L747)</f>
        <v>26.090339299916039</v>
      </c>
      <c r="M748" s="72">
        <f t="shared" si="365"/>
        <v>26.961911636097753</v>
      </c>
      <c r="N748" s="72">
        <f t="shared" si="365"/>
        <v>27.863</v>
      </c>
      <c r="O748" s="72">
        <f t="shared" si="365"/>
        <v>28.794622999999998</v>
      </c>
      <c r="P748" s="72">
        <f t="shared" si="365"/>
        <v>29.757835348999993</v>
      </c>
      <c r="Q748" s="72">
        <f t="shared" si="365"/>
        <v>30.753729192394996</v>
      </c>
      <c r="R748" s="72">
        <f t="shared" si="365"/>
        <v>31.783435487304406</v>
      </c>
      <c r="S748" s="72">
        <f t="shared" si="365"/>
        <v>32.848125435164668</v>
      </c>
      <c r="T748" s="72">
        <f t="shared" si="365"/>
        <v>33.949011969871044</v>
      </c>
      <c r="U748" s="72">
        <f t="shared" si="365"/>
        <v>35.087351303752364</v>
      </c>
      <c r="V748" s="72">
        <f t="shared" si="365"/>
        <v>36.264444533762408</v>
      </c>
      <c r="W748" s="72">
        <f t="shared" si="365"/>
        <v>37.481639310376153</v>
      </c>
      <c r="X748" s="72">
        <f t="shared" si="365"/>
        <v>38.740331571788573</v>
      </c>
      <c r="Y748" s="72">
        <f t="shared" si="365"/>
        <v>40.041967346128295</v>
      </c>
      <c r="Z748" s="72">
        <f t="shared" si="365"/>
        <v>41.388044624518081</v>
      </c>
      <c r="AA748" s="72">
        <f t="shared" si="365"/>
        <v>42.780115307939909</v>
      </c>
      <c r="AB748" s="72">
        <f t="shared" si="365"/>
        <v>44.219787230993546</v>
      </c>
      <c r="AC748" s="72">
        <f t="shared" si="365"/>
        <v>45.708726265775283</v>
      </c>
      <c r="AD748" s="72">
        <f t="shared" si="365"/>
        <v>47.248658509247463</v>
      </c>
      <c r="AE748" s="72">
        <f t="shared" si="365"/>
        <v>48.841372557620346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366">L697</f>
        <v>2022</v>
      </c>
      <c r="M750" s="74">
        <f t="shared" si="366"/>
        <v>2023</v>
      </c>
      <c r="N750" s="74">
        <f t="shared" si="366"/>
        <v>2024</v>
      </c>
      <c r="O750" s="74">
        <f t="shared" si="366"/>
        <v>2025</v>
      </c>
      <c r="P750" s="74">
        <f t="shared" si="366"/>
        <v>2026</v>
      </c>
      <c r="Q750" s="74">
        <f t="shared" si="366"/>
        <v>2027</v>
      </c>
      <c r="R750" s="74">
        <f t="shared" si="366"/>
        <v>2028</v>
      </c>
      <c r="S750" s="74">
        <f t="shared" si="366"/>
        <v>2029</v>
      </c>
      <c r="T750" s="74">
        <f t="shared" si="366"/>
        <v>2030</v>
      </c>
      <c r="U750" s="74">
        <f t="shared" si="366"/>
        <v>2031</v>
      </c>
      <c r="V750" s="74">
        <f t="shared" si="366"/>
        <v>2032</v>
      </c>
      <c r="W750" s="74">
        <f t="shared" si="366"/>
        <v>2033</v>
      </c>
      <c r="X750" s="74">
        <f t="shared" si="366"/>
        <v>2034</v>
      </c>
      <c r="Y750" s="74">
        <f t="shared" si="366"/>
        <v>2035</v>
      </c>
      <c r="Z750" s="74">
        <f t="shared" si="366"/>
        <v>2036</v>
      </c>
      <c r="AA750" s="74">
        <f t="shared" si="366"/>
        <v>2037</v>
      </c>
      <c r="AB750" s="74">
        <f t="shared" si="366"/>
        <v>2038</v>
      </c>
      <c r="AC750" s="74">
        <f t="shared" si="366"/>
        <v>2039</v>
      </c>
      <c r="AD750" s="74">
        <f t="shared" si="366"/>
        <v>2040</v>
      </c>
      <c r="AE750" s="74">
        <f t="shared" si="366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67">L729*(EXP(-($E751)*(L648))-1)</f>
        <v>0</v>
      </c>
      <c r="M751" s="72">
        <f t="shared" si="367"/>
        <v>0</v>
      </c>
      <c r="N751" s="72">
        <f t="shared" si="367"/>
        <v>0</v>
      </c>
      <c r="O751" s="72">
        <f t="shared" si="367"/>
        <v>0</v>
      </c>
      <c r="P751" s="72">
        <f t="shared" si="367"/>
        <v>0</v>
      </c>
      <c r="Q751" s="72">
        <f t="shared" si="367"/>
        <v>0</v>
      </c>
      <c r="R751" s="72">
        <f t="shared" si="367"/>
        <v>0</v>
      </c>
      <c r="S751" s="72">
        <f t="shared" si="367"/>
        <v>0</v>
      </c>
      <c r="T751" s="72">
        <f t="shared" si="367"/>
        <v>0</v>
      </c>
      <c r="U751" s="72">
        <f t="shared" si="367"/>
        <v>0</v>
      </c>
      <c r="V751" s="72">
        <f t="shared" si="367"/>
        <v>0</v>
      </c>
      <c r="W751" s="72">
        <f t="shared" si="367"/>
        <v>0</v>
      </c>
      <c r="X751" s="72">
        <f t="shared" si="367"/>
        <v>0</v>
      </c>
      <c r="Y751" s="72">
        <f t="shared" si="367"/>
        <v>0</v>
      </c>
      <c r="Z751" s="72">
        <f t="shared" si="367"/>
        <v>0</v>
      </c>
      <c r="AA751" s="72">
        <f t="shared" si="367"/>
        <v>0</v>
      </c>
      <c r="AB751" s="72">
        <f t="shared" si="367"/>
        <v>0</v>
      </c>
      <c r="AC751" s="72">
        <f t="shared" si="367"/>
        <v>0</v>
      </c>
      <c r="AD751" s="72">
        <f t="shared" si="367"/>
        <v>0</v>
      </c>
      <c r="AE751" s="72">
        <f t="shared" si="367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68">L730*(EXP(-($E752)*(L648))-1)</f>
        <v>0</v>
      </c>
      <c r="M752" s="72">
        <f t="shared" si="368"/>
        <v>0</v>
      </c>
      <c r="N752" s="72">
        <f t="shared" si="368"/>
        <v>0</v>
      </c>
      <c r="O752" s="72">
        <f t="shared" si="368"/>
        <v>0</v>
      </c>
      <c r="P752" s="72">
        <f t="shared" si="368"/>
        <v>0</v>
      </c>
      <c r="Q752" s="72">
        <f t="shared" si="368"/>
        <v>0</v>
      </c>
      <c r="R752" s="72">
        <f t="shared" si="368"/>
        <v>0</v>
      </c>
      <c r="S752" s="72">
        <f t="shared" si="368"/>
        <v>0</v>
      </c>
      <c r="T752" s="72">
        <f t="shared" si="368"/>
        <v>0</v>
      </c>
      <c r="U752" s="72">
        <f t="shared" si="368"/>
        <v>0</v>
      </c>
      <c r="V752" s="72">
        <f t="shared" si="368"/>
        <v>0</v>
      </c>
      <c r="W752" s="72">
        <f t="shared" si="368"/>
        <v>0</v>
      </c>
      <c r="X752" s="72">
        <f t="shared" si="368"/>
        <v>0</v>
      </c>
      <c r="Y752" s="72">
        <f t="shared" si="368"/>
        <v>0</v>
      </c>
      <c r="Z752" s="72">
        <f t="shared" si="368"/>
        <v>0</v>
      </c>
      <c r="AA752" s="72">
        <f t="shared" si="368"/>
        <v>0</v>
      </c>
      <c r="AB752" s="72">
        <f t="shared" si="368"/>
        <v>0</v>
      </c>
      <c r="AC752" s="72">
        <f t="shared" si="368"/>
        <v>0</v>
      </c>
      <c r="AD752" s="72">
        <f t="shared" si="368"/>
        <v>0</v>
      </c>
      <c r="AE752" s="72">
        <f t="shared" si="368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69">L731*(EXP(-($E753)*(L648))-1)</f>
        <v>0</v>
      </c>
      <c r="M753" s="72">
        <f t="shared" si="369"/>
        <v>0</v>
      </c>
      <c r="N753" s="72">
        <f t="shared" si="369"/>
        <v>0</v>
      </c>
      <c r="O753" s="72">
        <f t="shared" si="369"/>
        <v>0</v>
      </c>
      <c r="P753" s="72">
        <f t="shared" si="369"/>
        <v>0</v>
      </c>
      <c r="Q753" s="72">
        <f t="shared" si="369"/>
        <v>0</v>
      </c>
      <c r="R753" s="72">
        <f t="shared" si="369"/>
        <v>0</v>
      </c>
      <c r="S753" s="72">
        <f t="shared" si="369"/>
        <v>0</v>
      </c>
      <c r="T753" s="72">
        <f t="shared" si="369"/>
        <v>0</v>
      </c>
      <c r="U753" s="72">
        <f t="shared" si="369"/>
        <v>0</v>
      </c>
      <c r="V753" s="72">
        <f t="shared" si="369"/>
        <v>0</v>
      </c>
      <c r="W753" s="72">
        <f t="shared" si="369"/>
        <v>0</v>
      </c>
      <c r="X753" s="72">
        <f t="shared" si="369"/>
        <v>0</v>
      </c>
      <c r="Y753" s="72">
        <f t="shared" si="369"/>
        <v>0</v>
      </c>
      <c r="Z753" s="72">
        <f t="shared" si="369"/>
        <v>0</v>
      </c>
      <c r="AA753" s="72">
        <f t="shared" si="369"/>
        <v>0</v>
      </c>
      <c r="AB753" s="72">
        <f t="shared" si="369"/>
        <v>0</v>
      </c>
      <c r="AC753" s="72">
        <f t="shared" si="369"/>
        <v>0</v>
      </c>
      <c r="AD753" s="72">
        <f t="shared" si="369"/>
        <v>0</v>
      </c>
      <c r="AE753" s="72">
        <f t="shared" si="369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70">L732*(EXP(-($E754)*(L648))-1)</f>
        <v>0</v>
      </c>
      <c r="M754" s="72">
        <f t="shared" si="370"/>
        <v>0</v>
      </c>
      <c r="N754" s="72">
        <f t="shared" si="370"/>
        <v>0</v>
      </c>
      <c r="O754" s="72">
        <f t="shared" si="370"/>
        <v>0</v>
      </c>
      <c r="P754" s="72">
        <f t="shared" si="370"/>
        <v>0</v>
      </c>
      <c r="Q754" s="72">
        <f t="shared" si="370"/>
        <v>0</v>
      </c>
      <c r="R754" s="72">
        <f t="shared" si="370"/>
        <v>0</v>
      </c>
      <c r="S754" s="72">
        <f t="shared" si="370"/>
        <v>0</v>
      </c>
      <c r="T754" s="72">
        <f t="shared" si="370"/>
        <v>0</v>
      </c>
      <c r="U754" s="72">
        <f t="shared" si="370"/>
        <v>0</v>
      </c>
      <c r="V754" s="72">
        <f t="shared" si="370"/>
        <v>0</v>
      </c>
      <c r="W754" s="72">
        <f t="shared" si="370"/>
        <v>0</v>
      </c>
      <c r="X754" s="72">
        <f t="shared" si="370"/>
        <v>0</v>
      </c>
      <c r="Y754" s="72">
        <f t="shared" si="370"/>
        <v>0</v>
      </c>
      <c r="Z754" s="72">
        <f t="shared" si="370"/>
        <v>0</v>
      </c>
      <c r="AA754" s="72">
        <f t="shared" si="370"/>
        <v>0</v>
      </c>
      <c r="AB754" s="72">
        <f t="shared" si="370"/>
        <v>0</v>
      </c>
      <c r="AC754" s="72">
        <f t="shared" si="370"/>
        <v>0</v>
      </c>
      <c r="AD754" s="72">
        <f t="shared" si="370"/>
        <v>0</v>
      </c>
      <c r="AE754" s="72">
        <f t="shared" si="370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71">L733*(EXP(-($E755)*(L648))-1)</f>
        <v>0</v>
      </c>
      <c r="M755" s="72">
        <f t="shared" si="371"/>
        <v>0</v>
      </c>
      <c r="N755" s="72">
        <f t="shared" si="371"/>
        <v>0</v>
      </c>
      <c r="O755" s="72">
        <f t="shared" si="371"/>
        <v>0</v>
      </c>
      <c r="P755" s="72">
        <f t="shared" si="371"/>
        <v>0</v>
      </c>
      <c r="Q755" s="72">
        <f t="shared" si="371"/>
        <v>0</v>
      </c>
      <c r="R755" s="72">
        <f t="shared" si="371"/>
        <v>0</v>
      </c>
      <c r="S755" s="72">
        <f t="shared" si="371"/>
        <v>0</v>
      </c>
      <c r="T755" s="72">
        <f t="shared" si="371"/>
        <v>0</v>
      </c>
      <c r="U755" s="72">
        <f t="shared" si="371"/>
        <v>0</v>
      </c>
      <c r="V755" s="72">
        <f t="shared" si="371"/>
        <v>0</v>
      </c>
      <c r="W755" s="72">
        <f t="shared" si="371"/>
        <v>0</v>
      </c>
      <c r="X755" s="72">
        <f t="shared" si="371"/>
        <v>0</v>
      </c>
      <c r="Y755" s="72">
        <f t="shared" si="371"/>
        <v>0</v>
      </c>
      <c r="Z755" s="72">
        <f t="shared" si="371"/>
        <v>0</v>
      </c>
      <c r="AA755" s="72">
        <f t="shared" si="371"/>
        <v>0</v>
      </c>
      <c r="AB755" s="72">
        <f t="shared" si="371"/>
        <v>0</v>
      </c>
      <c r="AC755" s="72">
        <f t="shared" si="371"/>
        <v>0</v>
      </c>
      <c r="AD755" s="72">
        <f t="shared" si="371"/>
        <v>0</v>
      </c>
      <c r="AE755" s="72">
        <f t="shared" si="371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72">L734*(EXP(-($E756)*(L648))-1)</f>
        <v>0</v>
      </c>
      <c r="M756" s="72">
        <f t="shared" si="372"/>
        <v>0</v>
      </c>
      <c r="N756" s="72">
        <f t="shared" si="372"/>
        <v>0</v>
      </c>
      <c r="O756" s="72">
        <f t="shared" si="372"/>
        <v>0</v>
      </c>
      <c r="P756" s="72">
        <f t="shared" si="372"/>
        <v>0</v>
      </c>
      <c r="Q756" s="72">
        <f t="shared" si="372"/>
        <v>0</v>
      </c>
      <c r="R756" s="72">
        <f t="shared" si="372"/>
        <v>0</v>
      </c>
      <c r="S756" s="72">
        <f t="shared" si="372"/>
        <v>0</v>
      </c>
      <c r="T756" s="72">
        <f t="shared" si="372"/>
        <v>0</v>
      </c>
      <c r="U756" s="72">
        <f t="shared" si="372"/>
        <v>0</v>
      </c>
      <c r="V756" s="72">
        <f t="shared" si="372"/>
        <v>0</v>
      </c>
      <c r="W756" s="72">
        <f t="shared" si="372"/>
        <v>0</v>
      </c>
      <c r="X756" s="72">
        <f t="shared" si="372"/>
        <v>0</v>
      </c>
      <c r="Y756" s="72">
        <f t="shared" si="372"/>
        <v>0</v>
      </c>
      <c r="Z756" s="72">
        <f t="shared" si="372"/>
        <v>0</v>
      </c>
      <c r="AA756" s="72">
        <f t="shared" si="372"/>
        <v>0</v>
      </c>
      <c r="AB756" s="72">
        <f t="shared" si="372"/>
        <v>0</v>
      </c>
      <c r="AC756" s="72">
        <f t="shared" si="372"/>
        <v>0</v>
      </c>
      <c r="AD756" s="72">
        <f t="shared" si="372"/>
        <v>0</v>
      </c>
      <c r="AE756" s="72">
        <f t="shared" si="372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73">L735*(EXP(-($E757)*(L648))-1)</f>
        <v>0</v>
      </c>
      <c r="M757" s="72">
        <f t="shared" si="373"/>
        <v>0</v>
      </c>
      <c r="N757" s="72">
        <f t="shared" si="373"/>
        <v>0</v>
      </c>
      <c r="O757" s="72">
        <f t="shared" si="373"/>
        <v>0</v>
      </c>
      <c r="P757" s="72">
        <f t="shared" si="373"/>
        <v>0</v>
      </c>
      <c r="Q757" s="72">
        <f t="shared" si="373"/>
        <v>0</v>
      </c>
      <c r="R757" s="72">
        <f t="shared" si="373"/>
        <v>0</v>
      </c>
      <c r="S757" s="72">
        <f t="shared" si="373"/>
        <v>0</v>
      </c>
      <c r="T757" s="72">
        <f t="shared" si="373"/>
        <v>0</v>
      </c>
      <c r="U757" s="72">
        <f t="shared" si="373"/>
        <v>0</v>
      </c>
      <c r="V757" s="72">
        <f t="shared" si="373"/>
        <v>0</v>
      </c>
      <c r="W757" s="72">
        <f t="shared" si="373"/>
        <v>0</v>
      </c>
      <c r="X757" s="72">
        <f t="shared" si="373"/>
        <v>0</v>
      </c>
      <c r="Y757" s="72">
        <f t="shared" si="373"/>
        <v>0</v>
      </c>
      <c r="Z757" s="72">
        <f t="shared" si="373"/>
        <v>0</v>
      </c>
      <c r="AA757" s="72">
        <f t="shared" si="373"/>
        <v>0</v>
      </c>
      <c r="AB757" s="72">
        <f t="shared" si="373"/>
        <v>0</v>
      </c>
      <c r="AC757" s="72">
        <f t="shared" si="373"/>
        <v>0</v>
      </c>
      <c r="AD757" s="72">
        <f t="shared" si="373"/>
        <v>0</v>
      </c>
      <c r="AE757" s="72">
        <f t="shared" si="373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74">L736*(EXP(-($E758)*(L648))-1)</f>
        <v>0</v>
      </c>
      <c r="M758" s="72">
        <f t="shared" si="374"/>
        <v>0</v>
      </c>
      <c r="N758" s="72">
        <f t="shared" si="374"/>
        <v>0</v>
      </c>
      <c r="O758" s="72">
        <f t="shared" si="374"/>
        <v>0</v>
      </c>
      <c r="P758" s="72">
        <f t="shared" si="374"/>
        <v>0</v>
      </c>
      <c r="Q758" s="72">
        <f t="shared" si="374"/>
        <v>0</v>
      </c>
      <c r="R758" s="72">
        <f t="shared" si="374"/>
        <v>0</v>
      </c>
      <c r="S758" s="72">
        <f t="shared" si="374"/>
        <v>0</v>
      </c>
      <c r="T758" s="72">
        <f t="shared" si="374"/>
        <v>0</v>
      </c>
      <c r="U758" s="72">
        <f t="shared" si="374"/>
        <v>0</v>
      </c>
      <c r="V758" s="72">
        <f t="shared" si="374"/>
        <v>0</v>
      </c>
      <c r="W758" s="72">
        <f t="shared" si="374"/>
        <v>0</v>
      </c>
      <c r="X758" s="72">
        <f t="shared" si="374"/>
        <v>0</v>
      </c>
      <c r="Y758" s="72">
        <f t="shared" si="374"/>
        <v>0</v>
      </c>
      <c r="Z758" s="72">
        <f t="shared" si="374"/>
        <v>0</v>
      </c>
      <c r="AA758" s="72">
        <f t="shared" si="374"/>
        <v>0</v>
      </c>
      <c r="AB758" s="72">
        <f t="shared" si="374"/>
        <v>0</v>
      </c>
      <c r="AC758" s="72">
        <f t="shared" si="374"/>
        <v>0</v>
      </c>
      <c r="AD758" s="72">
        <f t="shared" si="374"/>
        <v>0</v>
      </c>
      <c r="AE758" s="72">
        <f t="shared" si="374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75">SUM(L751:L758)</f>
        <v>0</v>
      </c>
      <c r="M759" s="72">
        <f t="shared" si="375"/>
        <v>0</v>
      </c>
      <c r="N759" s="72">
        <f t="shared" si="375"/>
        <v>0</v>
      </c>
      <c r="O759" s="72">
        <f t="shared" si="375"/>
        <v>0</v>
      </c>
      <c r="P759" s="72">
        <f t="shared" si="375"/>
        <v>0</v>
      </c>
      <c r="Q759" s="72">
        <f t="shared" si="375"/>
        <v>0</v>
      </c>
      <c r="R759" s="72">
        <f t="shared" si="375"/>
        <v>0</v>
      </c>
      <c r="S759" s="72">
        <f t="shared" si="375"/>
        <v>0</v>
      </c>
      <c r="T759" s="72">
        <f t="shared" si="375"/>
        <v>0</v>
      </c>
      <c r="U759" s="72">
        <f t="shared" si="375"/>
        <v>0</v>
      </c>
      <c r="V759" s="72">
        <f t="shared" si="375"/>
        <v>0</v>
      </c>
      <c r="W759" s="72">
        <f t="shared" si="375"/>
        <v>0</v>
      </c>
      <c r="X759" s="72">
        <f t="shared" si="375"/>
        <v>0</v>
      </c>
      <c r="Y759" s="72">
        <f t="shared" si="375"/>
        <v>0</v>
      </c>
      <c r="Z759" s="72">
        <f t="shared" si="375"/>
        <v>0</v>
      </c>
      <c r="AA759" s="72">
        <f t="shared" si="375"/>
        <v>0</v>
      </c>
      <c r="AB759" s="72">
        <f t="shared" si="375"/>
        <v>0</v>
      </c>
      <c r="AC759" s="72">
        <f t="shared" si="375"/>
        <v>0</v>
      </c>
      <c r="AD759" s="72">
        <f t="shared" si="375"/>
        <v>0</v>
      </c>
      <c r="AE759" s="72">
        <f t="shared" si="375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1985</v>
      </c>
      <c r="F761" s="72" t="s">
        <v>1986</v>
      </c>
      <c r="G761" s="72" t="s">
        <v>1987</v>
      </c>
      <c r="H761" s="74" t="s">
        <v>1988</v>
      </c>
      <c r="I761" s="74"/>
      <c r="J761" s="74"/>
      <c r="K761" s="74"/>
      <c r="L761" s="74">
        <f t="shared" ref="L761:AE761" si="376">L708</f>
        <v>2022</v>
      </c>
      <c r="M761" s="74">
        <f t="shared" si="376"/>
        <v>2023</v>
      </c>
      <c r="N761" s="74">
        <f t="shared" si="376"/>
        <v>2024</v>
      </c>
      <c r="O761" s="74">
        <f t="shared" si="376"/>
        <v>2025</v>
      </c>
      <c r="P761" s="74">
        <f t="shared" si="376"/>
        <v>2026</v>
      </c>
      <c r="Q761" s="74">
        <f t="shared" si="376"/>
        <v>2027</v>
      </c>
      <c r="R761" s="74">
        <f t="shared" si="376"/>
        <v>2028</v>
      </c>
      <c r="S761" s="74">
        <f t="shared" si="376"/>
        <v>2029</v>
      </c>
      <c r="T761" s="74">
        <f t="shared" si="376"/>
        <v>2030</v>
      </c>
      <c r="U761" s="74">
        <f t="shared" si="376"/>
        <v>2031</v>
      </c>
      <c r="V761" s="74">
        <f t="shared" si="376"/>
        <v>2032</v>
      </c>
      <c r="W761" s="74">
        <f t="shared" si="376"/>
        <v>2033</v>
      </c>
      <c r="X761" s="74">
        <f t="shared" si="376"/>
        <v>2034</v>
      </c>
      <c r="Y761" s="74">
        <f t="shared" si="376"/>
        <v>2035</v>
      </c>
      <c r="Z761" s="74">
        <f t="shared" si="376"/>
        <v>2036</v>
      </c>
      <c r="AA761" s="74">
        <f t="shared" si="376"/>
        <v>2037</v>
      </c>
      <c r="AB761" s="74">
        <f t="shared" si="376"/>
        <v>2038</v>
      </c>
      <c r="AC761" s="74">
        <f t="shared" si="376"/>
        <v>2039</v>
      </c>
      <c r="AD761" s="74">
        <f t="shared" si="376"/>
        <v>2040</v>
      </c>
      <c r="AE761" s="74">
        <f t="shared" si="376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/>
      <c r="J762" s="70"/>
      <c r="K762" s="70"/>
      <c r="L762" s="72">
        <f>-L$675/1000*($J$672*MAX($J$663,0)*$F762*(1-EXP(-$E762*($F$709*L$707+$G$709*L$647)))+$K$672*MAX($K$663,0)*$H762*(1-EXP(-$G762*($F$709*L$707+$G$709*L$647))))</f>
        <v>0</v>
      </c>
      <c r="M762" s="72">
        <f>-M$675/1000*($J$672*MAX($J$663,0)*$F762*(1-EXP(-$E762*($F$709*M$707+$G$709*M$647)))+$K$672*MAX($K$663,0)*$H762*(1-EXP(-$G762*($F$709*M$707+$G$709*M$647))))</f>
        <v>0</v>
      </c>
      <c r="N762" s="72">
        <f>-N$675/1000*($J$672*MAX($J$663,0)*$F762*(1-EXP(-$E762*($F$709*N$707+$G$709*N$647)))+$K$672*MAX($K$663,0)*$H762*(1-EXP(-$G762*($F$709*N$707+$G$709*N$647))))</f>
        <v>0</v>
      </c>
      <c r="O762" s="72">
        <f>-O$675/1000*($J$672*MAX($J$663,0)*$F762*(1-EXP(-$E762*($F$709*O$707+$G$709*O$647)))+$K$672*MAX($K$663,0)*$H762*(1-EXP(-$G762*($F$709*O$707+$G$709*O$647))))</f>
        <v>0</v>
      </c>
      <c r="P762" s="72">
        <f>-P$675/1000*($J$672*MAX($J$663,0)*$F762*(1-EXP(-$E762*($F$709*P$707+$G$709*P$647)))+$K$672*MAX($K$663,0)*$H762*(1-EXP(-$G762*($F$709*P$707+$G$709*P$647))))</f>
        <v>0</v>
      </c>
      <c r="Q762" s="72">
        <f>-Q$675/1000*($J$672*MAX($J$663,0)*$F762*(1-EXP(-$E762*($F$709*Q$707+$G$709*Q$647)))+$K$672*MAX($K$663,0)*$H762*(1-EXP(-$G762*($F$709*Q$707+$G$709*Q$647))))</f>
        <v>0</v>
      </c>
      <c r="R762" s="72">
        <f>-R$675/1000*($J$672*MAX($J$663,0)*$F762*(1-EXP(-$E762*($F$709*R$707+$G$709*R$647)))+$K$672*MAX($K$663,0)*$H762*(1-EXP(-$G762*($F$709*R$707+$G$709*R$647))))</f>
        <v>0</v>
      </c>
      <c r="S762" s="72">
        <f>-S$675/1000*($J$672*MAX($J$663,0)*$F762*(1-EXP(-$E762*($F$709*S$707+$G$709*S$647)))+$K$672*MAX($K$663,0)*$H762*(1-EXP(-$G762*($F$709*S$707+$G$709*S$647))))</f>
        <v>0</v>
      </c>
      <c r="T762" s="72">
        <f>-T$675/1000*($J$672*MAX($J$663,0)*$F762*(1-EXP(-$E762*($F$709*T$707+$G$709*T$647)))+$K$672*MAX($K$663,0)*$H762*(1-EXP(-$G762*($F$709*T$707+$G$709*T$647))))</f>
        <v>0</v>
      </c>
      <c r="U762" s="72">
        <f>-U$675/1000*($J$672*MAX($J$663,0)*$F762*(1-EXP(-$E762*($F$709*U$707+$G$709*U$647)))+$K$672*MAX($K$663,0)*$H762*(1-EXP(-$G762*($F$709*U$707+$G$709*U$647))))</f>
        <v>0</v>
      </c>
      <c r="V762" s="72">
        <f>-V$675/1000*($J$672*MAX($J$663,0)*$F762*(1-EXP(-$E762*($F$709*V$707+$G$709*V$647)))+$K$672*MAX($K$663,0)*$H762*(1-EXP(-$G762*($F$709*V$707+$G$709*V$647))))</f>
        <v>0</v>
      </c>
      <c r="W762" s="72">
        <f>-W$675/1000*($J$672*MAX($J$663,0)*$F762*(1-EXP(-$E762*($F$709*W$707+$G$709*W$647)))+$K$672*MAX($K$663,0)*$H762*(1-EXP(-$G762*($F$709*W$707+$G$709*W$647))))</f>
        <v>0</v>
      </c>
      <c r="X762" s="72">
        <f>-X$675/1000*($J$672*MAX($J$663,0)*$F762*(1-EXP(-$E762*($F$709*X$707+$G$709*X$647)))+$K$672*MAX($K$663,0)*$H762*(1-EXP(-$G762*($F$709*X$707+$G$709*X$647))))</f>
        <v>0</v>
      </c>
      <c r="Y762" s="72">
        <f>-Y$675/1000*($J$672*MAX($J$663,0)*$F762*(1-EXP(-$E762*($F$709*Y$707+$G$709*Y$647)))+$K$672*MAX($K$663,0)*$H762*(1-EXP(-$G762*($F$709*Y$707+$G$709*Y$647))))</f>
        <v>0</v>
      </c>
      <c r="Z762" s="72">
        <f>-Z$675/1000*($J$672*MAX($J$663,0)*$F762*(1-EXP(-$E762*($F$709*Z$707+$G$709*Z$647)))+$K$672*MAX($K$663,0)*$H762*(1-EXP(-$G762*($F$709*Z$707+$G$709*Z$647))))</f>
        <v>0</v>
      </c>
      <c r="AA762" s="72">
        <f>-AA$675/1000*($J$672*MAX($J$663,0)*$F762*(1-EXP(-$E762*($F$709*AA$707+$G$709*AA$647)))+$K$672*MAX($K$663,0)*$H762*(1-EXP(-$G762*($F$709*AA$707+$G$709*AA$647))))</f>
        <v>0</v>
      </c>
      <c r="AB762" s="72">
        <f>-AB$675/1000*($J$672*MAX($J$663,0)*$F762*(1-EXP(-$E762*($F$709*AB$707+$G$709*AB$647)))+$K$672*MAX($K$663,0)*$H762*(1-EXP(-$G762*($F$709*AB$707+$G$709*AB$647))))</f>
        <v>0</v>
      </c>
      <c r="AC762" s="72">
        <f>-AC$675/1000*($J$672*MAX($J$663,0)*$F762*(1-EXP(-$E762*($F$709*AC$707+$G$709*AC$647)))+$K$672*MAX($K$663,0)*$H762*(1-EXP(-$G762*($F$709*AC$707+$G$709*AC$647))))</f>
        <v>0</v>
      </c>
      <c r="AD762" s="72">
        <f>-AD$675/1000*($J$672*MAX($J$663,0)*$F762*(1-EXP(-$E762*($F$709*AD$707+$G$709*AD$647)))+$K$672*MAX($K$663,0)*$H762*(1-EXP(-$G762*($F$709*AD$707+$G$709*AD$647))))</f>
        <v>0</v>
      </c>
      <c r="AE762" s="72">
        <f>-AE$675/1000*($J$672*MAX($J$663,0)*$F762*(1-EXP(-$E762*($F$709*AE$707+$G$709*AE$647)))+$K$672*MAX($K$663,0)*$H762*(1-EXP(-$G762*($F$709*AE$707+$G$709*AE$647))))</f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>-L$676/1000*($J$672*MAX($J$664,0)*$F763*(1-EXP(-$E763*($F$710*L$707+$G$710*L$647)))+$K$672*MAX($K$664,0)*$H763*(1-EXP(-$G763*($F$710*L$707+$G$710*L$647))))</f>
        <v>0</v>
      </c>
      <c r="M763" s="72">
        <f>-M$676/1000*($J$672*MAX($J$664,0)*$F763*(1-EXP(-$E763*($F$710*M$707+$G$710*M$647)))+$K$672*MAX($K$664,0)*$H763*(1-EXP(-$G763*($F$710*M$707+$G$710*M$647))))</f>
        <v>0</v>
      </c>
      <c r="N763" s="72">
        <f>-N$676/1000*($J$672*MAX($J$664,0)*$F763*(1-EXP(-$E763*($F$710*N$707+$G$710*N$647)))+$K$672*MAX($K$664,0)*$H763*(1-EXP(-$G763*($F$710*N$707+$G$710*N$647))))</f>
        <v>0</v>
      </c>
      <c r="O763" s="72">
        <f>-O$676/1000*($J$672*MAX($J$664,0)*$F763*(1-EXP(-$E763*($F$710*O$707+$G$710*O$647)))+$K$672*MAX($K$664,0)*$H763*(1-EXP(-$G763*($F$710*O$707+$G$710*O$647))))</f>
        <v>0</v>
      </c>
      <c r="P763" s="72">
        <f>-P$676/1000*($J$672*MAX($J$664,0)*$F763*(1-EXP(-$E763*($F$710*P$707+$G$710*P$647)))+$K$672*MAX($K$664,0)*$H763*(1-EXP(-$G763*($F$710*P$707+$G$710*P$647))))</f>
        <v>0</v>
      </c>
      <c r="Q763" s="72">
        <f>-Q$676/1000*($J$672*MAX($J$664,0)*$F763*(1-EXP(-$E763*($F$710*Q$707+$G$710*Q$647)))+$K$672*MAX($K$664,0)*$H763*(1-EXP(-$G763*($F$710*Q$707+$G$710*Q$647))))</f>
        <v>0</v>
      </c>
      <c r="R763" s="72">
        <f>-R$676/1000*($J$672*MAX($J$664,0)*$F763*(1-EXP(-$E763*($F$710*R$707+$G$710*R$647)))+$K$672*MAX($K$664,0)*$H763*(1-EXP(-$G763*($F$710*R$707+$G$710*R$647))))</f>
        <v>0</v>
      </c>
      <c r="S763" s="72">
        <f>-S$676/1000*($J$672*MAX($J$664,0)*$F763*(1-EXP(-$E763*($F$710*S$707+$G$710*S$647)))+$K$672*MAX($K$664,0)*$H763*(1-EXP(-$G763*($F$710*S$707+$G$710*S$647))))</f>
        <v>0</v>
      </c>
      <c r="T763" s="72">
        <f>-T$676/1000*($J$672*MAX($J$664,0)*$F763*(1-EXP(-$E763*($F$710*T$707+$G$710*T$647)))+$K$672*MAX($K$664,0)*$H763*(1-EXP(-$G763*($F$710*T$707+$G$710*T$647))))</f>
        <v>0</v>
      </c>
      <c r="U763" s="72">
        <f>-U$676/1000*($J$672*MAX($J$664,0)*$F763*(1-EXP(-$E763*($F$710*U$707+$G$710*U$647)))+$K$672*MAX($K$664,0)*$H763*(1-EXP(-$G763*($F$710*U$707+$G$710*U$647))))</f>
        <v>0</v>
      </c>
      <c r="V763" s="72">
        <f>-V$676/1000*($J$672*MAX($J$664,0)*$F763*(1-EXP(-$E763*($F$710*V$707+$G$710*V$647)))+$K$672*MAX($K$664,0)*$H763*(1-EXP(-$G763*($F$710*V$707+$G$710*V$647))))</f>
        <v>0</v>
      </c>
      <c r="W763" s="72">
        <f>-W$676/1000*($J$672*MAX($J$664,0)*$F763*(1-EXP(-$E763*($F$710*W$707+$G$710*W$647)))+$K$672*MAX($K$664,0)*$H763*(1-EXP(-$G763*($F$710*W$707+$G$710*W$647))))</f>
        <v>0</v>
      </c>
      <c r="X763" s="72">
        <f>-X$676/1000*($J$672*MAX($J$664,0)*$F763*(1-EXP(-$E763*($F$710*X$707+$G$710*X$647)))+$K$672*MAX($K$664,0)*$H763*(1-EXP(-$G763*($F$710*X$707+$G$710*X$647))))</f>
        <v>0</v>
      </c>
      <c r="Y763" s="72">
        <f>-Y$676/1000*($J$672*MAX($J$664,0)*$F763*(1-EXP(-$E763*($F$710*Y$707+$G$710*Y$647)))+$K$672*MAX($K$664,0)*$H763*(1-EXP(-$G763*($F$710*Y$707+$G$710*Y$647))))</f>
        <v>0</v>
      </c>
      <c r="Z763" s="72">
        <f>-Z$676/1000*($J$672*MAX($J$664,0)*$F763*(1-EXP(-$E763*($F$710*Z$707+$G$710*Z$647)))+$K$672*MAX($K$664,0)*$H763*(1-EXP(-$G763*($F$710*Z$707+$G$710*Z$647))))</f>
        <v>0</v>
      </c>
      <c r="AA763" s="72">
        <f>-AA$676/1000*($J$672*MAX($J$664,0)*$F763*(1-EXP(-$E763*($F$710*AA$707+$G$710*AA$647)))+$K$672*MAX($K$664,0)*$H763*(1-EXP(-$G763*($F$710*AA$707+$G$710*AA$647))))</f>
        <v>0</v>
      </c>
      <c r="AB763" s="72">
        <f>-AB$676/1000*($J$672*MAX($J$664,0)*$F763*(1-EXP(-$E763*($F$710*AB$707+$G$710*AB$647)))+$K$672*MAX($K$664,0)*$H763*(1-EXP(-$G763*($F$710*AB$707+$G$710*AB$647))))</f>
        <v>0</v>
      </c>
      <c r="AC763" s="72">
        <f>-AC$676/1000*($J$672*MAX($J$664,0)*$F763*(1-EXP(-$E763*($F$710*AC$707+$G$710*AC$647)))+$K$672*MAX($K$664,0)*$H763*(1-EXP(-$G763*($F$710*AC$707+$G$710*AC$647))))</f>
        <v>0</v>
      </c>
      <c r="AD763" s="72">
        <f>-AD$676/1000*($J$672*MAX($J$664,0)*$F763*(1-EXP(-$E763*($F$710*AD$707+$G$710*AD$647)))+$K$672*MAX($K$664,0)*$H763*(1-EXP(-$G763*($F$710*AD$707+$G$710*AD$647))))</f>
        <v>0</v>
      </c>
      <c r="AE763" s="72">
        <f>-AE$676/1000*($J$672*MAX($J$664,0)*$F763*(1-EXP(-$E763*($F$710*AE$707+$G$710*AE$647)))+$K$672*MAX($K$664,0)*$H763*(1-EXP(-$G763*($F$710*AE$707+$G$710*AE$647))))</f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>-L$677/1000*($J$672*MAX($J$665,0)*$F764*(1-EXP(-$E764*($F$711*L$707+$G$711*L$647)))+$K$672*MAX($K$665,0)*$H764*(1-EXP(-$G764*($F$711*L$707+$G$711*L$647))))</f>
        <v>0</v>
      </c>
      <c r="M764" s="72">
        <f>-M$677/1000*($J$672*MAX($J$665,0)*$F764*(1-EXP(-$E764*($F$711*M$707+$G$711*M$647)))+$K$672*MAX($K$665,0)*$H764*(1-EXP(-$G764*($F$711*M$707+$G$711*M$647))))</f>
        <v>0</v>
      </c>
      <c r="N764" s="72">
        <f>-N$677/1000*($J$672*MAX($J$665,0)*$F764*(1-EXP(-$E764*($F$711*N$707+$G$711*N$647)))+$K$672*MAX($K$665,0)*$H764*(1-EXP(-$G764*($F$711*N$707+$G$711*N$647))))</f>
        <v>0</v>
      </c>
      <c r="O764" s="72">
        <f>-O$677/1000*($J$672*MAX($J$665,0)*$F764*(1-EXP(-$E764*($F$711*O$707+$G$711*O$647)))+$K$672*MAX($K$665,0)*$H764*(1-EXP(-$G764*($F$711*O$707+$G$711*O$647))))</f>
        <v>0</v>
      </c>
      <c r="P764" s="72">
        <f>-P$677/1000*($J$672*MAX($J$665,0)*$F764*(1-EXP(-$E764*($F$711*P$707+$G$711*P$647)))+$K$672*MAX($K$665,0)*$H764*(1-EXP(-$G764*($F$711*P$707+$G$711*P$647))))</f>
        <v>0</v>
      </c>
      <c r="Q764" s="72">
        <f>-Q$677/1000*($J$672*MAX($J$665,0)*$F764*(1-EXP(-$E764*($F$711*Q$707+$G$711*Q$647)))+$K$672*MAX($K$665,0)*$H764*(1-EXP(-$G764*($F$711*Q$707+$G$711*Q$647))))</f>
        <v>0</v>
      </c>
      <c r="R764" s="72">
        <f>-R$677/1000*($J$672*MAX($J$665,0)*$F764*(1-EXP(-$E764*($F$711*R$707+$G$711*R$647)))+$K$672*MAX($K$665,0)*$H764*(1-EXP(-$G764*($F$711*R$707+$G$711*R$647))))</f>
        <v>0</v>
      </c>
      <c r="S764" s="72">
        <f>-S$677/1000*($J$672*MAX($J$665,0)*$F764*(1-EXP(-$E764*($F$711*S$707+$G$711*S$647)))+$K$672*MAX($K$665,0)*$H764*(1-EXP(-$G764*($F$711*S$707+$G$711*S$647))))</f>
        <v>0</v>
      </c>
      <c r="T764" s="72">
        <f>-T$677/1000*($J$672*MAX($J$665,0)*$F764*(1-EXP(-$E764*($F$711*T$707+$G$711*T$647)))+$K$672*MAX($K$665,0)*$H764*(1-EXP(-$G764*($F$711*T$707+$G$711*T$647))))</f>
        <v>0</v>
      </c>
      <c r="U764" s="72">
        <f>-U$677/1000*($J$672*MAX($J$665,0)*$F764*(1-EXP(-$E764*($F$711*U$707+$G$711*U$647)))+$K$672*MAX($K$665,0)*$H764*(1-EXP(-$G764*($F$711*U$707+$G$711*U$647))))</f>
        <v>0</v>
      </c>
      <c r="V764" s="72">
        <f>-V$677/1000*($J$672*MAX($J$665,0)*$F764*(1-EXP(-$E764*($F$711*V$707+$G$711*V$647)))+$K$672*MAX($K$665,0)*$H764*(1-EXP(-$G764*($F$711*V$707+$G$711*V$647))))</f>
        <v>0</v>
      </c>
      <c r="W764" s="72">
        <f>-W$677/1000*($J$672*MAX($J$665,0)*$F764*(1-EXP(-$E764*($F$711*W$707+$G$711*W$647)))+$K$672*MAX($K$665,0)*$H764*(1-EXP(-$G764*($F$711*W$707+$G$711*W$647))))</f>
        <v>0</v>
      </c>
      <c r="X764" s="72">
        <f>-X$677/1000*($J$672*MAX($J$665,0)*$F764*(1-EXP(-$E764*($F$711*X$707+$G$711*X$647)))+$K$672*MAX($K$665,0)*$H764*(1-EXP(-$G764*($F$711*X$707+$G$711*X$647))))</f>
        <v>0</v>
      </c>
      <c r="Y764" s="72">
        <f>-Y$677/1000*($J$672*MAX($J$665,0)*$F764*(1-EXP(-$E764*($F$711*Y$707+$G$711*Y$647)))+$K$672*MAX($K$665,0)*$H764*(1-EXP(-$G764*($F$711*Y$707+$G$711*Y$647))))</f>
        <v>0</v>
      </c>
      <c r="Z764" s="72">
        <f>-Z$677/1000*($J$672*MAX($J$665,0)*$F764*(1-EXP(-$E764*($F$711*Z$707+$G$711*Z$647)))+$K$672*MAX($K$665,0)*$H764*(1-EXP(-$G764*($F$711*Z$707+$G$711*Z$647))))</f>
        <v>0</v>
      </c>
      <c r="AA764" s="72">
        <f>-AA$677/1000*($J$672*MAX($J$665,0)*$F764*(1-EXP(-$E764*($F$711*AA$707+$G$711*AA$647)))+$K$672*MAX($K$665,0)*$H764*(1-EXP(-$G764*($F$711*AA$707+$G$711*AA$647))))</f>
        <v>0</v>
      </c>
      <c r="AB764" s="72">
        <f>-AB$677/1000*($J$672*MAX($J$665,0)*$F764*(1-EXP(-$E764*($F$711*AB$707+$G$711*AB$647)))+$K$672*MAX($K$665,0)*$H764*(1-EXP(-$G764*($F$711*AB$707+$G$711*AB$647))))</f>
        <v>0</v>
      </c>
      <c r="AC764" s="72">
        <f>-AC$677/1000*($J$672*MAX($J$665,0)*$F764*(1-EXP(-$E764*($F$711*AC$707+$G$711*AC$647)))+$K$672*MAX($K$665,0)*$H764*(1-EXP(-$G764*($F$711*AC$707+$G$711*AC$647))))</f>
        <v>0</v>
      </c>
      <c r="AD764" s="72">
        <f>-AD$677/1000*($J$672*MAX($J$665,0)*$F764*(1-EXP(-$E764*($F$711*AD$707+$G$711*AD$647)))+$K$672*MAX($K$665,0)*$H764*(1-EXP(-$G764*($F$711*AD$707+$G$711*AD$647))))</f>
        <v>0</v>
      </c>
      <c r="AE764" s="72">
        <f>-AE$677/1000*($J$672*MAX($J$665,0)*$F764*(1-EXP(-$E764*($F$711*AE$707+$G$711*AE$647)))+$K$672*MAX($K$665,0)*$H764*(1-EXP(-$G764*($F$711*AE$707+$G$711*AE$647))))</f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>-L$678/1000*($J$672*MAX($J$666,0)*$F765*(1-EXP(-$E765*($F$712*L$707+$G$712*L$647)))+$K$672*MAX($K$666,0)*$H765*(1-EXP(-$G765*($F$712*L$707+$G$712*L$647))))</f>
        <v>0</v>
      </c>
      <c r="M765" s="72">
        <f>-M$678/1000*($J$672*MAX($J$666,0)*$F765*(1-EXP(-$E765*($F$712*M$707+$G$712*M$647)))+$K$672*MAX($K$666,0)*$H765*(1-EXP(-$G765*($F$712*M$707+$G$712*M$647))))</f>
        <v>0</v>
      </c>
      <c r="N765" s="72">
        <f>-N$678/1000*($J$672*MAX($J$666,0)*$F765*(1-EXP(-$E765*($F$712*N$707+$G$712*N$647)))+$K$672*MAX($K$666,0)*$H765*(1-EXP(-$G765*($F$712*N$707+$G$712*N$647))))</f>
        <v>0</v>
      </c>
      <c r="O765" s="72">
        <f>-O$678/1000*($J$672*MAX($J$666,0)*$F765*(1-EXP(-$E765*($F$712*O$707+$G$712*O$647)))+$K$672*MAX($K$666,0)*$H765*(1-EXP(-$G765*($F$712*O$707+$G$712*O$647))))</f>
        <v>0</v>
      </c>
      <c r="P765" s="72">
        <f>-P$678/1000*($J$672*MAX($J$666,0)*$F765*(1-EXP(-$E765*($F$712*P$707+$G$712*P$647)))+$K$672*MAX($K$666,0)*$H765*(1-EXP(-$G765*($F$712*P$707+$G$712*P$647))))</f>
        <v>0</v>
      </c>
      <c r="Q765" s="72">
        <f>-Q$678/1000*($J$672*MAX($J$666,0)*$F765*(1-EXP(-$E765*($F$712*Q$707+$G$712*Q$647)))+$K$672*MAX($K$666,0)*$H765*(1-EXP(-$G765*($F$712*Q$707+$G$712*Q$647))))</f>
        <v>0</v>
      </c>
      <c r="R765" s="72">
        <f>-R$678/1000*($J$672*MAX($J$666,0)*$F765*(1-EXP(-$E765*($F$712*R$707+$G$712*R$647)))+$K$672*MAX($K$666,0)*$H765*(1-EXP(-$G765*($F$712*R$707+$G$712*R$647))))</f>
        <v>0</v>
      </c>
      <c r="S765" s="72">
        <f>-S$678/1000*($J$672*MAX($J$666,0)*$F765*(1-EXP(-$E765*($F$712*S$707+$G$712*S$647)))+$K$672*MAX($K$666,0)*$H765*(1-EXP(-$G765*($F$712*S$707+$G$712*S$647))))</f>
        <v>0</v>
      </c>
      <c r="T765" s="72">
        <f>-T$678/1000*($J$672*MAX($J$666,0)*$F765*(1-EXP(-$E765*($F$712*T$707+$G$712*T$647)))+$K$672*MAX($K$666,0)*$H765*(1-EXP(-$G765*($F$712*T$707+$G$712*T$647))))</f>
        <v>0</v>
      </c>
      <c r="U765" s="72">
        <f>-U$678/1000*($J$672*MAX($J$666,0)*$F765*(1-EXP(-$E765*($F$712*U$707+$G$712*U$647)))+$K$672*MAX($K$666,0)*$H765*(1-EXP(-$G765*($F$712*U$707+$G$712*U$647))))</f>
        <v>0</v>
      </c>
      <c r="V765" s="72">
        <f>-V$678/1000*($J$672*MAX($J$666,0)*$F765*(1-EXP(-$E765*($F$712*V$707+$G$712*V$647)))+$K$672*MAX($K$666,0)*$H765*(1-EXP(-$G765*($F$712*V$707+$G$712*V$647))))</f>
        <v>0</v>
      </c>
      <c r="W765" s="72">
        <f>-W$678/1000*($J$672*MAX($J$666,0)*$F765*(1-EXP(-$E765*($F$712*W$707+$G$712*W$647)))+$K$672*MAX($K$666,0)*$H765*(1-EXP(-$G765*($F$712*W$707+$G$712*W$647))))</f>
        <v>0</v>
      </c>
      <c r="X765" s="72">
        <f>-X$678/1000*($J$672*MAX($J$666,0)*$F765*(1-EXP(-$E765*($F$712*X$707+$G$712*X$647)))+$K$672*MAX($K$666,0)*$H765*(1-EXP(-$G765*($F$712*X$707+$G$712*X$647))))</f>
        <v>0</v>
      </c>
      <c r="Y765" s="72">
        <f>-Y$678/1000*($J$672*MAX($J$666,0)*$F765*(1-EXP(-$E765*($F$712*Y$707+$G$712*Y$647)))+$K$672*MAX($K$666,0)*$H765*(1-EXP(-$G765*($F$712*Y$707+$G$712*Y$647))))</f>
        <v>0</v>
      </c>
      <c r="Z765" s="72">
        <f>-Z$678/1000*($J$672*MAX($J$666,0)*$F765*(1-EXP(-$E765*($F$712*Z$707+$G$712*Z$647)))+$K$672*MAX($K$666,0)*$H765*(1-EXP(-$G765*($F$712*Z$707+$G$712*Z$647))))</f>
        <v>0</v>
      </c>
      <c r="AA765" s="72">
        <f>-AA$678/1000*($J$672*MAX($J$666,0)*$F765*(1-EXP(-$E765*($F$712*AA$707+$G$712*AA$647)))+$K$672*MAX($K$666,0)*$H765*(1-EXP(-$G765*($F$712*AA$707+$G$712*AA$647))))</f>
        <v>0</v>
      </c>
      <c r="AB765" s="72">
        <f>-AB$678/1000*($J$672*MAX($J$666,0)*$F765*(1-EXP(-$E765*($F$712*AB$707+$G$712*AB$647)))+$K$672*MAX($K$666,0)*$H765*(1-EXP(-$G765*($F$712*AB$707+$G$712*AB$647))))</f>
        <v>0</v>
      </c>
      <c r="AC765" s="72">
        <f>-AC$678/1000*($J$672*MAX($J$666,0)*$F765*(1-EXP(-$E765*($F$712*AC$707+$G$712*AC$647)))+$K$672*MAX($K$666,0)*$H765*(1-EXP(-$G765*($F$712*AC$707+$G$712*AC$647))))</f>
        <v>0</v>
      </c>
      <c r="AD765" s="72">
        <f>-AD$678/1000*($J$672*MAX($J$666,0)*$F765*(1-EXP(-$E765*($F$712*AD$707+$G$712*AD$647)))+$K$672*MAX($K$666,0)*$H765*(1-EXP(-$G765*($F$712*AD$707+$G$712*AD$647))))</f>
        <v>0</v>
      </c>
      <c r="AE765" s="72">
        <f>-AE$678/1000*($J$672*MAX($J$666,0)*$F765*(1-EXP(-$E765*($F$712*AE$707+$G$712*AE$647)))+$K$672*MAX($K$666,0)*$H765*(1-EXP(-$G765*($F$712*AE$707+$G$712*AE$647))))</f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>-L$679/1000*($J$672*MAX($J$667,0)*$F766*(1-EXP(-$E766*($F$713*L$707+$G$713*L$647)))+$K$672*MAX($K$667,0)*$H766*(1-EXP(-$G766*($F$713*L$707+$G$713*L$647))))</f>
        <v>0</v>
      </c>
      <c r="M766" s="72">
        <f>-M$679/1000*($J$672*MAX($J$667,0)*$F766*(1-EXP(-$E766*($F$713*M$707+$G$713*M$647)))+$K$672*MAX($K$667,0)*$H766*(1-EXP(-$G766*($F$713*M$707+$G$713*M$647))))</f>
        <v>0</v>
      </c>
      <c r="N766" s="72">
        <f>-N$679/1000*($J$672*MAX($J$667,0)*$F766*(1-EXP(-$E766*($F$713*N$707+$G$713*N$647)))+$K$672*MAX($K$667,0)*$H766*(1-EXP(-$G766*($F$713*N$707+$G$713*N$647))))</f>
        <v>0</v>
      </c>
      <c r="O766" s="72">
        <f>-O$679/1000*($J$672*MAX($J$667,0)*$F766*(1-EXP(-$E766*($F$713*O$707+$G$713*O$647)))+$K$672*MAX($K$667,0)*$H766*(1-EXP(-$G766*($F$713*O$707+$G$713*O$647))))</f>
        <v>0</v>
      </c>
      <c r="P766" s="72">
        <f>-P$679/1000*($J$672*MAX($J$667,0)*$F766*(1-EXP(-$E766*($F$713*P$707+$G$713*P$647)))+$K$672*MAX($K$667,0)*$H766*(1-EXP(-$G766*($F$713*P$707+$G$713*P$647))))</f>
        <v>0</v>
      </c>
      <c r="Q766" s="72">
        <f>-Q$679/1000*($J$672*MAX($J$667,0)*$F766*(1-EXP(-$E766*($F$713*Q$707+$G$713*Q$647)))+$K$672*MAX($K$667,0)*$H766*(1-EXP(-$G766*($F$713*Q$707+$G$713*Q$647))))</f>
        <v>0</v>
      </c>
      <c r="R766" s="72">
        <f>-R$679/1000*($J$672*MAX($J$667,0)*$F766*(1-EXP(-$E766*($F$713*R$707+$G$713*R$647)))+$K$672*MAX($K$667,0)*$H766*(1-EXP(-$G766*($F$713*R$707+$G$713*R$647))))</f>
        <v>0</v>
      </c>
      <c r="S766" s="72">
        <f>-S$679/1000*($J$672*MAX($J$667,0)*$F766*(1-EXP(-$E766*($F$713*S$707+$G$713*S$647)))+$K$672*MAX($K$667,0)*$H766*(1-EXP(-$G766*($F$713*S$707+$G$713*S$647))))</f>
        <v>0</v>
      </c>
      <c r="T766" s="72">
        <f>-T$679/1000*($J$672*MAX($J$667,0)*$F766*(1-EXP(-$E766*($F$713*T$707+$G$713*T$647)))+$K$672*MAX($K$667,0)*$H766*(1-EXP(-$G766*($F$713*T$707+$G$713*T$647))))</f>
        <v>0</v>
      </c>
      <c r="U766" s="72">
        <f>-U$679/1000*($J$672*MAX($J$667,0)*$F766*(1-EXP(-$E766*($F$713*U$707+$G$713*U$647)))+$K$672*MAX($K$667,0)*$H766*(1-EXP(-$G766*($F$713*U$707+$G$713*U$647))))</f>
        <v>0</v>
      </c>
      <c r="V766" s="72">
        <f>-V$679/1000*($J$672*MAX($J$667,0)*$F766*(1-EXP(-$E766*($F$713*V$707+$G$713*V$647)))+$K$672*MAX($K$667,0)*$H766*(1-EXP(-$G766*($F$713*V$707+$G$713*V$647))))</f>
        <v>0</v>
      </c>
      <c r="W766" s="72">
        <f>-W$679/1000*($J$672*MAX($J$667,0)*$F766*(1-EXP(-$E766*($F$713*W$707+$G$713*W$647)))+$K$672*MAX($K$667,0)*$H766*(1-EXP(-$G766*($F$713*W$707+$G$713*W$647))))</f>
        <v>0</v>
      </c>
      <c r="X766" s="72">
        <f>-X$679/1000*($J$672*MAX($J$667,0)*$F766*(1-EXP(-$E766*($F$713*X$707+$G$713*X$647)))+$K$672*MAX($K$667,0)*$H766*(1-EXP(-$G766*($F$713*X$707+$G$713*X$647))))</f>
        <v>0</v>
      </c>
      <c r="Y766" s="72">
        <f>-Y$679/1000*($J$672*MAX($J$667,0)*$F766*(1-EXP(-$E766*($F$713*Y$707+$G$713*Y$647)))+$K$672*MAX($K$667,0)*$H766*(1-EXP(-$G766*($F$713*Y$707+$G$713*Y$647))))</f>
        <v>0</v>
      </c>
      <c r="Z766" s="72">
        <f>-Z$679/1000*($J$672*MAX($J$667,0)*$F766*(1-EXP(-$E766*($F$713*Z$707+$G$713*Z$647)))+$K$672*MAX($K$667,0)*$H766*(1-EXP(-$G766*($F$713*Z$707+$G$713*Z$647))))</f>
        <v>0</v>
      </c>
      <c r="AA766" s="72">
        <f>-AA$679/1000*($J$672*MAX($J$667,0)*$F766*(1-EXP(-$E766*($F$713*AA$707+$G$713*AA$647)))+$K$672*MAX($K$667,0)*$H766*(1-EXP(-$G766*($F$713*AA$707+$G$713*AA$647))))</f>
        <v>0</v>
      </c>
      <c r="AB766" s="72">
        <f>-AB$679/1000*($J$672*MAX($J$667,0)*$F766*(1-EXP(-$E766*($F$713*AB$707+$G$713*AB$647)))+$K$672*MAX($K$667,0)*$H766*(1-EXP(-$G766*($F$713*AB$707+$G$713*AB$647))))</f>
        <v>0</v>
      </c>
      <c r="AC766" s="72">
        <f>-AC$679/1000*($J$672*MAX($J$667,0)*$F766*(1-EXP(-$E766*($F$713*AC$707+$G$713*AC$647)))+$K$672*MAX($K$667,0)*$H766*(1-EXP(-$G766*($F$713*AC$707+$G$713*AC$647))))</f>
        <v>0</v>
      </c>
      <c r="AD766" s="72">
        <f>-AD$679/1000*($J$672*MAX($J$667,0)*$F766*(1-EXP(-$E766*($F$713*AD$707+$G$713*AD$647)))+$K$672*MAX($K$667,0)*$H766*(1-EXP(-$G766*($F$713*AD$707+$G$713*AD$647))))</f>
        <v>0</v>
      </c>
      <c r="AE766" s="72">
        <f>-AE$679/1000*($J$672*MAX($J$667,0)*$F766*(1-EXP(-$E766*($F$713*AE$707+$G$713*AE$647)))+$K$672*MAX($K$667,0)*$H766*(1-EXP(-$G766*($F$713*AE$707+$G$713*AE$647))))</f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>-L$680/1000*($J$672*MAX($J$668,0)*$F767*(1-EXP(-$E767*($F$714*L$707+$G$714*L$647)))+$K$672*MAX($K$668,0)*$H767*(1-EXP(-$G767*($F$714*L$707+$G$714*L$647))))</f>
        <v>0</v>
      </c>
      <c r="M767" s="72">
        <f>-M$680/1000*($J$672*MAX($J$668,0)*$F767*(1-EXP(-$E767*($F$714*M$707+$G$714*M$647)))+$K$672*MAX($K$668,0)*$H767*(1-EXP(-$G767*($F$714*M$707+$G$714*M$647))))</f>
        <v>0</v>
      </c>
      <c r="N767" s="72">
        <f>-N$680/1000*($J$672*MAX($J$668,0)*$F767*(1-EXP(-$E767*($F$714*N$707+$G$714*N$647)))+$K$672*MAX($K$668,0)*$H767*(1-EXP(-$G767*($F$714*N$707+$G$714*N$647))))</f>
        <v>0</v>
      </c>
      <c r="O767" s="72">
        <f>-O$680/1000*($J$672*MAX($J$668,0)*$F767*(1-EXP(-$E767*($F$714*O$707+$G$714*O$647)))+$K$672*MAX($K$668,0)*$H767*(1-EXP(-$G767*($F$714*O$707+$G$714*O$647))))</f>
        <v>0</v>
      </c>
      <c r="P767" s="72">
        <f>-P$680/1000*($J$672*MAX($J$668,0)*$F767*(1-EXP(-$E767*($F$714*P$707+$G$714*P$647)))+$K$672*MAX($K$668,0)*$H767*(1-EXP(-$G767*($F$714*P$707+$G$714*P$647))))</f>
        <v>0</v>
      </c>
      <c r="Q767" s="72">
        <f>-Q$680/1000*($J$672*MAX($J$668,0)*$F767*(1-EXP(-$E767*($F$714*Q$707+$G$714*Q$647)))+$K$672*MAX($K$668,0)*$H767*(1-EXP(-$G767*($F$714*Q$707+$G$714*Q$647))))</f>
        <v>0</v>
      </c>
      <c r="R767" s="72">
        <f>-R$680/1000*($J$672*MAX($J$668,0)*$F767*(1-EXP(-$E767*($F$714*R$707+$G$714*R$647)))+$K$672*MAX($K$668,0)*$H767*(1-EXP(-$G767*($F$714*R$707+$G$714*R$647))))</f>
        <v>0</v>
      </c>
      <c r="S767" s="72">
        <f>-S$680/1000*($J$672*MAX($J$668,0)*$F767*(1-EXP(-$E767*($F$714*S$707+$G$714*S$647)))+$K$672*MAX($K$668,0)*$H767*(1-EXP(-$G767*($F$714*S$707+$G$714*S$647))))</f>
        <v>0</v>
      </c>
      <c r="T767" s="72">
        <f>-T$680/1000*($J$672*MAX($J$668,0)*$F767*(1-EXP(-$E767*($F$714*T$707+$G$714*T$647)))+$K$672*MAX($K$668,0)*$H767*(1-EXP(-$G767*($F$714*T$707+$G$714*T$647))))</f>
        <v>0</v>
      </c>
      <c r="U767" s="72">
        <f>-U$680/1000*($J$672*MAX($J$668,0)*$F767*(1-EXP(-$E767*($F$714*U$707+$G$714*U$647)))+$K$672*MAX($K$668,0)*$H767*(1-EXP(-$G767*($F$714*U$707+$G$714*U$647))))</f>
        <v>0</v>
      </c>
      <c r="V767" s="72">
        <f>-V$680/1000*($J$672*MAX($J$668,0)*$F767*(1-EXP(-$E767*($F$714*V$707+$G$714*V$647)))+$K$672*MAX($K$668,0)*$H767*(1-EXP(-$G767*($F$714*V$707+$G$714*V$647))))</f>
        <v>0</v>
      </c>
      <c r="W767" s="72">
        <f>-W$680/1000*($J$672*MAX($J$668,0)*$F767*(1-EXP(-$E767*($F$714*W$707+$G$714*W$647)))+$K$672*MAX($K$668,0)*$H767*(1-EXP(-$G767*($F$714*W$707+$G$714*W$647))))</f>
        <v>0</v>
      </c>
      <c r="X767" s="72">
        <f>-X$680/1000*($J$672*MAX($J$668,0)*$F767*(1-EXP(-$E767*($F$714*X$707+$G$714*X$647)))+$K$672*MAX($K$668,0)*$H767*(1-EXP(-$G767*($F$714*X$707+$G$714*X$647))))</f>
        <v>0</v>
      </c>
      <c r="Y767" s="72">
        <f>-Y$680/1000*($J$672*MAX($J$668,0)*$F767*(1-EXP(-$E767*($F$714*Y$707+$G$714*Y$647)))+$K$672*MAX($K$668,0)*$H767*(1-EXP(-$G767*($F$714*Y$707+$G$714*Y$647))))</f>
        <v>0</v>
      </c>
      <c r="Z767" s="72">
        <f>-Z$680/1000*($J$672*MAX($J$668,0)*$F767*(1-EXP(-$E767*($F$714*Z$707+$G$714*Z$647)))+$K$672*MAX($K$668,0)*$H767*(1-EXP(-$G767*($F$714*Z$707+$G$714*Z$647))))</f>
        <v>0</v>
      </c>
      <c r="AA767" s="72">
        <f>-AA$680/1000*($J$672*MAX($J$668,0)*$F767*(1-EXP(-$E767*($F$714*AA$707+$G$714*AA$647)))+$K$672*MAX($K$668,0)*$H767*(1-EXP(-$G767*($F$714*AA$707+$G$714*AA$647))))</f>
        <v>0</v>
      </c>
      <c r="AB767" s="72">
        <f>-AB$680/1000*($J$672*MAX($J$668,0)*$F767*(1-EXP(-$E767*($F$714*AB$707+$G$714*AB$647)))+$K$672*MAX($K$668,0)*$H767*(1-EXP(-$G767*($F$714*AB$707+$G$714*AB$647))))</f>
        <v>0</v>
      </c>
      <c r="AC767" s="72">
        <f>-AC$680/1000*($J$672*MAX($J$668,0)*$F767*(1-EXP(-$E767*($F$714*AC$707+$G$714*AC$647)))+$K$672*MAX($K$668,0)*$H767*(1-EXP(-$G767*($F$714*AC$707+$G$714*AC$647))))</f>
        <v>0</v>
      </c>
      <c r="AD767" s="72">
        <f>-AD$680/1000*($J$672*MAX($J$668,0)*$F767*(1-EXP(-$E767*($F$714*AD$707+$G$714*AD$647)))+$K$672*MAX($K$668,0)*$H767*(1-EXP(-$G767*($F$714*AD$707+$G$714*AD$647))))</f>
        <v>0</v>
      </c>
      <c r="AE767" s="72">
        <f>-AE$680/1000*($J$672*MAX($J$668,0)*$F767*(1-EXP(-$E767*($F$714*AE$707+$G$714*AE$647)))+$K$672*MAX($K$668,0)*$H767*(1-EXP(-$G767*($F$714*AE$707+$G$714*AE$647))))</f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>-L$681/1000*($J$672*MAX($J$669,0)*$F768*(1-EXP(-$E768*($F$715*L$707+$G$715*L$647)))+$K$672*MAX($K$669,0)*$H768*(1-EXP(-$G768*($F$715*L$707+$G$715*L$647))))</f>
        <v>0</v>
      </c>
      <c r="M768" s="72">
        <f>-M$681/1000*($J$672*MAX($J$669,0)*$F768*(1-EXP(-$E768*($F$715*M$707+$G$715*M$647)))+$K$672*MAX($K$669,0)*$H768*(1-EXP(-$G768*($F$715*M$707+$G$715*M$647))))</f>
        <v>0</v>
      </c>
      <c r="N768" s="72">
        <f>-N$681/1000*($J$672*MAX($J$669,0)*$F768*(1-EXP(-$E768*($F$715*N$707+$G$715*N$647)))+$K$672*MAX($K$669,0)*$H768*(1-EXP(-$G768*($F$715*N$707+$G$715*N$647))))</f>
        <v>0</v>
      </c>
      <c r="O768" s="72">
        <f>-O$681/1000*($J$672*MAX($J$669,0)*$F768*(1-EXP(-$E768*($F$715*O$707+$G$715*O$647)))+$K$672*MAX($K$669,0)*$H768*(1-EXP(-$G768*($F$715*O$707+$G$715*O$647))))</f>
        <v>0</v>
      </c>
      <c r="P768" s="72">
        <f>-P$681/1000*($J$672*MAX($J$669,0)*$F768*(1-EXP(-$E768*($F$715*P$707+$G$715*P$647)))+$K$672*MAX($K$669,0)*$H768*(1-EXP(-$G768*($F$715*P$707+$G$715*P$647))))</f>
        <v>0</v>
      </c>
      <c r="Q768" s="72">
        <f>-Q$681/1000*($J$672*MAX($J$669,0)*$F768*(1-EXP(-$E768*($F$715*Q$707+$G$715*Q$647)))+$K$672*MAX($K$669,0)*$H768*(1-EXP(-$G768*($F$715*Q$707+$G$715*Q$647))))</f>
        <v>0</v>
      </c>
      <c r="R768" s="72">
        <f>-R$681/1000*($J$672*MAX($J$669,0)*$F768*(1-EXP(-$E768*($F$715*R$707+$G$715*R$647)))+$K$672*MAX($K$669,0)*$H768*(1-EXP(-$G768*($F$715*R$707+$G$715*R$647))))</f>
        <v>0</v>
      </c>
      <c r="S768" s="72">
        <f>-S$681/1000*($J$672*MAX($J$669,0)*$F768*(1-EXP(-$E768*($F$715*S$707+$G$715*S$647)))+$K$672*MAX($K$669,0)*$H768*(1-EXP(-$G768*($F$715*S$707+$G$715*S$647))))</f>
        <v>0</v>
      </c>
      <c r="T768" s="72">
        <f>-T$681/1000*($J$672*MAX($J$669,0)*$F768*(1-EXP(-$E768*($F$715*T$707+$G$715*T$647)))+$K$672*MAX($K$669,0)*$H768*(1-EXP(-$G768*($F$715*T$707+$G$715*T$647))))</f>
        <v>0</v>
      </c>
      <c r="U768" s="72">
        <f>-U$681/1000*($J$672*MAX($J$669,0)*$F768*(1-EXP(-$E768*($F$715*U$707+$G$715*U$647)))+$K$672*MAX($K$669,0)*$H768*(1-EXP(-$G768*($F$715*U$707+$G$715*U$647))))</f>
        <v>0</v>
      </c>
      <c r="V768" s="72">
        <f>-V$681/1000*($J$672*MAX($J$669,0)*$F768*(1-EXP(-$E768*($F$715*V$707+$G$715*V$647)))+$K$672*MAX($K$669,0)*$H768*(1-EXP(-$G768*($F$715*V$707+$G$715*V$647))))</f>
        <v>0</v>
      </c>
      <c r="W768" s="72">
        <f>-W$681/1000*($J$672*MAX($J$669,0)*$F768*(1-EXP(-$E768*($F$715*W$707+$G$715*W$647)))+$K$672*MAX($K$669,0)*$H768*(1-EXP(-$G768*($F$715*W$707+$G$715*W$647))))</f>
        <v>0</v>
      </c>
      <c r="X768" s="72">
        <f>-X$681/1000*($J$672*MAX($J$669,0)*$F768*(1-EXP(-$E768*($F$715*X$707+$G$715*X$647)))+$K$672*MAX($K$669,0)*$H768*(1-EXP(-$G768*($F$715*X$707+$G$715*X$647))))</f>
        <v>0</v>
      </c>
      <c r="Y768" s="72">
        <f>-Y$681/1000*($J$672*MAX($J$669,0)*$F768*(1-EXP(-$E768*($F$715*Y$707+$G$715*Y$647)))+$K$672*MAX($K$669,0)*$H768*(1-EXP(-$G768*($F$715*Y$707+$G$715*Y$647))))</f>
        <v>0</v>
      </c>
      <c r="Z768" s="72">
        <f>-Z$681/1000*($J$672*MAX($J$669,0)*$F768*(1-EXP(-$E768*($F$715*Z$707+$G$715*Z$647)))+$K$672*MAX($K$669,0)*$H768*(1-EXP(-$G768*($F$715*Z$707+$G$715*Z$647))))</f>
        <v>0</v>
      </c>
      <c r="AA768" s="72">
        <f>-AA$681/1000*($J$672*MAX($J$669,0)*$F768*(1-EXP(-$E768*($F$715*AA$707+$G$715*AA$647)))+$K$672*MAX($K$669,0)*$H768*(1-EXP(-$G768*($F$715*AA$707+$G$715*AA$647))))</f>
        <v>0</v>
      </c>
      <c r="AB768" s="72">
        <f>-AB$681/1000*($J$672*MAX($J$669,0)*$F768*(1-EXP(-$E768*($F$715*AB$707+$G$715*AB$647)))+$K$672*MAX($K$669,0)*$H768*(1-EXP(-$G768*($F$715*AB$707+$G$715*AB$647))))</f>
        <v>0</v>
      </c>
      <c r="AC768" s="72">
        <f>-AC$681/1000*($J$672*MAX($J$669,0)*$F768*(1-EXP(-$E768*($F$715*AC$707+$G$715*AC$647)))+$K$672*MAX($K$669,0)*$H768*(1-EXP(-$G768*($F$715*AC$707+$G$715*AC$647))))</f>
        <v>0</v>
      </c>
      <c r="AD768" s="72">
        <f>-AD$681/1000*($J$672*MAX($J$669,0)*$F768*(1-EXP(-$E768*($F$715*AD$707+$G$715*AD$647)))+$K$672*MAX($K$669,0)*$H768*(1-EXP(-$G768*($F$715*AD$707+$G$715*AD$647))))</f>
        <v>0</v>
      </c>
      <c r="AE768" s="72">
        <f>-AE$681/1000*($J$672*MAX($J$669,0)*$F768*(1-EXP(-$E768*($F$715*AE$707+$G$715*AE$647)))+$K$672*MAX($K$669,0)*$H768*(1-EXP(-$G768*($F$715*AE$707+$G$715*AE$647))))</f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>-L$682/1000*($J$672*MAX($J$670,0)*$F769*(1-EXP(-$E769*($F$716*L$707+$G$716*L$647)))+$K$672*MAX($K$670,0)*$H769*(1-EXP(-$G769*($F$716*L$707+$G$716*L$647))))</f>
        <v>0</v>
      </c>
      <c r="M769" s="72">
        <f>-M$682/1000*($J$672*MAX($J$670,0)*$F769*(1-EXP(-$E769*($F$716*M$707+$G$716*M$647)))+$K$672*MAX($K$670,0)*$H769*(1-EXP(-$G769*($F$716*M$707+$G$716*M$647))))</f>
        <v>0</v>
      </c>
      <c r="N769" s="72">
        <f>-N$682/1000*($J$672*MAX($J$670,0)*$F769*(1-EXP(-$E769*($F$716*N$707+$G$716*N$647)))+$K$672*MAX($K$670,0)*$H769*(1-EXP(-$G769*($F$716*N$707+$G$716*N$647))))</f>
        <v>0</v>
      </c>
      <c r="O769" s="72">
        <f>-O$682/1000*($J$672*MAX($J$670,0)*$F769*(1-EXP(-$E769*($F$716*O$707+$G$716*O$647)))+$K$672*MAX($K$670,0)*$H769*(1-EXP(-$G769*($F$716*O$707+$G$716*O$647))))</f>
        <v>0</v>
      </c>
      <c r="P769" s="72">
        <f>-P$682/1000*($J$672*MAX($J$670,0)*$F769*(1-EXP(-$E769*($F$716*P$707+$G$716*P$647)))+$K$672*MAX($K$670,0)*$H769*(1-EXP(-$G769*($F$716*P$707+$G$716*P$647))))</f>
        <v>0</v>
      </c>
      <c r="Q769" s="72">
        <f>-Q$682/1000*($J$672*MAX($J$670,0)*$F769*(1-EXP(-$E769*($F$716*Q$707+$G$716*Q$647)))+$K$672*MAX($K$670,0)*$H769*(1-EXP(-$G769*($F$716*Q$707+$G$716*Q$647))))</f>
        <v>0</v>
      </c>
      <c r="R769" s="72">
        <f>-R$682/1000*($J$672*MAX($J$670,0)*$F769*(1-EXP(-$E769*($F$716*R$707+$G$716*R$647)))+$K$672*MAX($K$670,0)*$H769*(1-EXP(-$G769*($F$716*R$707+$G$716*R$647))))</f>
        <v>0</v>
      </c>
      <c r="S769" s="72">
        <f>-S$682/1000*($J$672*MAX($J$670,0)*$F769*(1-EXP(-$E769*($F$716*S$707+$G$716*S$647)))+$K$672*MAX($K$670,0)*$H769*(1-EXP(-$G769*($F$716*S$707+$G$716*S$647))))</f>
        <v>0</v>
      </c>
      <c r="T769" s="72">
        <f>-T$682/1000*($J$672*MAX($J$670,0)*$F769*(1-EXP(-$E769*($F$716*T$707+$G$716*T$647)))+$K$672*MAX($K$670,0)*$H769*(1-EXP(-$G769*($F$716*T$707+$G$716*T$647))))</f>
        <v>0</v>
      </c>
      <c r="U769" s="72">
        <f>-U$682/1000*($J$672*MAX($J$670,0)*$F769*(1-EXP(-$E769*($F$716*U$707+$G$716*U$647)))+$K$672*MAX($K$670,0)*$H769*(1-EXP(-$G769*($F$716*U$707+$G$716*U$647))))</f>
        <v>0</v>
      </c>
      <c r="V769" s="72">
        <f>-V$682/1000*($J$672*MAX($J$670,0)*$F769*(1-EXP(-$E769*($F$716*V$707+$G$716*V$647)))+$K$672*MAX($K$670,0)*$H769*(1-EXP(-$G769*($F$716*V$707+$G$716*V$647))))</f>
        <v>0</v>
      </c>
      <c r="W769" s="72">
        <f>-W$682/1000*($J$672*MAX($J$670,0)*$F769*(1-EXP(-$E769*($F$716*W$707+$G$716*W$647)))+$K$672*MAX($K$670,0)*$H769*(1-EXP(-$G769*($F$716*W$707+$G$716*W$647))))</f>
        <v>0</v>
      </c>
      <c r="X769" s="72">
        <f>-X$682/1000*($J$672*MAX($J$670,0)*$F769*(1-EXP(-$E769*($F$716*X$707+$G$716*X$647)))+$K$672*MAX($K$670,0)*$H769*(1-EXP(-$G769*($F$716*X$707+$G$716*X$647))))</f>
        <v>0</v>
      </c>
      <c r="Y769" s="72">
        <f>-Y$682/1000*($J$672*MAX($J$670,0)*$F769*(1-EXP(-$E769*($F$716*Y$707+$G$716*Y$647)))+$K$672*MAX($K$670,0)*$H769*(1-EXP(-$G769*($F$716*Y$707+$G$716*Y$647))))</f>
        <v>0</v>
      </c>
      <c r="Z769" s="72">
        <f>-Z$682/1000*($J$672*MAX($J$670,0)*$F769*(1-EXP(-$E769*($F$716*Z$707+$G$716*Z$647)))+$K$672*MAX($K$670,0)*$H769*(1-EXP(-$G769*($F$716*Z$707+$G$716*Z$647))))</f>
        <v>0</v>
      </c>
      <c r="AA769" s="72">
        <f>-AA$682/1000*($J$672*MAX($J$670,0)*$F769*(1-EXP(-$E769*($F$716*AA$707+$G$716*AA$647)))+$K$672*MAX($K$670,0)*$H769*(1-EXP(-$G769*($F$716*AA$707+$G$716*AA$647))))</f>
        <v>0</v>
      </c>
      <c r="AB769" s="72">
        <f>-AB$682/1000*($J$672*MAX($J$670,0)*$F769*(1-EXP(-$E769*($F$716*AB$707+$G$716*AB$647)))+$K$672*MAX($K$670,0)*$H769*(1-EXP(-$G769*($F$716*AB$707+$G$716*AB$647))))</f>
        <v>0</v>
      </c>
      <c r="AC769" s="72">
        <f>-AC$682/1000*($J$672*MAX($J$670,0)*$F769*(1-EXP(-$E769*($F$716*AC$707+$G$716*AC$647)))+$K$672*MAX($K$670,0)*$H769*(1-EXP(-$G769*($F$716*AC$707+$G$716*AC$647))))</f>
        <v>0</v>
      </c>
      <c r="AD769" s="72">
        <f>-AD$682/1000*($J$672*MAX($J$670,0)*$F769*(1-EXP(-$E769*($F$716*AD$707+$G$716*AD$647)))+$K$672*MAX($K$670,0)*$H769*(1-EXP(-$G769*($F$716*AD$707+$G$716*AD$647))))</f>
        <v>0</v>
      </c>
      <c r="AE769" s="72">
        <f>-AE$682/1000*($J$672*MAX($J$670,0)*$F769*(1-EXP(-$E769*($F$716*AE$707+$G$716*AE$647)))+$K$672*MAX($K$670,0)*$H769*(1-EXP(-$G769*($F$716*AE$707+$G$716*AE$647))))</f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77">SUM(L762:L769)</f>
        <v>0</v>
      </c>
      <c r="M770" s="72">
        <f t="shared" si="377"/>
        <v>0</v>
      </c>
      <c r="N770" s="72">
        <f t="shared" si="377"/>
        <v>0</v>
      </c>
      <c r="O770" s="72">
        <f t="shared" si="377"/>
        <v>0</v>
      </c>
      <c r="P770" s="72">
        <f t="shared" si="377"/>
        <v>0</v>
      </c>
      <c r="Q770" s="72">
        <f t="shared" si="377"/>
        <v>0</v>
      </c>
      <c r="R770" s="72">
        <f t="shared" si="377"/>
        <v>0</v>
      </c>
      <c r="S770" s="72">
        <f t="shared" si="377"/>
        <v>0</v>
      </c>
      <c r="T770" s="72">
        <f t="shared" si="377"/>
        <v>0</v>
      </c>
      <c r="U770" s="72">
        <f t="shared" si="377"/>
        <v>0</v>
      </c>
      <c r="V770" s="72">
        <f t="shared" si="377"/>
        <v>0</v>
      </c>
      <c r="W770" s="72">
        <f t="shared" si="377"/>
        <v>0</v>
      </c>
      <c r="X770" s="72">
        <f t="shared" si="377"/>
        <v>0</v>
      </c>
      <c r="Y770" s="72">
        <f t="shared" si="377"/>
        <v>0</v>
      </c>
      <c r="Z770" s="72">
        <f t="shared" si="377"/>
        <v>0</v>
      </c>
      <c r="AA770" s="72">
        <f t="shared" si="377"/>
        <v>0</v>
      </c>
      <c r="AB770" s="72">
        <f t="shared" si="377"/>
        <v>0</v>
      </c>
      <c r="AC770" s="72">
        <f t="shared" si="377"/>
        <v>0</v>
      </c>
      <c r="AD770" s="72">
        <f t="shared" si="377"/>
        <v>0</v>
      </c>
      <c r="AE770" s="72">
        <f t="shared" si="377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78">SUM(L733:L735)+SUM(L755:L757)</f>
        <v>3.5290636333347374</v>
      </c>
      <c r="M773" s="72">
        <f t="shared" si="378"/>
        <v>3.6067030332681016</v>
      </c>
      <c r="N773" s="72">
        <f t="shared" si="378"/>
        <v>3.6860504999999999</v>
      </c>
      <c r="O773" s="72">
        <f t="shared" si="378"/>
        <v>3.7671436109999994</v>
      </c>
      <c r="P773" s="72">
        <f t="shared" si="378"/>
        <v>3.8500207704419993</v>
      </c>
      <c r="Q773" s="72">
        <f t="shared" si="378"/>
        <v>3.9347212273917234</v>
      </c>
      <c r="R773" s="72">
        <f t="shared" si="378"/>
        <v>4.0212850943943419</v>
      </c>
      <c r="S773" s="72">
        <f t="shared" si="378"/>
        <v>4.1097533664710166</v>
      </c>
      <c r="T773" s="72">
        <f t="shared" si="378"/>
        <v>4.2001679405333787</v>
      </c>
      <c r="U773" s="72">
        <f t="shared" si="378"/>
        <v>4.292571635225114</v>
      </c>
      <c r="V773" s="72">
        <f t="shared" si="378"/>
        <v>4.3870082112000661</v>
      </c>
      <c r="W773" s="72">
        <f t="shared" si="378"/>
        <v>4.4835223918464688</v>
      </c>
      <c r="X773" s="72">
        <f t="shared" si="378"/>
        <v>4.5821598844670905</v>
      </c>
      <c r="Y773" s="72">
        <f t="shared" si="378"/>
        <v>4.6829674019253673</v>
      </c>
      <c r="Z773" s="72">
        <f t="shared" si="378"/>
        <v>4.7859926847677254</v>
      </c>
      <c r="AA773" s="72">
        <f t="shared" si="378"/>
        <v>4.8912845238326152</v>
      </c>
      <c r="AB773" s="72">
        <f t="shared" si="378"/>
        <v>4.9988927833569319</v>
      </c>
      <c r="AC773" s="72">
        <f t="shared" si="378"/>
        <v>5.1088684245907858</v>
      </c>
      <c r="AD773" s="72">
        <f t="shared" si="378"/>
        <v>5.2212635299317824</v>
      </c>
      <c r="AE773" s="72">
        <f t="shared" si="378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79">SUM(L729:L731)+SUM(L751:L753)</f>
        <v>3.8464212577619237</v>
      </c>
      <c r="M774" s="72">
        <f t="shared" si="379"/>
        <v>4.0156637931034478</v>
      </c>
      <c r="N774" s="72">
        <f t="shared" si="379"/>
        <v>4.1923530000000007</v>
      </c>
      <c r="O774" s="72">
        <f t="shared" si="379"/>
        <v>4.3768165320000012</v>
      </c>
      <c r="P774" s="72">
        <f t="shared" si="379"/>
        <v>4.5693964594080008</v>
      </c>
      <c r="Q774" s="72">
        <f t="shared" si="379"/>
        <v>4.7704499036219534</v>
      </c>
      <c r="R774" s="72">
        <f t="shared" si="379"/>
        <v>4.9803496993813186</v>
      </c>
      <c r="S774" s="72">
        <f t="shared" si="379"/>
        <v>5.1994850861540982</v>
      </c>
      <c r="T774" s="72">
        <f t="shared" si="379"/>
        <v>5.4282624299448781</v>
      </c>
      <c r="U774" s="72">
        <f t="shared" si="379"/>
        <v>5.6671059768624525</v>
      </c>
      <c r="V774" s="72">
        <f t="shared" si="379"/>
        <v>5.9164586398444019</v>
      </c>
      <c r="W774" s="72">
        <f t="shared" si="379"/>
        <v>6.1767828199975545</v>
      </c>
      <c r="X774" s="72">
        <f t="shared" si="379"/>
        <v>6.4485612640774477</v>
      </c>
      <c r="Y774" s="72">
        <f t="shared" si="379"/>
        <v>6.7322979596968553</v>
      </c>
      <c r="Z774" s="72">
        <f t="shared" si="379"/>
        <v>7.0285190699235169</v>
      </c>
      <c r="AA774" s="72">
        <f t="shared" si="379"/>
        <v>7.3377739090001519</v>
      </c>
      <c r="AB774" s="72">
        <f t="shared" si="379"/>
        <v>7.6606359609961583</v>
      </c>
      <c r="AC774" s="72">
        <f t="shared" si="379"/>
        <v>7.9977039432799906</v>
      </c>
      <c r="AD774" s="72">
        <f t="shared" si="379"/>
        <v>8.3496029167843098</v>
      </c>
      <c r="AE774" s="72">
        <f t="shared" si="379"/>
        <v>8.7169854451228197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80">L736+L758</f>
        <v>4.2047573055412055E-2</v>
      </c>
      <c r="M775" s="72">
        <f t="shared" si="380"/>
        <v>4.4360189573459712E-2</v>
      </c>
      <c r="N775" s="72">
        <f t="shared" si="380"/>
        <v>4.6799999999999994E-2</v>
      </c>
      <c r="O775" s="72">
        <f t="shared" si="380"/>
        <v>4.9374000000000001E-2</v>
      </c>
      <c r="P775" s="72">
        <f t="shared" si="380"/>
        <v>5.2089569999999995E-2</v>
      </c>
      <c r="Q775" s="72">
        <f t="shared" si="380"/>
        <v>5.4954496349999993E-2</v>
      </c>
      <c r="R775" s="72">
        <f t="shared" si="380"/>
        <v>5.7976993649249998E-2</v>
      </c>
      <c r="S775" s="72">
        <f t="shared" si="380"/>
        <v>6.1165728299958741E-2</v>
      </c>
      <c r="T775" s="72">
        <f t="shared" si="380"/>
        <v>6.4529843356456465E-2</v>
      </c>
      <c r="U775" s="72">
        <f t="shared" si="380"/>
        <v>6.8078984741061568E-2</v>
      </c>
      <c r="V775" s="72">
        <f t="shared" si="380"/>
        <v>7.1823328901819944E-2</v>
      </c>
      <c r="W775" s="72">
        <f t="shared" si="380"/>
        <v>7.5773611991420048E-2</v>
      </c>
      <c r="X775" s="72">
        <f t="shared" si="380"/>
        <v>7.9941160650948154E-2</v>
      </c>
      <c r="Y775" s="72">
        <f t="shared" si="380"/>
        <v>8.4337924486750301E-2</v>
      </c>
      <c r="Z775" s="72">
        <f t="shared" si="380"/>
        <v>8.8976510333521566E-2</v>
      </c>
      <c r="AA775" s="72">
        <f t="shared" si="380"/>
        <v>9.3870218401865241E-2</v>
      </c>
      <c r="AB775" s="72">
        <f t="shared" si="380"/>
        <v>9.9033080413967828E-2</v>
      </c>
      <c r="AC775" s="72">
        <f t="shared" si="380"/>
        <v>0.10447989983673606</v>
      </c>
      <c r="AD775" s="72">
        <f t="shared" si="380"/>
        <v>0.11022629432775652</v>
      </c>
      <c r="AE775" s="72">
        <f t="shared" si="380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81">L732+L754</f>
        <v>13.508713893592759</v>
      </c>
      <c r="M777" s="72">
        <f t="shared" si="381"/>
        <v>13.954501452081319</v>
      </c>
      <c r="N777" s="72">
        <f t="shared" si="381"/>
        <v>14.414999999999999</v>
      </c>
      <c r="O777" s="72">
        <f t="shared" si="381"/>
        <v>14.890694999999997</v>
      </c>
      <c r="P777" s="72">
        <f t="shared" si="381"/>
        <v>15.382087934999998</v>
      </c>
      <c r="Q777" s="72">
        <f t="shared" si="381"/>
        <v>15.889696836854995</v>
      </c>
      <c r="R777" s="72">
        <f t="shared" si="381"/>
        <v>16.414056832471207</v>
      </c>
      <c r="S777" s="72">
        <f t="shared" si="381"/>
        <v>16.955720707942756</v>
      </c>
      <c r="T777" s="72">
        <f t="shared" si="381"/>
        <v>17.515259491304867</v>
      </c>
      <c r="U777" s="72">
        <f t="shared" si="381"/>
        <v>18.093263054517926</v>
      </c>
      <c r="V777" s="72">
        <f t="shared" si="381"/>
        <v>18.690340735317015</v>
      </c>
      <c r="W777" s="72">
        <f t="shared" si="381"/>
        <v>19.307121979582476</v>
      </c>
      <c r="X777" s="72">
        <f t="shared" si="381"/>
        <v>19.944257004908696</v>
      </c>
      <c r="Y777" s="72">
        <f t="shared" si="381"/>
        <v>20.602417486070681</v>
      </c>
      <c r="Z777" s="72">
        <f t="shared" si="381"/>
        <v>21.282297263111012</v>
      </c>
      <c r="AA777" s="72">
        <f t="shared" si="381"/>
        <v>21.984613072793675</v>
      </c>
      <c r="AB777" s="72">
        <f t="shared" si="381"/>
        <v>22.710105304195867</v>
      </c>
      <c r="AC777" s="72">
        <f t="shared" si="381"/>
        <v>23.459538779234329</v>
      </c>
      <c r="AD777" s="72">
        <f t="shared" si="381"/>
        <v>24.23370355894906</v>
      </c>
      <c r="AE777" s="72">
        <f t="shared" si="381"/>
        <v>25.033415776394378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82">SUM(L773:L777)</f>
        <v>20.926246357744834</v>
      </c>
      <c r="M778" s="72">
        <f t="shared" si="382"/>
        <v>21.621228468026327</v>
      </c>
      <c r="N778" s="72">
        <f t="shared" si="382"/>
        <v>22.340203500000001</v>
      </c>
      <c r="O778" s="72">
        <f t="shared" si="382"/>
        <v>23.084029142999999</v>
      </c>
      <c r="P778" s="72">
        <f t="shared" si="382"/>
        <v>23.853594734849999</v>
      </c>
      <c r="Q778" s="72">
        <f t="shared" si="382"/>
        <v>24.649822464218673</v>
      </c>
      <c r="R778" s="72">
        <f t="shared" si="382"/>
        <v>25.473668619896117</v>
      </c>
      <c r="S778" s="72">
        <f t="shared" si="382"/>
        <v>26.326124888867831</v>
      </c>
      <c r="T778" s="72">
        <f t="shared" si="382"/>
        <v>27.20821970513958</v>
      </c>
      <c r="U778" s="72">
        <f t="shared" si="382"/>
        <v>28.121019651346558</v>
      </c>
      <c r="V778" s="72">
        <f t="shared" si="382"/>
        <v>29.065630915263306</v>
      </c>
      <c r="W778" s="72">
        <f t="shared" si="382"/>
        <v>30.043200803417918</v>
      </c>
      <c r="X778" s="72">
        <f t="shared" si="382"/>
        <v>31.054919314104183</v>
      </c>
      <c r="Y778" s="72">
        <f t="shared" si="382"/>
        <v>32.102020772179657</v>
      </c>
      <c r="Z778" s="72">
        <f t="shared" si="382"/>
        <v>33.185785528135774</v>
      </c>
      <c r="AA778" s="72">
        <f t="shared" si="382"/>
        <v>34.307541724028304</v>
      </c>
      <c r="AB778" s="72">
        <f t="shared" si="382"/>
        <v>35.46866712896292</v>
      </c>
      <c r="AC778" s="72">
        <f t="shared" si="382"/>
        <v>36.670591046941837</v>
      </c>
      <c r="AD778" s="72">
        <f t="shared" si="382"/>
        <v>37.914796299992908</v>
      </c>
      <c r="AE778" s="72">
        <f t="shared" si="382"/>
        <v>39.202821289623259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1873</v>
      </c>
      <c r="E779" s="72" t="s">
        <v>1874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83">L$778+L$789</f>
        <v>47.016585657660869</v>
      </c>
      <c r="M779" s="72">
        <f t="shared" si="383"/>
        <v>48.583140104124077</v>
      </c>
      <c r="N779" s="72">
        <f t="shared" si="383"/>
        <v>50.203203500000001</v>
      </c>
      <c r="O779" s="72">
        <f t="shared" si="383"/>
        <v>51.878652142999996</v>
      </c>
      <c r="P779" s="72">
        <f t="shared" si="383"/>
        <v>53.611430083849996</v>
      </c>
      <c r="Q779" s="72">
        <f t="shared" si="383"/>
        <v>55.403551656613665</v>
      </c>
      <c r="R779" s="72">
        <f t="shared" si="383"/>
        <v>57.257104107200519</v>
      </c>
      <c r="S779" s="72">
        <f t="shared" si="383"/>
        <v>59.174250324032492</v>
      </c>
      <c r="T779" s="72">
        <f t="shared" si="383"/>
        <v>61.157231675010621</v>
      </c>
      <c r="U779" s="72">
        <f t="shared" si="383"/>
        <v>63.208370955098921</v>
      </c>
      <c r="V779" s="72">
        <f t="shared" si="383"/>
        <v>65.330075449025713</v>
      </c>
      <c r="W779" s="72">
        <f t="shared" si="383"/>
        <v>67.52484011379407</v>
      </c>
      <c r="X779" s="72">
        <f t="shared" si="383"/>
        <v>69.795250885892756</v>
      </c>
      <c r="Y779" s="72">
        <f t="shared" si="383"/>
        <v>72.143988118307959</v>
      </c>
      <c r="Z779" s="72">
        <f t="shared" si="383"/>
        <v>74.573830152653855</v>
      </c>
      <c r="AA779" s="72">
        <f t="shared" si="383"/>
        <v>77.087657031968206</v>
      </c>
      <c r="AB779" s="72">
        <f t="shared" si="383"/>
        <v>79.688454359956467</v>
      </c>
      <c r="AC779" s="72">
        <f t="shared" si="383"/>
        <v>82.37931731271712</v>
      </c>
      <c r="AD779" s="72">
        <f t="shared" si="383"/>
        <v>85.163454809240363</v>
      </c>
      <c r="AE779" s="72">
        <f t="shared" si="383"/>
        <v>88.044193847243605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1875</v>
      </c>
      <c r="E780" s="72" t="s">
        <v>1874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84">L$759+L$770</f>
        <v>0</v>
      </c>
      <c r="M780" s="72">
        <f t="shared" si="384"/>
        <v>0</v>
      </c>
      <c r="N780" s="72">
        <f t="shared" si="384"/>
        <v>0</v>
      </c>
      <c r="O780" s="72">
        <f t="shared" si="384"/>
        <v>0</v>
      </c>
      <c r="P780" s="72">
        <f t="shared" si="384"/>
        <v>0</v>
      </c>
      <c r="Q780" s="72">
        <f t="shared" si="384"/>
        <v>0</v>
      </c>
      <c r="R780" s="72">
        <f t="shared" si="384"/>
        <v>0</v>
      </c>
      <c r="S780" s="72">
        <f t="shared" si="384"/>
        <v>0</v>
      </c>
      <c r="T780" s="72">
        <f t="shared" si="384"/>
        <v>0</v>
      </c>
      <c r="U780" s="72">
        <f t="shared" si="384"/>
        <v>0</v>
      </c>
      <c r="V780" s="72">
        <f t="shared" si="384"/>
        <v>0</v>
      </c>
      <c r="W780" s="72">
        <f t="shared" si="384"/>
        <v>0</v>
      </c>
      <c r="X780" s="72">
        <f t="shared" si="384"/>
        <v>0</v>
      </c>
      <c r="Y780" s="72">
        <f t="shared" si="384"/>
        <v>0</v>
      </c>
      <c r="Z780" s="72">
        <f t="shared" si="384"/>
        <v>0</v>
      </c>
      <c r="AA780" s="72">
        <f t="shared" si="384"/>
        <v>0</v>
      </c>
      <c r="AB780" s="72">
        <f t="shared" si="384"/>
        <v>0</v>
      </c>
      <c r="AC780" s="72">
        <f t="shared" si="384"/>
        <v>0</v>
      </c>
      <c r="AD780" s="72">
        <f t="shared" si="384"/>
        <v>0</v>
      </c>
      <c r="AE780" s="72">
        <f t="shared" si="384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1905</v>
      </c>
      <c r="E781" s="72" t="s">
        <v>1876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85">SUMPRODUCT((L$729:L$736+L$751:L$758)*$I$729:$I$736*($F$698:$F$705*L$646+$G$698:$G$705*L$647))</f>
        <v>0</v>
      </c>
      <c r="M781" s="72">
        <f t="shared" si="385"/>
        <v>0</v>
      </c>
      <c r="N781" s="72">
        <f t="shared" si="385"/>
        <v>0</v>
      </c>
      <c r="O781" s="72">
        <f t="shared" si="385"/>
        <v>0</v>
      </c>
      <c r="P781" s="72">
        <f t="shared" si="385"/>
        <v>0</v>
      </c>
      <c r="Q781" s="72">
        <f t="shared" si="385"/>
        <v>308.12278080273342</v>
      </c>
      <c r="R781" s="72">
        <f t="shared" si="385"/>
        <v>636.8417154974029</v>
      </c>
      <c r="S781" s="72">
        <f t="shared" si="385"/>
        <v>987.22968333254369</v>
      </c>
      <c r="T781" s="72">
        <f t="shared" si="385"/>
        <v>1360.4109852569791</v>
      </c>
      <c r="U781" s="72">
        <f t="shared" si="385"/>
        <v>1757.56372820916</v>
      </c>
      <c r="V781" s="72">
        <f t="shared" si="385"/>
        <v>2179.922318644748</v>
      </c>
      <c r="W781" s="72">
        <f t="shared" si="385"/>
        <v>2628.780070299068</v>
      </c>
      <c r="X781" s="72">
        <f t="shared" si="385"/>
        <v>3105.4919314104181</v>
      </c>
      <c r="Y781" s="72">
        <f t="shared" si="385"/>
        <v>3611.4773368702113</v>
      </c>
      <c r="Z781" s="72">
        <f t="shared" si="385"/>
        <v>4148.2231910169721</v>
      </c>
      <c r="AA781" s="72">
        <f t="shared" si="385"/>
        <v>4717.2869870538907</v>
      </c>
      <c r="AB781" s="72">
        <f t="shared" si="385"/>
        <v>5320.3000693444392</v>
      </c>
      <c r="AC781" s="72">
        <f t="shared" si="385"/>
        <v>5958.9710451280498</v>
      </c>
      <c r="AD781" s="72">
        <f t="shared" si="385"/>
        <v>6635.0893524987587</v>
      </c>
      <c r="AE781" s="72">
        <f t="shared" si="385"/>
        <v>7350.5289918043609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1924</v>
      </c>
      <c r="E782" s="72" t="s">
        <v>1876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86">SUMPRODUCT((L$740:L$747*$J$729:$J$736+L$762:L$769)*($F$709:$F$716*L$707+$G$709:$G$716*L$647))</f>
        <v>0</v>
      </c>
      <c r="M782" s="72">
        <f t="shared" si="386"/>
        <v>0</v>
      </c>
      <c r="N782" s="72">
        <f t="shared" si="386"/>
        <v>0</v>
      </c>
      <c r="O782" s="72">
        <f t="shared" si="386"/>
        <v>0</v>
      </c>
      <c r="P782" s="72">
        <f t="shared" si="386"/>
        <v>0</v>
      </c>
      <c r="Q782" s="72">
        <f t="shared" si="386"/>
        <v>0</v>
      </c>
      <c r="R782" s="72">
        <f t="shared" si="386"/>
        <v>0</v>
      </c>
      <c r="S782" s="72">
        <f t="shared" si="386"/>
        <v>0</v>
      </c>
      <c r="T782" s="72">
        <f t="shared" si="386"/>
        <v>0</v>
      </c>
      <c r="U782" s="72">
        <f t="shared" si="386"/>
        <v>0</v>
      </c>
      <c r="V782" s="72">
        <f t="shared" si="386"/>
        <v>0</v>
      </c>
      <c r="W782" s="72">
        <f t="shared" si="386"/>
        <v>0</v>
      </c>
      <c r="X782" s="72">
        <f t="shared" si="386"/>
        <v>0</v>
      </c>
      <c r="Y782" s="72">
        <f t="shared" si="386"/>
        <v>0</v>
      </c>
      <c r="Z782" s="72">
        <f t="shared" si="386"/>
        <v>0</v>
      </c>
      <c r="AA782" s="72">
        <f t="shared" si="386"/>
        <v>0</v>
      </c>
      <c r="AB782" s="72">
        <f t="shared" si="386"/>
        <v>0</v>
      </c>
      <c r="AC782" s="72">
        <f t="shared" si="386"/>
        <v>0</v>
      </c>
      <c r="AD782" s="72">
        <f t="shared" si="386"/>
        <v>0</v>
      </c>
      <c r="AE782" s="72">
        <f t="shared" si="386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87">SUM(L744:L746)+SUM(L766:L768)</f>
        <v>0.55721293959505358</v>
      </c>
      <c r="M784" s="72">
        <f t="shared" si="387"/>
        <v>0.56947162426614473</v>
      </c>
      <c r="N784" s="72">
        <f t="shared" si="387"/>
        <v>0.58199999999999996</v>
      </c>
      <c r="O784" s="72">
        <f t="shared" si="387"/>
        <v>0.594804</v>
      </c>
      <c r="P784" s="72">
        <f t="shared" si="387"/>
        <v>0.60788968800000009</v>
      </c>
      <c r="Q784" s="72">
        <f t="shared" si="387"/>
        <v>0.62126326113599994</v>
      </c>
      <c r="R784" s="72">
        <f t="shared" si="387"/>
        <v>0.63493105288099194</v>
      </c>
      <c r="S784" s="72">
        <f t="shared" si="387"/>
        <v>0.64889953604437378</v>
      </c>
      <c r="T784" s="72">
        <f t="shared" si="387"/>
        <v>0.66317532583735006</v>
      </c>
      <c r="U784" s="72">
        <f t="shared" si="387"/>
        <v>0.67776518300577182</v>
      </c>
      <c r="V784" s="72">
        <f t="shared" si="387"/>
        <v>0.69267601703189885</v>
      </c>
      <c r="W784" s="72">
        <f t="shared" si="387"/>
        <v>0.70791488940660052</v>
      </c>
      <c r="X784" s="72">
        <f t="shared" si="387"/>
        <v>0.72348901697354573</v>
      </c>
      <c r="Y784" s="72">
        <f t="shared" si="387"/>
        <v>0.73940577534696372</v>
      </c>
      <c r="Z784" s="72">
        <f t="shared" si="387"/>
        <v>0.75567270240459705</v>
      </c>
      <c r="AA784" s="72">
        <f t="shared" si="387"/>
        <v>0.77229750185749824</v>
      </c>
      <c r="AB784" s="72">
        <f t="shared" si="387"/>
        <v>0.78928804689836318</v>
      </c>
      <c r="AC784" s="72">
        <f t="shared" si="387"/>
        <v>0.80665238393012717</v>
      </c>
      <c r="AD784" s="72">
        <f t="shared" si="387"/>
        <v>0.82439873637659</v>
      </c>
      <c r="AE784" s="72">
        <f t="shared" si="387"/>
        <v>0.84253550857687498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88">SUM(L740:L742)+SUM(L762:L764)</f>
        <v>0.25322587748271458</v>
      </c>
      <c r="M785" s="72">
        <f t="shared" si="388"/>
        <v>0.26436781609195403</v>
      </c>
      <c r="N785" s="72">
        <f t="shared" si="388"/>
        <v>0.27599999999999997</v>
      </c>
      <c r="O785" s="72">
        <f t="shared" si="388"/>
        <v>0.28814400000000001</v>
      </c>
      <c r="P785" s="72">
        <f t="shared" si="388"/>
        <v>0.30082233600000008</v>
      </c>
      <c r="Q785" s="72">
        <f t="shared" si="388"/>
        <v>0.31405851878400004</v>
      </c>
      <c r="R785" s="72">
        <f t="shared" si="388"/>
        <v>0.32787709361049611</v>
      </c>
      <c r="S785" s="72">
        <f t="shared" si="388"/>
        <v>0.34230368572935788</v>
      </c>
      <c r="T785" s="72">
        <f t="shared" si="388"/>
        <v>0.35736504790144968</v>
      </c>
      <c r="U785" s="72">
        <f t="shared" si="388"/>
        <v>0.37308911000911349</v>
      </c>
      <c r="V785" s="72">
        <f t="shared" si="388"/>
        <v>0.38950503084951449</v>
      </c>
      <c r="W785" s="72">
        <f t="shared" si="388"/>
        <v>0.40664325220689312</v>
      </c>
      <c r="X785" s="72">
        <f t="shared" si="388"/>
        <v>0.42453555530399645</v>
      </c>
      <c r="Y785" s="72">
        <f t="shared" si="388"/>
        <v>0.44321511973737227</v>
      </c>
      <c r="Z785" s="72">
        <f t="shared" si="388"/>
        <v>0.46271658500581669</v>
      </c>
      <c r="AA785" s="72">
        <f t="shared" si="388"/>
        <v>0.48307611474607259</v>
      </c>
      <c r="AB785" s="72">
        <f t="shared" si="388"/>
        <v>0.5043314637948999</v>
      </c>
      <c r="AC785" s="72">
        <f t="shared" si="388"/>
        <v>0.52652204820187531</v>
      </c>
      <c r="AD785" s="72">
        <f t="shared" si="388"/>
        <v>0.54968901832275785</v>
      </c>
      <c r="AE785" s="72">
        <f t="shared" si="388"/>
        <v>0.57387533512895927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89">L747+L769</f>
        <v>0.63340895307832257</v>
      </c>
      <c r="M786" s="72">
        <f t="shared" si="389"/>
        <v>0.66824644549763035</v>
      </c>
      <c r="N786" s="72">
        <f t="shared" si="389"/>
        <v>0.70499999999999996</v>
      </c>
      <c r="O786" s="72">
        <f t="shared" si="389"/>
        <v>0.74377499999999996</v>
      </c>
      <c r="P786" s="72">
        <f t="shared" si="389"/>
        <v>0.78468262499999997</v>
      </c>
      <c r="Q786" s="72">
        <f t="shared" si="389"/>
        <v>0.82784016937499993</v>
      </c>
      <c r="R786" s="72">
        <f t="shared" si="389"/>
        <v>0.87337137869062498</v>
      </c>
      <c r="S786" s="72">
        <f t="shared" si="389"/>
        <v>0.92140680451860935</v>
      </c>
      <c r="T786" s="72">
        <f t="shared" si="389"/>
        <v>0.97208417876713282</v>
      </c>
      <c r="U786" s="72">
        <f t="shared" si="389"/>
        <v>1.025548808599325</v>
      </c>
      <c r="V786" s="72">
        <f t="shared" si="389"/>
        <v>1.0819539930722879</v>
      </c>
      <c r="W786" s="72">
        <f t="shared" si="389"/>
        <v>1.1414614626912638</v>
      </c>
      <c r="X786" s="72">
        <f t="shared" si="389"/>
        <v>1.2042418431392832</v>
      </c>
      <c r="Y786" s="72">
        <f t="shared" si="389"/>
        <v>1.2704751445119435</v>
      </c>
      <c r="Z786" s="72">
        <f t="shared" si="389"/>
        <v>1.3403512774601003</v>
      </c>
      <c r="AA786" s="72">
        <f t="shared" si="389"/>
        <v>1.4140705977204062</v>
      </c>
      <c r="AB786" s="72">
        <f t="shared" si="389"/>
        <v>1.4918444805950282</v>
      </c>
      <c r="AC786" s="72">
        <f t="shared" si="389"/>
        <v>1.5738959270277546</v>
      </c>
      <c r="AD786" s="72">
        <f t="shared" si="389"/>
        <v>1.660460203014281</v>
      </c>
      <c r="AE786" s="72">
        <f t="shared" si="389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90">L743+L765</f>
        <v>24.646491529759945</v>
      </c>
      <c r="M788" s="72">
        <f t="shared" si="390"/>
        <v>25.459825750242022</v>
      </c>
      <c r="N788" s="72">
        <f t="shared" si="390"/>
        <v>26.3</v>
      </c>
      <c r="O788" s="72">
        <f t="shared" si="390"/>
        <v>27.167899999999999</v>
      </c>
      <c r="P788" s="72">
        <f t="shared" si="390"/>
        <v>28.064440699999995</v>
      </c>
      <c r="Q788" s="72">
        <f t="shared" si="390"/>
        <v>28.990567243099992</v>
      </c>
      <c r="R788" s="72">
        <f t="shared" si="390"/>
        <v>29.947255962122291</v>
      </c>
      <c r="S788" s="72">
        <f t="shared" si="390"/>
        <v>30.935515408872323</v>
      </c>
      <c r="T788" s="72">
        <f t="shared" si="390"/>
        <v>31.956387417365111</v>
      </c>
      <c r="U788" s="72">
        <f t="shared" si="390"/>
        <v>33.010948202138152</v>
      </c>
      <c r="V788" s="72">
        <f t="shared" si="390"/>
        <v>34.100309492808705</v>
      </c>
      <c r="W788" s="72">
        <f t="shared" si="390"/>
        <v>35.225619706071399</v>
      </c>
      <c r="X788" s="72">
        <f t="shared" si="390"/>
        <v>36.388065156371745</v>
      </c>
      <c r="Y788" s="72">
        <f t="shared" si="390"/>
        <v>37.588871306532013</v>
      </c>
      <c r="Z788" s="72">
        <f t="shared" si="390"/>
        <v>38.829304059647569</v>
      </c>
      <c r="AA788" s="72">
        <f t="shared" si="390"/>
        <v>40.110671093615935</v>
      </c>
      <c r="AB788" s="72">
        <f t="shared" si="390"/>
        <v>41.434323239705257</v>
      </c>
      <c r="AC788" s="72">
        <f t="shared" si="390"/>
        <v>42.801655906615522</v>
      </c>
      <c r="AD788" s="72">
        <f t="shared" si="390"/>
        <v>44.214110551533835</v>
      </c>
      <c r="AE788" s="72">
        <f t="shared" si="390"/>
        <v>45.673176199734449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91">SUM(L784:L788)</f>
        <v>26.090339299916035</v>
      </c>
      <c r="M789" s="72">
        <f t="shared" si="391"/>
        <v>26.961911636097749</v>
      </c>
      <c r="N789" s="72">
        <f t="shared" si="391"/>
        <v>27.863</v>
      </c>
      <c r="O789" s="72">
        <f t="shared" si="391"/>
        <v>28.794623000000001</v>
      </c>
      <c r="P789" s="72">
        <f t="shared" si="391"/>
        <v>29.757835348999997</v>
      </c>
      <c r="Q789" s="72">
        <f t="shared" si="391"/>
        <v>30.753729192394992</v>
      </c>
      <c r="R789" s="72">
        <f t="shared" si="391"/>
        <v>31.783435487304406</v>
      </c>
      <c r="S789" s="72">
        <f t="shared" si="391"/>
        <v>32.848125435164661</v>
      </c>
      <c r="T789" s="72">
        <f t="shared" si="391"/>
        <v>33.949011969871044</v>
      </c>
      <c r="U789" s="72">
        <f t="shared" si="391"/>
        <v>35.087351303752364</v>
      </c>
      <c r="V789" s="72">
        <f t="shared" si="391"/>
        <v>36.264444533762408</v>
      </c>
      <c r="W789" s="72">
        <f t="shared" si="391"/>
        <v>37.481639310376153</v>
      </c>
      <c r="X789" s="72">
        <f t="shared" si="391"/>
        <v>38.740331571788573</v>
      </c>
      <c r="Y789" s="72">
        <f t="shared" si="391"/>
        <v>40.041967346128295</v>
      </c>
      <c r="Z789" s="72">
        <f t="shared" si="391"/>
        <v>41.388044624518081</v>
      </c>
      <c r="AA789" s="72">
        <f t="shared" si="391"/>
        <v>42.780115307939909</v>
      </c>
      <c r="AB789" s="72">
        <f t="shared" si="391"/>
        <v>44.219787230993546</v>
      </c>
      <c r="AC789" s="72">
        <f t="shared" si="391"/>
        <v>45.708726265775283</v>
      </c>
      <c r="AD789" s="72">
        <f t="shared" si="391"/>
        <v>47.248658509247463</v>
      </c>
      <c r="AE789" s="72">
        <f t="shared" si="391"/>
        <v>48.841372557620346</v>
      </c>
      <c r="AF789" s="70"/>
      <c r="AG789" s="70"/>
      <c r="AH789" s="70"/>
      <c r="AI789" s="70"/>
    </row>
    <row r="790" spans="1:35" x14ac:dyDescent="0.45">
      <c r="A790" s="70"/>
      <c r="B790" s="52" t="s">
        <v>1877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92">L761</f>
        <v>2022</v>
      </c>
      <c r="M790" s="74">
        <f t="shared" si="392"/>
        <v>2023</v>
      </c>
      <c r="N790" s="74">
        <f t="shared" si="392"/>
        <v>2024</v>
      </c>
      <c r="O790" s="74">
        <f t="shared" si="392"/>
        <v>2025</v>
      </c>
      <c r="P790" s="74">
        <f t="shared" si="392"/>
        <v>2026</v>
      </c>
      <c r="Q790" s="74">
        <f t="shared" si="392"/>
        <v>2027</v>
      </c>
      <c r="R790" s="74">
        <f t="shared" si="392"/>
        <v>2028</v>
      </c>
      <c r="S790" s="74">
        <f t="shared" si="392"/>
        <v>2029</v>
      </c>
      <c r="T790" s="74">
        <f t="shared" si="392"/>
        <v>2030</v>
      </c>
      <c r="U790" s="74">
        <f t="shared" si="392"/>
        <v>2031</v>
      </c>
      <c r="V790" s="74">
        <f t="shared" si="392"/>
        <v>2032</v>
      </c>
      <c r="W790" s="74">
        <f t="shared" si="392"/>
        <v>2033</v>
      </c>
      <c r="X790" s="74">
        <f t="shared" si="392"/>
        <v>2034</v>
      </c>
      <c r="Y790" s="74">
        <f t="shared" si="392"/>
        <v>2035</v>
      </c>
      <c r="Z790" s="74">
        <f t="shared" si="392"/>
        <v>2036</v>
      </c>
      <c r="AA790" s="74">
        <f t="shared" si="392"/>
        <v>2037</v>
      </c>
      <c r="AB790" s="74">
        <f t="shared" si="392"/>
        <v>2038</v>
      </c>
      <c r="AC790" s="74">
        <f t="shared" si="392"/>
        <v>2039</v>
      </c>
      <c r="AD790" s="74">
        <f t="shared" si="392"/>
        <v>2040</v>
      </c>
      <c r="AE790" s="74">
        <f t="shared" si="392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93">(L729+L751)*$I729*($F698*L$646+$G698*L$647)+(L740*$J729+L762)*($F709*L$707+$G709*L$647)</f>
        <v>0</v>
      </c>
      <c r="M791" s="72">
        <f t="shared" si="393"/>
        <v>0</v>
      </c>
      <c r="N791" s="72">
        <f t="shared" si="393"/>
        <v>0</v>
      </c>
      <c r="O791" s="72">
        <f t="shared" si="393"/>
        <v>0</v>
      </c>
      <c r="P791" s="72">
        <f t="shared" si="393"/>
        <v>0</v>
      </c>
      <c r="Q791" s="72">
        <f t="shared" si="393"/>
        <v>50.055252651914415</v>
      </c>
      <c r="R791" s="72">
        <f t="shared" si="393"/>
        <v>104.51536753719728</v>
      </c>
      <c r="S791" s="72">
        <f t="shared" si="393"/>
        <v>163.67106556325101</v>
      </c>
      <c r="T791" s="72">
        <f t="shared" si="393"/>
        <v>227.83012326404534</v>
      </c>
      <c r="U791" s="72">
        <f t="shared" si="393"/>
        <v>297.31831085957924</v>
      </c>
      <c r="V791" s="72">
        <f t="shared" si="393"/>
        <v>372.48037984488087</v>
      </c>
      <c r="W791" s="72">
        <f t="shared" si="393"/>
        <v>453.68110265106486</v>
      </c>
      <c r="X791" s="72">
        <f t="shared" si="393"/>
        <v>541.3063670488134</v>
      </c>
      <c r="Y791" s="72">
        <f t="shared" si="393"/>
        <v>635.76432809883147</v>
      </c>
      <c r="Z791" s="72">
        <f t="shared" si="393"/>
        <v>737.48662059464448</v>
      </c>
      <c r="AA791" s="72">
        <f t="shared" si="393"/>
        <v>846.92963509088975</v>
      </c>
      <c r="AB791" s="72">
        <f t="shared" si="393"/>
        <v>964.57586076533335</v>
      </c>
      <c r="AC791" s="72">
        <f t="shared" si="393"/>
        <v>1090.9352985255921</v>
      </c>
      <c r="AD791" s="72">
        <f t="shared" si="393"/>
        <v>1226.5469479423118</v>
      </c>
      <c r="AE791" s="72">
        <f t="shared" si="393"/>
        <v>1371.9803717697573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94">(L730+L752)*$I730*($F699*L$646+$G699*L$647)+(L741*$J730+L763)*($F710*L$707+$G710*L$647)</f>
        <v>0</v>
      </c>
      <c r="M792" s="72">
        <f t="shared" si="394"/>
        <v>0</v>
      </c>
      <c r="N792" s="72">
        <f t="shared" si="394"/>
        <v>0</v>
      </c>
      <c r="O792" s="72">
        <f t="shared" si="394"/>
        <v>0</v>
      </c>
      <c r="P792" s="72">
        <f t="shared" si="394"/>
        <v>0</v>
      </c>
      <c r="Q792" s="72">
        <f t="shared" si="394"/>
        <v>9.5753711433600017</v>
      </c>
      <c r="R792" s="72">
        <f t="shared" si="394"/>
        <v>19.993374947335681</v>
      </c>
      <c r="S792" s="72">
        <f t="shared" si="394"/>
        <v>31.309625167527681</v>
      </c>
      <c r="T792" s="72">
        <f t="shared" si="394"/>
        <v>43.582998233198531</v>
      </c>
      <c r="U792" s="72">
        <f t="shared" si="394"/>
        <v>56.87581269432409</v>
      </c>
      <c r="V792" s="72">
        <f t="shared" si="394"/>
        <v>71.254018143449215</v>
      </c>
      <c r="W792" s="72">
        <f t="shared" si="394"/>
        <v>86.787394098721137</v>
      </c>
      <c r="X792" s="72">
        <f t="shared" si="394"/>
        <v>103.54975935893131</v>
      </c>
      <c r="Y792" s="72">
        <f t="shared" si="394"/>
        <v>121.61919236706478</v>
      </c>
      <c r="Z792" s="72">
        <f t="shared" si="394"/>
        <v>141.07826314579518</v>
      </c>
      <c r="AA792" s="72">
        <f t="shared" si="394"/>
        <v>162.01427739663117</v>
      </c>
      <c r="AB792" s="72">
        <f t="shared" si="394"/>
        <v>184.51953338409049</v>
      </c>
      <c r="AC792" s="72">
        <f t="shared" si="394"/>
        <v>208.69159225740634</v>
      </c>
      <c r="AD792" s="72">
        <f t="shared" si="394"/>
        <v>234.63356249494237</v>
      </c>
      <c r="AE792" s="72">
        <f t="shared" si="394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95">(L731+L753)*$I731*($F700*L$646+$G700*L$647)+(L742*$J731+L764)*($F711*L$707+$G711*L$647)</f>
        <v>0</v>
      </c>
      <c r="M793" s="72">
        <f t="shared" si="395"/>
        <v>0</v>
      </c>
      <c r="N793" s="72">
        <f t="shared" si="395"/>
        <v>0</v>
      </c>
      <c r="O793" s="72">
        <f t="shared" si="395"/>
        <v>0</v>
      </c>
      <c r="P793" s="72">
        <f t="shared" si="395"/>
        <v>0</v>
      </c>
      <c r="Q793" s="72">
        <f t="shared" si="395"/>
        <v>0</v>
      </c>
      <c r="R793" s="72">
        <f t="shared" si="395"/>
        <v>0</v>
      </c>
      <c r="S793" s="72">
        <f t="shared" si="395"/>
        <v>0</v>
      </c>
      <c r="T793" s="72">
        <f t="shared" si="395"/>
        <v>0</v>
      </c>
      <c r="U793" s="72">
        <f t="shared" si="395"/>
        <v>0</v>
      </c>
      <c r="V793" s="72">
        <f t="shared" si="395"/>
        <v>0</v>
      </c>
      <c r="W793" s="72">
        <f t="shared" si="395"/>
        <v>0</v>
      </c>
      <c r="X793" s="72">
        <f t="shared" si="395"/>
        <v>0</v>
      </c>
      <c r="Y793" s="72">
        <f t="shared" si="395"/>
        <v>0</v>
      </c>
      <c r="Z793" s="72">
        <f t="shared" si="395"/>
        <v>0</v>
      </c>
      <c r="AA793" s="72">
        <f t="shared" si="395"/>
        <v>0</v>
      </c>
      <c r="AB793" s="72">
        <f t="shared" si="395"/>
        <v>0</v>
      </c>
      <c r="AC793" s="72">
        <f t="shared" si="395"/>
        <v>0</v>
      </c>
      <c r="AD793" s="72">
        <f t="shared" si="395"/>
        <v>0</v>
      </c>
      <c r="AE793" s="72">
        <f t="shared" si="395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96">(L732+L754)*$I732*($F701*L$646+$G701*L$647)+(L743*$J732+L765)*($F712*L$707+$G712*L$647)</f>
        <v>0</v>
      </c>
      <c r="M794" s="72">
        <f t="shared" si="396"/>
        <v>0</v>
      </c>
      <c r="N794" s="72">
        <f t="shared" si="396"/>
        <v>0</v>
      </c>
      <c r="O794" s="72">
        <f t="shared" si="396"/>
        <v>0</v>
      </c>
      <c r="P794" s="72">
        <f t="shared" si="396"/>
        <v>0</v>
      </c>
      <c r="Q794" s="72">
        <f t="shared" si="396"/>
        <v>198.62121046068745</v>
      </c>
      <c r="R794" s="72">
        <f t="shared" si="396"/>
        <v>410.3514208117802</v>
      </c>
      <c r="S794" s="72">
        <f t="shared" si="396"/>
        <v>635.83952654785332</v>
      </c>
      <c r="T794" s="72">
        <f t="shared" si="396"/>
        <v>875.76297456524333</v>
      </c>
      <c r="U794" s="72">
        <f t="shared" si="396"/>
        <v>1130.8289409073705</v>
      </c>
      <c r="V794" s="72">
        <f t="shared" si="396"/>
        <v>1401.7755551487762</v>
      </c>
      <c r="W794" s="72">
        <f t="shared" si="396"/>
        <v>1689.3731732134665</v>
      </c>
      <c r="X794" s="72">
        <f t="shared" si="396"/>
        <v>1994.4257004908695</v>
      </c>
      <c r="Y794" s="72">
        <f t="shared" si="396"/>
        <v>2317.7719671829518</v>
      </c>
      <c r="Z794" s="72">
        <f t="shared" si="396"/>
        <v>2660.2871578888767</v>
      </c>
      <c r="AA794" s="72">
        <f t="shared" si="396"/>
        <v>3022.8842975091302</v>
      </c>
      <c r="AB794" s="72">
        <f t="shared" si="396"/>
        <v>3406.5157956293801</v>
      </c>
      <c r="AC794" s="72">
        <f t="shared" si="396"/>
        <v>3812.1750516255784</v>
      </c>
      <c r="AD794" s="72">
        <f t="shared" si="396"/>
        <v>4240.8981228160856</v>
      </c>
      <c r="AE794" s="72">
        <f t="shared" si="396"/>
        <v>4693.7654580739454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397">(L733+L755)*$I733*($F702*L$646+$G702*L$647)+(L744*$J733+L766)*($F713*L$707+$G713*L$647)</f>
        <v>0</v>
      </c>
      <c r="M795" s="72">
        <f t="shared" si="397"/>
        <v>0</v>
      </c>
      <c r="N795" s="72">
        <f t="shared" si="397"/>
        <v>0</v>
      </c>
      <c r="O795" s="72">
        <f t="shared" si="397"/>
        <v>0</v>
      </c>
      <c r="P795" s="72">
        <f t="shared" si="397"/>
        <v>0</v>
      </c>
      <c r="Q795" s="72">
        <f t="shared" si="397"/>
        <v>44.093819705408542</v>
      </c>
      <c r="R795" s="72">
        <f t="shared" si="397"/>
        <v>90.127767477855073</v>
      </c>
      <c r="S795" s="72">
        <f t="shared" si="397"/>
        <v>138.16586754355183</v>
      </c>
      <c r="T795" s="72">
        <f t="shared" si="397"/>
        <v>188.27402217267993</v>
      </c>
      <c r="U795" s="72">
        <f t="shared" si="397"/>
        <v>240.52006332559864</v>
      </c>
      <c r="V795" s="72">
        <f t="shared" si="397"/>
        <v>294.97380566251417</v>
      </c>
      <c r="W795" s="72">
        <f t="shared" si="397"/>
        <v>351.70710095160445</v>
      </c>
      <c r="X795" s="72">
        <f t="shared" si="397"/>
        <v>410.79389391147396</v>
      </c>
      <c r="Y795" s="72">
        <f t="shared" si="397"/>
        <v>472.31027952471726</v>
      </c>
      <c r="Z795" s="72">
        <f t="shared" si="397"/>
        <v>536.33456186029002</v>
      </c>
      <c r="AA795" s="72">
        <f t="shared" si="397"/>
        <v>602.94731444333797</v>
      </c>
      <c r="AB795" s="72">
        <f t="shared" si="397"/>
        <v>672.23144221209975</v>
      </c>
      <c r="AC795" s="72">
        <f t="shared" si="397"/>
        <v>744.27224510249653</v>
      </c>
      <c r="AD795" s="72">
        <f t="shared" si="397"/>
        <v>819.15748330203985</v>
      </c>
      <c r="AE795" s="72">
        <f t="shared" si="397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98">(L734+L756)*$I734*($F703*L$646+$G703*L$647)+(L745*$J734+L767)*($F714*L$707+$G714*L$647)</f>
        <v>0</v>
      </c>
      <c r="M796" s="72">
        <f t="shared" si="398"/>
        <v>0</v>
      </c>
      <c r="N796" s="72">
        <f t="shared" si="398"/>
        <v>0</v>
      </c>
      <c r="O796" s="72">
        <f t="shared" si="398"/>
        <v>0</v>
      </c>
      <c r="P796" s="72">
        <f t="shared" si="398"/>
        <v>0</v>
      </c>
      <c r="Q796" s="72">
        <f t="shared" si="398"/>
        <v>4.1919258186959993</v>
      </c>
      <c r="R796" s="72">
        <f t="shared" si="398"/>
        <v>8.5682963734146238</v>
      </c>
      <c r="S796" s="72">
        <f t="shared" si="398"/>
        <v>13.135198340444619</v>
      </c>
      <c r="T796" s="72">
        <f t="shared" si="398"/>
        <v>17.898896938579199</v>
      </c>
      <c r="U796" s="72">
        <f t="shared" si="398"/>
        <v>22.865840839034927</v>
      </c>
      <c r="V796" s="72">
        <f t="shared" si="398"/>
        <v>28.042667204992437</v>
      </c>
      <c r="W796" s="72">
        <f t="shared" si="398"/>
        <v>33.436206864085989</v>
      </c>
      <c r="X796" s="72">
        <f t="shared" si="398"/>
        <v>39.053489617252438</v>
      </c>
      <c r="Y796" s="72">
        <f t="shared" si="398"/>
        <v>44.901749687435988</v>
      </c>
      <c r="Z796" s="72">
        <f t="shared" si="398"/>
        <v>50.988431311732867</v>
      </c>
      <c r="AA796" s="72">
        <f t="shared" si="398"/>
        <v>57.321194480650092</v>
      </c>
      <c r="AB796" s="72">
        <f t="shared" si="398"/>
        <v>63.907920828244798</v>
      </c>
      <c r="AC796" s="72">
        <f t="shared" si="398"/>
        <v>70.756719677005037</v>
      </c>
      <c r="AD796" s="72">
        <f t="shared" si="398"/>
        <v>77.875934241429846</v>
      </c>
      <c r="AE796" s="72">
        <f t="shared" si="398"/>
        <v>85.274147994365691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99">(L735+L757)*$I735*($F704*L$646+$G704*L$647)+(L746*$J735+L768)*($F715*L$707+$G715*L$647)</f>
        <v>0</v>
      </c>
      <c r="M797" s="72">
        <f t="shared" si="399"/>
        <v>0</v>
      </c>
      <c r="N797" s="72">
        <f t="shared" si="399"/>
        <v>0</v>
      </c>
      <c r="O797" s="72">
        <f t="shared" si="399"/>
        <v>0</v>
      </c>
      <c r="P797" s="72">
        <f t="shared" si="399"/>
        <v>0</v>
      </c>
      <c r="Q797" s="72">
        <f t="shared" si="399"/>
        <v>0.89826981829199992</v>
      </c>
      <c r="R797" s="72">
        <f t="shared" si="399"/>
        <v>1.8360635085888481</v>
      </c>
      <c r="S797" s="72">
        <f t="shared" si="399"/>
        <v>2.8146853586667042</v>
      </c>
      <c r="T797" s="72">
        <f t="shared" si="399"/>
        <v>3.8354779154098289</v>
      </c>
      <c r="U797" s="72">
        <f t="shared" si="399"/>
        <v>4.8998230369360565</v>
      </c>
      <c r="V797" s="72">
        <f t="shared" si="399"/>
        <v>6.0091429724983811</v>
      </c>
      <c r="W797" s="72">
        <f t="shared" si="399"/>
        <v>7.1649014708755674</v>
      </c>
      <c r="X797" s="72">
        <f t="shared" si="399"/>
        <v>8.3686049179826618</v>
      </c>
      <c r="Y797" s="72">
        <f t="shared" si="399"/>
        <v>9.6218035044505683</v>
      </c>
      <c r="Z797" s="72">
        <f t="shared" si="399"/>
        <v>10.926092423942757</v>
      </c>
      <c r="AA797" s="72">
        <f t="shared" si="399"/>
        <v>12.283113102996445</v>
      </c>
      <c r="AB797" s="72">
        <f t="shared" si="399"/>
        <v>13.69455446319531</v>
      </c>
      <c r="AC797" s="72">
        <f t="shared" si="399"/>
        <v>15.162154216501076</v>
      </c>
      <c r="AD797" s="72">
        <f t="shared" si="399"/>
        <v>16.687700194592107</v>
      </c>
      <c r="AE797" s="72">
        <f t="shared" si="399"/>
        <v>18.27303171307836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400">(L736+L758)*$I736*($F705*L$646+$G705*L$647)+(L747*$J736+L769)*($F716*L$707+$G716*L$647)</f>
        <v>0</v>
      </c>
      <c r="M798" s="72">
        <f t="shared" si="400"/>
        <v>0</v>
      </c>
      <c r="N798" s="72">
        <f t="shared" si="400"/>
        <v>0</v>
      </c>
      <c r="O798" s="72">
        <f t="shared" si="400"/>
        <v>0</v>
      </c>
      <c r="P798" s="72">
        <f t="shared" si="400"/>
        <v>0</v>
      </c>
      <c r="Q798" s="72">
        <f t="shared" si="400"/>
        <v>0.68693120437499988</v>
      </c>
      <c r="R798" s="72">
        <f t="shared" si="400"/>
        <v>1.44942484123125</v>
      </c>
      <c r="S798" s="72">
        <f t="shared" si="400"/>
        <v>2.2937148112484529</v>
      </c>
      <c r="T798" s="72">
        <f t="shared" si="400"/>
        <v>3.2264921678228231</v>
      </c>
      <c r="U798" s="72">
        <f t="shared" si="400"/>
        <v>4.2549365463163484</v>
      </c>
      <c r="V798" s="72">
        <f t="shared" si="400"/>
        <v>5.3867496676364954</v>
      </c>
      <c r="W798" s="72">
        <f t="shared" si="400"/>
        <v>6.6301910492492544</v>
      </c>
      <c r="X798" s="72">
        <f t="shared" si="400"/>
        <v>7.9941160650948158</v>
      </c>
      <c r="Y798" s="72">
        <f t="shared" si="400"/>
        <v>9.4880165047594094</v>
      </c>
      <c r="Z798" s="72">
        <f t="shared" si="400"/>
        <v>11.122063791690195</v>
      </c>
      <c r="AA798" s="72">
        <f t="shared" si="400"/>
        <v>12.907155030256471</v>
      </c>
      <c r="AB798" s="72">
        <f t="shared" si="400"/>
        <v>14.854962062095174</v>
      </c>
      <c r="AC798" s="72">
        <f t="shared" si="400"/>
        <v>16.97798372346961</v>
      </c>
      <c r="AD798" s="72">
        <f t="shared" si="400"/>
        <v>19.289601507357389</v>
      </c>
      <c r="AE798" s="72">
        <f t="shared" si="400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1876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1878</v>
      </c>
      <c r="J799" s="70"/>
      <c r="K799" s="72"/>
      <c r="L799" s="72">
        <f t="shared" ref="L799:AE799" si="401">SUM(L791:L798)</f>
        <v>0</v>
      </c>
      <c r="M799" s="72">
        <f t="shared" si="401"/>
        <v>0</v>
      </c>
      <c r="N799" s="72">
        <f t="shared" si="401"/>
        <v>0</v>
      </c>
      <c r="O799" s="72">
        <f t="shared" si="401"/>
        <v>0</v>
      </c>
      <c r="P799" s="72">
        <f t="shared" si="401"/>
        <v>0</v>
      </c>
      <c r="Q799" s="72">
        <f t="shared" si="401"/>
        <v>308.12278080273342</v>
      </c>
      <c r="R799" s="72">
        <f t="shared" si="401"/>
        <v>636.8417154974029</v>
      </c>
      <c r="S799" s="72">
        <f t="shared" si="401"/>
        <v>987.22968333254369</v>
      </c>
      <c r="T799" s="72">
        <f t="shared" si="401"/>
        <v>1360.4109852569791</v>
      </c>
      <c r="U799" s="72">
        <f t="shared" si="401"/>
        <v>1757.56372820916</v>
      </c>
      <c r="V799" s="72">
        <f t="shared" si="401"/>
        <v>2179.922318644748</v>
      </c>
      <c r="W799" s="72">
        <f t="shared" si="401"/>
        <v>2628.780070299068</v>
      </c>
      <c r="X799" s="72">
        <f t="shared" si="401"/>
        <v>3105.4919314104181</v>
      </c>
      <c r="Y799" s="72">
        <f t="shared" si="401"/>
        <v>3611.4773368702113</v>
      </c>
      <c r="Z799" s="72">
        <f t="shared" si="401"/>
        <v>4148.2231910169721</v>
      </c>
      <c r="AA799" s="72">
        <f t="shared" si="401"/>
        <v>4717.2869870538907</v>
      </c>
      <c r="AB799" s="72">
        <f t="shared" si="401"/>
        <v>5320.3000693444392</v>
      </c>
      <c r="AC799" s="72">
        <f t="shared" si="401"/>
        <v>5958.9710451280498</v>
      </c>
      <c r="AD799" s="72">
        <f t="shared" si="401"/>
        <v>6635.0893524987587</v>
      </c>
      <c r="AE799" s="72">
        <f t="shared" si="401"/>
        <v>7350.5289918043609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1847</v>
      </c>
      <c r="H64" s="5" t="s">
        <v>1848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1847</v>
      </c>
      <c r="H66" s="5" t="s">
        <v>1849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1847</v>
      </c>
      <c r="H68" s="5" t="s">
        <v>1850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1847</v>
      </c>
      <c r="H70" s="5" t="s">
        <v>1851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1847</v>
      </c>
      <c r="H72" s="5" t="s">
        <v>1852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1847</v>
      </c>
      <c r="H74" s="5" t="s">
        <v>1853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1847</v>
      </c>
      <c r="H76" s="5" t="s">
        <v>1854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1847</v>
      </c>
      <c r="H78" s="5" t="s">
        <v>1855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1847</v>
      </c>
      <c r="H80" s="5" t="s">
        <v>1856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1843</v>
      </c>
      <c r="H126" s="5" t="s">
        <v>1844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1845</v>
      </c>
      <c r="H127" s="5" t="s">
        <v>1846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1857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1858</v>
      </c>
      <c r="I128" s="28" t="s">
        <v>1857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1859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1858</v>
      </c>
      <c r="I129" s="28" t="s">
        <v>1859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1860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1858</v>
      </c>
      <c r="I130" s="28" t="s">
        <v>1860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1861</v>
      </c>
      <c r="B131" s="5" t="s">
        <v>77</v>
      </c>
      <c r="C131" s="5" t="s">
        <v>1412</v>
      </c>
      <c r="D131" s="5" t="s">
        <v>1803</v>
      </c>
      <c r="E131" s="5">
        <v>1</v>
      </c>
      <c r="F131" s="5" t="s">
        <v>1414</v>
      </c>
      <c r="G131" s="5" t="s">
        <v>1804</v>
      </c>
      <c r="H131" s="5" t="s">
        <v>1858</v>
      </c>
      <c r="I131" s="28" t="s">
        <v>1861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1862</v>
      </c>
      <c r="B132" s="5" t="s">
        <v>77</v>
      </c>
      <c r="C132" s="5" t="s">
        <v>1412</v>
      </c>
      <c r="D132" s="5" t="s">
        <v>1807</v>
      </c>
      <c r="E132" s="5">
        <v>1</v>
      </c>
      <c r="F132" s="5" t="s">
        <v>79</v>
      </c>
      <c r="G132" s="5" t="s">
        <v>1808</v>
      </c>
      <c r="H132" s="5" t="s">
        <v>1858</v>
      </c>
      <c r="I132" s="28" t="s">
        <v>1862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1863</v>
      </c>
      <c r="B133" s="5" t="s">
        <v>77</v>
      </c>
      <c r="C133" s="5" t="s">
        <v>1412</v>
      </c>
      <c r="D133" s="5" t="s">
        <v>1812</v>
      </c>
      <c r="E133" s="5">
        <v>1</v>
      </c>
      <c r="F133" s="5" t="s">
        <v>1414</v>
      </c>
      <c r="G133" s="5" t="s">
        <v>1813</v>
      </c>
      <c r="H133" s="5" t="s">
        <v>1858</v>
      </c>
      <c r="I133" s="28" t="s">
        <v>1863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1805</v>
      </c>
      <c r="B137" s="5" t="s">
        <v>77</v>
      </c>
      <c r="C137" s="5" t="s">
        <v>1412</v>
      </c>
      <c r="D137" s="5" t="s">
        <v>1803</v>
      </c>
      <c r="E137" s="5">
        <v>2</v>
      </c>
      <c r="F137" s="5" t="s">
        <v>1414</v>
      </c>
      <c r="G137" s="5" t="s">
        <v>1804</v>
      </c>
      <c r="H137" s="5" t="s">
        <v>1788</v>
      </c>
      <c r="I137" s="28" t="s">
        <v>1805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1810</v>
      </c>
      <c r="B138" s="5" t="s">
        <v>77</v>
      </c>
      <c r="C138" s="5" t="s">
        <v>1412</v>
      </c>
      <c r="D138" s="5" t="s">
        <v>1807</v>
      </c>
      <c r="E138" s="5">
        <v>2</v>
      </c>
      <c r="F138" s="5" t="s">
        <v>79</v>
      </c>
      <c r="G138" s="5" t="s">
        <v>1808</v>
      </c>
      <c r="H138" s="5" t="s">
        <v>1788</v>
      </c>
      <c r="I138" s="28" t="s">
        <v>1810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1815</v>
      </c>
      <c r="B139" s="5" t="s">
        <v>77</v>
      </c>
      <c r="C139" s="5" t="s">
        <v>1412</v>
      </c>
      <c r="D139" s="5" t="s">
        <v>1812</v>
      </c>
      <c r="E139" s="5">
        <v>2</v>
      </c>
      <c r="F139" s="5" t="s">
        <v>1414</v>
      </c>
      <c r="G139" s="5" t="s">
        <v>1813</v>
      </c>
      <c r="H139" s="5" t="s">
        <v>1788</v>
      </c>
      <c r="I139" s="28" t="s">
        <v>1815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485"/>
  <sheetViews>
    <sheetView zoomScaleNormal="100" workbookViewId="0">
      <pane xSplit="5" ySplit="5" topLeftCell="F1451" activePane="bottomRight" state="frozen"/>
      <selection pane="topRight" activeCell="F1" sqref="F1"/>
      <selection pane="bottomLeft" activeCell="A6" sqref="A6"/>
      <selection pane="bottomRight" activeCell="A1477" sqref="A1477:XFD1477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7.1054273576010019E-15</v>
      </c>
    </row>
    <row r="585" spans="1:35" x14ac:dyDescent="0.45">
      <c r="A585" t="s">
        <v>1711</v>
      </c>
      <c r="D585" s="92">
        <f>SUMPRODUCT(MAX((I587:I1378="changed")*F587:F1378))</f>
        <v>7350.5289918043609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6058.5984688896015</v>
      </c>
      <c r="S596">
        <f>IF(ISBLANK(Mitigation_Industry!S276),"",Mitigation_Industry!S276)</f>
        <v>6325.1768015207444</v>
      </c>
      <c r="T596">
        <f>IF(ISBLANK(Mitigation_Industry!T276),"",Mitigation_Industry!T276)</f>
        <v>6603.4845807876573</v>
      </c>
      <c r="U596">
        <f>IF(ISBLANK(Mitigation_Industry!U276),"",Mitigation_Industry!U276)</f>
        <v>6894.0379023423147</v>
      </c>
      <c r="V596">
        <f>IF(ISBLANK(Mitigation_Industry!V276),"",Mitigation_Industry!V276)</f>
        <v>7197.3755700453767</v>
      </c>
      <c r="W596">
        <f>IF(ISBLANK(Mitigation_Industry!W276),"",Mitigation_Industry!W276)</f>
        <v>7514.0600951273736</v>
      </c>
      <c r="X596">
        <f>IF(ISBLANK(Mitigation_Industry!X276),"",Mitigation_Industry!X276)</f>
        <v>7844.678739312978</v>
      </c>
      <c r="Y596">
        <f>IF(ISBLANK(Mitigation_Industry!Y276),"",Mitigation_Industry!Y276)</f>
        <v>8189.8446038427492</v>
      </c>
      <c r="Z596">
        <f>IF(ISBLANK(Mitigation_Industry!Z276),"",Mitigation_Industry!Z276)</f>
        <v>8550.1977664118313</v>
      </c>
      <c r="AA596">
        <f>IF(ISBLANK(Mitigation_Industry!AA276),"",Mitigation_Industry!AA276)</f>
        <v>8926.4064681339514</v>
      </c>
      <c r="AB596">
        <f>IF(ISBLANK(Mitigation_Industry!AB276),"",Mitigation_Industry!AB276)</f>
        <v>9319.1683527318455</v>
      </c>
      <c r="AC596">
        <f>IF(ISBLANK(Mitigation_Industry!AC276),"",Mitigation_Industry!AC276)</f>
        <v>9729.2117602520466</v>
      </c>
      <c r="AD596">
        <f>IF(ISBLANK(Mitigation_Industry!AD276),"",Mitigation_Industry!AD276)</f>
        <v>10157.297077703137</v>
      </c>
      <c r="AE596">
        <f>IF(ISBLANK(Mitigation_Industry!AE276),"",Mitigation_Industry!AE276)</f>
        <v>10604.218149122074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0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0</v>
      </c>
      <c r="Q597">
        <f t="shared" si="146"/>
        <v>0</v>
      </c>
      <c r="R597">
        <f t="shared" si="146"/>
        <v>0</v>
      </c>
      <c r="S597">
        <f t="shared" si="146"/>
        <v>0</v>
      </c>
      <c r="T597">
        <f t="shared" si="146"/>
        <v>0</v>
      </c>
      <c r="U597">
        <f t="shared" si="146"/>
        <v>0</v>
      </c>
      <c r="V597">
        <f t="shared" si="146"/>
        <v>0</v>
      </c>
      <c r="W597">
        <f t="shared" si="146"/>
        <v>0</v>
      </c>
      <c r="X597">
        <f t="shared" si="146"/>
        <v>0</v>
      </c>
      <c r="Y597">
        <f t="shared" si="146"/>
        <v>0</v>
      </c>
      <c r="Z597">
        <f t="shared" si="146"/>
        <v>0</v>
      </c>
      <c r="AA597">
        <f t="shared" si="146"/>
        <v>0</v>
      </c>
      <c r="AB597">
        <f t="shared" si="146"/>
        <v>0</v>
      </c>
      <c r="AC597">
        <f t="shared" si="146"/>
        <v>0</v>
      </c>
      <c r="AD597">
        <f t="shared" si="146"/>
        <v>0</v>
      </c>
      <c r="AE597">
        <f t="shared" si="146"/>
        <v>0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5461.8872831999997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6488.5062610280593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7072.0565601198787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7708.0890389108208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8770.9819790417332</v>
      </c>
      <c r="AC600">
        <f>IF(ISBLANK(Mitigation_Industry!AC277),"",Mitigation_Industry!AC277)</f>
        <v>9156.9051861195694</v>
      </c>
      <c r="AD600">
        <f>IF(ISBLANK(Mitigation_Industry!AD277),"",Mitigation_Industry!AD277)</f>
        <v>9559.8090143088302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0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0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0</v>
      </c>
      <c r="V601">
        <f t="shared" si="147"/>
        <v>0</v>
      </c>
      <c r="W601">
        <f t="shared" si="147"/>
        <v>0</v>
      </c>
      <c r="X601">
        <f t="shared" si="147"/>
        <v>0</v>
      </c>
      <c r="Y601">
        <f t="shared" si="147"/>
        <v>0</v>
      </c>
      <c r="Z601">
        <f t="shared" si="147"/>
        <v>0</v>
      </c>
      <c r="AA601">
        <f t="shared" si="147"/>
        <v>0</v>
      </c>
      <c r="AB601">
        <f t="shared" si="147"/>
        <v>0</v>
      </c>
      <c r="AC601">
        <f t="shared" si="147"/>
        <v>0</v>
      </c>
      <c r="AD601">
        <f t="shared" si="147"/>
        <v>0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60753.588245941268</v>
      </c>
      <c r="U608">
        <f>IF(ISBLANK(Mitigation_Industry!U279),"",Mitigation_Industry!U279)</f>
        <v>62758.456658057323</v>
      </c>
      <c r="V608">
        <f>IF(ISBLANK(Mitigation_Industry!V279),"",Mitigation_Industry!V279)</f>
        <v>64829.485727773208</v>
      </c>
      <c r="W608">
        <f>IF(ISBLANK(Mitigation_Industry!W279),"",Mitigation_Industry!W279)</f>
        <v>66968.858756789719</v>
      </c>
      <c r="X608">
        <f>IF(ISBLANK(Mitigation_Industry!X279),"",Mitigation_Industry!X279)</f>
        <v>69178.831095763773</v>
      </c>
      <c r="Y608">
        <f>IF(ISBLANK(Mitigation_Industry!Y279),"",Mitigation_Industry!Y279)</f>
        <v>71461.732521923972</v>
      </c>
      <c r="Z608">
        <f>IF(ISBLANK(Mitigation_Industry!Z279),"",Mitigation_Industry!Z279)</f>
        <v>73819.969695147462</v>
      </c>
      <c r="AA608">
        <f>IF(ISBLANK(Mitigation_Industry!AA279),"",Mitigation_Industry!AA279)</f>
        <v>76256.028695087327</v>
      </c>
      <c r="AB608">
        <f>IF(ISBLANK(Mitigation_Industry!AB279),"",Mitigation_Industry!AB279)</f>
        <v>78772.477642025202</v>
      </c>
      <c r="AC608">
        <f>IF(ISBLANK(Mitigation_Industry!AC279),"",Mitigation_Industry!AC279)</f>
        <v>81371.969404212025</v>
      </c>
      <c r="AD608">
        <f>IF(ISBLANK(Mitigation_Industry!AD279),"",Mitigation_Industry!AD279)</f>
        <v>84057.244394551017</v>
      </c>
      <c r="AE608">
        <f>IF(ISBLANK(Mitigation_Industry!AE279),"",Mitigation_Industry!AE279)</f>
        <v>86831.133459571196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0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0</v>
      </c>
      <c r="U609">
        <f t="shared" si="149"/>
        <v>0</v>
      </c>
      <c r="V609">
        <f t="shared" si="149"/>
        <v>0</v>
      </c>
      <c r="W609">
        <f t="shared" si="149"/>
        <v>0</v>
      </c>
      <c r="X609">
        <f t="shared" si="149"/>
        <v>0</v>
      </c>
      <c r="Y609">
        <f t="shared" si="149"/>
        <v>0</v>
      </c>
      <c r="Z609">
        <f t="shared" si="149"/>
        <v>0</v>
      </c>
      <c r="AA609">
        <f t="shared" si="149"/>
        <v>0</v>
      </c>
      <c r="AB609">
        <f t="shared" si="149"/>
        <v>0</v>
      </c>
      <c r="AC609">
        <f t="shared" si="149"/>
        <v>0</v>
      </c>
      <c r="AD609">
        <f t="shared" si="149"/>
        <v>0</v>
      </c>
      <c r="AE609">
        <f t="shared" si="149"/>
        <v>0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1905.4208266799999</v>
      </c>
      <c r="R612">
        <f>IF(ISBLANK(Mitigation_Industry!R280),"",Mitigation_Industry!R280)</f>
        <v>1947.3400848669598</v>
      </c>
      <c r="S612">
        <f>IF(ISBLANK(Mitigation_Industry!S280),"",Mitigation_Industry!S280)</f>
        <v>1990.1815667340329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2124.4444852266997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2420.754576827454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0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0</v>
      </c>
      <c r="R613">
        <f t="shared" si="150"/>
        <v>0</v>
      </c>
      <c r="S613">
        <f t="shared" si="150"/>
        <v>0</v>
      </c>
      <c r="T613">
        <f t="shared" si="150"/>
        <v>0</v>
      </c>
      <c r="U613">
        <f t="shared" si="150"/>
        <v>0</v>
      </c>
      <c r="V613">
        <f t="shared" si="150"/>
        <v>0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0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3054.6511135167998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3190.5342136504814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3405.7761002379411</v>
      </c>
      <c r="X616">
        <f>IF(ISBLANK(Mitigation_Industry!X281),"",Mitigation_Industry!X281)</f>
        <v>3480.7031744431761</v>
      </c>
      <c r="Y616">
        <f>IF(ISBLANK(Mitigation_Industry!Y281),"",Mitigation_Industry!Y281)</f>
        <v>3557.2786442809261</v>
      </c>
      <c r="Z616">
        <f>IF(ISBLANK(Mitigation_Industry!Z281),"",Mitigation_Industry!Z281)</f>
        <v>3635.5387744551067</v>
      </c>
      <c r="AA616">
        <f>IF(ISBLANK(Mitigation_Industry!AA281),"",Mitigation_Industry!AA281)</f>
        <v>3715.5206274931193</v>
      </c>
      <c r="AB616">
        <f>IF(ISBLANK(Mitigation_Industry!AB281),"",Mitigation_Industry!AB281)</f>
        <v>3797.2620812979681</v>
      </c>
      <c r="AC616">
        <f>IF(ISBLANK(Mitigation_Industry!AC281),"",Mitigation_Industry!AC281)</f>
        <v>3880.8018470865236</v>
      </c>
      <c r="AD616">
        <f>IF(ISBLANK(Mitigation_Industry!AD281),"",Mitigation_Industry!AD281)</f>
        <v>3966.179487722427</v>
      </c>
      <c r="AE616">
        <f>IF(ISBLANK(Mitigation_Industry!AE281),"",Mitigation_Industry!AE281)</f>
        <v>4053.4354364523206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0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0</v>
      </c>
      <c r="S617">
        <f t="shared" si="151"/>
        <v>0</v>
      </c>
      <c r="T617">
        <f t="shared" si="151"/>
        <v>0</v>
      </c>
      <c r="U617">
        <f t="shared" si="151"/>
        <v>0</v>
      </c>
      <c r="V617">
        <f t="shared" si="151"/>
        <v>0</v>
      </c>
      <c r="W617">
        <f t="shared" si="151"/>
        <v>0</v>
      </c>
      <c r="X617">
        <f t="shared" si="151"/>
        <v>0</v>
      </c>
      <c r="Y617">
        <f t="shared" si="151"/>
        <v>0</v>
      </c>
      <c r="Z617">
        <f t="shared" si="151"/>
        <v>0</v>
      </c>
      <c r="AA617">
        <f t="shared" si="151"/>
        <v>0</v>
      </c>
      <c r="AB617">
        <f t="shared" si="151"/>
        <v>0</v>
      </c>
      <c r="AC617">
        <f t="shared" si="151"/>
        <v>0</v>
      </c>
      <c r="AD617">
        <f t="shared" si="151"/>
        <v>0</v>
      </c>
      <c r="AE617">
        <f t="shared" si="151"/>
        <v>0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626.69040000000007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683.68590292510316</v>
      </c>
      <c r="U620">
        <f>IF(ISBLANK(Mitigation_Industry!U282),"",Mitigation_Industry!U282)</f>
        <v>698.72699278945549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729.80916433670166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813.69901742099296</v>
      </c>
      <c r="AC620">
        <f>IF(ISBLANK(Mitigation_Industry!AC282),"",Mitigation_Industry!AC282)</f>
        <v>831.60039580425484</v>
      </c>
      <c r="AD620">
        <f>IF(ISBLANK(Mitigation_Industry!AD282),"",Mitigation_Industry!AD282)</f>
        <v>849.89560451194848</v>
      </c>
      <c r="AE620">
        <f>IF(ISBLANK(Mitigation_Industry!AE282),"",Mitigation_Industry!AE282)</f>
        <v>868.59330781121139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0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0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0</v>
      </c>
      <c r="U621">
        <f t="shared" si="152"/>
        <v>0</v>
      </c>
      <c r="V621">
        <f t="shared" si="152"/>
        <v>0</v>
      </c>
      <c r="W621">
        <f t="shared" si="152"/>
        <v>0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0</v>
      </c>
      <c r="AC621">
        <f t="shared" si="152"/>
        <v>0</v>
      </c>
      <c r="AD621">
        <f t="shared" si="152"/>
        <v>0</v>
      </c>
      <c r="AE621">
        <f t="shared" si="152"/>
        <v>0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352.27241249999997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392.08800192281245</v>
      </c>
      <c r="T624">
        <f>IF(ISBLANK(Mitigation_Industry!T283),"",Mitigation_Industry!T283)</f>
        <v>413.65284202856714</v>
      </c>
      <c r="U624">
        <f>IF(ISBLANK(Mitigation_Industry!U283),"",Mitigation_Industry!U283)</f>
        <v>436.40374834013829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601.73216924272594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669.74294767138497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0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0</v>
      </c>
      <c r="R625">
        <f t="shared" si="153"/>
        <v>0</v>
      </c>
      <c r="S625">
        <f t="shared" si="153"/>
        <v>0</v>
      </c>
      <c r="T625">
        <f t="shared" si="153"/>
        <v>0</v>
      </c>
      <c r="U625">
        <f t="shared" si="153"/>
        <v>0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0</v>
      </c>
      <c r="AB625">
        <f t="shared" si="153"/>
        <v>0</v>
      </c>
      <c r="AC625">
        <f t="shared" si="153"/>
        <v>0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3.8356515442080008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4.3645617483533599</v>
      </c>
      <c r="T756">
        <f>IF(ISBLANK(Mitigation_Industry!T330),"",Mitigation_Industry!T330)</f>
        <v>4.556602465280907</v>
      </c>
      <c r="U756">
        <f>IF(ISBLANK(Mitigation_Industry!U330),"",Mitigation_Industry!U330)</f>
        <v>4.7570929737532675</v>
      </c>
      <c r="V756">
        <f>IF(ISBLANK(Mitigation_Industry!V330),"",Mitigation_Industry!V330)</f>
        <v>4.9664050645984119</v>
      </c>
      <c r="W756">
        <f>IF(ISBLANK(Mitigation_Industry!W330),"",Mitigation_Industry!W330)</f>
        <v>5.1849268874407413</v>
      </c>
      <c r="X756">
        <f>IF(ISBLANK(Mitigation_Industry!X330),"",Mitigation_Industry!X330)</f>
        <v>5.4130636704881345</v>
      </c>
      <c r="Y756">
        <f>IF(ISBLANK(Mitigation_Industry!Y330),"",Mitigation_Industry!Y330)</f>
        <v>5.6512384719896129</v>
      </c>
      <c r="Z756">
        <f>IF(ISBLANK(Mitigation_Industry!Z330),"",Mitigation_Industry!Z330)</f>
        <v>5.8998929647571554</v>
      </c>
      <c r="AA756">
        <f>IF(ISBLANK(Mitigation_Industry!AA330),"",Mitigation_Industry!AA330)</f>
        <v>6.1594882552064707</v>
      </c>
      <c r="AB756">
        <f>IF(ISBLANK(Mitigation_Industry!AB330),"",Mitigation_Industry!AB330)</f>
        <v>6.4305057384355555</v>
      </c>
      <c r="AC756">
        <f>IF(ISBLANK(Mitigation_Industry!AC330),"",Mitigation_Industry!AC330)</f>
        <v>6.7134479909267206</v>
      </c>
      <c r="AD756">
        <f>IF(ISBLANK(Mitigation_Industry!AD330),"",Mitigation_Industry!AD330)</f>
        <v>7.0088397025274967</v>
      </c>
      <c r="AE756">
        <f>IF(ISBLANK(Mitigation_Industry!AE330),"",Mitigation_Industry!AE330)</f>
        <v>7.3172286494387055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0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0</v>
      </c>
      <c r="Q757">
        <f t="shared" si="186"/>
        <v>0</v>
      </c>
      <c r="R757">
        <f t="shared" si="186"/>
        <v>0</v>
      </c>
      <c r="S757">
        <f t="shared" si="186"/>
        <v>0</v>
      </c>
      <c r="T757">
        <f t="shared" si="186"/>
        <v>0</v>
      </c>
      <c r="U757">
        <f t="shared" si="186"/>
        <v>0</v>
      </c>
      <c r="V757">
        <f t="shared" si="186"/>
        <v>0</v>
      </c>
      <c r="W757">
        <f t="shared" si="186"/>
        <v>0</v>
      </c>
      <c r="X757">
        <f t="shared" si="186"/>
        <v>0</v>
      </c>
      <c r="Y757">
        <f t="shared" si="186"/>
        <v>0</v>
      </c>
      <c r="Z757">
        <f t="shared" si="186"/>
        <v>0</v>
      </c>
      <c r="AA757">
        <f t="shared" si="186"/>
        <v>0</v>
      </c>
      <c r="AB757">
        <f t="shared" si="186"/>
        <v>0</v>
      </c>
      <c r="AC757">
        <f t="shared" si="186"/>
        <v>0</v>
      </c>
      <c r="AD757">
        <f t="shared" si="186"/>
        <v>0</v>
      </c>
      <c r="AE757">
        <f t="shared" si="186"/>
        <v>0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0.76602969146880007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0.91001300310918543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0.99185593255681304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1.0810594877072426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1.2301302225606032</v>
      </c>
      <c r="AC760">
        <f>IF(ISBLANK(Mitigation_Industry!AC331),"",Mitigation_Industry!AC331)</f>
        <v>1.2842559523532697</v>
      </c>
      <c r="AD760">
        <f>IF(ISBLANK(Mitigation_Industry!AD331),"",Mitigation_Industry!AD331)</f>
        <v>1.3407632142568136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0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0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0</v>
      </c>
      <c r="V761">
        <f t="shared" si="187"/>
        <v>0</v>
      </c>
      <c r="W761">
        <f t="shared" si="187"/>
        <v>0</v>
      </c>
      <c r="X761">
        <f t="shared" si="187"/>
        <v>0</v>
      </c>
      <c r="Y761">
        <f t="shared" si="187"/>
        <v>0</v>
      </c>
      <c r="Z761">
        <f t="shared" si="187"/>
        <v>0</v>
      </c>
      <c r="AA761">
        <f t="shared" si="187"/>
        <v>0</v>
      </c>
      <c r="AB761">
        <f t="shared" si="187"/>
        <v>0</v>
      </c>
      <c r="AC761">
        <f t="shared" si="187"/>
        <v>0</v>
      </c>
      <c r="AD761">
        <f t="shared" si="187"/>
        <v>0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18.093263054517926</v>
      </c>
      <c r="V768">
        <f>IF(ISBLANK(Mitigation_Industry!V333),"",Mitigation_Industry!V333)</f>
        <v>18.690340735317015</v>
      </c>
      <c r="W768">
        <f>IF(ISBLANK(Mitigation_Industry!W333),"",Mitigation_Industry!W333)</f>
        <v>19.307121979582476</v>
      </c>
      <c r="X768">
        <f>IF(ISBLANK(Mitigation_Industry!X333),"",Mitigation_Industry!X333)</f>
        <v>19.944257004908696</v>
      </c>
      <c r="Y768">
        <f>IF(ISBLANK(Mitigation_Industry!Y333),"",Mitigation_Industry!Y333)</f>
        <v>20.602417486070681</v>
      </c>
      <c r="Z768">
        <f>IF(ISBLANK(Mitigation_Industry!Z333),"",Mitigation_Industry!Z333)</f>
        <v>21.282297263111012</v>
      </c>
      <c r="AA768">
        <f>IF(ISBLANK(Mitigation_Industry!AA333),"",Mitigation_Industry!AA333)</f>
        <v>21.984613072793675</v>
      </c>
      <c r="AB768">
        <f>IF(ISBLANK(Mitigation_Industry!AB333),"",Mitigation_Industry!AB333)</f>
        <v>22.710105304195867</v>
      </c>
      <c r="AC768">
        <f>IF(ISBLANK(Mitigation_Industry!AC333),"",Mitigation_Industry!AC333)</f>
        <v>23.459538779234329</v>
      </c>
      <c r="AD768">
        <f>IF(ISBLANK(Mitigation_Industry!AD333),"",Mitigation_Industry!AD333)</f>
        <v>24.23370355894906</v>
      </c>
      <c r="AE768">
        <f>IF(ISBLANK(Mitigation_Industry!AE333),"",Mitigation_Industry!AE333)</f>
        <v>25.033415776394378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7.1054273576010019E-15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3.5527136788005009E-15</v>
      </c>
      <c r="V769">
        <f t="shared" si="189"/>
        <v>3.5527136788005009E-15</v>
      </c>
      <c r="W769">
        <f t="shared" si="189"/>
        <v>3.5527136788005009E-15</v>
      </c>
      <c r="X769">
        <f t="shared" si="189"/>
        <v>3.5527136788005009E-15</v>
      </c>
      <c r="Y769">
        <f t="shared" si="189"/>
        <v>3.5527136788005009E-15</v>
      </c>
      <c r="Z769">
        <f t="shared" si="189"/>
        <v>3.5527136788005009E-15</v>
      </c>
      <c r="AA769">
        <f t="shared" si="189"/>
        <v>3.5527136788005009E-15</v>
      </c>
      <c r="AB769">
        <f t="shared" si="189"/>
        <v>3.5527136788005009E-15</v>
      </c>
      <c r="AC769">
        <f t="shared" si="189"/>
        <v>7.1054273576010019E-15</v>
      </c>
      <c r="AD769">
        <f t="shared" si="189"/>
        <v>3.5527136788005009E-15</v>
      </c>
      <c r="AE769">
        <f t="shared" si="189"/>
        <v>7.1054273576010019E-15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3.5275055764326835</v>
      </c>
      <c r="R772">
        <f>IF(ISBLANK(Mitigation_Industry!R334),"",Mitigation_Industry!R334)</f>
        <v>3.6051106991142028</v>
      </c>
      <c r="S772">
        <f>IF(ISBLANK(Mitigation_Industry!S334),"",Mitigation_Industry!S334)</f>
        <v>3.6844231344947151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4.4815429480806648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8.8817841970012523E-16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-4.4408920985006262E-16</v>
      </c>
      <c r="R773">
        <f t="shared" si="190"/>
        <v>-4.4408920985006262E-16</v>
      </c>
      <c r="S773">
        <f t="shared" si="190"/>
        <v>-4.4408920985006262E-16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-4.4408920985006262E-16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-8.8817841970012523E-16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0.34273185493658492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0.35797793877158396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0.38212807844669699</v>
      </c>
      <c r="X776">
        <f>IF(ISBLANK(Mitigation_Industry!X335),"",Mitigation_Industry!X335)</f>
        <v>0.39053489617252435</v>
      </c>
      <c r="Y776">
        <f>IF(ISBLANK(Mitigation_Industry!Y335),"",Mitigation_Industry!Y335)</f>
        <v>0.39912666388831991</v>
      </c>
      <c r="Z776">
        <f>IF(ISBLANK(Mitigation_Industry!Z335),"",Mitigation_Industry!Z335)</f>
        <v>0.40790745049386296</v>
      </c>
      <c r="AA776">
        <f>IF(ISBLANK(Mitigation_Industry!AA335),"",Mitigation_Industry!AA335)</f>
        <v>0.41688141440472792</v>
      </c>
      <c r="AB776">
        <f>IF(ISBLANK(Mitigation_Industry!AB335),"",Mitigation_Industry!AB335)</f>
        <v>0.42605280552163199</v>
      </c>
      <c r="AC776">
        <f>IF(ISBLANK(Mitigation_Industry!AC335),"",Mitigation_Industry!AC335)</f>
        <v>0.43542596724310795</v>
      </c>
      <c r="AD776">
        <f>IF(ISBLANK(Mitigation_Industry!AD335),"",Mitigation_Industry!AD335)</f>
        <v>0.44500533852245627</v>
      </c>
      <c r="AE776">
        <f>IF(ISBLANK(Mitigation_Industry!AE335),"",Mitigation_Industry!AE335)</f>
        <v>0.45479545596995036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1.1102230246251565E-16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-5.5511151231257827E-17</v>
      </c>
      <c r="S777">
        <f t="shared" si="191"/>
        <v>-5.5511151231257827E-17</v>
      </c>
      <c r="T777">
        <f t="shared" si="191"/>
        <v>-5.5511151231257827E-17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-5.5511151231257827E-17</v>
      </c>
      <c r="X777">
        <f t="shared" si="191"/>
        <v>-5.5511151231257827E-17</v>
      </c>
      <c r="Y777">
        <f t="shared" si="191"/>
        <v>0</v>
      </c>
      <c r="Z777">
        <f t="shared" si="191"/>
        <v>-5.5511151231257827E-17</v>
      </c>
      <c r="AA777">
        <f t="shared" si="191"/>
        <v>-5.5511151231257827E-17</v>
      </c>
      <c r="AB777">
        <f t="shared" si="191"/>
        <v>-5.5511151231257827E-17</v>
      </c>
      <c r="AC777">
        <f t="shared" si="191"/>
        <v>-5.5511151231257827E-17</v>
      </c>
      <c r="AD777">
        <f t="shared" si="191"/>
        <v>-5.5511151231257827E-17</v>
      </c>
      <c r="AE777">
        <f t="shared" si="191"/>
        <v>-5.5511151231257827E-17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7.0314662880000003E-2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7.6709558308196577E-2</v>
      </c>
      <c r="U780">
        <f>IF(ISBLANK(Mitigation_Industry!U336),"",Mitigation_Industry!U336)</f>
        <v>7.8397168590976909E-2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8.1884588238577916E-2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9.1297029754635398E-2</v>
      </c>
      <c r="AC780">
        <f>IF(ISBLANK(Mitigation_Industry!AC336),"",Mitigation_Industry!AC336)</f>
        <v>9.3305564409237388E-2</v>
      </c>
      <c r="AD780">
        <f>IF(ISBLANK(Mitigation_Industry!AD336),"",Mitigation_Industry!AD336)</f>
        <v>9.5358286826240618E-2</v>
      </c>
      <c r="AE780">
        <f>IF(ISBLANK(Mitigation_Industry!AE336),"",Mitigation_Industry!AE336)</f>
        <v>9.7456169136417914E-2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1.3877787807814457E-17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-1.3877787807814457E-17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0</v>
      </c>
      <c r="U781">
        <f t="shared" si="192"/>
        <v>-1.3877787807814457E-17</v>
      </c>
      <c r="V781">
        <f t="shared" si="192"/>
        <v>0</v>
      </c>
      <c r="W781">
        <f t="shared" si="192"/>
        <v>-1.3877787807814457E-17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-1.3877787807814457E-17</v>
      </c>
      <c r="AC781">
        <f t="shared" si="192"/>
        <v>-1.3877787807814457E-17</v>
      </c>
      <c r="AD781">
        <f t="shared" si="192"/>
        <v>-1.3877787807814457E-17</v>
      </c>
      <c r="AE781">
        <f t="shared" si="192"/>
        <v>-1.3877787807814457E-17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5.4954496349999993E-2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6.1165728299958741E-2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6.8078984741061568E-2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9.3870218401865241E-2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0.10447989983673606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0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0</v>
      </c>
      <c r="R785">
        <f t="shared" si="193"/>
        <v>0</v>
      </c>
      <c r="S785">
        <f t="shared" si="193"/>
        <v>0</v>
      </c>
      <c r="T785">
        <f t="shared" si="193"/>
        <v>0</v>
      </c>
      <c r="U785">
        <f t="shared" si="193"/>
        <v>0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0</v>
      </c>
      <c r="AB785">
        <f t="shared" si="193"/>
        <v>0</v>
      </c>
      <c r="AC785">
        <f t="shared" si="193"/>
        <v>0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26.326124888867827</v>
      </c>
      <c r="T788">
        <f>IF(ISBLANK(Mitigation_Industry!T338),"",Mitigation_Industry!T338)</f>
        <v>27.20821970513958</v>
      </c>
      <c r="U788">
        <f>IF(ISBLANK(Mitigation_Industry!U338),"",Mitigation_Industry!U338)</f>
        <v>28.121019651346554</v>
      </c>
      <c r="V788">
        <f>IF(ISBLANK(Mitigation_Industry!V338),"",Mitigation_Industry!V338)</f>
        <v>29.065630915263306</v>
      </c>
      <c r="W788">
        <f>IF(ISBLANK(Mitigation_Industry!W338),"",Mitigation_Industry!W338)</f>
        <v>30.043200803417918</v>
      </c>
      <c r="X788">
        <f>IF(ISBLANK(Mitigation_Industry!X338),"",Mitigation_Industry!X338)</f>
        <v>31.054919314104183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33.185785528135781</v>
      </c>
      <c r="AA788">
        <f>IF(ISBLANK(Mitigation_Industry!AA338),"",Mitigation_Industry!AA338)</f>
        <v>34.307541724028312</v>
      </c>
      <c r="AB788">
        <f>IF(ISBLANK(Mitigation_Industry!AB338),"",Mitigation_Industry!AB338)</f>
        <v>35.468667128962927</v>
      </c>
      <c r="AC788">
        <f>IF(ISBLANK(Mitigation_Industry!AC338),"",Mitigation_Industry!AC338)</f>
        <v>36.67059104694183</v>
      </c>
      <c r="AD788">
        <f>IF(ISBLANK(Mitigation_Industry!AD338),"",Mitigation_Industry!AD338)</f>
        <v>37.914796299992908</v>
      </c>
      <c r="AE788">
        <f>IF(ISBLANK(Mitigation_Industry!AE338),"",Mitigation_Industry!AE338)</f>
        <v>39.202821289623259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7.1054273576010019E-15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3.5527136788005009E-15</v>
      </c>
      <c r="T789">
        <f t="shared" si="194"/>
        <v>7.1054273576010019E-15</v>
      </c>
      <c r="U789">
        <f t="shared" si="194"/>
        <v>3.5527136788005009E-15</v>
      </c>
      <c r="V789">
        <f t="shared" si="194"/>
        <v>0</v>
      </c>
      <c r="W789">
        <f t="shared" si="194"/>
        <v>0</v>
      </c>
      <c r="X789">
        <f t="shared" si="194"/>
        <v>3.5527136788005009E-15</v>
      </c>
      <c r="Y789">
        <f t="shared" si="194"/>
        <v>0</v>
      </c>
      <c r="Z789">
        <f t="shared" si="194"/>
        <v>7.1054273576010019E-15</v>
      </c>
      <c r="AA789">
        <f t="shared" si="194"/>
        <v>7.1054273576010019E-15</v>
      </c>
      <c r="AB789">
        <f t="shared" si="194"/>
        <v>0</v>
      </c>
      <c r="AC789">
        <f t="shared" si="194"/>
        <v>7.1054273576010019E-15</v>
      </c>
      <c r="AD789">
        <f t="shared" si="194"/>
        <v>0</v>
      </c>
      <c r="AE789">
        <f t="shared" si="194"/>
        <v>0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0.22234694400000005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0.24234393875558408</v>
      </c>
      <c r="S792">
        <f>IF(ISBLANK(Mitigation_Industry!S341),"",Mitigation_Industry!S341)</f>
        <v>0.25300707206082979</v>
      </c>
      <c r="T792">
        <f>IF(ISBLANK(Mitigation_Industry!T341),"",Mitigation_Industry!T341)</f>
        <v>0.26413938323150632</v>
      </c>
      <c r="U792">
        <f>IF(ISBLANK(Mitigation_Industry!U341),"",Mitigation_Industry!U341)</f>
        <v>0.27576151609369259</v>
      </c>
      <c r="V792">
        <f>IF(ISBLANK(Mitigation_Industry!V341),"",Mitigation_Industry!V341)</f>
        <v>0.28789502280181506</v>
      </c>
      <c r="W792">
        <f>IF(ISBLANK(Mitigation_Industry!W341),"",Mitigation_Industry!W341)</f>
        <v>0.30056240380509497</v>
      </c>
      <c r="X792">
        <f>IF(ISBLANK(Mitigation_Industry!X341),"",Mitigation_Industry!X341)</f>
        <v>0.31378714957251913</v>
      </c>
      <c r="Y792">
        <f>IF(ISBLANK(Mitigation_Industry!Y341),"",Mitigation_Industry!Y341)</f>
        <v>0.32759378415370999</v>
      </c>
      <c r="Z792">
        <f>IF(ISBLANK(Mitigation_Industry!Z341),"",Mitigation_Industry!Z341)</f>
        <v>0.34200791065647324</v>
      </c>
      <c r="AA792">
        <f>IF(ISBLANK(Mitigation_Industry!AA341),"",Mitigation_Industry!AA341)</f>
        <v>0.35705625872535807</v>
      </c>
      <c r="AB792">
        <f>IF(ISBLANK(Mitigation_Industry!AB341),"",Mitigation_Industry!AB341)</f>
        <v>0.37276673410927386</v>
      </c>
      <c r="AC792">
        <f>IF(ISBLANK(Mitigation_Industry!AC341),"",Mitigation_Industry!AC341)</f>
        <v>0.38916847041008185</v>
      </c>
      <c r="AD792">
        <f>IF(ISBLANK(Mitigation_Industry!AD341),"",Mitigation_Industry!AD341)</f>
        <v>0.40629188310812547</v>
      </c>
      <c r="AE792">
        <f>IF(ISBLANK(Mitigation_Industry!AE341),"",Mitigation_Industry!AE341)</f>
        <v>0.42416872596488298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0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0</v>
      </c>
      <c r="Q793">
        <f t="shared" si="195"/>
        <v>0</v>
      </c>
      <c r="R793">
        <f t="shared" si="195"/>
        <v>0</v>
      </c>
      <c r="S793">
        <f t="shared" si="195"/>
        <v>0</v>
      </c>
      <c r="T793">
        <f t="shared" si="195"/>
        <v>0</v>
      </c>
      <c r="U793">
        <f t="shared" si="195"/>
        <v>0</v>
      </c>
      <c r="V793">
        <f t="shared" si="195"/>
        <v>0</v>
      </c>
      <c r="W793">
        <f t="shared" si="195"/>
        <v>0</v>
      </c>
      <c r="X793">
        <f t="shared" si="195"/>
        <v>0</v>
      </c>
      <c r="Y793">
        <f t="shared" si="195"/>
        <v>0</v>
      </c>
      <c r="Z793">
        <f t="shared" si="195"/>
        <v>0</v>
      </c>
      <c r="AA793">
        <f t="shared" si="195"/>
        <v>0</v>
      </c>
      <c r="AB793">
        <f t="shared" si="195"/>
        <v>0</v>
      </c>
      <c r="AC793">
        <f t="shared" si="195"/>
        <v>0</v>
      </c>
      <c r="AD793">
        <f t="shared" si="195"/>
        <v>0</v>
      </c>
      <c r="AE793">
        <f t="shared" si="195"/>
        <v>0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8.1928309247999986E-2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9.7327593915420896E-2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0.10608084840179818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0.13156472968562599</v>
      </c>
      <c r="AC796">
        <f>IF(ISBLANK(Mitigation_Industry!AC342),"",Mitigation_Industry!AC342)</f>
        <v>0.13735357779179352</v>
      </c>
      <c r="AD796">
        <f>IF(ISBLANK(Mitigation_Industry!AD342),"",Mitigation_Industry!AD342)</f>
        <v>0.14339713521463243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0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0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0</v>
      </c>
      <c r="V797">
        <f t="shared" si="196"/>
        <v>0</v>
      </c>
      <c r="W797">
        <f t="shared" si="196"/>
        <v>0</v>
      </c>
      <c r="X797">
        <f t="shared" si="196"/>
        <v>0</v>
      </c>
      <c r="Y797">
        <f t="shared" si="196"/>
        <v>0</v>
      </c>
      <c r="Z797">
        <f t="shared" si="196"/>
        <v>0</v>
      </c>
      <c r="AA797">
        <f t="shared" si="196"/>
        <v>0</v>
      </c>
      <c r="AB797">
        <f t="shared" si="196"/>
        <v>0</v>
      </c>
      <c r="AC797">
        <f t="shared" si="196"/>
        <v>0</v>
      </c>
      <c r="AD797">
        <f t="shared" si="196"/>
        <v>0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31.956387417365111</v>
      </c>
      <c r="U804">
        <f>IF(ISBLANK(Mitigation_Industry!U344),"",Mitigation_Industry!U344)</f>
        <v>33.010948202138152</v>
      </c>
      <c r="V804">
        <f>IF(ISBLANK(Mitigation_Industry!V344),"",Mitigation_Industry!V344)</f>
        <v>34.100309492808705</v>
      </c>
      <c r="W804">
        <f>IF(ISBLANK(Mitigation_Industry!W344),"",Mitigation_Industry!W344)</f>
        <v>35.225619706071399</v>
      </c>
      <c r="X804">
        <f>IF(ISBLANK(Mitigation_Industry!X344),"",Mitigation_Industry!X344)</f>
        <v>36.388065156371745</v>
      </c>
      <c r="Y804">
        <f>IF(ISBLANK(Mitigation_Industry!Y344),"",Mitigation_Industry!Y344)</f>
        <v>37.588871306532013</v>
      </c>
      <c r="Z804">
        <f>IF(ISBLANK(Mitigation_Industry!Z344),"",Mitigation_Industry!Z344)</f>
        <v>38.829304059647569</v>
      </c>
      <c r="AA804">
        <f>IF(ISBLANK(Mitigation_Industry!AA344),"",Mitigation_Industry!AA344)</f>
        <v>40.110671093615935</v>
      </c>
      <c r="AB804">
        <f>IF(ISBLANK(Mitigation_Industry!AB344),"",Mitigation_Industry!AB344)</f>
        <v>41.434323239705257</v>
      </c>
      <c r="AC804">
        <f>IF(ISBLANK(Mitigation_Industry!AC344),"",Mitigation_Industry!AC344)</f>
        <v>42.801655906615522</v>
      </c>
      <c r="AD804">
        <f>IF(ISBLANK(Mitigation_Industry!AD344),"",Mitigation_Industry!AD344)</f>
        <v>44.214110551533835</v>
      </c>
      <c r="AE804">
        <f>IF(ISBLANK(Mitigation_Industry!AE344),"",Mitigation_Industry!AE344)</f>
        <v>45.673176199734449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0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0</v>
      </c>
      <c r="U805">
        <f t="shared" si="198"/>
        <v>0</v>
      </c>
      <c r="V805">
        <f t="shared" si="198"/>
        <v>0</v>
      </c>
      <c r="W805">
        <f t="shared" si="198"/>
        <v>0</v>
      </c>
      <c r="X805">
        <f t="shared" si="198"/>
        <v>0</v>
      </c>
      <c r="Y805">
        <f t="shared" si="198"/>
        <v>0</v>
      </c>
      <c r="Z805">
        <f t="shared" si="198"/>
        <v>0</v>
      </c>
      <c r="AA805">
        <f t="shared" si="198"/>
        <v>0</v>
      </c>
      <c r="AB805">
        <f t="shared" si="198"/>
        <v>0</v>
      </c>
      <c r="AC805">
        <f t="shared" si="198"/>
        <v>0</v>
      </c>
      <c r="AD805">
        <f t="shared" si="198"/>
        <v>0</v>
      </c>
      <c r="AE805">
        <f t="shared" si="198"/>
        <v>0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0.60788968800000009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0.66317532583735006</v>
      </c>
      <c r="U816">
        <f>IF(ISBLANK(Mitigation_Industry!U347),"",Mitigation_Industry!U347)</f>
        <v>0.67776518300577182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0.70791488940660052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0.78928804689836318</v>
      </c>
      <c r="AC816">
        <f>IF(ISBLANK(Mitigation_Industry!AC347),"",Mitigation_Industry!AC347)</f>
        <v>0.80665238393012717</v>
      </c>
      <c r="AD816">
        <f>IF(ISBLANK(Mitigation_Industry!AD347),"",Mitigation_Industry!AD347)</f>
        <v>0.82439873637659</v>
      </c>
      <c r="AE816">
        <f>IF(ISBLANK(Mitigation_Industry!AE347),"",Mitigation_Industry!AE347)</f>
        <v>0.84253550857687498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0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0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0</v>
      </c>
      <c r="U817">
        <f t="shared" si="201"/>
        <v>0</v>
      </c>
      <c r="V817">
        <f t="shared" si="201"/>
        <v>0</v>
      </c>
      <c r="W817">
        <f t="shared" si="201"/>
        <v>0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0</v>
      </c>
      <c r="AC817">
        <f t="shared" si="201"/>
        <v>0</v>
      </c>
      <c r="AD817">
        <f t="shared" si="201"/>
        <v>0</v>
      </c>
      <c r="AE817">
        <f t="shared" si="201"/>
        <v>0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0.82784016937499993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0.92140680451860935</v>
      </c>
      <c r="T820">
        <f>IF(ISBLANK(Mitigation_Industry!T348),"",Mitigation_Industry!T348)</f>
        <v>0.97208417876713282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1.4140705977204062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1.5738959270277546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0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0</v>
      </c>
      <c r="R821">
        <f t="shared" si="202"/>
        <v>0</v>
      </c>
      <c r="S821">
        <f t="shared" si="202"/>
        <v>0</v>
      </c>
      <c r="T821">
        <f t="shared" si="202"/>
        <v>0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0</v>
      </c>
      <c r="AB821">
        <f t="shared" si="202"/>
        <v>0</v>
      </c>
      <c r="AC821">
        <f t="shared" si="202"/>
        <v>0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35.087351303752364</v>
      </c>
      <c r="V824">
        <f>IF(ISBLANK(Mitigation_Industry!V349),"",Mitigation_Industry!V349)</f>
        <v>36.264444533762408</v>
      </c>
      <c r="W824">
        <f>IF(ISBLANK(Mitigation_Industry!W349),"",Mitigation_Industry!W349)</f>
        <v>37.481639310376153</v>
      </c>
      <c r="X824">
        <f>IF(ISBLANK(Mitigation_Industry!X349),"",Mitigation_Industry!X349)</f>
        <v>38.740331571788573</v>
      </c>
      <c r="Y824">
        <f>IF(ISBLANK(Mitigation_Industry!Y349),"",Mitigation_Industry!Y349)</f>
        <v>40.041967346128295</v>
      </c>
      <c r="Z824">
        <f>IF(ISBLANK(Mitigation_Industry!Z349),"",Mitigation_Industry!Z349)</f>
        <v>41.388044624518081</v>
      </c>
      <c r="AA824">
        <f>IF(ISBLANK(Mitigation_Industry!AA349),"",Mitigation_Industry!AA349)</f>
        <v>42.780115307939909</v>
      </c>
      <c r="AB824">
        <f>IF(ISBLANK(Mitigation_Industry!AB349),"",Mitigation_Industry!AB349)</f>
        <v>44.219787230993546</v>
      </c>
      <c r="AC824">
        <f>IF(ISBLANK(Mitigation_Industry!AC349),"",Mitigation_Industry!AC349)</f>
        <v>45.708726265775283</v>
      </c>
      <c r="AD824">
        <f>IF(ISBLANK(Mitigation_Industry!AD349),"",Mitigation_Industry!AD349)</f>
        <v>47.248658509247463</v>
      </c>
      <c r="AE824">
        <f>IF(ISBLANK(Mitigation_Industry!AE349),"",Mitigation_Industry!AE349)</f>
        <v>48.841372557620346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0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0</v>
      </c>
      <c r="V825">
        <f t="shared" si="203"/>
        <v>0</v>
      </c>
      <c r="W825">
        <f t="shared" si="203"/>
        <v>0</v>
      </c>
      <c r="X825">
        <f t="shared" si="203"/>
        <v>0</v>
      </c>
      <c r="Y825">
        <f t="shared" si="203"/>
        <v>0</v>
      </c>
      <c r="Z825">
        <f t="shared" si="203"/>
        <v>0</v>
      </c>
      <c r="AA825">
        <f t="shared" si="203"/>
        <v>0</v>
      </c>
      <c r="AB825">
        <f t="shared" si="203"/>
        <v>0</v>
      </c>
      <c r="AC825">
        <f t="shared" si="203"/>
        <v>0</v>
      </c>
      <c r="AD825">
        <f t="shared" si="203"/>
        <v>0</v>
      </c>
      <c r="AE825">
        <f t="shared" si="203"/>
        <v>0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3.9347212273917234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4.1097533664710166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4.3870082112000661</v>
      </c>
      <c r="W900">
        <f>IF(ISBLANK(Mitigation_Industry!W374),"",Mitigation_Industry!W374)</f>
        <v>4.4835223918464688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4.8912845238326152</v>
      </c>
      <c r="AB900">
        <f>IF(ISBLANK(Mitigation_Industry!AB374),"",Mitigation_Industry!AB374)</f>
        <v>4.9988927833569319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3.3134579662557235</v>
      </c>
      <c r="R901">
        <f t="shared" si="222"/>
        <v>3.38635404151335</v>
      </c>
      <c r="S901">
        <f t="shared" si="222"/>
        <v>3.4608538304266427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</v>
      </c>
      <c r="W901">
        <f t="shared" si="222"/>
        <v>3.7756075024398683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4.1189870219751175</v>
      </c>
      <c r="AB901">
        <f t="shared" si="222"/>
        <v>4.2096047364585685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5.1994850861540982</v>
      </c>
      <c r="T904">
        <f>IF(ISBLANK(Mitigation_Industry!T375),"",Mitigation_Industry!T375)</f>
        <v>5.4282624299448781</v>
      </c>
      <c r="U904">
        <f>IF(ISBLANK(Mitigation_Industry!U375),"",Mitigation_Industry!U375)</f>
        <v>5.6671059768624525</v>
      </c>
      <c r="V904">
        <f>IF(ISBLANK(Mitigation_Industry!V375),"",Mitigation_Industry!V375)</f>
        <v>5.9164586398444019</v>
      </c>
      <c r="W904">
        <f>IF(ISBLANK(Mitigation_Industry!W375),"",Mitigation_Industry!W375)</f>
        <v>6.1767828199975545</v>
      </c>
      <c r="X904">
        <f>IF(ISBLANK(Mitigation_Industry!X375),"",Mitigation_Industry!X375)</f>
        <v>6.4485612640774477</v>
      </c>
      <c r="Y904">
        <f>IF(ISBLANK(Mitigation_Industry!Y375),"",Mitigation_Industry!Y375)</f>
        <v>6.7322979596968553</v>
      </c>
      <c r="Z904">
        <f>IF(ISBLANK(Mitigation_Industry!Z375),"",Mitigation_Industry!Z375)</f>
        <v>7.0285190699235169</v>
      </c>
      <c r="AA904">
        <f>IF(ISBLANK(Mitigation_Industry!AA375),"",Mitigation_Industry!AA375)</f>
        <v>7.3377739090001519</v>
      </c>
      <c r="AB904">
        <f>IF(ISBLANK(Mitigation_Industry!AB375),"",Mitigation_Industry!AB375)</f>
        <v>7.6606359609961583</v>
      </c>
      <c r="AC904">
        <f>IF(ISBLANK(Mitigation_Industry!AC375),"",Mitigation_Industry!AC375)</f>
        <v>7.9977039432799906</v>
      </c>
      <c r="AD904">
        <f>IF(ISBLANK(Mitigation_Industry!AD375),"",Mitigation_Industry!AD375)</f>
        <v>8.3496029167843098</v>
      </c>
      <c r="AE904">
        <f>IF(ISBLANK(Mitigation_Industry!AE375),"",Mitigation_Industry!AE375)</f>
        <v>8.7169854451228197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8.1431101099938612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4.8571814004247402</v>
      </c>
      <c r="T905">
        <f t="shared" si="223"/>
        <v>5.0708973820434284</v>
      </c>
      <c r="U905">
        <f t="shared" si="223"/>
        <v>5.2940168668533394</v>
      </c>
      <c r="V905">
        <f t="shared" si="223"/>
        <v>5.5269536089948872</v>
      </c>
      <c r="W905">
        <f t="shared" si="223"/>
        <v>5.7701395677906611</v>
      </c>
      <c r="X905">
        <f t="shared" si="223"/>
        <v>6.0240257087734514</v>
      </c>
      <c r="Y905">
        <f t="shared" si="223"/>
        <v>6.2890828399594829</v>
      </c>
      <c r="Z905">
        <f t="shared" si="223"/>
        <v>6.5658024849177004</v>
      </c>
      <c r="AA905">
        <f t="shared" si="223"/>
        <v>6.8546977942540792</v>
      </c>
      <c r="AB905">
        <f t="shared" si="223"/>
        <v>7.1563044972012584</v>
      </c>
      <c r="AC905">
        <f t="shared" si="223"/>
        <v>7.4711818950781153</v>
      </c>
      <c r="AD905">
        <f t="shared" si="223"/>
        <v>7.7999138984615524</v>
      </c>
      <c r="AE905">
        <f t="shared" si="223"/>
        <v>8.1431101099938612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5.4954496349999993E-2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6.1165728299958741E-2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6.8078984741061568E-2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9.3870218401865241E-2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0.10447989983673606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18.093263054517926</v>
      </c>
      <c r="V916">
        <f>IF(ISBLANK(Mitigation_Industry!V378),"",Mitigation_Industry!V378)</f>
        <v>18.690340735317015</v>
      </c>
      <c r="W916">
        <f>IF(ISBLANK(Mitigation_Industry!W378),"",Mitigation_Industry!W378)</f>
        <v>19.307121979582476</v>
      </c>
      <c r="X916">
        <f>IF(ISBLANK(Mitigation_Industry!X378),"",Mitigation_Industry!X378)</f>
        <v>19.944257004908696</v>
      </c>
      <c r="Y916">
        <f>IF(ISBLANK(Mitigation_Industry!Y378),"",Mitigation_Industry!Y378)</f>
        <v>20.602417486070681</v>
      </c>
      <c r="Z916">
        <f>IF(ISBLANK(Mitigation_Industry!Z378),"",Mitigation_Industry!Z378)</f>
        <v>21.282297263111012</v>
      </c>
      <c r="AA916">
        <f>IF(ISBLANK(Mitigation_Industry!AA378),"",Mitigation_Industry!AA378)</f>
        <v>21.984613072793675</v>
      </c>
      <c r="AB916">
        <f>IF(ISBLANK(Mitigation_Industry!AB378),"",Mitigation_Industry!AB378)</f>
        <v>22.710105304195867</v>
      </c>
      <c r="AC916">
        <f>IF(ISBLANK(Mitigation_Industry!AC378),"",Mitigation_Industry!AC378)</f>
        <v>23.459538779234329</v>
      </c>
      <c r="AD916">
        <f>IF(ISBLANK(Mitigation_Industry!AD378),"",Mitigation_Industry!AD378)</f>
        <v>24.23370355894906</v>
      </c>
      <c r="AE916">
        <f>IF(ISBLANK(Mitigation_Industry!AE378),"",Mitigation_Industry!AE378)</f>
        <v>25.033415776394378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20.639760423340071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-14.917685147620226</v>
      </c>
      <c r="V917">
        <f t="shared" si="226"/>
        <v>-15.40996875749169</v>
      </c>
      <c r="W917">
        <f t="shared" si="226"/>
        <v>-15.918497726488923</v>
      </c>
      <c r="X917">
        <f t="shared" si="226"/>
        <v>-16.443808151463049</v>
      </c>
      <c r="Y917">
        <f t="shared" si="226"/>
        <v>-16.986453820461332</v>
      </c>
      <c r="Z917">
        <f t="shared" si="226"/>
        <v>-17.547006796536557</v>
      </c>
      <c r="AA917">
        <f t="shared" si="226"/>
        <v>-18.12605802082226</v>
      </c>
      <c r="AB917">
        <f t="shared" si="226"/>
        <v>-18.72421793550939</v>
      </c>
      <c r="AC917">
        <f t="shared" si="226"/>
        <v>-19.342117127381194</v>
      </c>
      <c r="AD917">
        <f t="shared" si="226"/>
        <v>-19.980406992584776</v>
      </c>
      <c r="AE917">
        <f t="shared" si="226"/>
        <v>-20.639760423340071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26.326124888867831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28.121019651346558</v>
      </c>
      <c r="V920">
        <f>IF(ISBLANK(Mitigation_Industry!V379),"",Mitigation_Industry!V379)</f>
        <v>29.065630915263306</v>
      </c>
      <c r="W920">
        <f>IF(ISBLANK(Mitigation_Industry!W379),"",Mitigation_Industry!W379)</f>
        <v>30.043200803417918</v>
      </c>
      <c r="X920">
        <f>IF(ISBLANK(Mitigation_Industry!X379),"",Mitigation_Industry!X379)</f>
        <v>31.054919314104183</v>
      </c>
      <c r="Y920">
        <f>IF(ISBLANK(Mitigation_Industry!Y379),"",Mitigation_Industry!Y379)</f>
        <v>32.102020772179657</v>
      </c>
      <c r="Z920">
        <f>IF(ISBLANK(Mitigation_Industry!Z379),"",Mitigation_Industry!Z379)</f>
        <v>33.185785528135774</v>
      </c>
      <c r="AA920">
        <f>IF(ISBLANK(Mitigation_Industry!AA379),"",Mitigation_Industry!AA379)</f>
        <v>34.307541724028304</v>
      </c>
      <c r="AB920">
        <f>IF(ISBLANK(Mitigation_Industry!AB379),"",Mitigation_Industry!AB379)</f>
        <v>35.46866712896292</v>
      </c>
      <c r="AC920">
        <f>IF(ISBLANK(Mitigation_Industry!AC379),"",Mitigation_Industry!AC379)</f>
        <v>36.670591046941837</v>
      </c>
      <c r="AD920">
        <f>IF(ISBLANK(Mitigation_Industry!AD379),"",Mitigation_Industry!AD379)</f>
        <v>37.914796299992908</v>
      </c>
      <c r="AE920">
        <f>IF(ISBLANK(Mitigation_Industry!AE379),"",Mitigation_Industry!AE379)</f>
        <v>39.202821289623259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9.6385512679970873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-6.5220005462968302</v>
      </c>
      <c r="T921">
        <f t="shared" si="227"/>
        <v>-6.7407922647314642</v>
      </c>
      <c r="U921">
        <f t="shared" si="227"/>
        <v>-6.9663316524058061</v>
      </c>
      <c r="V921">
        <f t="shared" si="227"/>
        <v>-7.1988136184991021</v>
      </c>
      <c r="W921">
        <f t="shared" si="227"/>
        <v>-7.4384385069582351</v>
      </c>
      <c r="X921">
        <f t="shared" si="227"/>
        <v>-7.6854122576843906</v>
      </c>
      <c r="Y921">
        <f t="shared" si="227"/>
        <v>-7.9399465739486388</v>
      </c>
      <c r="Z921">
        <f t="shared" si="227"/>
        <v>-8.2022590963823063</v>
      </c>
      <c r="AA921">
        <f t="shared" si="227"/>
        <v>-8.4725735839116041</v>
      </c>
      <c r="AB921">
        <f t="shared" si="227"/>
        <v>-8.751120102030626</v>
      </c>
      <c r="AC921">
        <f t="shared" si="227"/>
        <v>-9.0381352188334461</v>
      </c>
      <c r="AD921">
        <f t="shared" si="227"/>
        <v>-9.3338622092545549</v>
      </c>
      <c r="AE921">
        <f t="shared" si="227"/>
        <v>-9.6385512679970873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0.60788968800000009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0.66317532583735006</v>
      </c>
      <c r="U924">
        <f>IF(ISBLANK(Mitigation_Industry!U385),"",Mitigation_Industry!U385)</f>
        <v>0.67776518300577182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0.70791488940660052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0.78928804689836318</v>
      </c>
      <c r="AC924">
        <f>IF(ISBLANK(Mitigation_Industry!AC385),"",Mitigation_Industry!AC385)</f>
        <v>0.80665238393012717</v>
      </c>
      <c r="AD924">
        <f>IF(ISBLANK(Mitigation_Industry!AD385),"",Mitigation_Industry!AD385)</f>
        <v>0.82439873637659</v>
      </c>
      <c r="AE924">
        <f>IF(ISBLANK(Mitigation_Industry!AE385),"",Mitigation_Industry!AE385)</f>
        <v>0.84253550857687498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0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0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0</v>
      </c>
      <c r="U925">
        <f t="shared" si="228"/>
        <v>0</v>
      </c>
      <c r="V925">
        <f t="shared" si="228"/>
        <v>0</v>
      </c>
      <c r="W925">
        <f t="shared" si="228"/>
        <v>0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0</v>
      </c>
      <c r="AC925">
        <f t="shared" si="228"/>
        <v>0</v>
      </c>
      <c r="AD925">
        <f t="shared" si="228"/>
        <v>0</v>
      </c>
      <c r="AE925">
        <f t="shared" si="228"/>
        <v>0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0.30082233600000008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0.32787709361049611</v>
      </c>
      <c r="S928">
        <f>IF(ISBLANK(Mitigation_Industry!S386),"",Mitigation_Industry!S386)</f>
        <v>0.34230368572935788</v>
      </c>
      <c r="T928">
        <f>IF(ISBLANK(Mitigation_Industry!T386),"",Mitigation_Industry!T386)</f>
        <v>0.35736504790144968</v>
      </c>
      <c r="U928">
        <f>IF(ISBLANK(Mitigation_Industry!U386),"",Mitigation_Industry!U386)</f>
        <v>0.37308911000911349</v>
      </c>
      <c r="V928">
        <f>IF(ISBLANK(Mitigation_Industry!V386),"",Mitigation_Industry!V386)</f>
        <v>0.38950503084951449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0.42453555530399645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0.46271658500581669</v>
      </c>
      <c r="AA928">
        <f>IF(ISBLANK(Mitigation_Industry!AA386),"",Mitigation_Industry!AA386)</f>
        <v>0.48307611474607259</v>
      </c>
      <c r="AB928">
        <f>IF(ISBLANK(Mitigation_Industry!AB386),"",Mitigation_Industry!AB386)</f>
        <v>0.5043314637948999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0.54968901832275785</v>
      </c>
      <c r="AE928">
        <f>IF(ISBLANK(Mitigation_Industry!AE386),"",Mitigation_Industry!AE386)</f>
        <v>0.57387533512895927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0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0</v>
      </c>
      <c r="Q929">
        <f t="shared" si="229"/>
        <v>0</v>
      </c>
      <c r="R929">
        <f t="shared" si="229"/>
        <v>0</v>
      </c>
      <c r="S929">
        <f t="shared" si="229"/>
        <v>0</v>
      </c>
      <c r="T929">
        <f t="shared" si="229"/>
        <v>0</v>
      </c>
      <c r="U929">
        <f t="shared" si="229"/>
        <v>0</v>
      </c>
      <c r="V929">
        <f t="shared" si="229"/>
        <v>0</v>
      </c>
      <c r="W929">
        <f t="shared" si="229"/>
        <v>0</v>
      </c>
      <c r="X929">
        <f t="shared" si="229"/>
        <v>0</v>
      </c>
      <c r="Y929">
        <f t="shared" si="229"/>
        <v>0</v>
      </c>
      <c r="Z929">
        <f t="shared" si="229"/>
        <v>0</v>
      </c>
      <c r="AA929">
        <f t="shared" si="229"/>
        <v>0</v>
      </c>
      <c r="AB929">
        <f t="shared" si="229"/>
        <v>0</v>
      </c>
      <c r="AC929">
        <f t="shared" si="229"/>
        <v>0</v>
      </c>
      <c r="AD929">
        <f t="shared" si="229"/>
        <v>0</v>
      </c>
      <c r="AE929">
        <f t="shared" si="229"/>
        <v>0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0.82784016937499993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0.92140680451860935</v>
      </c>
      <c r="T932">
        <f>IF(ISBLANK(Mitigation_Industry!T387),"",Mitigation_Industry!T387)</f>
        <v>0.97208417876713282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1.4140705977204062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1.5738959270277546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0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0</v>
      </c>
      <c r="R933">
        <f t="shared" si="230"/>
        <v>0</v>
      </c>
      <c r="S933">
        <f t="shared" si="230"/>
        <v>0</v>
      </c>
      <c r="T933">
        <f t="shared" si="230"/>
        <v>0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0</v>
      </c>
      <c r="AB933">
        <f t="shared" si="230"/>
        <v>0</v>
      </c>
      <c r="AC933">
        <f t="shared" si="230"/>
        <v>0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31.956387417365111</v>
      </c>
      <c r="U940">
        <f>IF(ISBLANK(Mitigation_Industry!U389),"",Mitigation_Industry!U389)</f>
        <v>33.010948202138152</v>
      </c>
      <c r="V940">
        <f>IF(ISBLANK(Mitigation_Industry!V389),"",Mitigation_Industry!V389)</f>
        <v>34.100309492808705</v>
      </c>
      <c r="W940">
        <f>IF(ISBLANK(Mitigation_Industry!W389),"",Mitigation_Industry!W389)</f>
        <v>35.225619706071399</v>
      </c>
      <c r="X940">
        <f>IF(ISBLANK(Mitigation_Industry!X389),"",Mitigation_Industry!X389)</f>
        <v>36.388065156371745</v>
      </c>
      <c r="Y940">
        <f>IF(ISBLANK(Mitigation_Industry!Y389),"",Mitigation_Industry!Y389)</f>
        <v>37.588871306532013</v>
      </c>
      <c r="Z940">
        <f>IF(ISBLANK(Mitigation_Industry!Z389),"",Mitigation_Industry!Z389)</f>
        <v>38.829304059647569</v>
      </c>
      <c r="AA940">
        <f>IF(ISBLANK(Mitigation_Industry!AA389),"",Mitigation_Industry!AA389)</f>
        <v>40.110671093615935</v>
      </c>
      <c r="AB940">
        <f>IF(ISBLANK(Mitigation_Industry!AB389),"",Mitigation_Industry!AB389)</f>
        <v>41.434323239705257</v>
      </c>
      <c r="AC940">
        <f>IF(ISBLANK(Mitigation_Industry!AC389),"",Mitigation_Industry!AC389)</f>
        <v>42.801655906615522</v>
      </c>
      <c r="AD940">
        <f>IF(ISBLANK(Mitigation_Industry!AD389),"",Mitigation_Industry!AD389)</f>
        <v>44.214110551533835</v>
      </c>
      <c r="AE940">
        <f>IF(ISBLANK(Mitigation_Industry!AE389),"",Mitigation_Industry!AE389)</f>
        <v>45.673176199734449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0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0</v>
      </c>
      <c r="U941">
        <f t="shared" si="232"/>
        <v>0</v>
      </c>
      <c r="V941">
        <f t="shared" si="232"/>
        <v>0</v>
      </c>
      <c r="W941">
        <f t="shared" si="232"/>
        <v>0</v>
      </c>
      <c r="X941">
        <f t="shared" si="232"/>
        <v>0</v>
      </c>
      <c r="Y941">
        <f t="shared" si="232"/>
        <v>0</v>
      </c>
      <c r="Z941">
        <f t="shared" si="232"/>
        <v>0</v>
      </c>
      <c r="AA941">
        <f t="shared" si="232"/>
        <v>0</v>
      </c>
      <c r="AB941">
        <f t="shared" si="232"/>
        <v>0</v>
      </c>
      <c r="AC941">
        <f t="shared" si="232"/>
        <v>0</v>
      </c>
      <c r="AD941">
        <f t="shared" si="232"/>
        <v>0</v>
      </c>
      <c r="AE941">
        <f t="shared" si="232"/>
        <v>0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33.949011969871044</v>
      </c>
      <c r="U944">
        <f>IF(ISBLANK(Mitigation_Industry!U390),"",Mitigation_Industry!U390)</f>
        <v>35.087351303752364</v>
      </c>
      <c r="V944">
        <f>IF(ISBLANK(Mitigation_Industry!V390),"",Mitigation_Industry!V390)</f>
        <v>36.264444533762408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38.740331571788573</v>
      </c>
      <c r="Y944">
        <f>IF(ISBLANK(Mitigation_Industry!Y390),"",Mitigation_Industry!Y390)</f>
        <v>40.041967346128295</v>
      </c>
      <c r="Z944">
        <f>IF(ISBLANK(Mitigation_Industry!Z390),"",Mitigation_Industry!Z390)</f>
        <v>41.388044624518081</v>
      </c>
      <c r="AA944">
        <f>IF(ISBLANK(Mitigation_Industry!AA390),"",Mitigation_Industry!AA390)</f>
        <v>42.780115307939909</v>
      </c>
      <c r="AB944">
        <f>IF(ISBLANK(Mitigation_Industry!AB390),"",Mitigation_Industry!AB390)</f>
        <v>44.219787230993546</v>
      </c>
      <c r="AC944">
        <f>IF(ISBLANK(Mitigation_Industry!AC390),"",Mitigation_Industry!AC390)</f>
        <v>45.708726265775283</v>
      </c>
      <c r="AD944">
        <f>IF(ISBLANK(Mitigation_Industry!AD390),"",Mitigation_Industry!AD390)</f>
        <v>47.248658509247463</v>
      </c>
      <c r="AE944">
        <f>IF(ISBLANK(Mitigation_Industry!AE390),"",Mitigation_Industry!AE390)</f>
        <v>48.841372557620346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6058.5984688896015</v>
      </c>
      <c r="S992">
        <f>IF(ISBLANK(Mitigation_Industry!S675),"",Mitigation_Industry!S675)</f>
        <v>6325.1768015207444</v>
      </c>
      <c r="T992">
        <f>IF(ISBLANK(Mitigation_Industry!T675),"",Mitigation_Industry!T675)</f>
        <v>6603.4845807876573</v>
      </c>
      <c r="U992">
        <f>IF(ISBLANK(Mitigation_Industry!U675),"",Mitigation_Industry!U675)</f>
        <v>6894.0379023423147</v>
      </c>
      <c r="V992">
        <f>IF(ISBLANK(Mitigation_Industry!V675),"",Mitigation_Industry!V675)</f>
        <v>7197.3755700453767</v>
      </c>
      <c r="W992">
        <f>IF(ISBLANK(Mitigation_Industry!W675),"",Mitigation_Industry!W675)</f>
        <v>7514.0600951273736</v>
      </c>
      <c r="X992">
        <f>IF(ISBLANK(Mitigation_Industry!X675),"",Mitigation_Industry!X675)</f>
        <v>7844.678739312978</v>
      </c>
      <c r="Y992">
        <f>IF(ISBLANK(Mitigation_Industry!Y675),"",Mitigation_Industry!Y675)</f>
        <v>8189.8446038427492</v>
      </c>
      <c r="Z992">
        <f>IF(ISBLANK(Mitigation_Industry!Z675),"",Mitigation_Industry!Z675)</f>
        <v>8550.1977664118313</v>
      </c>
      <c r="AA992">
        <f>IF(ISBLANK(Mitigation_Industry!AA675),"",Mitigation_Industry!AA675)</f>
        <v>8926.4064681339514</v>
      </c>
      <c r="AB992">
        <f>IF(ISBLANK(Mitigation_Industry!AB675),"",Mitigation_Industry!AB675)</f>
        <v>9319.1683527318455</v>
      </c>
      <c r="AC992">
        <f>IF(ISBLANK(Mitigation_Industry!AC675),"",Mitigation_Industry!AC675)</f>
        <v>9729.2117602520466</v>
      </c>
      <c r="AD992">
        <f>IF(ISBLANK(Mitigation_Industry!AD675),"",Mitigation_Industry!AD675)</f>
        <v>10157.297077703137</v>
      </c>
      <c r="AE992">
        <f>IF(ISBLANK(Mitigation_Industry!AE675),"",Mitigation_Industry!AE675)</f>
        <v>10604.218149122074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0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0</v>
      </c>
      <c r="Q993">
        <f t="shared" si="245"/>
        <v>0</v>
      </c>
      <c r="R993">
        <f t="shared" si="245"/>
        <v>0</v>
      </c>
      <c r="S993">
        <f t="shared" si="245"/>
        <v>0</v>
      </c>
      <c r="T993">
        <f t="shared" si="245"/>
        <v>0</v>
      </c>
      <c r="U993">
        <f t="shared" si="245"/>
        <v>0</v>
      </c>
      <c r="V993">
        <f t="shared" si="245"/>
        <v>0</v>
      </c>
      <c r="W993">
        <f t="shared" si="245"/>
        <v>0</v>
      </c>
      <c r="X993">
        <f t="shared" si="245"/>
        <v>0</v>
      </c>
      <c r="Y993">
        <f t="shared" si="245"/>
        <v>0</v>
      </c>
      <c r="Z993">
        <f t="shared" si="245"/>
        <v>0</v>
      </c>
      <c r="AA993">
        <f t="shared" si="245"/>
        <v>0</v>
      </c>
      <c r="AB993">
        <f t="shared" si="245"/>
        <v>0</v>
      </c>
      <c r="AC993">
        <f t="shared" si="245"/>
        <v>0</v>
      </c>
      <c r="AD993">
        <f t="shared" si="245"/>
        <v>0</v>
      </c>
      <c r="AE993">
        <f t="shared" si="245"/>
        <v>0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5461.8872831999997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6488.5062610280593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7072.0565601198787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7708.0890389108208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8770.9819790417332</v>
      </c>
      <c r="AC996">
        <f>IF(ISBLANK(Mitigation_Industry!AC676),"",Mitigation_Industry!AC676)</f>
        <v>9156.9051861195694</v>
      </c>
      <c r="AD996">
        <f>IF(ISBLANK(Mitigation_Industry!AD676),"",Mitigation_Industry!AD676)</f>
        <v>9559.8090143088302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0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0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0</v>
      </c>
      <c r="V997">
        <f t="shared" si="246"/>
        <v>0</v>
      </c>
      <c r="W997">
        <f t="shared" si="246"/>
        <v>0</v>
      </c>
      <c r="X997">
        <f t="shared" si="246"/>
        <v>0</v>
      </c>
      <c r="Y997">
        <f t="shared" si="246"/>
        <v>0</v>
      </c>
      <c r="Z997">
        <f t="shared" si="246"/>
        <v>0</v>
      </c>
      <c r="AA997">
        <f t="shared" si="246"/>
        <v>0</v>
      </c>
      <c r="AB997">
        <f t="shared" si="246"/>
        <v>0</v>
      </c>
      <c r="AC997">
        <f t="shared" si="246"/>
        <v>0</v>
      </c>
      <c r="AD997">
        <f t="shared" si="246"/>
        <v>0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60753.588245941268</v>
      </c>
      <c r="U1004">
        <f>IF(ISBLANK(Mitigation_Industry!U678),"",Mitigation_Industry!U678)</f>
        <v>62758.456658057323</v>
      </c>
      <c r="V1004">
        <f>IF(ISBLANK(Mitigation_Industry!V678),"",Mitigation_Industry!V678)</f>
        <v>64829.485727773208</v>
      </c>
      <c r="W1004">
        <f>IF(ISBLANK(Mitigation_Industry!W678),"",Mitigation_Industry!W678)</f>
        <v>66968.858756789719</v>
      </c>
      <c r="X1004">
        <f>IF(ISBLANK(Mitigation_Industry!X678),"",Mitigation_Industry!X678)</f>
        <v>69178.831095763773</v>
      </c>
      <c r="Y1004">
        <f>IF(ISBLANK(Mitigation_Industry!Y678),"",Mitigation_Industry!Y678)</f>
        <v>71461.732521923972</v>
      </c>
      <c r="Z1004">
        <f>IF(ISBLANK(Mitigation_Industry!Z678),"",Mitigation_Industry!Z678)</f>
        <v>73819.969695147462</v>
      </c>
      <c r="AA1004">
        <f>IF(ISBLANK(Mitigation_Industry!AA678),"",Mitigation_Industry!AA678)</f>
        <v>76256.028695087327</v>
      </c>
      <c r="AB1004">
        <f>IF(ISBLANK(Mitigation_Industry!AB678),"",Mitigation_Industry!AB678)</f>
        <v>78772.477642025202</v>
      </c>
      <c r="AC1004">
        <f>IF(ISBLANK(Mitigation_Industry!AC678),"",Mitigation_Industry!AC678)</f>
        <v>81371.969404212025</v>
      </c>
      <c r="AD1004">
        <f>IF(ISBLANK(Mitigation_Industry!AD678),"",Mitigation_Industry!AD678)</f>
        <v>84057.244394551017</v>
      </c>
      <c r="AE1004">
        <f>IF(ISBLANK(Mitigation_Industry!AE678),"",Mitigation_Industry!AE678)</f>
        <v>86831.133459571196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0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0</v>
      </c>
      <c r="U1005">
        <f t="shared" si="248"/>
        <v>0</v>
      </c>
      <c r="V1005">
        <f t="shared" si="248"/>
        <v>0</v>
      </c>
      <c r="W1005">
        <f t="shared" si="248"/>
        <v>0</v>
      </c>
      <c r="X1005">
        <f t="shared" si="248"/>
        <v>0</v>
      </c>
      <c r="Y1005">
        <f t="shared" si="248"/>
        <v>0</v>
      </c>
      <c r="Z1005">
        <f t="shared" si="248"/>
        <v>0</v>
      </c>
      <c r="AA1005">
        <f t="shared" si="248"/>
        <v>0</v>
      </c>
      <c r="AB1005">
        <f t="shared" si="248"/>
        <v>0</v>
      </c>
      <c r="AC1005">
        <f t="shared" si="248"/>
        <v>0</v>
      </c>
      <c r="AD1005">
        <f t="shared" si="248"/>
        <v>0</v>
      </c>
      <c r="AE1005">
        <f t="shared" si="248"/>
        <v>0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1905.4208266799999</v>
      </c>
      <c r="R1008">
        <f>IF(ISBLANK(Mitigation_Industry!R679),"",Mitigation_Industry!R679)</f>
        <v>1947.3400848669598</v>
      </c>
      <c r="S1008">
        <f>IF(ISBLANK(Mitigation_Industry!S679),"",Mitigation_Industry!S679)</f>
        <v>1990.1815667340329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2124.4444852266997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2420.754576827454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0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0</v>
      </c>
      <c r="R1009">
        <f t="shared" si="249"/>
        <v>0</v>
      </c>
      <c r="S1009">
        <f t="shared" si="249"/>
        <v>0</v>
      </c>
      <c r="T1009">
        <f t="shared" si="249"/>
        <v>0</v>
      </c>
      <c r="U1009">
        <f t="shared" si="249"/>
        <v>0</v>
      </c>
      <c r="V1009">
        <f t="shared" si="249"/>
        <v>0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0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3054.6511135167998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3190.5342136504814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3405.7761002379411</v>
      </c>
      <c r="X1012">
        <f>IF(ISBLANK(Mitigation_Industry!X680),"",Mitigation_Industry!X680)</f>
        <v>3480.7031744431761</v>
      </c>
      <c r="Y1012">
        <f>IF(ISBLANK(Mitigation_Industry!Y680),"",Mitigation_Industry!Y680)</f>
        <v>3557.2786442809261</v>
      </c>
      <c r="Z1012">
        <f>IF(ISBLANK(Mitigation_Industry!Z680),"",Mitigation_Industry!Z680)</f>
        <v>3635.5387744551067</v>
      </c>
      <c r="AA1012">
        <f>IF(ISBLANK(Mitigation_Industry!AA680),"",Mitigation_Industry!AA680)</f>
        <v>3715.5206274931193</v>
      </c>
      <c r="AB1012">
        <f>IF(ISBLANK(Mitigation_Industry!AB680),"",Mitigation_Industry!AB680)</f>
        <v>3797.2620812979681</v>
      </c>
      <c r="AC1012">
        <f>IF(ISBLANK(Mitigation_Industry!AC680),"",Mitigation_Industry!AC680)</f>
        <v>3880.8018470865236</v>
      </c>
      <c r="AD1012">
        <f>IF(ISBLANK(Mitigation_Industry!AD680),"",Mitigation_Industry!AD680)</f>
        <v>3966.179487722427</v>
      </c>
      <c r="AE1012">
        <f>IF(ISBLANK(Mitigation_Industry!AE680),"",Mitigation_Industry!AE680)</f>
        <v>4053.4354364523206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0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0</v>
      </c>
      <c r="S1013">
        <f t="shared" si="250"/>
        <v>0</v>
      </c>
      <c r="T1013">
        <f t="shared" si="250"/>
        <v>0</v>
      </c>
      <c r="U1013">
        <f t="shared" si="250"/>
        <v>0</v>
      </c>
      <c r="V1013">
        <f t="shared" si="250"/>
        <v>0</v>
      </c>
      <c r="W1013">
        <f t="shared" si="250"/>
        <v>0</v>
      </c>
      <c r="X1013">
        <f t="shared" si="250"/>
        <v>0</v>
      </c>
      <c r="Y1013">
        <f t="shared" si="250"/>
        <v>0</v>
      </c>
      <c r="Z1013">
        <f t="shared" si="250"/>
        <v>0</v>
      </c>
      <c r="AA1013">
        <f t="shared" si="250"/>
        <v>0</v>
      </c>
      <c r="AB1013">
        <f t="shared" si="250"/>
        <v>0</v>
      </c>
      <c r="AC1013">
        <f t="shared" si="250"/>
        <v>0</v>
      </c>
      <c r="AD1013">
        <f t="shared" si="250"/>
        <v>0</v>
      </c>
      <c r="AE1013">
        <f t="shared" si="250"/>
        <v>0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626.69040000000007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683.68590292510316</v>
      </c>
      <c r="U1016">
        <f>IF(ISBLANK(Mitigation_Industry!U681),"",Mitigation_Industry!U681)</f>
        <v>698.72699278945549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729.80916433670166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813.69901742099296</v>
      </c>
      <c r="AC1016">
        <f>IF(ISBLANK(Mitigation_Industry!AC681),"",Mitigation_Industry!AC681)</f>
        <v>831.60039580425484</v>
      </c>
      <c r="AD1016">
        <f>IF(ISBLANK(Mitigation_Industry!AD681),"",Mitigation_Industry!AD681)</f>
        <v>849.89560451194848</v>
      </c>
      <c r="AE1016">
        <f>IF(ISBLANK(Mitigation_Industry!AE681),"",Mitigation_Industry!AE681)</f>
        <v>868.59330781121139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0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0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0</v>
      </c>
      <c r="U1017">
        <f t="shared" si="251"/>
        <v>0</v>
      </c>
      <c r="V1017">
        <f t="shared" si="251"/>
        <v>0</v>
      </c>
      <c r="W1017">
        <f t="shared" si="251"/>
        <v>0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0</v>
      </c>
      <c r="AC1017">
        <f t="shared" si="251"/>
        <v>0</v>
      </c>
      <c r="AD1017">
        <f t="shared" si="251"/>
        <v>0</v>
      </c>
      <c r="AE1017">
        <f t="shared" si="251"/>
        <v>0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352.27241249999997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392.08800192281245</v>
      </c>
      <c r="T1020">
        <f>IF(ISBLANK(Mitigation_Industry!T682),"",Mitigation_Industry!T682)</f>
        <v>413.65284202856714</v>
      </c>
      <c r="U1020">
        <f>IF(ISBLANK(Mitigation_Industry!U682),"",Mitigation_Industry!U682)</f>
        <v>436.40374834013829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601.73216924272594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669.74294767138497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0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0</v>
      </c>
      <c r="R1021">
        <f t="shared" si="252"/>
        <v>0</v>
      </c>
      <c r="S1021">
        <f t="shared" si="252"/>
        <v>0</v>
      </c>
      <c r="T1021">
        <f t="shared" si="252"/>
        <v>0</v>
      </c>
      <c r="U1021">
        <f t="shared" si="252"/>
        <v>0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0</v>
      </c>
      <c r="AB1021">
        <f t="shared" si="252"/>
        <v>0</v>
      </c>
      <c r="AC1021">
        <f t="shared" si="252"/>
        <v>0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3.8356515442080008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4.3645617483533599</v>
      </c>
      <c r="T1152">
        <f>IF(ISBLANK(Mitigation_Industry!T729),"",Mitigation_Industry!T729)</f>
        <v>4.556602465280907</v>
      </c>
      <c r="U1152">
        <f>IF(ISBLANK(Mitigation_Industry!U729),"",Mitigation_Industry!U729)</f>
        <v>4.7570929737532675</v>
      </c>
      <c r="V1152">
        <f>IF(ISBLANK(Mitigation_Industry!V729),"",Mitigation_Industry!V729)</f>
        <v>4.9664050645984119</v>
      </c>
      <c r="W1152">
        <f>IF(ISBLANK(Mitigation_Industry!W729),"",Mitigation_Industry!W729)</f>
        <v>5.1849268874407413</v>
      </c>
      <c r="X1152">
        <f>IF(ISBLANK(Mitigation_Industry!X729),"",Mitigation_Industry!X729)</f>
        <v>5.4130636704881345</v>
      </c>
      <c r="Y1152">
        <f>IF(ISBLANK(Mitigation_Industry!Y729),"",Mitigation_Industry!Y729)</f>
        <v>5.6512384719896129</v>
      </c>
      <c r="Z1152">
        <f>IF(ISBLANK(Mitigation_Industry!Z729),"",Mitigation_Industry!Z729)</f>
        <v>5.8998929647571554</v>
      </c>
      <c r="AA1152">
        <f>IF(ISBLANK(Mitigation_Industry!AA729),"",Mitigation_Industry!AA729)</f>
        <v>6.1594882552064707</v>
      </c>
      <c r="AB1152">
        <f>IF(ISBLANK(Mitigation_Industry!AB729),"",Mitigation_Industry!AB729)</f>
        <v>6.4305057384355555</v>
      </c>
      <c r="AC1152">
        <f>IF(ISBLANK(Mitigation_Industry!AC729),"",Mitigation_Industry!AC729)</f>
        <v>6.7134479909267206</v>
      </c>
      <c r="AD1152">
        <f>IF(ISBLANK(Mitigation_Industry!AD729),"",Mitigation_Industry!AD729)</f>
        <v>7.0088397025274967</v>
      </c>
      <c r="AE1152">
        <f>IF(ISBLANK(Mitigation_Industry!AE729),"",Mitigation_Industry!AE729)</f>
        <v>7.3172286494387055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0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0</v>
      </c>
      <c r="Q1153">
        <f t="shared" si="285"/>
        <v>0</v>
      </c>
      <c r="R1153">
        <f t="shared" si="285"/>
        <v>0</v>
      </c>
      <c r="S1153">
        <f t="shared" si="285"/>
        <v>0</v>
      </c>
      <c r="T1153">
        <f t="shared" si="285"/>
        <v>0</v>
      </c>
      <c r="U1153">
        <f t="shared" si="285"/>
        <v>0</v>
      </c>
      <c r="V1153">
        <f t="shared" si="285"/>
        <v>0</v>
      </c>
      <c r="W1153">
        <f t="shared" si="285"/>
        <v>0</v>
      </c>
      <c r="X1153">
        <f t="shared" si="285"/>
        <v>0</v>
      </c>
      <c r="Y1153">
        <f t="shared" si="285"/>
        <v>0</v>
      </c>
      <c r="Z1153">
        <f t="shared" si="285"/>
        <v>0</v>
      </c>
      <c r="AA1153">
        <f t="shared" si="285"/>
        <v>0</v>
      </c>
      <c r="AB1153">
        <f t="shared" si="285"/>
        <v>0</v>
      </c>
      <c r="AC1153">
        <f t="shared" si="285"/>
        <v>0</v>
      </c>
      <c r="AD1153">
        <f t="shared" si="285"/>
        <v>0</v>
      </c>
      <c r="AE1153">
        <f t="shared" si="285"/>
        <v>0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0.76602969146880007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0.91001300310918543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0.99185593255681304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1.0810594877072426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1.2301302225606032</v>
      </c>
      <c r="AC1156">
        <f>IF(ISBLANK(Mitigation_Industry!AC730),"",Mitigation_Industry!AC730)</f>
        <v>1.2842559523532697</v>
      </c>
      <c r="AD1156">
        <f>IF(ISBLANK(Mitigation_Industry!AD730),"",Mitigation_Industry!AD730)</f>
        <v>1.3407632142568136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0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0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0</v>
      </c>
      <c r="V1157">
        <f t="shared" si="286"/>
        <v>0</v>
      </c>
      <c r="W1157">
        <f t="shared" si="286"/>
        <v>0</v>
      </c>
      <c r="X1157">
        <f t="shared" si="286"/>
        <v>0</v>
      </c>
      <c r="Y1157">
        <f t="shared" si="286"/>
        <v>0</v>
      </c>
      <c r="Z1157">
        <f t="shared" si="286"/>
        <v>0</v>
      </c>
      <c r="AA1157">
        <f t="shared" si="286"/>
        <v>0</v>
      </c>
      <c r="AB1157">
        <f t="shared" si="286"/>
        <v>0</v>
      </c>
      <c r="AC1157">
        <f t="shared" si="286"/>
        <v>0</v>
      </c>
      <c r="AD1157">
        <f t="shared" si="286"/>
        <v>0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18.093263054517926</v>
      </c>
      <c r="V1164">
        <f>IF(ISBLANK(Mitigation_Industry!V732),"",Mitigation_Industry!V732)</f>
        <v>18.690340735317015</v>
      </c>
      <c r="W1164">
        <f>IF(ISBLANK(Mitigation_Industry!W732),"",Mitigation_Industry!W732)</f>
        <v>19.307121979582476</v>
      </c>
      <c r="X1164">
        <f>IF(ISBLANK(Mitigation_Industry!X732),"",Mitigation_Industry!X732)</f>
        <v>19.944257004908696</v>
      </c>
      <c r="Y1164">
        <f>IF(ISBLANK(Mitigation_Industry!Y732),"",Mitigation_Industry!Y732)</f>
        <v>20.602417486070681</v>
      </c>
      <c r="Z1164">
        <f>IF(ISBLANK(Mitigation_Industry!Z732),"",Mitigation_Industry!Z732)</f>
        <v>21.282297263111012</v>
      </c>
      <c r="AA1164">
        <f>IF(ISBLANK(Mitigation_Industry!AA732),"",Mitigation_Industry!AA732)</f>
        <v>21.984613072793675</v>
      </c>
      <c r="AB1164">
        <f>IF(ISBLANK(Mitigation_Industry!AB732),"",Mitigation_Industry!AB732)</f>
        <v>22.710105304195867</v>
      </c>
      <c r="AC1164">
        <f>IF(ISBLANK(Mitigation_Industry!AC732),"",Mitigation_Industry!AC732)</f>
        <v>23.459538779234329</v>
      </c>
      <c r="AD1164">
        <f>IF(ISBLANK(Mitigation_Industry!AD732),"",Mitigation_Industry!AD732)</f>
        <v>24.23370355894906</v>
      </c>
      <c r="AE1164">
        <f>IF(ISBLANK(Mitigation_Industry!AE732),"",Mitigation_Industry!AE732)</f>
        <v>25.033415776394378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7.1054273576010019E-15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3.5527136788005009E-15</v>
      </c>
      <c r="V1165">
        <f t="shared" si="288"/>
        <v>3.5527136788005009E-15</v>
      </c>
      <c r="W1165">
        <f t="shared" si="288"/>
        <v>3.5527136788005009E-15</v>
      </c>
      <c r="X1165">
        <f t="shared" si="288"/>
        <v>3.5527136788005009E-15</v>
      </c>
      <c r="Y1165">
        <f t="shared" si="288"/>
        <v>3.5527136788005009E-15</v>
      </c>
      <c r="Z1165">
        <f t="shared" si="288"/>
        <v>3.5527136788005009E-15</v>
      </c>
      <c r="AA1165">
        <f t="shared" si="288"/>
        <v>3.5527136788005009E-15</v>
      </c>
      <c r="AB1165">
        <f t="shared" si="288"/>
        <v>3.5527136788005009E-15</v>
      </c>
      <c r="AC1165">
        <f t="shared" si="288"/>
        <v>7.1054273576010019E-15</v>
      </c>
      <c r="AD1165">
        <f t="shared" si="288"/>
        <v>3.5527136788005009E-15</v>
      </c>
      <c r="AE1165">
        <f t="shared" si="288"/>
        <v>7.1054273576010019E-15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3.5275055764326835</v>
      </c>
      <c r="R1168">
        <f>IF(ISBLANK(Mitigation_Industry!R733),"",Mitigation_Industry!R733)</f>
        <v>3.6051106991142028</v>
      </c>
      <c r="S1168">
        <f>IF(ISBLANK(Mitigation_Industry!S733),"",Mitigation_Industry!S733)</f>
        <v>3.6844231344947151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4.4815429480806648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8.8817841970012523E-16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-4.4408920985006262E-16</v>
      </c>
      <c r="R1169">
        <f t="shared" si="289"/>
        <v>-4.4408920985006262E-16</v>
      </c>
      <c r="S1169">
        <f t="shared" si="289"/>
        <v>-4.4408920985006262E-16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-4.4408920985006262E-16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-8.8817841970012523E-16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0.34273185493658492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0.35797793877158396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0.38212807844669699</v>
      </c>
      <c r="X1172">
        <f>IF(ISBLANK(Mitigation_Industry!X734),"",Mitigation_Industry!X734)</f>
        <v>0.39053489617252435</v>
      </c>
      <c r="Y1172">
        <f>IF(ISBLANK(Mitigation_Industry!Y734),"",Mitigation_Industry!Y734)</f>
        <v>0.39912666388831991</v>
      </c>
      <c r="Z1172">
        <f>IF(ISBLANK(Mitigation_Industry!Z734),"",Mitigation_Industry!Z734)</f>
        <v>0.40790745049386296</v>
      </c>
      <c r="AA1172">
        <f>IF(ISBLANK(Mitigation_Industry!AA734),"",Mitigation_Industry!AA734)</f>
        <v>0.41688141440472792</v>
      </c>
      <c r="AB1172">
        <f>IF(ISBLANK(Mitigation_Industry!AB734),"",Mitigation_Industry!AB734)</f>
        <v>0.42605280552163199</v>
      </c>
      <c r="AC1172">
        <f>IF(ISBLANK(Mitigation_Industry!AC734),"",Mitigation_Industry!AC734)</f>
        <v>0.43542596724310795</v>
      </c>
      <c r="AD1172">
        <f>IF(ISBLANK(Mitigation_Industry!AD734),"",Mitigation_Industry!AD734)</f>
        <v>0.44500533852245627</v>
      </c>
      <c r="AE1172">
        <f>IF(ISBLANK(Mitigation_Industry!AE734),"",Mitigation_Industry!AE734)</f>
        <v>0.45479545596995036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1.1102230246251565E-16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-5.5511151231257827E-17</v>
      </c>
      <c r="S1173">
        <f t="shared" si="290"/>
        <v>-5.5511151231257827E-17</v>
      </c>
      <c r="T1173">
        <f t="shared" si="290"/>
        <v>-5.5511151231257827E-17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-5.5511151231257827E-17</v>
      </c>
      <c r="X1173">
        <f t="shared" si="290"/>
        <v>-5.5511151231257827E-17</v>
      </c>
      <c r="Y1173">
        <f t="shared" si="290"/>
        <v>0</v>
      </c>
      <c r="Z1173">
        <f t="shared" si="290"/>
        <v>-5.5511151231257827E-17</v>
      </c>
      <c r="AA1173">
        <f t="shared" si="290"/>
        <v>-5.5511151231257827E-17</v>
      </c>
      <c r="AB1173">
        <f t="shared" si="290"/>
        <v>-5.5511151231257827E-17</v>
      </c>
      <c r="AC1173">
        <f t="shared" si="290"/>
        <v>-5.5511151231257827E-17</v>
      </c>
      <c r="AD1173">
        <f t="shared" si="290"/>
        <v>-5.5511151231257827E-17</v>
      </c>
      <c r="AE1173">
        <f t="shared" si="290"/>
        <v>-5.5511151231257827E-17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7.0314662880000003E-2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7.6709558308196577E-2</v>
      </c>
      <c r="U1176">
        <f>IF(ISBLANK(Mitigation_Industry!U735),"",Mitigation_Industry!U735)</f>
        <v>7.8397168590976909E-2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8.1884588238577916E-2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9.1297029754635398E-2</v>
      </c>
      <c r="AC1176">
        <f>IF(ISBLANK(Mitigation_Industry!AC735),"",Mitigation_Industry!AC735)</f>
        <v>9.3305564409237388E-2</v>
      </c>
      <c r="AD1176">
        <f>IF(ISBLANK(Mitigation_Industry!AD735),"",Mitigation_Industry!AD735)</f>
        <v>9.5358286826240618E-2</v>
      </c>
      <c r="AE1176">
        <f>IF(ISBLANK(Mitigation_Industry!AE735),"",Mitigation_Industry!AE735)</f>
        <v>9.7456169136417914E-2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1.3877787807814457E-17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-1.3877787807814457E-17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0</v>
      </c>
      <c r="U1177">
        <f t="shared" si="291"/>
        <v>-1.3877787807814457E-17</v>
      </c>
      <c r="V1177">
        <f t="shared" si="291"/>
        <v>0</v>
      </c>
      <c r="W1177">
        <f t="shared" si="291"/>
        <v>-1.3877787807814457E-17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-1.3877787807814457E-17</v>
      </c>
      <c r="AC1177">
        <f t="shared" si="291"/>
        <v>-1.3877787807814457E-17</v>
      </c>
      <c r="AD1177">
        <f t="shared" si="291"/>
        <v>-1.3877787807814457E-17</v>
      </c>
      <c r="AE1177">
        <f t="shared" si="291"/>
        <v>-1.3877787807814457E-17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5.4954496349999993E-2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6.1165728299958741E-2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6.8078984741061568E-2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9.3870218401865241E-2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0.10447989983673606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0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0</v>
      </c>
      <c r="R1181">
        <f t="shared" si="292"/>
        <v>0</v>
      </c>
      <c r="S1181">
        <f t="shared" si="292"/>
        <v>0</v>
      </c>
      <c r="T1181">
        <f t="shared" si="292"/>
        <v>0</v>
      </c>
      <c r="U1181">
        <f t="shared" si="292"/>
        <v>0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0</v>
      </c>
      <c r="AB1181">
        <f t="shared" si="292"/>
        <v>0</v>
      </c>
      <c r="AC1181">
        <f t="shared" si="292"/>
        <v>0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26.326124888867827</v>
      </c>
      <c r="T1184">
        <f>IF(ISBLANK(Mitigation_Industry!T737),"",Mitigation_Industry!T737)</f>
        <v>27.20821970513958</v>
      </c>
      <c r="U1184">
        <f>IF(ISBLANK(Mitigation_Industry!U737),"",Mitigation_Industry!U737)</f>
        <v>28.121019651346554</v>
      </c>
      <c r="V1184">
        <f>IF(ISBLANK(Mitigation_Industry!V737),"",Mitigation_Industry!V737)</f>
        <v>29.065630915263306</v>
      </c>
      <c r="W1184">
        <f>IF(ISBLANK(Mitigation_Industry!W737),"",Mitigation_Industry!W737)</f>
        <v>30.043200803417918</v>
      </c>
      <c r="X1184">
        <f>IF(ISBLANK(Mitigation_Industry!X737),"",Mitigation_Industry!X737)</f>
        <v>31.054919314104183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33.185785528135781</v>
      </c>
      <c r="AA1184">
        <f>IF(ISBLANK(Mitigation_Industry!AA737),"",Mitigation_Industry!AA737)</f>
        <v>34.307541724028312</v>
      </c>
      <c r="AB1184">
        <f>IF(ISBLANK(Mitigation_Industry!AB737),"",Mitigation_Industry!AB737)</f>
        <v>35.468667128962927</v>
      </c>
      <c r="AC1184">
        <f>IF(ISBLANK(Mitigation_Industry!AC737),"",Mitigation_Industry!AC737)</f>
        <v>36.67059104694183</v>
      </c>
      <c r="AD1184">
        <f>IF(ISBLANK(Mitigation_Industry!AD737),"",Mitigation_Industry!AD737)</f>
        <v>37.914796299992908</v>
      </c>
      <c r="AE1184">
        <f>IF(ISBLANK(Mitigation_Industry!AE737),"",Mitigation_Industry!AE737)</f>
        <v>39.202821289623259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7.1054273576010019E-15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3.5527136788005009E-15</v>
      </c>
      <c r="T1185">
        <f t="shared" si="293"/>
        <v>7.1054273576010019E-15</v>
      </c>
      <c r="U1185">
        <f t="shared" si="293"/>
        <v>3.5527136788005009E-15</v>
      </c>
      <c r="V1185">
        <f t="shared" si="293"/>
        <v>0</v>
      </c>
      <c r="W1185">
        <f t="shared" si="293"/>
        <v>0</v>
      </c>
      <c r="X1185">
        <f t="shared" si="293"/>
        <v>3.5527136788005009E-15</v>
      </c>
      <c r="Y1185">
        <f t="shared" si="293"/>
        <v>0</v>
      </c>
      <c r="Z1185">
        <f t="shared" si="293"/>
        <v>7.1054273576010019E-15</v>
      </c>
      <c r="AA1185">
        <f t="shared" si="293"/>
        <v>7.1054273576010019E-15</v>
      </c>
      <c r="AB1185">
        <f t="shared" si="293"/>
        <v>0</v>
      </c>
      <c r="AC1185">
        <f t="shared" si="293"/>
        <v>7.1054273576010019E-15</v>
      </c>
      <c r="AD1185">
        <f t="shared" si="293"/>
        <v>0</v>
      </c>
      <c r="AE1185">
        <f t="shared" si="293"/>
        <v>0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0.22234694400000005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0.24234393875558408</v>
      </c>
      <c r="S1188">
        <f>IF(ISBLANK(Mitigation_Industry!S740),"",Mitigation_Industry!S740)</f>
        <v>0.25300707206082979</v>
      </c>
      <c r="T1188">
        <f>IF(ISBLANK(Mitigation_Industry!T740),"",Mitigation_Industry!T740)</f>
        <v>0.26413938323150632</v>
      </c>
      <c r="U1188">
        <f>IF(ISBLANK(Mitigation_Industry!U740),"",Mitigation_Industry!U740)</f>
        <v>0.27576151609369259</v>
      </c>
      <c r="V1188">
        <f>IF(ISBLANK(Mitigation_Industry!V740),"",Mitigation_Industry!V740)</f>
        <v>0.28789502280181506</v>
      </c>
      <c r="W1188">
        <f>IF(ISBLANK(Mitigation_Industry!W740),"",Mitigation_Industry!W740)</f>
        <v>0.30056240380509497</v>
      </c>
      <c r="X1188">
        <f>IF(ISBLANK(Mitigation_Industry!X740),"",Mitigation_Industry!X740)</f>
        <v>0.31378714957251913</v>
      </c>
      <c r="Y1188">
        <f>IF(ISBLANK(Mitigation_Industry!Y740),"",Mitigation_Industry!Y740)</f>
        <v>0.32759378415370999</v>
      </c>
      <c r="Z1188">
        <f>IF(ISBLANK(Mitigation_Industry!Z740),"",Mitigation_Industry!Z740)</f>
        <v>0.34200791065647324</v>
      </c>
      <c r="AA1188">
        <f>IF(ISBLANK(Mitigation_Industry!AA740),"",Mitigation_Industry!AA740)</f>
        <v>0.35705625872535807</v>
      </c>
      <c r="AB1188">
        <f>IF(ISBLANK(Mitigation_Industry!AB740),"",Mitigation_Industry!AB740)</f>
        <v>0.37276673410927386</v>
      </c>
      <c r="AC1188">
        <f>IF(ISBLANK(Mitigation_Industry!AC740),"",Mitigation_Industry!AC740)</f>
        <v>0.38916847041008185</v>
      </c>
      <c r="AD1188">
        <f>IF(ISBLANK(Mitigation_Industry!AD740),"",Mitigation_Industry!AD740)</f>
        <v>0.40629188310812547</v>
      </c>
      <c r="AE1188">
        <f>IF(ISBLANK(Mitigation_Industry!AE740),"",Mitigation_Industry!AE740)</f>
        <v>0.42416872596488298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0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0</v>
      </c>
      <c r="Q1189">
        <f t="shared" si="294"/>
        <v>0</v>
      </c>
      <c r="R1189">
        <f t="shared" si="294"/>
        <v>0</v>
      </c>
      <c r="S1189">
        <f t="shared" si="294"/>
        <v>0</v>
      </c>
      <c r="T1189">
        <f t="shared" si="294"/>
        <v>0</v>
      </c>
      <c r="U1189">
        <f t="shared" si="294"/>
        <v>0</v>
      </c>
      <c r="V1189">
        <f t="shared" si="294"/>
        <v>0</v>
      </c>
      <c r="W1189">
        <f t="shared" si="294"/>
        <v>0</v>
      </c>
      <c r="X1189">
        <f t="shared" si="294"/>
        <v>0</v>
      </c>
      <c r="Y1189">
        <f t="shared" si="294"/>
        <v>0</v>
      </c>
      <c r="Z1189">
        <f t="shared" si="294"/>
        <v>0</v>
      </c>
      <c r="AA1189">
        <f t="shared" si="294"/>
        <v>0</v>
      </c>
      <c r="AB1189">
        <f t="shared" si="294"/>
        <v>0</v>
      </c>
      <c r="AC1189">
        <f t="shared" si="294"/>
        <v>0</v>
      </c>
      <c r="AD1189">
        <f t="shared" si="294"/>
        <v>0</v>
      </c>
      <c r="AE1189">
        <f t="shared" si="294"/>
        <v>0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8.1928309247999986E-2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9.7327593915420896E-2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0.10608084840179818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0.13156472968562599</v>
      </c>
      <c r="AC1192">
        <f>IF(ISBLANK(Mitigation_Industry!AC741),"",Mitigation_Industry!AC741)</f>
        <v>0.13735357779179352</v>
      </c>
      <c r="AD1192">
        <f>IF(ISBLANK(Mitigation_Industry!AD741),"",Mitigation_Industry!AD741)</f>
        <v>0.14339713521463243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0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0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0</v>
      </c>
      <c r="V1193">
        <f t="shared" si="295"/>
        <v>0</v>
      </c>
      <c r="W1193">
        <f t="shared" si="295"/>
        <v>0</v>
      </c>
      <c r="X1193">
        <f t="shared" si="295"/>
        <v>0</v>
      </c>
      <c r="Y1193">
        <f t="shared" si="295"/>
        <v>0</v>
      </c>
      <c r="Z1193">
        <f t="shared" si="295"/>
        <v>0</v>
      </c>
      <c r="AA1193">
        <f t="shared" si="295"/>
        <v>0</v>
      </c>
      <c r="AB1193">
        <f t="shared" si="295"/>
        <v>0</v>
      </c>
      <c r="AC1193">
        <f t="shared" si="295"/>
        <v>0</v>
      </c>
      <c r="AD1193">
        <f t="shared" si="295"/>
        <v>0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31.956387417365111</v>
      </c>
      <c r="U1200">
        <f>IF(ISBLANK(Mitigation_Industry!U743),"",Mitigation_Industry!U743)</f>
        <v>33.010948202138152</v>
      </c>
      <c r="V1200">
        <f>IF(ISBLANK(Mitigation_Industry!V743),"",Mitigation_Industry!V743)</f>
        <v>34.100309492808705</v>
      </c>
      <c r="W1200">
        <f>IF(ISBLANK(Mitigation_Industry!W743),"",Mitigation_Industry!W743)</f>
        <v>35.225619706071399</v>
      </c>
      <c r="X1200">
        <f>IF(ISBLANK(Mitigation_Industry!X743),"",Mitigation_Industry!X743)</f>
        <v>36.388065156371745</v>
      </c>
      <c r="Y1200">
        <f>IF(ISBLANK(Mitigation_Industry!Y743),"",Mitigation_Industry!Y743)</f>
        <v>37.588871306532013</v>
      </c>
      <c r="Z1200">
        <f>IF(ISBLANK(Mitigation_Industry!Z743),"",Mitigation_Industry!Z743)</f>
        <v>38.829304059647569</v>
      </c>
      <c r="AA1200">
        <f>IF(ISBLANK(Mitigation_Industry!AA743),"",Mitigation_Industry!AA743)</f>
        <v>40.110671093615935</v>
      </c>
      <c r="AB1200">
        <f>IF(ISBLANK(Mitigation_Industry!AB743),"",Mitigation_Industry!AB743)</f>
        <v>41.434323239705257</v>
      </c>
      <c r="AC1200">
        <f>IF(ISBLANK(Mitigation_Industry!AC743),"",Mitigation_Industry!AC743)</f>
        <v>42.801655906615522</v>
      </c>
      <c r="AD1200">
        <f>IF(ISBLANK(Mitigation_Industry!AD743),"",Mitigation_Industry!AD743)</f>
        <v>44.214110551533835</v>
      </c>
      <c r="AE1200">
        <f>IF(ISBLANK(Mitigation_Industry!AE743),"",Mitigation_Industry!AE743)</f>
        <v>45.673176199734449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0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0</v>
      </c>
      <c r="U1201">
        <f t="shared" si="297"/>
        <v>0</v>
      </c>
      <c r="V1201">
        <f t="shared" si="297"/>
        <v>0</v>
      </c>
      <c r="W1201">
        <f t="shared" si="297"/>
        <v>0</v>
      </c>
      <c r="X1201">
        <f t="shared" si="297"/>
        <v>0</v>
      </c>
      <c r="Y1201">
        <f t="shared" si="297"/>
        <v>0</v>
      </c>
      <c r="Z1201">
        <f t="shared" si="297"/>
        <v>0</v>
      </c>
      <c r="AA1201">
        <f t="shared" si="297"/>
        <v>0</v>
      </c>
      <c r="AB1201">
        <f t="shared" si="297"/>
        <v>0</v>
      </c>
      <c r="AC1201">
        <f t="shared" si="297"/>
        <v>0</v>
      </c>
      <c r="AD1201">
        <f t="shared" si="297"/>
        <v>0</v>
      </c>
      <c r="AE1201">
        <f t="shared" si="297"/>
        <v>0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0.60788968800000009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0.66317532583735006</v>
      </c>
      <c r="U1212">
        <f>IF(ISBLANK(Mitigation_Industry!U746),"",Mitigation_Industry!U746)</f>
        <v>0.67776518300577182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0.70791488940660052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0.78928804689836318</v>
      </c>
      <c r="AC1212">
        <f>IF(ISBLANK(Mitigation_Industry!AC746),"",Mitigation_Industry!AC746)</f>
        <v>0.80665238393012717</v>
      </c>
      <c r="AD1212">
        <f>IF(ISBLANK(Mitigation_Industry!AD746),"",Mitigation_Industry!AD746)</f>
        <v>0.82439873637659</v>
      </c>
      <c r="AE1212">
        <f>IF(ISBLANK(Mitigation_Industry!AE746),"",Mitigation_Industry!AE746)</f>
        <v>0.84253550857687498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0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0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0</v>
      </c>
      <c r="U1213">
        <f t="shared" si="300"/>
        <v>0</v>
      </c>
      <c r="V1213">
        <f t="shared" si="300"/>
        <v>0</v>
      </c>
      <c r="W1213">
        <f t="shared" si="300"/>
        <v>0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0</v>
      </c>
      <c r="AC1213">
        <f t="shared" si="300"/>
        <v>0</v>
      </c>
      <c r="AD1213">
        <f t="shared" si="300"/>
        <v>0</v>
      </c>
      <c r="AE1213">
        <f t="shared" si="300"/>
        <v>0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0.82784016937499993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0.92140680451860935</v>
      </c>
      <c r="T1216">
        <f>IF(ISBLANK(Mitigation_Industry!T747),"",Mitigation_Industry!T747)</f>
        <v>0.97208417876713282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1.4140705977204062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1.5738959270277546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0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0</v>
      </c>
      <c r="R1217">
        <f t="shared" si="301"/>
        <v>0</v>
      </c>
      <c r="S1217">
        <f t="shared" si="301"/>
        <v>0</v>
      </c>
      <c r="T1217">
        <f t="shared" si="301"/>
        <v>0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0</v>
      </c>
      <c r="AB1217">
        <f t="shared" si="301"/>
        <v>0</v>
      </c>
      <c r="AC1217">
        <f t="shared" si="301"/>
        <v>0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35.087351303752364</v>
      </c>
      <c r="V1220">
        <f>IF(ISBLANK(Mitigation_Industry!V748),"",Mitigation_Industry!V748)</f>
        <v>36.264444533762408</v>
      </c>
      <c r="W1220">
        <f>IF(ISBLANK(Mitigation_Industry!W748),"",Mitigation_Industry!W748)</f>
        <v>37.481639310376153</v>
      </c>
      <c r="X1220">
        <f>IF(ISBLANK(Mitigation_Industry!X748),"",Mitigation_Industry!X748)</f>
        <v>38.740331571788573</v>
      </c>
      <c r="Y1220">
        <f>IF(ISBLANK(Mitigation_Industry!Y748),"",Mitigation_Industry!Y748)</f>
        <v>40.041967346128295</v>
      </c>
      <c r="Z1220">
        <f>IF(ISBLANK(Mitigation_Industry!Z748),"",Mitigation_Industry!Z748)</f>
        <v>41.388044624518081</v>
      </c>
      <c r="AA1220">
        <f>IF(ISBLANK(Mitigation_Industry!AA748),"",Mitigation_Industry!AA748)</f>
        <v>42.780115307939909</v>
      </c>
      <c r="AB1220">
        <f>IF(ISBLANK(Mitigation_Industry!AB748),"",Mitigation_Industry!AB748)</f>
        <v>44.219787230993546</v>
      </c>
      <c r="AC1220">
        <f>IF(ISBLANK(Mitigation_Industry!AC748),"",Mitigation_Industry!AC748)</f>
        <v>45.708726265775283</v>
      </c>
      <c r="AD1220">
        <f>IF(ISBLANK(Mitigation_Industry!AD748),"",Mitigation_Industry!AD748)</f>
        <v>47.248658509247463</v>
      </c>
      <c r="AE1220">
        <f>IF(ISBLANK(Mitigation_Industry!AE748),"",Mitigation_Industry!AE748)</f>
        <v>48.841372557620346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0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0</v>
      </c>
      <c r="V1221">
        <f t="shared" si="302"/>
        <v>0</v>
      </c>
      <c r="W1221">
        <f t="shared" si="302"/>
        <v>0</v>
      </c>
      <c r="X1221">
        <f t="shared" si="302"/>
        <v>0</v>
      </c>
      <c r="Y1221">
        <f t="shared" si="302"/>
        <v>0</v>
      </c>
      <c r="Z1221">
        <f t="shared" si="302"/>
        <v>0</v>
      </c>
      <c r="AA1221">
        <f t="shared" si="302"/>
        <v>0</v>
      </c>
      <c r="AB1221">
        <f t="shared" si="302"/>
        <v>0</v>
      </c>
      <c r="AC1221">
        <f t="shared" si="302"/>
        <v>0</v>
      </c>
      <c r="AD1221">
        <f t="shared" si="302"/>
        <v>0</v>
      </c>
      <c r="AE1221">
        <f t="shared" si="302"/>
        <v>0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3.9347212273917234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4.1097533664710166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4.3870082112000661</v>
      </c>
      <c r="W1296">
        <f>IF(ISBLANK(Mitigation_Industry!W773),"",Mitigation_Industry!W773)</f>
        <v>4.4835223918464688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4.8912845238326152</v>
      </c>
      <c r="AB1296">
        <f>IF(ISBLANK(Mitigation_Industry!AB773),"",Mitigation_Industry!AB773)</f>
        <v>4.9988927833569319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3.3134579662557235</v>
      </c>
      <c r="R1297">
        <f t="shared" si="321"/>
        <v>3.38635404151335</v>
      </c>
      <c r="S1297">
        <f t="shared" si="321"/>
        <v>3.4608538304266427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</v>
      </c>
      <c r="W1297">
        <f t="shared" si="321"/>
        <v>3.7756075024398683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4.1189870219751175</v>
      </c>
      <c r="AB1297">
        <f t="shared" si="321"/>
        <v>4.2096047364585685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5.1994850861540982</v>
      </c>
      <c r="T1300">
        <f>IF(ISBLANK(Mitigation_Industry!T774),"",Mitigation_Industry!T774)</f>
        <v>5.4282624299448781</v>
      </c>
      <c r="U1300">
        <f>IF(ISBLANK(Mitigation_Industry!U774),"",Mitigation_Industry!U774)</f>
        <v>5.6671059768624525</v>
      </c>
      <c r="V1300">
        <f>IF(ISBLANK(Mitigation_Industry!V774),"",Mitigation_Industry!V774)</f>
        <v>5.9164586398444019</v>
      </c>
      <c r="W1300">
        <f>IF(ISBLANK(Mitigation_Industry!W774),"",Mitigation_Industry!W774)</f>
        <v>6.1767828199975545</v>
      </c>
      <c r="X1300">
        <f>IF(ISBLANK(Mitigation_Industry!X774),"",Mitigation_Industry!X774)</f>
        <v>6.4485612640774477</v>
      </c>
      <c r="Y1300">
        <f>IF(ISBLANK(Mitigation_Industry!Y774),"",Mitigation_Industry!Y774)</f>
        <v>6.7322979596968553</v>
      </c>
      <c r="Z1300">
        <f>IF(ISBLANK(Mitigation_Industry!Z774),"",Mitigation_Industry!Z774)</f>
        <v>7.0285190699235169</v>
      </c>
      <c r="AA1300">
        <f>IF(ISBLANK(Mitigation_Industry!AA774),"",Mitigation_Industry!AA774)</f>
        <v>7.3377739090001519</v>
      </c>
      <c r="AB1300">
        <f>IF(ISBLANK(Mitigation_Industry!AB774),"",Mitigation_Industry!AB774)</f>
        <v>7.6606359609961583</v>
      </c>
      <c r="AC1300">
        <f>IF(ISBLANK(Mitigation_Industry!AC774),"",Mitigation_Industry!AC774)</f>
        <v>7.9977039432799906</v>
      </c>
      <c r="AD1300">
        <f>IF(ISBLANK(Mitigation_Industry!AD774),"",Mitigation_Industry!AD774)</f>
        <v>8.3496029167843098</v>
      </c>
      <c r="AE1300">
        <f>IF(ISBLANK(Mitigation_Industry!AE774),"",Mitigation_Industry!AE774)</f>
        <v>8.7169854451228197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8.1431101099938612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4.8571814004247402</v>
      </c>
      <c r="T1301">
        <f t="shared" si="322"/>
        <v>5.0708973820434284</v>
      </c>
      <c r="U1301">
        <f t="shared" si="322"/>
        <v>5.2940168668533394</v>
      </c>
      <c r="V1301">
        <f t="shared" si="322"/>
        <v>5.5269536089948872</v>
      </c>
      <c r="W1301">
        <f t="shared" si="322"/>
        <v>5.7701395677906611</v>
      </c>
      <c r="X1301">
        <f t="shared" si="322"/>
        <v>6.0240257087734514</v>
      </c>
      <c r="Y1301">
        <f t="shared" si="322"/>
        <v>6.2890828399594829</v>
      </c>
      <c r="Z1301">
        <f t="shared" si="322"/>
        <v>6.5658024849177004</v>
      </c>
      <c r="AA1301">
        <f t="shared" si="322"/>
        <v>6.8546977942540792</v>
      </c>
      <c r="AB1301">
        <f t="shared" si="322"/>
        <v>7.1563044972012584</v>
      </c>
      <c r="AC1301">
        <f t="shared" si="322"/>
        <v>7.4711818950781153</v>
      </c>
      <c r="AD1301">
        <f t="shared" si="322"/>
        <v>7.7999138984615524</v>
      </c>
      <c r="AE1301">
        <f t="shared" si="322"/>
        <v>8.1431101099938612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5.4954496349999993E-2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6.1165728299958741E-2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6.8078984741061568E-2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9.3870218401865241E-2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0.10447989983673606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18.093263054517926</v>
      </c>
      <c r="V1312">
        <f>IF(ISBLANK(Mitigation_Industry!V777),"",Mitigation_Industry!V777)</f>
        <v>18.690340735317015</v>
      </c>
      <c r="W1312">
        <f>IF(ISBLANK(Mitigation_Industry!W777),"",Mitigation_Industry!W777)</f>
        <v>19.307121979582476</v>
      </c>
      <c r="X1312">
        <f>IF(ISBLANK(Mitigation_Industry!X777),"",Mitigation_Industry!X777)</f>
        <v>19.944257004908696</v>
      </c>
      <c r="Y1312">
        <f>IF(ISBLANK(Mitigation_Industry!Y777),"",Mitigation_Industry!Y777)</f>
        <v>20.602417486070681</v>
      </c>
      <c r="Z1312">
        <f>IF(ISBLANK(Mitigation_Industry!Z777),"",Mitigation_Industry!Z777)</f>
        <v>21.282297263111012</v>
      </c>
      <c r="AA1312">
        <f>IF(ISBLANK(Mitigation_Industry!AA777),"",Mitigation_Industry!AA777)</f>
        <v>21.984613072793675</v>
      </c>
      <c r="AB1312">
        <f>IF(ISBLANK(Mitigation_Industry!AB777),"",Mitigation_Industry!AB777)</f>
        <v>22.710105304195867</v>
      </c>
      <c r="AC1312">
        <f>IF(ISBLANK(Mitigation_Industry!AC777),"",Mitigation_Industry!AC777)</f>
        <v>23.459538779234329</v>
      </c>
      <c r="AD1312">
        <f>IF(ISBLANK(Mitigation_Industry!AD777),"",Mitigation_Industry!AD777)</f>
        <v>24.23370355894906</v>
      </c>
      <c r="AE1312">
        <f>IF(ISBLANK(Mitigation_Industry!AE777),"",Mitigation_Industry!AE777)</f>
        <v>25.033415776394378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20.639760423340071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-14.917685147620226</v>
      </c>
      <c r="V1313">
        <f t="shared" si="325"/>
        <v>-15.40996875749169</v>
      </c>
      <c r="W1313">
        <f t="shared" si="325"/>
        <v>-15.918497726488923</v>
      </c>
      <c r="X1313">
        <f t="shared" si="325"/>
        <v>-16.443808151463049</v>
      </c>
      <c r="Y1313">
        <f t="shared" si="325"/>
        <v>-16.986453820461332</v>
      </c>
      <c r="Z1313">
        <f t="shared" si="325"/>
        <v>-17.547006796536557</v>
      </c>
      <c r="AA1313">
        <f t="shared" si="325"/>
        <v>-18.12605802082226</v>
      </c>
      <c r="AB1313">
        <f t="shared" si="325"/>
        <v>-18.72421793550939</v>
      </c>
      <c r="AC1313">
        <f t="shared" si="325"/>
        <v>-19.342117127381194</v>
      </c>
      <c r="AD1313">
        <f t="shared" si="325"/>
        <v>-19.980406992584776</v>
      </c>
      <c r="AE1313">
        <f t="shared" si="325"/>
        <v>-20.639760423340071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26.326124888867831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28.121019651346558</v>
      </c>
      <c r="V1316">
        <f>IF(ISBLANK(Mitigation_Industry!V778),"",Mitigation_Industry!V778)</f>
        <v>29.065630915263306</v>
      </c>
      <c r="W1316">
        <f>IF(ISBLANK(Mitigation_Industry!W778),"",Mitigation_Industry!W778)</f>
        <v>30.043200803417918</v>
      </c>
      <c r="X1316">
        <f>IF(ISBLANK(Mitigation_Industry!X778),"",Mitigation_Industry!X778)</f>
        <v>31.054919314104183</v>
      </c>
      <c r="Y1316">
        <f>IF(ISBLANK(Mitigation_Industry!Y778),"",Mitigation_Industry!Y778)</f>
        <v>32.102020772179657</v>
      </c>
      <c r="Z1316">
        <f>IF(ISBLANK(Mitigation_Industry!Z778),"",Mitigation_Industry!Z778)</f>
        <v>33.185785528135774</v>
      </c>
      <c r="AA1316">
        <f>IF(ISBLANK(Mitigation_Industry!AA778),"",Mitigation_Industry!AA778)</f>
        <v>34.307541724028304</v>
      </c>
      <c r="AB1316">
        <f>IF(ISBLANK(Mitigation_Industry!AB778),"",Mitigation_Industry!AB778)</f>
        <v>35.46866712896292</v>
      </c>
      <c r="AC1316">
        <f>IF(ISBLANK(Mitigation_Industry!AC778),"",Mitigation_Industry!AC778)</f>
        <v>36.670591046941837</v>
      </c>
      <c r="AD1316">
        <f>IF(ISBLANK(Mitigation_Industry!AD778),"",Mitigation_Industry!AD778)</f>
        <v>37.914796299992908</v>
      </c>
      <c r="AE1316">
        <f>IF(ISBLANK(Mitigation_Industry!AE778),"",Mitigation_Industry!AE778)</f>
        <v>39.202821289623259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9.6385512679970873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-6.5220005462968302</v>
      </c>
      <c r="T1317">
        <f t="shared" si="326"/>
        <v>-6.7407922647314642</v>
      </c>
      <c r="U1317">
        <f t="shared" si="326"/>
        <v>-6.9663316524058061</v>
      </c>
      <c r="V1317">
        <f t="shared" si="326"/>
        <v>-7.1988136184991021</v>
      </c>
      <c r="W1317">
        <f t="shared" si="326"/>
        <v>-7.4384385069582351</v>
      </c>
      <c r="X1317">
        <f t="shared" si="326"/>
        <v>-7.6854122576843906</v>
      </c>
      <c r="Y1317">
        <f t="shared" si="326"/>
        <v>-7.9399465739486388</v>
      </c>
      <c r="Z1317">
        <f t="shared" si="326"/>
        <v>-8.2022590963823063</v>
      </c>
      <c r="AA1317">
        <f t="shared" si="326"/>
        <v>-8.4725735839116041</v>
      </c>
      <c r="AB1317">
        <f t="shared" si="326"/>
        <v>-8.751120102030626</v>
      </c>
      <c r="AC1317">
        <f t="shared" si="326"/>
        <v>-9.0381352188334461</v>
      </c>
      <c r="AD1317">
        <f t="shared" si="326"/>
        <v>-9.3338622092545549</v>
      </c>
      <c r="AE1317">
        <f t="shared" si="326"/>
        <v>-9.6385512679970873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0.60788968800000009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0.66317532583735006</v>
      </c>
      <c r="U1320">
        <f>IF(ISBLANK(Mitigation_Industry!U784),"",Mitigation_Industry!U784)</f>
        <v>0.67776518300577182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0.70791488940660052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0.78928804689836318</v>
      </c>
      <c r="AC1320">
        <f>IF(ISBLANK(Mitigation_Industry!AC784),"",Mitigation_Industry!AC784)</f>
        <v>0.80665238393012717</v>
      </c>
      <c r="AD1320">
        <f>IF(ISBLANK(Mitigation_Industry!AD784),"",Mitigation_Industry!AD784)</f>
        <v>0.82439873637659</v>
      </c>
      <c r="AE1320">
        <f>IF(ISBLANK(Mitigation_Industry!AE784),"",Mitigation_Industry!AE784)</f>
        <v>0.84253550857687498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0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0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0</v>
      </c>
      <c r="U1321">
        <f t="shared" si="327"/>
        <v>0</v>
      </c>
      <c r="V1321">
        <f t="shared" si="327"/>
        <v>0</v>
      </c>
      <c r="W1321">
        <f t="shared" si="327"/>
        <v>0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0</v>
      </c>
      <c r="AC1321">
        <f t="shared" si="327"/>
        <v>0</v>
      </c>
      <c r="AD1321">
        <f t="shared" si="327"/>
        <v>0</v>
      </c>
      <c r="AE1321">
        <f t="shared" si="327"/>
        <v>0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0.30082233600000008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0.32787709361049611</v>
      </c>
      <c r="S1324">
        <f>IF(ISBLANK(Mitigation_Industry!S785),"",Mitigation_Industry!S785)</f>
        <v>0.34230368572935788</v>
      </c>
      <c r="T1324">
        <f>IF(ISBLANK(Mitigation_Industry!T785),"",Mitigation_Industry!T785)</f>
        <v>0.35736504790144968</v>
      </c>
      <c r="U1324">
        <f>IF(ISBLANK(Mitigation_Industry!U785),"",Mitigation_Industry!U785)</f>
        <v>0.37308911000911349</v>
      </c>
      <c r="V1324">
        <f>IF(ISBLANK(Mitigation_Industry!V785),"",Mitigation_Industry!V785)</f>
        <v>0.38950503084951449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0.42453555530399645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0.46271658500581669</v>
      </c>
      <c r="AA1324">
        <f>IF(ISBLANK(Mitigation_Industry!AA785),"",Mitigation_Industry!AA785)</f>
        <v>0.48307611474607259</v>
      </c>
      <c r="AB1324">
        <f>IF(ISBLANK(Mitigation_Industry!AB785),"",Mitigation_Industry!AB785)</f>
        <v>0.5043314637948999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0.54968901832275785</v>
      </c>
      <c r="AE1324">
        <f>IF(ISBLANK(Mitigation_Industry!AE785),"",Mitigation_Industry!AE785)</f>
        <v>0.57387533512895927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0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0</v>
      </c>
      <c r="Q1325">
        <f t="shared" si="328"/>
        <v>0</v>
      </c>
      <c r="R1325">
        <f t="shared" si="328"/>
        <v>0</v>
      </c>
      <c r="S1325">
        <f t="shared" si="328"/>
        <v>0</v>
      </c>
      <c r="T1325">
        <f t="shared" si="328"/>
        <v>0</v>
      </c>
      <c r="U1325">
        <f t="shared" si="328"/>
        <v>0</v>
      </c>
      <c r="V1325">
        <f t="shared" si="328"/>
        <v>0</v>
      </c>
      <c r="W1325">
        <f t="shared" si="328"/>
        <v>0</v>
      </c>
      <c r="X1325">
        <f t="shared" si="328"/>
        <v>0</v>
      </c>
      <c r="Y1325">
        <f t="shared" si="328"/>
        <v>0</v>
      </c>
      <c r="Z1325">
        <f t="shared" si="328"/>
        <v>0</v>
      </c>
      <c r="AA1325">
        <f t="shared" si="328"/>
        <v>0</v>
      </c>
      <c r="AB1325">
        <f t="shared" si="328"/>
        <v>0</v>
      </c>
      <c r="AC1325">
        <f t="shared" si="328"/>
        <v>0</v>
      </c>
      <c r="AD1325">
        <f t="shared" si="328"/>
        <v>0</v>
      </c>
      <c r="AE1325">
        <f t="shared" si="328"/>
        <v>0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0.82784016937499993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0.92140680451860935</v>
      </c>
      <c r="T1328">
        <f>IF(ISBLANK(Mitigation_Industry!T786),"",Mitigation_Industry!T786)</f>
        <v>0.97208417876713282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1.4140705977204062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1.5738959270277546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0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0</v>
      </c>
      <c r="R1329">
        <f t="shared" si="329"/>
        <v>0</v>
      </c>
      <c r="S1329">
        <f t="shared" si="329"/>
        <v>0</v>
      </c>
      <c r="T1329">
        <f t="shared" si="329"/>
        <v>0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0</v>
      </c>
      <c r="AB1329">
        <f t="shared" si="329"/>
        <v>0</v>
      </c>
      <c r="AC1329">
        <f t="shared" si="329"/>
        <v>0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31.956387417365111</v>
      </c>
      <c r="U1336">
        <f>IF(ISBLANK(Mitigation_Industry!U788),"",Mitigation_Industry!U788)</f>
        <v>33.010948202138152</v>
      </c>
      <c r="V1336">
        <f>IF(ISBLANK(Mitigation_Industry!V788),"",Mitigation_Industry!V788)</f>
        <v>34.100309492808705</v>
      </c>
      <c r="W1336">
        <f>IF(ISBLANK(Mitigation_Industry!W788),"",Mitigation_Industry!W788)</f>
        <v>35.225619706071399</v>
      </c>
      <c r="X1336">
        <f>IF(ISBLANK(Mitigation_Industry!X788),"",Mitigation_Industry!X788)</f>
        <v>36.388065156371745</v>
      </c>
      <c r="Y1336">
        <f>IF(ISBLANK(Mitigation_Industry!Y788),"",Mitigation_Industry!Y788)</f>
        <v>37.588871306532013</v>
      </c>
      <c r="Z1336">
        <f>IF(ISBLANK(Mitigation_Industry!Z788),"",Mitigation_Industry!Z788)</f>
        <v>38.829304059647569</v>
      </c>
      <c r="AA1336">
        <f>IF(ISBLANK(Mitigation_Industry!AA788),"",Mitigation_Industry!AA788)</f>
        <v>40.110671093615935</v>
      </c>
      <c r="AB1336">
        <f>IF(ISBLANK(Mitigation_Industry!AB788),"",Mitigation_Industry!AB788)</f>
        <v>41.434323239705257</v>
      </c>
      <c r="AC1336">
        <f>IF(ISBLANK(Mitigation_Industry!AC788),"",Mitigation_Industry!AC788)</f>
        <v>42.801655906615522</v>
      </c>
      <c r="AD1336">
        <f>IF(ISBLANK(Mitigation_Industry!AD788),"",Mitigation_Industry!AD788)</f>
        <v>44.214110551533835</v>
      </c>
      <c r="AE1336">
        <f>IF(ISBLANK(Mitigation_Industry!AE788),"",Mitigation_Industry!AE788)</f>
        <v>45.673176199734449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0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0</v>
      </c>
      <c r="U1337">
        <f t="shared" si="331"/>
        <v>0</v>
      </c>
      <c r="V1337">
        <f t="shared" si="331"/>
        <v>0</v>
      </c>
      <c r="W1337">
        <f t="shared" si="331"/>
        <v>0</v>
      </c>
      <c r="X1337">
        <f t="shared" si="331"/>
        <v>0</v>
      </c>
      <c r="Y1337">
        <f t="shared" si="331"/>
        <v>0</v>
      </c>
      <c r="Z1337">
        <f t="shared" si="331"/>
        <v>0</v>
      </c>
      <c r="AA1337">
        <f t="shared" si="331"/>
        <v>0</v>
      </c>
      <c r="AB1337">
        <f t="shared" si="331"/>
        <v>0</v>
      </c>
      <c r="AC1337">
        <f t="shared" si="331"/>
        <v>0</v>
      </c>
      <c r="AD1337">
        <f t="shared" si="331"/>
        <v>0</v>
      </c>
      <c r="AE1337">
        <f t="shared" si="331"/>
        <v>0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33.949011969871044</v>
      </c>
      <c r="U1340">
        <f>IF(ISBLANK(Mitigation_Industry!U789),"",Mitigation_Industry!U789)</f>
        <v>35.087351303752364</v>
      </c>
      <c r="V1340">
        <f>IF(ISBLANK(Mitigation_Industry!V789),"",Mitigation_Industry!V789)</f>
        <v>36.264444533762408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38.740331571788573</v>
      </c>
      <c r="Y1340">
        <f>IF(ISBLANK(Mitigation_Industry!Y789),"",Mitigation_Industry!Y789)</f>
        <v>40.041967346128295</v>
      </c>
      <c r="Z1340">
        <f>IF(ISBLANK(Mitigation_Industry!Z789),"",Mitigation_Industry!Z789)</f>
        <v>41.388044624518081</v>
      </c>
      <c r="AA1340">
        <f>IF(ISBLANK(Mitigation_Industry!AA789),"",Mitigation_Industry!AA789)</f>
        <v>42.780115307939909</v>
      </c>
      <c r="AB1340">
        <f>IF(ISBLANK(Mitigation_Industry!AB789),"",Mitigation_Industry!AB789)</f>
        <v>44.219787230993546</v>
      </c>
      <c r="AC1340">
        <f>IF(ISBLANK(Mitigation_Industry!AC789),"",Mitigation_Industry!AC789)</f>
        <v>45.708726265775283</v>
      </c>
      <c r="AD1340">
        <f>IF(ISBLANK(Mitigation_Industry!AD789),"",Mitigation_Industry!AD789)</f>
        <v>47.248658509247463</v>
      </c>
      <c r="AE1340">
        <f>IF(ISBLANK(Mitigation_Industry!AE789),"",Mitigation_Industry!AE789)</f>
        <v>48.841372557620346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163.67106556325101</v>
      </c>
      <c r="T1344">
        <f>IF(ISBLANK(Mitigation_Industry!T791),"",Mitigation_Industry!T791)</f>
        <v>227.83012326404534</v>
      </c>
      <c r="U1344">
        <f>IF(ISBLANK(Mitigation_Industry!U791),"",Mitigation_Industry!U791)</f>
        <v>297.31831085957924</v>
      </c>
      <c r="V1344">
        <f>IF(ISBLANK(Mitigation_Industry!V791),"",Mitigation_Industry!V791)</f>
        <v>372.48037984488087</v>
      </c>
      <c r="W1344">
        <f>IF(ISBLANK(Mitigation_Industry!W791),"",Mitigation_Industry!W791)</f>
        <v>453.68110265106486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635.76432809883147</v>
      </c>
      <c r="Z1344">
        <f>IF(ISBLANK(Mitigation_Industry!Z791),"",Mitigation_Industry!Z791)</f>
        <v>737.48662059464448</v>
      </c>
      <c r="AA1344">
        <f>IF(ISBLANK(Mitigation_Industry!AA791),"",Mitigation_Industry!AA791)</f>
        <v>846.92963509088975</v>
      </c>
      <c r="AB1344">
        <f>IF(ISBLANK(Mitigation_Industry!AB791),"",Mitigation_Industry!AB791)</f>
        <v>964.57586076533335</v>
      </c>
      <c r="AC1344">
        <f>IF(ISBLANK(Mitigation_Industry!AC791),"",Mitigation_Industry!AC791)</f>
        <v>1090.9352985255921</v>
      </c>
      <c r="AD1344">
        <f>IF(ISBLANK(Mitigation_Industry!AD791),"",Mitigation_Industry!AD791)</f>
        <v>1226.5469479423118</v>
      </c>
      <c r="AE1344">
        <f>IF(ISBLANK(Mitigation_Industry!AE791),"",Mitigation_Industry!AE791)</f>
        <v>1371.9803717697573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1371.9803717697573</v>
      </c>
      <c r="I1345" t="s">
        <v>1587</v>
      </c>
      <c r="J1345" t="s">
        <v>1880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163.67106556325101</v>
      </c>
      <c r="T1345">
        <f t="shared" si="333"/>
        <v>227.83012326404534</v>
      </c>
      <c r="U1345">
        <f t="shared" si="333"/>
        <v>297.31831085957924</v>
      </c>
      <c r="V1345">
        <f t="shared" si="333"/>
        <v>372.48037984488087</v>
      </c>
      <c r="W1345">
        <f t="shared" si="333"/>
        <v>453.68110265106486</v>
      </c>
      <c r="X1345">
        <f t="shared" si="333"/>
        <v>541.3063670488134</v>
      </c>
      <c r="Y1345">
        <f t="shared" si="333"/>
        <v>635.76432809883147</v>
      </c>
      <c r="Z1345">
        <f t="shared" si="333"/>
        <v>737.48662059464448</v>
      </c>
      <c r="AA1345">
        <f t="shared" si="333"/>
        <v>846.92963509088975</v>
      </c>
      <c r="AB1345">
        <f t="shared" si="333"/>
        <v>964.57586076533335</v>
      </c>
      <c r="AC1345">
        <f t="shared" si="333"/>
        <v>1090.9352985255921</v>
      </c>
      <c r="AD1345">
        <f t="shared" si="333"/>
        <v>1226.5469479423118</v>
      </c>
      <c r="AE1345">
        <f t="shared" si="333"/>
        <v>1371.9803717697573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86.787394098721137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121.61919236706478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184.51953338409049</v>
      </c>
      <c r="AC1348">
        <f>IF(ISBLANK(Mitigation_Industry!AC792),"",Mitigation_Industry!AC792)</f>
        <v>208.69159225740634</v>
      </c>
      <c r="AD1348">
        <f>IF(ISBLANK(Mitigation_Industry!AD792),"",Mitigation_Industry!AD792)</f>
        <v>234.63356249494237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1880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</v>
      </c>
      <c r="V1349">
        <f t="shared" si="334"/>
        <v>71.254018143449215</v>
      </c>
      <c r="W1349">
        <f t="shared" si="334"/>
        <v>86.787394098721137</v>
      </c>
      <c r="X1349">
        <f t="shared" si="334"/>
        <v>103.54975935893131</v>
      </c>
      <c r="Y1349">
        <f t="shared" si="334"/>
        <v>121.61919236706478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184.51953338409049</v>
      </c>
      <c r="AC1349">
        <f t="shared" si="334"/>
        <v>208.69159225740634</v>
      </c>
      <c r="AD1349">
        <f t="shared" si="334"/>
        <v>234.63356249494237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1880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1130.8289409073705</v>
      </c>
      <c r="V1356">
        <f>IF(ISBLANK(Mitigation_Industry!V794),"",Mitigation_Industry!V794)</f>
        <v>1401.7755551487762</v>
      </c>
      <c r="W1356">
        <f>IF(ISBLANK(Mitigation_Industry!W794),"",Mitigation_Industry!W794)</f>
        <v>1689.3731732134665</v>
      </c>
      <c r="X1356">
        <f>IF(ISBLANK(Mitigation_Industry!X794),"",Mitigation_Industry!X794)</f>
        <v>1994.4257004908695</v>
      </c>
      <c r="Y1356">
        <f>IF(ISBLANK(Mitigation_Industry!Y794),"",Mitigation_Industry!Y794)</f>
        <v>2317.7719671829518</v>
      </c>
      <c r="Z1356">
        <f>IF(ISBLANK(Mitigation_Industry!Z794),"",Mitigation_Industry!Z794)</f>
        <v>2660.2871578888767</v>
      </c>
      <c r="AA1356">
        <f>IF(ISBLANK(Mitigation_Industry!AA794),"",Mitigation_Industry!AA794)</f>
        <v>3022.8842975091302</v>
      </c>
      <c r="AB1356">
        <f>IF(ISBLANK(Mitigation_Industry!AB794),"",Mitigation_Industry!AB794)</f>
        <v>3406.5157956293801</v>
      </c>
      <c r="AC1356">
        <f>IF(ISBLANK(Mitigation_Industry!AC794),"",Mitigation_Industry!AC794)</f>
        <v>3812.1750516255784</v>
      </c>
      <c r="AD1356">
        <f>IF(ISBLANK(Mitigation_Industry!AD794),"",Mitigation_Industry!AD794)</f>
        <v>4240.8981228160856</v>
      </c>
      <c r="AE1356">
        <f>IF(ISBLANK(Mitigation_Industry!AE794),"",Mitigation_Industry!AE794)</f>
        <v>4693.7654580739454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4693.7654580739454</v>
      </c>
      <c r="I1357" t="s">
        <v>1587</v>
      </c>
      <c r="J1357" t="s">
        <v>1880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1130.8289409073705</v>
      </c>
      <c r="V1357">
        <f t="shared" si="336"/>
        <v>1401.7755551487762</v>
      </c>
      <c r="W1357">
        <f t="shared" si="336"/>
        <v>1689.3731732134665</v>
      </c>
      <c r="X1357">
        <f t="shared" si="336"/>
        <v>1994.4257004908695</v>
      </c>
      <c r="Y1357">
        <f t="shared" si="336"/>
        <v>2317.7719671829518</v>
      </c>
      <c r="Z1357">
        <f t="shared" si="336"/>
        <v>2660.2871578888767</v>
      </c>
      <c r="AA1357">
        <f t="shared" si="336"/>
        <v>3022.8842975091302</v>
      </c>
      <c r="AB1357">
        <f t="shared" si="336"/>
        <v>3406.5157956293801</v>
      </c>
      <c r="AC1357">
        <f t="shared" si="336"/>
        <v>3812.1750516255784</v>
      </c>
      <c r="AD1357">
        <f t="shared" si="336"/>
        <v>4240.8981228160856</v>
      </c>
      <c r="AE1357">
        <f t="shared" si="336"/>
        <v>4693.7654580739454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44.093819705408542</v>
      </c>
      <c r="R1360">
        <f>IF(ISBLANK(Mitigation_Industry!R795),"",Mitigation_Industry!R795)</f>
        <v>90.127767477855073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294.97380566251417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672.23144221209975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1880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44.093819705408542</v>
      </c>
      <c r="R1361">
        <f t="shared" si="337"/>
        <v>90.127767477855073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294.97380566251417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672.23144221209975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17.898896938579199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33.436206864085989</v>
      </c>
      <c r="X1364">
        <f>IF(ISBLANK(Mitigation_Industry!X796),"",Mitigation_Industry!X796)</f>
        <v>39.053489617252438</v>
      </c>
      <c r="Y1364">
        <f>IF(ISBLANK(Mitigation_Industry!Y796),"",Mitigation_Industry!Y796)</f>
        <v>44.901749687435988</v>
      </c>
      <c r="Z1364">
        <f>IF(ISBLANK(Mitigation_Industry!Z796),"",Mitigation_Industry!Z796)</f>
        <v>50.988431311732867</v>
      </c>
      <c r="AA1364">
        <f>IF(ISBLANK(Mitigation_Industry!AA796),"",Mitigation_Industry!AA796)</f>
        <v>57.321194480650092</v>
      </c>
      <c r="AB1364">
        <f>IF(ISBLANK(Mitigation_Industry!AB796),"",Mitigation_Industry!AB796)</f>
        <v>63.907920828244798</v>
      </c>
      <c r="AC1364">
        <f>IF(ISBLANK(Mitigation_Industry!AC796),"",Mitigation_Industry!AC796)</f>
        <v>70.756719677005037</v>
      </c>
      <c r="AD1364">
        <f>IF(ISBLANK(Mitigation_Industry!AD796),"",Mitigation_Industry!AD796)</f>
        <v>77.875934241429846</v>
      </c>
      <c r="AE1364">
        <f>IF(ISBLANK(Mitigation_Industry!AE796),"",Mitigation_Industry!AE796)</f>
        <v>85.274147994365691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85.274147994365691</v>
      </c>
      <c r="I1365" t="s">
        <v>1587</v>
      </c>
      <c r="J1365" t="s">
        <v>1880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17.898896938579199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33.436206864085989</v>
      </c>
      <c r="X1365">
        <f t="shared" si="338"/>
        <v>39.053489617252438</v>
      </c>
      <c r="Y1365">
        <f t="shared" si="338"/>
        <v>44.901749687435988</v>
      </c>
      <c r="Z1365">
        <f t="shared" si="338"/>
        <v>50.988431311732867</v>
      </c>
      <c r="AA1365">
        <f t="shared" si="338"/>
        <v>57.321194480650092</v>
      </c>
      <c r="AB1365">
        <f t="shared" si="338"/>
        <v>63.907920828244798</v>
      </c>
      <c r="AC1365">
        <f t="shared" si="338"/>
        <v>70.756719677005037</v>
      </c>
      <c r="AD1365">
        <f t="shared" si="338"/>
        <v>77.875934241429846</v>
      </c>
      <c r="AE1365">
        <f t="shared" si="338"/>
        <v>85.274147994365691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3.8354779154098289</v>
      </c>
      <c r="U1368">
        <f>IF(ISBLANK(Mitigation_Industry!U797),"",Mitigation_Industry!U797)</f>
        <v>4.8998230369360565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7.1649014708755674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13.69455446319531</v>
      </c>
      <c r="AC1368">
        <f>IF(ISBLANK(Mitigation_Industry!AC797),"",Mitigation_Industry!AC797)</f>
        <v>15.162154216501076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18.27303171307836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18.27303171307836</v>
      </c>
      <c r="I1369" t="s">
        <v>1587</v>
      </c>
      <c r="J1369" t="s">
        <v>1880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3.8354779154098289</v>
      </c>
      <c r="U1369">
        <f t="shared" si="339"/>
        <v>4.8998230369360565</v>
      </c>
      <c r="V1369">
        <f t="shared" si="339"/>
        <v>6.0091429724983811</v>
      </c>
      <c r="W1369">
        <f t="shared" si="339"/>
        <v>7.1649014708755674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13.69455446319531</v>
      </c>
      <c r="AC1369">
        <f t="shared" si="339"/>
        <v>15.162154216501076</v>
      </c>
      <c r="AD1369">
        <f t="shared" si="339"/>
        <v>16.687700194592107</v>
      </c>
      <c r="AE1369">
        <f t="shared" si="339"/>
        <v>18.27303171307836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0.68693120437499988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2.2937148112484529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4.2549365463163484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12.907155030256471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16.97798372346961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1880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0.68693120437499988</v>
      </c>
      <c r="R1373">
        <f t="shared" si="340"/>
        <v>1.44942484123125</v>
      </c>
      <c r="S1373">
        <f t="shared" si="340"/>
        <v>2.2937148112484529</v>
      </c>
      <c r="T1373">
        <f t="shared" si="340"/>
        <v>3.2264921678228231</v>
      </c>
      <c r="U1373">
        <f t="shared" si="340"/>
        <v>4.2549365463163484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12.907155030256471</v>
      </c>
      <c r="AB1373">
        <f t="shared" si="340"/>
        <v>14.854962062095174</v>
      </c>
      <c r="AC1373">
        <f t="shared" si="340"/>
        <v>16.97798372346961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308.12278080273342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987.22968333254369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1757.56372820916</v>
      </c>
      <c r="V1376">
        <f>IF(ISBLANK(Mitigation_Industry!V799),"",Mitigation_Industry!V799)</f>
        <v>2179.922318644748</v>
      </c>
      <c r="W1376">
        <f>IF(ISBLANK(Mitigation_Industry!W799),"",Mitigation_Industry!W799)</f>
        <v>2628.780070299068</v>
      </c>
      <c r="X1376">
        <f>IF(ISBLANK(Mitigation_Industry!X799),"",Mitigation_Industry!X799)</f>
        <v>3105.4919314104181</v>
      </c>
      <c r="Y1376">
        <f>IF(ISBLANK(Mitigation_Industry!Y799),"",Mitigation_Industry!Y799)</f>
        <v>3611.4773368702113</v>
      </c>
      <c r="Z1376">
        <f>IF(ISBLANK(Mitigation_Industry!Z799),"",Mitigation_Industry!Z799)</f>
        <v>4148.2231910169721</v>
      </c>
      <c r="AA1376">
        <f>IF(ISBLANK(Mitigation_Industry!AA799),"",Mitigation_Industry!AA799)</f>
        <v>4717.2869870538907</v>
      </c>
      <c r="AB1376">
        <f>IF(ISBLANK(Mitigation_Industry!AB799),"",Mitigation_Industry!AB799)</f>
        <v>5320.3000693444392</v>
      </c>
      <c r="AC1376">
        <f>IF(ISBLANK(Mitigation_Industry!AC799),"",Mitigation_Industry!AC799)</f>
        <v>5958.9710451280498</v>
      </c>
      <c r="AD1376">
        <f>IF(ISBLANK(Mitigation_Industry!AD799),"",Mitigation_Industry!AD799)</f>
        <v>6635.0893524987587</v>
      </c>
      <c r="AE1376">
        <f>IF(ISBLANK(Mitigation_Industry!AE799),"",Mitigation_Industry!AE799)</f>
        <v>7350.5289918043609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7350.5289918043609</v>
      </c>
      <c r="I1377" t="s">
        <v>1587</v>
      </c>
      <c r="J1377" t="s">
        <v>1880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308.12278080273342</v>
      </c>
      <c r="R1377">
        <f t="shared" si="341"/>
        <v>636.8417154974029</v>
      </c>
      <c r="S1377">
        <f t="shared" si="341"/>
        <v>987.22968333254369</v>
      </c>
      <c r="T1377">
        <f t="shared" si="341"/>
        <v>1360.4109852569791</v>
      </c>
      <c r="U1377">
        <f t="shared" si="341"/>
        <v>1757.56372820916</v>
      </c>
      <c r="V1377">
        <f t="shared" si="341"/>
        <v>2179.922318644748</v>
      </c>
      <c r="W1377">
        <f t="shared" si="341"/>
        <v>2628.780070299068</v>
      </c>
      <c r="X1377">
        <f t="shared" si="341"/>
        <v>3105.4919314104181</v>
      </c>
      <c r="Y1377">
        <f t="shared" si="341"/>
        <v>3611.4773368702113</v>
      </c>
      <c r="Z1377">
        <f t="shared" si="341"/>
        <v>4148.2231910169721</v>
      </c>
      <c r="AA1377">
        <f t="shared" si="341"/>
        <v>4717.2869870538907</v>
      </c>
      <c r="AB1377">
        <f t="shared" si="341"/>
        <v>5320.3000693444392</v>
      </c>
      <c r="AC1377">
        <f t="shared" si="341"/>
        <v>5958.9710451280498</v>
      </c>
      <c r="AD1377">
        <f t="shared" si="341"/>
        <v>6635.0893524987587</v>
      </c>
      <c r="AE1377">
        <f t="shared" si="341"/>
        <v>7350.5289918043609</v>
      </c>
    </row>
    <row r="1380" spans="1:35" x14ac:dyDescent="0.45">
      <c r="A1380" s="52" t="s">
        <v>1870</v>
      </c>
    </row>
    <row r="1381" spans="1:35" x14ac:dyDescent="0.45">
      <c r="A1381" t="s">
        <v>1872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1840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1871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1840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1871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1871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1871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1871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1871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1871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1871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1871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1871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1871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1881</v>
      </c>
    </row>
    <row r="1429" spans="1:35" x14ac:dyDescent="0.45">
      <c r="A1429" t="s">
        <v>1887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1882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1883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1884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1885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1882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1883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1884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1885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1886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1911</v>
      </c>
    </row>
    <row r="1443" spans="1:35" x14ac:dyDescent="0.45">
      <c r="A1443" t="s">
        <v>1916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1912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1913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1914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1912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1913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1914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1915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1925</v>
      </c>
    </row>
    <row r="1455" spans="1:35" x14ac:dyDescent="0.45">
      <c r="A1455" t="s">
        <v>1929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1926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1926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1927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1928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1941</v>
      </c>
    </row>
    <row r="1464" spans="1:35" x14ac:dyDescent="0.45">
      <c r="A1464" t="s">
        <v>1946</v>
      </c>
      <c r="D1464" s="92">
        <f>MAX(F1466:F1472)</f>
        <v>8.8817841970012523E-16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1942</v>
      </c>
      <c r="D1466">
        <v>1</v>
      </c>
      <c r="E1466" t="s">
        <v>1161</v>
      </c>
      <c r="F1466">
        <f>MAX(MAX(L1466:AE1466),-MIN(L1466:AE1466))</f>
        <v>2.2204460492503131E-16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0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-2.2204460492503131E-16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0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0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1943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1944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1942</v>
      </c>
      <c r="D1469">
        <v>2</v>
      </c>
      <c r="E1469" t="s">
        <v>1161</v>
      </c>
      <c r="F1469">
        <f>MAX(MAX(L1469:AE1469),-MIN(L1469:AE1469))</f>
        <v>2.2204460492503131E-16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0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-2.2204460492503131E-16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0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0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1943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1944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1945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1989</v>
      </c>
    </row>
    <row r="1476" spans="1:35" x14ac:dyDescent="0.45">
      <c r="A1476" t="s">
        <v>1997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1990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1991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1992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1993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1994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1995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1996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1995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1996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2026-10-02T20:45:05Z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