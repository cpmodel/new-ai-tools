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EB413181-2448-4956-B9BC-6DD7B6E1C78C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MTInputs" sheetId="3" r:id="rId5"/>
    <sheet name="Data_Energy" sheetId="4" r:id="rId6"/>
    <sheet name="Data_Prices" sheetId="5" r:id="rId7"/>
    <sheet name="Data_Macro" sheetId="6" r:id="rId8"/>
    <sheet name="Data_Elast" sheetId="7" r:id="rId9"/>
    <sheet name="Check" sheetId="8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50" i="2" l="1"/>
  <c r="G649" i="2"/>
  <c r="G648" i="2"/>
  <c r="AA251" i="2"/>
  <c r="Z251" i="2"/>
  <c r="X251" i="2"/>
  <c r="Q251" i="2"/>
  <c r="N251" i="2"/>
  <c r="G251" i="2"/>
  <c r="AD251" i="2" s="1"/>
  <c r="G250" i="2"/>
  <c r="G249" i="2"/>
  <c r="N249" i="2" s="1"/>
  <c r="B27" i="10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AE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L937" i="8"/>
  <c r="M937" i="8"/>
  <c r="O937" i="8"/>
  <c r="P937" i="8"/>
  <c r="K936" i="8"/>
  <c r="L936" i="8"/>
  <c r="M936" i="8"/>
  <c r="N936" i="8"/>
  <c r="N937" i="8" s="1"/>
  <c r="O936" i="8"/>
  <c r="P936" i="8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O640" i="8"/>
  <c r="O641" i="8" s="1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F653" i="2"/>
  <c r="F654" i="2"/>
  <c r="G705" i="2" s="1"/>
  <c r="F655" i="2"/>
  <c r="F656" i="2"/>
  <c r="G701" i="2" s="1"/>
  <c r="H663" i="2"/>
  <c r="I663" i="2"/>
  <c r="J663" i="2"/>
  <c r="K663" i="2"/>
  <c r="G729" i="2" s="1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L664" i="2" s="1"/>
  <c r="I664" i="2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G732" i="2" s="1"/>
  <c r="E712" i="2" s="1"/>
  <c r="K666" i="2"/>
  <c r="M666" i="2"/>
  <c r="O666" i="2"/>
  <c r="P666" i="2"/>
  <c r="S666" i="2"/>
  <c r="T666" i="2"/>
  <c r="U666" i="2"/>
  <c r="V666" i="2"/>
  <c r="W666" i="2"/>
  <c r="X666" i="2"/>
  <c r="Z666" i="2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G735" i="2" s="1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G736" i="2" s="1"/>
  <c r="K670" i="2"/>
  <c r="M670" i="2"/>
  <c r="O670" i="2"/>
  <c r="P670" i="2"/>
  <c r="S670" i="2"/>
  <c r="T670" i="2"/>
  <c r="U670" i="2"/>
  <c r="V670" i="2"/>
  <c r="W670" i="2"/>
  <c r="X670" i="2"/>
  <c r="Z670" i="2"/>
  <c r="AC670" i="2"/>
  <c r="AD670" i="2"/>
  <c r="AE670" i="2"/>
  <c r="N675" i="2"/>
  <c r="M675" i="2" s="1"/>
  <c r="L675" i="2" s="1"/>
  <c r="N676" i="2"/>
  <c r="N996" i="8" s="1"/>
  <c r="N997" i="8" s="1"/>
  <c r="N677" i="2"/>
  <c r="N678" i="2"/>
  <c r="N1004" i="8" s="1"/>
  <c r="N1005" i="8" s="1"/>
  <c r="N679" i="2"/>
  <c r="O679" i="2" s="1"/>
  <c r="N680" i="2"/>
  <c r="O680" i="2" s="1"/>
  <c r="N681" i="2"/>
  <c r="N1016" i="8" s="1"/>
  <c r="N1017" i="8" s="1"/>
  <c r="N682" i="2"/>
  <c r="O682" i="2" s="1"/>
  <c r="P682" i="2" s="1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L1024" i="8" s="1"/>
  <c r="L1025" i="8" s="1"/>
  <c r="M687" i="2"/>
  <c r="M1024" i="8" s="1"/>
  <c r="M1025" i="8" s="1"/>
  <c r="N687" i="2"/>
  <c r="N1024" i="8" s="1"/>
  <c r="N1025" i="8" s="1"/>
  <c r="O687" i="2"/>
  <c r="O1024" i="8" s="1"/>
  <c r="O1025" i="8" s="1"/>
  <c r="P687" i="2"/>
  <c r="P1024" i="8" s="1"/>
  <c r="P1025" i="8" s="1"/>
  <c r="Q687" i="2"/>
  <c r="Q1024" i="8" s="1"/>
  <c r="Q1025" i="8" s="1"/>
  <c r="R687" i="2"/>
  <c r="R1024" i="8" s="1"/>
  <c r="R1025" i="8" s="1"/>
  <c r="S687" i="2"/>
  <c r="S1024" i="8" s="1"/>
  <c r="S1025" i="8" s="1"/>
  <c r="T687" i="2"/>
  <c r="T1024" i="8" s="1"/>
  <c r="T1025" i="8" s="1"/>
  <c r="U687" i="2"/>
  <c r="U1024" i="8" s="1"/>
  <c r="U1025" i="8" s="1"/>
  <c r="V687" i="2"/>
  <c r="V1024" i="8" s="1"/>
  <c r="V1025" i="8" s="1"/>
  <c r="W687" i="2"/>
  <c r="W1024" i="8" s="1"/>
  <c r="W1025" i="8" s="1"/>
  <c r="X687" i="2"/>
  <c r="X1024" i="8" s="1"/>
  <c r="X1025" i="8" s="1"/>
  <c r="Y687" i="2"/>
  <c r="Y1024" i="8" s="1"/>
  <c r="Y1025" i="8" s="1"/>
  <c r="Z687" i="2"/>
  <c r="Z1024" i="8" s="1"/>
  <c r="Z1025" i="8" s="1"/>
  <c r="AA687" i="2"/>
  <c r="AA1024" i="8" s="1"/>
  <c r="AA1025" i="8" s="1"/>
  <c r="AB687" i="2"/>
  <c r="AB1024" i="8" s="1"/>
  <c r="AB1025" i="8" s="1"/>
  <c r="AC687" i="2"/>
  <c r="AC1024" i="8" s="1"/>
  <c r="AC1025" i="8" s="1"/>
  <c r="AD687" i="2"/>
  <c r="AD1024" i="8" s="1"/>
  <c r="AD1025" i="8" s="1"/>
  <c r="AE687" i="2"/>
  <c r="AE1024" i="8" s="1"/>
  <c r="AE1025" i="8" s="1"/>
  <c r="L688" i="2"/>
  <c r="L1028" i="8" s="1"/>
  <c r="L1029" i="8" s="1"/>
  <c r="M688" i="2"/>
  <c r="M1028" i="8" s="1"/>
  <c r="M1029" i="8" s="1"/>
  <c r="N688" i="2"/>
  <c r="N1028" i="8" s="1"/>
  <c r="N1029" i="8" s="1"/>
  <c r="O688" i="2"/>
  <c r="O1028" i="8" s="1"/>
  <c r="O1029" i="8" s="1"/>
  <c r="P688" i="2"/>
  <c r="P1028" i="8" s="1"/>
  <c r="P1029" i="8" s="1"/>
  <c r="Q688" i="2"/>
  <c r="Q1028" i="8" s="1"/>
  <c r="Q1029" i="8" s="1"/>
  <c r="R688" i="2"/>
  <c r="R1028" i="8" s="1"/>
  <c r="R1029" i="8" s="1"/>
  <c r="S688" i="2"/>
  <c r="S1028" i="8" s="1"/>
  <c r="S1029" i="8" s="1"/>
  <c r="T688" i="2"/>
  <c r="T1028" i="8" s="1"/>
  <c r="T1029" i="8" s="1"/>
  <c r="U688" i="2"/>
  <c r="U1028" i="8" s="1"/>
  <c r="U1029" i="8" s="1"/>
  <c r="V688" i="2"/>
  <c r="V1028" i="8" s="1"/>
  <c r="V1029" i="8" s="1"/>
  <c r="W688" i="2"/>
  <c r="W1028" i="8" s="1"/>
  <c r="W1029" i="8" s="1"/>
  <c r="X688" i="2"/>
  <c r="X1028" i="8" s="1"/>
  <c r="X1029" i="8" s="1"/>
  <c r="Y688" i="2"/>
  <c r="Y1028" i="8" s="1"/>
  <c r="Y1029" i="8" s="1"/>
  <c r="Z688" i="2"/>
  <c r="Z1028" i="8" s="1"/>
  <c r="Z1029" i="8" s="1"/>
  <c r="AA688" i="2"/>
  <c r="AA1028" i="8" s="1"/>
  <c r="AA1029" i="8" s="1"/>
  <c r="AB688" i="2"/>
  <c r="AB1028" i="8" s="1"/>
  <c r="AB1029" i="8" s="1"/>
  <c r="AC688" i="2"/>
  <c r="AC1028" i="8" s="1"/>
  <c r="AC1029" i="8" s="1"/>
  <c r="AD688" i="2"/>
  <c r="AD1028" i="8" s="1"/>
  <c r="AD1029" i="8" s="1"/>
  <c r="AE688" i="2"/>
  <c r="AE1028" i="8" s="1"/>
  <c r="AE1029" i="8" s="1"/>
  <c r="L689" i="2"/>
  <c r="L1032" i="8" s="1"/>
  <c r="L1033" i="8" s="1"/>
  <c r="M689" i="2"/>
  <c r="M1032" i="8" s="1"/>
  <c r="M1033" i="8" s="1"/>
  <c r="N689" i="2"/>
  <c r="N1032" i="8" s="1"/>
  <c r="N1033" i="8" s="1"/>
  <c r="O689" i="2"/>
  <c r="O1032" i="8" s="1"/>
  <c r="O1033" i="8" s="1"/>
  <c r="P689" i="2"/>
  <c r="P1032" i="8" s="1"/>
  <c r="P1033" i="8" s="1"/>
  <c r="Q689" i="2"/>
  <c r="Q1032" i="8" s="1"/>
  <c r="Q1033" i="8" s="1"/>
  <c r="R689" i="2"/>
  <c r="R1032" i="8" s="1"/>
  <c r="R1033" i="8" s="1"/>
  <c r="S689" i="2"/>
  <c r="S1032" i="8" s="1"/>
  <c r="S1033" i="8" s="1"/>
  <c r="T689" i="2"/>
  <c r="T1032" i="8" s="1"/>
  <c r="T1033" i="8" s="1"/>
  <c r="U689" i="2"/>
  <c r="U1032" i="8" s="1"/>
  <c r="U1033" i="8" s="1"/>
  <c r="V689" i="2"/>
  <c r="V1032" i="8" s="1"/>
  <c r="V1033" i="8" s="1"/>
  <c r="W689" i="2"/>
  <c r="W1032" i="8" s="1"/>
  <c r="W1033" i="8" s="1"/>
  <c r="X689" i="2"/>
  <c r="X1032" i="8" s="1"/>
  <c r="X1033" i="8" s="1"/>
  <c r="Y689" i="2"/>
  <c r="Y1032" i="8" s="1"/>
  <c r="Y1033" i="8" s="1"/>
  <c r="Z689" i="2"/>
  <c r="Z1032" i="8" s="1"/>
  <c r="Z1033" i="8" s="1"/>
  <c r="AA689" i="2"/>
  <c r="AA1032" i="8" s="1"/>
  <c r="AA1033" i="8" s="1"/>
  <c r="AB689" i="2"/>
  <c r="AB1032" i="8" s="1"/>
  <c r="AB1033" i="8" s="1"/>
  <c r="AC689" i="2"/>
  <c r="AC1032" i="8" s="1"/>
  <c r="AC1033" i="8" s="1"/>
  <c r="AD689" i="2"/>
  <c r="AD1032" i="8" s="1"/>
  <c r="AD1033" i="8" s="1"/>
  <c r="AE689" i="2"/>
  <c r="AE1032" i="8" s="1"/>
  <c r="AE1033" i="8" s="1"/>
  <c r="L690" i="2"/>
  <c r="L1036" i="8" s="1"/>
  <c r="L1037" i="8" s="1"/>
  <c r="M690" i="2"/>
  <c r="M1036" i="8" s="1"/>
  <c r="M1037" i="8" s="1"/>
  <c r="N690" i="2"/>
  <c r="N1036" i="8" s="1"/>
  <c r="N1037" i="8" s="1"/>
  <c r="O690" i="2"/>
  <c r="O1036" i="8" s="1"/>
  <c r="O1037" i="8" s="1"/>
  <c r="P690" i="2"/>
  <c r="P1036" i="8" s="1"/>
  <c r="P1037" i="8" s="1"/>
  <c r="Q690" i="2"/>
  <c r="Q1036" i="8" s="1"/>
  <c r="Q1037" i="8" s="1"/>
  <c r="R690" i="2"/>
  <c r="R1036" i="8" s="1"/>
  <c r="R1037" i="8" s="1"/>
  <c r="S690" i="2"/>
  <c r="S1036" i="8" s="1"/>
  <c r="S1037" i="8" s="1"/>
  <c r="T690" i="2"/>
  <c r="T1036" i="8" s="1"/>
  <c r="T1037" i="8" s="1"/>
  <c r="U690" i="2"/>
  <c r="U1036" i="8" s="1"/>
  <c r="U1037" i="8" s="1"/>
  <c r="V690" i="2"/>
  <c r="V1036" i="8" s="1"/>
  <c r="V1037" i="8" s="1"/>
  <c r="W690" i="2"/>
  <c r="W1036" i="8" s="1"/>
  <c r="W1037" i="8" s="1"/>
  <c r="X690" i="2"/>
  <c r="X1036" i="8" s="1"/>
  <c r="X1037" i="8" s="1"/>
  <c r="Y690" i="2"/>
  <c r="Y1036" i="8" s="1"/>
  <c r="Y1037" i="8" s="1"/>
  <c r="Z690" i="2"/>
  <c r="Z1036" i="8" s="1"/>
  <c r="Z1037" i="8" s="1"/>
  <c r="AA690" i="2"/>
  <c r="AA1036" i="8" s="1"/>
  <c r="AA1037" i="8" s="1"/>
  <c r="AB690" i="2"/>
  <c r="AB1036" i="8" s="1"/>
  <c r="AB1037" i="8" s="1"/>
  <c r="AC690" i="2"/>
  <c r="AC1036" i="8" s="1"/>
  <c r="AC1037" i="8" s="1"/>
  <c r="AD690" i="2"/>
  <c r="AD1036" i="8" s="1"/>
  <c r="AD1037" i="8" s="1"/>
  <c r="AE690" i="2"/>
  <c r="AE1036" i="8" s="1"/>
  <c r="AE1037" i="8" s="1"/>
  <c r="L691" i="2"/>
  <c r="L1040" i="8" s="1"/>
  <c r="L1041" i="8" s="1"/>
  <c r="M691" i="2"/>
  <c r="M1040" i="8" s="1"/>
  <c r="M1041" i="8" s="1"/>
  <c r="N691" i="2"/>
  <c r="N1040" i="8" s="1"/>
  <c r="N1041" i="8" s="1"/>
  <c r="O691" i="2"/>
  <c r="O1040" i="8" s="1"/>
  <c r="O1041" i="8" s="1"/>
  <c r="P691" i="2"/>
  <c r="P1040" i="8" s="1"/>
  <c r="P1041" i="8" s="1"/>
  <c r="Q691" i="2"/>
  <c r="Q1040" i="8" s="1"/>
  <c r="Q1041" i="8" s="1"/>
  <c r="R691" i="2"/>
  <c r="R1040" i="8" s="1"/>
  <c r="R1041" i="8" s="1"/>
  <c r="S691" i="2"/>
  <c r="S1040" i="8" s="1"/>
  <c r="S1041" i="8" s="1"/>
  <c r="T691" i="2"/>
  <c r="T1040" i="8" s="1"/>
  <c r="T1041" i="8" s="1"/>
  <c r="U691" i="2"/>
  <c r="U1040" i="8" s="1"/>
  <c r="U1041" i="8" s="1"/>
  <c r="V691" i="2"/>
  <c r="V1040" i="8" s="1"/>
  <c r="V1041" i="8" s="1"/>
  <c r="W691" i="2"/>
  <c r="W1040" i="8" s="1"/>
  <c r="W1041" i="8" s="1"/>
  <c r="X691" i="2"/>
  <c r="X1040" i="8" s="1"/>
  <c r="X1041" i="8" s="1"/>
  <c r="Y691" i="2"/>
  <c r="Y1040" i="8" s="1"/>
  <c r="Y1041" i="8" s="1"/>
  <c r="Z691" i="2"/>
  <c r="Z1040" i="8" s="1"/>
  <c r="Z1041" i="8" s="1"/>
  <c r="AA691" i="2"/>
  <c r="AA1040" i="8" s="1"/>
  <c r="AA1041" i="8" s="1"/>
  <c r="AB691" i="2"/>
  <c r="AB1040" i="8" s="1"/>
  <c r="AB1041" i="8" s="1"/>
  <c r="AC691" i="2"/>
  <c r="AC1040" i="8" s="1"/>
  <c r="AC1041" i="8" s="1"/>
  <c r="AD691" i="2"/>
  <c r="AD1040" i="8" s="1"/>
  <c r="AD1041" i="8" s="1"/>
  <c r="AE691" i="2"/>
  <c r="AE1040" i="8" s="1"/>
  <c r="AE1041" i="8" s="1"/>
  <c r="L692" i="2"/>
  <c r="L1044" i="8" s="1"/>
  <c r="L1045" i="8" s="1"/>
  <c r="M692" i="2"/>
  <c r="M1044" i="8" s="1"/>
  <c r="M1045" i="8" s="1"/>
  <c r="N692" i="2"/>
  <c r="N1044" i="8" s="1"/>
  <c r="N1045" i="8" s="1"/>
  <c r="O692" i="2"/>
  <c r="O1044" i="8" s="1"/>
  <c r="O1045" i="8" s="1"/>
  <c r="P692" i="2"/>
  <c r="P1044" i="8" s="1"/>
  <c r="P1045" i="8" s="1"/>
  <c r="Q692" i="2"/>
  <c r="Q1044" i="8" s="1"/>
  <c r="Q1045" i="8" s="1"/>
  <c r="R692" i="2"/>
  <c r="R1044" i="8" s="1"/>
  <c r="R1045" i="8" s="1"/>
  <c r="S692" i="2"/>
  <c r="S1044" i="8" s="1"/>
  <c r="S1045" i="8" s="1"/>
  <c r="T692" i="2"/>
  <c r="T1044" i="8" s="1"/>
  <c r="T1045" i="8" s="1"/>
  <c r="U692" i="2"/>
  <c r="U1044" i="8" s="1"/>
  <c r="U1045" i="8" s="1"/>
  <c r="V692" i="2"/>
  <c r="V1044" i="8" s="1"/>
  <c r="V1045" i="8" s="1"/>
  <c r="W692" i="2"/>
  <c r="W1044" i="8" s="1"/>
  <c r="W1045" i="8" s="1"/>
  <c r="X692" i="2"/>
  <c r="X1044" i="8" s="1"/>
  <c r="X1045" i="8" s="1"/>
  <c r="Y692" i="2"/>
  <c r="Y1044" i="8" s="1"/>
  <c r="Y1045" i="8" s="1"/>
  <c r="Z692" i="2"/>
  <c r="Z1044" i="8" s="1"/>
  <c r="Z1045" i="8" s="1"/>
  <c r="AA692" i="2"/>
  <c r="AA1044" i="8" s="1"/>
  <c r="AA1045" i="8" s="1"/>
  <c r="AB692" i="2"/>
  <c r="AB1044" i="8" s="1"/>
  <c r="AB1045" i="8" s="1"/>
  <c r="AC692" i="2"/>
  <c r="AC1044" i="8" s="1"/>
  <c r="AC1045" i="8" s="1"/>
  <c r="AD692" i="2"/>
  <c r="AD1044" i="8" s="1"/>
  <c r="AD1045" i="8" s="1"/>
  <c r="AE692" i="2"/>
  <c r="AE1044" i="8" s="1"/>
  <c r="AE1045" i="8" s="1"/>
  <c r="L693" i="2"/>
  <c r="L1048" i="8" s="1"/>
  <c r="L1049" i="8" s="1"/>
  <c r="M693" i="2"/>
  <c r="M1048" i="8" s="1"/>
  <c r="M1049" i="8" s="1"/>
  <c r="N693" i="2"/>
  <c r="N1048" i="8" s="1"/>
  <c r="N1049" i="8" s="1"/>
  <c r="O693" i="2"/>
  <c r="O1048" i="8" s="1"/>
  <c r="O1049" i="8" s="1"/>
  <c r="P693" i="2"/>
  <c r="P1048" i="8" s="1"/>
  <c r="P1049" i="8" s="1"/>
  <c r="Q693" i="2"/>
  <c r="Q1048" i="8" s="1"/>
  <c r="Q1049" i="8" s="1"/>
  <c r="R693" i="2"/>
  <c r="R1048" i="8" s="1"/>
  <c r="R1049" i="8" s="1"/>
  <c r="S693" i="2"/>
  <c r="S1048" i="8" s="1"/>
  <c r="S1049" i="8" s="1"/>
  <c r="T693" i="2"/>
  <c r="T1048" i="8" s="1"/>
  <c r="T1049" i="8" s="1"/>
  <c r="U693" i="2"/>
  <c r="U1048" i="8" s="1"/>
  <c r="U1049" i="8" s="1"/>
  <c r="V693" i="2"/>
  <c r="V1048" i="8" s="1"/>
  <c r="V1049" i="8" s="1"/>
  <c r="W693" i="2"/>
  <c r="W1048" i="8" s="1"/>
  <c r="W1049" i="8" s="1"/>
  <c r="X693" i="2"/>
  <c r="X1048" i="8" s="1"/>
  <c r="X1049" i="8" s="1"/>
  <c r="Y693" i="2"/>
  <c r="Y1048" i="8" s="1"/>
  <c r="Y1049" i="8" s="1"/>
  <c r="Z693" i="2"/>
  <c r="Z1048" i="8" s="1"/>
  <c r="Z1049" i="8" s="1"/>
  <c r="AA693" i="2"/>
  <c r="AA1048" i="8" s="1"/>
  <c r="AA1049" i="8" s="1"/>
  <c r="AB693" i="2"/>
  <c r="AB1048" i="8" s="1"/>
  <c r="AB1049" i="8" s="1"/>
  <c r="AC693" i="2"/>
  <c r="AC1048" i="8" s="1"/>
  <c r="AC1049" i="8" s="1"/>
  <c r="AD693" i="2"/>
  <c r="AD1048" i="8" s="1"/>
  <c r="AD1049" i="8" s="1"/>
  <c r="AE693" i="2"/>
  <c r="AE1048" i="8" s="1"/>
  <c r="AE1049" i="8" s="1"/>
  <c r="L694" i="2"/>
  <c r="L1052" i="8" s="1"/>
  <c r="L1053" i="8" s="1"/>
  <c r="M694" i="2"/>
  <c r="M1052" i="8" s="1"/>
  <c r="M1053" i="8" s="1"/>
  <c r="N694" i="2"/>
  <c r="N1052" i="8" s="1"/>
  <c r="N1053" i="8" s="1"/>
  <c r="O694" i="2"/>
  <c r="O1052" i="8" s="1"/>
  <c r="O1053" i="8" s="1"/>
  <c r="P694" i="2"/>
  <c r="P1052" i="8" s="1"/>
  <c r="P1053" i="8" s="1"/>
  <c r="Q694" i="2"/>
  <c r="Q1052" i="8" s="1"/>
  <c r="Q1053" i="8" s="1"/>
  <c r="R694" i="2"/>
  <c r="R1052" i="8" s="1"/>
  <c r="R1053" i="8" s="1"/>
  <c r="S694" i="2"/>
  <c r="S1052" i="8" s="1"/>
  <c r="S1053" i="8" s="1"/>
  <c r="T694" i="2"/>
  <c r="T1052" i="8" s="1"/>
  <c r="T1053" i="8" s="1"/>
  <c r="U694" i="2"/>
  <c r="U1052" i="8" s="1"/>
  <c r="U1053" i="8" s="1"/>
  <c r="V694" i="2"/>
  <c r="V1052" i="8" s="1"/>
  <c r="V1053" i="8" s="1"/>
  <c r="W694" i="2"/>
  <c r="W1052" i="8" s="1"/>
  <c r="W1053" i="8" s="1"/>
  <c r="X694" i="2"/>
  <c r="X1052" i="8" s="1"/>
  <c r="X1053" i="8" s="1"/>
  <c r="Y694" i="2"/>
  <c r="Y1052" i="8" s="1"/>
  <c r="Y1053" i="8" s="1"/>
  <c r="Z694" i="2"/>
  <c r="Z1052" i="8" s="1"/>
  <c r="Z1053" i="8" s="1"/>
  <c r="AA694" i="2"/>
  <c r="AA1052" i="8" s="1"/>
  <c r="AA1053" i="8" s="1"/>
  <c r="AB694" i="2"/>
  <c r="AB1052" i="8" s="1"/>
  <c r="AB1053" i="8" s="1"/>
  <c r="AC694" i="2"/>
  <c r="AC1052" i="8" s="1"/>
  <c r="AC1053" i="8" s="1"/>
  <c r="AD694" i="2"/>
  <c r="AD1052" i="8" s="1"/>
  <c r="AD1053" i="8" s="1"/>
  <c r="AE694" i="2"/>
  <c r="AE1052" i="8" s="1"/>
  <c r="AE1053" i="8" s="1"/>
  <c r="E697" i="2"/>
  <c r="G700" i="2"/>
  <c r="G703" i="2"/>
  <c r="E708" i="2"/>
  <c r="AC728" i="2"/>
  <c r="F729" i="2"/>
  <c r="E698" i="2" s="1"/>
  <c r="F730" i="2"/>
  <c r="G730" i="2"/>
  <c r="F731" i="2"/>
  <c r="E700" i="2" s="1"/>
  <c r="F733" i="2"/>
  <c r="E702" i="2" s="1"/>
  <c r="G734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R750" i="2"/>
  <c r="T750" i="2"/>
  <c r="W750" i="2"/>
  <c r="E751" i="2"/>
  <c r="F751" i="2"/>
  <c r="E752" i="2"/>
  <c r="F752" i="2"/>
  <c r="E753" i="2"/>
  <c r="F753" i="2"/>
  <c r="E754" i="2"/>
  <c r="F754" i="2"/>
  <c r="E755" i="2"/>
  <c r="F755" i="2"/>
  <c r="E756" i="2"/>
  <c r="F756" i="2"/>
  <c r="E757" i="2"/>
  <c r="F757" i="2"/>
  <c r="E758" i="2"/>
  <c r="F758" i="2"/>
  <c r="E762" i="2"/>
  <c r="F762" i="2"/>
  <c r="E763" i="2"/>
  <c r="F763" i="2"/>
  <c r="E764" i="2"/>
  <c r="F764" i="2"/>
  <c r="E765" i="2"/>
  <c r="F765" i="2"/>
  <c r="E766" i="2"/>
  <c r="F766" i="2"/>
  <c r="E767" i="2"/>
  <c r="F767" i="2"/>
  <c r="E768" i="2"/>
  <c r="F768" i="2"/>
  <c r="E769" i="2"/>
  <c r="F769" i="2"/>
  <c r="H770" i="2"/>
  <c r="H773" i="2"/>
  <c r="H774" i="2"/>
  <c r="H775" i="2"/>
  <c r="H776" i="2"/>
  <c r="H777" i="2"/>
  <c r="H778" i="2"/>
  <c r="H784" i="2"/>
  <c r="H785" i="2"/>
  <c r="H786" i="2"/>
  <c r="H787" i="2"/>
  <c r="H788" i="2"/>
  <c r="H789" i="2"/>
  <c r="H799" i="2"/>
  <c r="J245" i="2"/>
  <c r="G247" i="2"/>
  <c r="L247" i="2" s="1"/>
  <c r="L588" i="8" s="1"/>
  <c r="L589" i="8" s="1"/>
  <c r="X247" i="2"/>
  <c r="X588" i="8" s="1"/>
  <c r="X589" i="8" s="1"/>
  <c r="Z247" i="2"/>
  <c r="AA247" i="2"/>
  <c r="AA588" i="8" s="1"/>
  <c r="AA589" i="8" s="1"/>
  <c r="G248" i="2"/>
  <c r="L248" i="2" s="1"/>
  <c r="L592" i="8" s="1"/>
  <c r="L593" i="8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AC265" i="2"/>
  <c r="AD265" i="2"/>
  <c r="AE265" i="2"/>
  <c r="H266" i="2"/>
  <c r="I266" i="2"/>
  <c r="J266" i="2"/>
  <c r="G332" i="2" s="1"/>
  <c r="E312" i="2" s="1"/>
  <c r="K266" i="2"/>
  <c r="M266" i="2"/>
  <c r="O266" i="2"/>
  <c r="P266" i="2"/>
  <c r="S266" i="2"/>
  <c r="T266" i="2"/>
  <c r="U266" i="2"/>
  <c r="V266" i="2"/>
  <c r="W266" i="2"/>
  <c r="X266" i="2"/>
  <c r="Z266" i="2"/>
  <c r="AC266" i="2"/>
  <c r="AD266" i="2"/>
  <c r="AE266" i="2"/>
  <c r="H267" i="2"/>
  <c r="I267" i="2"/>
  <c r="J267" i="2"/>
  <c r="G333" i="2" s="1"/>
  <c r="K267" i="2"/>
  <c r="M267" i="2"/>
  <c r="O267" i="2"/>
  <c r="P267" i="2"/>
  <c r="S267" i="2"/>
  <c r="T267" i="2"/>
  <c r="U267" i="2"/>
  <c r="V267" i="2"/>
  <c r="W267" i="2"/>
  <c r="X267" i="2"/>
  <c r="Z267" i="2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AC268" i="2"/>
  <c r="AD268" i="2"/>
  <c r="AE268" i="2"/>
  <c r="H269" i="2"/>
  <c r="I269" i="2"/>
  <c r="F335" i="2" s="1"/>
  <c r="J269" i="2"/>
  <c r="K269" i="2"/>
  <c r="G335" i="2" s="1"/>
  <c r="M269" i="2"/>
  <c r="O269" i="2"/>
  <c r="P269" i="2"/>
  <c r="S269" i="2"/>
  <c r="T269" i="2"/>
  <c r="U269" i="2"/>
  <c r="V269" i="2"/>
  <c r="W269" i="2"/>
  <c r="X269" i="2"/>
  <c r="Z269" i="2"/>
  <c r="AC269" i="2"/>
  <c r="AD269" i="2"/>
  <c r="AE269" i="2"/>
  <c r="H270" i="2"/>
  <c r="I270" i="2"/>
  <c r="J270" i="2"/>
  <c r="G336" i="2" s="1"/>
  <c r="K270" i="2"/>
  <c r="M270" i="2"/>
  <c r="O270" i="2"/>
  <c r="P270" i="2"/>
  <c r="S270" i="2"/>
  <c r="T270" i="2"/>
  <c r="U270" i="2"/>
  <c r="V270" i="2"/>
  <c r="W270" i="2"/>
  <c r="X270" i="2"/>
  <c r="Z270" i="2"/>
  <c r="AC270" i="2"/>
  <c r="AD270" i="2"/>
  <c r="AE270" i="2"/>
  <c r="H271" i="2"/>
  <c r="F337" i="2" s="1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AC271" i="2"/>
  <c r="AD271" i="2"/>
  <c r="AE271" i="2"/>
  <c r="N276" i="2"/>
  <c r="O276" i="2" s="1"/>
  <c r="N277" i="2"/>
  <c r="M277" i="2" s="1"/>
  <c r="N278" i="2"/>
  <c r="O278" i="2" s="1"/>
  <c r="N279" i="2"/>
  <c r="N280" i="2"/>
  <c r="N612" i="8" s="1"/>
  <c r="N613" i="8" s="1"/>
  <c r="N281" i="2"/>
  <c r="O281" i="2" s="1"/>
  <c r="P281" i="2"/>
  <c r="Q281" i="2" s="1"/>
  <c r="N282" i="2"/>
  <c r="M282" i="2" s="1"/>
  <c r="M347" i="2" s="1"/>
  <c r="N283" i="2"/>
  <c r="O283" i="2" s="1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L628" i="8" s="1"/>
  <c r="L629" i="8" s="1"/>
  <c r="M288" i="2"/>
  <c r="M628" i="8" s="1"/>
  <c r="M629" i="8" s="1"/>
  <c r="N288" i="2"/>
  <c r="N628" i="8" s="1"/>
  <c r="N629" i="8" s="1"/>
  <c r="O288" i="2"/>
  <c r="O628" i="8" s="1"/>
  <c r="O629" i="8" s="1"/>
  <c r="P288" i="2"/>
  <c r="P628" i="8" s="1"/>
  <c r="P629" i="8" s="1"/>
  <c r="Q288" i="2"/>
  <c r="Q628" i="8" s="1"/>
  <c r="Q629" i="8" s="1"/>
  <c r="R288" i="2"/>
  <c r="R628" i="8" s="1"/>
  <c r="R629" i="8" s="1"/>
  <c r="S288" i="2"/>
  <c r="S628" i="8" s="1"/>
  <c r="S629" i="8" s="1"/>
  <c r="T288" i="2"/>
  <c r="T628" i="8" s="1"/>
  <c r="T629" i="8" s="1"/>
  <c r="U288" i="2"/>
  <c r="U628" i="8" s="1"/>
  <c r="U629" i="8" s="1"/>
  <c r="V288" i="2"/>
  <c r="V628" i="8" s="1"/>
  <c r="V629" i="8" s="1"/>
  <c r="W288" i="2"/>
  <c r="W628" i="8" s="1"/>
  <c r="W629" i="8" s="1"/>
  <c r="X288" i="2"/>
  <c r="X628" i="8" s="1"/>
  <c r="X629" i="8" s="1"/>
  <c r="Y288" i="2"/>
  <c r="Y628" i="8" s="1"/>
  <c r="Y629" i="8" s="1"/>
  <c r="Z288" i="2"/>
  <c r="Z628" i="8" s="1"/>
  <c r="Z629" i="8" s="1"/>
  <c r="AA288" i="2"/>
  <c r="AA628" i="8" s="1"/>
  <c r="AA629" i="8" s="1"/>
  <c r="AB288" i="2"/>
  <c r="AB628" i="8" s="1"/>
  <c r="AB629" i="8" s="1"/>
  <c r="AC288" i="2"/>
  <c r="AC628" i="8" s="1"/>
  <c r="AC629" i="8" s="1"/>
  <c r="AD288" i="2"/>
  <c r="AD628" i="8" s="1"/>
  <c r="AD629" i="8" s="1"/>
  <c r="AE288" i="2"/>
  <c r="AE628" i="8" s="1"/>
  <c r="AE629" i="8" s="1"/>
  <c r="L289" i="2"/>
  <c r="L632" i="8" s="1"/>
  <c r="L633" i="8" s="1"/>
  <c r="M289" i="2"/>
  <c r="M632" i="8" s="1"/>
  <c r="M633" i="8" s="1"/>
  <c r="N289" i="2"/>
  <c r="N632" i="8" s="1"/>
  <c r="N633" i="8" s="1"/>
  <c r="O289" i="2"/>
  <c r="O632" i="8" s="1"/>
  <c r="O633" i="8" s="1"/>
  <c r="P289" i="2"/>
  <c r="P632" i="8" s="1"/>
  <c r="P633" i="8" s="1"/>
  <c r="Q289" i="2"/>
  <c r="Q632" i="8" s="1"/>
  <c r="Q633" i="8" s="1"/>
  <c r="R289" i="2"/>
  <c r="R632" i="8" s="1"/>
  <c r="R633" i="8" s="1"/>
  <c r="S289" i="2"/>
  <c r="S632" i="8" s="1"/>
  <c r="S633" i="8" s="1"/>
  <c r="T289" i="2"/>
  <c r="T632" i="8" s="1"/>
  <c r="T633" i="8" s="1"/>
  <c r="U289" i="2"/>
  <c r="U632" i="8" s="1"/>
  <c r="U633" i="8" s="1"/>
  <c r="V289" i="2"/>
  <c r="V632" i="8" s="1"/>
  <c r="V633" i="8" s="1"/>
  <c r="W289" i="2"/>
  <c r="W632" i="8" s="1"/>
  <c r="W633" i="8" s="1"/>
  <c r="X289" i="2"/>
  <c r="X632" i="8" s="1"/>
  <c r="X633" i="8" s="1"/>
  <c r="Y289" i="2"/>
  <c r="Y632" i="8" s="1"/>
  <c r="Y633" i="8" s="1"/>
  <c r="Z289" i="2"/>
  <c r="Z632" i="8" s="1"/>
  <c r="Z633" i="8" s="1"/>
  <c r="AA289" i="2"/>
  <c r="AA632" i="8" s="1"/>
  <c r="AA633" i="8" s="1"/>
  <c r="AB289" i="2"/>
  <c r="AB632" i="8" s="1"/>
  <c r="AB633" i="8" s="1"/>
  <c r="AC289" i="2"/>
  <c r="AC632" i="8" s="1"/>
  <c r="AC633" i="8" s="1"/>
  <c r="AD289" i="2"/>
  <c r="AD632" i="8" s="1"/>
  <c r="AD633" i="8" s="1"/>
  <c r="AE289" i="2"/>
  <c r="AE632" i="8" s="1"/>
  <c r="AE633" i="8" s="1"/>
  <c r="L290" i="2"/>
  <c r="L636" i="8" s="1"/>
  <c r="L637" i="8" s="1"/>
  <c r="M290" i="2"/>
  <c r="M636" i="8" s="1"/>
  <c r="M637" i="8" s="1"/>
  <c r="N290" i="2"/>
  <c r="N636" i="8" s="1"/>
  <c r="N637" i="8" s="1"/>
  <c r="O290" i="2"/>
  <c r="O636" i="8" s="1"/>
  <c r="O637" i="8" s="1"/>
  <c r="P290" i="2"/>
  <c r="P636" i="8" s="1"/>
  <c r="P637" i="8" s="1"/>
  <c r="Q290" i="2"/>
  <c r="Q636" i="8" s="1"/>
  <c r="Q637" i="8" s="1"/>
  <c r="R290" i="2"/>
  <c r="R636" i="8" s="1"/>
  <c r="R637" i="8" s="1"/>
  <c r="S290" i="2"/>
  <c r="S636" i="8" s="1"/>
  <c r="S637" i="8" s="1"/>
  <c r="T290" i="2"/>
  <c r="T636" i="8" s="1"/>
  <c r="T637" i="8" s="1"/>
  <c r="U290" i="2"/>
  <c r="U636" i="8" s="1"/>
  <c r="U637" i="8" s="1"/>
  <c r="V290" i="2"/>
  <c r="V636" i="8" s="1"/>
  <c r="V637" i="8" s="1"/>
  <c r="W290" i="2"/>
  <c r="W636" i="8" s="1"/>
  <c r="W637" i="8" s="1"/>
  <c r="X290" i="2"/>
  <c r="X636" i="8" s="1"/>
  <c r="X637" i="8" s="1"/>
  <c r="Y290" i="2"/>
  <c r="Y636" i="8" s="1"/>
  <c r="Y637" i="8" s="1"/>
  <c r="Z290" i="2"/>
  <c r="Z636" i="8" s="1"/>
  <c r="Z637" i="8" s="1"/>
  <c r="AA290" i="2"/>
  <c r="AA636" i="8" s="1"/>
  <c r="AA637" i="8" s="1"/>
  <c r="AB290" i="2"/>
  <c r="AB636" i="8" s="1"/>
  <c r="AB637" i="8" s="1"/>
  <c r="AC290" i="2"/>
  <c r="AC636" i="8" s="1"/>
  <c r="AC637" i="8" s="1"/>
  <c r="AD290" i="2"/>
  <c r="AD636" i="8" s="1"/>
  <c r="AD637" i="8" s="1"/>
  <c r="AE290" i="2"/>
  <c r="AE636" i="8" s="1"/>
  <c r="AE637" i="8" s="1"/>
  <c r="L291" i="2"/>
  <c r="L640" i="8" s="1"/>
  <c r="L641" i="8" s="1"/>
  <c r="M291" i="2"/>
  <c r="M640" i="8" s="1"/>
  <c r="M641" i="8" s="1"/>
  <c r="N291" i="2"/>
  <c r="N640" i="8" s="1"/>
  <c r="N641" i="8" s="1"/>
  <c r="O291" i="2"/>
  <c r="P291" i="2"/>
  <c r="P640" i="8" s="1"/>
  <c r="P641" i="8" s="1"/>
  <c r="Q291" i="2"/>
  <c r="Q640" i="8" s="1"/>
  <c r="Q641" i="8" s="1"/>
  <c r="R291" i="2"/>
  <c r="R640" i="8" s="1"/>
  <c r="R641" i="8" s="1"/>
  <c r="S291" i="2"/>
  <c r="S640" i="8" s="1"/>
  <c r="S641" i="8" s="1"/>
  <c r="T291" i="2"/>
  <c r="T640" i="8" s="1"/>
  <c r="T641" i="8" s="1"/>
  <c r="U291" i="2"/>
  <c r="U640" i="8" s="1"/>
  <c r="U641" i="8" s="1"/>
  <c r="V291" i="2"/>
  <c r="V640" i="8" s="1"/>
  <c r="V641" i="8" s="1"/>
  <c r="W291" i="2"/>
  <c r="W640" i="8" s="1"/>
  <c r="W641" i="8" s="1"/>
  <c r="X291" i="2"/>
  <c r="X640" i="8" s="1"/>
  <c r="X641" i="8" s="1"/>
  <c r="Y291" i="2"/>
  <c r="Y640" i="8" s="1"/>
  <c r="Y641" i="8" s="1"/>
  <c r="Z291" i="2"/>
  <c r="Z640" i="8" s="1"/>
  <c r="Z641" i="8" s="1"/>
  <c r="AA291" i="2"/>
  <c r="AA640" i="8" s="1"/>
  <c r="AA641" i="8" s="1"/>
  <c r="AB291" i="2"/>
  <c r="AB640" i="8" s="1"/>
  <c r="AB641" i="8" s="1"/>
  <c r="AC291" i="2"/>
  <c r="AC640" i="8" s="1"/>
  <c r="AC641" i="8" s="1"/>
  <c r="AD291" i="2"/>
  <c r="AD640" i="8" s="1"/>
  <c r="AD641" i="8" s="1"/>
  <c r="AE291" i="2"/>
  <c r="AE640" i="8" s="1"/>
  <c r="AE641" i="8" s="1"/>
  <c r="L292" i="2"/>
  <c r="L644" i="8" s="1"/>
  <c r="L645" i="8" s="1"/>
  <c r="M292" i="2"/>
  <c r="M644" i="8" s="1"/>
  <c r="M645" i="8" s="1"/>
  <c r="N292" i="2"/>
  <c r="N644" i="8" s="1"/>
  <c r="N645" i="8" s="1"/>
  <c r="O292" i="2"/>
  <c r="O644" i="8" s="1"/>
  <c r="O645" i="8" s="1"/>
  <c r="P292" i="2"/>
  <c r="P644" i="8" s="1"/>
  <c r="P645" i="8" s="1"/>
  <c r="Q292" i="2"/>
  <c r="Q644" i="8" s="1"/>
  <c r="Q645" i="8" s="1"/>
  <c r="R292" i="2"/>
  <c r="R644" i="8" s="1"/>
  <c r="R645" i="8" s="1"/>
  <c r="S292" i="2"/>
  <c r="S644" i="8" s="1"/>
  <c r="S645" i="8" s="1"/>
  <c r="T292" i="2"/>
  <c r="T644" i="8" s="1"/>
  <c r="T645" i="8" s="1"/>
  <c r="U292" i="2"/>
  <c r="U644" i="8" s="1"/>
  <c r="U645" i="8" s="1"/>
  <c r="V292" i="2"/>
  <c r="V644" i="8" s="1"/>
  <c r="V645" i="8" s="1"/>
  <c r="W292" i="2"/>
  <c r="W644" i="8" s="1"/>
  <c r="W645" i="8" s="1"/>
  <c r="X292" i="2"/>
  <c r="X644" i="8" s="1"/>
  <c r="X645" i="8" s="1"/>
  <c r="Y292" i="2"/>
  <c r="Y644" i="8" s="1"/>
  <c r="Y645" i="8" s="1"/>
  <c r="Z292" i="2"/>
  <c r="Z644" i="8" s="1"/>
  <c r="Z645" i="8" s="1"/>
  <c r="AA292" i="2"/>
  <c r="AA644" i="8" s="1"/>
  <c r="AA645" i="8" s="1"/>
  <c r="AB292" i="2"/>
  <c r="AB644" i="8" s="1"/>
  <c r="AB645" i="8" s="1"/>
  <c r="AC292" i="2"/>
  <c r="AC644" i="8" s="1"/>
  <c r="AC645" i="8" s="1"/>
  <c r="AD292" i="2"/>
  <c r="AD644" i="8" s="1"/>
  <c r="AD645" i="8" s="1"/>
  <c r="AE292" i="2"/>
  <c r="AE644" i="8" s="1"/>
  <c r="AE645" i="8" s="1"/>
  <c r="L293" i="2"/>
  <c r="L648" i="8" s="1"/>
  <c r="L649" i="8" s="1"/>
  <c r="M293" i="2"/>
  <c r="M648" i="8" s="1"/>
  <c r="M649" i="8" s="1"/>
  <c r="N293" i="2"/>
  <c r="N648" i="8" s="1"/>
  <c r="N649" i="8" s="1"/>
  <c r="O293" i="2"/>
  <c r="O648" i="8" s="1"/>
  <c r="O649" i="8" s="1"/>
  <c r="P293" i="2"/>
  <c r="P648" i="8" s="1"/>
  <c r="P649" i="8" s="1"/>
  <c r="Q293" i="2"/>
  <c r="Q648" i="8" s="1"/>
  <c r="Q649" i="8" s="1"/>
  <c r="R293" i="2"/>
  <c r="R648" i="8" s="1"/>
  <c r="R649" i="8" s="1"/>
  <c r="S293" i="2"/>
  <c r="S648" i="8" s="1"/>
  <c r="S649" i="8" s="1"/>
  <c r="T293" i="2"/>
  <c r="T648" i="8" s="1"/>
  <c r="T649" i="8" s="1"/>
  <c r="U293" i="2"/>
  <c r="U648" i="8" s="1"/>
  <c r="U649" i="8" s="1"/>
  <c r="V293" i="2"/>
  <c r="V648" i="8" s="1"/>
  <c r="V649" i="8" s="1"/>
  <c r="W293" i="2"/>
  <c r="W648" i="8" s="1"/>
  <c r="W649" i="8" s="1"/>
  <c r="X293" i="2"/>
  <c r="X648" i="8" s="1"/>
  <c r="X649" i="8" s="1"/>
  <c r="Y293" i="2"/>
  <c r="Y648" i="8" s="1"/>
  <c r="Y649" i="8" s="1"/>
  <c r="Z293" i="2"/>
  <c r="Z648" i="8" s="1"/>
  <c r="Z649" i="8" s="1"/>
  <c r="AA293" i="2"/>
  <c r="AA648" i="8" s="1"/>
  <c r="AA649" i="8" s="1"/>
  <c r="AB293" i="2"/>
  <c r="AB648" i="8" s="1"/>
  <c r="AB649" i="8" s="1"/>
  <c r="AC293" i="2"/>
  <c r="AC648" i="8" s="1"/>
  <c r="AC649" i="8" s="1"/>
  <c r="AD293" i="2"/>
  <c r="AD648" i="8" s="1"/>
  <c r="AD649" i="8" s="1"/>
  <c r="AE293" i="2"/>
  <c r="AE648" i="8" s="1"/>
  <c r="AE649" i="8" s="1"/>
  <c r="L294" i="2"/>
  <c r="L652" i="8" s="1"/>
  <c r="L653" i="8" s="1"/>
  <c r="M294" i="2"/>
  <c r="M652" i="8" s="1"/>
  <c r="M653" i="8" s="1"/>
  <c r="N294" i="2"/>
  <c r="N652" i="8" s="1"/>
  <c r="N653" i="8" s="1"/>
  <c r="O294" i="2"/>
  <c r="O652" i="8" s="1"/>
  <c r="O653" i="8" s="1"/>
  <c r="P294" i="2"/>
  <c r="P652" i="8" s="1"/>
  <c r="P653" i="8" s="1"/>
  <c r="Q294" i="2"/>
  <c r="Q652" i="8" s="1"/>
  <c r="Q653" i="8" s="1"/>
  <c r="R294" i="2"/>
  <c r="R652" i="8" s="1"/>
  <c r="R653" i="8" s="1"/>
  <c r="S294" i="2"/>
  <c r="S652" i="8" s="1"/>
  <c r="S653" i="8" s="1"/>
  <c r="T294" i="2"/>
  <c r="T652" i="8" s="1"/>
  <c r="T653" i="8" s="1"/>
  <c r="U294" i="2"/>
  <c r="U652" i="8" s="1"/>
  <c r="U653" i="8" s="1"/>
  <c r="V294" i="2"/>
  <c r="V652" i="8" s="1"/>
  <c r="V653" i="8" s="1"/>
  <c r="W294" i="2"/>
  <c r="W652" i="8" s="1"/>
  <c r="W653" i="8" s="1"/>
  <c r="X294" i="2"/>
  <c r="X652" i="8" s="1"/>
  <c r="X653" i="8" s="1"/>
  <c r="Y294" i="2"/>
  <c r="Y652" i="8" s="1"/>
  <c r="Y653" i="8" s="1"/>
  <c r="Z294" i="2"/>
  <c r="Z652" i="8" s="1"/>
  <c r="Z653" i="8" s="1"/>
  <c r="AA294" i="2"/>
  <c r="AA652" i="8" s="1"/>
  <c r="AA653" i="8" s="1"/>
  <c r="AB294" i="2"/>
  <c r="AB652" i="8" s="1"/>
  <c r="AB653" i="8" s="1"/>
  <c r="AC294" i="2"/>
  <c r="AC652" i="8" s="1"/>
  <c r="AC653" i="8" s="1"/>
  <c r="AD294" i="2"/>
  <c r="AD652" i="8" s="1"/>
  <c r="AD653" i="8" s="1"/>
  <c r="AE294" i="2"/>
  <c r="AE652" i="8" s="1"/>
  <c r="AE653" i="8" s="1"/>
  <c r="L295" i="2"/>
  <c r="L656" i="8" s="1"/>
  <c r="L657" i="8" s="1"/>
  <c r="M295" i="2"/>
  <c r="M656" i="8" s="1"/>
  <c r="M657" i="8" s="1"/>
  <c r="N295" i="2"/>
  <c r="N656" i="8" s="1"/>
  <c r="N657" i="8" s="1"/>
  <c r="O295" i="2"/>
  <c r="O656" i="8" s="1"/>
  <c r="O657" i="8" s="1"/>
  <c r="P295" i="2"/>
  <c r="P656" i="8" s="1"/>
  <c r="P657" i="8" s="1"/>
  <c r="Q295" i="2"/>
  <c r="Q656" i="8" s="1"/>
  <c r="Q657" i="8" s="1"/>
  <c r="R295" i="2"/>
  <c r="R656" i="8" s="1"/>
  <c r="R657" i="8" s="1"/>
  <c r="S295" i="2"/>
  <c r="S656" i="8" s="1"/>
  <c r="S657" i="8" s="1"/>
  <c r="T295" i="2"/>
  <c r="T656" i="8" s="1"/>
  <c r="T657" i="8" s="1"/>
  <c r="U295" i="2"/>
  <c r="U656" i="8" s="1"/>
  <c r="U657" i="8" s="1"/>
  <c r="V295" i="2"/>
  <c r="V656" i="8" s="1"/>
  <c r="V657" i="8" s="1"/>
  <c r="W295" i="2"/>
  <c r="W656" i="8" s="1"/>
  <c r="W657" i="8" s="1"/>
  <c r="X295" i="2"/>
  <c r="X656" i="8" s="1"/>
  <c r="X657" i="8" s="1"/>
  <c r="Y295" i="2"/>
  <c r="Y656" i="8" s="1"/>
  <c r="Y657" i="8" s="1"/>
  <c r="Z295" i="2"/>
  <c r="Z656" i="8" s="1"/>
  <c r="Z657" i="8" s="1"/>
  <c r="AA295" i="2"/>
  <c r="AA656" i="8" s="1"/>
  <c r="AA657" i="8" s="1"/>
  <c r="AB295" i="2"/>
  <c r="AB656" i="8" s="1"/>
  <c r="AB657" i="8" s="1"/>
  <c r="AC295" i="2"/>
  <c r="AC656" i="8" s="1"/>
  <c r="AC657" i="8" s="1"/>
  <c r="AD295" i="2"/>
  <c r="AD656" i="8" s="1"/>
  <c r="AD657" i="8" s="1"/>
  <c r="AE295" i="2"/>
  <c r="AE656" i="8" s="1"/>
  <c r="AE657" i="8" s="1"/>
  <c r="E298" i="2"/>
  <c r="W298" i="2"/>
  <c r="W309" i="2" s="1"/>
  <c r="X298" i="2"/>
  <c r="X309" i="2" s="1"/>
  <c r="G303" i="2"/>
  <c r="E309" i="2"/>
  <c r="Z319" i="2"/>
  <c r="G334" i="2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X340" i="2"/>
  <c r="X246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V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H371" i="2"/>
  <c r="H374" i="2"/>
  <c r="H375" i="2"/>
  <c r="H376" i="2"/>
  <c r="H377" i="2"/>
  <c r="H378" i="2"/>
  <c r="H379" i="2"/>
  <c r="H385" i="2"/>
  <c r="H386" i="2"/>
  <c r="H387" i="2"/>
  <c r="H388" i="2"/>
  <c r="H389" i="2"/>
  <c r="H390" i="2"/>
  <c r="H400" i="2"/>
  <c r="F120" i="3"/>
  <c r="G655" i="2" s="1"/>
  <c r="Y37" i="9"/>
  <c r="Y670" i="2" s="1"/>
  <c r="L37" i="9"/>
  <c r="N37" i="9" s="1"/>
  <c r="Y36" i="9"/>
  <c r="N36" i="9"/>
  <c r="R36" i="9" s="1"/>
  <c r="L36" i="9"/>
  <c r="Y35" i="9"/>
  <c r="Y668" i="2" s="1"/>
  <c r="N35" i="9"/>
  <c r="N269" i="2" s="1"/>
  <c r="Q269" i="2" s="1"/>
  <c r="L35" i="9"/>
  <c r="Y34" i="9"/>
  <c r="N34" i="9"/>
  <c r="L34" i="9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AA618" i="2"/>
  <c r="G618" i="2"/>
  <c r="Z618" i="2" s="1"/>
  <c r="C618" i="2"/>
  <c r="G617" i="2"/>
  <c r="M617" i="2" s="1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N593" i="2"/>
  <c r="M593" i="2"/>
  <c r="H593" i="2"/>
  <c r="G593" i="2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T587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L573" i="2"/>
  <c r="H573" i="2"/>
  <c r="G573" i="2"/>
  <c r="C573" i="2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AC557" i="2"/>
  <c r="G557" i="2"/>
  <c r="Z557" i="2" s="1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M530" i="2"/>
  <c r="H530" i="2"/>
  <c r="G530" i="2"/>
  <c r="Z530" i="2" s="1"/>
  <c r="C530" i="2"/>
  <c r="H529" i="2"/>
  <c r="G529" i="2"/>
  <c r="N529" i="2" s="1"/>
  <c r="C529" i="2"/>
  <c r="H528" i="2"/>
  <c r="G528" i="2"/>
  <c r="C528" i="2"/>
  <c r="V527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AB497" i="2" s="1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AD468" i="2"/>
  <c r="AA468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L454" i="2"/>
  <c r="H454" i="2"/>
  <c r="G454" i="2"/>
  <c r="C454" i="2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L238" i="2"/>
  <c r="H238" i="2"/>
  <c r="G238" i="2"/>
  <c r="C238" i="2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L234" i="2"/>
  <c r="H234" i="2"/>
  <c r="G234" i="2"/>
  <c r="C234" i="2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R195" i="2"/>
  <c r="H195" i="2"/>
  <c r="G195" i="2"/>
  <c r="O195" i="2" s="1"/>
  <c r="C195" i="2"/>
  <c r="H194" i="2"/>
  <c r="G194" i="2"/>
  <c r="C194" i="2"/>
  <c r="H193" i="2"/>
  <c r="G193" i="2"/>
  <c r="U193" i="2" s="1"/>
  <c r="C193" i="2"/>
  <c r="Y192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L181" i="2"/>
  <c r="H181" i="2"/>
  <c r="G181" i="2"/>
  <c r="C181" i="2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Y130" i="2"/>
  <c r="H130" i="2"/>
  <c r="G130" i="2"/>
  <c r="Z130" i="2" s="1"/>
  <c r="C130" i="2"/>
  <c r="AA129" i="2"/>
  <c r="R129" i="2"/>
  <c r="H129" i="2"/>
  <c r="G129" i="2"/>
  <c r="Y129" i="2" s="1"/>
  <c r="C129" i="2"/>
  <c r="AB128" i="2"/>
  <c r="X128" i="2"/>
  <c r="R128" i="2"/>
  <c r="Q128" i="2"/>
  <c r="L128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L60" i="2"/>
  <c r="H60" i="2"/>
  <c r="G60" i="2"/>
  <c r="C60" i="2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L56" i="2"/>
  <c r="H56" i="2"/>
  <c r="G56" i="2"/>
  <c r="C56" i="2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AA15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L8" i="2"/>
  <c r="H8" i="2"/>
  <c r="G8" i="2"/>
  <c r="Y8" i="2" s="1"/>
  <c r="C8" i="2"/>
  <c r="H7" i="2"/>
  <c r="G7" i="2"/>
  <c r="Y7" i="2" s="1"/>
  <c r="C7" i="2"/>
  <c r="B9" i="1"/>
  <c r="B8" i="1"/>
  <c r="B7" i="1"/>
  <c r="I50" i="2" s="1"/>
  <c r="N666" i="2" l="1"/>
  <c r="Q666" i="2" s="1"/>
  <c r="N267" i="2"/>
  <c r="Q33" i="9"/>
  <c r="N337" i="2"/>
  <c r="N359" i="2" s="1"/>
  <c r="E306" i="2"/>
  <c r="Y708" i="2"/>
  <c r="Y761" i="2" s="1"/>
  <c r="Y790" i="2" s="1"/>
  <c r="Y750" i="2"/>
  <c r="X351" i="2"/>
  <c r="X249" i="2"/>
  <c r="O249" i="2"/>
  <c r="K69" i="2"/>
  <c r="E254" i="2"/>
  <c r="F299" i="2" s="1"/>
  <c r="Z299" i="2" s="1"/>
  <c r="Z660" i="8" s="1"/>
  <c r="Z661" i="8" s="1"/>
  <c r="Q249" i="2"/>
  <c r="Y249" i="2"/>
  <c r="M69" i="2"/>
  <c r="Z249" i="2"/>
  <c r="Q69" i="2"/>
  <c r="Z248" i="2"/>
  <c r="Z592" i="8" s="1"/>
  <c r="Z593" i="8" s="1"/>
  <c r="R249" i="2"/>
  <c r="T69" i="2"/>
  <c r="V129" i="2"/>
  <c r="AA530" i="2"/>
  <c r="G331" i="2"/>
  <c r="T248" i="2"/>
  <c r="T592" i="8" s="1"/>
  <c r="T593" i="8" s="1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G330" i="2"/>
  <c r="O341" i="2" s="1"/>
  <c r="O792" i="8" s="1"/>
  <c r="O793" i="8" s="1"/>
  <c r="G731" i="2"/>
  <c r="L249" i="2"/>
  <c r="U251" i="2"/>
  <c r="AE249" i="2"/>
  <c r="Y69" i="2"/>
  <c r="R468" i="2"/>
  <c r="AD587" i="2"/>
  <c r="F330" i="2"/>
  <c r="E299" i="2" s="1"/>
  <c r="F736" i="2"/>
  <c r="E705" i="2" s="1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K27" i="10"/>
  <c r="J27" i="10"/>
  <c r="I27" i="10"/>
  <c r="H27" i="10"/>
  <c r="G27" i="10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Q592" i="8" s="1"/>
  <c r="Q593" i="8" s="1"/>
  <c r="R439" i="2"/>
  <c r="X470" i="2"/>
  <c r="Y414" i="2"/>
  <c r="Q11" i="2"/>
  <c r="N97" i="2"/>
  <c r="Z414" i="2"/>
  <c r="AC439" i="2"/>
  <c r="R497" i="2"/>
  <c r="AD247" i="2"/>
  <c r="AD588" i="8" s="1"/>
  <c r="AD589" i="8" s="1"/>
  <c r="AD135" i="2"/>
  <c r="X11" i="2"/>
  <c r="R97" i="2"/>
  <c r="AB414" i="2"/>
  <c r="AD439" i="2"/>
  <c r="T497" i="2"/>
  <c r="N344" i="2"/>
  <c r="M280" i="2"/>
  <c r="M612" i="8" s="1"/>
  <c r="M613" i="8" s="1"/>
  <c r="AB247" i="2"/>
  <c r="AB588" i="8" s="1"/>
  <c r="AB589" i="8" s="1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T79" i="2" s="1"/>
  <c r="S15" i="2"/>
  <c r="W97" i="2"/>
  <c r="O277" i="2"/>
  <c r="P277" i="2" s="1"/>
  <c r="Y247" i="2"/>
  <c r="K11" i="2"/>
  <c r="T15" i="2"/>
  <c r="S41" i="2"/>
  <c r="X97" i="2"/>
  <c r="V218" i="2"/>
  <c r="P587" i="2"/>
  <c r="X15" i="2"/>
  <c r="U69" i="2"/>
  <c r="Y97" i="2"/>
  <c r="Y84" i="2" s="1"/>
  <c r="Y9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E715" i="2"/>
  <c r="N746" i="2"/>
  <c r="F700" i="2"/>
  <c r="F698" i="2"/>
  <c r="F699" i="2"/>
  <c r="E315" i="2"/>
  <c r="H335" i="2"/>
  <c r="N346" i="2"/>
  <c r="N812" i="8" s="1"/>
  <c r="N813" i="8" s="1"/>
  <c r="O346" i="2"/>
  <c r="N670" i="2"/>
  <c r="N271" i="2"/>
  <c r="Q271" i="2" s="1"/>
  <c r="Q37" i="9"/>
  <c r="R37" i="9"/>
  <c r="AB37" i="9" s="1"/>
  <c r="AB670" i="2" s="1"/>
  <c r="N664" i="2"/>
  <c r="R31" i="9"/>
  <c r="Q31" i="9"/>
  <c r="L277" i="2"/>
  <c r="M342" i="2"/>
  <c r="M796" i="8" s="1"/>
  <c r="M797" i="8" s="1"/>
  <c r="F704" i="2"/>
  <c r="F702" i="2"/>
  <c r="F703" i="2"/>
  <c r="AB36" i="9"/>
  <c r="AA36" i="9"/>
  <c r="AA270" i="2" s="1"/>
  <c r="O342" i="2"/>
  <c r="R269" i="2"/>
  <c r="E256" i="2"/>
  <c r="AE246" i="2"/>
  <c r="AE298" i="2" s="1"/>
  <c r="T38" i="2"/>
  <c r="S69" i="2"/>
  <c r="O97" i="2"/>
  <c r="N128" i="2"/>
  <c r="X129" i="2"/>
  <c r="V438" i="2"/>
  <c r="S497" i="2"/>
  <c r="W527" i="2"/>
  <c r="AB533" i="2"/>
  <c r="N342" i="2"/>
  <c r="M278" i="2"/>
  <c r="L278" i="2" s="1"/>
  <c r="S248" i="2"/>
  <c r="S592" i="8" s="1"/>
  <c r="S593" i="8" s="1"/>
  <c r="Y246" i="2"/>
  <c r="Y298" i="2" s="1"/>
  <c r="M678" i="2"/>
  <c r="E656" i="2"/>
  <c r="F701" i="2" s="1"/>
  <c r="F1309" i="8"/>
  <c r="K187" i="2"/>
  <c r="M283" i="2"/>
  <c r="M337" i="2" s="1"/>
  <c r="M359" i="2" s="1"/>
  <c r="M856" i="8" s="1"/>
  <c r="M857" i="8" s="1"/>
  <c r="E255" i="2"/>
  <c r="F306" i="2" s="1"/>
  <c r="Z306" i="2" s="1"/>
  <c r="Z688" i="8" s="1"/>
  <c r="Z689" i="8" s="1"/>
  <c r="R248" i="2"/>
  <c r="R592" i="8" s="1"/>
  <c r="R593" i="8" s="1"/>
  <c r="T246" i="2"/>
  <c r="T298" i="2" s="1"/>
  <c r="L665" i="2"/>
  <c r="E313" i="2"/>
  <c r="Z38" i="2"/>
  <c r="Q412" i="2"/>
  <c r="Q35" i="9"/>
  <c r="AA309" i="2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N330" i="2"/>
  <c r="U309" i="2"/>
  <c r="U362" i="2" s="1"/>
  <c r="U391" i="2" s="1"/>
  <c r="L269" i="2"/>
  <c r="Q246" i="2"/>
  <c r="Q298" i="2" s="1"/>
  <c r="AA728" i="2"/>
  <c r="M676" i="2"/>
  <c r="L676" i="2" s="1"/>
  <c r="L996" i="8" s="1"/>
  <c r="L997" i="8" s="1"/>
  <c r="F735" i="2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Y728" i="2"/>
  <c r="P645" i="2"/>
  <c r="P697" i="2" s="1"/>
  <c r="R467" i="2"/>
  <c r="Y620" i="2"/>
  <c r="AB329" i="2"/>
  <c r="Y265" i="2"/>
  <c r="AA248" i="2"/>
  <c r="AA592" i="8" s="1"/>
  <c r="AA593" i="8" s="1"/>
  <c r="W728" i="2"/>
  <c r="O675" i="2"/>
  <c r="O992" i="8" s="1"/>
  <c r="O993" i="8" s="1"/>
  <c r="N645" i="2"/>
  <c r="N697" i="2" s="1"/>
  <c r="N750" i="2" s="1"/>
  <c r="Q39" i="2"/>
  <c r="L557" i="2"/>
  <c r="AA329" i="2"/>
  <c r="G300" i="2"/>
  <c r="M645" i="2"/>
  <c r="M697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O280" i="2"/>
  <c r="Y248" i="2"/>
  <c r="Y592" i="8" s="1"/>
  <c r="Y593" i="8" s="1"/>
  <c r="R718" i="2"/>
  <c r="R666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M681" i="2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W592" i="8" s="1"/>
  <c r="W593" i="8" s="1"/>
  <c r="N743" i="2"/>
  <c r="N1200" i="8" s="1"/>
  <c r="N1201" i="8" s="1"/>
  <c r="Q38" i="2"/>
  <c r="L69" i="2"/>
  <c r="L79" i="2" s="1"/>
  <c r="L339" i="8" s="1"/>
  <c r="L340" i="8" s="1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V248" i="2"/>
  <c r="V592" i="8" s="1"/>
  <c r="V593" i="8" s="1"/>
  <c r="U247" i="2"/>
  <c r="U588" i="8" s="1"/>
  <c r="U589" i="8" s="1"/>
  <c r="W761" i="2"/>
  <c r="W790" i="2" s="1"/>
  <c r="R38" i="2"/>
  <c r="R41" i="2"/>
  <c r="M97" i="2"/>
  <c r="K128" i="2"/>
  <c r="U129" i="2"/>
  <c r="Y135" i="2"/>
  <c r="T527" i="2"/>
  <c r="M329" i="2"/>
  <c r="Y271" i="2"/>
  <c r="U248" i="2"/>
  <c r="U592" i="8" s="1"/>
  <c r="U593" i="8" s="1"/>
  <c r="AE708" i="2"/>
  <c r="AE409" i="2"/>
  <c r="AD409" i="2"/>
  <c r="O409" i="2"/>
  <c r="Z409" i="2"/>
  <c r="Y409" i="2"/>
  <c r="W409" i="2"/>
  <c r="M409" i="2"/>
  <c r="S409" i="2"/>
  <c r="Q409" i="2"/>
  <c r="K409" i="2"/>
  <c r="P409" i="2"/>
  <c r="Q616" i="8"/>
  <c r="Q617" i="8" s="1"/>
  <c r="Q346" i="2"/>
  <c r="Q335" i="2"/>
  <c r="R281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Q142" i="2" s="1"/>
  <c r="Q387" i="8" s="1"/>
  <c r="Q388" i="8" s="1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M82" i="2" s="1"/>
  <c r="M351" i="8" s="1"/>
  <c r="M352" i="8" s="1"/>
  <c r="AC72" i="2"/>
  <c r="Z72" i="2"/>
  <c r="W72" i="2"/>
  <c r="W82" i="2" s="1"/>
  <c r="U72" i="2"/>
  <c r="S72" i="2"/>
  <c r="R72" i="2"/>
  <c r="T72" i="2"/>
  <c r="K72" i="2"/>
  <c r="L72" i="2"/>
  <c r="N667" i="2"/>
  <c r="N268" i="2"/>
  <c r="R34" i="9"/>
  <c r="Q34" i="9"/>
  <c r="AA669" i="2"/>
  <c r="S68" i="2"/>
  <c r="AD68" i="2"/>
  <c r="AD78" i="2" s="1"/>
  <c r="U68" i="2"/>
  <c r="V68" i="2"/>
  <c r="Y268" i="2"/>
  <c r="Y667" i="2"/>
  <c r="AB590" i="2"/>
  <c r="N590" i="2"/>
  <c r="K590" i="2"/>
  <c r="AE590" i="2"/>
  <c r="AD590" i="2"/>
  <c r="Q590" i="2"/>
  <c r="P590" i="2"/>
  <c r="F641" i="8"/>
  <c r="M472" i="2"/>
  <c r="AA472" i="2"/>
  <c r="N665" i="2"/>
  <c r="N266" i="2"/>
  <c r="R32" i="9"/>
  <c r="M335" i="2"/>
  <c r="M357" i="2" s="1"/>
  <c r="M616" i="8"/>
  <c r="M617" i="8" s="1"/>
  <c r="L281" i="2"/>
  <c r="M346" i="2"/>
  <c r="Q267" i="2"/>
  <c r="R267" i="2"/>
  <c r="L265" i="2"/>
  <c r="F331" i="2"/>
  <c r="E300" i="2" s="1"/>
  <c r="AB8" i="2"/>
  <c r="AB135" i="2"/>
  <c r="X194" i="2"/>
  <c r="Q194" i="2"/>
  <c r="O194" i="2"/>
  <c r="AE593" i="2"/>
  <c r="AD593" i="2"/>
  <c r="AC593" i="2"/>
  <c r="AB669" i="2"/>
  <c r="AB270" i="2"/>
  <c r="M816" i="8"/>
  <c r="M817" i="8" s="1"/>
  <c r="N804" i="8"/>
  <c r="N805" i="8" s="1"/>
  <c r="AC8" i="2"/>
  <c r="U15" i="2"/>
  <c r="U25" i="2" s="1"/>
  <c r="U327" i="8" s="1"/>
  <c r="U328" i="8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Q351" i="2"/>
  <c r="Q309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AC129" i="2"/>
  <c r="R133" i="2"/>
  <c r="M135" i="2"/>
  <c r="S158" i="2"/>
  <c r="T194" i="2"/>
  <c r="O220" i="2"/>
  <c r="W466" i="2"/>
  <c r="N471" i="2"/>
  <c r="K531" i="2"/>
  <c r="Y663" i="2"/>
  <c r="Y264" i="2"/>
  <c r="F657" i="8"/>
  <c r="F629" i="8"/>
  <c r="N347" i="2"/>
  <c r="N620" i="8"/>
  <c r="N621" i="8" s="1"/>
  <c r="O282" i="2"/>
  <c r="L600" i="8"/>
  <c r="L601" i="8" s="1"/>
  <c r="L342" i="2"/>
  <c r="I256" i="2"/>
  <c r="X592" i="8"/>
  <c r="X593" i="8" s="1"/>
  <c r="Y588" i="8"/>
  <c r="Y589" i="8" s="1"/>
  <c r="N1212" i="8"/>
  <c r="N1213" i="8" s="1"/>
  <c r="AA750" i="2"/>
  <c r="AA708" i="2"/>
  <c r="K498" i="2"/>
  <c r="F649" i="8"/>
  <c r="AD15" i="2"/>
  <c r="S194" i="2"/>
  <c r="L220" i="2"/>
  <c r="AB437" i="2"/>
  <c r="AA437" i="2"/>
  <c r="M471" i="2"/>
  <c r="AC246" i="2"/>
  <c r="AC298" i="2" s="1"/>
  <c r="AC329" i="2"/>
  <c r="U319" i="2"/>
  <c r="Z588" i="8"/>
  <c r="Z589" i="8" s="1"/>
  <c r="O1008" i="8"/>
  <c r="O1009" i="8" s="1"/>
  <c r="P679" i="2"/>
  <c r="O733" i="2"/>
  <c r="AE15" i="2"/>
  <c r="AD37" i="2"/>
  <c r="AD23" i="2" s="1"/>
  <c r="N135" i="2"/>
  <c r="Y194" i="2"/>
  <c r="P220" i="2"/>
  <c r="O414" i="2"/>
  <c r="L414" i="2"/>
  <c r="Q437" i="2"/>
  <c r="Z496" i="2"/>
  <c r="S496" i="2"/>
  <c r="AB496" i="2"/>
  <c r="T496" i="2"/>
  <c r="P531" i="2"/>
  <c r="L282" i="2"/>
  <c r="M620" i="8"/>
  <c r="M621" i="8" s="1"/>
  <c r="L270" i="2"/>
  <c r="F336" i="2"/>
  <c r="E305" i="2" s="1"/>
  <c r="AC708" i="2"/>
  <c r="AC750" i="2"/>
  <c r="M750" i="2"/>
  <c r="M708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O279" i="2"/>
  <c r="N608" i="8"/>
  <c r="N609" i="8" s="1"/>
  <c r="F332" i="2"/>
  <c r="H332" i="2" s="1"/>
  <c r="L266" i="2"/>
  <c r="AB708" i="2"/>
  <c r="AB750" i="2"/>
  <c r="L645" i="2"/>
  <c r="L697" i="2" s="1"/>
  <c r="P283" i="2"/>
  <c r="O337" i="2"/>
  <c r="O359" i="2" s="1"/>
  <c r="O624" i="8"/>
  <c r="O625" i="8" s="1"/>
  <c r="AA319" i="2"/>
  <c r="AA362" i="2"/>
  <c r="AA391" i="2" s="1"/>
  <c r="O100" i="2"/>
  <c r="Q133" i="2"/>
  <c r="K135" i="2"/>
  <c r="AC193" i="2"/>
  <c r="O193" i="2"/>
  <c r="M193" i="2"/>
  <c r="Z498" i="2"/>
  <c r="O246" i="2"/>
  <c r="O298" i="2" s="1"/>
  <c r="O329" i="2"/>
  <c r="E316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O796" i="8"/>
  <c r="O797" i="8" s="1"/>
  <c r="L992" i="8"/>
  <c r="L993" i="8" s="1"/>
  <c r="L729" i="2"/>
  <c r="L740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E314" i="2"/>
  <c r="N345" i="2"/>
  <c r="M345" i="2"/>
  <c r="O604" i="8"/>
  <c r="O605" i="8" s="1"/>
  <c r="O343" i="2"/>
  <c r="P278" i="2"/>
  <c r="Y266" i="2"/>
  <c r="AE309" i="2"/>
  <c r="AE351" i="2"/>
  <c r="Z645" i="2"/>
  <c r="Z697" i="2" s="1"/>
  <c r="Z728" i="2"/>
  <c r="E709" i="2"/>
  <c r="H729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P616" i="8"/>
  <c r="P617" i="8" s="1"/>
  <c r="P346" i="2"/>
  <c r="P335" i="2"/>
  <c r="P357" i="2" s="1"/>
  <c r="O812" i="8"/>
  <c r="O813" i="8" s="1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O596" i="8"/>
  <c r="O597" i="8" s="1"/>
  <c r="P276" i="2"/>
  <c r="E716" i="2"/>
  <c r="H736" i="2"/>
  <c r="N747" i="2"/>
  <c r="O747" i="2"/>
  <c r="O1012" i="8"/>
  <c r="O1013" i="8" s="1"/>
  <c r="O745" i="2"/>
  <c r="P680" i="2"/>
  <c r="AD351" i="2"/>
  <c r="AD309" i="2"/>
  <c r="P246" i="2"/>
  <c r="P298" i="2" s="1"/>
  <c r="P329" i="2"/>
  <c r="O616" i="8"/>
  <c r="O617" i="8" s="1"/>
  <c r="O335" i="2"/>
  <c r="O357" i="2" s="1"/>
  <c r="F333" i="2"/>
  <c r="L267" i="2"/>
  <c r="P1020" i="8"/>
  <c r="P1021" i="8" s="1"/>
  <c r="P747" i="2"/>
  <c r="Q682" i="2"/>
  <c r="N796" i="8"/>
  <c r="N797" i="8" s="1"/>
  <c r="N351" i="2"/>
  <c r="N309" i="2"/>
  <c r="AD329" i="2"/>
  <c r="X362" i="2"/>
  <c r="X391" i="2" s="1"/>
  <c r="X319" i="2"/>
  <c r="L730" i="2"/>
  <c r="L741" i="2"/>
  <c r="E704" i="2"/>
  <c r="H735" i="2"/>
  <c r="M735" i="2"/>
  <c r="N735" i="2"/>
  <c r="M351" i="2"/>
  <c r="M309" i="2"/>
  <c r="E304" i="2"/>
  <c r="N335" i="2"/>
  <c r="N357" i="2" s="1"/>
  <c r="S309" i="2"/>
  <c r="W362" i="2"/>
  <c r="W391" i="2" s="1"/>
  <c r="W319" i="2"/>
  <c r="E310" i="2"/>
  <c r="X645" i="2"/>
  <c r="X697" i="2" s="1"/>
  <c r="X728" i="2"/>
  <c r="E710" i="2"/>
  <c r="N741" i="2"/>
  <c r="H730" i="2"/>
  <c r="Q586" i="2"/>
  <c r="AA586" i="2"/>
  <c r="X586" i="2"/>
  <c r="U586" i="2"/>
  <c r="L309" i="2"/>
  <c r="L351" i="2"/>
  <c r="P600" i="8"/>
  <c r="P601" i="8" s="1"/>
  <c r="P342" i="2"/>
  <c r="Q277" i="2"/>
  <c r="Z617" i="2"/>
  <c r="AB617" i="2"/>
  <c r="Y617" i="2"/>
  <c r="V617" i="2"/>
  <c r="S617" i="2"/>
  <c r="R617" i="2"/>
  <c r="V708" i="2"/>
  <c r="V750" i="2"/>
  <c r="U761" i="2"/>
  <c r="U790" i="2" s="1"/>
  <c r="U718" i="2"/>
  <c r="N784" i="8"/>
  <c r="N785" i="8" s="1"/>
  <c r="N856" i="8"/>
  <c r="N857" i="8" s="1"/>
  <c r="L271" i="2"/>
  <c r="G337" i="2"/>
  <c r="O348" i="2" s="1"/>
  <c r="Y718" i="2"/>
  <c r="T761" i="2"/>
  <c r="T790" i="2" s="1"/>
  <c r="T718" i="2"/>
  <c r="M992" i="8"/>
  <c r="M993" i="8" s="1"/>
  <c r="M729" i="2"/>
  <c r="M740" i="2"/>
  <c r="L668" i="2"/>
  <c r="F734" i="2"/>
  <c r="E703" i="2" s="1"/>
  <c r="G733" i="2"/>
  <c r="O744" i="2" s="1"/>
  <c r="L667" i="2"/>
  <c r="N992" i="8"/>
  <c r="N993" i="8" s="1"/>
  <c r="N740" i="2"/>
  <c r="N729" i="2"/>
  <c r="F1029" i="8"/>
  <c r="X557" i="2"/>
  <c r="Y557" i="2"/>
  <c r="W557" i="2"/>
  <c r="AE587" i="2"/>
  <c r="AB620" i="2"/>
  <c r="AC620" i="2"/>
  <c r="W329" i="2"/>
  <c r="E311" i="2"/>
  <c r="N596" i="8"/>
  <c r="N597" i="8" s="1"/>
  <c r="M276" i="2"/>
  <c r="N341" i="2"/>
  <c r="T247" i="2"/>
  <c r="E699" i="2"/>
  <c r="N730" i="2"/>
  <c r="F633" i="8"/>
  <c r="V329" i="2"/>
  <c r="N247" i="2"/>
  <c r="U329" i="2"/>
  <c r="O600" i="8"/>
  <c r="O601" i="8" s="1"/>
  <c r="R271" i="2"/>
  <c r="M247" i="2"/>
  <c r="S645" i="2"/>
  <c r="S697" i="2" s="1"/>
  <c r="S728" i="2"/>
  <c r="F1045" i="8"/>
  <c r="O1020" i="8"/>
  <c r="O1021" i="8" s="1"/>
  <c r="N1012" i="8"/>
  <c r="N1013" i="8" s="1"/>
  <c r="N745" i="2"/>
  <c r="M680" i="2"/>
  <c r="L666" i="2"/>
  <c r="F732" i="2"/>
  <c r="AD750" i="2"/>
  <c r="AD708" i="2"/>
  <c r="S533" i="2"/>
  <c r="X533" i="2"/>
  <c r="P533" i="2"/>
  <c r="AA37" i="9"/>
  <c r="N600" i="8"/>
  <c r="N601" i="8" s="1"/>
  <c r="E711" i="2"/>
  <c r="H731" i="2"/>
  <c r="N742" i="2"/>
  <c r="N1020" i="8"/>
  <c r="N1021" i="8" s="1"/>
  <c r="M682" i="2"/>
  <c r="Y666" i="2"/>
  <c r="Y267" i="2"/>
  <c r="N604" i="8"/>
  <c r="N605" i="8" s="1"/>
  <c r="N343" i="2"/>
  <c r="M600" i="8"/>
  <c r="M601" i="8" s="1"/>
  <c r="M331" i="2"/>
  <c r="M353" i="2" s="1"/>
  <c r="Y269" i="2"/>
  <c r="V247" i="2"/>
  <c r="W247" i="2"/>
  <c r="O247" i="2"/>
  <c r="AE247" i="2"/>
  <c r="P247" i="2"/>
  <c r="Q247" i="2"/>
  <c r="R247" i="2"/>
  <c r="S247" i="2"/>
  <c r="M996" i="8"/>
  <c r="M997" i="8" s="1"/>
  <c r="M741" i="2"/>
  <c r="F1041" i="8"/>
  <c r="F637" i="8"/>
  <c r="L264" i="2"/>
  <c r="N248" i="2"/>
  <c r="N592" i="8" s="1"/>
  <c r="N593" i="8" s="1"/>
  <c r="R728" i="2"/>
  <c r="F1049" i="8"/>
  <c r="N1000" i="8"/>
  <c r="N1001" i="8" s="1"/>
  <c r="O677" i="2"/>
  <c r="N731" i="2"/>
  <c r="AE248" i="2"/>
  <c r="AE592" i="8" s="1"/>
  <c r="AE593" i="8" s="1"/>
  <c r="M248" i="2"/>
  <c r="M592" i="8" s="1"/>
  <c r="M593" i="8" s="1"/>
  <c r="O728" i="2"/>
  <c r="O708" i="2"/>
  <c r="M677" i="2"/>
  <c r="Q664" i="2"/>
  <c r="R664" i="2"/>
  <c r="F645" i="8"/>
  <c r="AB248" i="2"/>
  <c r="N265" i="2"/>
  <c r="O248" i="2"/>
  <c r="O592" i="8" s="1"/>
  <c r="O593" i="8" s="1"/>
  <c r="AC248" i="2"/>
  <c r="AC592" i="8" s="1"/>
  <c r="AC593" i="8" s="1"/>
  <c r="P248" i="2"/>
  <c r="P592" i="8" s="1"/>
  <c r="P593" i="8" s="1"/>
  <c r="AD248" i="2"/>
  <c r="AD299" i="2" s="1"/>
  <c r="AD660" i="8" s="1"/>
  <c r="AD661" i="8" s="1"/>
  <c r="E714" i="2"/>
  <c r="F653" i="8"/>
  <c r="F1037" i="8"/>
  <c r="V728" i="2"/>
  <c r="L663" i="2"/>
  <c r="U728" i="2"/>
  <c r="F1053" i="8"/>
  <c r="F1025" i="8"/>
  <c r="O678" i="2"/>
  <c r="L670" i="2"/>
  <c r="T728" i="2"/>
  <c r="N1008" i="8"/>
  <c r="N1009" i="8" s="1"/>
  <c r="N744" i="2"/>
  <c r="M679" i="2"/>
  <c r="N733" i="2"/>
  <c r="O681" i="2"/>
  <c r="F937" i="8"/>
  <c r="F1033" i="8"/>
  <c r="O676" i="2"/>
  <c r="F945" i="8"/>
  <c r="F1333" i="8"/>
  <c r="F1341" i="8"/>
  <c r="T11" i="2"/>
  <c r="Z13" i="2"/>
  <c r="AB37" i="2"/>
  <c r="Y70" i="2"/>
  <c r="Z98" i="2"/>
  <c r="S161" i="2"/>
  <c r="P466" i="2"/>
  <c r="X496" i="2"/>
  <c r="X217" i="2"/>
  <c r="X204" i="2" s="1"/>
  <c r="AB217" i="2"/>
  <c r="AB199" i="2" s="1"/>
  <c r="AB411" i="8" s="1"/>
  <c r="AB412" i="8" s="1"/>
  <c r="M217" i="2"/>
  <c r="AA217" i="2"/>
  <c r="L217" i="2"/>
  <c r="Z217" i="2"/>
  <c r="K217" i="2"/>
  <c r="W217" i="2"/>
  <c r="W203" i="2" s="1"/>
  <c r="W427" i="8" s="1"/>
  <c r="W428" i="8" s="1"/>
  <c r="R217" i="2"/>
  <c r="R205" i="2" s="1"/>
  <c r="R435" i="8" s="1"/>
  <c r="R436" i="8" s="1"/>
  <c r="V217" i="2"/>
  <c r="U217" i="2"/>
  <c r="U203" i="2" s="1"/>
  <c r="U427" i="8" s="1"/>
  <c r="U428" i="8" s="1"/>
  <c r="T217" i="2"/>
  <c r="T199" i="2" s="1"/>
  <c r="T411" i="8" s="1"/>
  <c r="T412" i="8" s="1"/>
  <c r="Q217" i="2"/>
  <c r="N217" i="2"/>
  <c r="Z12" i="2"/>
  <c r="AC12" i="2"/>
  <c r="X12" i="2"/>
  <c r="W12" i="2"/>
  <c r="U12" i="2"/>
  <c r="U22" i="2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K23" i="2" s="1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U319" i="8" s="1"/>
  <c r="U320" i="8" s="1"/>
  <c r="T13" i="2"/>
  <c r="S13" i="2"/>
  <c r="P13" i="2"/>
  <c r="L37" i="2"/>
  <c r="L18" i="2" s="1"/>
  <c r="Q101" i="2"/>
  <c r="AC157" i="2"/>
  <c r="AC139" i="2" s="1"/>
  <c r="AB157" i="2"/>
  <c r="AB138" i="2" s="1"/>
  <c r="X157" i="2"/>
  <c r="X139" i="2" s="1"/>
  <c r="X375" i="8" s="1"/>
  <c r="X376" i="8" s="1"/>
  <c r="Q157" i="2"/>
  <c r="Q138" i="2" s="1"/>
  <c r="Q371" i="8" s="1"/>
  <c r="Q372" i="8" s="1"/>
  <c r="P157" i="2"/>
  <c r="N191" i="2"/>
  <c r="Y408" i="2"/>
  <c r="AE408" i="2"/>
  <c r="AD408" i="2"/>
  <c r="AC408" i="2"/>
  <c r="U408" i="2"/>
  <c r="M408" i="2"/>
  <c r="S408" i="2"/>
  <c r="N408" i="2"/>
  <c r="Q7" i="2"/>
  <c r="U18" i="2"/>
  <c r="U299" i="8" s="1"/>
  <c r="U300" i="8" s="1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39" i="2" s="1"/>
  <c r="N375" i="8" s="1"/>
  <c r="N376" i="8" s="1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O200" i="2" s="1"/>
  <c r="O415" i="8" s="1"/>
  <c r="O416" i="8" s="1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P18" i="2" s="1"/>
  <c r="R99" i="2"/>
  <c r="M11" i="2"/>
  <c r="M13" i="2"/>
  <c r="S39" i="2"/>
  <c r="Y41" i="2"/>
  <c r="T71" i="2"/>
  <c r="AE75" i="2"/>
  <c r="AA75" i="2"/>
  <c r="P75" i="2"/>
  <c r="AC75" i="2"/>
  <c r="W75" i="2"/>
  <c r="W85" i="2" s="1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L198" i="2" s="1"/>
  <c r="L407" i="8" s="1"/>
  <c r="L408" i="8" s="1"/>
  <c r="AD188" i="2"/>
  <c r="U188" i="2"/>
  <c r="S188" i="2"/>
  <c r="R188" i="2"/>
  <c r="R198" i="2" s="1"/>
  <c r="R407" i="8" s="1"/>
  <c r="R408" i="8" s="1"/>
  <c r="Q188" i="2"/>
  <c r="AE191" i="2"/>
  <c r="P217" i="2"/>
  <c r="L473" i="2"/>
  <c r="L500" i="2"/>
  <c r="X37" i="2"/>
  <c r="T37" i="2"/>
  <c r="T18" i="2" s="1"/>
  <c r="S37" i="2"/>
  <c r="S18" i="2" s="1"/>
  <c r="Q37" i="2"/>
  <c r="AE37" i="2"/>
  <c r="AE22" i="2" s="1"/>
  <c r="O37" i="2"/>
  <c r="O21" i="2" s="1"/>
  <c r="O311" i="8" s="1"/>
  <c r="O312" i="8" s="1"/>
  <c r="P408" i="2"/>
  <c r="N436" i="2"/>
  <c r="AD440" i="2"/>
  <c r="O11" i="2"/>
  <c r="L12" i="2"/>
  <c r="N13" i="2"/>
  <c r="V37" i="2"/>
  <c r="V22" i="2" s="1"/>
  <c r="U39" i="2"/>
  <c r="AA41" i="2"/>
  <c r="V71" i="2"/>
  <c r="U82" i="2"/>
  <c r="U351" i="8" s="1"/>
  <c r="U352" i="8" s="1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85" i="2" s="1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R200" i="2" s="1"/>
  <c r="R415" i="8" s="1"/>
  <c r="R416" i="8" s="1"/>
  <c r="Q190" i="2"/>
  <c r="L190" i="2"/>
  <c r="AC217" i="2"/>
  <c r="AC198" i="2" s="1"/>
  <c r="AC407" i="8" s="1"/>
  <c r="AC408" i="8" s="1"/>
  <c r="U436" i="2"/>
  <c r="AA473" i="2"/>
  <c r="AC500" i="2"/>
  <c r="AE529" i="2"/>
  <c r="Y529" i="2"/>
  <c r="X529" i="2"/>
  <c r="W529" i="2"/>
  <c r="M529" i="2"/>
  <c r="L529" i="2"/>
  <c r="AA529" i="2"/>
  <c r="N37" i="2"/>
  <c r="N25" i="2" s="1"/>
  <c r="V221" i="2"/>
  <c r="X7" i="2"/>
  <c r="O12" i="2"/>
  <c r="AA71" i="2"/>
  <c r="R12" i="2"/>
  <c r="X13" i="2"/>
  <c r="Z37" i="2"/>
  <c r="U75" i="2"/>
  <c r="U85" i="2" s="1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X81" i="2" s="1"/>
  <c r="X91" i="2" s="1"/>
  <c r="P71" i="2"/>
  <c r="P81" i="2" s="1"/>
  <c r="AE71" i="2"/>
  <c r="N71" i="2"/>
  <c r="N81" i="2" s="1"/>
  <c r="N347" i="8" s="1"/>
  <c r="N348" i="8" s="1"/>
  <c r="AC71" i="2"/>
  <c r="L71" i="2"/>
  <c r="U71" i="2"/>
  <c r="Q71" i="2"/>
  <c r="O71" i="2"/>
  <c r="M71" i="2"/>
  <c r="M81" i="2" s="1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V25" i="2" s="1"/>
  <c r="Y38" i="2"/>
  <c r="M79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W78" i="2" s="1"/>
  <c r="M68" i="2"/>
  <c r="M78" i="2" s="1"/>
  <c r="M335" i="8" s="1"/>
  <c r="M336" i="8" s="1"/>
  <c r="AE74" i="2"/>
  <c r="AD74" i="2"/>
  <c r="Z74" i="2"/>
  <c r="S195" i="2"/>
  <c r="S439" i="2"/>
  <c r="AE559" i="2"/>
  <c r="Y559" i="2"/>
  <c r="V559" i="2"/>
  <c r="P559" i="2"/>
  <c r="N559" i="2"/>
  <c r="Q616" i="2"/>
  <c r="S137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N79" i="2" s="1"/>
  <c r="Q72" i="2"/>
  <c r="AC97" i="2"/>
  <c r="P128" i="2"/>
  <c r="O129" i="2"/>
  <c r="AE129" i="2"/>
  <c r="V189" i="2"/>
  <c r="R193" i="2"/>
  <c r="R203" i="2" s="1"/>
  <c r="R427" i="8" s="1"/>
  <c r="R428" i="8" s="1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W79" i="2" s="1"/>
  <c r="W89" i="2" s="1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AB79" i="2" s="1"/>
  <c r="Y72" i="2"/>
  <c r="AA199" i="2"/>
  <c r="AA411" i="8" s="1"/>
  <c r="AA412" i="8" s="1"/>
  <c r="Z194" i="2"/>
  <c r="Z204" i="2" s="1"/>
  <c r="Z431" i="8" s="1"/>
  <c r="Z432" i="8" s="1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P85" i="2"/>
  <c r="Z129" i="2"/>
  <c r="K199" i="2"/>
  <c r="AB194" i="2"/>
  <c r="AB204" i="2" s="1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U83" i="2" s="1"/>
  <c r="AE73" i="2"/>
  <c r="O73" i="2"/>
  <c r="O83" i="2" s="1"/>
  <c r="AB73" i="2"/>
  <c r="M73" i="2"/>
  <c r="M83" i="2" s="1"/>
  <c r="M93" i="2" s="1"/>
  <c r="N73" i="2"/>
  <c r="N83" i="2" s="1"/>
  <c r="L73" i="2"/>
  <c r="Y73" i="2"/>
  <c r="X73" i="2"/>
  <c r="W73" i="2"/>
  <c r="W83" i="2" s="1"/>
  <c r="Q73" i="2"/>
  <c r="P73" i="2"/>
  <c r="P83" i="2" s="1"/>
  <c r="R9" i="2"/>
  <c r="U10" i="2"/>
  <c r="U20" i="2" s="1"/>
  <c r="X67" i="2"/>
  <c r="X77" i="2" s="1"/>
  <c r="S9" i="2"/>
  <c r="V10" i="2"/>
  <c r="V20" i="2" s="1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U295" i="8" s="1"/>
  <c r="U296" i="8" s="1"/>
  <c r="S7" i="2"/>
  <c r="AD7" i="2"/>
  <c r="AD17" i="2" s="1"/>
  <c r="L7" i="2"/>
  <c r="AC7" i="2"/>
  <c r="K7" i="2"/>
  <c r="K17" i="2" s="1"/>
  <c r="K27" i="2" s="1"/>
  <c r="V7" i="2"/>
  <c r="V17" i="2" s="1"/>
  <c r="T7" i="2"/>
  <c r="R7" i="2"/>
  <c r="Z14" i="2"/>
  <c r="T70" i="2"/>
  <c r="S70" i="2"/>
  <c r="AB70" i="2"/>
  <c r="N70" i="2"/>
  <c r="N80" i="2" s="1"/>
  <c r="N343" i="8" s="1"/>
  <c r="N344" i="8" s="1"/>
  <c r="Z70" i="2"/>
  <c r="L70" i="2"/>
  <c r="O70" i="2"/>
  <c r="O80" i="2" s="1"/>
  <c r="O343" i="8" s="1"/>
  <c r="O344" i="8" s="1"/>
  <c r="M70" i="2"/>
  <c r="M80" i="2" s="1"/>
  <c r="X70" i="2"/>
  <c r="X80" i="2" s="1"/>
  <c r="X90" i="2" s="1"/>
  <c r="W70" i="2"/>
  <c r="W80" i="2" s="1"/>
  <c r="W90" i="2" s="1"/>
  <c r="V70" i="2"/>
  <c r="V80" i="2" s="1"/>
  <c r="Q70" i="2"/>
  <c r="P70" i="2"/>
  <c r="P80" i="2" s="1"/>
  <c r="W355" i="8"/>
  <c r="W356" i="8" s="1"/>
  <c r="AC375" i="8"/>
  <c r="AC376" i="8" s="1"/>
  <c r="P363" i="8"/>
  <c r="P364" i="8" s="1"/>
  <c r="N355" i="8"/>
  <c r="N356" i="8" s="1"/>
  <c r="U315" i="8"/>
  <c r="U316" i="8" s="1"/>
  <c r="K123" i="8"/>
  <c r="K319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U307" i="8"/>
  <c r="U30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P343" i="8"/>
  <c r="P3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B23" i="2"/>
  <c r="AC14" i="2"/>
  <c r="AC24" i="2" s="1"/>
  <c r="AD40" i="2"/>
  <c r="K70" i="2"/>
  <c r="V74" i="2"/>
  <c r="T74" i="2"/>
  <c r="AC74" i="2"/>
  <c r="AC84" i="2" s="1"/>
  <c r="M74" i="2"/>
  <c r="M84" i="2" s="1"/>
  <c r="AB74" i="2"/>
  <c r="AB84" i="2" s="1"/>
  <c r="L74" i="2"/>
  <c r="W74" i="2"/>
  <c r="W84" i="2" s="1"/>
  <c r="S74" i="2"/>
  <c r="K74" i="2"/>
  <c r="X74" i="2"/>
  <c r="U74" i="2"/>
  <c r="R74" i="2"/>
  <c r="R84" i="2" s="1"/>
  <c r="O74" i="2"/>
  <c r="O84" i="2" s="1"/>
  <c r="N74" i="2"/>
  <c r="N84" i="2" s="1"/>
  <c r="Y10" i="2"/>
  <c r="K10" i="2"/>
  <c r="K20" i="2" s="1"/>
  <c r="K30" i="2" s="1"/>
  <c r="S10" i="2"/>
  <c r="AE10" i="2"/>
  <c r="Q10" i="2"/>
  <c r="Z10" i="2"/>
  <c r="X10" i="2"/>
  <c r="P10" i="2"/>
  <c r="O10" i="2"/>
  <c r="N10" i="2"/>
  <c r="U9" i="2"/>
  <c r="U19" i="2" s="1"/>
  <c r="AC9" i="2"/>
  <c r="AC19" i="2" s="1"/>
  <c r="O9" i="2"/>
  <c r="AA9" i="2"/>
  <c r="M9" i="2"/>
  <c r="N9" i="2"/>
  <c r="AE9" i="2"/>
  <c r="L9" i="2"/>
  <c r="W9" i="2"/>
  <c r="V9" i="2"/>
  <c r="V19" i="2" s="1"/>
  <c r="T9" i="2"/>
  <c r="V67" i="2"/>
  <c r="U67" i="2"/>
  <c r="AD67" i="2"/>
  <c r="P67" i="2"/>
  <c r="P77" i="2" s="1"/>
  <c r="AB67" i="2"/>
  <c r="N67" i="2"/>
  <c r="N77" i="2" s="1"/>
  <c r="AE67" i="2"/>
  <c r="K67" i="2"/>
  <c r="AC67" i="2"/>
  <c r="AC77" i="2" s="1"/>
  <c r="T67" i="2"/>
  <c r="S67" i="2"/>
  <c r="R67" i="2"/>
  <c r="M67" i="2"/>
  <c r="M77" i="2" s="1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P140" i="2" s="1"/>
  <c r="AD130" i="2"/>
  <c r="L130" i="2"/>
  <c r="X130" i="2"/>
  <c r="W130" i="2"/>
  <c r="Q130" i="2"/>
  <c r="Q140" i="2" s="1"/>
  <c r="N130" i="2"/>
  <c r="K130" i="2"/>
  <c r="AE130" i="2"/>
  <c r="AB130" i="2"/>
  <c r="AB140" i="2" s="1"/>
  <c r="S130" i="2"/>
  <c r="S140" i="2" s="1"/>
  <c r="R130" i="2"/>
  <c r="V134" i="2"/>
  <c r="AE134" i="2"/>
  <c r="Q134" i="2"/>
  <c r="Q144" i="2" s="1"/>
  <c r="AC134" i="2"/>
  <c r="O134" i="2"/>
  <c r="W134" i="2"/>
  <c r="U134" i="2"/>
  <c r="T134" i="2"/>
  <c r="N134" i="2"/>
  <c r="AD134" i="2"/>
  <c r="L134" i="2"/>
  <c r="Y134" i="2"/>
  <c r="X134" i="2"/>
  <c r="X144" i="2" s="1"/>
  <c r="P134" i="2"/>
  <c r="P144" i="2" s="1"/>
  <c r="M134" i="2"/>
  <c r="K134" i="2"/>
  <c r="AB134" i="2"/>
  <c r="S134" i="2"/>
  <c r="S144" i="2" s="1"/>
  <c r="R134" i="2"/>
  <c r="AA14" i="2"/>
  <c r="M14" i="2"/>
  <c r="U14" i="2"/>
  <c r="U24" i="2" s="1"/>
  <c r="S14" i="2"/>
  <c r="S24" i="2" s="1"/>
  <c r="AE14" i="2"/>
  <c r="N14" i="2"/>
  <c r="AD14" i="2"/>
  <c r="AD24" i="2" s="1"/>
  <c r="L14" i="2"/>
  <c r="W14" i="2"/>
  <c r="V14" i="2"/>
  <c r="V24" i="2" s="1"/>
  <c r="T14" i="2"/>
  <c r="X9" i="2"/>
  <c r="W10" i="2"/>
  <c r="Y14" i="2"/>
  <c r="AA73" i="2"/>
  <c r="Y9" i="2"/>
  <c r="AA67" i="2"/>
  <c r="AC73" i="2"/>
  <c r="AB10" i="2"/>
  <c r="L63" i="2"/>
  <c r="O7" i="2"/>
  <c r="AD9" i="2"/>
  <c r="AD19" i="2" s="1"/>
  <c r="AD10" i="2"/>
  <c r="P7" i="2"/>
  <c r="AA39" i="2"/>
  <c r="U70" i="2"/>
  <c r="P74" i="2"/>
  <c r="P84" i="2" s="1"/>
  <c r="K9" i="2"/>
  <c r="K19" i="2" s="1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AC25" i="2"/>
  <c r="M40" i="2"/>
  <c r="Q67" i="2"/>
  <c r="AE70" i="2"/>
  <c r="K73" i="2"/>
  <c r="AD84" i="2"/>
  <c r="M10" i="2"/>
  <c r="M20" i="2" s="1"/>
  <c r="M30" i="2" s="1"/>
  <c r="S131" i="2"/>
  <c r="S141" i="2" s="1"/>
  <c r="AE131" i="2"/>
  <c r="Q131" i="2"/>
  <c r="Q141" i="2" s="1"/>
  <c r="AD131" i="2"/>
  <c r="N131" i="2"/>
  <c r="AC131" i="2"/>
  <c r="M131" i="2"/>
  <c r="AB131" i="2"/>
  <c r="L131" i="2"/>
  <c r="X131" i="2"/>
  <c r="V131" i="2"/>
  <c r="P131" i="2"/>
  <c r="P141" i="2" s="1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W77" i="2" s="1"/>
  <c r="W87" i="2" s="1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AC78" i="2" s="1"/>
  <c r="P12" i="2"/>
  <c r="N68" i="2"/>
  <c r="N78" i="2" s="1"/>
  <c r="Q75" i="2"/>
  <c r="Q100" i="2"/>
  <c r="Q12" i="2"/>
  <c r="O68" i="2"/>
  <c r="O78" i="2" s="1"/>
  <c r="AD69" i="2"/>
  <c r="P69" i="2"/>
  <c r="P79" i="2" s="1"/>
  <c r="AC69" i="2"/>
  <c r="AC79" i="2" s="1"/>
  <c r="O69" i="2"/>
  <c r="X69" i="2"/>
  <c r="V69" i="2"/>
  <c r="AA69" i="2"/>
  <c r="R75" i="2"/>
  <c r="P68" i="2"/>
  <c r="P78" i="2" s="1"/>
  <c r="AE127" i="2"/>
  <c r="Q127" i="2"/>
  <c r="Q137" i="2" s="1"/>
  <c r="AC127" i="2"/>
  <c r="O127" i="2"/>
  <c r="AD127" i="2"/>
  <c r="M127" i="2"/>
  <c r="AB127" i="2"/>
  <c r="L127" i="2"/>
  <c r="AA127" i="2"/>
  <c r="K127" i="2"/>
  <c r="W127" i="2"/>
  <c r="U127" i="2"/>
  <c r="P127" i="2"/>
  <c r="P137" i="2" s="1"/>
  <c r="N127" i="2"/>
  <c r="K197" i="2"/>
  <c r="K403" i="8" s="1"/>
  <c r="P142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X78" i="2" s="1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O205" i="2"/>
  <c r="S12" i="2"/>
  <c r="AA12" i="2"/>
  <c r="M12" i="2"/>
  <c r="M22" i="2" s="1"/>
  <c r="Y12" i="2"/>
  <c r="K12" i="2"/>
  <c r="K22" i="2" s="1"/>
  <c r="AB12" i="2"/>
  <c r="AB22" i="2" s="1"/>
  <c r="AA68" i="2"/>
  <c r="Z75" i="2"/>
  <c r="L75" i="2"/>
  <c r="X75" i="2"/>
  <c r="X85" i="2" s="1"/>
  <c r="X95" i="2" s="1"/>
  <c r="T75" i="2"/>
  <c r="S75" i="2"/>
  <c r="AD75" i="2"/>
  <c r="N75" i="2"/>
  <c r="N85" i="2" s="1"/>
  <c r="AB75" i="2"/>
  <c r="AB85" i="2" s="1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AB143" i="2" s="1"/>
  <c r="AB153" i="2" s="1"/>
  <c r="V133" i="2"/>
  <c r="T133" i="2"/>
  <c r="P133" i="2"/>
  <c r="AE133" i="2"/>
  <c r="O133" i="2"/>
  <c r="O159" i="2"/>
  <c r="L183" i="2"/>
  <c r="U128" i="2"/>
  <c r="S128" i="2"/>
  <c r="S138" i="2" s="1"/>
  <c r="Y128" i="2"/>
  <c r="P139" i="2"/>
  <c r="U472" i="2"/>
  <c r="R472" i="2"/>
  <c r="Q472" i="2"/>
  <c r="AE472" i="2"/>
  <c r="P472" i="2"/>
  <c r="AD472" i="2"/>
  <c r="O472" i="2"/>
  <c r="Z472" i="2"/>
  <c r="K472" i="2"/>
  <c r="K482" i="2" s="1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AC23" i="2" s="1"/>
  <c r="W15" i="2"/>
  <c r="M128" i="2"/>
  <c r="AC128" i="2"/>
  <c r="K8" i="2"/>
  <c r="K18" i="2" s="1"/>
  <c r="Q13" i="2"/>
  <c r="AE13" i="2"/>
  <c r="K15" i="2"/>
  <c r="K25" i="2" s="1"/>
  <c r="R37" i="2"/>
  <c r="X41" i="2"/>
  <c r="AB72" i="2"/>
  <c r="AB82" i="2" s="1"/>
  <c r="N72" i="2"/>
  <c r="N82" i="2" s="1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AD200" i="2" s="1"/>
  <c r="AD210" i="2" s="1"/>
  <c r="P190" i="2"/>
  <c r="P200" i="2" s="1"/>
  <c r="AB190" i="2"/>
  <c r="N190" i="2"/>
  <c r="AE190" i="2"/>
  <c r="AE200" i="2" s="1"/>
  <c r="Z190" i="2"/>
  <c r="Z200" i="2" s="1"/>
  <c r="X190" i="2"/>
  <c r="W190" i="2"/>
  <c r="T190" i="2"/>
  <c r="M190" i="2"/>
  <c r="M200" i="2" s="1"/>
  <c r="AD192" i="2"/>
  <c r="P192" i="2"/>
  <c r="P202" i="2" s="1"/>
  <c r="AC192" i="2"/>
  <c r="O192" i="2"/>
  <c r="O202" i="2" s="1"/>
  <c r="AA192" i="2"/>
  <c r="AA202" i="2" s="1"/>
  <c r="M192" i="2"/>
  <c r="M202" i="2" s="1"/>
  <c r="X192" i="2"/>
  <c r="V192" i="2"/>
  <c r="U192" i="2"/>
  <c r="R192" i="2"/>
  <c r="R202" i="2" s="1"/>
  <c r="N192" i="2"/>
  <c r="L192" i="2"/>
  <c r="L202" i="2" s="1"/>
  <c r="K192" i="2"/>
  <c r="K202" i="2" s="1"/>
  <c r="Z192" i="2"/>
  <c r="Z202" i="2" s="1"/>
  <c r="AB195" i="2"/>
  <c r="AB205" i="2" s="1"/>
  <c r="N195" i="2"/>
  <c r="AA195" i="2"/>
  <c r="AA205" i="2" s="1"/>
  <c r="M195" i="2"/>
  <c r="M205" i="2" s="1"/>
  <c r="Y195" i="2"/>
  <c r="Y205" i="2" s="1"/>
  <c r="K195" i="2"/>
  <c r="K205" i="2" s="1"/>
  <c r="V195" i="2"/>
  <c r="T195" i="2"/>
  <c r="AC195" i="2"/>
  <c r="X195" i="2"/>
  <c r="W195" i="2"/>
  <c r="U195" i="2"/>
  <c r="P195" i="2"/>
  <c r="P205" i="2" s="1"/>
  <c r="W71" i="2"/>
  <c r="W81" i="2" s="1"/>
  <c r="W91" i="2" s="1"/>
  <c r="O72" i="2"/>
  <c r="O82" i="2" s="1"/>
  <c r="AD72" i="2"/>
  <c r="AD82" i="2" s="1"/>
  <c r="S97" i="2"/>
  <c r="S81" i="2" s="1"/>
  <c r="AE97" i="2"/>
  <c r="AE81" i="2" s="1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K82" i="2" s="1"/>
  <c r="AA97" i="2"/>
  <c r="AA85" i="2" s="1"/>
  <c r="K99" i="2"/>
  <c r="AB99" i="2"/>
  <c r="W128" i="2"/>
  <c r="AD139" i="2"/>
  <c r="P135" i="2"/>
  <c r="W157" i="2"/>
  <c r="K190" i="2"/>
  <c r="K200" i="2" s="1"/>
  <c r="Q192" i="2"/>
  <c r="L195" i="2"/>
  <c r="L205" i="2" s="1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Z197" i="2"/>
  <c r="S189" i="2"/>
  <c r="AE201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AE197" i="2"/>
  <c r="W189" i="2"/>
  <c r="W199" i="2" s="1"/>
  <c r="T193" i="2"/>
  <c r="S193" i="2"/>
  <c r="AE193" i="2"/>
  <c r="AE203" i="2" s="1"/>
  <c r="Q193" i="2"/>
  <c r="AB193" i="2"/>
  <c r="N193" i="2"/>
  <c r="Z193" i="2"/>
  <c r="Z203" i="2" s="1"/>
  <c r="L193" i="2"/>
  <c r="L203" i="2" s="1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L197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AA198" i="2" s="1"/>
  <c r="M188" i="2"/>
  <c r="M198" i="2" s="1"/>
  <c r="Y188" i="2"/>
  <c r="K188" i="2"/>
  <c r="K198" i="2" s="1"/>
  <c r="V188" i="2"/>
  <c r="T188" i="2"/>
  <c r="AE188" i="2"/>
  <c r="AE198" i="2" s="1"/>
  <c r="K193" i="2"/>
  <c r="K203" i="2" s="1"/>
  <c r="N437" i="2"/>
  <c r="R189" i="2"/>
  <c r="R199" i="2" s="1"/>
  <c r="AE189" i="2"/>
  <c r="AE199" i="2" s="1"/>
  <c r="Q189" i="2"/>
  <c r="AC189" i="2"/>
  <c r="O189" i="2"/>
  <c r="Z189" i="2"/>
  <c r="Z199" i="2" s="1"/>
  <c r="L189" i="2"/>
  <c r="L199" i="2" s="1"/>
  <c r="X189" i="2"/>
  <c r="AD189" i="2"/>
  <c r="L462" i="2"/>
  <c r="M189" i="2"/>
  <c r="M199" i="2" s="1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P197" i="2" s="1"/>
  <c r="AD187" i="2"/>
  <c r="AD197" i="2" s="1"/>
  <c r="R191" i="2"/>
  <c r="R201" i="2" s="1"/>
  <c r="P194" i="2"/>
  <c r="P204" i="2" s="1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R197" i="2" s="1"/>
  <c r="T191" i="2"/>
  <c r="R194" i="2"/>
  <c r="R204" i="2" s="1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W197" i="2" s="1"/>
  <c r="K191" i="2"/>
  <c r="K201" i="2" s="1"/>
  <c r="Y191" i="2"/>
  <c r="W194" i="2"/>
  <c r="W204" i="2" s="1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01" i="2" s="1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K476" i="2" s="1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K424" i="2" s="1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K481" i="2" s="1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K483" i="2" s="1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K209" i="2" l="1"/>
  <c r="Y80" i="2"/>
  <c r="Y90" i="2" s="1"/>
  <c r="N736" i="2"/>
  <c r="O330" i="2"/>
  <c r="O352" i="2" s="1"/>
  <c r="F301" i="2"/>
  <c r="L77" i="2"/>
  <c r="L87" i="2" s="1"/>
  <c r="AB18" i="2"/>
  <c r="T204" i="2"/>
  <c r="T431" i="8" s="1"/>
  <c r="T432" i="8" s="1"/>
  <c r="Y85" i="2"/>
  <c r="Y363" i="8" s="1"/>
  <c r="Y364" i="8" s="1"/>
  <c r="AB197" i="2"/>
  <c r="R81" i="2"/>
  <c r="R91" i="2" s="1"/>
  <c r="V29" i="2"/>
  <c r="L84" i="2"/>
  <c r="L94" i="2" s="1"/>
  <c r="M121" i="2" s="1"/>
  <c r="L17" i="2"/>
  <c r="L27" i="2" s="1"/>
  <c r="Y79" i="2"/>
  <c r="Y89" i="2" s="1"/>
  <c r="AE204" i="2"/>
  <c r="AE214" i="2" s="1"/>
  <c r="U78" i="2"/>
  <c r="V30" i="2"/>
  <c r="T78" i="2"/>
  <c r="O736" i="2"/>
  <c r="H330" i="2"/>
  <c r="L80" i="2"/>
  <c r="L343" i="8" s="1"/>
  <c r="L344" i="8" s="1"/>
  <c r="L23" i="2"/>
  <c r="L319" i="8" s="1"/>
  <c r="L320" i="8" s="1"/>
  <c r="W299" i="2"/>
  <c r="W660" i="8" s="1"/>
  <c r="W661" i="8" s="1"/>
  <c r="T83" i="2"/>
  <c r="T355" i="8" s="1"/>
  <c r="T356" i="8" s="1"/>
  <c r="L299" i="2"/>
  <c r="L660" i="8" s="1"/>
  <c r="L661" i="8" s="1"/>
  <c r="Y78" i="2"/>
  <c r="T77" i="2"/>
  <c r="T87" i="2" s="1"/>
  <c r="U95" i="2"/>
  <c r="AA299" i="2"/>
  <c r="AA660" i="8" s="1"/>
  <c r="AA661" i="8" s="1"/>
  <c r="Q143" i="2"/>
  <c r="Q391" i="8" s="1"/>
  <c r="Q392" i="8" s="1"/>
  <c r="L82" i="2"/>
  <c r="L351" i="8" s="1"/>
  <c r="L352" i="8" s="1"/>
  <c r="K33" i="2"/>
  <c r="Y81" i="2"/>
  <c r="L78" i="2"/>
  <c r="V140" i="2"/>
  <c r="T84" i="2"/>
  <c r="N348" i="2"/>
  <c r="N349" i="2" s="1"/>
  <c r="N824" i="8" s="1"/>
  <c r="N825" i="8" s="1"/>
  <c r="L24" i="2"/>
  <c r="L34" i="2" s="1"/>
  <c r="O93" i="2"/>
  <c r="O17" i="2"/>
  <c r="Y83" i="2"/>
  <c r="Y82" i="2"/>
  <c r="T81" i="2"/>
  <c r="AB201" i="2"/>
  <c r="AB211" i="2" s="1"/>
  <c r="Q668" i="2"/>
  <c r="V85" i="2"/>
  <c r="V27" i="2"/>
  <c r="T85" i="2"/>
  <c r="T363" i="8" s="1"/>
  <c r="T364" i="8" s="1"/>
  <c r="O88" i="2"/>
  <c r="T82" i="2"/>
  <c r="T92" i="2" s="1"/>
  <c r="T80" i="2"/>
  <c r="T90" i="2" s="1"/>
  <c r="L83" i="2"/>
  <c r="L355" i="8" s="1"/>
  <c r="L356" i="8" s="1"/>
  <c r="X299" i="2"/>
  <c r="X660" i="8" s="1"/>
  <c r="X661" i="8" s="1"/>
  <c r="P203" i="2"/>
  <c r="P427" i="8" s="1"/>
  <c r="P428" i="8" s="1"/>
  <c r="Y77" i="2"/>
  <c r="Y87" i="2" s="1"/>
  <c r="L85" i="2"/>
  <c r="L81" i="2"/>
  <c r="L347" i="8" s="1"/>
  <c r="L348" i="8" s="1"/>
  <c r="P736" i="2"/>
  <c r="O332" i="2"/>
  <c r="O354" i="2" s="1"/>
  <c r="Q357" i="2"/>
  <c r="F300" i="2"/>
  <c r="Y300" i="2" s="1"/>
  <c r="Y664" i="8" s="1"/>
  <c r="Y665" i="8" s="1"/>
  <c r="S149" i="2"/>
  <c r="S375" i="8"/>
  <c r="S376" i="8" s="1"/>
  <c r="AB148" i="2"/>
  <c r="AB371" i="8"/>
  <c r="AB372" i="8" s="1"/>
  <c r="AB137" i="2"/>
  <c r="AB147" i="2" s="1"/>
  <c r="O79" i="2"/>
  <c r="O89" i="2" s="1"/>
  <c r="R77" i="2"/>
  <c r="L20" i="2"/>
  <c r="AB139" i="2"/>
  <c r="AA18" i="2"/>
  <c r="AA299" i="8" s="1"/>
  <c r="AA300" i="8" s="1"/>
  <c r="AD145" i="2"/>
  <c r="AD399" i="8" s="1"/>
  <c r="AD400" i="8" s="1"/>
  <c r="L204" i="2"/>
  <c r="L431" i="8" s="1"/>
  <c r="L432" i="8" s="1"/>
  <c r="V299" i="2"/>
  <c r="V660" i="8" s="1"/>
  <c r="V661" i="8" s="1"/>
  <c r="O85" i="2"/>
  <c r="O363" i="8" s="1"/>
  <c r="O364" i="8" s="1"/>
  <c r="K604" i="2"/>
  <c r="R82" i="2"/>
  <c r="K48" i="10"/>
  <c r="Y48" i="10"/>
  <c r="Y138" i="5" s="1"/>
  <c r="X48" i="10"/>
  <c r="X138" i="5" s="1"/>
  <c r="Z48" i="10"/>
  <c r="Z138" i="5" s="1"/>
  <c r="L48" i="10"/>
  <c r="L138" i="5" s="1"/>
  <c r="AA48" i="10"/>
  <c r="M48" i="10"/>
  <c r="AB48" i="10"/>
  <c r="AB138" i="5" s="1"/>
  <c r="N48" i="10"/>
  <c r="N138" i="5" s="1"/>
  <c r="AC48" i="10"/>
  <c r="O48" i="10"/>
  <c r="AD48" i="10"/>
  <c r="P48" i="10"/>
  <c r="AE48" i="10"/>
  <c r="T48" i="10"/>
  <c r="T138" i="5" s="1"/>
  <c r="Q48" i="10"/>
  <c r="AF48" i="10"/>
  <c r="R48" i="10"/>
  <c r="R138" i="5" s="1"/>
  <c r="AG48" i="10"/>
  <c r="S48" i="10"/>
  <c r="S138" i="5" s="1"/>
  <c r="AH48" i="10"/>
  <c r="AI48" i="10"/>
  <c r="U48" i="10"/>
  <c r="U138" i="5" s="1"/>
  <c r="V48" i="10"/>
  <c r="W48" i="10"/>
  <c r="O355" i="8"/>
  <c r="O356" i="8" s="1"/>
  <c r="AB203" i="2"/>
  <c r="AA215" i="2"/>
  <c r="K35" i="2"/>
  <c r="R79" i="2"/>
  <c r="R89" i="2" s="1"/>
  <c r="L19" i="2"/>
  <c r="L29" i="2" s="1"/>
  <c r="AB142" i="2"/>
  <c r="N142" i="2"/>
  <c r="AD92" i="2"/>
  <c r="X137" i="2"/>
  <c r="X147" i="2" s="1"/>
  <c r="AD20" i="2"/>
  <c r="S20" i="2"/>
  <c r="S30" i="2" s="1"/>
  <c r="M197" i="2"/>
  <c r="M403" i="8" s="1"/>
  <c r="M404" i="8" s="1"/>
  <c r="U79" i="2"/>
  <c r="U339" i="8" s="1"/>
  <c r="U340" i="8" s="1"/>
  <c r="O95" i="2"/>
  <c r="N306" i="2"/>
  <c r="N688" i="8" s="1"/>
  <c r="N689" i="8" s="1"/>
  <c r="T42" i="10"/>
  <c r="AH42" i="10"/>
  <c r="U42" i="10"/>
  <c r="U126" i="5" s="1"/>
  <c r="AI42" i="10"/>
  <c r="V42" i="10"/>
  <c r="W42" i="10"/>
  <c r="X42" i="10"/>
  <c r="K42" i="10"/>
  <c r="Y42" i="10"/>
  <c r="L42" i="10"/>
  <c r="Z42" i="10"/>
  <c r="M42" i="10"/>
  <c r="AA42" i="10"/>
  <c r="N42" i="10"/>
  <c r="AB42" i="10"/>
  <c r="AB126" i="5" s="1"/>
  <c r="O42" i="10"/>
  <c r="O126" i="5" s="1"/>
  <c r="AC42" i="10"/>
  <c r="AC126" i="5" s="1"/>
  <c r="Q42" i="10"/>
  <c r="AE42" i="10"/>
  <c r="AG42" i="10"/>
  <c r="R42" i="10"/>
  <c r="P42" i="10"/>
  <c r="S42" i="10"/>
  <c r="AD42" i="10"/>
  <c r="AF42" i="10"/>
  <c r="T306" i="2"/>
  <c r="T688" i="8" s="1"/>
  <c r="T689" i="8" s="1"/>
  <c r="AD27" i="2"/>
  <c r="Q201" i="2"/>
  <c r="Q419" i="8" s="1"/>
  <c r="Q420" i="8" s="1"/>
  <c r="N144" i="2"/>
  <c r="N395" i="8" s="1"/>
  <c r="N396" i="8" s="1"/>
  <c r="S153" i="2"/>
  <c r="X143" i="2"/>
  <c r="X391" i="8" s="1"/>
  <c r="X392" i="8" s="1"/>
  <c r="AE25" i="2"/>
  <c r="R80" i="2"/>
  <c r="R90" i="2" s="1"/>
  <c r="U84" i="2"/>
  <c r="R83" i="2"/>
  <c r="R93" i="2" s="1"/>
  <c r="AE205" i="2"/>
  <c r="Y197" i="2"/>
  <c r="Y207" i="2" s="1"/>
  <c r="Q139" i="2"/>
  <c r="Q375" i="8" s="1"/>
  <c r="Q376" i="8" s="1"/>
  <c r="M624" i="8"/>
  <c r="M625" i="8" s="1"/>
  <c r="L306" i="2"/>
  <c r="L688" i="8" s="1"/>
  <c r="L689" i="8" s="1"/>
  <c r="M25" i="2"/>
  <c r="S152" i="2"/>
  <c r="N756" i="8"/>
  <c r="N757" i="8" s="1"/>
  <c r="N352" i="2"/>
  <c r="N828" i="8" s="1"/>
  <c r="N829" i="8" s="1"/>
  <c r="N143" i="2"/>
  <c r="N391" i="8" s="1"/>
  <c r="N392" i="8" s="1"/>
  <c r="N140" i="2"/>
  <c r="O81" i="2"/>
  <c r="O347" i="8" s="1"/>
  <c r="O348" i="8" s="1"/>
  <c r="X82" i="2"/>
  <c r="O23" i="2"/>
  <c r="N88" i="2"/>
  <c r="AB141" i="2"/>
  <c r="Z19" i="2"/>
  <c r="X84" i="2"/>
  <c r="X94" i="2" s="1"/>
  <c r="U81" i="2"/>
  <c r="X25" i="2"/>
  <c r="X35" i="2" s="1"/>
  <c r="AA201" i="2"/>
  <c r="AA419" i="8" s="1"/>
  <c r="AA420" i="8" s="1"/>
  <c r="O755" i="2"/>
  <c r="O1240" i="8" s="1"/>
  <c r="O1241" i="8" s="1"/>
  <c r="L280" i="2"/>
  <c r="Q43" i="10"/>
  <c r="Q127" i="5" s="1"/>
  <c r="AE43" i="10"/>
  <c r="R43" i="10"/>
  <c r="AF43" i="10"/>
  <c r="S43" i="10"/>
  <c r="AG43" i="10"/>
  <c r="T43" i="10"/>
  <c r="AH43" i="10"/>
  <c r="U43" i="10"/>
  <c r="AI43" i="10"/>
  <c r="V43" i="10"/>
  <c r="V127" i="5" s="1"/>
  <c r="W43" i="10"/>
  <c r="W127" i="5" s="1"/>
  <c r="AA43" i="10"/>
  <c r="AA127" i="5" s="1"/>
  <c r="X43" i="10"/>
  <c r="K43" i="10"/>
  <c r="Y43" i="10"/>
  <c r="Y127" i="5" s="1"/>
  <c r="L43" i="10"/>
  <c r="L127" i="5" s="1"/>
  <c r="Z43" i="10"/>
  <c r="Z127" i="5" s="1"/>
  <c r="M43" i="10"/>
  <c r="N43" i="10"/>
  <c r="AB43" i="10"/>
  <c r="AC43" i="10"/>
  <c r="AD43" i="10"/>
  <c r="O43" i="10"/>
  <c r="P43" i="10"/>
  <c r="P127" i="5" s="1"/>
  <c r="O90" i="2"/>
  <c r="R85" i="2"/>
  <c r="R95" i="2" s="1"/>
  <c r="X140" i="2"/>
  <c r="X150" i="2" s="1"/>
  <c r="U77" i="2"/>
  <c r="U87" i="2" s="1"/>
  <c r="O20" i="2"/>
  <c r="O307" i="8" s="1"/>
  <c r="O308" i="8" s="1"/>
  <c r="T202" i="2"/>
  <c r="T423" i="8" s="1"/>
  <c r="T424" i="8" s="1"/>
  <c r="W95" i="2"/>
  <c r="Y95" i="2"/>
  <c r="T45" i="10"/>
  <c r="T135" i="5" s="1"/>
  <c r="Y45" i="10"/>
  <c r="K45" i="10"/>
  <c r="Z45" i="10"/>
  <c r="Z135" i="5" s="1"/>
  <c r="L45" i="10"/>
  <c r="L135" i="5" s="1"/>
  <c r="AA45" i="10"/>
  <c r="AA135" i="5" s="1"/>
  <c r="M45" i="10"/>
  <c r="M135" i="5" s="1"/>
  <c r="AB45" i="10"/>
  <c r="AB135" i="5" s="1"/>
  <c r="N45" i="10"/>
  <c r="AC45" i="10"/>
  <c r="AC135" i="5" s="1"/>
  <c r="O45" i="10"/>
  <c r="AD45" i="10"/>
  <c r="P45" i="10"/>
  <c r="AE45" i="10"/>
  <c r="U45" i="10"/>
  <c r="U135" i="5" s="1"/>
  <c r="Q45" i="10"/>
  <c r="Q135" i="5" s="1"/>
  <c r="AF45" i="10"/>
  <c r="R45" i="10"/>
  <c r="R135" i="5" s="1"/>
  <c r="AG45" i="10"/>
  <c r="S45" i="10"/>
  <c r="S135" i="5" s="1"/>
  <c r="AH45" i="10"/>
  <c r="V45" i="10"/>
  <c r="V135" i="5" s="1"/>
  <c r="AI45" i="10"/>
  <c r="W45" i="10"/>
  <c r="X45" i="10"/>
  <c r="N137" i="2"/>
  <c r="AB200" i="2"/>
  <c r="S22" i="2"/>
  <c r="Z17" i="2"/>
  <c r="X83" i="2"/>
  <c r="X93" i="2" s="1"/>
  <c r="L25" i="2"/>
  <c r="L35" i="2" s="1"/>
  <c r="U299" i="2"/>
  <c r="U660" i="8" s="1"/>
  <c r="U661" i="8" s="1"/>
  <c r="T139" i="5"/>
  <c r="T648" i="2" s="1"/>
  <c r="AD135" i="5"/>
  <c r="P135" i="5"/>
  <c r="V134" i="5"/>
  <c r="S139" i="5"/>
  <c r="S648" i="2" s="1"/>
  <c r="O135" i="5"/>
  <c r="AE139" i="5"/>
  <c r="AE648" i="2" s="1"/>
  <c r="Q139" i="5"/>
  <c r="Q648" i="2" s="1"/>
  <c r="W138" i="5"/>
  <c r="N139" i="5"/>
  <c r="N648" i="2" s="1"/>
  <c r="N753" i="2" s="1"/>
  <c r="N1232" i="8" s="1"/>
  <c r="N1233" i="8" s="1"/>
  <c r="Q138" i="5"/>
  <c r="W135" i="5"/>
  <c r="R127" i="5"/>
  <c r="X126" i="5"/>
  <c r="AD139" i="5"/>
  <c r="AD648" i="2" s="1"/>
  <c r="M139" i="5"/>
  <c r="M648" i="2" s="1"/>
  <c r="M757" i="2" s="1"/>
  <c r="M1248" i="8" s="1"/>
  <c r="M1249" i="8" s="1"/>
  <c r="P138" i="5"/>
  <c r="AB139" i="5"/>
  <c r="AB648" i="2" s="1"/>
  <c r="AE138" i="5"/>
  <c r="AA139" i="5"/>
  <c r="AA648" i="2" s="1"/>
  <c r="Z139" i="5"/>
  <c r="Z648" i="2" s="1"/>
  <c r="AC138" i="5"/>
  <c r="Y139" i="5"/>
  <c r="Y648" i="2" s="1"/>
  <c r="AD138" i="5"/>
  <c r="AE134" i="5"/>
  <c r="X127" i="5"/>
  <c r="N126" i="5"/>
  <c r="AA138" i="5"/>
  <c r="M126" i="5"/>
  <c r="AA126" i="5"/>
  <c r="V138" i="5"/>
  <c r="U127" i="5"/>
  <c r="N137" i="5"/>
  <c r="N650" i="2" s="1"/>
  <c r="AE135" i="5"/>
  <c r="T127" i="5"/>
  <c r="AC139" i="5"/>
  <c r="AC648" i="2" s="1"/>
  <c r="X134" i="5"/>
  <c r="S127" i="5"/>
  <c r="R139" i="5"/>
  <c r="R648" i="2" s="1"/>
  <c r="M127" i="5"/>
  <c r="E21" i="9"/>
  <c r="X139" i="5"/>
  <c r="X648" i="2" s="1"/>
  <c r="V126" i="5"/>
  <c r="R126" i="5"/>
  <c r="W139" i="5"/>
  <c r="W648" i="2" s="1"/>
  <c r="Y135" i="5"/>
  <c r="AC127" i="5"/>
  <c r="V139" i="5"/>
  <c r="V648" i="2" s="1"/>
  <c r="O138" i="5"/>
  <c r="X135" i="5"/>
  <c r="AE127" i="5"/>
  <c r="O127" i="5"/>
  <c r="T126" i="5"/>
  <c r="M138" i="5"/>
  <c r="U139" i="5"/>
  <c r="U648" i="2" s="1"/>
  <c r="AD127" i="5"/>
  <c r="N127" i="5"/>
  <c r="S126" i="5"/>
  <c r="P139" i="5"/>
  <c r="P648" i="2" s="1"/>
  <c r="P758" i="2" s="1"/>
  <c r="P1252" i="8" s="1"/>
  <c r="P1253" i="8" s="1"/>
  <c r="AB127" i="5"/>
  <c r="Q126" i="5"/>
  <c r="O139" i="5"/>
  <c r="O648" i="2" s="1"/>
  <c r="O758" i="2" s="1"/>
  <c r="O1252" i="8" s="1"/>
  <c r="O1253" i="8" s="1"/>
  <c r="N135" i="5"/>
  <c r="AE126" i="5"/>
  <c r="L139" i="5"/>
  <c r="L648" i="2" s="1"/>
  <c r="L752" i="2" s="1"/>
  <c r="L1228" i="8" s="1"/>
  <c r="L1229" i="8" s="1"/>
  <c r="AD126" i="5"/>
  <c r="W339" i="8"/>
  <c r="W340" i="8" s="1"/>
  <c r="O77" i="2"/>
  <c r="O87" i="2" s="1"/>
  <c r="AD18" i="2"/>
  <c r="AD28" i="2" s="1"/>
  <c r="Q204" i="2"/>
  <c r="Q431" i="8" s="1"/>
  <c r="Q432" i="8" s="1"/>
  <c r="X197" i="2"/>
  <c r="Z18" i="2"/>
  <c r="AB202" i="2"/>
  <c r="W21" i="2"/>
  <c r="L22" i="2"/>
  <c r="L315" i="8" s="1"/>
  <c r="L316" i="8" s="1"/>
  <c r="P199" i="2"/>
  <c r="P411" i="8" s="1"/>
  <c r="P412" i="8" s="1"/>
  <c r="K204" i="2"/>
  <c r="K431" i="8" s="1"/>
  <c r="L283" i="2"/>
  <c r="M751" i="2"/>
  <c r="M376" i="2"/>
  <c r="M908" i="8" s="1"/>
  <c r="M909" i="8" s="1"/>
  <c r="AC197" i="2"/>
  <c r="AC300" i="2"/>
  <c r="AC664" i="8" s="1"/>
  <c r="AC665" i="8" s="1"/>
  <c r="N44" i="10"/>
  <c r="N134" i="5" s="1"/>
  <c r="AB44" i="10"/>
  <c r="AB134" i="5" s="1"/>
  <c r="O44" i="10"/>
  <c r="O134" i="5" s="1"/>
  <c r="AC44" i="10"/>
  <c r="AC134" i="5" s="1"/>
  <c r="P44" i="10"/>
  <c r="P134" i="5" s="1"/>
  <c r="AD44" i="10"/>
  <c r="AD134" i="5" s="1"/>
  <c r="Q44" i="10"/>
  <c r="Q134" i="5" s="1"/>
  <c r="AE44" i="10"/>
  <c r="R44" i="10"/>
  <c r="R134" i="5" s="1"/>
  <c r="AF44" i="10"/>
  <c r="S44" i="10"/>
  <c r="S134" i="5" s="1"/>
  <c r="AG44" i="10"/>
  <c r="T44" i="10"/>
  <c r="T134" i="5" s="1"/>
  <c r="AH44" i="10"/>
  <c r="X44" i="10"/>
  <c r="U44" i="10"/>
  <c r="U134" i="5" s="1"/>
  <c r="AI44" i="10"/>
  <c r="V44" i="10"/>
  <c r="W44" i="10"/>
  <c r="W134" i="5" s="1"/>
  <c r="K44" i="10"/>
  <c r="Y44" i="10"/>
  <c r="Y134" i="5" s="1"/>
  <c r="L44" i="10"/>
  <c r="L134" i="5" s="1"/>
  <c r="M44" i="10"/>
  <c r="M134" i="5" s="1"/>
  <c r="Z44" i="10"/>
  <c r="Z134" i="5" s="1"/>
  <c r="AA44" i="10"/>
  <c r="AA134" i="5" s="1"/>
  <c r="S148" i="2"/>
  <c r="AB198" i="2"/>
  <c r="AA137" i="2"/>
  <c r="R78" i="2"/>
  <c r="O24" i="2"/>
  <c r="O323" i="8" s="1"/>
  <c r="O324" i="8" s="1"/>
  <c r="S154" i="2"/>
  <c r="K601" i="2"/>
  <c r="Q84" i="2"/>
  <c r="X79" i="2"/>
  <c r="X89" i="2" s="1"/>
  <c r="U80" i="2"/>
  <c r="U90" i="2" s="1"/>
  <c r="AB144" i="2"/>
  <c r="AB395" i="8" s="1"/>
  <c r="AB396" i="8" s="1"/>
  <c r="Z20" i="2"/>
  <c r="X142" i="2"/>
  <c r="AE202" i="2"/>
  <c r="AE212" i="2" s="1"/>
  <c r="AD25" i="2"/>
  <c r="Z198" i="2"/>
  <c r="Z407" i="8" s="1"/>
  <c r="Z408" i="8" s="1"/>
  <c r="M784" i="8"/>
  <c r="M785" i="8" s="1"/>
  <c r="O18" i="2"/>
  <c r="Q46" i="10"/>
  <c r="Q47" i="10" s="1"/>
  <c r="Q137" i="5" s="1"/>
  <c r="Q650" i="2" s="1"/>
  <c r="AE46" i="10"/>
  <c r="T46" i="10"/>
  <c r="AI46" i="10"/>
  <c r="AI47" i="10" s="1"/>
  <c r="U46" i="10"/>
  <c r="V46" i="10"/>
  <c r="V47" i="10" s="1"/>
  <c r="V137" i="5" s="1"/>
  <c r="V650" i="2" s="1"/>
  <c r="W46" i="10"/>
  <c r="W136" i="5" s="1"/>
  <c r="X46" i="10"/>
  <c r="X47" i="10" s="1"/>
  <c r="X137" i="5" s="1"/>
  <c r="X650" i="2" s="1"/>
  <c r="Y46" i="10"/>
  <c r="Y47" i="10" s="1"/>
  <c r="Y137" i="5" s="1"/>
  <c r="Y650" i="2" s="1"/>
  <c r="K46" i="10"/>
  <c r="Z46" i="10"/>
  <c r="O46" i="10"/>
  <c r="L46" i="10"/>
  <c r="L47" i="10" s="1"/>
  <c r="L137" i="5" s="1"/>
  <c r="L650" i="2" s="1"/>
  <c r="AA46" i="10"/>
  <c r="M46" i="10"/>
  <c r="M47" i="10" s="1"/>
  <c r="M137" i="5" s="1"/>
  <c r="M650" i="2" s="1"/>
  <c r="AB46" i="10"/>
  <c r="N46" i="10"/>
  <c r="N47" i="10" s="1"/>
  <c r="AC46" i="10"/>
  <c r="AD46" i="10"/>
  <c r="P46" i="10"/>
  <c r="P136" i="5" s="1"/>
  <c r="AF46" i="10"/>
  <c r="AG46" i="10"/>
  <c r="R46" i="10"/>
  <c r="R47" i="10" s="1"/>
  <c r="R137" i="5" s="1"/>
  <c r="R650" i="2" s="1"/>
  <c r="S46" i="10"/>
  <c r="S47" i="10" s="1"/>
  <c r="S137" i="5" s="1"/>
  <c r="S650" i="2" s="1"/>
  <c r="AH46" i="10"/>
  <c r="V32" i="2"/>
  <c r="V315" i="8"/>
  <c r="V316" i="8" s="1"/>
  <c r="O612" i="8"/>
  <c r="O613" i="8" s="1"/>
  <c r="P280" i="2"/>
  <c r="P334" i="2" s="1"/>
  <c r="P356" i="2" s="1"/>
  <c r="F304" i="2"/>
  <c r="M397" i="2" s="1"/>
  <c r="M968" i="8" s="1"/>
  <c r="M969" i="8" s="1"/>
  <c r="F303" i="2"/>
  <c r="F305" i="2"/>
  <c r="R305" i="2" s="1"/>
  <c r="R684" i="8" s="1"/>
  <c r="R685" i="8" s="1"/>
  <c r="L604" i="8"/>
  <c r="L605" i="8" s="1"/>
  <c r="L343" i="2"/>
  <c r="AC202" i="2"/>
  <c r="AC212" i="2" s="1"/>
  <c r="U200" i="2"/>
  <c r="U415" i="8" s="1"/>
  <c r="U416" i="8" s="1"/>
  <c r="V144" i="2"/>
  <c r="M94" i="2"/>
  <c r="Y203" i="2"/>
  <c r="Y213" i="2" s="1"/>
  <c r="M730" i="2"/>
  <c r="M752" i="2" s="1"/>
  <c r="AC306" i="2"/>
  <c r="AC688" i="8" s="1"/>
  <c r="AC689" i="8" s="1"/>
  <c r="T351" i="2"/>
  <c r="T309" i="2"/>
  <c r="AC145" i="2"/>
  <c r="AC155" i="2" s="1"/>
  <c r="O331" i="2"/>
  <c r="M18" i="2"/>
  <c r="V197" i="2"/>
  <c r="S304" i="2"/>
  <c r="S680" i="8" s="1"/>
  <c r="S681" i="8" s="1"/>
  <c r="AC588" i="8"/>
  <c r="AC589" i="8" s="1"/>
  <c r="AB33" i="9"/>
  <c r="AA33" i="9"/>
  <c r="Q670" i="2"/>
  <c r="R670" i="2"/>
  <c r="N19" i="2"/>
  <c r="N29" i="2" s="1"/>
  <c r="O203" i="2"/>
  <c r="K480" i="2"/>
  <c r="AD85" i="2"/>
  <c r="K484" i="2"/>
  <c r="P22" i="2"/>
  <c r="M19" i="2"/>
  <c r="M29" i="2" s="1"/>
  <c r="V84" i="2"/>
  <c r="V94" i="2" s="1"/>
  <c r="X347" i="8"/>
  <c r="X348" i="8" s="1"/>
  <c r="AE431" i="8"/>
  <c r="AE432" i="8" s="1"/>
  <c r="V83" i="2"/>
  <c r="V93" i="2" s="1"/>
  <c r="AE21" i="2"/>
  <c r="AE31" i="2" s="1"/>
  <c r="R306" i="2"/>
  <c r="R688" i="8" s="1"/>
  <c r="R689" i="8" s="1"/>
  <c r="P675" i="2"/>
  <c r="H331" i="2"/>
  <c r="O345" i="2"/>
  <c r="O808" i="8" s="1"/>
  <c r="O809" i="8" s="1"/>
  <c r="U306" i="2"/>
  <c r="U688" i="8" s="1"/>
  <c r="U689" i="8" s="1"/>
  <c r="X306" i="2"/>
  <c r="X688" i="8" s="1"/>
  <c r="X689" i="8" s="1"/>
  <c r="AA306" i="2"/>
  <c r="AA688" i="8" s="1"/>
  <c r="AA689" i="8" s="1"/>
  <c r="S201" i="2"/>
  <c r="S419" i="8" s="1"/>
  <c r="S420" i="8" s="1"/>
  <c r="V79" i="2"/>
  <c r="V89" i="2" s="1"/>
  <c r="N24" i="2"/>
  <c r="N34" i="2" s="1"/>
  <c r="M355" i="8"/>
  <c r="M356" i="8" s="1"/>
  <c r="O331" i="8"/>
  <c r="O332" i="8" s="1"/>
  <c r="AD83" i="2"/>
  <c r="AD93" i="2" s="1"/>
  <c r="L33" i="2"/>
  <c r="Z21" i="2"/>
  <c r="M348" i="2"/>
  <c r="O729" i="2"/>
  <c r="AD202" i="2"/>
  <c r="AD212" i="2" s="1"/>
  <c r="M90" i="2"/>
  <c r="Y198" i="2"/>
  <c r="Y208" i="2" s="1"/>
  <c r="AC203" i="2"/>
  <c r="AC427" i="8" s="1"/>
  <c r="AC428" i="8" s="1"/>
  <c r="T95" i="2"/>
  <c r="AD80" i="2"/>
  <c r="AD90" i="2" s="1"/>
  <c r="AC140" i="2"/>
  <c r="AC379" i="8" s="1"/>
  <c r="AC380" i="8" s="1"/>
  <c r="Y331" i="8"/>
  <c r="Y332" i="8" s="1"/>
  <c r="P93" i="2"/>
  <c r="K478" i="2"/>
  <c r="L21" i="2"/>
  <c r="L311" i="8" s="1"/>
  <c r="L312" i="8" s="1"/>
  <c r="N300" i="2"/>
  <c r="N664" i="8" s="1"/>
  <c r="N665" i="8" s="1"/>
  <c r="O740" i="2"/>
  <c r="V145" i="2"/>
  <c r="Q145" i="2"/>
  <c r="Q399" i="8" s="1"/>
  <c r="Q400" i="8" s="1"/>
  <c r="O204" i="2"/>
  <c r="Y200" i="2"/>
  <c r="Y199" i="2"/>
  <c r="Y411" i="8" s="1"/>
  <c r="Y412" i="8" s="1"/>
  <c r="N202" i="2"/>
  <c r="AC138" i="2"/>
  <c r="AC148" i="2" s="1"/>
  <c r="AA211" i="2"/>
  <c r="AC141" i="2"/>
  <c r="AC151" i="2" s="1"/>
  <c r="V78" i="2"/>
  <c r="N150" i="2"/>
  <c r="R94" i="2"/>
  <c r="U331" i="8"/>
  <c r="U332" i="8" s="1"/>
  <c r="W363" i="8"/>
  <c r="W364" i="8" s="1"/>
  <c r="M17" i="2"/>
  <c r="M27" i="2" s="1"/>
  <c r="L89" i="2"/>
  <c r="L300" i="2"/>
  <c r="L664" i="8" s="1"/>
  <c r="L665" i="8" s="1"/>
  <c r="M343" i="2"/>
  <c r="X300" i="2"/>
  <c r="X664" i="8" s="1"/>
  <c r="X665" i="8" s="1"/>
  <c r="AE761" i="2"/>
  <c r="AE790" i="2" s="1"/>
  <c r="AE718" i="2"/>
  <c r="S200" i="2"/>
  <c r="S415" i="8" s="1"/>
  <c r="S416" i="8" s="1"/>
  <c r="AE145" i="2"/>
  <c r="AE399" i="8" s="1"/>
  <c r="AE400" i="8" s="1"/>
  <c r="M91" i="2"/>
  <c r="X23" i="2"/>
  <c r="N201" i="2"/>
  <c r="O397" i="2"/>
  <c r="O968" i="8" s="1"/>
  <c r="O969" i="8" s="1"/>
  <c r="M306" i="2"/>
  <c r="M688" i="8" s="1"/>
  <c r="M689" i="8" s="1"/>
  <c r="AD300" i="2"/>
  <c r="AD664" i="8" s="1"/>
  <c r="AD665" i="8" s="1"/>
  <c r="M604" i="8"/>
  <c r="M605" i="8" s="1"/>
  <c r="Y306" i="2"/>
  <c r="Y688" i="8" s="1"/>
  <c r="Y689" i="8" s="1"/>
  <c r="AB35" i="9"/>
  <c r="AA35" i="9"/>
  <c r="R351" i="2"/>
  <c r="R309" i="2"/>
  <c r="Q750" i="2"/>
  <c r="Q708" i="2"/>
  <c r="O199" i="2"/>
  <c r="N198" i="2"/>
  <c r="Q202" i="2"/>
  <c r="Q212" i="2" s="1"/>
  <c r="AC205" i="2"/>
  <c r="V82" i="2"/>
  <c r="AC142" i="2"/>
  <c r="M24" i="2"/>
  <c r="M323" i="8" s="1"/>
  <c r="M324" i="8" s="1"/>
  <c r="AD77" i="2"/>
  <c r="N20" i="2"/>
  <c r="N30" i="2" s="1"/>
  <c r="N17" i="2"/>
  <c r="N27" i="2" s="1"/>
  <c r="X18" i="2"/>
  <c r="K21" i="2"/>
  <c r="O201" i="2"/>
  <c r="O419" i="8" s="1"/>
  <c r="O420" i="8" s="1"/>
  <c r="Y299" i="2"/>
  <c r="Y660" i="8" s="1"/>
  <c r="Y661" i="8" s="1"/>
  <c r="N393" i="2"/>
  <c r="N952" i="8" s="1"/>
  <c r="N953" i="8" s="1"/>
  <c r="P300" i="2"/>
  <c r="P664" i="8" s="1"/>
  <c r="P665" i="8" s="1"/>
  <c r="AA203" i="2"/>
  <c r="AB145" i="2"/>
  <c r="H256" i="2"/>
  <c r="M1016" i="8"/>
  <c r="M1017" i="8" s="1"/>
  <c r="L681" i="2"/>
  <c r="M746" i="2"/>
  <c r="Q203" i="2"/>
  <c r="N205" i="2"/>
  <c r="AC199" i="2"/>
  <c r="AB209" i="2"/>
  <c r="N200" i="2"/>
  <c r="N415" i="8" s="1"/>
  <c r="N416" i="8" s="1"/>
  <c r="AD79" i="2"/>
  <c r="AD339" i="8" s="1"/>
  <c r="AD340" i="8" s="1"/>
  <c r="K479" i="2"/>
  <c r="K489" i="2" s="1"/>
  <c r="AD198" i="2"/>
  <c r="AD208" i="2" s="1"/>
  <c r="M23" i="2"/>
  <c r="M33" i="2" s="1"/>
  <c r="AA300" i="2"/>
  <c r="AA664" i="8" s="1"/>
  <c r="AA665" i="8" s="1"/>
  <c r="P331" i="2"/>
  <c r="N708" i="2"/>
  <c r="P750" i="2"/>
  <c r="P708" i="2"/>
  <c r="N203" i="2"/>
  <c r="N213" i="2" s="1"/>
  <c r="M95" i="2"/>
  <c r="N23" i="2"/>
  <c r="AD204" i="2"/>
  <c r="AD214" i="2" s="1"/>
  <c r="Q199" i="2"/>
  <c r="Q209" i="2" s="1"/>
  <c r="AC149" i="2"/>
  <c r="AD203" i="2"/>
  <c r="AD213" i="2" s="1"/>
  <c r="V205" i="2"/>
  <c r="AC143" i="2"/>
  <c r="AC391" i="8" s="1"/>
  <c r="AC392" i="8" s="1"/>
  <c r="AC137" i="2"/>
  <c r="V77" i="2"/>
  <c r="Y359" i="8"/>
  <c r="Y360" i="8" s="1"/>
  <c r="M89" i="2"/>
  <c r="M116" i="2" s="1"/>
  <c r="V81" i="2"/>
  <c r="V91" i="2" s="1"/>
  <c r="AD81" i="2"/>
  <c r="AD347" i="8" s="1"/>
  <c r="AD348" i="8" s="1"/>
  <c r="X21" i="2"/>
  <c r="X31" i="2" s="1"/>
  <c r="N331" i="2"/>
  <c r="N353" i="2" s="1"/>
  <c r="O300" i="2"/>
  <c r="O664" i="8" s="1"/>
  <c r="O665" i="8" s="1"/>
  <c r="AC204" i="2"/>
  <c r="AC431" i="8" s="1"/>
  <c r="AC432" i="8" s="1"/>
  <c r="M1004" i="8"/>
  <c r="M1005" i="8" s="1"/>
  <c r="M743" i="2"/>
  <c r="M1200" i="8" s="1"/>
  <c r="M1201" i="8" s="1"/>
  <c r="L678" i="2"/>
  <c r="AB31" i="9"/>
  <c r="AA31" i="9"/>
  <c r="T24" i="2"/>
  <c r="T323" i="8" s="1"/>
  <c r="T324" i="8" s="1"/>
  <c r="Y201" i="2"/>
  <c r="Y211" i="2" s="1"/>
  <c r="K477" i="2"/>
  <c r="K487" i="2" s="1"/>
  <c r="R210" i="2"/>
  <c r="AC144" i="2"/>
  <c r="AC395" i="8" s="1"/>
  <c r="AC396" i="8" s="1"/>
  <c r="T19" i="2"/>
  <c r="T29" i="2" s="1"/>
  <c r="X20" i="2"/>
  <c r="O197" i="2"/>
  <c r="O207" i="2" s="1"/>
  <c r="L28" i="2"/>
  <c r="AB271" i="2"/>
  <c r="O306" i="2"/>
  <c r="O688" i="8" s="1"/>
  <c r="O689" i="8" s="1"/>
  <c r="AB300" i="2"/>
  <c r="AB664" i="8" s="1"/>
  <c r="AB665" i="8" s="1"/>
  <c r="O393" i="2"/>
  <c r="O952" i="8" s="1"/>
  <c r="O953" i="8" s="1"/>
  <c r="V203" i="2"/>
  <c r="Y309" i="2"/>
  <c r="Y351" i="2"/>
  <c r="V213" i="2"/>
  <c r="V427" i="8"/>
  <c r="V428" i="8" s="1"/>
  <c r="AD88" i="2"/>
  <c r="AD335" i="8"/>
  <c r="AD336" i="8" s="1"/>
  <c r="AA427" i="8"/>
  <c r="AA428" i="8" s="1"/>
  <c r="AA213" i="2"/>
  <c r="AE32" i="2"/>
  <c r="AE315" i="8"/>
  <c r="AE316" i="8" s="1"/>
  <c r="AB91" i="2"/>
  <c r="AB347" i="8"/>
  <c r="AB348" i="8" s="1"/>
  <c r="AD33" i="2"/>
  <c r="AD319" i="8"/>
  <c r="AD320" i="8" s="1"/>
  <c r="O1204" i="8"/>
  <c r="O1205" i="8" s="1"/>
  <c r="Z750" i="2"/>
  <c r="Z708" i="2"/>
  <c r="N808" i="8"/>
  <c r="N809" i="8" s="1"/>
  <c r="N396" i="2"/>
  <c r="N964" i="8" s="1"/>
  <c r="N965" i="8" s="1"/>
  <c r="Q283" i="2"/>
  <c r="P337" i="2"/>
  <c r="P359" i="2" s="1"/>
  <c r="P348" i="2"/>
  <c r="P624" i="8"/>
  <c r="P625" i="8" s="1"/>
  <c r="O608" i="8"/>
  <c r="O609" i="8" s="1"/>
  <c r="P279" i="2"/>
  <c r="O333" i="2"/>
  <c r="O355" i="2" s="1"/>
  <c r="O344" i="2"/>
  <c r="T203" i="2"/>
  <c r="P91" i="2"/>
  <c r="Z141" i="2"/>
  <c r="Z151" i="2" s="1"/>
  <c r="AD141" i="2"/>
  <c r="AD151" i="2" s="1"/>
  <c r="S391" i="8"/>
  <c r="S392" i="8" s="1"/>
  <c r="X138" i="2"/>
  <c r="X148" i="2" s="1"/>
  <c r="W202" i="2"/>
  <c r="W423" i="8" s="1"/>
  <c r="W424" i="8" s="1"/>
  <c r="T23" i="2"/>
  <c r="O1000" i="8"/>
  <c r="O1001" i="8" s="1"/>
  <c r="P677" i="2"/>
  <c r="O731" i="2"/>
  <c r="O753" i="2" s="1"/>
  <c r="O742" i="2"/>
  <c r="AD761" i="2"/>
  <c r="AD790" i="2" s="1"/>
  <c r="AD718" i="2"/>
  <c r="N376" i="2"/>
  <c r="N908" i="8" s="1"/>
  <c r="N909" i="8" s="1"/>
  <c r="AD319" i="2"/>
  <c r="AD362" i="2"/>
  <c r="AD391" i="2" s="1"/>
  <c r="L279" i="2"/>
  <c r="M608" i="8"/>
  <c r="M609" i="8" s="1"/>
  <c r="M333" i="2"/>
  <c r="M355" i="2" s="1"/>
  <c r="M344" i="2"/>
  <c r="M812" i="8"/>
  <c r="M813" i="8" s="1"/>
  <c r="T214" i="2"/>
  <c r="W24" i="2"/>
  <c r="W34" i="2" s="1"/>
  <c r="X311" i="8"/>
  <c r="X312" i="8" s="1"/>
  <c r="AD415" i="8"/>
  <c r="AD416" i="8" s="1"/>
  <c r="AB25" i="2"/>
  <c r="AB35" i="2" s="1"/>
  <c r="AB78" i="2"/>
  <c r="L31" i="2"/>
  <c r="X201" i="2"/>
  <c r="AA21" i="2"/>
  <c r="AA311" i="8" s="1"/>
  <c r="AA312" i="8" s="1"/>
  <c r="M1020" i="8"/>
  <c r="M1021" i="8" s="1"/>
  <c r="M736" i="2"/>
  <c r="M758" i="2" s="1"/>
  <c r="L682" i="2"/>
  <c r="M747" i="2"/>
  <c r="S708" i="2"/>
  <c r="S750" i="2"/>
  <c r="N1156" i="8"/>
  <c r="N1157" i="8" s="1"/>
  <c r="M1188" i="8"/>
  <c r="M1189" i="8" s="1"/>
  <c r="N776" i="8"/>
  <c r="N777" i="8" s="1"/>
  <c r="N848" i="8"/>
  <c r="N849" i="8" s="1"/>
  <c r="AE304" i="2"/>
  <c r="AE680" i="8" s="1"/>
  <c r="AE681" i="8" s="1"/>
  <c r="AE319" i="2"/>
  <c r="AE362" i="2"/>
  <c r="AE391" i="2" s="1"/>
  <c r="L346" i="2"/>
  <c r="L335" i="2"/>
  <c r="L357" i="2" s="1"/>
  <c r="L616" i="8"/>
  <c r="L617" i="8" s="1"/>
  <c r="AE20" i="2"/>
  <c r="M1152" i="8"/>
  <c r="M1153" i="8" s="1"/>
  <c r="P1012" i="8"/>
  <c r="P1013" i="8" s="1"/>
  <c r="P734" i="2"/>
  <c r="P756" i="2" s="1"/>
  <c r="P745" i="2"/>
  <c r="Q680" i="2"/>
  <c r="P740" i="2"/>
  <c r="AB20" i="2"/>
  <c r="O140" i="2"/>
  <c r="O150" i="2" s="1"/>
  <c r="AC87" i="2"/>
  <c r="AD299" i="8"/>
  <c r="AD300" i="8" s="1"/>
  <c r="AB80" i="2"/>
  <c r="AA17" i="2"/>
  <c r="AA295" i="8" s="1"/>
  <c r="AA296" i="8" s="1"/>
  <c r="P95" i="2"/>
  <c r="T22" i="2"/>
  <c r="X17" i="2"/>
  <c r="T25" i="2"/>
  <c r="V18" i="2"/>
  <c r="V28" i="2" s="1"/>
  <c r="N21" i="2"/>
  <c r="N311" i="8" s="1"/>
  <c r="N312" i="8" s="1"/>
  <c r="N1168" i="8"/>
  <c r="N1169" i="8" s="1"/>
  <c r="Q588" i="8"/>
  <c r="Q589" i="8" s="1"/>
  <c r="M760" i="8"/>
  <c r="M761" i="8" s="1"/>
  <c r="M832" i="8"/>
  <c r="M833" i="8" s="1"/>
  <c r="N1196" i="8"/>
  <c r="N1197" i="8" s="1"/>
  <c r="N792" i="8"/>
  <c r="N793" i="8" s="1"/>
  <c r="N392" i="2"/>
  <c r="O1152" i="8"/>
  <c r="O1153" i="8" s="1"/>
  <c r="S306" i="2"/>
  <c r="S688" i="8" s="1"/>
  <c r="S689" i="8" s="1"/>
  <c r="E302" i="2"/>
  <c r="T302" i="2" s="1"/>
  <c r="T672" i="8" s="1"/>
  <c r="T673" i="8" s="1"/>
  <c r="N333" i="2"/>
  <c r="N355" i="2" s="1"/>
  <c r="O1208" i="8"/>
  <c r="O1209" i="8" s="1"/>
  <c r="Q669" i="2"/>
  <c r="R669" i="2"/>
  <c r="P604" i="8"/>
  <c r="P605" i="8" s="1"/>
  <c r="Q278" i="2"/>
  <c r="P343" i="2"/>
  <c r="P332" i="2"/>
  <c r="P354" i="2" s="1"/>
  <c r="L750" i="2"/>
  <c r="L708" i="2"/>
  <c r="P1008" i="8"/>
  <c r="P1009" i="8" s="1"/>
  <c r="P744" i="2"/>
  <c r="Q679" i="2"/>
  <c r="P733" i="2"/>
  <c r="P755" i="2" s="1"/>
  <c r="H334" i="2"/>
  <c r="AB30" i="9"/>
  <c r="AA30" i="9"/>
  <c r="N1160" i="8"/>
  <c r="N1161" i="8" s="1"/>
  <c r="M588" i="8"/>
  <c r="M589" i="8" s="1"/>
  <c r="M299" i="2"/>
  <c r="M660" i="8" s="1"/>
  <c r="M661" i="8" s="1"/>
  <c r="M393" i="2"/>
  <c r="M952" i="8" s="1"/>
  <c r="M953" i="8" s="1"/>
  <c r="AE23" i="2"/>
  <c r="W198" i="2"/>
  <c r="W208" i="2" s="1"/>
  <c r="T20" i="2"/>
  <c r="AE24" i="2"/>
  <c r="AD144" i="2"/>
  <c r="AD355" i="8"/>
  <c r="AD356" i="8" s="1"/>
  <c r="X145" i="2"/>
  <c r="AD205" i="2"/>
  <c r="AD215" i="2" s="1"/>
  <c r="AB19" i="2"/>
  <c r="N149" i="2"/>
  <c r="AD21" i="2"/>
  <c r="M1008" i="8"/>
  <c r="M1009" i="8" s="1"/>
  <c r="L679" i="2"/>
  <c r="M733" i="2"/>
  <c r="M755" i="2" s="1"/>
  <c r="M744" i="2"/>
  <c r="P588" i="8"/>
  <c r="P589" i="8" s="1"/>
  <c r="P299" i="2"/>
  <c r="P660" i="8" s="1"/>
  <c r="P661" i="8" s="1"/>
  <c r="P304" i="2"/>
  <c r="P680" i="8" s="1"/>
  <c r="P681" i="8" s="1"/>
  <c r="N734" i="2"/>
  <c r="N588" i="8"/>
  <c r="N589" i="8" s="1"/>
  <c r="N299" i="2"/>
  <c r="N660" i="8" s="1"/>
  <c r="N661" i="8" s="1"/>
  <c r="N395" i="2"/>
  <c r="N960" i="8" s="1"/>
  <c r="N961" i="8" s="1"/>
  <c r="N304" i="2"/>
  <c r="N680" i="8" s="1"/>
  <c r="N681" i="8" s="1"/>
  <c r="M596" i="8"/>
  <c r="M597" i="8" s="1"/>
  <c r="L276" i="2"/>
  <c r="M341" i="2"/>
  <c r="M330" i="2"/>
  <c r="M352" i="2" s="1"/>
  <c r="V718" i="2"/>
  <c r="V761" i="2"/>
  <c r="V790" i="2" s="1"/>
  <c r="O1188" i="8"/>
  <c r="O1189" i="8" s="1"/>
  <c r="N1176" i="8"/>
  <c r="N1177" i="8" s="1"/>
  <c r="O776" i="8"/>
  <c r="O777" i="8" s="1"/>
  <c r="O848" i="8"/>
  <c r="O849" i="8" s="1"/>
  <c r="O800" i="8"/>
  <c r="O801" i="8" s="1"/>
  <c r="O394" i="2"/>
  <c r="O956" i="8" s="1"/>
  <c r="O957" i="8" s="1"/>
  <c r="N718" i="2"/>
  <c r="N761" i="2"/>
  <c r="N790" i="2" s="1"/>
  <c r="O392" i="2"/>
  <c r="R264" i="2"/>
  <c r="Q264" i="2"/>
  <c r="O1016" i="8"/>
  <c r="O1017" i="8" s="1"/>
  <c r="O735" i="2"/>
  <c r="O757" i="2" s="1"/>
  <c r="P681" i="2"/>
  <c r="O746" i="2"/>
  <c r="R588" i="8"/>
  <c r="R589" i="8" s="1"/>
  <c r="E701" i="2"/>
  <c r="M732" i="2"/>
  <c r="M754" i="2" s="1"/>
  <c r="N732" i="2"/>
  <c r="T588" i="8"/>
  <c r="T589" i="8" s="1"/>
  <c r="T299" i="2"/>
  <c r="T660" i="8" s="1"/>
  <c r="T661" i="8" s="1"/>
  <c r="T300" i="2"/>
  <c r="T664" i="8" s="1"/>
  <c r="T665" i="8" s="1"/>
  <c r="N1192" i="8"/>
  <c r="N1193" i="8" s="1"/>
  <c r="O734" i="2"/>
  <c r="O756" i="2" s="1"/>
  <c r="N1216" i="8"/>
  <c r="N1217" i="8" s="1"/>
  <c r="O764" i="8"/>
  <c r="O765" i="8" s="1"/>
  <c r="O836" i="8"/>
  <c r="O837" i="8" s="1"/>
  <c r="M336" i="2"/>
  <c r="M358" i="2" s="1"/>
  <c r="O1168" i="8"/>
  <c r="O1169" i="8" s="1"/>
  <c r="T200" i="2"/>
  <c r="P21" i="2"/>
  <c r="AB28" i="2"/>
  <c r="AE588" i="8"/>
  <c r="AE589" i="8" s="1"/>
  <c r="N800" i="8"/>
  <c r="N801" i="8" s="1"/>
  <c r="N394" i="2"/>
  <c r="N956" i="8" s="1"/>
  <c r="N957" i="8" s="1"/>
  <c r="AE306" i="2"/>
  <c r="AE688" i="8" s="1"/>
  <c r="AE689" i="8" s="1"/>
  <c r="X708" i="2"/>
  <c r="X750" i="2"/>
  <c r="M1176" i="8"/>
  <c r="M1177" i="8" s="1"/>
  <c r="X304" i="2"/>
  <c r="X680" i="8" s="1"/>
  <c r="X681" i="8" s="1"/>
  <c r="H336" i="2"/>
  <c r="W201" i="2"/>
  <c r="W211" i="2" s="1"/>
  <c r="U205" i="2"/>
  <c r="W200" i="2"/>
  <c r="W415" i="8" s="1"/>
  <c r="W416" i="8" s="1"/>
  <c r="AD143" i="2"/>
  <c r="AD391" i="8" s="1"/>
  <c r="AD392" i="8" s="1"/>
  <c r="AD137" i="2"/>
  <c r="AD367" i="8" s="1"/>
  <c r="AD368" i="8" s="1"/>
  <c r="AB17" i="2"/>
  <c r="V141" i="2"/>
  <c r="O94" i="2"/>
  <c r="M339" i="8"/>
  <c r="M340" i="8" s="1"/>
  <c r="M343" i="8"/>
  <c r="M344" i="8" s="1"/>
  <c r="P355" i="8"/>
  <c r="P356" i="8" s="1"/>
  <c r="M203" i="2"/>
  <c r="M427" i="8" s="1"/>
  <c r="M428" i="8" s="1"/>
  <c r="L200" i="2"/>
  <c r="L415" i="8" s="1"/>
  <c r="L416" i="8" s="1"/>
  <c r="H734" i="2"/>
  <c r="M1000" i="8"/>
  <c r="M1001" i="8" s="1"/>
  <c r="M742" i="2"/>
  <c r="L677" i="2"/>
  <c r="M731" i="2"/>
  <c r="O588" i="8"/>
  <c r="O589" i="8" s="1"/>
  <c r="O302" i="2"/>
  <c r="O672" i="8" s="1"/>
  <c r="O673" i="8" s="1"/>
  <c r="N760" i="8"/>
  <c r="N761" i="8" s="1"/>
  <c r="N1208" i="8"/>
  <c r="N1209" i="8" s="1"/>
  <c r="AE299" i="2"/>
  <c r="AE660" i="8" s="1"/>
  <c r="AE661" i="8" s="1"/>
  <c r="N1152" i="8"/>
  <c r="N1153" i="8" s="1"/>
  <c r="R299" i="2"/>
  <c r="R660" i="8" s="1"/>
  <c r="R661" i="8" s="1"/>
  <c r="Q306" i="2"/>
  <c r="Q688" i="8" s="1"/>
  <c r="Q689" i="8" s="1"/>
  <c r="S300" i="2"/>
  <c r="S664" i="8" s="1"/>
  <c r="S665" i="8" s="1"/>
  <c r="Z300" i="2"/>
  <c r="Z664" i="8" s="1"/>
  <c r="Z665" i="8" s="1"/>
  <c r="L331" i="2"/>
  <c r="L353" i="2" s="1"/>
  <c r="Q319" i="2"/>
  <c r="Q362" i="2"/>
  <c r="Q391" i="2" s="1"/>
  <c r="AB34" i="9"/>
  <c r="AA34" i="9"/>
  <c r="S362" i="2"/>
  <c r="S391" i="2" s="1"/>
  <c r="S319" i="2"/>
  <c r="P351" i="2"/>
  <c r="P309" i="2"/>
  <c r="AD138" i="2"/>
  <c r="S588" i="8"/>
  <c r="S589" i="8" s="1"/>
  <c r="N1180" i="8"/>
  <c r="N1181" i="8" s="1"/>
  <c r="N334" i="2"/>
  <c r="N356" i="2" s="1"/>
  <c r="O334" i="2"/>
  <c r="O356" i="2" s="1"/>
  <c r="M334" i="2"/>
  <c r="M356" i="2" s="1"/>
  <c r="E303" i="2"/>
  <c r="M303" i="2" s="1"/>
  <c r="M676" i="8" s="1"/>
  <c r="M677" i="8" s="1"/>
  <c r="L334" i="2"/>
  <c r="L356" i="2" s="1"/>
  <c r="L336" i="2"/>
  <c r="L358" i="2" s="1"/>
  <c r="L620" i="8"/>
  <c r="L621" i="8" s="1"/>
  <c r="L347" i="2"/>
  <c r="P25" i="2"/>
  <c r="P35" i="2" s="1"/>
  <c r="R355" i="8"/>
  <c r="R356" i="8" s="1"/>
  <c r="M362" i="2"/>
  <c r="M391" i="2" s="1"/>
  <c r="M319" i="2"/>
  <c r="N362" i="2"/>
  <c r="N391" i="2" s="1"/>
  <c r="N319" i="2"/>
  <c r="R270" i="2"/>
  <c r="Q270" i="2"/>
  <c r="M776" i="8"/>
  <c r="M777" i="8" s="1"/>
  <c r="M848" i="8"/>
  <c r="M849" i="8" s="1"/>
  <c r="L210" i="2"/>
  <c r="AA19" i="2"/>
  <c r="N1204" i="8"/>
  <c r="N1205" i="8" s="1"/>
  <c r="M1012" i="8"/>
  <c r="M1013" i="8" s="1"/>
  <c r="M745" i="2"/>
  <c r="L680" i="2"/>
  <c r="M734" i="2"/>
  <c r="M756" i="2" s="1"/>
  <c r="L348" i="2"/>
  <c r="L624" i="8"/>
  <c r="L625" i="8" s="1"/>
  <c r="L337" i="2"/>
  <c r="L359" i="2" s="1"/>
  <c r="L796" i="8"/>
  <c r="L797" i="8" s="1"/>
  <c r="L393" i="2"/>
  <c r="L952" i="8" s="1"/>
  <c r="L953" i="8" s="1"/>
  <c r="Q663" i="2"/>
  <c r="R663" i="2"/>
  <c r="U197" i="2"/>
  <c r="AD199" i="2"/>
  <c r="AD209" i="2" s="1"/>
  <c r="AD155" i="2"/>
  <c r="W205" i="2"/>
  <c r="W215" i="2" s="1"/>
  <c r="X200" i="2"/>
  <c r="X415" i="8" s="1"/>
  <c r="X416" i="8" s="1"/>
  <c r="K143" i="2"/>
  <c r="T88" i="2"/>
  <c r="P24" i="2"/>
  <c r="P34" i="2" s="1"/>
  <c r="X141" i="2"/>
  <c r="AE18" i="2"/>
  <c r="AA83" i="2"/>
  <c r="AA93" i="2" s="1"/>
  <c r="AB77" i="2"/>
  <c r="AB299" i="8"/>
  <c r="AB300" i="8" s="1"/>
  <c r="S387" i="8"/>
  <c r="S388" i="8" s="1"/>
  <c r="W343" i="8"/>
  <c r="W344" i="8" s="1"/>
  <c r="Y427" i="8"/>
  <c r="Y428" i="8" s="1"/>
  <c r="P90" i="2"/>
  <c r="AE17" i="2"/>
  <c r="U199" i="2"/>
  <c r="U209" i="2" s="1"/>
  <c r="P201" i="2"/>
  <c r="P419" i="8" s="1"/>
  <c r="P420" i="8" s="1"/>
  <c r="AD22" i="2"/>
  <c r="T21" i="2"/>
  <c r="AD592" i="8"/>
  <c r="AD593" i="8" s="1"/>
  <c r="W588" i="8"/>
  <c r="W589" i="8" s="1"/>
  <c r="W302" i="2"/>
  <c r="W672" i="8" s="1"/>
  <c r="W673" i="8" s="1"/>
  <c r="W300" i="2"/>
  <c r="W664" i="8" s="1"/>
  <c r="W665" i="8" s="1"/>
  <c r="W301" i="2"/>
  <c r="W668" i="8" s="1"/>
  <c r="W669" i="8" s="1"/>
  <c r="W306" i="2"/>
  <c r="W688" i="8" s="1"/>
  <c r="W689" i="8" s="1"/>
  <c r="Q299" i="2"/>
  <c r="Q660" i="8" s="1"/>
  <c r="Q661" i="8" s="1"/>
  <c r="M820" i="8"/>
  <c r="M821" i="8" s="1"/>
  <c r="M399" i="2"/>
  <c r="M976" i="8" s="1"/>
  <c r="M977" i="8" s="1"/>
  <c r="N1188" i="8"/>
  <c r="N1189" i="8" s="1"/>
  <c r="N748" i="2"/>
  <c r="N1220" i="8" s="1"/>
  <c r="N1221" i="8" s="1"/>
  <c r="E317" i="2"/>
  <c r="H337" i="2"/>
  <c r="Q600" i="8"/>
  <c r="Q601" i="8" s="1"/>
  <c r="Q342" i="2"/>
  <c r="R277" i="2"/>
  <c r="Q331" i="2"/>
  <c r="Q353" i="2" s="1"/>
  <c r="AD306" i="2"/>
  <c r="AD688" i="8" s="1"/>
  <c r="AD689" i="8" s="1"/>
  <c r="R300" i="2"/>
  <c r="R664" i="8" s="1"/>
  <c r="R665" i="8" s="1"/>
  <c r="R304" i="2"/>
  <c r="R680" i="8" s="1"/>
  <c r="R681" i="8" s="1"/>
  <c r="O351" i="2"/>
  <c r="O309" i="2"/>
  <c r="AB718" i="2"/>
  <c r="AB761" i="2"/>
  <c r="AB790" i="2" s="1"/>
  <c r="Q268" i="2"/>
  <c r="R268" i="2"/>
  <c r="M1156" i="8"/>
  <c r="M1157" i="8" s="1"/>
  <c r="M1228" i="8"/>
  <c r="M1229" i="8" s="1"/>
  <c r="AC351" i="2"/>
  <c r="AC309" i="2"/>
  <c r="O1216" i="8"/>
  <c r="O1217" i="8" s="1"/>
  <c r="AE19" i="2"/>
  <c r="AE29" i="2" s="1"/>
  <c r="X199" i="2"/>
  <c r="X209" i="2" s="1"/>
  <c r="T198" i="2"/>
  <c r="Q153" i="2"/>
  <c r="X205" i="2"/>
  <c r="X215" i="2" s="1"/>
  <c r="AD142" i="2"/>
  <c r="AD152" i="2" s="1"/>
  <c r="AA22" i="2"/>
  <c r="AA24" i="2"/>
  <c r="T331" i="8"/>
  <c r="T332" i="8" s="1"/>
  <c r="L327" i="8"/>
  <c r="L328" i="8" s="1"/>
  <c r="T17" i="2"/>
  <c r="T27" i="2" s="1"/>
  <c r="X24" i="2"/>
  <c r="O718" i="2"/>
  <c r="O761" i="2"/>
  <c r="O790" i="2" s="1"/>
  <c r="V588" i="8"/>
  <c r="V589" i="8" s="1"/>
  <c r="V306" i="2"/>
  <c r="V688" i="8" s="1"/>
  <c r="V689" i="8" s="1"/>
  <c r="V300" i="2"/>
  <c r="V664" i="8" s="1"/>
  <c r="V665" i="8" s="1"/>
  <c r="V302" i="2"/>
  <c r="V672" i="8" s="1"/>
  <c r="V673" i="8" s="1"/>
  <c r="V305" i="2"/>
  <c r="V684" i="8" s="1"/>
  <c r="V685" i="8" s="1"/>
  <c r="O299" i="2"/>
  <c r="O660" i="8" s="1"/>
  <c r="O661" i="8" s="1"/>
  <c r="O1180" i="8"/>
  <c r="O1181" i="8" s="1"/>
  <c r="S299" i="2"/>
  <c r="S660" i="8" s="1"/>
  <c r="S661" i="8" s="1"/>
  <c r="P796" i="8"/>
  <c r="P797" i="8" s="1"/>
  <c r="P393" i="2"/>
  <c r="P952" i="8" s="1"/>
  <c r="P953" i="8" s="1"/>
  <c r="P306" i="2"/>
  <c r="P688" i="8" s="1"/>
  <c r="P689" i="8" s="1"/>
  <c r="L1192" i="8"/>
  <c r="L1193" i="8" s="1"/>
  <c r="M300" i="2"/>
  <c r="M664" i="8" s="1"/>
  <c r="M665" i="8" s="1"/>
  <c r="Q304" i="2"/>
  <c r="Q680" i="8" s="1"/>
  <c r="Q681" i="8" s="1"/>
  <c r="L1188" i="8"/>
  <c r="L1189" i="8" s="1"/>
  <c r="M718" i="2"/>
  <c r="M761" i="2"/>
  <c r="M790" i="2" s="1"/>
  <c r="O347" i="2"/>
  <c r="O336" i="2"/>
  <c r="O358" i="2" s="1"/>
  <c r="P282" i="2"/>
  <c r="O620" i="8"/>
  <c r="O621" i="8" s="1"/>
  <c r="Q667" i="2"/>
  <c r="R667" i="2"/>
  <c r="AC299" i="2"/>
  <c r="AC660" i="8" s="1"/>
  <c r="AC661" i="8" s="1"/>
  <c r="R215" i="2"/>
  <c r="T201" i="2"/>
  <c r="U202" i="2"/>
  <c r="U212" i="2" s="1"/>
  <c r="P19" i="2"/>
  <c r="P17" i="2"/>
  <c r="Y24" i="2"/>
  <c r="Y34" i="2" s="1"/>
  <c r="AD295" i="8"/>
  <c r="AD296" i="8" s="1"/>
  <c r="K411" i="8"/>
  <c r="AB83" i="2"/>
  <c r="N197" i="2"/>
  <c r="N403" i="8" s="1"/>
  <c r="N404" i="8" s="1"/>
  <c r="Y204" i="2"/>
  <c r="Y431" i="8" s="1"/>
  <c r="Y432" i="8" s="1"/>
  <c r="T91" i="2"/>
  <c r="AD201" i="2"/>
  <c r="AD211" i="2" s="1"/>
  <c r="Y202" i="2"/>
  <c r="AA204" i="2"/>
  <c r="AA23" i="2"/>
  <c r="AA319" i="8" s="1"/>
  <c r="AA320" i="8" s="1"/>
  <c r="O996" i="8"/>
  <c r="O997" i="8" s="1"/>
  <c r="P676" i="2"/>
  <c r="O730" i="2"/>
  <c r="O752" i="2" s="1"/>
  <c r="O741" i="2"/>
  <c r="O1004" i="8"/>
  <c r="O1005" i="8" s="1"/>
  <c r="P678" i="2"/>
  <c r="O743" i="2"/>
  <c r="O732" i="2"/>
  <c r="O754" i="2" s="1"/>
  <c r="AA670" i="2"/>
  <c r="AA271" i="2"/>
  <c r="H732" i="2"/>
  <c r="L1156" i="8"/>
  <c r="L1157" i="8" s="1"/>
  <c r="Q1020" i="8"/>
  <c r="Q1021" i="8" s="1"/>
  <c r="Q736" i="2"/>
  <c r="Q758" i="2" s="1"/>
  <c r="Q747" i="2"/>
  <c r="R682" i="2"/>
  <c r="L305" i="2"/>
  <c r="L684" i="8" s="1"/>
  <c r="L685" i="8" s="1"/>
  <c r="O756" i="8"/>
  <c r="O757" i="8" s="1"/>
  <c r="L1152" i="8"/>
  <c r="L1153" i="8" s="1"/>
  <c r="O820" i="8"/>
  <c r="O821" i="8" s="1"/>
  <c r="O399" i="2"/>
  <c r="O976" i="8" s="1"/>
  <c r="O977" i="8" s="1"/>
  <c r="H333" i="2"/>
  <c r="AB32" i="9"/>
  <c r="AA32" i="9"/>
  <c r="AB362" i="2"/>
  <c r="AB391" i="2" s="1"/>
  <c r="AB319" i="2"/>
  <c r="R616" i="8"/>
  <c r="R617" i="8" s="1"/>
  <c r="R346" i="2"/>
  <c r="S281" i="2"/>
  <c r="R335" i="2"/>
  <c r="R357" i="2" s="1"/>
  <c r="K139" i="2"/>
  <c r="K149" i="2" s="1"/>
  <c r="T205" i="2"/>
  <c r="T215" i="2" s="1"/>
  <c r="T197" i="2"/>
  <c r="T207" i="2" s="1"/>
  <c r="W20" i="2"/>
  <c r="AD140" i="2"/>
  <c r="AD379" i="8" s="1"/>
  <c r="AD380" i="8" s="1"/>
  <c r="AA20" i="2"/>
  <c r="AB33" i="2"/>
  <c r="AE423" i="8"/>
  <c r="AE424" i="8" s="1"/>
  <c r="AA25" i="2"/>
  <c r="AA327" i="8" s="1"/>
  <c r="AA328" i="8" s="1"/>
  <c r="X22" i="2"/>
  <c r="AB592" i="8"/>
  <c r="AB593" i="8" s="1"/>
  <c r="AB306" i="2"/>
  <c r="AB688" i="8" s="1"/>
  <c r="AB689" i="8" s="1"/>
  <c r="AB303" i="2"/>
  <c r="AB676" i="8" s="1"/>
  <c r="AB677" i="8" s="1"/>
  <c r="S301" i="2"/>
  <c r="S668" i="8" s="1"/>
  <c r="S669" i="8" s="1"/>
  <c r="AE302" i="2"/>
  <c r="AE672" i="8" s="1"/>
  <c r="AE673" i="8" s="1"/>
  <c r="L362" i="2"/>
  <c r="L391" i="2" s="1"/>
  <c r="L319" i="2"/>
  <c r="P1216" i="8"/>
  <c r="P1217" i="8" s="1"/>
  <c r="AE300" i="2"/>
  <c r="AE664" i="8" s="1"/>
  <c r="AE665" i="8" s="1"/>
  <c r="V304" i="2"/>
  <c r="V680" i="8" s="1"/>
  <c r="V681" i="8" s="1"/>
  <c r="P596" i="8"/>
  <c r="P597" i="8" s="1"/>
  <c r="Q276" i="2"/>
  <c r="P330" i="2"/>
  <c r="P352" i="2" s="1"/>
  <c r="P341" i="2"/>
  <c r="P776" i="8"/>
  <c r="P777" i="8" s="1"/>
  <c r="P848" i="8"/>
  <c r="P849" i="8" s="1"/>
  <c r="M808" i="8"/>
  <c r="M809" i="8" s="1"/>
  <c r="M396" i="2"/>
  <c r="M964" i="8" s="1"/>
  <c r="M965" i="8" s="1"/>
  <c r="M332" i="2"/>
  <c r="M354" i="2" s="1"/>
  <c r="N332" i="2"/>
  <c r="N354" i="2" s="1"/>
  <c r="E301" i="2"/>
  <c r="O301" i="2" s="1"/>
  <c r="O668" i="8" s="1"/>
  <c r="O669" i="8" s="1"/>
  <c r="L332" i="2"/>
  <c r="L354" i="2" s="1"/>
  <c r="AA761" i="2"/>
  <c r="AA790" i="2" s="1"/>
  <c r="AA718" i="2"/>
  <c r="N336" i="2"/>
  <c r="N358" i="2" s="1"/>
  <c r="Q266" i="2"/>
  <c r="R266" i="2"/>
  <c r="Q776" i="8"/>
  <c r="Q777" i="8" s="1"/>
  <c r="Q848" i="8"/>
  <c r="Q849" i="8" s="1"/>
  <c r="L304" i="2"/>
  <c r="L680" i="8" s="1"/>
  <c r="L681" i="8" s="1"/>
  <c r="Z304" i="2"/>
  <c r="Z680" i="8" s="1"/>
  <c r="Z681" i="8" s="1"/>
  <c r="K536" i="2"/>
  <c r="K546" i="2" s="1"/>
  <c r="X202" i="2"/>
  <c r="X212" i="2" s="1"/>
  <c r="Y137" i="2"/>
  <c r="Y367" i="8" s="1"/>
  <c r="Y368" i="8" s="1"/>
  <c r="X19" i="2"/>
  <c r="X29" i="2" s="1"/>
  <c r="AA28" i="2"/>
  <c r="P20" i="2"/>
  <c r="Y403" i="8"/>
  <c r="Y404" i="8" s="1"/>
  <c r="L30" i="2"/>
  <c r="M88" i="2"/>
  <c r="O22" i="2"/>
  <c r="O315" i="8" s="1"/>
  <c r="O316" i="8" s="1"/>
  <c r="AD91" i="2"/>
  <c r="Q265" i="2"/>
  <c r="R265" i="2"/>
  <c r="N820" i="8"/>
  <c r="N821" i="8" s="1"/>
  <c r="N399" i="2"/>
  <c r="N976" i="8" s="1"/>
  <c r="N977" i="8" s="1"/>
  <c r="M1192" i="8"/>
  <c r="M1193" i="8" s="1"/>
  <c r="H733" i="2"/>
  <c r="E713" i="2"/>
  <c r="AC304" i="2"/>
  <c r="AC680" i="8" s="1"/>
  <c r="AC681" i="8" s="1"/>
  <c r="AD304" i="2"/>
  <c r="AD680" i="8" s="1"/>
  <c r="AD681" i="8" s="1"/>
  <c r="P1180" i="8"/>
  <c r="P1181" i="8" s="1"/>
  <c r="Q300" i="2"/>
  <c r="Q664" i="8" s="1"/>
  <c r="Q665" i="8" s="1"/>
  <c r="U304" i="2"/>
  <c r="U680" i="8" s="1"/>
  <c r="U681" i="8" s="1"/>
  <c r="P812" i="8"/>
  <c r="P813" i="8" s="1"/>
  <c r="P397" i="2"/>
  <c r="P968" i="8" s="1"/>
  <c r="P969" i="8" s="1"/>
  <c r="AB299" i="2"/>
  <c r="AB660" i="8" s="1"/>
  <c r="AB661" i="8" s="1"/>
  <c r="O784" i="8"/>
  <c r="O785" i="8" s="1"/>
  <c r="O376" i="2"/>
  <c r="O908" i="8" s="1"/>
  <c r="O909" i="8" s="1"/>
  <c r="O856" i="8"/>
  <c r="O857" i="8" s="1"/>
  <c r="AC718" i="2"/>
  <c r="AC761" i="2"/>
  <c r="AC790" i="2" s="1"/>
  <c r="N816" i="8"/>
  <c r="N817" i="8" s="1"/>
  <c r="Q665" i="2"/>
  <c r="R665" i="2"/>
  <c r="Q812" i="8"/>
  <c r="Q813" i="8" s="1"/>
  <c r="Q397" i="2"/>
  <c r="Q968" i="8" s="1"/>
  <c r="Q969" i="8" s="1"/>
  <c r="AB89" i="2"/>
  <c r="AB339" i="8"/>
  <c r="AB340" i="8" s="1"/>
  <c r="X355" i="8"/>
  <c r="X356" i="8" s="1"/>
  <c r="V207" i="2"/>
  <c r="V403" i="8"/>
  <c r="V404" i="8" s="1"/>
  <c r="K493" i="2"/>
  <c r="Z139" i="2"/>
  <c r="Z149" i="2" s="1"/>
  <c r="Z142" i="2"/>
  <c r="AE143" i="2"/>
  <c r="AE153" i="2" s="1"/>
  <c r="Z137" i="2"/>
  <c r="Z147" i="2" s="1"/>
  <c r="R141" i="2"/>
  <c r="R151" i="2" s="1"/>
  <c r="M34" i="2"/>
  <c r="Y20" i="2"/>
  <c r="Y93" i="2"/>
  <c r="Y355" i="8"/>
  <c r="Y356" i="8" s="1"/>
  <c r="K80" i="2"/>
  <c r="K90" i="2" s="1"/>
  <c r="K539" i="2"/>
  <c r="K29" i="2"/>
  <c r="K303" i="8"/>
  <c r="R144" i="2"/>
  <c r="Z143" i="2"/>
  <c r="AC29" i="2"/>
  <c r="X363" i="8"/>
  <c r="X364" i="8" s="1"/>
  <c r="AC18" i="2"/>
  <c r="AC20" i="2"/>
  <c r="AC307" i="8" s="1"/>
  <c r="AC308" i="8" s="1"/>
  <c r="N152" i="2"/>
  <c r="N387" i="8"/>
  <c r="N388" i="8" s="1"/>
  <c r="S147" i="2"/>
  <c r="S367" i="8"/>
  <c r="S368" i="8" s="1"/>
  <c r="X152" i="2"/>
  <c r="X387" i="8"/>
  <c r="X388" i="8" s="1"/>
  <c r="L95" i="2"/>
  <c r="L363" i="8"/>
  <c r="L364" i="8" s="1"/>
  <c r="Z208" i="2"/>
  <c r="L145" i="2"/>
  <c r="N147" i="2"/>
  <c r="N367" i="8"/>
  <c r="N368" i="8" s="1"/>
  <c r="Q154" i="2"/>
  <c r="Q395" i="8"/>
  <c r="Q396" i="8" s="1"/>
  <c r="Q78" i="2"/>
  <c r="Q335" i="8" s="1"/>
  <c r="Q336" i="8" s="1"/>
  <c r="S199" i="2"/>
  <c r="S209" i="2" s="1"/>
  <c r="K210" i="2"/>
  <c r="Z145" i="2"/>
  <c r="Z155" i="2" s="1"/>
  <c r="Q22" i="2"/>
  <c r="Q19" i="2"/>
  <c r="Q303" i="8" s="1"/>
  <c r="Q304" i="8" s="1"/>
  <c r="K307" i="8"/>
  <c r="Y214" i="2"/>
  <c r="L142" i="2"/>
  <c r="L152" i="2" s="1"/>
  <c r="L139" i="2"/>
  <c r="L375" i="8" s="1"/>
  <c r="L376" i="8" s="1"/>
  <c r="AB27" i="2"/>
  <c r="AB295" i="8"/>
  <c r="AB296" i="8" s="1"/>
  <c r="V151" i="2"/>
  <c r="V383" i="8"/>
  <c r="V384" i="8" s="1"/>
  <c r="V34" i="2"/>
  <c r="V323" i="8"/>
  <c r="V324" i="8" s="1"/>
  <c r="V87" i="2"/>
  <c r="V331" i="8"/>
  <c r="V332" i="8" s="1"/>
  <c r="K84" i="2"/>
  <c r="K94" i="2" s="1"/>
  <c r="K542" i="2"/>
  <c r="K552" i="2" s="1"/>
  <c r="AB210" i="2"/>
  <c r="R140" i="2"/>
  <c r="R150" i="2" s="1"/>
  <c r="M212" i="2"/>
  <c r="M423" i="8"/>
  <c r="M424" i="8" s="1"/>
  <c r="R213" i="2"/>
  <c r="Y22" i="2"/>
  <c r="Y32" i="2" s="1"/>
  <c r="Y92" i="2"/>
  <c r="Y351" i="8"/>
  <c r="Y352" i="8" s="1"/>
  <c r="AC80" i="2"/>
  <c r="AC82" i="2"/>
  <c r="U91" i="2"/>
  <c r="U347" i="8"/>
  <c r="U348" i="8" s="1"/>
  <c r="X214" i="2"/>
  <c r="X431" i="8"/>
  <c r="X432" i="8" s="1"/>
  <c r="AA212" i="2"/>
  <c r="AA423" i="8"/>
  <c r="AA424" i="8" s="1"/>
  <c r="R143" i="2"/>
  <c r="R391" i="8" s="1"/>
  <c r="R392" i="8" s="1"/>
  <c r="R145" i="2"/>
  <c r="X92" i="2"/>
  <c r="X351" i="8"/>
  <c r="X352" i="8" s="1"/>
  <c r="AB431" i="8"/>
  <c r="AB432" i="8" s="1"/>
  <c r="AB214" i="2"/>
  <c r="Q21" i="2"/>
  <c r="Q25" i="2"/>
  <c r="Q18" i="2"/>
  <c r="K540" i="2"/>
  <c r="K550" i="2" s="1"/>
  <c r="K541" i="2"/>
  <c r="K85" i="2"/>
  <c r="AB423" i="8"/>
  <c r="AB424" i="8" s="1"/>
  <c r="AB212" i="2"/>
  <c r="U88" i="2"/>
  <c r="U335" i="8"/>
  <c r="U336" i="8" s="1"/>
  <c r="S202" i="2"/>
  <c r="S423" i="8" s="1"/>
  <c r="S424" i="8" s="1"/>
  <c r="S204" i="2"/>
  <c r="S431" i="8" s="1"/>
  <c r="S432" i="8" s="1"/>
  <c r="S28" i="2"/>
  <c r="S299" i="8"/>
  <c r="S300" i="8" s="1"/>
  <c r="R139" i="2"/>
  <c r="Y18" i="2"/>
  <c r="Y21" i="2"/>
  <c r="Y17" i="2"/>
  <c r="Y25" i="2"/>
  <c r="Y35" i="2" s="1"/>
  <c r="P28" i="2"/>
  <c r="P299" i="8"/>
  <c r="P300" i="8" s="1"/>
  <c r="N207" i="2"/>
  <c r="V92" i="2"/>
  <c r="V351" i="8"/>
  <c r="V352" i="8" s="1"/>
  <c r="N95" i="2"/>
  <c r="N363" i="8"/>
  <c r="N364" i="8" s="1"/>
  <c r="AC35" i="2"/>
  <c r="Y19" i="2"/>
  <c r="Y29" i="2" s="1"/>
  <c r="Q149" i="2"/>
  <c r="W88" i="2"/>
  <c r="W335" i="8"/>
  <c r="W336" i="8" s="1"/>
  <c r="AC21" i="2"/>
  <c r="T28" i="2"/>
  <c r="T299" i="8"/>
  <c r="T300" i="8" s="1"/>
  <c r="V200" i="2"/>
  <c r="V210" i="2" s="1"/>
  <c r="Z85" i="2"/>
  <c r="Z363" i="8" s="1"/>
  <c r="Z364" i="8" s="1"/>
  <c r="L137" i="2"/>
  <c r="AE141" i="2"/>
  <c r="O25" i="2"/>
  <c r="O35" i="2" s="1"/>
  <c r="M363" i="8"/>
  <c r="M364" i="8" s="1"/>
  <c r="Z24" i="2"/>
  <c r="Z34" i="2" s="1"/>
  <c r="V204" i="2"/>
  <c r="L92" i="2"/>
  <c r="M119" i="2" s="1"/>
  <c r="Q205" i="2"/>
  <c r="Q435" i="8" s="1"/>
  <c r="Q436" i="8" s="1"/>
  <c r="L91" i="2"/>
  <c r="N18" i="2"/>
  <c r="P198" i="2"/>
  <c r="P407" i="8" s="1"/>
  <c r="P408" i="8" s="1"/>
  <c r="X203" i="2"/>
  <c r="O198" i="2"/>
  <c r="O407" i="8" s="1"/>
  <c r="O408" i="8" s="1"/>
  <c r="M21" i="2"/>
  <c r="S25" i="2"/>
  <c r="M201" i="2"/>
  <c r="M419" i="8" s="1"/>
  <c r="M420" i="8" s="1"/>
  <c r="K598" i="2"/>
  <c r="K608" i="2" s="1"/>
  <c r="K211" i="2"/>
  <c r="U204" i="2"/>
  <c r="V138" i="2"/>
  <c r="V148" i="2" s="1"/>
  <c r="S82" i="2"/>
  <c r="S351" i="8" s="1"/>
  <c r="S352" i="8" s="1"/>
  <c r="Q152" i="2"/>
  <c r="AA209" i="2"/>
  <c r="Q24" i="2"/>
  <c r="AC83" i="2"/>
  <c r="AC355" i="8" s="1"/>
  <c r="AC356" i="8" s="1"/>
  <c r="Y144" i="2"/>
  <c r="Y154" i="2" s="1"/>
  <c r="AA140" i="2"/>
  <c r="W19" i="2"/>
  <c r="W29" i="2" s="1"/>
  <c r="L307" i="8"/>
  <c r="L308" i="8" s="1"/>
  <c r="X343" i="8"/>
  <c r="X344" i="8" s="1"/>
  <c r="M347" i="8"/>
  <c r="M348" i="8" s="1"/>
  <c r="T351" i="8"/>
  <c r="T352" i="8" s="1"/>
  <c r="N93" i="2"/>
  <c r="AC81" i="2"/>
  <c r="X149" i="2"/>
  <c r="S21" i="2"/>
  <c r="V21" i="2"/>
  <c r="S203" i="2"/>
  <c r="L144" i="2"/>
  <c r="L395" i="8" s="1"/>
  <c r="L396" i="8" s="1"/>
  <c r="AE140" i="2"/>
  <c r="AE150" i="2" s="1"/>
  <c r="Q20" i="2"/>
  <c r="Q30" i="2" s="1"/>
  <c r="W347" i="8"/>
  <c r="W348" i="8" s="1"/>
  <c r="M92" i="2"/>
  <c r="M204" i="2"/>
  <c r="M431" i="8" s="1"/>
  <c r="M432" i="8" s="1"/>
  <c r="AC201" i="2"/>
  <c r="AC419" i="8" s="1"/>
  <c r="AC420" i="8" s="1"/>
  <c r="N22" i="2"/>
  <c r="V201" i="2"/>
  <c r="V23" i="2"/>
  <c r="Y23" i="2"/>
  <c r="N138" i="2"/>
  <c r="Q17" i="2"/>
  <c r="Y339" i="8"/>
  <c r="Y340" i="8" s="1"/>
  <c r="S19" i="2"/>
  <c r="Q200" i="2"/>
  <c r="AC17" i="2"/>
  <c r="AC295" i="8" s="1"/>
  <c r="AC296" i="8" s="1"/>
  <c r="W17" i="2"/>
  <c r="W295" i="8" s="1"/>
  <c r="W296" i="8" s="1"/>
  <c r="Z201" i="2"/>
  <c r="Z419" i="8" s="1"/>
  <c r="Z420" i="8" s="1"/>
  <c r="W22" i="2"/>
  <c r="W315" i="8" s="1"/>
  <c r="W316" i="8" s="1"/>
  <c r="AC85" i="2"/>
  <c r="K537" i="2"/>
  <c r="K547" i="2" s="1"/>
  <c r="K600" i="2"/>
  <c r="K610" i="2" s="1"/>
  <c r="K538" i="2"/>
  <c r="K548" i="2" s="1"/>
  <c r="V198" i="2"/>
  <c r="V208" i="2" s="1"/>
  <c r="P145" i="2"/>
  <c r="P155" i="2" s="1"/>
  <c r="V202" i="2"/>
  <c r="V423" i="8" s="1"/>
  <c r="V424" i="8" s="1"/>
  <c r="Q23" i="2"/>
  <c r="Q33" i="2" s="1"/>
  <c r="W25" i="2"/>
  <c r="W35" i="2" s="1"/>
  <c r="AE137" i="2"/>
  <c r="W23" i="2"/>
  <c r="W319" i="8" s="1"/>
  <c r="W320" i="8" s="1"/>
  <c r="L141" i="2"/>
  <c r="L151" i="2" s="1"/>
  <c r="O19" i="2"/>
  <c r="O29" i="2" s="1"/>
  <c r="L299" i="8"/>
  <c r="L300" i="8" s="1"/>
  <c r="L295" i="8"/>
  <c r="L296" i="8" s="1"/>
  <c r="V307" i="8"/>
  <c r="V308" i="8" s="1"/>
  <c r="K24" i="2"/>
  <c r="Q197" i="2"/>
  <c r="Q403" i="8" s="1"/>
  <c r="Q404" i="8" s="1"/>
  <c r="AA200" i="2"/>
  <c r="AB24" i="2"/>
  <c r="P23" i="2"/>
  <c r="AC22" i="2"/>
  <c r="AD419" i="8"/>
  <c r="AD420" i="8" s="1"/>
  <c r="L90" i="2"/>
  <c r="M117" i="2" s="1"/>
  <c r="S17" i="2"/>
  <c r="V199" i="2"/>
  <c r="Z25" i="2"/>
  <c r="Z205" i="2"/>
  <c r="Z435" i="8" s="1"/>
  <c r="Z436" i="8" s="1"/>
  <c r="Q198" i="2"/>
  <c r="S23" i="2"/>
  <c r="Z22" i="2"/>
  <c r="AC200" i="2"/>
  <c r="N91" i="2"/>
  <c r="N204" i="2"/>
  <c r="Z23" i="2"/>
  <c r="N90" i="2"/>
  <c r="S198" i="2"/>
  <c r="S407" i="8" s="1"/>
  <c r="S408" i="8" s="1"/>
  <c r="R207" i="2"/>
  <c r="M215" i="2"/>
  <c r="O139" i="2"/>
  <c r="O149" i="2" s="1"/>
  <c r="AE138" i="2"/>
  <c r="W18" i="2"/>
  <c r="W28" i="2" s="1"/>
  <c r="Y138" i="2"/>
  <c r="Y371" i="8" s="1"/>
  <c r="Y372" i="8" s="1"/>
  <c r="P143" i="2"/>
  <c r="P391" i="8" s="1"/>
  <c r="P392" i="8" s="1"/>
  <c r="N141" i="2"/>
  <c r="Q77" i="2"/>
  <c r="Q87" i="2" s="1"/>
  <c r="AE144" i="2"/>
  <c r="AE154" i="2" s="1"/>
  <c r="AE311" i="8"/>
  <c r="AE312" i="8" s="1"/>
  <c r="Y343" i="8"/>
  <c r="Y344" i="8" s="1"/>
  <c r="K295" i="8"/>
  <c r="T347" i="8"/>
  <c r="T348" i="8" s="1"/>
  <c r="W93" i="2"/>
  <c r="P138" i="2"/>
  <c r="S197" i="2"/>
  <c r="S403" i="8" s="1"/>
  <c r="S404" i="8" s="1"/>
  <c r="S205" i="2"/>
  <c r="S435" i="8" s="1"/>
  <c r="S436" i="8" s="1"/>
  <c r="O91" i="2"/>
  <c r="X198" i="2"/>
  <c r="U92" i="2"/>
  <c r="U198" i="2"/>
  <c r="U407" i="8" s="1"/>
  <c r="U408" i="8" s="1"/>
  <c r="N199" i="2"/>
  <c r="N411" i="8" s="1"/>
  <c r="N412" i="8" s="1"/>
  <c r="AB21" i="2"/>
  <c r="N145" i="2"/>
  <c r="U201" i="2"/>
  <c r="U419" i="8" s="1"/>
  <c r="U420" i="8" s="1"/>
  <c r="K611" i="2"/>
  <c r="K434" i="2"/>
  <c r="X151" i="2"/>
  <c r="X383" i="8"/>
  <c r="X384" i="8" s="1"/>
  <c r="Q214" i="2"/>
  <c r="P88" i="2"/>
  <c r="P335" i="8"/>
  <c r="P336" i="8" s="1"/>
  <c r="AD148" i="2"/>
  <c r="AD371" i="8"/>
  <c r="AD372" i="8" s="1"/>
  <c r="Z211" i="2"/>
  <c r="AA355" i="8"/>
  <c r="AA356" i="8" s="1"/>
  <c r="N154" i="2"/>
  <c r="K549" i="2"/>
  <c r="W214" i="2"/>
  <c r="W431" i="8"/>
  <c r="W432" i="8" s="1"/>
  <c r="K213" i="2"/>
  <c r="K427" i="8"/>
  <c r="K490" i="2"/>
  <c r="AE33" i="2"/>
  <c r="AE319" i="8"/>
  <c r="AE320" i="8" s="1"/>
  <c r="Y149" i="2"/>
  <c r="Y375" i="8"/>
  <c r="Y376" i="8" s="1"/>
  <c r="P29" i="2"/>
  <c r="P303" i="8"/>
  <c r="P304" i="8" s="1"/>
  <c r="Z89" i="2"/>
  <c r="Z339" i="8"/>
  <c r="Z340" i="8" s="1"/>
  <c r="AD95" i="2"/>
  <c r="AD363" i="8"/>
  <c r="AD364" i="8" s="1"/>
  <c r="Z30" i="2"/>
  <c r="Z307" i="8"/>
  <c r="Z308" i="8" s="1"/>
  <c r="W142" i="2"/>
  <c r="W145" i="2"/>
  <c r="W143" i="2"/>
  <c r="R22" i="2"/>
  <c r="R21" i="2"/>
  <c r="R25" i="2"/>
  <c r="R18" i="2"/>
  <c r="R23" i="2"/>
  <c r="P152" i="2"/>
  <c r="P387" i="8"/>
  <c r="P388" i="8" s="1"/>
  <c r="Q94" i="2"/>
  <c r="Q359" i="8"/>
  <c r="Q360" i="8" s="1"/>
  <c r="K614" i="2"/>
  <c r="AE210" i="2"/>
  <c r="AE415" i="8"/>
  <c r="AE416" i="8" s="1"/>
  <c r="S155" i="2"/>
  <c r="S399" i="8"/>
  <c r="S400" i="8" s="1"/>
  <c r="AB152" i="2"/>
  <c r="AB387" i="8"/>
  <c r="AB388" i="8" s="1"/>
  <c r="AA207" i="2"/>
  <c r="AA403" i="8"/>
  <c r="AA404" i="8" s="1"/>
  <c r="S34" i="2"/>
  <c r="S323" i="8"/>
  <c r="S324" i="8" s="1"/>
  <c r="N379" i="8"/>
  <c r="N380" i="8" s="1"/>
  <c r="T211" i="2"/>
  <c r="T419" i="8"/>
  <c r="T420" i="8" s="1"/>
  <c r="Q213" i="2"/>
  <c r="Q427" i="8"/>
  <c r="Q428" i="8" s="1"/>
  <c r="W138" i="2"/>
  <c r="AA141" i="2"/>
  <c r="AA139" i="2"/>
  <c r="AA144" i="2"/>
  <c r="AA138" i="2"/>
  <c r="L155" i="2"/>
  <c r="L399" i="8"/>
  <c r="L400" i="8" s="1"/>
  <c r="W137" i="2"/>
  <c r="AE35" i="2"/>
  <c r="AE327" i="8"/>
  <c r="AE328" i="8" s="1"/>
  <c r="Z27" i="2"/>
  <c r="Z295" i="8"/>
  <c r="Z296" i="8" s="1"/>
  <c r="M141" i="2"/>
  <c r="AC152" i="2"/>
  <c r="AC387" i="8"/>
  <c r="AC388" i="8" s="1"/>
  <c r="X327" i="8"/>
  <c r="X328" i="8" s="1"/>
  <c r="AC94" i="2"/>
  <c r="AC359" i="8"/>
  <c r="AC360" i="8" s="1"/>
  <c r="AE391" i="8"/>
  <c r="AE392" i="8" s="1"/>
  <c r="AE208" i="2"/>
  <c r="AE407" i="8"/>
  <c r="AE408" i="8" s="1"/>
  <c r="AC88" i="2"/>
  <c r="AC335" i="8"/>
  <c r="AC336" i="8" s="1"/>
  <c r="T89" i="2"/>
  <c r="T339" i="8"/>
  <c r="T340" i="8" s="1"/>
  <c r="N87" i="2"/>
  <c r="N331" i="8"/>
  <c r="N332" i="8" s="1"/>
  <c r="O303" i="8"/>
  <c r="O304" i="8" s="1"/>
  <c r="AA152" i="2"/>
  <c r="AA387" i="8"/>
  <c r="AA388" i="8" s="1"/>
  <c r="AB93" i="2"/>
  <c r="AB355" i="8"/>
  <c r="AB356" i="8" s="1"/>
  <c r="N94" i="2"/>
  <c r="N359" i="8"/>
  <c r="N360" i="8" s="1"/>
  <c r="AC209" i="2"/>
  <c r="AC411" i="8"/>
  <c r="AC412" i="8" s="1"/>
  <c r="K208" i="2"/>
  <c r="K407" i="8"/>
  <c r="P211" i="2"/>
  <c r="P213" i="2"/>
  <c r="P208" i="2"/>
  <c r="U142" i="2"/>
  <c r="U139" i="2"/>
  <c r="U143" i="2"/>
  <c r="O92" i="2"/>
  <c r="O351" i="8"/>
  <c r="O352" i="8" s="1"/>
  <c r="N215" i="2"/>
  <c r="N435" i="8"/>
  <c r="N436" i="8" s="1"/>
  <c r="K32" i="2"/>
  <c r="K315" i="8"/>
  <c r="AD87" i="2"/>
  <c r="AD331" i="8"/>
  <c r="AD332" i="8" s="1"/>
  <c r="Q88" i="2"/>
  <c r="AC327" i="8"/>
  <c r="AC328" i="8" s="1"/>
  <c r="W210" i="2"/>
  <c r="AD34" i="2"/>
  <c r="AD323" i="8"/>
  <c r="AD324" i="8" s="1"/>
  <c r="P89" i="2"/>
  <c r="P339" i="8"/>
  <c r="P340" i="8" s="1"/>
  <c r="AE379" i="8"/>
  <c r="AE380" i="8" s="1"/>
  <c r="S91" i="2"/>
  <c r="S347" i="8"/>
  <c r="S348" i="8" s="1"/>
  <c r="AA147" i="2"/>
  <c r="AA367" i="8"/>
  <c r="AA368" i="8" s="1"/>
  <c r="AD29" i="2"/>
  <c r="AD303" i="8"/>
  <c r="AD304" i="8" s="1"/>
  <c r="L147" i="2"/>
  <c r="L367" i="8"/>
  <c r="L368" i="8" s="1"/>
  <c r="P94" i="2"/>
  <c r="P359" i="8"/>
  <c r="P360" i="8" s="1"/>
  <c r="U29" i="2"/>
  <c r="U303" i="8"/>
  <c r="U304" i="8" s="1"/>
  <c r="K597" i="2"/>
  <c r="K602" i="2"/>
  <c r="K599" i="2"/>
  <c r="AE207" i="2"/>
  <c r="AE403" i="8"/>
  <c r="AE404" i="8" s="1"/>
  <c r="O138" i="2"/>
  <c r="O33" i="2"/>
  <c r="O319" i="8"/>
  <c r="O320" i="8" s="1"/>
  <c r="K153" i="2"/>
  <c r="K391" i="8"/>
  <c r="AA31" i="2"/>
  <c r="N89" i="2"/>
  <c r="N339" i="8"/>
  <c r="N340" i="8" s="1"/>
  <c r="AA30" i="2"/>
  <c r="AA307" i="8"/>
  <c r="AA308" i="8" s="1"/>
  <c r="N35" i="2"/>
  <c r="N327" i="8"/>
  <c r="N328" i="8" s="1"/>
  <c r="R87" i="2"/>
  <c r="R331" i="8"/>
  <c r="R332" i="8" s="1"/>
  <c r="L209" i="2"/>
  <c r="L411" i="8"/>
  <c r="L412" i="8" s="1"/>
  <c r="O209" i="2"/>
  <c r="O411" i="8"/>
  <c r="O412" i="8" s="1"/>
  <c r="O142" i="2"/>
  <c r="K486" i="2"/>
  <c r="AE209" i="2"/>
  <c r="AE411" i="8"/>
  <c r="AE412" i="8" s="1"/>
  <c r="AE211" i="2"/>
  <c r="AE419" i="8"/>
  <c r="AE420" i="8" s="1"/>
  <c r="L208" i="2"/>
  <c r="L214" i="2"/>
  <c r="P92" i="2"/>
  <c r="P351" i="8"/>
  <c r="P352" i="8" s="1"/>
  <c r="W213" i="2"/>
  <c r="Z212" i="2"/>
  <c r="Z423" i="8"/>
  <c r="Z424" i="8" s="1"/>
  <c r="N211" i="2"/>
  <c r="N419" i="8"/>
  <c r="N420" i="8" s="1"/>
  <c r="AC207" i="2"/>
  <c r="AC403" i="8"/>
  <c r="AC404" i="8" s="1"/>
  <c r="T142" i="2"/>
  <c r="T137" i="2"/>
  <c r="T139" i="2"/>
  <c r="U31" i="2"/>
  <c r="U311" i="8"/>
  <c r="U312" i="8" s="1"/>
  <c r="X207" i="2"/>
  <c r="X403" i="8"/>
  <c r="X404" i="8" s="1"/>
  <c r="K95" i="2"/>
  <c r="K363" i="8"/>
  <c r="M32" i="2"/>
  <c r="M315" i="8"/>
  <c r="M316" i="8" s="1"/>
  <c r="U35" i="2"/>
  <c r="U28" i="2"/>
  <c r="U32" i="2"/>
  <c r="U33" i="2"/>
  <c r="L88" i="2"/>
  <c r="L335" i="8"/>
  <c r="L336" i="8" s="1"/>
  <c r="Y147" i="2"/>
  <c r="P207" i="2"/>
  <c r="P403" i="8"/>
  <c r="P404" i="8" s="1"/>
  <c r="P154" i="2"/>
  <c r="P395" i="8"/>
  <c r="P396" i="8" s="1"/>
  <c r="V150" i="2"/>
  <c r="V379" i="8"/>
  <c r="V380" i="8" s="1"/>
  <c r="O379" i="8"/>
  <c r="O380" i="8" s="1"/>
  <c r="N212" i="2"/>
  <c r="N423" i="8"/>
  <c r="N424" i="8" s="1"/>
  <c r="AB150" i="2"/>
  <c r="AB379" i="8"/>
  <c r="AB380" i="8" s="1"/>
  <c r="AA95" i="2"/>
  <c r="AA363" i="8"/>
  <c r="AA364" i="8" s="1"/>
  <c r="AC213" i="2"/>
  <c r="AE91" i="2"/>
  <c r="AE347" i="8"/>
  <c r="AE348" i="8" s="1"/>
  <c r="M142" i="2"/>
  <c r="M139" i="2"/>
  <c r="M145" i="2"/>
  <c r="K417" i="2"/>
  <c r="K416" i="2"/>
  <c r="K419" i="2"/>
  <c r="S213" i="2"/>
  <c r="S427" i="8"/>
  <c r="S428" i="8" s="1"/>
  <c r="V95" i="2"/>
  <c r="V363" i="8"/>
  <c r="V364" i="8" s="1"/>
  <c r="T213" i="2"/>
  <c r="T427" i="8"/>
  <c r="T428" i="8" s="1"/>
  <c r="O27" i="2"/>
  <c r="O295" i="8"/>
  <c r="O296" i="8" s="1"/>
  <c r="Z29" i="2"/>
  <c r="Z303" i="8"/>
  <c r="Z304" i="8" s="1"/>
  <c r="P87" i="2"/>
  <c r="P331" i="8"/>
  <c r="P332" i="8" s="1"/>
  <c r="K551" i="2"/>
  <c r="P214" i="2"/>
  <c r="P431" i="8"/>
  <c r="P432" i="8" s="1"/>
  <c r="K212" i="2"/>
  <c r="K423" i="8"/>
  <c r="M210" i="2"/>
  <c r="M237" i="2" s="1"/>
  <c r="M415" i="8"/>
  <c r="M416" i="8" s="1"/>
  <c r="M143" i="2"/>
  <c r="AB95" i="2"/>
  <c r="AB363" i="8"/>
  <c r="AB364" i="8" s="1"/>
  <c r="AA32" i="2"/>
  <c r="AA315" i="8"/>
  <c r="AA316" i="8" s="1"/>
  <c r="O214" i="2"/>
  <c r="O431" i="8"/>
  <c r="O432" i="8" s="1"/>
  <c r="L149" i="2"/>
  <c r="Z214" i="2"/>
  <c r="T145" i="2"/>
  <c r="AA143" i="2"/>
  <c r="AC147" i="2"/>
  <c r="AC367" i="8"/>
  <c r="AC368" i="8" s="1"/>
  <c r="AC34" i="2"/>
  <c r="AC323" i="8"/>
  <c r="AC324" i="8" s="1"/>
  <c r="V90" i="2"/>
  <c r="V343" i="8"/>
  <c r="V344" i="8" s="1"/>
  <c r="K491" i="2"/>
  <c r="Z209" i="2"/>
  <c r="Z411" i="8"/>
  <c r="Z412" i="8" s="1"/>
  <c r="AE213" i="2"/>
  <c r="AE427" i="8"/>
  <c r="AE428" i="8" s="1"/>
  <c r="L215" i="2"/>
  <c r="M242" i="2" s="1"/>
  <c r="Y91" i="2"/>
  <c r="Y347" i="8"/>
  <c r="Y348" i="8" s="1"/>
  <c r="U213" i="2"/>
  <c r="O145" i="2"/>
  <c r="AB215" i="2"/>
  <c r="AB435" i="8"/>
  <c r="AB436" i="8" s="1"/>
  <c r="U145" i="2"/>
  <c r="AC33" i="2"/>
  <c r="AC319" i="8"/>
  <c r="AC320" i="8" s="1"/>
  <c r="Y143" i="2"/>
  <c r="X88" i="2"/>
  <c r="X335" i="8"/>
  <c r="X336" i="8" s="1"/>
  <c r="K137" i="2"/>
  <c r="Q85" i="2"/>
  <c r="R88" i="2"/>
  <c r="R335" i="8"/>
  <c r="R336" i="8" s="1"/>
  <c r="K141" i="2"/>
  <c r="R20" i="2"/>
  <c r="R147" i="2"/>
  <c r="R367" i="8"/>
  <c r="R368" i="8" s="1"/>
  <c r="AD30" i="2"/>
  <c r="AD307" i="8"/>
  <c r="AD308" i="8" s="1"/>
  <c r="X154" i="2"/>
  <c r="X395" i="8"/>
  <c r="X396" i="8" s="1"/>
  <c r="S150" i="2"/>
  <c r="S379" i="8"/>
  <c r="S380" i="8" s="1"/>
  <c r="M140" i="2"/>
  <c r="AB87" i="2"/>
  <c r="AB331" i="8"/>
  <c r="AB332" i="8" s="1"/>
  <c r="T94" i="2"/>
  <c r="T359" i="8"/>
  <c r="T360" i="8" s="1"/>
  <c r="P399" i="8"/>
  <c r="P400" i="8" s="1"/>
  <c r="K419" i="8"/>
  <c r="AA435" i="8"/>
  <c r="AA436" i="8" s="1"/>
  <c r="K543" i="2"/>
  <c r="U214" i="2"/>
  <c r="U431" i="8"/>
  <c r="U432" i="8" s="1"/>
  <c r="K488" i="2"/>
  <c r="W209" i="2"/>
  <c r="W411" i="8"/>
  <c r="W412" i="8" s="1"/>
  <c r="U215" i="2"/>
  <c r="U435" i="8"/>
  <c r="U436" i="8" s="1"/>
  <c r="L212" i="2"/>
  <c r="M239" i="2" s="1"/>
  <c r="T210" i="2"/>
  <c r="AE139" i="2"/>
  <c r="AE142" i="2"/>
  <c r="K28" i="2"/>
  <c r="K299" i="8"/>
  <c r="O143" i="2"/>
  <c r="R142" i="2"/>
  <c r="S32" i="2"/>
  <c r="S315" i="8"/>
  <c r="S316" i="8" s="1"/>
  <c r="W32" i="2"/>
  <c r="W31" i="2"/>
  <c r="W311" i="8"/>
  <c r="W312" i="8" s="1"/>
  <c r="P32" i="2"/>
  <c r="P315" i="8"/>
  <c r="P316" i="8" s="1"/>
  <c r="Y88" i="2"/>
  <c r="Y335" i="8"/>
  <c r="Y336" i="8" s="1"/>
  <c r="S83" i="2"/>
  <c r="AB151" i="2"/>
  <c r="AB383" i="8"/>
  <c r="AB384" i="8" s="1"/>
  <c r="AE34" i="2"/>
  <c r="AE323" i="8"/>
  <c r="AE324" i="8" s="1"/>
  <c r="AD154" i="2"/>
  <c r="K140" i="2"/>
  <c r="AD395" i="8"/>
  <c r="AD396" i="8" s="1"/>
  <c r="AC303" i="8"/>
  <c r="AC304" i="8" s="1"/>
  <c r="AE303" i="8"/>
  <c r="AE304" i="8" s="1"/>
  <c r="S307" i="8"/>
  <c r="S308" i="8" s="1"/>
  <c r="X87" i="2"/>
  <c r="X331" i="8"/>
  <c r="X332" i="8" s="1"/>
  <c r="AE83" i="2"/>
  <c r="L387" i="8"/>
  <c r="L388" i="8" s="1"/>
  <c r="M57" i="2"/>
  <c r="K544" i="2"/>
  <c r="U207" i="2"/>
  <c r="U403" i="8"/>
  <c r="U404" i="8" s="1"/>
  <c r="R211" i="2"/>
  <c r="R419" i="8"/>
  <c r="R420" i="8" s="1"/>
  <c r="R209" i="2"/>
  <c r="R411" i="8"/>
  <c r="R412" i="8" s="1"/>
  <c r="T208" i="2"/>
  <c r="T407" i="8"/>
  <c r="T408" i="8" s="1"/>
  <c r="Q211" i="2"/>
  <c r="W139" i="2"/>
  <c r="M211" i="2"/>
  <c r="R212" i="2"/>
  <c r="R423" i="8"/>
  <c r="R424" i="8" s="1"/>
  <c r="T138" i="2"/>
  <c r="V137" i="2"/>
  <c r="V142" i="2"/>
  <c r="V139" i="2"/>
  <c r="K492" i="2"/>
  <c r="S85" i="2"/>
  <c r="O215" i="2"/>
  <c r="O435" i="8"/>
  <c r="O436" i="8" s="1"/>
  <c r="AD147" i="2"/>
  <c r="U211" i="2"/>
  <c r="Z78" i="2"/>
  <c r="M213" i="2"/>
  <c r="AC383" i="8"/>
  <c r="AC384" i="8" s="1"/>
  <c r="T209" i="2"/>
  <c r="W30" i="2"/>
  <c r="W307" i="8"/>
  <c r="W308" i="8" s="1"/>
  <c r="U34" i="2"/>
  <c r="U323" i="8"/>
  <c r="U324" i="8" s="1"/>
  <c r="T144" i="2"/>
  <c r="Q150" i="2"/>
  <c r="Q379" i="8"/>
  <c r="Q380" i="8" s="1"/>
  <c r="R138" i="2"/>
  <c r="P30" i="2"/>
  <c r="P307" i="8"/>
  <c r="P308" i="8" s="1"/>
  <c r="U94" i="2"/>
  <c r="U359" i="8"/>
  <c r="U360" i="8" s="1"/>
  <c r="AB391" i="8"/>
  <c r="AB392" i="8" s="1"/>
  <c r="L331" i="8"/>
  <c r="L332" i="8" s="1"/>
  <c r="V347" i="8"/>
  <c r="V348" i="8" s="1"/>
  <c r="Z367" i="8"/>
  <c r="Z368" i="8" s="1"/>
  <c r="Y407" i="8"/>
  <c r="Y408" i="8" s="1"/>
  <c r="U30" i="2"/>
  <c r="U93" i="2"/>
  <c r="U355" i="8"/>
  <c r="U356" i="8" s="1"/>
  <c r="K420" i="2"/>
  <c r="L211" i="2"/>
  <c r="M238" i="2" s="1"/>
  <c r="L419" i="8"/>
  <c r="L420" i="8" s="1"/>
  <c r="R214" i="2"/>
  <c r="R431" i="8"/>
  <c r="R432" i="8" s="1"/>
  <c r="AD207" i="2"/>
  <c r="AD403" i="8"/>
  <c r="AD404" i="8" s="1"/>
  <c r="AD149" i="2"/>
  <c r="AD375" i="8"/>
  <c r="AD376" i="8" s="1"/>
  <c r="AC215" i="2"/>
  <c r="AC435" i="8"/>
  <c r="AC436" i="8" s="1"/>
  <c r="Z210" i="2"/>
  <c r="Z415" i="8"/>
  <c r="Z416" i="8" s="1"/>
  <c r="R153" i="2"/>
  <c r="AE148" i="2"/>
  <c r="AE371" i="8"/>
  <c r="AE372" i="8" s="1"/>
  <c r="O137" i="2"/>
  <c r="L138" i="2"/>
  <c r="Y141" i="2"/>
  <c r="R208" i="2"/>
  <c r="V88" i="2"/>
  <c r="V335" i="8"/>
  <c r="V336" i="8" s="1"/>
  <c r="W92" i="2"/>
  <c r="W351" i="8"/>
  <c r="W352" i="8" s="1"/>
  <c r="M87" i="2"/>
  <c r="M114" i="2" s="1"/>
  <c r="M331" i="8"/>
  <c r="M332" i="8" s="1"/>
  <c r="X30" i="2"/>
  <c r="X307" i="8"/>
  <c r="X308" i="8" s="1"/>
  <c r="V35" i="2"/>
  <c r="V327" i="8"/>
  <c r="V328" i="8" s="1"/>
  <c r="X359" i="8"/>
  <c r="X360" i="8" s="1"/>
  <c r="AD351" i="8"/>
  <c r="AD352" i="8" s="1"/>
  <c r="AB419" i="8"/>
  <c r="AB420" i="8" s="1"/>
  <c r="R403" i="8"/>
  <c r="R404" i="8" s="1"/>
  <c r="R19" i="2"/>
  <c r="K596" i="2"/>
  <c r="K418" i="2"/>
  <c r="L207" i="2"/>
  <c r="L403" i="8"/>
  <c r="L404" i="8" s="1"/>
  <c r="Z82" i="2"/>
  <c r="Z81" i="2"/>
  <c r="Z77" i="2"/>
  <c r="Z84" i="2"/>
  <c r="V215" i="2"/>
  <c r="V435" i="8"/>
  <c r="V436" i="8" s="1"/>
  <c r="K138" i="2"/>
  <c r="K142" i="2"/>
  <c r="K145" i="2"/>
  <c r="Q147" i="2"/>
  <c r="Q367" i="8"/>
  <c r="Q368" i="8" s="1"/>
  <c r="AA79" i="2"/>
  <c r="Q34" i="2"/>
  <c r="Q323" i="8"/>
  <c r="Q324" i="8" s="1"/>
  <c r="Q151" i="2"/>
  <c r="Q383" i="8"/>
  <c r="Q384" i="8" s="1"/>
  <c r="O34" i="2"/>
  <c r="O144" i="2"/>
  <c r="L140" i="2"/>
  <c r="S77" i="2"/>
  <c r="S84" i="2"/>
  <c r="L423" i="8"/>
  <c r="L424" i="8" s="1"/>
  <c r="W407" i="8"/>
  <c r="W408" i="8" s="1"/>
  <c r="L213" i="2"/>
  <c r="L427" i="8"/>
  <c r="L428" i="8" s="1"/>
  <c r="Z207" i="2"/>
  <c r="Z403" i="8"/>
  <c r="Z404" i="8" s="1"/>
  <c r="Q79" i="2"/>
  <c r="Q81" i="2"/>
  <c r="Q82" i="2"/>
  <c r="K215" i="2"/>
  <c r="K435" i="8"/>
  <c r="Y142" i="2"/>
  <c r="Y140" i="2"/>
  <c r="N92" i="2"/>
  <c r="N351" i="8"/>
  <c r="N352" i="8" s="1"/>
  <c r="P149" i="2"/>
  <c r="P375" i="8"/>
  <c r="P376" i="8" s="1"/>
  <c r="L143" i="2"/>
  <c r="Z95" i="2"/>
  <c r="R155" i="2"/>
  <c r="R399" i="8"/>
  <c r="R400" i="8" s="1"/>
  <c r="Z152" i="2"/>
  <c r="Z387" i="8"/>
  <c r="Z388" i="8" s="1"/>
  <c r="AE147" i="2"/>
  <c r="AE367" i="8"/>
  <c r="AE368" i="8" s="1"/>
  <c r="S215" i="2"/>
  <c r="S212" i="2"/>
  <c r="T141" i="2"/>
  <c r="S207" i="2"/>
  <c r="AE28" i="2"/>
  <c r="AE299" i="8"/>
  <c r="AE300" i="8" s="1"/>
  <c r="AC154" i="2"/>
  <c r="AD150" i="2"/>
  <c r="M35" i="2"/>
  <c r="M62" i="2" s="1"/>
  <c r="M327" i="8"/>
  <c r="M328" i="8" s="1"/>
  <c r="AE30" i="2"/>
  <c r="AE307" i="8"/>
  <c r="AE308" i="8" s="1"/>
  <c r="W94" i="2"/>
  <c r="W359" i="8"/>
  <c r="W360" i="8" s="1"/>
  <c r="AD427" i="8"/>
  <c r="AD428" i="8" s="1"/>
  <c r="S371" i="8"/>
  <c r="S372" i="8" s="1"/>
  <c r="AA84" i="2"/>
  <c r="AA81" i="2"/>
  <c r="AE79" i="2"/>
  <c r="AE85" i="2"/>
  <c r="AE84" i="2"/>
  <c r="AE78" i="2"/>
  <c r="Y215" i="2"/>
  <c r="Y435" i="8"/>
  <c r="Y436" i="8" s="1"/>
  <c r="P210" i="2"/>
  <c r="P415" i="8"/>
  <c r="P416" i="8" s="1"/>
  <c r="AB92" i="2"/>
  <c r="AB351" i="8"/>
  <c r="AB352" i="8" s="1"/>
  <c r="AC153" i="2"/>
  <c r="T212" i="2"/>
  <c r="K423" i="2"/>
  <c r="T30" i="2"/>
  <c r="T307" i="8"/>
  <c r="T308" i="8" s="1"/>
  <c r="U141" i="2"/>
  <c r="S151" i="2"/>
  <c r="S383" i="8"/>
  <c r="S384" i="8" s="1"/>
  <c r="AD94" i="2"/>
  <c r="AD359" i="8"/>
  <c r="AD360" i="8" s="1"/>
  <c r="O28" i="2"/>
  <c r="O299" i="8"/>
  <c r="O300" i="8" s="1"/>
  <c r="AA80" i="2"/>
  <c r="P150" i="2"/>
  <c r="P379" i="8"/>
  <c r="P380" i="8" s="1"/>
  <c r="V295" i="8"/>
  <c r="V296" i="8" s="1"/>
  <c r="AB415" i="8"/>
  <c r="AB416" i="8" s="1"/>
  <c r="M359" i="8"/>
  <c r="M360" i="8" s="1"/>
  <c r="X411" i="8"/>
  <c r="X412" i="8" s="1"/>
  <c r="L435" i="8"/>
  <c r="L436" i="8" s="1"/>
  <c r="Q148" i="2"/>
  <c r="M208" i="2"/>
  <c r="M407" i="8"/>
  <c r="M408" i="8" s="1"/>
  <c r="M209" i="2"/>
  <c r="M411" i="8"/>
  <c r="M412" i="8" s="1"/>
  <c r="O213" i="2"/>
  <c r="O427" i="8"/>
  <c r="O428" i="8" s="1"/>
  <c r="AA208" i="2"/>
  <c r="AA407" i="8"/>
  <c r="AA408" i="8" s="1"/>
  <c r="Z213" i="2"/>
  <c r="Z427" i="8"/>
  <c r="Z428" i="8" s="1"/>
  <c r="K603" i="2"/>
  <c r="N208" i="2"/>
  <c r="N407" i="8"/>
  <c r="N408" i="8" s="1"/>
  <c r="K422" i="2"/>
  <c r="K92" i="2"/>
  <c r="K351" i="8"/>
  <c r="S79" i="2"/>
  <c r="S78" i="2"/>
  <c r="O212" i="2"/>
  <c r="N153" i="2"/>
  <c r="AA78" i="2"/>
  <c r="R92" i="2"/>
  <c r="R351" i="8"/>
  <c r="R352" i="8" s="1"/>
  <c r="P147" i="2"/>
  <c r="P367" i="8"/>
  <c r="P368" i="8" s="1"/>
  <c r="AA82" i="2"/>
  <c r="AC399" i="8"/>
  <c r="AC400" i="8" s="1"/>
  <c r="Q29" i="2"/>
  <c r="W141" i="2"/>
  <c r="AC93" i="2"/>
  <c r="T34" i="2"/>
  <c r="K144" i="2"/>
  <c r="T140" i="2"/>
  <c r="Z153" i="2"/>
  <c r="Z391" i="8"/>
  <c r="Z392" i="8" s="1"/>
  <c r="K77" i="2"/>
  <c r="AB94" i="2"/>
  <c r="AB359" i="8"/>
  <c r="AB360" i="8" s="1"/>
  <c r="AB319" i="8"/>
  <c r="AB320" i="8" s="1"/>
  <c r="AC331" i="8"/>
  <c r="AC332" i="8" s="1"/>
  <c r="P347" i="8"/>
  <c r="P348" i="8" s="1"/>
  <c r="K327" i="8"/>
  <c r="AD411" i="8"/>
  <c r="AD412" i="8" s="1"/>
  <c r="S395" i="8"/>
  <c r="S396" i="8" s="1"/>
  <c r="M435" i="8"/>
  <c r="M436" i="8" s="1"/>
  <c r="W207" i="2"/>
  <c r="W403" i="8"/>
  <c r="W404" i="8" s="1"/>
  <c r="AB208" i="2"/>
  <c r="AB407" i="8"/>
  <c r="AB408" i="8" s="1"/>
  <c r="AB213" i="2"/>
  <c r="AB427" i="8"/>
  <c r="AB428" i="8" s="1"/>
  <c r="AE82" i="2"/>
  <c r="K421" i="2"/>
  <c r="AC208" i="2"/>
  <c r="U138" i="2"/>
  <c r="AB207" i="2"/>
  <c r="AB403" i="8"/>
  <c r="AB404" i="8" s="1"/>
  <c r="AD153" i="2"/>
  <c r="AB32" i="2"/>
  <c r="AB315" i="8"/>
  <c r="AB316" i="8" s="1"/>
  <c r="K494" i="2"/>
  <c r="R149" i="2"/>
  <c r="R375" i="8"/>
  <c r="R376" i="8" s="1"/>
  <c r="U137" i="2"/>
  <c r="AC89" i="2"/>
  <c r="AC339" i="8"/>
  <c r="AC340" i="8" s="1"/>
  <c r="K81" i="2"/>
  <c r="V155" i="2"/>
  <c r="V399" i="8"/>
  <c r="V400" i="8" s="1"/>
  <c r="AE80" i="2"/>
  <c r="Y145" i="2"/>
  <c r="AA77" i="2"/>
  <c r="M144" i="2"/>
  <c r="V154" i="2"/>
  <c r="V395" i="8"/>
  <c r="V396" i="8" s="1"/>
  <c r="U140" i="2"/>
  <c r="K79" i="2"/>
  <c r="AE77" i="2"/>
  <c r="AA29" i="2"/>
  <c r="AA303" i="8"/>
  <c r="AA304" i="8" s="1"/>
  <c r="Y30" i="2"/>
  <c r="Y307" i="8"/>
  <c r="Y308" i="8" s="1"/>
  <c r="V303" i="8"/>
  <c r="V304" i="8" s="1"/>
  <c r="X367" i="8"/>
  <c r="X368" i="8" s="1"/>
  <c r="W331" i="8"/>
  <c r="W332" i="8" s="1"/>
  <c r="K415" i="8"/>
  <c r="O423" i="8"/>
  <c r="O424" i="8" s="1"/>
  <c r="T415" i="8"/>
  <c r="T416" i="8" s="1"/>
  <c r="Q80" i="2"/>
  <c r="T335" i="8"/>
  <c r="T336" i="8" s="1"/>
  <c r="Z375" i="8"/>
  <c r="Z376" i="8" s="1"/>
  <c r="R17" i="2"/>
  <c r="Z140" i="2"/>
  <c r="O31" i="2"/>
  <c r="AD423" i="8"/>
  <c r="AD424" i="8" s="1"/>
  <c r="Q423" i="8"/>
  <c r="Q424" i="8" s="1"/>
  <c r="Z144" i="2"/>
  <c r="P212" i="2"/>
  <c r="U210" i="2"/>
  <c r="Q155" i="2"/>
  <c r="T143" i="2"/>
  <c r="K207" i="2"/>
  <c r="O141" i="2"/>
  <c r="K83" i="2"/>
  <c r="U144" i="2"/>
  <c r="W140" i="2"/>
  <c r="N335" i="8"/>
  <c r="N336" i="8" s="1"/>
  <c r="O335" i="8"/>
  <c r="O336" i="8" s="1"/>
  <c r="AC27" i="2"/>
  <c r="P215" i="2"/>
  <c r="AA145" i="2"/>
  <c r="M138" i="2"/>
  <c r="O210" i="2"/>
  <c r="V143" i="2"/>
  <c r="Z138" i="2"/>
  <c r="M137" i="2"/>
  <c r="W33" i="2"/>
  <c r="K78" i="2"/>
  <c r="P151" i="2"/>
  <c r="AA34" i="2"/>
  <c r="W144" i="2"/>
  <c r="O30" i="2"/>
  <c r="U363" i="8"/>
  <c r="U364" i="8" s="1"/>
  <c r="AC371" i="8"/>
  <c r="AC372" i="8" s="1"/>
  <c r="P423" i="8"/>
  <c r="P424" i="8" s="1"/>
  <c r="X379" i="8"/>
  <c r="X380" i="8" s="1"/>
  <c r="Z83" i="2"/>
  <c r="Q83" i="2"/>
  <c r="M307" i="8"/>
  <c r="M308" i="8" s="1"/>
  <c r="P435" i="8"/>
  <c r="P436" i="8" s="1"/>
  <c r="Z80" i="2"/>
  <c r="U27" i="2"/>
  <c r="R24" i="2"/>
  <c r="O359" i="8"/>
  <c r="O360" i="8" s="1"/>
  <c r="V415" i="8"/>
  <c r="V416" i="8" s="1"/>
  <c r="R347" i="8"/>
  <c r="R348" i="8" s="1"/>
  <c r="Y327" i="8"/>
  <c r="Y328" i="8" s="1"/>
  <c r="P383" i="8"/>
  <c r="P384" i="8" s="1"/>
  <c r="S80" i="2"/>
  <c r="AA323" i="8"/>
  <c r="AA324" i="8" s="1"/>
  <c r="R359" i="8"/>
  <c r="R360" i="8" s="1"/>
  <c r="L359" i="8" l="1"/>
  <c r="L360" i="8" s="1"/>
  <c r="AC47" i="10"/>
  <c r="AC137" i="5" s="1"/>
  <c r="AC650" i="2" s="1"/>
  <c r="L751" i="2"/>
  <c r="O211" i="2"/>
  <c r="X210" i="2"/>
  <c r="AC150" i="2"/>
  <c r="T303" i="8"/>
  <c r="T304" i="8" s="1"/>
  <c r="T343" i="8"/>
  <c r="T344" i="8" s="1"/>
  <c r="N31" i="2"/>
  <c r="M302" i="2"/>
  <c r="M672" i="8" s="1"/>
  <c r="M673" i="8" s="1"/>
  <c r="P303" i="2"/>
  <c r="P676" i="8" s="1"/>
  <c r="P677" i="8" s="1"/>
  <c r="N302" i="2"/>
  <c r="N672" i="8" s="1"/>
  <c r="N673" i="8" s="1"/>
  <c r="T47" i="10"/>
  <c r="T137" i="5" s="1"/>
  <c r="T650" i="2" s="1"/>
  <c r="T93" i="2"/>
  <c r="P209" i="2"/>
  <c r="L93" i="2"/>
  <c r="M120" i="2" s="1"/>
  <c r="V299" i="8"/>
  <c r="V300" i="8" s="1"/>
  <c r="N754" i="2"/>
  <c r="O403" i="8"/>
  <c r="O404" i="8" s="1"/>
  <c r="R363" i="8"/>
  <c r="R364" i="8" s="1"/>
  <c r="R136" i="5"/>
  <c r="S92" i="2"/>
  <c r="X435" i="8"/>
  <c r="X436" i="8" s="1"/>
  <c r="M59" i="2"/>
  <c r="Q411" i="8"/>
  <c r="Q412" i="8" s="1"/>
  <c r="Z399" i="8"/>
  <c r="Z400" i="8" s="1"/>
  <c r="T435" i="8"/>
  <c r="T436" i="8" s="1"/>
  <c r="F436" i="8" s="1"/>
  <c r="N756" i="2"/>
  <c r="N1244" i="8" s="1"/>
  <c r="N1245" i="8" s="1"/>
  <c r="S210" i="2"/>
  <c r="N323" i="8"/>
  <c r="N324" i="8" s="1"/>
  <c r="X153" i="2"/>
  <c r="M61" i="2"/>
  <c r="O339" i="8"/>
  <c r="O340" i="8" s="1"/>
  <c r="L323" i="8"/>
  <c r="L324" i="8" s="1"/>
  <c r="Y323" i="8"/>
  <c r="Y324" i="8" s="1"/>
  <c r="K343" i="8"/>
  <c r="O751" i="2"/>
  <c r="O47" i="10"/>
  <c r="O137" i="5" s="1"/>
  <c r="O650" i="2" s="1"/>
  <c r="T403" i="8"/>
  <c r="T404" i="8" s="1"/>
  <c r="AC214" i="2"/>
  <c r="AB154" i="2"/>
  <c r="V339" i="8"/>
  <c r="V340" i="8" s="1"/>
  <c r="L303" i="8"/>
  <c r="L304" i="8" s="1"/>
  <c r="L32" i="2"/>
  <c r="U343" i="8"/>
  <c r="U344" i="8" s="1"/>
  <c r="AH47" i="10"/>
  <c r="U89" i="2"/>
  <c r="U300" i="2"/>
  <c r="U664" i="8" s="1"/>
  <c r="U665" i="8" s="1"/>
  <c r="AB367" i="8"/>
  <c r="AB368" i="8" s="1"/>
  <c r="M303" i="8"/>
  <c r="M304" i="8" s="1"/>
  <c r="M207" i="2"/>
  <c r="M234" i="2" s="1"/>
  <c r="N210" i="2"/>
  <c r="X339" i="8"/>
  <c r="X340" i="8" s="1"/>
  <c r="AD343" i="8"/>
  <c r="AD344" i="8" s="1"/>
  <c r="V359" i="8"/>
  <c r="V360" i="8" s="1"/>
  <c r="S302" i="2"/>
  <c r="S672" i="8" s="1"/>
  <c r="S673" i="8" s="1"/>
  <c r="N751" i="2"/>
  <c r="X423" i="8"/>
  <c r="X424" i="8" s="1"/>
  <c r="AD431" i="8"/>
  <c r="AD432" i="8" s="1"/>
  <c r="R339" i="8"/>
  <c r="R340" i="8" s="1"/>
  <c r="O375" i="8"/>
  <c r="O376" i="8" s="1"/>
  <c r="AC301" i="2"/>
  <c r="AC668" i="8" s="1"/>
  <c r="AC669" i="8" s="1"/>
  <c r="AD89" i="2"/>
  <c r="N755" i="2"/>
  <c r="N1240" i="8" s="1"/>
  <c r="N1241" i="8" s="1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55" i="2" s="1"/>
  <c r="M299" i="8"/>
  <c r="M300" i="8" s="1"/>
  <c r="S1384" i="8"/>
  <c r="S1385" i="8" s="1"/>
  <c r="S646" i="2"/>
  <c r="U305" i="2"/>
  <c r="U684" i="8" s="1"/>
  <c r="U685" i="8" s="1"/>
  <c r="M305" i="2"/>
  <c r="M684" i="8" s="1"/>
  <c r="M685" i="8" s="1"/>
  <c r="P305" i="2"/>
  <c r="P684" i="8" s="1"/>
  <c r="P685" i="8" s="1"/>
  <c r="AB305" i="2"/>
  <c r="AB684" i="8" s="1"/>
  <c r="AB685" i="8" s="1"/>
  <c r="AA305" i="2"/>
  <c r="AA684" i="8" s="1"/>
  <c r="AA685" i="8" s="1"/>
  <c r="O305" i="2"/>
  <c r="O684" i="8" s="1"/>
  <c r="O685" i="8" s="1"/>
  <c r="N398" i="2"/>
  <c r="N972" i="8" s="1"/>
  <c r="N973" i="8" s="1"/>
  <c r="N305" i="2"/>
  <c r="N684" i="8" s="1"/>
  <c r="N685" i="8" s="1"/>
  <c r="Q305" i="2"/>
  <c r="Q684" i="8" s="1"/>
  <c r="Q685" i="8" s="1"/>
  <c r="M398" i="2"/>
  <c r="M972" i="8" s="1"/>
  <c r="M973" i="8" s="1"/>
  <c r="T305" i="2"/>
  <c r="T684" i="8" s="1"/>
  <c r="T685" i="8" s="1"/>
  <c r="AE305" i="2"/>
  <c r="AE684" i="8" s="1"/>
  <c r="AE685" i="8" s="1"/>
  <c r="W305" i="2"/>
  <c r="W684" i="8" s="1"/>
  <c r="W685" i="8" s="1"/>
  <c r="Z305" i="2"/>
  <c r="Z684" i="8" s="1"/>
  <c r="Z685" i="8" s="1"/>
  <c r="S305" i="2"/>
  <c r="S684" i="8" s="1"/>
  <c r="S685" i="8" s="1"/>
  <c r="Y305" i="2"/>
  <c r="Y684" i="8" s="1"/>
  <c r="Y685" i="8" s="1"/>
  <c r="AD47" i="10"/>
  <c r="AD137" i="5" s="1"/>
  <c r="AD650" i="2" s="1"/>
  <c r="AD136" i="5"/>
  <c r="U47" i="10"/>
  <c r="U137" i="5" s="1"/>
  <c r="U650" i="2" s="1"/>
  <c r="U136" i="5"/>
  <c r="S1388" i="8"/>
  <c r="S1389" i="8" s="1"/>
  <c r="S647" i="2"/>
  <c r="L1388" i="8"/>
  <c r="L1389" i="8" s="1"/>
  <c r="L647" i="2"/>
  <c r="L988" i="8" s="1"/>
  <c r="L989" i="8" s="1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X988" i="8" s="1"/>
  <c r="X989" i="8" s="1"/>
  <c r="Y1388" i="8"/>
  <c r="Y1389" i="8" s="1"/>
  <c r="Y647" i="2"/>
  <c r="Y988" i="8" s="1"/>
  <c r="Y989" i="8" s="1"/>
  <c r="Q415" i="8"/>
  <c r="Q416" i="8" s="1"/>
  <c r="Q210" i="2"/>
  <c r="M737" i="2"/>
  <c r="M1184" i="8" s="1"/>
  <c r="M1185" i="8" s="1"/>
  <c r="M753" i="2"/>
  <c r="Q1388" i="8"/>
  <c r="Q1389" i="8" s="1"/>
  <c r="Q647" i="2"/>
  <c r="AE435" i="8"/>
  <c r="AE436" i="8" s="1"/>
  <c r="AE215" i="2"/>
  <c r="R343" i="8"/>
  <c r="R344" i="8" s="1"/>
  <c r="AB47" i="10"/>
  <c r="AB137" i="5" s="1"/>
  <c r="AB650" i="2" s="1"/>
  <c r="AB136" i="5"/>
  <c r="AE47" i="10"/>
  <c r="AE137" i="5" s="1"/>
  <c r="AE650" i="2" s="1"/>
  <c r="AE136" i="5"/>
  <c r="X1384" i="8"/>
  <c r="X1385" i="8" s="1"/>
  <c r="X646" i="2"/>
  <c r="Z1388" i="8"/>
  <c r="Z1389" i="8" s="1"/>
  <c r="Z647" i="2"/>
  <c r="Z988" i="8" s="1"/>
  <c r="Z989" i="8" s="1"/>
  <c r="P992" i="8"/>
  <c r="P993" i="8" s="1"/>
  <c r="Q675" i="2"/>
  <c r="Q992" i="8" s="1"/>
  <c r="Q993" i="8" s="1"/>
  <c r="P729" i="2"/>
  <c r="P751" i="2" s="1"/>
  <c r="AA1388" i="8"/>
  <c r="AA1389" i="8" s="1"/>
  <c r="AA647" i="2"/>
  <c r="AA988" i="8" s="1"/>
  <c r="AA989" i="8" s="1"/>
  <c r="P353" i="2"/>
  <c r="P832" i="8" s="1"/>
  <c r="P833" i="8" s="1"/>
  <c r="P760" i="8"/>
  <c r="P761" i="8" s="1"/>
  <c r="M800" i="8"/>
  <c r="M801" i="8" s="1"/>
  <c r="M394" i="2"/>
  <c r="M956" i="8" s="1"/>
  <c r="M957" i="8" s="1"/>
  <c r="O1388" i="8"/>
  <c r="O1389" i="8" s="1"/>
  <c r="O647" i="2"/>
  <c r="O988" i="8" s="1"/>
  <c r="O989" i="8" s="1"/>
  <c r="AA47" i="10"/>
  <c r="AA137" i="5" s="1"/>
  <c r="AA650" i="2" s="1"/>
  <c r="AA136" i="5"/>
  <c r="X305" i="2"/>
  <c r="X684" i="8" s="1"/>
  <c r="X685" i="8" s="1"/>
  <c r="AG51" i="10"/>
  <c r="AG57" i="10"/>
  <c r="AG54" i="10"/>
  <c r="AG52" i="10"/>
  <c r="AG58" i="10"/>
  <c r="AG55" i="10"/>
  <c r="AG50" i="10"/>
  <c r="AG53" i="10"/>
  <c r="AG56" i="10"/>
  <c r="AC305" i="2"/>
  <c r="AC684" i="8" s="1"/>
  <c r="AC685" i="8" s="1"/>
  <c r="AB155" i="2"/>
  <c r="AB399" i="8"/>
  <c r="AB400" i="8" s="1"/>
  <c r="AB1384" i="8"/>
  <c r="AB1385" i="8" s="1"/>
  <c r="AB646" i="2"/>
  <c r="AD1384" i="8"/>
  <c r="AD1385" i="8" s="1"/>
  <c r="AD646" i="2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AD684" i="8" s="1"/>
  <c r="AD685" i="8" s="1"/>
  <c r="Z28" i="2"/>
  <c r="Z299" i="8"/>
  <c r="Z300" i="8" s="1"/>
  <c r="AE1384" i="8"/>
  <c r="AE1385" i="8" s="1"/>
  <c r="AE646" i="2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N988" i="8" s="1"/>
  <c r="N989" i="8" s="1"/>
  <c r="M1388" i="8"/>
  <c r="M1389" i="8" s="1"/>
  <c r="M647" i="2"/>
  <c r="M988" i="8" s="1"/>
  <c r="M989" i="8" s="1"/>
  <c r="W1388" i="8"/>
  <c r="W1389" i="8" s="1"/>
  <c r="W647" i="2"/>
  <c r="W988" i="8" s="1"/>
  <c r="W989" i="8" s="1"/>
  <c r="R1388" i="8"/>
  <c r="R1389" i="8" s="1"/>
  <c r="R647" i="2"/>
  <c r="T136" i="5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AD988" i="8" s="1"/>
  <c r="AD989" i="8" s="1"/>
  <c r="T1384" i="8"/>
  <c r="T1385" i="8" s="1"/>
  <c r="T646" i="2"/>
  <c r="T701" i="2" s="1"/>
  <c r="T1068" i="8" s="1"/>
  <c r="T1069" i="8" s="1"/>
  <c r="Q136" i="5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N1384" i="8"/>
  <c r="N1385" i="8" s="1"/>
  <c r="N646" i="2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C1388" i="8"/>
  <c r="AC1389" i="8" s="1"/>
  <c r="AC647" i="2"/>
  <c r="AC988" i="8" s="1"/>
  <c r="AC989" i="8" s="1"/>
  <c r="AC1384" i="8"/>
  <c r="AC1385" i="8" s="1"/>
  <c r="AC646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N757" i="2"/>
  <c r="N1248" i="8" s="1"/>
  <c r="N1249" i="8" s="1"/>
  <c r="AB304" i="2"/>
  <c r="AB680" i="8" s="1"/>
  <c r="AB681" i="8" s="1"/>
  <c r="AC136" i="5"/>
  <c r="Y126" i="5"/>
  <c r="L136" i="5"/>
  <c r="X136" i="5"/>
  <c r="N758" i="2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M680" i="8" s="1"/>
  <c r="M681" i="8" s="1"/>
  <c r="W304" i="2"/>
  <c r="W680" i="8" s="1"/>
  <c r="W681" i="8" s="1"/>
  <c r="O1384" i="8"/>
  <c r="O1385" i="8" s="1"/>
  <c r="O646" i="2"/>
  <c r="U1384" i="8"/>
  <c r="U1385" i="8" s="1"/>
  <c r="U646" i="2"/>
  <c r="T1388" i="8"/>
  <c r="T1389" i="8" s="1"/>
  <c r="T647" i="2"/>
  <c r="T988" i="8" s="1"/>
  <c r="T989" i="8" s="1"/>
  <c r="O136" i="5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Z650" i="2" s="1"/>
  <c r="V136" i="5"/>
  <c r="P1388" i="8"/>
  <c r="P1389" i="8" s="1"/>
  <c r="P647" i="2"/>
  <c r="P988" i="8" s="1"/>
  <c r="P989" i="8" s="1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O760" i="8"/>
  <c r="O761" i="8" s="1"/>
  <c r="O353" i="2"/>
  <c r="O375" i="2" s="1"/>
  <c r="O904" i="8" s="1"/>
  <c r="O905" i="8" s="1"/>
  <c r="K47" i="10"/>
  <c r="Y136" i="5"/>
  <c r="R1384" i="8"/>
  <c r="R1385" i="8" s="1"/>
  <c r="R646" i="2"/>
  <c r="U1388" i="8"/>
  <c r="U1389" i="8" s="1"/>
  <c r="U647" i="2"/>
  <c r="M136" i="5"/>
  <c r="S136" i="5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Q1384" i="8"/>
  <c r="Q1385" i="8" s="1"/>
  <c r="Q646" i="2"/>
  <c r="L126" i="5"/>
  <c r="N136" i="5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O680" i="8" s="1"/>
  <c r="O681" i="8" s="1"/>
  <c r="AG47" i="10"/>
  <c r="P126" i="5"/>
  <c r="Z136" i="5"/>
  <c r="AA1384" i="8"/>
  <c r="AA1385" i="8" s="1"/>
  <c r="AA646" i="2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N752" i="2"/>
  <c r="N1228" i="8" s="1"/>
  <c r="N1229" i="8" s="1"/>
  <c r="O396" i="2"/>
  <c r="O964" i="8" s="1"/>
  <c r="O965" i="8" s="1"/>
  <c r="AF47" i="10"/>
  <c r="W47" i="10"/>
  <c r="W137" i="5" s="1"/>
  <c r="W650" i="2" s="1"/>
  <c r="AD35" i="2"/>
  <c r="AD327" i="8"/>
  <c r="AD328" i="8" s="1"/>
  <c r="AB1388" i="8"/>
  <c r="AB1389" i="8" s="1"/>
  <c r="AB647" i="2"/>
  <c r="AB988" i="8" s="1"/>
  <c r="AB989" i="8" s="1"/>
  <c r="V1384" i="8"/>
  <c r="V1385" i="8" s="1"/>
  <c r="V646" i="2"/>
  <c r="V1388" i="8"/>
  <c r="V1389" i="8" s="1"/>
  <c r="V647" i="2"/>
  <c r="V988" i="8" s="1"/>
  <c r="V989" i="8" s="1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AA680" i="8" s="1"/>
  <c r="AA681" i="8" s="1"/>
  <c r="Y304" i="2"/>
  <c r="Y680" i="8" s="1"/>
  <c r="Y681" i="8" s="1"/>
  <c r="P47" i="10"/>
  <c r="P137" i="5" s="1"/>
  <c r="P650" i="2" s="1"/>
  <c r="M1384" i="8"/>
  <c r="M1385" i="8" s="1"/>
  <c r="M646" i="2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F689" i="8"/>
  <c r="L1016" i="8"/>
  <c r="L1017" i="8" s="1"/>
  <c r="L735" i="2"/>
  <c r="L757" i="2" s="1"/>
  <c r="L746" i="2"/>
  <c r="AA668" i="2"/>
  <c r="AA269" i="2"/>
  <c r="P153" i="2"/>
  <c r="M214" i="2"/>
  <c r="Z383" i="8"/>
  <c r="Z384" i="8" s="1"/>
  <c r="M301" i="2"/>
  <c r="M668" i="8" s="1"/>
  <c r="M669" i="8" s="1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T668" i="8" s="1"/>
  <c r="T669" i="8" s="1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L394" i="2"/>
  <c r="L956" i="8" s="1"/>
  <c r="L957" i="8" s="1"/>
  <c r="L800" i="8"/>
  <c r="L801" i="8" s="1"/>
  <c r="X28" i="2"/>
  <c r="X299" i="8"/>
  <c r="X300" i="8" s="1"/>
  <c r="Y419" i="8"/>
  <c r="Y420" i="8" s="1"/>
  <c r="M235" i="2"/>
  <c r="N235" i="2" s="1"/>
  <c r="AC211" i="2"/>
  <c r="N307" i="8"/>
  <c r="N308" i="8" s="1"/>
  <c r="Z323" i="8"/>
  <c r="Z324" i="8" s="1"/>
  <c r="M54" i="2"/>
  <c r="AD435" i="8"/>
  <c r="AD436" i="8" s="1"/>
  <c r="M118" i="2"/>
  <c r="M59" i="8" s="1"/>
  <c r="M60" i="8" s="1"/>
  <c r="M122" i="2"/>
  <c r="M319" i="8"/>
  <c r="M320" i="8" s="1"/>
  <c r="L1004" i="8"/>
  <c r="L1005" i="8" s="1"/>
  <c r="L743" i="2"/>
  <c r="L732" i="2"/>
  <c r="L754" i="2" s="1"/>
  <c r="Z31" i="2"/>
  <c r="Z311" i="8"/>
  <c r="Z312" i="8" s="1"/>
  <c r="O208" i="2"/>
  <c r="AB302" i="2"/>
  <c r="AB672" i="8" s="1"/>
  <c r="AB673" i="8" s="1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AE668" i="8" s="1"/>
  <c r="AE669" i="8" s="1"/>
  <c r="T304" i="2"/>
  <c r="T680" i="8" s="1"/>
  <c r="T681" i="8" s="1"/>
  <c r="N397" i="2"/>
  <c r="N968" i="8" s="1"/>
  <c r="N969" i="8" s="1"/>
  <c r="N774" i="2"/>
  <c r="N1300" i="8" s="1"/>
  <c r="N1301" i="8" s="1"/>
  <c r="M60" i="2"/>
  <c r="M31" i="8" s="1"/>
  <c r="M32" i="8" s="1"/>
  <c r="AC423" i="8"/>
  <c r="AC424" i="8" s="1"/>
  <c r="N295" i="8"/>
  <c r="N296" i="8" s="1"/>
  <c r="W303" i="8"/>
  <c r="W304" i="8" s="1"/>
  <c r="V371" i="8"/>
  <c r="V372" i="8" s="1"/>
  <c r="O832" i="8"/>
  <c r="O833" i="8" s="1"/>
  <c r="Q280" i="2"/>
  <c r="P345" i="2"/>
  <c r="P612" i="8"/>
  <c r="P613" i="8" s="1"/>
  <c r="U208" i="2"/>
  <c r="X303" i="8"/>
  <c r="X304" i="8" s="1"/>
  <c r="O748" i="2"/>
  <c r="O1220" i="8" s="1"/>
  <c r="O1221" i="8" s="1"/>
  <c r="F665" i="8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N836" i="8"/>
  <c r="N837" i="8" s="1"/>
  <c r="X315" i="8"/>
  <c r="X316" i="8" s="1"/>
  <c r="X32" i="2"/>
  <c r="Y212" i="2"/>
  <c r="Y423" i="8"/>
  <c r="Y424" i="8" s="1"/>
  <c r="Q760" i="8"/>
  <c r="Q761" i="8" s="1"/>
  <c r="Q832" i="8"/>
  <c r="Q833" i="8" s="1"/>
  <c r="L780" i="8"/>
  <c r="L781" i="8" s="1"/>
  <c r="L852" i="8"/>
  <c r="L853" i="8" s="1"/>
  <c r="AB667" i="2"/>
  <c r="AB268" i="2"/>
  <c r="P1016" i="8"/>
  <c r="P1017" i="8" s="1"/>
  <c r="P746" i="2"/>
  <c r="Q681" i="2"/>
  <c r="P735" i="2"/>
  <c r="P757" i="2" s="1"/>
  <c r="L341" i="2"/>
  <c r="L596" i="8"/>
  <c r="L597" i="8" s="1"/>
  <c r="L330" i="2"/>
  <c r="L352" i="2" s="1"/>
  <c r="X27" i="2"/>
  <c r="X295" i="8"/>
  <c r="X296" i="8" s="1"/>
  <c r="L776" i="8"/>
  <c r="L777" i="8" s="1"/>
  <c r="L848" i="8"/>
  <c r="L849" i="8" s="1"/>
  <c r="O768" i="8"/>
  <c r="O769" i="8" s="1"/>
  <c r="O840" i="8"/>
  <c r="O841" i="8" s="1"/>
  <c r="U411" i="8"/>
  <c r="U412" i="8" s="1"/>
  <c r="M764" i="8"/>
  <c r="M765" i="8" s="1"/>
  <c r="M836" i="8"/>
  <c r="M837" i="8" s="1"/>
  <c r="R600" i="8"/>
  <c r="R601" i="8" s="1"/>
  <c r="R342" i="2"/>
  <c r="S277" i="2"/>
  <c r="R331" i="2"/>
  <c r="R353" i="2" s="1"/>
  <c r="O32" i="2"/>
  <c r="L772" i="8"/>
  <c r="L773" i="8" s="1"/>
  <c r="L844" i="8"/>
  <c r="L845" i="8" s="1"/>
  <c r="O1176" i="8"/>
  <c r="O1177" i="8" s="1"/>
  <c r="O1248" i="8"/>
  <c r="O1249" i="8" s="1"/>
  <c r="T32" i="2"/>
  <c r="T315" i="8"/>
  <c r="T316" i="8" s="1"/>
  <c r="L812" i="8"/>
  <c r="L813" i="8" s="1"/>
  <c r="L397" i="2"/>
  <c r="L968" i="8" s="1"/>
  <c r="L969" i="8" s="1"/>
  <c r="P608" i="8"/>
  <c r="P609" i="8" s="1"/>
  <c r="Q279" i="2"/>
  <c r="P344" i="2"/>
  <c r="P349" i="2" s="1"/>
  <c r="P824" i="8" s="1"/>
  <c r="P825" i="8" s="1"/>
  <c r="P333" i="2"/>
  <c r="P355" i="2" s="1"/>
  <c r="O319" i="2"/>
  <c r="O362" i="2"/>
  <c r="O391" i="2" s="1"/>
  <c r="Q796" i="8"/>
  <c r="Q797" i="8" s="1"/>
  <c r="Q393" i="2"/>
  <c r="Q952" i="8" s="1"/>
  <c r="Q953" i="8" s="1"/>
  <c r="U303" i="2"/>
  <c r="U676" i="8" s="1"/>
  <c r="U677" i="8" s="1"/>
  <c r="L303" i="2"/>
  <c r="L676" i="8" s="1"/>
  <c r="L677" i="8" s="1"/>
  <c r="AA303" i="2"/>
  <c r="AA676" i="8" s="1"/>
  <c r="AA677" i="8" s="1"/>
  <c r="Q303" i="2"/>
  <c r="Q676" i="8" s="1"/>
  <c r="Q677" i="8" s="1"/>
  <c r="AD303" i="2"/>
  <c r="AD676" i="8" s="1"/>
  <c r="AD677" i="8" s="1"/>
  <c r="V303" i="2"/>
  <c r="V676" i="8" s="1"/>
  <c r="V677" i="8" s="1"/>
  <c r="W303" i="2"/>
  <c r="W676" i="8" s="1"/>
  <c r="W677" i="8" s="1"/>
  <c r="X303" i="2"/>
  <c r="X676" i="8" s="1"/>
  <c r="X677" i="8" s="1"/>
  <c r="Y303" i="2"/>
  <c r="Y676" i="8" s="1"/>
  <c r="Y677" i="8" s="1"/>
  <c r="Z303" i="2"/>
  <c r="Z676" i="8" s="1"/>
  <c r="Z677" i="8" s="1"/>
  <c r="AB88" i="2"/>
  <c r="AB335" i="8"/>
  <c r="AB336" i="8" s="1"/>
  <c r="T33" i="2"/>
  <c r="T319" i="8"/>
  <c r="T320" i="8" s="1"/>
  <c r="R776" i="8"/>
  <c r="R777" i="8" s="1"/>
  <c r="R848" i="8"/>
  <c r="R849" i="8" s="1"/>
  <c r="R1020" i="8"/>
  <c r="R1021" i="8" s="1"/>
  <c r="S682" i="2"/>
  <c r="R736" i="2"/>
  <c r="R758" i="2" s="1"/>
  <c r="R747" i="2"/>
  <c r="P347" i="2"/>
  <c r="P336" i="2"/>
  <c r="Q282" i="2"/>
  <c r="P620" i="8"/>
  <c r="P621" i="8" s="1"/>
  <c r="M772" i="8"/>
  <c r="M773" i="8" s="1"/>
  <c r="M844" i="8"/>
  <c r="M845" i="8" s="1"/>
  <c r="X718" i="2"/>
  <c r="X761" i="2"/>
  <c r="X790" i="2" s="1"/>
  <c r="P1168" i="8"/>
  <c r="P1169" i="8" s="1"/>
  <c r="P1240" i="8"/>
  <c r="P1241" i="8" s="1"/>
  <c r="P1152" i="8"/>
  <c r="P1153" i="8" s="1"/>
  <c r="S616" i="8"/>
  <c r="S617" i="8" s="1"/>
  <c r="S335" i="2"/>
  <c r="S357" i="2" s="1"/>
  <c r="S346" i="2"/>
  <c r="T281" i="2"/>
  <c r="Q1216" i="8"/>
  <c r="Q1217" i="8" s="1"/>
  <c r="Q798" i="2"/>
  <c r="Q1372" i="8" s="1"/>
  <c r="Q1373" i="8" s="1"/>
  <c r="O1164" i="8"/>
  <c r="O1165" i="8" s="1"/>
  <c r="O1236" i="8"/>
  <c r="O1237" i="8" s="1"/>
  <c r="O780" i="8"/>
  <c r="O781" i="8" s="1"/>
  <c r="O852" i="8"/>
  <c r="O853" i="8" s="1"/>
  <c r="O772" i="8"/>
  <c r="O773" i="8" s="1"/>
  <c r="O844" i="8"/>
  <c r="O845" i="8" s="1"/>
  <c r="L760" i="8"/>
  <c r="L761" i="8" s="1"/>
  <c r="L832" i="8"/>
  <c r="L833" i="8" s="1"/>
  <c r="M780" i="8"/>
  <c r="M781" i="8" s="1"/>
  <c r="M852" i="8"/>
  <c r="M853" i="8" s="1"/>
  <c r="AB29" i="2"/>
  <c r="AB303" i="8"/>
  <c r="AB304" i="8" s="1"/>
  <c r="F661" i="8"/>
  <c r="Q1008" i="8"/>
  <c r="Q1009" i="8" s="1"/>
  <c r="Q744" i="2"/>
  <c r="R679" i="2"/>
  <c r="Q733" i="2"/>
  <c r="Q755" i="2" s="1"/>
  <c r="P1188" i="8"/>
  <c r="P1189" i="8" s="1"/>
  <c r="P820" i="8"/>
  <c r="P821" i="8" s="1"/>
  <c r="P399" i="2"/>
  <c r="P976" i="8" s="1"/>
  <c r="P977" i="8" s="1"/>
  <c r="W299" i="8"/>
  <c r="W300" i="8" s="1"/>
  <c r="R812" i="8"/>
  <c r="R813" i="8" s="1"/>
  <c r="R397" i="2"/>
  <c r="R968" i="8" s="1"/>
  <c r="R969" i="8" s="1"/>
  <c r="Q1180" i="8"/>
  <c r="Q1181" i="8" s="1"/>
  <c r="Q1252" i="8"/>
  <c r="Q1253" i="8" s="1"/>
  <c r="Q775" i="2"/>
  <c r="Q1304" i="8" s="1"/>
  <c r="Q1305" i="8" s="1"/>
  <c r="O1200" i="8"/>
  <c r="O1201" i="8" s="1"/>
  <c r="O816" i="8"/>
  <c r="O817" i="8" s="1"/>
  <c r="O398" i="2"/>
  <c r="O972" i="8" s="1"/>
  <c r="O973" i="8" s="1"/>
  <c r="AC319" i="2"/>
  <c r="AC362" i="2"/>
  <c r="AC391" i="2" s="1"/>
  <c r="L784" i="8"/>
  <c r="L785" i="8" s="1"/>
  <c r="L856" i="8"/>
  <c r="L857" i="8" s="1"/>
  <c r="L376" i="2"/>
  <c r="L908" i="8" s="1"/>
  <c r="L909" i="8" s="1"/>
  <c r="N772" i="8"/>
  <c r="N773" i="8" s="1"/>
  <c r="N844" i="8"/>
  <c r="N845" i="8" s="1"/>
  <c r="F589" i="8"/>
  <c r="P1204" i="8"/>
  <c r="P1205" i="8" s="1"/>
  <c r="R675" i="2"/>
  <c r="AD701" i="2"/>
  <c r="AD1068" i="8" s="1"/>
  <c r="AD1069" i="8" s="1"/>
  <c r="P784" i="8"/>
  <c r="P785" i="8" s="1"/>
  <c r="P856" i="8"/>
  <c r="P857" i="8" s="1"/>
  <c r="W419" i="8"/>
  <c r="W420" i="8" s="1"/>
  <c r="F593" i="8"/>
  <c r="L1224" i="8"/>
  <c r="L1225" i="8" s="1"/>
  <c r="P1004" i="8"/>
  <c r="P1005" i="8" s="1"/>
  <c r="Q678" i="2"/>
  <c r="P743" i="2"/>
  <c r="P732" i="2"/>
  <c r="P754" i="2" s="1"/>
  <c r="N1164" i="8"/>
  <c r="N1165" i="8" s="1"/>
  <c r="N1236" i="8"/>
  <c r="N1237" i="8" s="1"/>
  <c r="N768" i="8"/>
  <c r="N769" i="8" s="1"/>
  <c r="N378" i="2"/>
  <c r="N916" i="8" s="1"/>
  <c r="N917" i="8" s="1"/>
  <c r="N840" i="8"/>
  <c r="N841" i="8" s="1"/>
  <c r="AB90" i="2"/>
  <c r="AB343" i="8"/>
  <c r="AB344" i="8" s="1"/>
  <c r="R283" i="2"/>
  <c r="Q337" i="2"/>
  <c r="Q359" i="2" s="1"/>
  <c r="Q348" i="2"/>
  <c r="Q624" i="8"/>
  <c r="Q625" i="8" s="1"/>
  <c r="Y148" i="2"/>
  <c r="Q331" i="8"/>
  <c r="Q332" i="8" s="1"/>
  <c r="Z215" i="2"/>
  <c r="N303" i="2"/>
  <c r="N676" i="8" s="1"/>
  <c r="N677" i="8" s="1"/>
  <c r="S303" i="2"/>
  <c r="S676" i="8" s="1"/>
  <c r="S677" i="8" s="1"/>
  <c r="AE27" i="2"/>
  <c r="AE295" i="8"/>
  <c r="AE296" i="8" s="1"/>
  <c r="L820" i="8"/>
  <c r="L821" i="8" s="1"/>
  <c r="L399" i="2"/>
  <c r="L976" i="8" s="1"/>
  <c r="L977" i="8" s="1"/>
  <c r="M1164" i="8"/>
  <c r="M1165" i="8" s="1"/>
  <c r="M1236" i="8"/>
  <c r="M1237" i="8" s="1"/>
  <c r="M777" i="2"/>
  <c r="M1312" i="8" s="1"/>
  <c r="M1313" i="8" s="1"/>
  <c r="O948" i="8"/>
  <c r="O949" i="8" s="1"/>
  <c r="N1172" i="8"/>
  <c r="N1173" i="8" s="1"/>
  <c r="L718" i="2"/>
  <c r="L761" i="2"/>
  <c r="L790" i="2" s="1"/>
  <c r="U302" i="2"/>
  <c r="U672" i="8" s="1"/>
  <c r="U673" i="8" s="1"/>
  <c r="Z302" i="2"/>
  <c r="Z672" i="8" s="1"/>
  <c r="Z673" i="8" s="1"/>
  <c r="AC302" i="2"/>
  <c r="AC672" i="8" s="1"/>
  <c r="AC673" i="8" s="1"/>
  <c r="AA302" i="2"/>
  <c r="AA672" i="8" s="1"/>
  <c r="AA673" i="8" s="1"/>
  <c r="AD302" i="2"/>
  <c r="AD672" i="8" s="1"/>
  <c r="AD673" i="8" s="1"/>
  <c r="L302" i="2"/>
  <c r="L672" i="8" s="1"/>
  <c r="L673" i="8" s="1"/>
  <c r="X302" i="2"/>
  <c r="X672" i="8" s="1"/>
  <c r="X673" i="8" s="1"/>
  <c r="Y302" i="2"/>
  <c r="Y672" i="8" s="1"/>
  <c r="Y673" i="8" s="1"/>
  <c r="M804" i="8"/>
  <c r="M805" i="8" s="1"/>
  <c r="M395" i="2"/>
  <c r="M960" i="8" s="1"/>
  <c r="M961" i="8" s="1"/>
  <c r="S208" i="2"/>
  <c r="O1192" i="8"/>
  <c r="O1193" i="8" s="1"/>
  <c r="O792" i="2"/>
  <c r="O1348" i="8" s="1"/>
  <c r="O1349" i="8" s="1"/>
  <c r="M1172" i="8"/>
  <c r="M1173" i="8" s="1"/>
  <c r="M1244" i="8"/>
  <c r="M1245" i="8" s="1"/>
  <c r="P319" i="2"/>
  <c r="P362" i="2"/>
  <c r="P391" i="2" s="1"/>
  <c r="N338" i="2"/>
  <c r="N788" i="8" s="1"/>
  <c r="N789" i="8" s="1"/>
  <c r="M1160" i="8"/>
  <c r="M1161" i="8" s="1"/>
  <c r="M1232" i="8"/>
  <c r="M1233" i="8" s="1"/>
  <c r="AB701" i="2"/>
  <c r="AB1068" i="8" s="1"/>
  <c r="AB1069" i="8" s="1"/>
  <c r="X155" i="2"/>
  <c r="X399" i="8"/>
  <c r="X400" i="8" s="1"/>
  <c r="S718" i="2"/>
  <c r="S761" i="2"/>
  <c r="S790" i="2" s="1"/>
  <c r="M768" i="8"/>
  <c r="M769" i="8" s="1"/>
  <c r="M840" i="8"/>
  <c r="M841" i="8" s="1"/>
  <c r="V301" i="2"/>
  <c r="V668" i="8" s="1"/>
  <c r="V669" i="8" s="1"/>
  <c r="Q307" i="8"/>
  <c r="Q308" i="8" s="1"/>
  <c r="AA35" i="2"/>
  <c r="N780" i="8"/>
  <c r="N781" i="8" s="1"/>
  <c r="N852" i="8"/>
  <c r="N853" i="8" s="1"/>
  <c r="O303" i="2"/>
  <c r="O676" i="8" s="1"/>
  <c r="O677" i="8" s="1"/>
  <c r="O1156" i="8"/>
  <c r="O1157" i="8" s="1"/>
  <c r="O1228" i="8"/>
  <c r="O1229" i="8" s="1"/>
  <c r="X34" i="2"/>
  <c r="X323" i="8"/>
  <c r="X324" i="8" s="1"/>
  <c r="L1012" i="8"/>
  <c r="L1013" i="8" s="1"/>
  <c r="L745" i="2"/>
  <c r="L734" i="2"/>
  <c r="L756" i="2" s="1"/>
  <c r="L1000" i="8"/>
  <c r="L1001" i="8" s="1"/>
  <c r="L742" i="2"/>
  <c r="L731" i="2"/>
  <c r="L753" i="2" s="1"/>
  <c r="P301" i="2"/>
  <c r="P668" i="8" s="1"/>
  <c r="P669" i="8" s="1"/>
  <c r="M1204" i="8"/>
  <c r="M1205" i="8" s="1"/>
  <c r="AA663" i="2"/>
  <c r="AA264" i="2"/>
  <c r="R303" i="2"/>
  <c r="R676" i="8" s="1"/>
  <c r="R677" i="8" s="1"/>
  <c r="Q1012" i="8"/>
  <c r="Q1013" i="8" s="1"/>
  <c r="R680" i="2"/>
  <c r="Q734" i="2"/>
  <c r="Q756" i="2" s="1"/>
  <c r="Q745" i="2"/>
  <c r="M115" i="2"/>
  <c r="M47" i="8" s="1"/>
  <c r="M48" i="8" s="1"/>
  <c r="W212" i="2"/>
  <c r="AB327" i="8"/>
  <c r="AB328" i="8" s="1"/>
  <c r="P323" i="8"/>
  <c r="P324" i="8" s="1"/>
  <c r="P792" i="8"/>
  <c r="P793" i="8" s="1"/>
  <c r="P392" i="2"/>
  <c r="T303" i="2"/>
  <c r="T676" i="8" s="1"/>
  <c r="T677" i="8" s="1"/>
  <c r="P996" i="8"/>
  <c r="P997" i="8" s="1"/>
  <c r="Q676" i="2"/>
  <c r="P730" i="2"/>
  <c r="P741" i="2"/>
  <c r="P27" i="2"/>
  <c r="P295" i="8"/>
  <c r="P296" i="8" s="1"/>
  <c r="M1208" i="8"/>
  <c r="M1209" i="8" s="1"/>
  <c r="N832" i="8"/>
  <c r="N833" i="8" s="1"/>
  <c r="M1196" i="8"/>
  <c r="M1197" i="8" s="1"/>
  <c r="R301" i="2"/>
  <c r="R668" i="8" s="1"/>
  <c r="R669" i="8" s="1"/>
  <c r="P302" i="2"/>
  <c r="P672" i="8" s="1"/>
  <c r="P673" i="8" s="1"/>
  <c r="M1168" i="8"/>
  <c r="M1169" i="8" s="1"/>
  <c r="M1240" i="8"/>
  <c r="M1241" i="8" s="1"/>
  <c r="AB663" i="2"/>
  <c r="AB264" i="2"/>
  <c r="P764" i="8"/>
  <c r="P765" i="8" s="1"/>
  <c r="P836" i="8"/>
  <c r="P837" i="8" s="1"/>
  <c r="O1224" i="8"/>
  <c r="O1225" i="8" s="1"/>
  <c r="Q301" i="2"/>
  <c r="Q668" i="8" s="1"/>
  <c r="Q669" i="8" s="1"/>
  <c r="AB30" i="2"/>
  <c r="AB307" i="8"/>
  <c r="AB308" i="8" s="1"/>
  <c r="P1208" i="8"/>
  <c r="P1209" i="8" s="1"/>
  <c r="M1216" i="8"/>
  <c r="M1217" i="8" s="1"/>
  <c r="L333" i="2"/>
  <c r="L355" i="2" s="1"/>
  <c r="L608" i="8"/>
  <c r="L609" i="8" s="1"/>
  <c r="L344" i="2"/>
  <c r="O1196" i="8"/>
  <c r="O1197" i="8" s="1"/>
  <c r="AD387" i="8"/>
  <c r="AD388" i="8" s="1"/>
  <c r="Q319" i="8"/>
  <c r="Q320" i="8" s="1"/>
  <c r="L154" i="2"/>
  <c r="X371" i="8"/>
  <c r="X372" i="8" s="1"/>
  <c r="AB301" i="2"/>
  <c r="AB668" i="8" s="1"/>
  <c r="AB669" i="8" s="1"/>
  <c r="P756" i="8"/>
  <c r="P757" i="8" s="1"/>
  <c r="P375" i="2"/>
  <c r="P904" i="8" s="1"/>
  <c r="P905" i="8" s="1"/>
  <c r="AA665" i="2"/>
  <c r="AA266" i="2"/>
  <c r="O338" i="2"/>
  <c r="O788" i="8" s="1"/>
  <c r="O789" i="8" s="1"/>
  <c r="P772" i="8"/>
  <c r="P773" i="8" s="1"/>
  <c r="P844" i="8"/>
  <c r="P845" i="8" s="1"/>
  <c r="O775" i="2"/>
  <c r="O1304" i="8" s="1"/>
  <c r="O1305" i="8" s="1"/>
  <c r="T31" i="2"/>
  <c r="T311" i="8"/>
  <c r="T312" i="8" s="1"/>
  <c r="P31" i="2"/>
  <c r="P311" i="8"/>
  <c r="P312" i="8" s="1"/>
  <c r="R302" i="2"/>
  <c r="R672" i="8" s="1"/>
  <c r="R673" i="8" s="1"/>
  <c r="L1008" i="8"/>
  <c r="L1009" i="8" s="1"/>
  <c r="L733" i="2"/>
  <c r="L755" i="2" s="1"/>
  <c r="L744" i="2"/>
  <c r="P800" i="8"/>
  <c r="P801" i="8" s="1"/>
  <c r="P394" i="2"/>
  <c r="P956" i="8" s="1"/>
  <c r="P957" i="8" s="1"/>
  <c r="O737" i="2"/>
  <c r="O1184" i="8" s="1"/>
  <c r="O1185" i="8" s="1"/>
  <c r="Q302" i="2"/>
  <c r="Q672" i="8" s="1"/>
  <c r="Q673" i="8" s="1"/>
  <c r="P1172" i="8"/>
  <c r="P1173" i="8" s="1"/>
  <c r="P1244" i="8"/>
  <c r="P1245" i="8" s="1"/>
  <c r="L1020" i="8"/>
  <c r="L1021" i="8" s="1"/>
  <c r="L736" i="2"/>
  <c r="L758" i="2" s="1"/>
  <c r="L747" i="2"/>
  <c r="O1160" i="8"/>
  <c r="O1161" i="8" s="1"/>
  <c r="O1232" i="8"/>
  <c r="O1233" i="8" s="1"/>
  <c r="K375" i="8"/>
  <c r="Q215" i="2"/>
  <c r="L764" i="8"/>
  <c r="L765" i="8" s="1"/>
  <c r="L836" i="8"/>
  <c r="L837" i="8" s="1"/>
  <c r="Q596" i="8"/>
  <c r="Q597" i="8" s="1"/>
  <c r="Q330" i="2"/>
  <c r="Q352" i="2" s="1"/>
  <c r="R276" i="2"/>
  <c r="Q341" i="2"/>
  <c r="AB266" i="2"/>
  <c r="AB665" i="2"/>
  <c r="AD32" i="2"/>
  <c r="AD315" i="8"/>
  <c r="AD316" i="8" s="1"/>
  <c r="L398" i="2"/>
  <c r="L972" i="8" s="1"/>
  <c r="L973" i="8" s="1"/>
  <c r="L816" i="8"/>
  <c r="L817" i="8" s="1"/>
  <c r="N1224" i="8"/>
  <c r="N1225" i="8" s="1"/>
  <c r="O1172" i="8"/>
  <c r="O1173" i="8" s="1"/>
  <c r="O1244" i="8"/>
  <c r="O1245" i="8" s="1"/>
  <c r="M756" i="8"/>
  <c r="M757" i="8" s="1"/>
  <c r="M338" i="2"/>
  <c r="M788" i="8" s="1"/>
  <c r="M789" i="8" s="1"/>
  <c r="M375" i="2"/>
  <c r="M904" i="8" s="1"/>
  <c r="M905" i="8" s="1"/>
  <c r="Q604" i="8"/>
  <c r="Q605" i="8" s="1"/>
  <c r="R278" i="2"/>
  <c r="Q343" i="2"/>
  <c r="Q332" i="2"/>
  <c r="Q354" i="2" s="1"/>
  <c r="T35" i="2"/>
  <c r="T327" i="8"/>
  <c r="T328" i="8" s="1"/>
  <c r="M1180" i="8"/>
  <c r="M1181" i="8" s="1"/>
  <c r="M1252" i="8"/>
  <c r="M1253" i="8" s="1"/>
  <c r="P1000" i="8"/>
  <c r="P1001" i="8" s="1"/>
  <c r="Q677" i="2"/>
  <c r="P731" i="2"/>
  <c r="P753" i="2" s="1"/>
  <c r="P742" i="2"/>
  <c r="Z761" i="2"/>
  <c r="Z790" i="2" s="1"/>
  <c r="Z718" i="2"/>
  <c r="P775" i="2"/>
  <c r="P1304" i="8" s="1"/>
  <c r="P1305" i="8" s="1"/>
  <c r="X301" i="2"/>
  <c r="X668" i="8" s="1"/>
  <c r="X669" i="8" s="1"/>
  <c r="AA301" i="2"/>
  <c r="AA668" i="8" s="1"/>
  <c r="AA669" i="8" s="1"/>
  <c r="Z301" i="2"/>
  <c r="Z668" i="8" s="1"/>
  <c r="Z669" i="8" s="1"/>
  <c r="U301" i="2"/>
  <c r="U668" i="8" s="1"/>
  <c r="U669" i="8" s="1"/>
  <c r="Y301" i="2"/>
  <c r="Y668" i="8" s="1"/>
  <c r="Y669" i="8" s="1"/>
  <c r="AD301" i="2"/>
  <c r="AD668" i="8" s="1"/>
  <c r="AD669" i="8" s="1"/>
  <c r="L301" i="2"/>
  <c r="L668" i="8" s="1"/>
  <c r="L669" i="8" s="1"/>
  <c r="O828" i="8"/>
  <c r="O829" i="8" s="1"/>
  <c r="N301" i="2"/>
  <c r="N668" i="8" s="1"/>
  <c r="N669" i="8" s="1"/>
  <c r="AA431" i="8"/>
  <c r="AA432" i="8" s="1"/>
  <c r="AA214" i="2"/>
  <c r="AC303" i="2"/>
  <c r="AC676" i="8" s="1"/>
  <c r="AC677" i="8" s="1"/>
  <c r="AA667" i="2"/>
  <c r="AA268" i="2"/>
  <c r="O1212" i="8"/>
  <c r="O1213" i="8" s="1"/>
  <c r="M792" i="8"/>
  <c r="M793" i="8" s="1"/>
  <c r="M392" i="2"/>
  <c r="M349" i="2"/>
  <c r="M824" i="8" s="1"/>
  <c r="M825" i="8" s="1"/>
  <c r="AD31" i="2"/>
  <c r="AD311" i="8"/>
  <c r="AD312" i="8" s="1"/>
  <c r="N948" i="8"/>
  <c r="N949" i="8" s="1"/>
  <c r="M1224" i="8"/>
  <c r="M1225" i="8" s="1"/>
  <c r="X211" i="2"/>
  <c r="X419" i="8"/>
  <c r="X420" i="8" s="1"/>
  <c r="AE701" i="2"/>
  <c r="AE1068" i="8" s="1"/>
  <c r="AE1069" i="8" s="1"/>
  <c r="O804" i="8"/>
  <c r="O805" i="8" s="1"/>
  <c r="O395" i="2"/>
  <c r="O960" i="8" s="1"/>
  <c r="O961" i="8" s="1"/>
  <c r="O349" i="2"/>
  <c r="O824" i="8" s="1"/>
  <c r="O825" i="8" s="1"/>
  <c r="AE303" i="2"/>
  <c r="AE676" i="8" s="1"/>
  <c r="AE677" i="8" s="1"/>
  <c r="N117" i="2"/>
  <c r="O117" i="2" s="1"/>
  <c r="M55" i="8"/>
  <c r="M56" i="8" s="1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59" i="2" s="1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M236" i="2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58" i="2" s="1"/>
  <c r="N58" i="2" s="1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M240" i="2"/>
  <c r="N240" i="2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M241" i="2"/>
  <c r="M143" i="8" s="1"/>
  <c r="M144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M56" i="2"/>
  <c r="N56" i="2" s="1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N239" i="2"/>
  <c r="M135" i="8"/>
  <c r="M136" i="8" s="1"/>
  <c r="N114" i="2"/>
  <c r="M43" i="8"/>
  <c r="M44" i="8" s="1"/>
  <c r="N242" i="2"/>
  <c r="M147" i="8"/>
  <c r="M148" i="8" s="1"/>
  <c r="N62" i="2"/>
  <c r="M39" i="8"/>
  <c r="M40" i="8" s="1"/>
  <c r="N121" i="2"/>
  <c r="M71" i="8"/>
  <c r="M72" i="8" s="1"/>
  <c r="N238" i="2"/>
  <c r="M131" i="8"/>
  <c r="M132" i="8" s="1"/>
  <c r="U154" i="2"/>
  <c r="U395" i="8"/>
  <c r="U396" i="8" s="1"/>
  <c r="F404" i="8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179" i="2" s="1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N54" i="2"/>
  <c r="M7" i="8"/>
  <c r="M8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M27" i="8"/>
  <c r="M28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N118" i="2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N119" i="2"/>
  <c r="M63" i="8"/>
  <c r="M64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N116" i="2"/>
  <c r="M51" i="8"/>
  <c r="M5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N122" i="2"/>
  <c r="M75" i="8"/>
  <c r="M76" i="8" s="1"/>
  <c r="W155" i="2"/>
  <c r="W399" i="8"/>
  <c r="W400" i="8" s="1"/>
  <c r="M147" i="2"/>
  <c r="M174" i="2" s="1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N237" i="2"/>
  <c r="M127" i="8"/>
  <c r="M128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N61" i="2"/>
  <c r="M35" i="8"/>
  <c r="M36" i="8" s="1"/>
  <c r="Z92" i="2"/>
  <c r="Z351" i="8"/>
  <c r="Z352" i="8" s="1"/>
  <c r="T148" i="2"/>
  <c r="T371" i="8"/>
  <c r="T372" i="8" s="1"/>
  <c r="W149" i="2"/>
  <c r="W375" i="8"/>
  <c r="W376" i="8" s="1"/>
  <c r="N57" i="2"/>
  <c r="M19" i="8"/>
  <c r="M20" i="8" s="1"/>
  <c r="M155" i="2"/>
  <c r="M182" i="2" s="1"/>
  <c r="M399" i="8"/>
  <c r="M400" i="8" s="1"/>
  <c r="N120" i="2"/>
  <c r="M67" i="8"/>
  <c r="M68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176" i="2" s="1"/>
  <c r="M375" i="8"/>
  <c r="M376" i="8" s="1"/>
  <c r="M151" i="2"/>
  <c r="M178" i="2" s="1"/>
  <c r="M383" i="8"/>
  <c r="M384" i="8" s="1"/>
  <c r="W148" i="2"/>
  <c r="W371" i="8"/>
  <c r="W372" i="8" s="1"/>
  <c r="N234" i="2" l="1"/>
  <c r="M115" i="8"/>
  <c r="M116" i="8" s="1"/>
  <c r="O797" i="2"/>
  <c r="O1368" i="8" s="1"/>
  <c r="O1369" i="8" s="1"/>
  <c r="M701" i="2"/>
  <c r="M1068" i="8" s="1"/>
  <c r="M1069" i="8" s="1"/>
  <c r="O793" i="2"/>
  <c r="O1352" i="8" s="1"/>
  <c r="O1353" i="8" s="1"/>
  <c r="N60" i="2"/>
  <c r="F428" i="8"/>
  <c r="N701" i="2"/>
  <c r="N1068" i="8" s="1"/>
  <c r="N1069" i="8" s="1"/>
  <c r="X701" i="2"/>
  <c r="X1068" i="8" s="1"/>
  <c r="X1069" i="8" s="1"/>
  <c r="M23" i="8"/>
  <c r="M24" i="8" s="1"/>
  <c r="M119" i="8"/>
  <c r="M120" i="8" s="1"/>
  <c r="O701" i="2"/>
  <c r="O1068" i="8" s="1"/>
  <c r="O1069" i="8" s="1"/>
  <c r="F681" i="8"/>
  <c r="F685" i="8"/>
  <c r="M798" i="2"/>
  <c r="M1372" i="8" s="1"/>
  <c r="M1373" i="8" s="1"/>
  <c r="N400" i="2"/>
  <c r="M793" i="2"/>
  <c r="M1352" i="8" s="1"/>
  <c r="M1353" i="8" s="1"/>
  <c r="O794" i="2"/>
  <c r="O1356" i="8" s="1"/>
  <c r="O1357" i="8" s="1"/>
  <c r="N759" i="2"/>
  <c r="N1256" i="8" s="1"/>
  <c r="N1257" i="8" s="1"/>
  <c r="M797" i="2"/>
  <c r="M1368" i="8" s="1"/>
  <c r="M1369" i="8" s="1"/>
  <c r="F412" i="8"/>
  <c r="M796" i="2"/>
  <c r="M1364" i="8" s="1"/>
  <c r="M1365" i="8" s="1"/>
  <c r="M63" i="2"/>
  <c r="M11" i="8"/>
  <c r="M12" i="8" s="1"/>
  <c r="M15" i="8"/>
  <c r="M16" i="8" s="1"/>
  <c r="M702" i="2"/>
  <c r="M1072" i="8" s="1"/>
  <c r="M1073" i="8" s="1"/>
  <c r="M703" i="2"/>
  <c r="M1076" i="8" s="1"/>
  <c r="M1077" i="8" s="1"/>
  <c r="M794" i="2"/>
  <c r="M1356" i="8" s="1"/>
  <c r="M1357" i="8" s="1"/>
  <c r="M984" i="8"/>
  <c r="M985" i="8" s="1"/>
  <c r="M698" i="2"/>
  <c r="M1056" i="8" s="1"/>
  <c r="M1057" i="8" s="1"/>
  <c r="M704" i="2"/>
  <c r="M1080" i="8" s="1"/>
  <c r="M1081" i="8" s="1"/>
  <c r="M791" i="2"/>
  <c r="M1344" i="8" s="1"/>
  <c r="M1345" i="8" s="1"/>
  <c r="M705" i="2"/>
  <c r="M1084" i="8" s="1"/>
  <c r="M1085" i="8" s="1"/>
  <c r="M700" i="2"/>
  <c r="M1064" i="8" s="1"/>
  <c r="M1065" i="8" s="1"/>
  <c r="M699" i="2"/>
  <c r="M1060" i="8" s="1"/>
  <c r="M1061" i="8" s="1"/>
  <c r="M792" i="2"/>
  <c r="N1404" i="8"/>
  <c r="N1405" i="8" s="1"/>
  <c r="N419" i="2"/>
  <c r="N429" i="2" s="1"/>
  <c r="N479" i="2"/>
  <c r="N489" i="2" s="1"/>
  <c r="N599" i="2"/>
  <c r="N609" i="2" s="1"/>
  <c r="N539" i="2"/>
  <c r="N549" i="2" s="1"/>
  <c r="T1412" i="8"/>
  <c r="T1413" i="8" s="1"/>
  <c r="T481" i="2"/>
  <c r="T491" i="2" s="1"/>
  <c r="T541" i="2"/>
  <c r="T551" i="2" s="1"/>
  <c r="T421" i="2"/>
  <c r="T431" i="2" s="1"/>
  <c r="T601" i="2"/>
  <c r="T611" i="2" s="1"/>
  <c r="AB1400" i="8"/>
  <c r="AB1401" i="8" s="1"/>
  <c r="AB538" i="2"/>
  <c r="AB548" i="2" s="1"/>
  <c r="AB478" i="2"/>
  <c r="AB488" i="2" s="1"/>
  <c r="AB598" i="2"/>
  <c r="AB608" i="2" s="1"/>
  <c r="AB418" i="2"/>
  <c r="AB428" i="2" s="1"/>
  <c r="U704" i="2"/>
  <c r="U1080" i="8" s="1"/>
  <c r="U1081" i="8" s="1"/>
  <c r="U988" i="8"/>
  <c r="U989" i="8" s="1"/>
  <c r="U1396" i="8"/>
  <c r="U1397" i="8" s="1"/>
  <c r="U477" i="2"/>
  <c r="U487" i="2" s="1"/>
  <c r="U597" i="2"/>
  <c r="U607" i="2" s="1"/>
  <c r="U537" i="2"/>
  <c r="U547" i="2" s="1"/>
  <c r="U417" i="2"/>
  <c r="U427" i="2" s="1"/>
  <c r="Q1392" i="8"/>
  <c r="Q1393" i="8" s="1"/>
  <c r="Q596" i="2"/>
  <c r="Q606" i="2" s="1"/>
  <c r="Q476" i="2"/>
  <c r="Q486" i="2" s="1"/>
  <c r="Q416" i="2"/>
  <c r="Q426" i="2" s="1"/>
  <c r="Q536" i="2"/>
  <c r="Q546" i="2" s="1"/>
  <c r="AE1392" i="8"/>
  <c r="AE1393" i="8" s="1"/>
  <c r="AE476" i="2"/>
  <c r="AE486" i="2" s="1"/>
  <c r="AE416" i="2"/>
  <c r="AE426" i="2" s="1"/>
  <c r="AE596" i="2"/>
  <c r="AE606" i="2" s="1"/>
  <c r="AE536" i="2"/>
  <c r="AE546" i="2" s="1"/>
  <c r="R1424" i="8"/>
  <c r="R1425" i="8" s="1"/>
  <c r="R544" i="2"/>
  <c r="R554" i="2" s="1"/>
  <c r="R484" i="2"/>
  <c r="R494" i="2" s="1"/>
  <c r="R604" i="2"/>
  <c r="R614" i="2" s="1"/>
  <c r="R424" i="2"/>
  <c r="R434" i="2" s="1"/>
  <c r="P1396" i="8"/>
  <c r="P1397" i="8" s="1"/>
  <c r="P477" i="2"/>
  <c r="P487" i="2" s="1"/>
  <c r="P417" i="2"/>
  <c r="P427" i="2" s="1"/>
  <c r="P597" i="2"/>
  <c r="P607" i="2" s="1"/>
  <c r="P537" i="2"/>
  <c r="P547" i="2" s="1"/>
  <c r="Y1412" i="8"/>
  <c r="Y1413" i="8" s="1"/>
  <c r="Y421" i="2"/>
  <c r="Y431" i="2" s="1"/>
  <c r="Y601" i="2"/>
  <c r="Y611" i="2" s="1"/>
  <c r="Y481" i="2"/>
  <c r="Y491" i="2" s="1"/>
  <c r="Y541" i="2"/>
  <c r="Y551" i="2" s="1"/>
  <c r="AD1424" i="8"/>
  <c r="AD1425" i="8" s="1"/>
  <c r="AD484" i="2"/>
  <c r="AD494" i="2" s="1"/>
  <c r="AD424" i="2"/>
  <c r="AD434" i="2" s="1"/>
  <c r="AD604" i="2"/>
  <c r="AD614" i="2" s="1"/>
  <c r="AD544" i="2"/>
  <c r="AD554" i="2" s="1"/>
  <c r="G654" i="2"/>
  <c r="G255" i="2"/>
  <c r="W1396" i="8"/>
  <c r="W1397" i="8" s="1"/>
  <c r="W477" i="2"/>
  <c r="W487" i="2" s="1"/>
  <c r="W597" i="2"/>
  <c r="W607" i="2" s="1"/>
  <c r="W417" i="2"/>
  <c r="W427" i="2" s="1"/>
  <c r="W537" i="2"/>
  <c r="W547" i="2" s="1"/>
  <c r="Z1384" i="8"/>
  <c r="Z1385" i="8" s="1"/>
  <c r="Z646" i="2"/>
  <c r="N55" i="2"/>
  <c r="O55" i="2" s="1"/>
  <c r="N236" i="2"/>
  <c r="N980" i="8"/>
  <c r="N981" i="8" s="1"/>
  <c r="N250" i="2"/>
  <c r="AA701" i="2"/>
  <c r="AA1068" i="8" s="1"/>
  <c r="AA1069" i="8" s="1"/>
  <c r="P338" i="2"/>
  <c r="P788" i="8" s="1"/>
  <c r="P789" i="8" s="1"/>
  <c r="P358" i="2"/>
  <c r="N1416" i="8"/>
  <c r="N1417" i="8" s="1"/>
  <c r="N422" i="2"/>
  <c r="N432" i="2" s="1"/>
  <c r="N602" i="2"/>
  <c r="N612" i="2" s="1"/>
  <c r="N482" i="2"/>
  <c r="N492" i="2" s="1"/>
  <c r="N542" i="2"/>
  <c r="N552" i="2" s="1"/>
  <c r="T1424" i="8"/>
  <c r="T1425" i="8" s="1"/>
  <c r="T544" i="2"/>
  <c r="T554" i="2" s="1"/>
  <c r="T604" i="2"/>
  <c r="T614" i="2" s="1"/>
  <c r="T484" i="2"/>
  <c r="T494" i="2" s="1"/>
  <c r="T424" i="2"/>
  <c r="T434" i="2" s="1"/>
  <c r="AB1412" i="8"/>
  <c r="AB1413" i="8" s="1"/>
  <c r="AB601" i="2"/>
  <c r="AB611" i="2" s="1"/>
  <c r="AB421" i="2"/>
  <c r="AB431" i="2" s="1"/>
  <c r="AB541" i="2"/>
  <c r="AB551" i="2" s="1"/>
  <c r="AB481" i="2"/>
  <c r="AB491" i="2" s="1"/>
  <c r="U1392" i="8"/>
  <c r="U1393" i="8" s="1"/>
  <c r="U596" i="2"/>
  <c r="U606" i="2" s="1"/>
  <c r="U416" i="2"/>
  <c r="U426" i="2" s="1"/>
  <c r="U476" i="2"/>
  <c r="U486" i="2" s="1"/>
  <c r="U536" i="2"/>
  <c r="U546" i="2" s="1"/>
  <c r="Q1404" i="8"/>
  <c r="Q1405" i="8" s="1"/>
  <c r="Q599" i="2"/>
  <c r="Q609" i="2" s="1"/>
  <c r="Q419" i="2"/>
  <c r="Q429" i="2" s="1"/>
  <c r="Q479" i="2"/>
  <c r="Q489" i="2" s="1"/>
  <c r="Q539" i="2"/>
  <c r="Q549" i="2" s="1"/>
  <c r="AE1404" i="8"/>
  <c r="AE1405" i="8" s="1"/>
  <c r="AE419" i="2"/>
  <c r="AE429" i="2" s="1"/>
  <c r="AE479" i="2"/>
  <c r="AE489" i="2" s="1"/>
  <c r="AE539" i="2"/>
  <c r="AE549" i="2" s="1"/>
  <c r="AE599" i="2"/>
  <c r="AE609" i="2" s="1"/>
  <c r="R1400" i="8"/>
  <c r="R1401" i="8" s="1"/>
  <c r="R598" i="2"/>
  <c r="R608" i="2" s="1"/>
  <c r="R478" i="2"/>
  <c r="R488" i="2" s="1"/>
  <c r="R538" i="2"/>
  <c r="R548" i="2" s="1"/>
  <c r="R418" i="2"/>
  <c r="R428" i="2" s="1"/>
  <c r="P1408" i="8"/>
  <c r="P1409" i="8" s="1"/>
  <c r="P420" i="2"/>
  <c r="P430" i="2" s="1"/>
  <c r="P540" i="2"/>
  <c r="P550" i="2" s="1"/>
  <c r="P480" i="2"/>
  <c r="P490" i="2" s="1"/>
  <c r="P600" i="2"/>
  <c r="P610" i="2" s="1"/>
  <c r="S1400" i="8"/>
  <c r="S1401" i="8" s="1"/>
  <c r="S478" i="2"/>
  <c r="S488" i="2" s="1"/>
  <c r="S418" i="2"/>
  <c r="S428" i="2" s="1"/>
  <c r="S598" i="2"/>
  <c r="S608" i="2" s="1"/>
  <c r="S538" i="2"/>
  <c r="S548" i="2" s="1"/>
  <c r="L1408" i="8"/>
  <c r="L1409" i="8" s="1"/>
  <c r="L420" i="2"/>
  <c r="L480" i="2"/>
  <c r="L600" i="2"/>
  <c r="L610" i="2" s="1"/>
  <c r="L540" i="2"/>
  <c r="L550" i="2" s="1"/>
  <c r="AD1396" i="8"/>
  <c r="AD1397" i="8" s="1"/>
  <c r="AD477" i="2"/>
  <c r="AD487" i="2" s="1"/>
  <c r="AD537" i="2"/>
  <c r="AD547" i="2" s="1"/>
  <c r="AD597" i="2"/>
  <c r="AD607" i="2" s="1"/>
  <c r="AD417" i="2"/>
  <c r="AD427" i="2" s="1"/>
  <c r="G257" i="2"/>
  <c r="G656" i="2"/>
  <c r="W1404" i="8"/>
  <c r="W1405" i="8" s="1"/>
  <c r="W479" i="2"/>
  <c r="W489" i="2" s="1"/>
  <c r="W419" i="2"/>
  <c r="W429" i="2" s="1"/>
  <c r="W599" i="2"/>
  <c r="W609" i="2" s="1"/>
  <c r="W539" i="2"/>
  <c r="W549" i="2" s="1"/>
  <c r="Z1420" i="8"/>
  <c r="Z1421" i="8" s="1"/>
  <c r="Z483" i="2"/>
  <c r="Z493" i="2" s="1"/>
  <c r="Z423" i="2"/>
  <c r="Z433" i="2" s="1"/>
  <c r="Z543" i="2"/>
  <c r="Z553" i="2" s="1"/>
  <c r="Z603" i="2"/>
  <c r="Z613" i="2" s="1"/>
  <c r="S984" i="8"/>
  <c r="S985" i="8" s="1"/>
  <c r="S703" i="2"/>
  <c r="S1076" i="8" s="1"/>
  <c r="S1077" i="8" s="1"/>
  <c r="S700" i="2"/>
  <c r="S1064" i="8" s="1"/>
  <c r="S1065" i="8" s="1"/>
  <c r="S702" i="2"/>
  <c r="S1072" i="8" s="1"/>
  <c r="S1073" i="8" s="1"/>
  <c r="S699" i="2"/>
  <c r="S1060" i="8" s="1"/>
  <c r="S1061" i="8" s="1"/>
  <c r="S698" i="2"/>
  <c r="S1056" i="8" s="1"/>
  <c r="S1057" i="8" s="1"/>
  <c r="S704" i="2"/>
  <c r="S1080" i="8" s="1"/>
  <c r="S1081" i="8" s="1"/>
  <c r="S701" i="2"/>
  <c r="S1068" i="8" s="1"/>
  <c r="S1069" i="8" s="1"/>
  <c r="U1404" i="8"/>
  <c r="U1405" i="8" s="1"/>
  <c r="U479" i="2"/>
  <c r="U489" i="2" s="1"/>
  <c r="U419" i="2"/>
  <c r="U429" i="2" s="1"/>
  <c r="U539" i="2"/>
  <c r="U549" i="2" s="1"/>
  <c r="U599" i="2"/>
  <c r="U609" i="2" s="1"/>
  <c r="AE1412" i="8"/>
  <c r="AE1413" i="8" s="1"/>
  <c r="AE541" i="2"/>
  <c r="AE551" i="2" s="1"/>
  <c r="AE421" i="2"/>
  <c r="AE431" i="2" s="1"/>
  <c r="AE481" i="2"/>
  <c r="AE491" i="2" s="1"/>
  <c r="AE601" i="2"/>
  <c r="AE611" i="2" s="1"/>
  <c r="X1396" i="8"/>
  <c r="X1397" i="8" s="1"/>
  <c r="X417" i="2"/>
  <c r="X427" i="2" s="1"/>
  <c r="X477" i="2"/>
  <c r="X487" i="2" s="1"/>
  <c r="X597" i="2"/>
  <c r="X607" i="2" s="1"/>
  <c r="X537" i="2"/>
  <c r="X547" i="2" s="1"/>
  <c r="R1396" i="8"/>
  <c r="R1397" i="8" s="1"/>
  <c r="R477" i="2"/>
  <c r="R487" i="2" s="1"/>
  <c r="R597" i="2"/>
  <c r="R607" i="2" s="1"/>
  <c r="R537" i="2"/>
  <c r="R547" i="2" s="1"/>
  <c r="R417" i="2"/>
  <c r="R427" i="2" s="1"/>
  <c r="P1420" i="8"/>
  <c r="P1421" i="8" s="1"/>
  <c r="P423" i="2"/>
  <c r="P433" i="2" s="1"/>
  <c r="P603" i="2"/>
  <c r="P613" i="2" s="1"/>
  <c r="P483" i="2"/>
  <c r="P493" i="2" s="1"/>
  <c r="P543" i="2"/>
  <c r="P553" i="2" s="1"/>
  <c r="W1416" i="8"/>
  <c r="W1417" i="8" s="1"/>
  <c r="W542" i="2"/>
  <c r="W552" i="2" s="1"/>
  <c r="W422" i="2"/>
  <c r="W432" i="2" s="1"/>
  <c r="W602" i="2"/>
  <c r="W612" i="2" s="1"/>
  <c r="W482" i="2"/>
  <c r="W492" i="2" s="1"/>
  <c r="Z1396" i="8"/>
  <c r="Z1397" i="8" s="1"/>
  <c r="Z477" i="2"/>
  <c r="Z487" i="2" s="1"/>
  <c r="Z597" i="2"/>
  <c r="Z607" i="2" s="1"/>
  <c r="Z417" i="2"/>
  <c r="Z427" i="2" s="1"/>
  <c r="Z537" i="2"/>
  <c r="Z547" i="2" s="1"/>
  <c r="F304" i="8"/>
  <c r="Q729" i="2"/>
  <c r="N1412" i="8"/>
  <c r="N1413" i="8" s="1"/>
  <c r="N421" i="2"/>
  <c r="N431" i="2" s="1"/>
  <c r="N541" i="2"/>
  <c r="N551" i="2" s="1"/>
  <c r="N481" i="2"/>
  <c r="N491" i="2" s="1"/>
  <c r="N601" i="2"/>
  <c r="N611" i="2" s="1"/>
  <c r="T1408" i="8"/>
  <c r="T1409" i="8" s="1"/>
  <c r="T480" i="2"/>
  <c r="T490" i="2" s="1"/>
  <c r="T540" i="2"/>
  <c r="T550" i="2" s="1"/>
  <c r="T420" i="2"/>
  <c r="T430" i="2" s="1"/>
  <c r="T600" i="2"/>
  <c r="T610" i="2" s="1"/>
  <c r="AB1420" i="8"/>
  <c r="AB1421" i="8" s="1"/>
  <c r="AB603" i="2"/>
  <c r="AB613" i="2" s="1"/>
  <c r="AB543" i="2"/>
  <c r="AB553" i="2" s="1"/>
  <c r="AB483" i="2"/>
  <c r="AB493" i="2" s="1"/>
  <c r="AB423" i="2"/>
  <c r="AB433" i="2" s="1"/>
  <c r="O1416" i="8"/>
  <c r="O1417" i="8" s="1"/>
  <c r="O422" i="2"/>
  <c r="O432" i="2" s="1"/>
  <c r="O482" i="2"/>
  <c r="O492" i="2" s="1"/>
  <c r="O602" i="2"/>
  <c r="O612" i="2" s="1"/>
  <c r="O542" i="2"/>
  <c r="O552" i="2" s="1"/>
  <c r="U1416" i="8"/>
  <c r="U1417" i="8" s="1"/>
  <c r="U422" i="2"/>
  <c r="U432" i="2" s="1"/>
  <c r="U482" i="2"/>
  <c r="U492" i="2" s="1"/>
  <c r="U542" i="2"/>
  <c r="U552" i="2" s="1"/>
  <c r="U602" i="2"/>
  <c r="U612" i="2" s="1"/>
  <c r="Q1424" i="8"/>
  <c r="Q1425" i="8" s="1"/>
  <c r="Q544" i="2"/>
  <c r="Q554" i="2" s="1"/>
  <c r="Q484" i="2"/>
  <c r="Q494" i="2" s="1"/>
  <c r="Q424" i="2"/>
  <c r="Q434" i="2" s="1"/>
  <c r="Q604" i="2"/>
  <c r="Q614" i="2" s="1"/>
  <c r="AE1424" i="8"/>
  <c r="AE1425" i="8" s="1"/>
  <c r="AE424" i="2"/>
  <c r="AE434" i="2" s="1"/>
  <c r="AE544" i="2"/>
  <c r="AE554" i="2" s="1"/>
  <c r="AE484" i="2"/>
  <c r="AE494" i="2" s="1"/>
  <c r="AE604" i="2"/>
  <c r="AE614" i="2" s="1"/>
  <c r="X1404" i="8"/>
  <c r="X1405" i="8" s="1"/>
  <c r="X419" i="2"/>
  <c r="X429" i="2" s="1"/>
  <c r="X539" i="2"/>
  <c r="X549" i="2" s="1"/>
  <c r="X479" i="2"/>
  <c r="X489" i="2" s="1"/>
  <c r="X599" i="2"/>
  <c r="X609" i="2" s="1"/>
  <c r="R1408" i="8"/>
  <c r="R1409" i="8" s="1"/>
  <c r="R600" i="2"/>
  <c r="R610" i="2" s="1"/>
  <c r="R540" i="2"/>
  <c r="R550" i="2" s="1"/>
  <c r="R480" i="2"/>
  <c r="R490" i="2" s="1"/>
  <c r="R420" i="2"/>
  <c r="R430" i="2" s="1"/>
  <c r="P1400" i="8"/>
  <c r="P1401" i="8" s="1"/>
  <c r="P478" i="2"/>
  <c r="P488" i="2" s="1"/>
  <c r="P538" i="2"/>
  <c r="P548" i="2" s="1"/>
  <c r="P598" i="2"/>
  <c r="P608" i="2" s="1"/>
  <c r="P418" i="2"/>
  <c r="P428" i="2" s="1"/>
  <c r="S1408" i="8"/>
  <c r="S1409" i="8" s="1"/>
  <c r="S480" i="2"/>
  <c r="S490" i="2" s="1"/>
  <c r="S420" i="2"/>
  <c r="S430" i="2" s="1"/>
  <c r="S540" i="2"/>
  <c r="S550" i="2" s="1"/>
  <c r="S600" i="2"/>
  <c r="S610" i="2" s="1"/>
  <c r="L1396" i="8"/>
  <c r="L1397" i="8" s="1"/>
  <c r="L477" i="2"/>
  <c r="L417" i="2"/>
  <c r="L597" i="2"/>
  <c r="L607" i="2" s="1"/>
  <c r="L537" i="2"/>
  <c r="AD1420" i="8"/>
  <c r="AD1421" i="8" s="1"/>
  <c r="AD483" i="2"/>
  <c r="AD493" i="2" s="1"/>
  <c r="AD543" i="2"/>
  <c r="AD553" i="2" s="1"/>
  <c r="AD603" i="2"/>
  <c r="AD613" i="2" s="1"/>
  <c r="AD423" i="2"/>
  <c r="AD433" i="2" s="1"/>
  <c r="G653" i="2"/>
  <c r="G254" i="2"/>
  <c r="W1392" i="8"/>
  <c r="W1393" i="8" s="1"/>
  <c r="W596" i="2"/>
  <c r="W606" i="2" s="1"/>
  <c r="W536" i="2"/>
  <c r="W546" i="2" s="1"/>
  <c r="W416" i="2"/>
  <c r="W426" i="2" s="1"/>
  <c r="W476" i="2"/>
  <c r="W486" i="2" s="1"/>
  <c r="Z1408" i="8"/>
  <c r="Z1409" i="8" s="1"/>
  <c r="Z600" i="2"/>
  <c r="Z610" i="2" s="1"/>
  <c r="Z480" i="2"/>
  <c r="Z490" i="2" s="1"/>
  <c r="Z540" i="2"/>
  <c r="Z550" i="2" s="1"/>
  <c r="Z420" i="2"/>
  <c r="Z430" i="2" s="1"/>
  <c r="N115" i="2"/>
  <c r="N123" i="2" s="1"/>
  <c r="Q740" i="2"/>
  <c r="N1424" i="8"/>
  <c r="N1425" i="8" s="1"/>
  <c r="N544" i="2"/>
  <c r="N554" i="2" s="1"/>
  <c r="N424" i="2"/>
  <c r="N434" i="2" s="1"/>
  <c r="N484" i="2"/>
  <c r="N494" i="2" s="1"/>
  <c r="N604" i="2"/>
  <c r="N614" i="2" s="1"/>
  <c r="T1420" i="8"/>
  <c r="T1421" i="8" s="1"/>
  <c r="T423" i="2"/>
  <c r="T433" i="2" s="1"/>
  <c r="T483" i="2"/>
  <c r="T493" i="2" s="1"/>
  <c r="T543" i="2"/>
  <c r="T553" i="2" s="1"/>
  <c r="T603" i="2"/>
  <c r="T613" i="2" s="1"/>
  <c r="O1392" i="8"/>
  <c r="O1393" i="8" s="1"/>
  <c r="O416" i="2"/>
  <c r="O426" i="2" s="1"/>
  <c r="O596" i="2"/>
  <c r="O606" i="2" s="1"/>
  <c r="O476" i="2"/>
  <c r="O486" i="2" s="1"/>
  <c r="O536" i="2"/>
  <c r="O546" i="2" s="1"/>
  <c r="U1412" i="8"/>
  <c r="U1413" i="8" s="1"/>
  <c r="U541" i="2"/>
  <c r="U551" i="2" s="1"/>
  <c r="U421" i="2"/>
  <c r="U431" i="2" s="1"/>
  <c r="U601" i="2"/>
  <c r="U611" i="2" s="1"/>
  <c r="U481" i="2"/>
  <c r="U491" i="2" s="1"/>
  <c r="Q1400" i="8"/>
  <c r="Q1401" i="8" s="1"/>
  <c r="Q478" i="2"/>
  <c r="Q488" i="2" s="1"/>
  <c r="Q598" i="2"/>
  <c r="Q608" i="2" s="1"/>
  <c r="Q418" i="2"/>
  <c r="Q428" i="2" s="1"/>
  <c r="Q538" i="2"/>
  <c r="Q548" i="2" s="1"/>
  <c r="V1400" i="8"/>
  <c r="V1401" i="8" s="1"/>
  <c r="V538" i="2"/>
  <c r="V548" i="2" s="1"/>
  <c r="V598" i="2"/>
  <c r="V608" i="2" s="1"/>
  <c r="V478" i="2"/>
  <c r="V488" i="2" s="1"/>
  <c r="V418" i="2"/>
  <c r="V428" i="2" s="1"/>
  <c r="AE1400" i="8"/>
  <c r="AE1401" i="8" s="1"/>
  <c r="AE418" i="2"/>
  <c r="AE428" i="2" s="1"/>
  <c r="AE478" i="2"/>
  <c r="AE488" i="2" s="1"/>
  <c r="AE598" i="2"/>
  <c r="AE608" i="2" s="1"/>
  <c r="AE538" i="2"/>
  <c r="AE548" i="2" s="1"/>
  <c r="X1416" i="8"/>
  <c r="X1417" i="8" s="1"/>
  <c r="X422" i="2"/>
  <c r="X432" i="2" s="1"/>
  <c r="X482" i="2"/>
  <c r="X492" i="2" s="1"/>
  <c r="X542" i="2"/>
  <c r="X552" i="2" s="1"/>
  <c r="X602" i="2"/>
  <c r="X612" i="2" s="1"/>
  <c r="R1420" i="8"/>
  <c r="R1421" i="8" s="1"/>
  <c r="R543" i="2"/>
  <c r="R553" i="2" s="1"/>
  <c r="R483" i="2"/>
  <c r="R493" i="2" s="1"/>
  <c r="R603" i="2"/>
  <c r="R613" i="2" s="1"/>
  <c r="R423" i="2"/>
  <c r="R433" i="2" s="1"/>
  <c r="N703" i="2"/>
  <c r="N1076" i="8" s="1"/>
  <c r="N1077" i="8" s="1"/>
  <c r="N793" i="2"/>
  <c r="N1352" i="8" s="1"/>
  <c r="N1353" i="8" s="1"/>
  <c r="N791" i="2"/>
  <c r="N984" i="8"/>
  <c r="N985" i="8" s="1"/>
  <c r="N700" i="2"/>
  <c r="N1064" i="8" s="1"/>
  <c r="N1065" i="8" s="1"/>
  <c r="N698" i="2"/>
  <c r="N1056" i="8" s="1"/>
  <c r="N1057" i="8" s="1"/>
  <c r="N795" i="2"/>
  <c r="N1360" i="8" s="1"/>
  <c r="N1361" i="8" s="1"/>
  <c r="N797" i="2"/>
  <c r="N1368" i="8" s="1"/>
  <c r="N1369" i="8" s="1"/>
  <c r="N699" i="2"/>
  <c r="N1060" i="8" s="1"/>
  <c r="N1061" i="8" s="1"/>
  <c r="N796" i="2"/>
  <c r="N1364" i="8" s="1"/>
  <c r="N1365" i="8" s="1"/>
  <c r="N798" i="2"/>
  <c r="N1372" i="8" s="1"/>
  <c r="N1373" i="8" s="1"/>
  <c r="N705" i="2"/>
  <c r="N1084" i="8" s="1"/>
  <c r="N1085" i="8" s="1"/>
  <c r="N792" i="2"/>
  <c r="N1348" i="8" s="1"/>
  <c r="N1349" i="8" s="1"/>
  <c r="N794" i="2"/>
  <c r="N1356" i="8" s="1"/>
  <c r="N1357" i="8" s="1"/>
  <c r="N702" i="2"/>
  <c r="N1072" i="8" s="1"/>
  <c r="N1073" i="8" s="1"/>
  <c r="N704" i="2"/>
  <c r="N1080" i="8" s="1"/>
  <c r="N1081" i="8" s="1"/>
  <c r="S1420" i="8"/>
  <c r="S1421" i="8" s="1"/>
  <c r="S603" i="2"/>
  <c r="S613" i="2" s="1"/>
  <c r="S483" i="2"/>
  <c r="S493" i="2" s="1"/>
  <c r="S423" i="2"/>
  <c r="S433" i="2" s="1"/>
  <c r="S543" i="2"/>
  <c r="S553" i="2" s="1"/>
  <c r="L1404" i="8"/>
  <c r="L1405" i="8" s="1"/>
  <c r="L539" i="2"/>
  <c r="L479" i="2"/>
  <c r="L419" i="2"/>
  <c r="L599" i="2"/>
  <c r="L609" i="2" s="1"/>
  <c r="AD1400" i="8"/>
  <c r="AD1401" i="8" s="1"/>
  <c r="AD478" i="2"/>
  <c r="AD488" i="2" s="1"/>
  <c r="AD538" i="2"/>
  <c r="AD548" i="2" s="1"/>
  <c r="AD598" i="2"/>
  <c r="AD608" i="2" s="1"/>
  <c r="AD418" i="2"/>
  <c r="AD428" i="2" s="1"/>
  <c r="AE984" i="8"/>
  <c r="AE985" i="8" s="1"/>
  <c r="AE704" i="2"/>
  <c r="AE1080" i="8" s="1"/>
  <c r="AE1081" i="8" s="1"/>
  <c r="AE699" i="2"/>
  <c r="AE1060" i="8" s="1"/>
  <c r="AE1061" i="8" s="1"/>
  <c r="AE702" i="2"/>
  <c r="AE1072" i="8" s="1"/>
  <c r="AE1073" i="8" s="1"/>
  <c r="AE705" i="2"/>
  <c r="AE1084" i="8" s="1"/>
  <c r="AE1085" i="8" s="1"/>
  <c r="AE698" i="2"/>
  <c r="AE1056" i="8" s="1"/>
  <c r="AE1057" i="8" s="1"/>
  <c r="AE700" i="2"/>
  <c r="AE1064" i="8" s="1"/>
  <c r="AE1065" i="8" s="1"/>
  <c r="W1424" i="8"/>
  <c r="W1425" i="8" s="1"/>
  <c r="W604" i="2"/>
  <c r="W614" i="2" s="1"/>
  <c r="W484" i="2"/>
  <c r="W494" i="2" s="1"/>
  <c r="W424" i="2"/>
  <c r="W434" i="2" s="1"/>
  <c r="W544" i="2"/>
  <c r="W554" i="2" s="1"/>
  <c r="Q698" i="2"/>
  <c r="Q1056" i="8" s="1"/>
  <c r="Q1057" i="8" s="1"/>
  <c r="Q988" i="8"/>
  <c r="Q989" i="8" s="1"/>
  <c r="Z1404" i="8"/>
  <c r="Z1405" i="8" s="1"/>
  <c r="Z479" i="2"/>
  <c r="Z489" i="2" s="1"/>
  <c r="Z599" i="2"/>
  <c r="Z609" i="2" s="1"/>
  <c r="Z539" i="2"/>
  <c r="Z549" i="2" s="1"/>
  <c r="Z419" i="2"/>
  <c r="Z429" i="2" s="1"/>
  <c r="T1400" i="8"/>
  <c r="T1401" i="8" s="1"/>
  <c r="T418" i="2"/>
  <c r="T428" i="2" s="1"/>
  <c r="T478" i="2"/>
  <c r="T488" i="2" s="1"/>
  <c r="T598" i="2"/>
  <c r="T608" i="2" s="1"/>
  <c r="T538" i="2"/>
  <c r="T548" i="2" s="1"/>
  <c r="T1396" i="8"/>
  <c r="T1397" i="8" s="1"/>
  <c r="T477" i="2"/>
  <c r="T487" i="2" s="1"/>
  <c r="T417" i="2"/>
  <c r="T427" i="2" s="1"/>
  <c r="T597" i="2"/>
  <c r="T607" i="2" s="1"/>
  <c r="T537" i="2"/>
  <c r="T547" i="2" s="1"/>
  <c r="O1400" i="8"/>
  <c r="O1401" i="8" s="1"/>
  <c r="O478" i="2"/>
  <c r="O488" i="2" s="1"/>
  <c r="O598" i="2"/>
  <c r="O608" i="2" s="1"/>
  <c r="O538" i="2"/>
  <c r="O548" i="2" s="1"/>
  <c r="O418" i="2"/>
  <c r="O428" i="2" s="1"/>
  <c r="Q1396" i="8"/>
  <c r="Q1397" i="8" s="1"/>
  <c r="Q417" i="2"/>
  <c r="Q427" i="2" s="1"/>
  <c r="Q597" i="2"/>
  <c r="Q607" i="2" s="1"/>
  <c r="Q477" i="2"/>
  <c r="Q487" i="2" s="1"/>
  <c r="Q537" i="2"/>
  <c r="Q547" i="2" s="1"/>
  <c r="X1392" i="8"/>
  <c r="X1393" i="8" s="1"/>
  <c r="X596" i="2"/>
  <c r="X606" i="2" s="1"/>
  <c r="X536" i="2"/>
  <c r="X546" i="2" s="1"/>
  <c r="X476" i="2"/>
  <c r="X486" i="2" s="1"/>
  <c r="X416" i="2"/>
  <c r="X426" i="2" s="1"/>
  <c r="R1416" i="8"/>
  <c r="R1417" i="8" s="1"/>
  <c r="R602" i="2"/>
  <c r="R612" i="2" s="1"/>
  <c r="R542" i="2"/>
  <c r="R552" i="2" s="1"/>
  <c r="R482" i="2"/>
  <c r="R492" i="2" s="1"/>
  <c r="R422" i="2"/>
  <c r="R432" i="2" s="1"/>
  <c r="S1424" i="8"/>
  <c r="S1425" i="8" s="1"/>
  <c r="S604" i="2"/>
  <c r="S614" i="2" s="1"/>
  <c r="S484" i="2"/>
  <c r="S494" i="2" s="1"/>
  <c r="S544" i="2"/>
  <c r="S554" i="2" s="1"/>
  <c r="S424" i="2"/>
  <c r="S434" i="2" s="1"/>
  <c r="Z1416" i="8"/>
  <c r="Z1417" i="8" s="1"/>
  <c r="Z482" i="2"/>
  <c r="Z492" i="2" s="1"/>
  <c r="Z602" i="2"/>
  <c r="Z612" i="2" s="1"/>
  <c r="Z542" i="2"/>
  <c r="Z552" i="2" s="1"/>
  <c r="Z422" i="2"/>
  <c r="Z432" i="2" s="1"/>
  <c r="M1396" i="8"/>
  <c r="M1397" i="8" s="1"/>
  <c r="M417" i="2"/>
  <c r="M427" i="2" s="1"/>
  <c r="M477" i="2"/>
  <c r="M487" i="2" s="1"/>
  <c r="M537" i="2"/>
  <c r="M547" i="2" s="1"/>
  <c r="M597" i="2"/>
  <c r="M607" i="2" s="1"/>
  <c r="AA1396" i="8"/>
  <c r="AA1397" i="8" s="1"/>
  <c r="AA477" i="2"/>
  <c r="AA487" i="2" s="1"/>
  <c r="AA597" i="2"/>
  <c r="AA607" i="2" s="1"/>
  <c r="AA417" i="2"/>
  <c r="AA427" i="2" s="1"/>
  <c r="AA537" i="2"/>
  <c r="AA547" i="2" s="1"/>
  <c r="N1396" i="8"/>
  <c r="N1397" i="8" s="1"/>
  <c r="N417" i="2"/>
  <c r="N427" i="2" s="1"/>
  <c r="N477" i="2"/>
  <c r="N487" i="2" s="1"/>
  <c r="N537" i="2"/>
  <c r="N547" i="2" s="1"/>
  <c r="N597" i="2"/>
  <c r="N607" i="2" s="1"/>
  <c r="T1392" i="8"/>
  <c r="T1393" i="8" s="1"/>
  <c r="T476" i="2"/>
  <c r="T486" i="2" s="1"/>
  <c r="T416" i="2"/>
  <c r="T426" i="2" s="1"/>
  <c r="T596" i="2"/>
  <c r="T606" i="2" s="1"/>
  <c r="T536" i="2"/>
  <c r="T546" i="2" s="1"/>
  <c r="Q984" i="8"/>
  <c r="Q985" i="8" s="1"/>
  <c r="Q700" i="2"/>
  <c r="Q1064" i="8" s="1"/>
  <c r="Q1065" i="8" s="1"/>
  <c r="Q699" i="2"/>
  <c r="Q1060" i="8" s="1"/>
  <c r="Q1061" i="8" s="1"/>
  <c r="Q703" i="2"/>
  <c r="Q1076" i="8" s="1"/>
  <c r="Q1077" i="8" s="1"/>
  <c r="Q702" i="2"/>
  <c r="Q1072" i="8" s="1"/>
  <c r="Q1073" i="8" s="1"/>
  <c r="Q704" i="2"/>
  <c r="Q1080" i="8" s="1"/>
  <c r="Q1081" i="8" s="1"/>
  <c r="Q705" i="2"/>
  <c r="Q1084" i="8" s="1"/>
  <c r="Q1085" i="8" s="1"/>
  <c r="O1412" i="8"/>
  <c r="O1413" i="8" s="1"/>
  <c r="O481" i="2"/>
  <c r="O491" i="2" s="1"/>
  <c r="O601" i="2"/>
  <c r="O611" i="2" s="1"/>
  <c r="O541" i="2"/>
  <c r="O551" i="2" s="1"/>
  <c r="O421" i="2"/>
  <c r="O431" i="2" s="1"/>
  <c r="AC1404" i="8"/>
  <c r="AC1405" i="8" s="1"/>
  <c r="AC419" i="2"/>
  <c r="AC429" i="2" s="1"/>
  <c r="AC599" i="2"/>
  <c r="AC609" i="2" s="1"/>
  <c r="AC479" i="2"/>
  <c r="AC489" i="2" s="1"/>
  <c r="AC539" i="2"/>
  <c r="AC549" i="2" s="1"/>
  <c r="Q1408" i="8"/>
  <c r="Q1409" i="8" s="1"/>
  <c r="Q600" i="2"/>
  <c r="Q610" i="2" s="1"/>
  <c r="Q480" i="2"/>
  <c r="Q490" i="2" s="1"/>
  <c r="Q540" i="2"/>
  <c r="Q550" i="2" s="1"/>
  <c r="Q420" i="2"/>
  <c r="Q430" i="2" s="1"/>
  <c r="V1424" i="8"/>
  <c r="V1425" i="8" s="1"/>
  <c r="V544" i="2"/>
  <c r="V554" i="2" s="1"/>
  <c r="V484" i="2"/>
  <c r="V494" i="2" s="1"/>
  <c r="V424" i="2"/>
  <c r="V434" i="2" s="1"/>
  <c r="V604" i="2"/>
  <c r="V614" i="2" s="1"/>
  <c r="AE1408" i="8"/>
  <c r="AE1409" i="8" s="1"/>
  <c r="AE420" i="2"/>
  <c r="AE430" i="2" s="1"/>
  <c r="AE480" i="2"/>
  <c r="AE490" i="2" s="1"/>
  <c r="AE600" i="2"/>
  <c r="AE610" i="2" s="1"/>
  <c r="AE540" i="2"/>
  <c r="AE550" i="2" s="1"/>
  <c r="X1420" i="8"/>
  <c r="X1421" i="8" s="1"/>
  <c r="X423" i="2"/>
  <c r="X433" i="2" s="1"/>
  <c r="X603" i="2"/>
  <c r="X613" i="2" s="1"/>
  <c r="X543" i="2"/>
  <c r="X553" i="2" s="1"/>
  <c r="X483" i="2"/>
  <c r="X493" i="2" s="1"/>
  <c r="L808" i="8"/>
  <c r="L809" i="8" s="1"/>
  <c r="L396" i="2"/>
  <c r="L964" i="8" s="1"/>
  <c r="L965" i="8" s="1"/>
  <c r="Y1420" i="8"/>
  <c r="Y1421" i="8" s="1"/>
  <c r="Y543" i="2"/>
  <c r="Y553" i="2" s="1"/>
  <c r="Y423" i="2"/>
  <c r="Y433" i="2" s="1"/>
  <c r="Y603" i="2"/>
  <c r="Y613" i="2" s="1"/>
  <c r="Y483" i="2"/>
  <c r="Y493" i="2" s="1"/>
  <c r="S1392" i="8"/>
  <c r="S1393" i="8" s="1"/>
  <c r="S476" i="2"/>
  <c r="S486" i="2" s="1"/>
  <c r="S536" i="2"/>
  <c r="S546" i="2" s="1"/>
  <c r="S416" i="2"/>
  <c r="S426" i="2" s="1"/>
  <c r="S596" i="2"/>
  <c r="S606" i="2" s="1"/>
  <c r="L1392" i="8"/>
  <c r="L1393" i="8" s="1"/>
  <c r="L416" i="2"/>
  <c r="L426" i="2" s="1"/>
  <c r="L596" i="2"/>
  <c r="L606" i="2" s="1"/>
  <c r="L536" i="2"/>
  <c r="L546" i="2" s="1"/>
  <c r="L476" i="2"/>
  <c r="L486" i="2" s="1"/>
  <c r="R705" i="2"/>
  <c r="R1084" i="8" s="1"/>
  <c r="R1085" i="8" s="1"/>
  <c r="R988" i="8"/>
  <c r="R989" i="8" s="1"/>
  <c r="Z1392" i="8"/>
  <c r="Z1393" i="8" s="1"/>
  <c r="Z476" i="2"/>
  <c r="Z486" i="2" s="1"/>
  <c r="Z416" i="2"/>
  <c r="Z426" i="2" s="1"/>
  <c r="Z536" i="2"/>
  <c r="Z546" i="2" s="1"/>
  <c r="Z596" i="2"/>
  <c r="Z606" i="2" s="1"/>
  <c r="F1389" i="8"/>
  <c r="G253" i="2"/>
  <c r="G652" i="2"/>
  <c r="AA1420" i="8"/>
  <c r="AA1421" i="8" s="1"/>
  <c r="AA483" i="2"/>
  <c r="AA493" i="2" s="1"/>
  <c r="AA543" i="2"/>
  <c r="AA553" i="2" s="1"/>
  <c r="AA423" i="2"/>
  <c r="AA433" i="2" s="1"/>
  <c r="AA603" i="2"/>
  <c r="AA613" i="2" s="1"/>
  <c r="N1420" i="8"/>
  <c r="N1421" i="8" s="1"/>
  <c r="N423" i="2"/>
  <c r="N433" i="2" s="1"/>
  <c r="N543" i="2"/>
  <c r="N553" i="2" s="1"/>
  <c r="N603" i="2"/>
  <c r="N613" i="2" s="1"/>
  <c r="N483" i="2"/>
  <c r="N493" i="2" s="1"/>
  <c r="L1384" i="8"/>
  <c r="L1385" i="8" s="1"/>
  <c r="L646" i="2"/>
  <c r="L793" i="2" s="1"/>
  <c r="AC1392" i="8"/>
  <c r="AC1393" i="8" s="1"/>
  <c r="AC596" i="2"/>
  <c r="AC606" i="2" s="1"/>
  <c r="AC416" i="2"/>
  <c r="AC426" i="2" s="1"/>
  <c r="AC476" i="2"/>
  <c r="AC486" i="2" s="1"/>
  <c r="AC536" i="2"/>
  <c r="AC546" i="2" s="1"/>
  <c r="V1412" i="8"/>
  <c r="V1413" i="8" s="1"/>
  <c r="V541" i="2"/>
  <c r="V551" i="2" s="1"/>
  <c r="V421" i="2"/>
  <c r="V431" i="2" s="1"/>
  <c r="V481" i="2"/>
  <c r="V491" i="2" s="1"/>
  <c r="V601" i="2"/>
  <c r="V611" i="2" s="1"/>
  <c r="M1416" i="8"/>
  <c r="M1417" i="8" s="1"/>
  <c r="M482" i="2"/>
  <c r="M492" i="2" s="1"/>
  <c r="M542" i="2"/>
  <c r="M552" i="2" s="1"/>
  <c r="M602" i="2"/>
  <c r="M612" i="2" s="1"/>
  <c r="M422" i="2"/>
  <c r="M432" i="2" s="1"/>
  <c r="AA1408" i="8"/>
  <c r="AA1409" i="8" s="1"/>
  <c r="AA480" i="2"/>
  <c r="AA490" i="2" s="1"/>
  <c r="AA420" i="2"/>
  <c r="AA430" i="2" s="1"/>
  <c r="AA540" i="2"/>
  <c r="AA550" i="2" s="1"/>
  <c r="AA600" i="2"/>
  <c r="AA610" i="2" s="1"/>
  <c r="N1408" i="8"/>
  <c r="N1409" i="8" s="1"/>
  <c r="N420" i="2"/>
  <c r="N430" i="2" s="1"/>
  <c r="N600" i="2"/>
  <c r="N610" i="2" s="1"/>
  <c r="N540" i="2"/>
  <c r="N550" i="2" s="1"/>
  <c r="N480" i="2"/>
  <c r="N490" i="2" s="1"/>
  <c r="T1404" i="8"/>
  <c r="T1405" i="8" s="1"/>
  <c r="T479" i="2"/>
  <c r="T489" i="2" s="1"/>
  <c r="T599" i="2"/>
  <c r="T609" i="2" s="1"/>
  <c r="T419" i="2"/>
  <c r="T429" i="2" s="1"/>
  <c r="T539" i="2"/>
  <c r="T549" i="2" s="1"/>
  <c r="O1424" i="8"/>
  <c r="O1425" i="8" s="1"/>
  <c r="O424" i="2"/>
  <c r="O434" i="2" s="1"/>
  <c r="O604" i="2"/>
  <c r="O614" i="2" s="1"/>
  <c r="O484" i="2"/>
  <c r="O494" i="2" s="1"/>
  <c r="O544" i="2"/>
  <c r="O554" i="2" s="1"/>
  <c r="AC1416" i="8"/>
  <c r="AC1417" i="8" s="1"/>
  <c r="AC422" i="2"/>
  <c r="AC432" i="2" s="1"/>
  <c r="AC602" i="2"/>
  <c r="AC612" i="2" s="1"/>
  <c r="AC482" i="2"/>
  <c r="AC492" i="2" s="1"/>
  <c r="AC542" i="2"/>
  <c r="AC552" i="2" s="1"/>
  <c r="Q1420" i="8"/>
  <c r="Q1421" i="8" s="1"/>
  <c r="Q423" i="2"/>
  <c r="Q433" i="2" s="1"/>
  <c r="Q543" i="2"/>
  <c r="Q553" i="2" s="1"/>
  <c r="Q603" i="2"/>
  <c r="Q613" i="2" s="1"/>
  <c r="Q483" i="2"/>
  <c r="Q493" i="2" s="1"/>
  <c r="V1408" i="8"/>
  <c r="V1409" i="8" s="1"/>
  <c r="V480" i="2"/>
  <c r="V490" i="2" s="1"/>
  <c r="V420" i="2"/>
  <c r="V430" i="2" s="1"/>
  <c r="V540" i="2"/>
  <c r="V550" i="2" s="1"/>
  <c r="V600" i="2"/>
  <c r="V610" i="2" s="1"/>
  <c r="AE1420" i="8"/>
  <c r="AE1421" i="8" s="1"/>
  <c r="AE603" i="2"/>
  <c r="AE613" i="2" s="1"/>
  <c r="AE483" i="2"/>
  <c r="AE493" i="2" s="1"/>
  <c r="AE543" i="2"/>
  <c r="AE553" i="2" s="1"/>
  <c r="AE423" i="2"/>
  <c r="AE433" i="2" s="1"/>
  <c r="X1424" i="8"/>
  <c r="X1425" i="8" s="1"/>
  <c r="X424" i="2"/>
  <c r="X434" i="2" s="1"/>
  <c r="X604" i="2"/>
  <c r="X614" i="2" s="1"/>
  <c r="X484" i="2"/>
  <c r="X494" i="2" s="1"/>
  <c r="X544" i="2"/>
  <c r="X554" i="2" s="1"/>
  <c r="Y1396" i="8"/>
  <c r="Y1397" i="8" s="1"/>
  <c r="Y537" i="2"/>
  <c r="Y547" i="2" s="1"/>
  <c r="Y417" i="2"/>
  <c r="Y427" i="2" s="1"/>
  <c r="Y597" i="2"/>
  <c r="Y607" i="2" s="1"/>
  <c r="Y477" i="2"/>
  <c r="Y487" i="2" s="1"/>
  <c r="S1404" i="8"/>
  <c r="S1405" i="8" s="1"/>
  <c r="S599" i="2"/>
  <c r="S609" i="2" s="1"/>
  <c r="S419" i="2"/>
  <c r="S429" i="2" s="1"/>
  <c r="S479" i="2"/>
  <c r="S489" i="2" s="1"/>
  <c r="S539" i="2"/>
  <c r="S549" i="2" s="1"/>
  <c r="L1400" i="8"/>
  <c r="L1401" i="8" s="1"/>
  <c r="L478" i="2"/>
  <c r="L488" i="2" s="1"/>
  <c r="L538" i="2"/>
  <c r="L548" i="2" s="1"/>
  <c r="L418" i="2"/>
  <c r="L428" i="2" s="1"/>
  <c r="L598" i="2"/>
  <c r="L608" i="2" s="1"/>
  <c r="AB705" i="2"/>
  <c r="AB1084" i="8" s="1"/>
  <c r="AB1085" i="8" s="1"/>
  <c r="AB700" i="2"/>
  <c r="AB1064" i="8" s="1"/>
  <c r="AB1065" i="8" s="1"/>
  <c r="AB704" i="2"/>
  <c r="AB1080" i="8" s="1"/>
  <c r="AB1081" i="8" s="1"/>
  <c r="AB702" i="2"/>
  <c r="AB1072" i="8" s="1"/>
  <c r="AB1073" i="8" s="1"/>
  <c r="AB703" i="2"/>
  <c r="AB1076" i="8" s="1"/>
  <c r="AB1077" i="8" s="1"/>
  <c r="AB699" i="2"/>
  <c r="AB1060" i="8" s="1"/>
  <c r="AB1061" i="8" s="1"/>
  <c r="AB984" i="8"/>
  <c r="AB985" i="8" s="1"/>
  <c r="AB698" i="2"/>
  <c r="AB1056" i="8" s="1"/>
  <c r="AB1057" i="8" s="1"/>
  <c r="Z1400" i="8"/>
  <c r="Z1401" i="8" s="1"/>
  <c r="Z478" i="2"/>
  <c r="Z488" i="2" s="1"/>
  <c r="Z598" i="2"/>
  <c r="Z608" i="2" s="1"/>
  <c r="Z538" i="2"/>
  <c r="Z548" i="2" s="1"/>
  <c r="Z418" i="2"/>
  <c r="Z428" i="2" s="1"/>
  <c r="S705" i="2"/>
  <c r="S1084" i="8" s="1"/>
  <c r="S1085" i="8" s="1"/>
  <c r="S988" i="8"/>
  <c r="S989" i="8" s="1"/>
  <c r="AB1424" i="8"/>
  <c r="AB1425" i="8" s="1"/>
  <c r="AB424" i="2"/>
  <c r="AB434" i="2" s="1"/>
  <c r="AB544" i="2"/>
  <c r="AB554" i="2" s="1"/>
  <c r="AB484" i="2"/>
  <c r="AB494" i="2" s="1"/>
  <c r="AB604" i="2"/>
  <c r="AB614" i="2" s="1"/>
  <c r="Q1412" i="8"/>
  <c r="Q1413" i="8" s="1"/>
  <c r="Q541" i="2"/>
  <c r="Q551" i="2" s="1"/>
  <c r="Q421" i="2"/>
  <c r="Q431" i="2" s="1"/>
  <c r="Q481" i="2"/>
  <c r="Q491" i="2" s="1"/>
  <c r="Q601" i="2"/>
  <c r="Q611" i="2" s="1"/>
  <c r="M795" i="2"/>
  <c r="M1360" i="8" s="1"/>
  <c r="M1361" i="8" s="1"/>
  <c r="M1392" i="8"/>
  <c r="M1393" i="8" s="1"/>
  <c r="M476" i="2"/>
  <c r="M486" i="2" s="1"/>
  <c r="M596" i="2"/>
  <c r="M606" i="2" s="1"/>
  <c r="M633" i="2" s="1"/>
  <c r="M416" i="2"/>
  <c r="M426" i="2" s="1"/>
  <c r="M453" i="2" s="1"/>
  <c r="M536" i="2"/>
  <c r="M546" i="2" s="1"/>
  <c r="AA1416" i="8"/>
  <c r="AA1417" i="8" s="1"/>
  <c r="AA482" i="2"/>
  <c r="AA492" i="2" s="1"/>
  <c r="AA422" i="2"/>
  <c r="AA432" i="2" s="1"/>
  <c r="AA542" i="2"/>
  <c r="AA552" i="2" s="1"/>
  <c r="AA602" i="2"/>
  <c r="AA612" i="2" s="1"/>
  <c r="AA698" i="2"/>
  <c r="AA1056" i="8" s="1"/>
  <c r="AA1057" i="8" s="1"/>
  <c r="AA704" i="2"/>
  <c r="AA1080" i="8" s="1"/>
  <c r="AA1081" i="8" s="1"/>
  <c r="AA705" i="2"/>
  <c r="AA1084" i="8" s="1"/>
  <c r="AA1085" i="8" s="1"/>
  <c r="AA984" i="8"/>
  <c r="AA985" i="8" s="1"/>
  <c r="AA700" i="2"/>
  <c r="AA1064" i="8" s="1"/>
  <c r="AA1065" i="8" s="1"/>
  <c r="AA702" i="2"/>
  <c r="AA1072" i="8" s="1"/>
  <c r="AA1073" i="8" s="1"/>
  <c r="AA703" i="2"/>
  <c r="AA1076" i="8" s="1"/>
  <c r="AA1077" i="8" s="1"/>
  <c r="AA699" i="2"/>
  <c r="AA1060" i="8" s="1"/>
  <c r="AA1061" i="8" s="1"/>
  <c r="T1416" i="8"/>
  <c r="T1417" i="8" s="1"/>
  <c r="T482" i="2"/>
  <c r="T492" i="2" s="1"/>
  <c r="T542" i="2"/>
  <c r="T552" i="2" s="1"/>
  <c r="T422" i="2"/>
  <c r="T432" i="2" s="1"/>
  <c r="T602" i="2"/>
  <c r="T612" i="2" s="1"/>
  <c r="O1404" i="8"/>
  <c r="O1405" i="8" s="1"/>
  <c r="O539" i="2"/>
  <c r="O549" i="2" s="1"/>
  <c r="O479" i="2"/>
  <c r="O489" i="2" s="1"/>
  <c r="O419" i="2"/>
  <c r="O429" i="2" s="1"/>
  <c r="O599" i="2"/>
  <c r="O609" i="2" s="1"/>
  <c r="AC1400" i="8"/>
  <c r="AC1401" i="8" s="1"/>
  <c r="AC598" i="2"/>
  <c r="AC608" i="2" s="1"/>
  <c r="AC538" i="2"/>
  <c r="AC548" i="2" s="1"/>
  <c r="AC478" i="2"/>
  <c r="AC488" i="2" s="1"/>
  <c r="AC418" i="2"/>
  <c r="AC428" i="2" s="1"/>
  <c r="V1420" i="8"/>
  <c r="V1421" i="8" s="1"/>
  <c r="V603" i="2"/>
  <c r="V613" i="2" s="1"/>
  <c r="V543" i="2"/>
  <c r="V553" i="2" s="1"/>
  <c r="V483" i="2"/>
  <c r="V493" i="2" s="1"/>
  <c r="V423" i="2"/>
  <c r="V433" i="2" s="1"/>
  <c r="X1400" i="8"/>
  <c r="X1401" i="8" s="1"/>
  <c r="X478" i="2"/>
  <c r="X488" i="2" s="1"/>
  <c r="X418" i="2"/>
  <c r="X428" i="2" s="1"/>
  <c r="X538" i="2"/>
  <c r="X548" i="2" s="1"/>
  <c r="X598" i="2"/>
  <c r="X608" i="2" s="1"/>
  <c r="AC703" i="2"/>
  <c r="AC1076" i="8" s="1"/>
  <c r="AC1077" i="8" s="1"/>
  <c r="AC705" i="2"/>
  <c r="AC1084" i="8" s="1"/>
  <c r="AC1085" i="8" s="1"/>
  <c r="AC984" i="8"/>
  <c r="AC985" i="8" s="1"/>
  <c r="AC700" i="2"/>
  <c r="AC1064" i="8" s="1"/>
  <c r="AC1065" i="8" s="1"/>
  <c r="AC704" i="2"/>
  <c r="AC1080" i="8" s="1"/>
  <c r="AC1081" i="8" s="1"/>
  <c r="AC699" i="2"/>
  <c r="AC1060" i="8" s="1"/>
  <c r="AC1061" i="8" s="1"/>
  <c r="AC702" i="2"/>
  <c r="AC1072" i="8" s="1"/>
  <c r="AC1073" i="8" s="1"/>
  <c r="AC701" i="2"/>
  <c r="AC1068" i="8" s="1"/>
  <c r="AC1069" i="8" s="1"/>
  <c r="AC698" i="2"/>
  <c r="AC1056" i="8" s="1"/>
  <c r="AC1057" i="8" s="1"/>
  <c r="Y1408" i="8"/>
  <c r="Y1409" i="8" s="1"/>
  <c r="Y540" i="2"/>
  <c r="Y550" i="2" s="1"/>
  <c r="Y480" i="2"/>
  <c r="Y490" i="2" s="1"/>
  <c r="Y600" i="2"/>
  <c r="Y610" i="2" s="1"/>
  <c r="Y420" i="2"/>
  <c r="Y430" i="2" s="1"/>
  <c r="S1416" i="8"/>
  <c r="S1417" i="8" s="1"/>
  <c r="S422" i="2"/>
  <c r="S432" i="2" s="1"/>
  <c r="S482" i="2"/>
  <c r="S492" i="2" s="1"/>
  <c r="S602" i="2"/>
  <c r="S612" i="2" s="1"/>
  <c r="S542" i="2"/>
  <c r="S552" i="2" s="1"/>
  <c r="L1412" i="8"/>
  <c r="L1413" i="8" s="1"/>
  <c r="L421" i="2"/>
  <c r="L431" i="2" s="1"/>
  <c r="L481" i="2"/>
  <c r="L491" i="2" s="1"/>
  <c r="L601" i="2"/>
  <c r="L541" i="2"/>
  <c r="L551" i="2" s="1"/>
  <c r="Z1412" i="8"/>
  <c r="Z1413" i="8" s="1"/>
  <c r="Z481" i="2"/>
  <c r="Z491" i="2" s="1"/>
  <c r="Z601" i="2"/>
  <c r="Z611" i="2" s="1"/>
  <c r="Z541" i="2"/>
  <c r="Z551" i="2" s="1"/>
  <c r="Z421" i="2"/>
  <c r="Z431" i="2" s="1"/>
  <c r="V984" i="8"/>
  <c r="V985" i="8" s="1"/>
  <c r="V698" i="2"/>
  <c r="V1056" i="8" s="1"/>
  <c r="V1057" i="8" s="1"/>
  <c r="V704" i="2"/>
  <c r="V1080" i="8" s="1"/>
  <c r="V1081" i="8" s="1"/>
  <c r="V699" i="2"/>
  <c r="V1060" i="8" s="1"/>
  <c r="V1061" i="8" s="1"/>
  <c r="V702" i="2"/>
  <c r="V1072" i="8" s="1"/>
  <c r="V1073" i="8" s="1"/>
  <c r="V703" i="2"/>
  <c r="V1076" i="8" s="1"/>
  <c r="V1077" i="8" s="1"/>
  <c r="V700" i="2"/>
  <c r="V1064" i="8" s="1"/>
  <c r="V1065" i="8" s="1"/>
  <c r="V705" i="2"/>
  <c r="V1084" i="8" s="1"/>
  <c r="V1085" i="8" s="1"/>
  <c r="V701" i="2"/>
  <c r="V1068" i="8" s="1"/>
  <c r="V1069" i="8" s="1"/>
  <c r="S1412" i="8"/>
  <c r="S1413" i="8" s="1"/>
  <c r="S601" i="2"/>
  <c r="S611" i="2" s="1"/>
  <c r="S481" i="2"/>
  <c r="S491" i="2" s="1"/>
  <c r="S421" i="2"/>
  <c r="S431" i="2" s="1"/>
  <c r="S541" i="2"/>
  <c r="S551" i="2" s="1"/>
  <c r="AD984" i="8"/>
  <c r="AD985" i="8" s="1"/>
  <c r="AD700" i="2"/>
  <c r="AD1064" i="8" s="1"/>
  <c r="AD1065" i="8" s="1"/>
  <c r="AD699" i="2"/>
  <c r="AD1060" i="8" s="1"/>
  <c r="AD1061" i="8" s="1"/>
  <c r="AD704" i="2"/>
  <c r="AD1080" i="8" s="1"/>
  <c r="AD1081" i="8" s="1"/>
  <c r="AD702" i="2"/>
  <c r="AD1072" i="8" s="1"/>
  <c r="AD1073" i="8" s="1"/>
  <c r="AD698" i="2"/>
  <c r="AD1056" i="8" s="1"/>
  <c r="AD1057" i="8" s="1"/>
  <c r="AD703" i="2"/>
  <c r="AD1076" i="8" s="1"/>
  <c r="AD1077" i="8" s="1"/>
  <c r="AD705" i="2"/>
  <c r="AD1084" i="8" s="1"/>
  <c r="AD1085" i="8" s="1"/>
  <c r="P748" i="2"/>
  <c r="P1220" i="8" s="1"/>
  <c r="P1221" i="8" s="1"/>
  <c r="M1400" i="8"/>
  <c r="M1401" i="8" s="1"/>
  <c r="M538" i="2"/>
  <c r="M548" i="2" s="1"/>
  <c r="M478" i="2"/>
  <c r="M488" i="2" s="1"/>
  <c r="M598" i="2"/>
  <c r="M608" i="2" s="1"/>
  <c r="M418" i="2"/>
  <c r="M428" i="2" s="1"/>
  <c r="M455" i="2" s="1"/>
  <c r="N455" i="2" s="1"/>
  <c r="O455" i="2" s="1"/>
  <c r="AA1392" i="8"/>
  <c r="AA1393" i="8" s="1"/>
  <c r="AA476" i="2"/>
  <c r="AA486" i="2" s="1"/>
  <c r="AA536" i="2"/>
  <c r="AA546" i="2" s="1"/>
  <c r="AA416" i="2"/>
  <c r="AA426" i="2" s="1"/>
  <c r="AA596" i="2"/>
  <c r="AA606" i="2" s="1"/>
  <c r="AB1396" i="8"/>
  <c r="AB1397" i="8" s="1"/>
  <c r="AB537" i="2"/>
  <c r="AB547" i="2" s="1"/>
  <c r="AB477" i="2"/>
  <c r="AB487" i="2" s="1"/>
  <c r="AB597" i="2"/>
  <c r="AB607" i="2" s="1"/>
  <c r="AB417" i="2"/>
  <c r="AB427" i="2" s="1"/>
  <c r="O1396" i="8"/>
  <c r="O1397" i="8" s="1"/>
  <c r="O477" i="2"/>
  <c r="O487" i="2" s="1"/>
  <c r="O417" i="2"/>
  <c r="O427" i="2" s="1"/>
  <c r="O597" i="2"/>
  <c r="O607" i="2" s="1"/>
  <c r="O537" i="2"/>
  <c r="O547" i="2" s="1"/>
  <c r="AC1412" i="8"/>
  <c r="AC1413" i="8" s="1"/>
  <c r="AC541" i="2"/>
  <c r="AC551" i="2" s="1"/>
  <c r="AC481" i="2"/>
  <c r="AC491" i="2" s="1"/>
  <c r="AC421" i="2"/>
  <c r="AC431" i="2" s="1"/>
  <c r="AC601" i="2"/>
  <c r="AC611" i="2" s="1"/>
  <c r="V1396" i="8"/>
  <c r="V1397" i="8" s="1"/>
  <c r="V477" i="2"/>
  <c r="V487" i="2" s="1"/>
  <c r="V417" i="2"/>
  <c r="V427" i="2" s="1"/>
  <c r="V537" i="2"/>
  <c r="V547" i="2" s="1"/>
  <c r="V597" i="2"/>
  <c r="V607" i="2" s="1"/>
  <c r="N775" i="2"/>
  <c r="N1304" i="8" s="1"/>
  <c r="N1305" i="8" s="1"/>
  <c r="N1252" i="8"/>
  <c r="N1253" i="8" s="1"/>
  <c r="X1412" i="8"/>
  <c r="X1413" i="8" s="1"/>
  <c r="X421" i="2"/>
  <c r="X431" i="2" s="1"/>
  <c r="X481" i="2"/>
  <c r="X491" i="2" s="1"/>
  <c r="X601" i="2"/>
  <c r="X611" i="2" s="1"/>
  <c r="X541" i="2"/>
  <c r="X551" i="2" s="1"/>
  <c r="P1416" i="8"/>
  <c r="P1417" i="8" s="1"/>
  <c r="P482" i="2"/>
  <c r="P492" i="2" s="1"/>
  <c r="P602" i="2"/>
  <c r="P612" i="2" s="1"/>
  <c r="P422" i="2"/>
  <c r="P432" i="2" s="1"/>
  <c r="P542" i="2"/>
  <c r="P552" i="2" s="1"/>
  <c r="Y1404" i="8"/>
  <c r="Y1405" i="8" s="1"/>
  <c r="Y419" i="2"/>
  <c r="Y429" i="2" s="1"/>
  <c r="Y599" i="2"/>
  <c r="Y609" i="2" s="1"/>
  <c r="Y479" i="2"/>
  <c r="Y489" i="2" s="1"/>
  <c r="Y539" i="2"/>
  <c r="Y549" i="2" s="1"/>
  <c r="S1396" i="8"/>
  <c r="S1397" i="8" s="1"/>
  <c r="S417" i="2"/>
  <c r="S427" i="2" s="1"/>
  <c r="S477" i="2"/>
  <c r="S487" i="2" s="1"/>
  <c r="S597" i="2"/>
  <c r="S607" i="2" s="1"/>
  <c r="S537" i="2"/>
  <c r="S547" i="2" s="1"/>
  <c r="L1424" i="8"/>
  <c r="L1425" i="8" s="1"/>
  <c r="L424" i="2"/>
  <c r="L484" i="2"/>
  <c r="L494" i="2" s="1"/>
  <c r="L544" i="2"/>
  <c r="L554" i="2" s="1"/>
  <c r="L604" i="2"/>
  <c r="L614" i="2" s="1"/>
  <c r="W1384" i="8"/>
  <c r="W1385" i="8" s="1"/>
  <c r="W646" i="2"/>
  <c r="X984" i="8"/>
  <c r="X985" i="8" s="1"/>
  <c r="X704" i="2"/>
  <c r="X1080" i="8" s="1"/>
  <c r="X1081" i="8" s="1"/>
  <c r="X705" i="2"/>
  <c r="X1084" i="8" s="1"/>
  <c r="X1085" i="8" s="1"/>
  <c r="X702" i="2"/>
  <c r="X1072" i="8" s="1"/>
  <c r="X1073" i="8" s="1"/>
  <c r="X700" i="2"/>
  <c r="X1064" i="8" s="1"/>
  <c r="X1065" i="8" s="1"/>
  <c r="X699" i="2"/>
  <c r="X1060" i="8" s="1"/>
  <c r="X1061" i="8" s="1"/>
  <c r="X698" i="2"/>
  <c r="X1056" i="8" s="1"/>
  <c r="X1057" i="8" s="1"/>
  <c r="X703" i="2"/>
  <c r="X1076" i="8" s="1"/>
  <c r="X1077" i="8" s="1"/>
  <c r="Z1424" i="8"/>
  <c r="Z1425" i="8" s="1"/>
  <c r="Z604" i="2"/>
  <c r="Z614" i="2" s="1"/>
  <c r="Z484" i="2"/>
  <c r="Z494" i="2" s="1"/>
  <c r="Z544" i="2"/>
  <c r="Z554" i="2" s="1"/>
  <c r="Z424" i="2"/>
  <c r="Z434" i="2" s="1"/>
  <c r="L1416" i="8"/>
  <c r="L1417" i="8" s="1"/>
  <c r="L422" i="2"/>
  <c r="L432" i="2" s="1"/>
  <c r="L482" i="2"/>
  <c r="L492" i="2" s="1"/>
  <c r="L542" i="2"/>
  <c r="L602" i="2"/>
  <c r="L612" i="2" s="1"/>
  <c r="M177" i="2"/>
  <c r="F420" i="8"/>
  <c r="P737" i="2"/>
  <c r="P1184" i="8" s="1"/>
  <c r="P1185" i="8" s="1"/>
  <c r="P752" i="2"/>
  <c r="P1228" i="8" s="1"/>
  <c r="P1229" i="8" s="1"/>
  <c r="U701" i="2"/>
  <c r="U1068" i="8" s="1"/>
  <c r="U1069" i="8" s="1"/>
  <c r="M1412" i="8"/>
  <c r="M1413" i="8" s="1"/>
  <c r="M481" i="2"/>
  <c r="M491" i="2" s="1"/>
  <c r="M421" i="2"/>
  <c r="M431" i="2" s="1"/>
  <c r="M458" i="2" s="1"/>
  <c r="M601" i="2"/>
  <c r="M611" i="2" s="1"/>
  <c r="M541" i="2"/>
  <c r="M551" i="2" s="1"/>
  <c r="AA1400" i="8"/>
  <c r="AA1401" i="8" s="1"/>
  <c r="AA478" i="2"/>
  <c r="AA488" i="2" s="1"/>
  <c r="AA538" i="2"/>
  <c r="AA548" i="2" s="1"/>
  <c r="AA418" i="2"/>
  <c r="AA428" i="2" s="1"/>
  <c r="AA598" i="2"/>
  <c r="AA608" i="2" s="1"/>
  <c r="AB1408" i="8"/>
  <c r="AB1409" i="8" s="1"/>
  <c r="AB420" i="2"/>
  <c r="AB430" i="2" s="1"/>
  <c r="AB480" i="2"/>
  <c r="AB490" i="2" s="1"/>
  <c r="AB600" i="2"/>
  <c r="AB610" i="2" s="1"/>
  <c r="AB540" i="2"/>
  <c r="AB550" i="2" s="1"/>
  <c r="O1408" i="8"/>
  <c r="O1409" i="8" s="1"/>
  <c r="O420" i="2"/>
  <c r="O430" i="2" s="1"/>
  <c r="O480" i="2"/>
  <c r="O490" i="2" s="1"/>
  <c r="O540" i="2"/>
  <c r="O550" i="2" s="1"/>
  <c r="O600" i="2"/>
  <c r="O610" i="2" s="1"/>
  <c r="U1424" i="8"/>
  <c r="U1425" i="8" s="1"/>
  <c r="U424" i="2"/>
  <c r="U434" i="2" s="1"/>
  <c r="U604" i="2"/>
  <c r="U614" i="2" s="1"/>
  <c r="U484" i="2"/>
  <c r="U494" i="2" s="1"/>
  <c r="U544" i="2"/>
  <c r="U554" i="2" s="1"/>
  <c r="AC1424" i="8"/>
  <c r="AC1425" i="8" s="1"/>
  <c r="AC604" i="2"/>
  <c r="AC614" i="2" s="1"/>
  <c r="AC544" i="2"/>
  <c r="AC554" i="2" s="1"/>
  <c r="AC484" i="2"/>
  <c r="AC494" i="2" s="1"/>
  <c r="AC424" i="2"/>
  <c r="AC434" i="2" s="1"/>
  <c r="V1404" i="8"/>
  <c r="V1405" i="8" s="1"/>
  <c r="V479" i="2"/>
  <c r="V489" i="2" s="1"/>
  <c r="V419" i="2"/>
  <c r="V429" i="2" s="1"/>
  <c r="V539" i="2"/>
  <c r="V549" i="2" s="1"/>
  <c r="V599" i="2"/>
  <c r="V609" i="2" s="1"/>
  <c r="X1408" i="8"/>
  <c r="X1409" i="8" s="1"/>
  <c r="X420" i="2"/>
  <c r="X430" i="2" s="1"/>
  <c r="X480" i="2"/>
  <c r="X490" i="2" s="1"/>
  <c r="X600" i="2"/>
  <c r="X610" i="2" s="1"/>
  <c r="X540" i="2"/>
  <c r="X550" i="2" s="1"/>
  <c r="P1392" i="8"/>
  <c r="P1393" i="8" s="1"/>
  <c r="P536" i="2"/>
  <c r="P546" i="2" s="1"/>
  <c r="P476" i="2"/>
  <c r="P486" i="2" s="1"/>
  <c r="P416" i="2"/>
  <c r="P426" i="2" s="1"/>
  <c r="P596" i="2"/>
  <c r="P606" i="2" s="1"/>
  <c r="Y1416" i="8"/>
  <c r="Y1417" i="8" s="1"/>
  <c r="Y422" i="2"/>
  <c r="Y432" i="2" s="1"/>
  <c r="Y602" i="2"/>
  <c r="Y612" i="2" s="1"/>
  <c r="Y542" i="2"/>
  <c r="Y552" i="2" s="1"/>
  <c r="Y482" i="2"/>
  <c r="Y492" i="2" s="1"/>
  <c r="AD1416" i="8"/>
  <c r="AD1417" i="8" s="1"/>
  <c r="AD482" i="2"/>
  <c r="AD492" i="2" s="1"/>
  <c r="AD602" i="2"/>
  <c r="AD612" i="2" s="1"/>
  <c r="AD542" i="2"/>
  <c r="AD552" i="2" s="1"/>
  <c r="AD422" i="2"/>
  <c r="AD432" i="2" s="1"/>
  <c r="W1412" i="8"/>
  <c r="W1413" i="8" s="1"/>
  <c r="W541" i="2"/>
  <c r="W551" i="2" s="1"/>
  <c r="W421" i="2"/>
  <c r="W431" i="2" s="1"/>
  <c r="W601" i="2"/>
  <c r="W611" i="2" s="1"/>
  <c r="W481" i="2"/>
  <c r="W491" i="2" s="1"/>
  <c r="R984" i="8"/>
  <c r="R985" i="8" s="1"/>
  <c r="R699" i="2"/>
  <c r="R1060" i="8" s="1"/>
  <c r="R1061" i="8" s="1"/>
  <c r="R703" i="2"/>
  <c r="R1076" i="8" s="1"/>
  <c r="R1077" i="8" s="1"/>
  <c r="R702" i="2"/>
  <c r="R1072" i="8" s="1"/>
  <c r="R1073" i="8" s="1"/>
  <c r="R698" i="2"/>
  <c r="R1056" i="8" s="1"/>
  <c r="R1057" i="8" s="1"/>
  <c r="R704" i="2"/>
  <c r="R1080" i="8" s="1"/>
  <c r="R1081" i="8" s="1"/>
  <c r="R700" i="2"/>
  <c r="R1064" i="8" s="1"/>
  <c r="R1065" i="8" s="1"/>
  <c r="AD1408" i="8"/>
  <c r="AD1409" i="8" s="1"/>
  <c r="AD420" i="2"/>
  <c r="AD430" i="2" s="1"/>
  <c r="AD480" i="2"/>
  <c r="AD490" i="2" s="1"/>
  <c r="AD600" i="2"/>
  <c r="AD610" i="2" s="1"/>
  <c r="AD540" i="2"/>
  <c r="AD550" i="2" s="1"/>
  <c r="M1408" i="8"/>
  <c r="M1409" i="8" s="1"/>
  <c r="M480" i="2"/>
  <c r="M490" i="2" s="1"/>
  <c r="M420" i="2"/>
  <c r="M430" i="2" s="1"/>
  <c r="M600" i="2"/>
  <c r="M610" i="2" s="1"/>
  <c r="M540" i="2"/>
  <c r="M550" i="2" s="1"/>
  <c r="F416" i="8"/>
  <c r="M1424" i="8"/>
  <c r="M1425" i="8" s="1"/>
  <c r="M544" i="2"/>
  <c r="M554" i="2" s="1"/>
  <c r="M424" i="2"/>
  <c r="M434" i="2" s="1"/>
  <c r="M604" i="2"/>
  <c r="M614" i="2" s="1"/>
  <c r="M484" i="2"/>
  <c r="M494" i="2" s="1"/>
  <c r="AA1412" i="8"/>
  <c r="AA1413" i="8" s="1"/>
  <c r="AA541" i="2"/>
  <c r="AA551" i="2" s="1"/>
  <c r="AA421" i="2"/>
  <c r="AA431" i="2" s="1"/>
  <c r="AA601" i="2"/>
  <c r="AA611" i="2" s="1"/>
  <c r="AA481" i="2"/>
  <c r="AA491" i="2" s="1"/>
  <c r="Q701" i="2"/>
  <c r="Q1068" i="8" s="1"/>
  <c r="Q1069" i="8" s="1"/>
  <c r="P1384" i="8"/>
  <c r="P1385" i="8" s="1"/>
  <c r="P646" i="2"/>
  <c r="P793" i="2" s="1"/>
  <c r="P1352" i="8" s="1"/>
  <c r="P1353" i="8" s="1"/>
  <c r="AB1416" i="8"/>
  <c r="AB1417" i="8" s="1"/>
  <c r="AB542" i="2"/>
  <c r="AB552" i="2" s="1"/>
  <c r="AB602" i="2"/>
  <c r="AB612" i="2" s="1"/>
  <c r="AB482" i="2"/>
  <c r="AB492" i="2" s="1"/>
  <c r="AB422" i="2"/>
  <c r="AB432" i="2" s="1"/>
  <c r="O1420" i="8"/>
  <c r="O1421" i="8" s="1"/>
  <c r="O543" i="2"/>
  <c r="O553" i="2" s="1"/>
  <c r="O603" i="2"/>
  <c r="O613" i="2" s="1"/>
  <c r="O483" i="2"/>
  <c r="O493" i="2" s="1"/>
  <c r="O423" i="2"/>
  <c r="O433" i="2" s="1"/>
  <c r="U1400" i="8"/>
  <c r="U1401" i="8" s="1"/>
  <c r="U418" i="2"/>
  <c r="U428" i="2" s="1"/>
  <c r="U598" i="2"/>
  <c r="U608" i="2" s="1"/>
  <c r="U478" i="2"/>
  <c r="U488" i="2" s="1"/>
  <c r="U538" i="2"/>
  <c r="U548" i="2" s="1"/>
  <c r="AC1396" i="8"/>
  <c r="AC1397" i="8" s="1"/>
  <c r="AC417" i="2"/>
  <c r="AC427" i="2" s="1"/>
  <c r="AC477" i="2"/>
  <c r="AC487" i="2" s="1"/>
  <c r="AC537" i="2"/>
  <c r="AC547" i="2" s="1"/>
  <c r="AC597" i="2"/>
  <c r="AC607" i="2" s="1"/>
  <c r="U984" i="8"/>
  <c r="U985" i="8" s="1"/>
  <c r="U702" i="2"/>
  <c r="U1072" i="8" s="1"/>
  <c r="U1073" i="8" s="1"/>
  <c r="U700" i="2"/>
  <c r="U1064" i="8" s="1"/>
  <c r="U1065" i="8" s="1"/>
  <c r="U699" i="2"/>
  <c r="U1060" i="8" s="1"/>
  <c r="U1061" i="8" s="1"/>
  <c r="U698" i="2"/>
  <c r="U1056" i="8" s="1"/>
  <c r="U1057" i="8" s="1"/>
  <c r="U703" i="2"/>
  <c r="U1076" i="8" s="1"/>
  <c r="U1077" i="8" s="1"/>
  <c r="U705" i="2"/>
  <c r="U1084" i="8" s="1"/>
  <c r="U1085" i="8" s="1"/>
  <c r="V1416" i="8"/>
  <c r="V1417" i="8" s="1"/>
  <c r="V482" i="2"/>
  <c r="V492" i="2" s="1"/>
  <c r="V422" i="2"/>
  <c r="V432" i="2" s="1"/>
  <c r="V602" i="2"/>
  <c r="V612" i="2" s="1"/>
  <c r="V542" i="2"/>
  <c r="V552" i="2" s="1"/>
  <c r="R1392" i="8"/>
  <c r="R1393" i="8" s="1"/>
  <c r="R596" i="2"/>
  <c r="R606" i="2" s="1"/>
  <c r="R536" i="2"/>
  <c r="R546" i="2" s="1"/>
  <c r="R476" i="2"/>
  <c r="R486" i="2" s="1"/>
  <c r="R416" i="2"/>
  <c r="R426" i="2" s="1"/>
  <c r="P1404" i="8"/>
  <c r="P1405" i="8" s="1"/>
  <c r="P599" i="2"/>
  <c r="P609" i="2" s="1"/>
  <c r="P479" i="2"/>
  <c r="P489" i="2" s="1"/>
  <c r="P539" i="2"/>
  <c r="P549" i="2" s="1"/>
  <c r="P419" i="2"/>
  <c r="P429" i="2" s="1"/>
  <c r="Y1392" i="8"/>
  <c r="Y1393" i="8" s="1"/>
  <c r="Y596" i="2"/>
  <c r="Y606" i="2" s="1"/>
  <c r="Y416" i="2"/>
  <c r="Y426" i="2" s="1"/>
  <c r="Y536" i="2"/>
  <c r="Y546" i="2" s="1"/>
  <c r="Y476" i="2"/>
  <c r="Y486" i="2" s="1"/>
  <c r="T984" i="8"/>
  <c r="T985" i="8" s="1"/>
  <c r="T702" i="2"/>
  <c r="T1072" i="8" s="1"/>
  <c r="T1073" i="8" s="1"/>
  <c r="T705" i="2"/>
  <c r="T1084" i="8" s="1"/>
  <c r="T1085" i="8" s="1"/>
  <c r="T699" i="2"/>
  <c r="T1060" i="8" s="1"/>
  <c r="T1061" i="8" s="1"/>
  <c r="T704" i="2"/>
  <c r="T1080" i="8" s="1"/>
  <c r="T1081" i="8" s="1"/>
  <c r="T700" i="2"/>
  <c r="T1064" i="8" s="1"/>
  <c r="T1065" i="8" s="1"/>
  <c r="T703" i="2"/>
  <c r="T1076" i="8" s="1"/>
  <c r="T1077" i="8" s="1"/>
  <c r="T698" i="2"/>
  <c r="T1056" i="8" s="1"/>
  <c r="T1057" i="8" s="1"/>
  <c r="AD1404" i="8"/>
  <c r="AD1405" i="8" s="1"/>
  <c r="AD479" i="2"/>
  <c r="AD489" i="2" s="1"/>
  <c r="AD539" i="2"/>
  <c r="AD549" i="2" s="1"/>
  <c r="AD599" i="2"/>
  <c r="AD609" i="2" s="1"/>
  <c r="AD419" i="2"/>
  <c r="AD429" i="2" s="1"/>
  <c r="W1400" i="8"/>
  <c r="W1401" i="8" s="1"/>
  <c r="W418" i="2"/>
  <c r="W428" i="2" s="1"/>
  <c r="W598" i="2"/>
  <c r="W608" i="2" s="1"/>
  <c r="W478" i="2"/>
  <c r="W488" i="2" s="1"/>
  <c r="W538" i="2"/>
  <c r="W548" i="2" s="1"/>
  <c r="N1400" i="8"/>
  <c r="N1401" i="8" s="1"/>
  <c r="N478" i="2"/>
  <c r="N488" i="2" s="1"/>
  <c r="N538" i="2"/>
  <c r="N548" i="2" s="1"/>
  <c r="N418" i="2"/>
  <c r="N428" i="2" s="1"/>
  <c r="N598" i="2"/>
  <c r="N608" i="2" s="1"/>
  <c r="L1420" i="8"/>
  <c r="L1421" i="8" s="1"/>
  <c r="L483" i="2"/>
  <c r="L493" i="2" s="1"/>
  <c r="L423" i="2"/>
  <c r="L433" i="2" s="1"/>
  <c r="L603" i="2"/>
  <c r="L613" i="2" s="1"/>
  <c r="L543" i="2"/>
  <c r="L553" i="2" s="1"/>
  <c r="AE1396" i="8"/>
  <c r="AE1397" i="8" s="1"/>
  <c r="AE417" i="2"/>
  <c r="AE427" i="2" s="1"/>
  <c r="AE477" i="2"/>
  <c r="AE487" i="2" s="1"/>
  <c r="AE597" i="2"/>
  <c r="AE607" i="2" s="1"/>
  <c r="AE537" i="2"/>
  <c r="AE547" i="2" s="1"/>
  <c r="F408" i="8"/>
  <c r="M1420" i="8"/>
  <c r="M1421" i="8" s="1"/>
  <c r="M603" i="2"/>
  <c r="M613" i="2" s="1"/>
  <c r="M423" i="2"/>
  <c r="M433" i="2" s="1"/>
  <c r="M543" i="2"/>
  <c r="M553" i="2" s="1"/>
  <c r="M580" i="2" s="1"/>
  <c r="N580" i="2" s="1"/>
  <c r="M483" i="2"/>
  <c r="M493" i="2" s="1"/>
  <c r="M520" i="2" s="1"/>
  <c r="AA1424" i="8"/>
  <c r="AA1425" i="8" s="1"/>
  <c r="AA484" i="2"/>
  <c r="AA494" i="2" s="1"/>
  <c r="AA604" i="2"/>
  <c r="AA614" i="2" s="1"/>
  <c r="AA544" i="2"/>
  <c r="AA554" i="2" s="1"/>
  <c r="AA424" i="2"/>
  <c r="AA434" i="2" s="1"/>
  <c r="AB1392" i="8"/>
  <c r="AB1393" i="8" s="1"/>
  <c r="AB476" i="2"/>
  <c r="AB486" i="2" s="1"/>
  <c r="AB416" i="2"/>
  <c r="AB426" i="2" s="1"/>
  <c r="AB596" i="2"/>
  <c r="AB606" i="2" s="1"/>
  <c r="AB536" i="2"/>
  <c r="AB546" i="2" s="1"/>
  <c r="U1408" i="8"/>
  <c r="U1409" i="8" s="1"/>
  <c r="U420" i="2"/>
  <c r="U430" i="2" s="1"/>
  <c r="U480" i="2"/>
  <c r="U490" i="2" s="1"/>
  <c r="U600" i="2"/>
  <c r="U610" i="2" s="1"/>
  <c r="U540" i="2"/>
  <c r="U550" i="2" s="1"/>
  <c r="AC1408" i="8"/>
  <c r="AC1409" i="8" s="1"/>
  <c r="AC480" i="2"/>
  <c r="AC490" i="2" s="1"/>
  <c r="AC420" i="2"/>
  <c r="AC430" i="2" s="1"/>
  <c r="AC540" i="2"/>
  <c r="AC550" i="2" s="1"/>
  <c r="AC600" i="2"/>
  <c r="AC610" i="2" s="1"/>
  <c r="V1392" i="8"/>
  <c r="V1393" i="8" s="1"/>
  <c r="V536" i="2"/>
  <c r="V546" i="2" s="1"/>
  <c r="V416" i="2"/>
  <c r="V426" i="2" s="1"/>
  <c r="V596" i="2"/>
  <c r="V606" i="2" s="1"/>
  <c r="V476" i="2"/>
  <c r="V486" i="2" s="1"/>
  <c r="Y1384" i="8"/>
  <c r="Y1385" i="8" s="1"/>
  <c r="Y646" i="2"/>
  <c r="R1404" i="8"/>
  <c r="R1405" i="8" s="1"/>
  <c r="R479" i="2"/>
  <c r="R489" i="2" s="1"/>
  <c r="R599" i="2"/>
  <c r="R609" i="2" s="1"/>
  <c r="R539" i="2"/>
  <c r="R549" i="2" s="1"/>
  <c r="R419" i="2"/>
  <c r="R429" i="2" s="1"/>
  <c r="AE703" i="2"/>
  <c r="AE1076" i="8" s="1"/>
  <c r="AE1077" i="8" s="1"/>
  <c r="AE988" i="8"/>
  <c r="AE989" i="8" s="1"/>
  <c r="P1412" i="8"/>
  <c r="P1413" i="8" s="1"/>
  <c r="P481" i="2"/>
  <c r="P491" i="2" s="1"/>
  <c r="P421" i="2"/>
  <c r="P431" i="2" s="1"/>
  <c r="P541" i="2"/>
  <c r="P551" i="2" s="1"/>
  <c r="P601" i="2"/>
  <c r="P611" i="2" s="1"/>
  <c r="Y1424" i="8"/>
  <c r="Y1425" i="8" s="1"/>
  <c r="Y424" i="2"/>
  <c r="Y434" i="2" s="1"/>
  <c r="Y484" i="2"/>
  <c r="Y494" i="2" s="1"/>
  <c r="Y604" i="2"/>
  <c r="Y614" i="2" s="1"/>
  <c r="Y544" i="2"/>
  <c r="Y554" i="2" s="1"/>
  <c r="AD1392" i="8"/>
  <c r="AD1393" i="8" s="1"/>
  <c r="AD596" i="2"/>
  <c r="AD606" i="2" s="1"/>
  <c r="AD476" i="2"/>
  <c r="AD486" i="2" s="1"/>
  <c r="AD416" i="2"/>
  <c r="AD426" i="2" s="1"/>
  <c r="AD536" i="2"/>
  <c r="AD546" i="2" s="1"/>
  <c r="W1408" i="8"/>
  <c r="W1409" i="8" s="1"/>
  <c r="W480" i="2"/>
  <c r="W490" i="2" s="1"/>
  <c r="W600" i="2"/>
  <c r="W610" i="2" s="1"/>
  <c r="W540" i="2"/>
  <c r="W550" i="2" s="1"/>
  <c r="W420" i="2"/>
  <c r="W430" i="2" s="1"/>
  <c r="R701" i="2"/>
  <c r="R1068" i="8" s="1"/>
  <c r="R1069" i="8" s="1"/>
  <c r="M1404" i="8"/>
  <c r="M1405" i="8" s="1"/>
  <c r="M539" i="2"/>
  <c r="M549" i="2" s="1"/>
  <c r="M599" i="2"/>
  <c r="M609" i="2" s="1"/>
  <c r="M419" i="2"/>
  <c r="M429" i="2" s="1"/>
  <c r="M479" i="2"/>
  <c r="M489" i="2" s="1"/>
  <c r="AA1404" i="8"/>
  <c r="AA1405" i="8" s="1"/>
  <c r="AA419" i="2"/>
  <c r="AA429" i="2" s="1"/>
  <c r="AA479" i="2"/>
  <c r="AA489" i="2" s="1"/>
  <c r="AA599" i="2"/>
  <c r="AA609" i="2" s="1"/>
  <c r="AA539" i="2"/>
  <c r="AA549" i="2" s="1"/>
  <c r="N1392" i="8"/>
  <c r="N1393" i="8" s="1"/>
  <c r="N416" i="2"/>
  <c r="N426" i="2" s="1"/>
  <c r="N596" i="2"/>
  <c r="N606" i="2" s="1"/>
  <c r="N536" i="2"/>
  <c r="N546" i="2" s="1"/>
  <c r="N476" i="2"/>
  <c r="N486" i="2" s="1"/>
  <c r="AB1404" i="8"/>
  <c r="AB1405" i="8" s="1"/>
  <c r="AB539" i="2"/>
  <c r="AB549" i="2" s="1"/>
  <c r="AB419" i="2"/>
  <c r="AB429" i="2" s="1"/>
  <c r="AB599" i="2"/>
  <c r="AB609" i="2" s="1"/>
  <c r="AB479" i="2"/>
  <c r="AB489" i="2" s="1"/>
  <c r="U1420" i="8"/>
  <c r="U1421" i="8" s="1"/>
  <c r="U543" i="2"/>
  <c r="U553" i="2" s="1"/>
  <c r="U423" i="2"/>
  <c r="U433" i="2" s="1"/>
  <c r="U603" i="2"/>
  <c r="U613" i="2" s="1"/>
  <c r="U483" i="2"/>
  <c r="U493" i="2" s="1"/>
  <c r="AC1420" i="8"/>
  <c r="AC1421" i="8" s="1"/>
  <c r="AC603" i="2"/>
  <c r="AC613" i="2" s="1"/>
  <c r="AC543" i="2"/>
  <c r="AC553" i="2" s="1"/>
  <c r="AC423" i="2"/>
  <c r="AC433" i="2" s="1"/>
  <c r="AC483" i="2"/>
  <c r="AC493" i="2" s="1"/>
  <c r="Q1416" i="8"/>
  <c r="Q1417" i="8" s="1"/>
  <c r="Q542" i="2"/>
  <c r="Q552" i="2" s="1"/>
  <c r="Q602" i="2"/>
  <c r="Q612" i="2" s="1"/>
  <c r="Q422" i="2"/>
  <c r="Q432" i="2" s="1"/>
  <c r="Q482" i="2"/>
  <c r="Q492" i="2" s="1"/>
  <c r="O984" i="8"/>
  <c r="O985" i="8" s="1"/>
  <c r="O704" i="2"/>
  <c r="O1080" i="8" s="1"/>
  <c r="O1081" i="8" s="1"/>
  <c r="O798" i="2"/>
  <c r="O1372" i="8" s="1"/>
  <c r="O1373" i="8" s="1"/>
  <c r="O700" i="2"/>
  <c r="O1064" i="8" s="1"/>
  <c r="O1065" i="8" s="1"/>
  <c r="O698" i="2"/>
  <c r="O1056" i="8" s="1"/>
  <c r="O1057" i="8" s="1"/>
  <c r="O795" i="2"/>
  <c r="O1360" i="8" s="1"/>
  <c r="O1361" i="8" s="1"/>
  <c r="O703" i="2"/>
  <c r="O1076" i="8" s="1"/>
  <c r="O1077" i="8" s="1"/>
  <c r="O791" i="2"/>
  <c r="O1344" i="8" s="1"/>
  <c r="O1345" i="8" s="1"/>
  <c r="O796" i="2"/>
  <c r="O1364" i="8" s="1"/>
  <c r="O1365" i="8" s="1"/>
  <c r="O699" i="2"/>
  <c r="O1060" i="8" s="1"/>
  <c r="O1061" i="8" s="1"/>
  <c r="O705" i="2"/>
  <c r="O1084" i="8" s="1"/>
  <c r="O1085" i="8" s="1"/>
  <c r="O702" i="2"/>
  <c r="O1072" i="8" s="1"/>
  <c r="O1073" i="8" s="1"/>
  <c r="AE1416" i="8"/>
  <c r="AE1417" i="8" s="1"/>
  <c r="AE602" i="2"/>
  <c r="AE612" i="2" s="1"/>
  <c r="AE542" i="2"/>
  <c r="AE552" i="2" s="1"/>
  <c r="AE422" i="2"/>
  <c r="AE432" i="2" s="1"/>
  <c r="AE482" i="2"/>
  <c r="AE492" i="2" s="1"/>
  <c r="R1412" i="8"/>
  <c r="R1413" i="8" s="1"/>
  <c r="R541" i="2"/>
  <c r="R551" i="2" s="1"/>
  <c r="R481" i="2"/>
  <c r="R491" i="2" s="1"/>
  <c r="R421" i="2"/>
  <c r="R431" i="2" s="1"/>
  <c r="R601" i="2"/>
  <c r="R611" i="2" s="1"/>
  <c r="P1424" i="8"/>
  <c r="P1425" i="8" s="1"/>
  <c r="P484" i="2"/>
  <c r="P494" i="2" s="1"/>
  <c r="P544" i="2"/>
  <c r="P554" i="2" s="1"/>
  <c r="P604" i="2"/>
  <c r="P614" i="2" s="1"/>
  <c r="P424" i="2"/>
  <c r="P434" i="2" s="1"/>
  <c r="Y1400" i="8"/>
  <c r="Y1401" i="8" s="1"/>
  <c r="Y598" i="2"/>
  <c r="Y608" i="2" s="1"/>
  <c r="Y418" i="2"/>
  <c r="Y428" i="2" s="1"/>
  <c r="Y538" i="2"/>
  <c r="Y548" i="2" s="1"/>
  <c r="Y478" i="2"/>
  <c r="Y488" i="2" s="1"/>
  <c r="AD1412" i="8"/>
  <c r="AD1413" i="8" s="1"/>
  <c r="AD421" i="2"/>
  <c r="AD431" i="2" s="1"/>
  <c r="AD541" i="2"/>
  <c r="AD551" i="2" s="1"/>
  <c r="AD481" i="2"/>
  <c r="AD491" i="2" s="1"/>
  <c r="AD601" i="2"/>
  <c r="AD611" i="2" s="1"/>
  <c r="W1420" i="8"/>
  <c r="W1421" i="8" s="1"/>
  <c r="W423" i="2"/>
  <c r="W433" i="2" s="1"/>
  <c r="W543" i="2"/>
  <c r="W553" i="2" s="1"/>
  <c r="W483" i="2"/>
  <c r="W493" i="2" s="1"/>
  <c r="W603" i="2"/>
  <c r="W613" i="2" s="1"/>
  <c r="N55" i="8"/>
  <c r="N56" i="8" s="1"/>
  <c r="F324" i="8"/>
  <c r="F424" i="8"/>
  <c r="M139" i="8"/>
  <c r="M140" i="8" s="1"/>
  <c r="M123" i="2"/>
  <c r="O774" i="2"/>
  <c r="O1300" i="8" s="1"/>
  <c r="O1301" i="8" s="1"/>
  <c r="L1164" i="8"/>
  <c r="L1165" i="8" s="1"/>
  <c r="L1236" i="8"/>
  <c r="L1237" i="8" s="1"/>
  <c r="L1200" i="8"/>
  <c r="L1201" i="8" s="1"/>
  <c r="M636" i="2"/>
  <c r="N636" i="2" s="1"/>
  <c r="M775" i="2"/>
  <c r="M1304" i="8" s="1"/>
  <c r="M1305" i="8" s="1"/>
  <c r="O374" i="2"/>
  <c r="O900" i="8" s="1"/>
  <c r="O901" i="8" s="1"/>
  <c r="P396" i="2"/>
  <c r="P964" i="8" s="1"/>
  <c r="P965" i="8" s="1"/>
  <c r="P808" i="8"/>
  <c r="P809" i="8" s="1"/>
  <c r="O378" i="2"/>
  <c r="O916" i="8" s="1"/>
  <c r="O917" i="8" s="1"/>
  <c r="Q612" i="8"/>
  <c r="Q613" i="8" s="1"/>
  <c r="Q345" i="2"/>
  <c r="R280" i="2"/>
  <c r="Q334" i="2"/>
  <c r="Q356" i="2" s="1"/>
  <c r="L1212" i="8"/>
  <c r="L1213" i="8" s="1"/>
  <c r="M123" i="8"/>
  <c r="M124" i="8" s="1"/>
  <c r="L1176" i="8"/>
  <c r="L1177" i="8" s="1"/>
  <c r="L1248" i="8"/>
  <c r="L1249" i="8" s="1"/>
  <c r="M948" i="8"/>
  <c r="M949" i="8" s="1"/>
  <c r="M400" i="2"/>
  <c r="Q792" i="8"/>
  <c r="Q793" i="8" s="1"/>
  <c r="Q392" i="2"/>
  <c r="L1204" i="8"/>
  <c r="L1205" i="8" s="1"/>
  <c r="L1208" i="8"/>
  <c r="L1209" i="8" s="1"/>
  <c r="Q820" i="8"/>
  <c r="Q821" i="8" s="1"/>
  <c r="Q399" i="2"/>
  <c r="Q976" i="8" s="1"/>
  <c r="Q977" i="8" s="1"/>
  <c r="P1200" i="8"/>
  <c r="P1201" i="8" s="1"/>
  <c r="P794" i="2"/>
  <c r="P1356" i="8" s="1"/>
  <c r="P1357" i="8" s="1"/>
  <c r="T616" i="8"/>
  <c r="T617" i="8" s="1"/>
  <c r="T335" i="2"/>
  <c r="T357" i="2" s="1"/>
  <c r="U281" i="2"/>
  <c r="T346" i="2"/>
  <c r="R282" i="2"/>
  <c r="Q347" i="2"/>
  <c r="Q336" i="2"/>
  <c r="Q358" i="2" s="1"/>
  <c r="Q620" i="8"/>
  <c r="Q621" i="8" s="1"/>
  <c r="R760" i="8"/>
  <c r="R761" i="8" s="1"/>
  <c r="R832" i="8"/>
  <c r="R833" i="8" s="1"/>
  <c r="M243" i="2"/>
  <c r="O360" i="2"/>
  <c r="O860" i="8" s="1"/>
  <c r="O861" i="8" s="1"/>
  <c r="R596" i="8"/>
  <c r="R597" i="8" s="1"/>
  <c r="R341" i="2"/>
  <c r="S276" i="2"/>
  <c r="R330" i="2"/>
  <c r="R352" i="2" s="1"/>
  <c r="L1168" i="8"/>
  <c r="L1169" i="8" s="1"/>
  <c r="L1240" i="8"/>
  <c r="L1241" i="8" s="1"/>
  <c r="M773" i="2"/>
  <c r="F673" i="8"/>
  <c r="Q784" i="8"/>
  <c r="Q785" i="8" s="1"/>
  <c r="Q856" i="8"/>
  <c r="Q857" i="8" s="1"/>
  <c r="Q1004" i="8"/>
  <c r="Q1005" i="8" s="1"/>
  <c r="R678" i="2"/>
  <c r="Q743" i="2"/>
  <c r="Q732" i="2"/>
  <c r="Q754" i="2" s="1"/>
  <c r="P376" i="2"/>
  <c r="P908" i="8" s="1"/>
  <c r="P909" i="8" s="1"/>
  <c r="S812" i="8"/>
  <c r="S813" i="8" s="1"/>
  <c r="S397" i="2"/>
  <c r="S968" i="8" s="1"/>
  <c r="S969" i="8" s="1"/>
  <c r="P780" i="8"/>
  <c r="P781" i="8" s="1"/>
  <c r="S600" i="8"/>
  <c r="S601" i="8" s="1"/>
  <c r="S342" i="2"/>
  <c r="S331" i="2"/>
  <c r="S353" i="2" s="1"/>
  <c r="T277" i="2"/>
  <c r="L756" i="8"/>
  <c r="L757" i="8" s="1"/>
  <c r="L338" i="2"/>
  <c r="L788" i="8" s="1"/>
  <c r="L789" i="8" s="1"/>
  <c r="L375" i="2"/>
  <c r="L904" i="8" s="1"/>
  <c r="L905" i="8" s="1"/>
  <c r="M759" i="2"/>
  <c r="M1256" i="8" s="1"/>
  <c r="M1257" i="8" s="1"/>
  <c r="Q756" i="8"/>
  <c r="Q757" i="8" s="1"/>
  <c r="P1192" i="8"/>
  <c r="P1193" i="8" s="1"/>
  <c r="R624" i="8"/>
  <c r="R625" i="8" s="1"/>
  <c r="S283" i="2"/>
  <c r="R337" i="2"/>
  <c r="R359" i="2" s="1"/>
  <c r="R348" i="2"/>
  <c r="N374" i="2"/>
  <c r="S776" i="8"/>
  <c r="S777" i="8" s="1"/>
  <c r="S848" i="8"/>
  <c r="S849" i="8" s="1"/>
  <c r="P816" i="8"/>
  <c r="P817" i="8" s="1"/>
  <c r="P398" i="2"/>
  <c r="P972" i="8" s="1"/>
  <c r="P973" i="8" s="1"/>
  <c r="R796" i="8"/>
  <c r="R797" i="8" s="1"/>
  <c r="R393" i="2"/>
  <c r="R952" i="8" s="1"/>
  <c r="R953" i="8" s="1"/>
  <c r="P1156" i="8"/>
  <c r="P1157" i="8" s="1"/>
  <c r="Q800" i="8"/>
  <c r="Q801" i="8" s="1"/>
  <c r="Q394" i="2"/>
  <c r="Q956" i="8" s="1"/>
  <c r="Q957" i="8" s="1"/>
  <c r="Q996" i="8"/>
  <c r="Q997" i="8" s="1"/>
  <c r="R676" i="2"/>
  <c r="Q730" i="2"/>
  <c r="Q752" i="2" s="1"/>
  <c r="Q741" i="2"/>
  <c r="M634" i="2"/>
  <c r="R604" i="8"/>
  <c r="R605" i="8" s="1"/>
  <c r="S278" i="2"/>
  <c r="R332" i="2"/>
  <c r="R354" i="2" s="1"/>
  <c r="R343" i="2"/>
  <c r="L1180" i="8"/>
  <c r="L1181" i="8" s="1"/>
  <c r="L1252" i="8"/>
  <c r="L1253" i="8" s="1"/>
  <c r="P828" i="8"/>
  <c r="P829" i="8" s="1"/>
  <c r="Q1204" i="8"/>
  <c r="Q1205" i="8" s="1"/>
  <c r="Q795" i="2"/>
  <c r="Q1360" i="8" s="1"/>
  <c r="Q1361" i="8" s="1"/>
  <c r="S1020" i="8"/>
  <c r="S1021" i="8" s="1"/>
  <c r="T682" i="2"/>
  <c r="S747" i="2"/>
  <c r="S736" i="2"/>
  <c r="S758" i="2" s="1"/>
  <c r="Q1016" i="8"/>
  <c r="Q1017" i="8" s="1"/>
  <c r="Q746" i="2"/>
  <c r="R681" i="2"/>
  <c r="Q735" i="2"/>
  <c r="Q757" i="2" s="1"/>
  <c r="R1180" i="8"/>
  <c r="R1181" i="8" s="1"/>
  <c r="R1252" i="8"/>
  <c r="R1253" i="8" s="1"/>
  <c r="M378" i="2"/>
  <c r="M916" i="8" s="1"/>
  <c r="M917" i="8" s="1"/>
  <c r="Q1188" i="8"/>
  <c r="Q1189" i="8" s="1"/>
  <c r="Q791" i="2"/>
  <c r="P1212" i="8"/>
  <c r="P1213" i="8" s="1"/>
  <c r="P797" i="2"/>
  <c r="P1368" i="8" s="1"/>
  <c r="P1369" i="8" s="1"/>
  <c r="R1216" i="8"/>
  <c r="R1217" i="8" s="1"/>
  <c r="R798" i="2"/>
  <c r="R1372" i="8" s="1"/>
  <c r="R1373" i="8" s="1"/>
  <c r="F396" i="8"/>
  <c r="O773" i="2"/>
  <c r="L1216" i="8"/>
  <c r="L1217" i="8" s="1"/>
  <c r="R992" i="8"/>
  <c r="R993" i="8" s="1"/>
  <c r="S675" i="2"/>
  <c r="R729" i="2"/>
  <c r="R751" i="2" s="1"/>
  <c r="R740" i="2"/>
  <c r="F364" i="8"/>
  <c r="P1196" i="8"/>
  <c r="P1197" i="8" s="1"/>
  <c r="O759" i="2"/>
  <c r="O1256" i="8" s="1"/>
  <c r="O1257" i="8" s="1"/>
  <c r="O777" i="2"/>
  <c r="O1312" i="8" s="1"/>
  <c r="O1313" i="8" s="1"/>
  <c r="P768" i="8"/>
  <c r="P769" i="8" s="1"/>
  <c r="P840" i="8"/>
  <c r="P841" i="8" s="1"/>
  <c r="M774" i="2"/>
  <c r="M1300" i="8" s="1"/>
  <c r="M1301" i="8" s="1"/>
  <c r="R1008" i="8"/>
  <c r="R1009" i="8" s="1"/>
  <c r="R733" i="2"/>
  <c r="R755" i="2" s="1"/>
  <c r="R744" i="2"/>
  <c r="S679" i="2"/>
  <c r="F308" i="8"/>
  <c r="P1160" i="8"/>
  <c r="P1161" i="8" s="1"/>
  <c r="P1232" i="8"/>
  <c r="P1233" i="8" s="1"/>
  <c r="L804" i="8"/>
  <c r="L805" i="8" s="1"/>
  <c r="L395" i="2"/>
  <c r="L960" i="8" s="1"/>
  <c r="L961" i="8" s="1"/>
  <c r="N360" i="2"/>
  <c r="N860" i="8" s="1"/>
  <c r="N861" i="8" s="1"/>
  <c r="L1160" i="8"/>
  <c r="L1161" i="8" s="1"/>
  <c r="L737" i="2"/>
  <c r="L1184" i="8" s="1"/>
  <c r="L1185" i="8" s="1"/>
  <c r="L774" i="2"/>
  <c r="L1300" i="8" s="1"/>
  <c r="L1301" i="8" s="1"/>
  <c r="N777" i="2"/>
  <c r="N1312" i="8" s="1"/>
  <c r="N1313" i="8" s="1"/>
  <c r="M374" i="2"/>
  <c r="P804" i="8"/>
  <c r="P805" i="8" s="1"/>
  <c r="P395" i="2"/>
  <c r="P960" i="8" s="1"/>
  <c r="P961" i="8" s="1"/>
  <c r="F669" i="8"/>
  <c r="Q764" i="8"/>
  <c r="Q765" i="8" s="1"/>
  <c r="Q836" i="8"/>
  <c r="Q837" i="8" s="1"/>
  <c r="Q1168" i="8"/>
  <c r="Q1169" i="8" s="1"/>
  <c r="Q1240" i="8"/>
  <c r="Q1241" i="8" s="1"/>
  <c r="L792" i="8"/>
  <c r="L793" i="8" s="1"/>
  <c r="L349" i="2"/>
  <c r="L824" i="8" s="1"/>
  <c r="L825" i="8" s="1"/>
  <c r="L392" i="2"/>
  <c r="P1176" i="8"/>
  <c r="P1177" i="8" s="1"/>
  <c r="P1248" i="8"/>
  <c r="P1249" i="8" s="1"/>
  <c r="F400" i="8"/>
  <c r="F360" i="8"/>
  <c r="Q1000" i="8"/>
  <c r="Q1001" i="8" s="1"/>
  <c r="Q731" i="2"/>
  <c r="Q753" i="2" s="1"/>
  <c r="R677" i="2"/>
  <c r="Q742" i="2"/>
  <c r="P948" i="8"/>
  <c r="P949" i="8" s="1"/>
  <c r="Q1208" i="8"/>
  <c r="Q1209" i="8" s="1"/>
  <c r="Q796" i="2"/>
  <c r="Q1364" i="8" s="1"/>
  <c r="Q1365" i="8" s="1"/>
  <c r="L1196" i="8"/>
  <c r="L1197" i="8" s="1"/>
  <c r="L748" i="2"/>
  <c r="L1220" i="8" s="1"/>
  <c r="L1221" i="8" s="1"/>
  <c r="F677" i="8"/>
  <c r="Q608" i="8"/>
  <c r="Q609" i="8" s="1"/>
  <c r="R279" i="2"/>
  <c r="Q344" i="2"/>
  <c r="Q333" i="2"/>
  <c r="Q355" i="2" s="1"/>
  <c r="L374" i="2"/>
  <c r="M181" i="2"/>
  <c r="M107" i="8" s="1"/>
  <c r="M108" i="8" s="1"/>
  <c r="N241" i="2"/>
  <c r="N243" i="2" s="1"/>
  <c r="L768" i="8"/>
  <c r="L769" i="8" s="1"/>
  <c r="L840" i="8"/>
  <c r="L841" i="8" s="1"/>
  <c r="Q1172" i="8"/>
  <c r="Q1173" i="8" s="1"/>
  <c r="Q1244" i="8"/>
  <c r="Q1245" i="8" s="1"/>
  <c r="N773" i="2"/>
  <c r="F312" i="8"/>
  <c r="F432" i="8"/>
  <c r="M828" i="8"/>
  <c r="M829" i="8" s="1"/>
  <c r="M360" i="2"/>
  <c r="M860" i="8" s="1"/>
  <c r="M861" i="8" s="1"/>
  <c r="R1012" i="8"/>
  <c r="R1013" i="8" s="1"/>
  <c r="S680" i="2"/>
  <c r="R734" i="2"/>
  <c r="R756" i="2" s="1"/>
  <c r="R745" i="2"/>
  <c r="N375" i="2"/>
  <c r="N904" i="8" s="1"/>
  <c r="N905" i="8" s="1"/>
  <c r="O400" i="2"/>
  <c r="F300" i="8"/>
  <c r="L1172" i="8"/>
  <c r="L1173" i="8" s="1"/>
  <c r="L1244" i="8"/>
  <c r="L1245" i="8" s="1"/>
  <c r="P1164" i="8"/>
  <c r="P1165" i="8" s="1"/>
  <c r="P1236" i="8"/>
  <c r="P1237" i="8" s="1"/>
  <c r="P1224" i="8"/>
  <c r="P1225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N634" i="2"/>
  <c r="N182" i="2"/>
  <c r="M111" i="8"/>
  <c r="M112" i="8" s="1"/>
  <c r="N176" i="2"/>
  <c r="M87" i="8"/>
  <c r="M88" i="8" s="1"/>
  <c r="O235" i="2"/>
  <c r="N119" i="8"/>
  <c r="N120" i="8" s="1"/>
  <c r="O59" i="2"/>
  <c r="N27" i="8"/>
  <c r="N28" i="8" s="1"/>
  <c r="F392" i="8"/>
  <c r="M175" i="2"/>
  <c r="O242" i="2"/>
  <c r="N147" i="8"/>
  <c r="N148" i="8" s="1"/>
  <c r="O239" i="2"/>
  <c r="N135" i="8"/>
  <c r="N136" i="8" s="1"/>
  <c r="O234" i="2"/>
  <c r="N115" i="8"/>
  <c r="N116" i="8" s="1"/>
  <c r="F344" i="8"/>
  <c r="F372" i="8"/>
  <c r="O57" i="2"/>
  <c r="N19" i="8"/>
  <c r="N20" i="8" s="1"/>
  <c r="P117" i="2"/>
  <c r="O55" i="8"/>
  <c r="O56" i="8" s="1"/>
  <c r="M180" i="2"/>
  <c r="O238" i="2"/>
  <c r="N131" i="8"/>
  <c r="N132" i="8" s="1"/>
  <c r="O240" i="2"/>
  <c r="N139" i="8"/>
  <c r="N140" i="8" s="1"/>
  <c r="N179" i="2"/>
  <c r="M99" i="8"/>
  <c r="M100" i="8" s="1"/>
  <c r="N177" i="2"/>
  <c r="M91" i="8"/>
  <c r="M92" i="8" s="1"/>
  <c r="N178" i="2"/>
  <c r="M95" i="8"/>
  <c r="M96" i="8" s="1"/>
  <c r="O120" i="2"/>
  <c r="N67" i="8"/>
  <c r="N68" i="8" s="1"/>
  <c r="O58" i="2"/>
  <c r="N23" i="8"/>
  <c r="N24" i="8" s="1"/>
  <c r="O119" i="2"/>
  <c r="N63" i="8"/>
  <c r="N64" i="8" s="1"/>
  <c r="O114" i="2"/>
  <c r="N43" i="8"/>
  <c r="N44" i="8" s="1"/>
  <c r="O61" i="2"/>
  <c r="N35" i="8"/>
  <c r="N36" i="8" s="1"/>
  <c r="O54" i="2"/>
  <c r="N7" i="8"/>
  <c r="N8" i="8" s="1"/>
  <c r="O62" i="2"/>
  <c r="N39" i="8"/>
  <c r="N40" i="8" s="1"/>
  <c r="O237" i="2"/>
  <c r="N127" i="8"/>
  <c r="N128" i="8" s="1"/>
  <c r="O236" i="2"/>
  <c r="N123" i="8"/>
  <c r="N124" i="8" s="1"/>
  <c r="O118" i="2"/>
  <c r="N59" i="8"/>
  <c r="N60" i="8" s="1"/>
  <c r="O60" i="2"/>
  <c r="N31" i="8"/>
  <c r="N32" i="8" s="1"/>
  <c r="O122" i="2"/>
  <c r="N75" i="8"/>
  <c r="N76" i="8" s="1"/>
  <c r="O116" i="2"/>
  <c r="N51" i="8"/>
  <c r="N52" i="8" s="1"/>
  <c r="O121" i="2"/>
  <c r="N71" i="8"/>
  <c r="N72" i="8" s="1"/>
  <c r="O241" i="2"/>
  <c r="N143" i="8"/>
  <c r="N144" i="8" s="1"/>
  <c r="O56" i="2"/>
  <c r="N15" i="8"/>
  <c r="N16" i="8" s="1"/>
  <c r="N174" i="2"/>
  <c r="M79" i="8"/>
  <c r="M80" i="8" s="1"/>
  <c r="F356" i="8"/>
  <c r="N633" i="2" l="1"/>
  <c r="O633" i="2" s="1"/>
  <c r="P792" i="2"/>
  <c r="P1348" i="8" s="1"/>
  <c r="P1349" i="8" s="1"/>
  <c r="N11" i="8"/>
  <c r="N12" i="8" s="1"/>
  <c r="M575" i="2"/>
  <c r="N575" i="2" s="1"/>
  <c r="O575" i="2" s="1"/>
  <c r="P575" i="2" s="1"/>
  <c r="N63" i="2"/>
  <c r="M641" i="2"/>
  <c r="M635" i="2"/>
  <c r="O799" i="2"/>
  <c r="O649" i="2" s="1"/>
  <c r="F1385" i="8"/>
  <c r="F989" i="8"/>
  <c r="N47" i="8"/>
  <c r="N48" i="8" s="1"/>
  <c r="M519" i="2"/>
  <c r="N520" i="2"/>
  <c r="O520" i="2" s="1"/>
  <c r="O115" i="2"/>
  <c r="L611" i="2"/>
  <c r="M638" i="2" s="1"/>
  <c r="N1344" i="8"/>
  <c r="N1345" i="8" s="1"/>
  <c r="N799" i="2"/>
  <c r="L795" i="2"/>
  <c r="L1360" i="8" s="1"/>
  <c r="L1361" i="8" s="1"/>
  <c r="H257" i="2"/>
  <c r="F313" i="2" s="1"/>
  <c r="I257" i="2"/>
  <c r="G313" i="2" s="1"/>
  <c r="P852" i="8"/>
  <c r="P853" i="8" s="1"/>
  <c r="P374" i="2"/>
  <c r="P900" i="8" s="1"/>
  <c r="P901" i="8" s="1"/>
  <c r="N641" i="2"/>
  <c r="M1348" i="8"/>
  <c r="M1349" i="8" s="1"/>
  <c r="M799" i="2"/>
  <c r="L434" i="2"/>
  <c r="M461" i="2" s="1"/>
  <c r="N461" i="2" s="1"/>
  <c r="O461" i="2" s="1"/>
  <c r="P461" i="2" s="1"/>
  <c r="H656" i="2"/>
  <c r="F712" i="2" s="1"/>
  <c r="I656" i="2"/>
  <c r="G712" i="2" s="1"/>
  <c r="L984" i="8"/>
  <c r="L985" i="8" s="1"/>
  <c r="L700" i="2"/>
  <c r="L1064" i="8" s="1"/>
  <c r="L1065" i="8" s="1"/>
  <c r="L705" i="2"/>
  <c r="L1084" i="8" s="1"/>
  <c r="L1085" i="8" s="1"/>
  <c r="F1085" i="8" s="1"/>
  <c r="L703" i="2"/>
  <c r="L1076" i="8" s="1"/>
  <c r="L1077" i="8" s="1"/>
  <c r="L704" i="2"/>
  <c r="L1080" i="8" s="1"/>
  <c r="L1081" i="8" s="1"/>
  <c r="L699" i="2"/>
  <c r="L1060" i="8" s="1"/>
  <c r="L1061" i="8" s="1"/>
  <c r="L792" i="2"/>
  <c r="L1348" i="8" s="1"/>
  <c r="L1349" i="8" s="1"/>
  <c r="L698" i="2"/>
  <c r="L1056" i="8" s="1"/>
  <c r="L1057" i="8" s="1"/>
  <c r="L702" i="2"/>
  <c r="L1072" i="8" s="1"/>
  <c r="L1073" i="8" s="1"/>
  <c r="L791" i="2"/>
  <c r="L1344" i="8" s="1"/>
  <c r="L1345" i="8" s="1"/>
  <c r="L701" i="2"/>
  <c r="L1068" i="8" s="1"/>
  <c r="L1069" i="8" s="1"/>
  <c r="L796" i="2"/>
  <c r="L1364" i="8" s="1"/>
  <c r="L1365" i="8" s="1"/>
  <c r="L794" i="2"/>
  <c r="L1356" i="8" s="1"/>
  <c r="L1357" i="8" s="1"/>
  <c r="L797" i="2"/>
  <c r="L1368" i="8" s="1"/>
  <c r="L1369" i="8" s="1"/>
  <c r="L798" i="2"/>
  <c r="L1372" i="8" s="1"/>
  <c r="L1373" i="8" s="1"/>
  <c r="L487" i="2"/>
  <c r="M514" i="2" s="1"/>
  <c r="N514" i="2" s="1"/>
  <c r="O514" i="2" s="1"/>
  <c r="F1425" i="8"/>
  <c r="F1397" i="8"/>
  <c r="M521" i="2"/>
  <c r="N521" i="2" s="1"/>
  <c r="O521" i="2" s="1"/>
  <c r="L427" i="2"/>
  <c r="M454" i="2" s="1"/>
  <c r="N635" i="2"/>
  <c r="O635" i="2" s="1"/>
  <c r="Q751" i="2"/>
  <c r="Q1224" i="8" s="1"/>
  <c r="Q1225" i="8" s="1"/>
  <c r="Q1152" i="8"/>
  <c r="Q1153" i="8" s="1"/>
  <c r="H255" i="2"/>
  <c r="F317" i="2" s="1"/>
  <c r="R370" i="2" s="1"/>
  <c r="R892" i="8" s="1"/>
  <c r="R893" i="8" s="1"/>
  <c r="I255" i="2"/>
  <c r="G317" i="2" s="1"/>
  <c r="O379" i="2"/>
  <c r="O920" i="8" s="1"/>
  <c r="O921" i="8" s="1"/>
  <c r="I654" i="2"/>
  <c r="G716" i="2" s="1"/>
  <c r="H654" i="2"/>
  <c r="F716" i="2" s="1"/>
  <c r="M640" i="2"/>
  <c r="N640" i="2" s="1"/>
  <c r="F1413" i="8"/>
  <c r="I254" i="2"/>
  <c r="H254" i="2"/>
  <c r="M639" i="2"/>
  <c r="N639" i="2" s="1"/>
  <c r="H653" i="2"/>
  <c r="I653" i="2"/>
  <c r="O980" i="8"/>
  <c r="O981" i="8" s="1"/>
  <c r="O250" i="2"/>
  <c r="Y984" i="8"/>
  <c r="Y985" i="8" s="1"/>
  <c r="Y700" i="2"/>
  <c r="Y1064" i="8" s="1"/>
  <c r="Y1065" i="8" s="1"/>
  <c r="Y704" i="2"/>
  <c r="Y1080" i="8" s="1"/>
  <c r="Y1081" i="8" s="1"/>
  <c r="Y705" i="2"/>
  <c r="Y1084" i="8" s="1"/>
  <c r="Y1085" i="8" s="1"/>
  <c r="Y703" i="2"/>
  <c r="Y1076" i="8" s="1"/>
  <c r="Y1077" i="8" s="1"/>
  <c r="Y702" i="2"/>
  <c r="Y1072" i="8" s="1"/>
  <c r="Y1073" i="8" s="1"/>
  <c r="Y699" i="2"/>
  <c r="Y1060" i="8" s="1"/>
  <c r="Y1061" i="8" s="1"/>
  <c r="Y698" i="2"/>
  <c r="Y1056" i="8" s="1"/>
  <c r="Y1057" i="8" s="1"/>
  <c r="Y701" i="2"/>
  <c r="Y1068" i="8" s="1"/>
  <c r="Y1069" i="8" s="1"/>
  <c r="F1421" i="8"/>
  <c r="L552" i="2"/>
  <c r="M579" i="2" s="1"/>
  <c r="N579" i="2" s="1"/>
  <c r="O579" i="2" s="1"/>
  <c r="N453" i="2"/>
  <c r="O453" i="2" s="1"/>
  <c r="L429" i="2"/>
  <c r="M456" i="2" s="1"/>
  <c r="N456" i="2" s="1"/>
  <c r="O456" i="2" s="1"/>
  <c r="O1376" i="8"/>
  <c r="O1377" i="8" s="1"/>
  <c r="M460" i="2"/>
  <c r="N460" i="2" s="1"/>
  <c r="P984" i="8"/>
  <c r="P985" i="8" s="1"/>
  <c r="P698" i="2"/>
  <c r="P1056" i="8" s="1"/>
  <c r="P1057" i="8" s="1"/>
  <c r="P700" i="2"/>
  <c r="P1064" i="8" s="1"/>
  <c r="P1065" i="8" s="1"/>
  <c r="P703" i="2"/>
  <c r="P1076" i="8" s="1"/>
  <c r="P1077" i="8" s="1"/>
  <c r="P705" i="2"/>
  <c r="P1084" i="8" s="1"/>
  <c r="P1085" i="8" s="1"/>
  <c r="P798" i="2"/>
  <c r="P1372" i="8" s="1"/>
  <c r="P1373" i="8" s="1"/>
  <c r="P699" i="2"/>
  <c r="P1060" i="8" s="1"/>
  <c r="P1061" i="8" s="1"/>
  <c r="P702" i="2"/>
  <c r="P1072" i="8" s="1"/>
  <c r="P1073" i="8" s="1"/>
  <c r="P704" i="2"/>
  <c r="P1080" i="8" s="1"/>
  <c r="P1081" i="8" s="1"/>
  <c r="P796" i="2"/>
  <c r="P1364" i="8" s="1"/>
  <c r="P1365" i="8" s="1"/>
  <c r="P791" i="2"/>
  <c r="P1344" i="8" s="1"/>
  <c r="P1345" i="8" s="1"/>
  <c r="P795" i="2"/>
  <c r="P1360" i="8" s="1"/>
  <c r="P1361" i="8" s="1"/>
  <c r="P701" i="2"/>
  <c r="P1068" i="8" s="1"/>
  <c r="P1069" i="8" s="1"/>
  <c r="M513" i="2"/>
  <c r="L489" i="2"/>
  <c r="M516" i="2" s="1"/>
  <c r="N516" i="2" s="1"/>
  <c r="O516" i="2" s="1"/>
  <c r="M577" i="2"/>
  <c r="N577" i="2" s="1"/>
  <c r="M573" i="2"/>
  <c r="L549" i="2"/>
  <c r="M576" i="2" s="1"/>
  <c r="N576" i="2" s="1"/>
  <c r="O576" i="2" s="1"/>
  <c r="M637" i="2"/>
  <c r="N637" i="2" s="1"/>
  <c r="Z704" i="2"/>
  <c r="Z1080" i="8" s="1"/>
  <c r="Z1081" i="8" s="1"/>
  <c r="Z698" i="2"/>
  <c r="Z1056" i="8" s="1"/>
  <c r="Z1057" i="8" s="1"/>
  <c r="Z700" i="2"/>
  <c r="Z1064" i="8" s="1"/>
  <c r="Z1065" i="8" s="1"/>
  <c r="Z699" i="2"/>
  <c r="Z1060" i="8" s="1"/>
  <c r="Z1061" i="8" s="1"/>
  <c r="Z984" i="8"/>
  <c r="Z985" i="8" s="1"/>
  <c r="Z703" i="2"/>
  <c r="Z1076" i="8" s="1"/>
  <c r="Z1077" i="8" s="1"/>
  <c r="Z705" i="2"/>
  <c r="Z1084" i="8" s="1"/>
  <c r="Z1085" i="8" s="1"/>
  <c r="Z702" i="2"/>
  <c r="Z1072" i="8" s="1"/>
  <c r="Z1073" i="8" s="1"/>
  <c r="Z701" i="2"/>
  <c r="Z1068" i="8" s="1"/>
  <c r="Z1069" i="8" s="1"/>
  <c r="M578" i="2"/>
  <c r="N578" i="2" s="1"/>
  <c r="F1417" i="8"/>
  <c r="W984" i="8"/>
  <c r="W985" i="8" s="1"/>
  <c r="W704" i="2"/>
  <c r="W1080" i="8" s="1"/>
  <c r="W1081" i="8" s="1"/>
  <c r="W705" i="2"/>
  <c r="W1084" i="8" s="1"/>
  <c r="W1085" i="8" s="1"/>
  <c r="W702" i="2"/>
  <c r="W1072" i="8" s="1"/>
  <c r="W1073" i="8" s="1"/>
  <c r="W703" i="2"/>
  <c r="W1076" i="8" s="1"/>
  <c r="W1077" i="8" s="1"/>
  <c r="W700" i="2"/>
  <c r="W1064" i="8" s="1"/>
  <c r="W1065" i="8" s="1"/>
  <c r="W698" i="2"/>
  <c r="W1056" i="8" s="1"/>
  <c r="W1057" i="8" s="1"/>
  <c r="W699" i="2"/>
  <c r="W1060" i="8" s="1"/>
  <c r="W1061" i="8" s="1"/>
  <c r="W701" i="2"/>
  <c r="W1068" i="8" s="1"/>
  <c r="W1069" i="8" s="1"/>
  <c r="F1405" i="8"/>
  <c r="D1381" i="8" s="1"/>
  <c r="L490" i="2"/>
  <c r="M517" i="2" s="1"/>
  <c r="N517" i="2" s="1"/>
  <c r="O517" i="2" s="1"/>
  <c r="L430" i="2"/>
  <c r="M457" i="2" s="1"/>
  <c r="N457" i="2" s="1"/>
  <c r="O457" i="2" s="1"/>
  <c r="P457" i="2" s="1"/>
  <c r="N458" i="2"/>
  <c r="O458" i="2" s="1"/>
  <c r="M515" i="2"/>
  <c r="N515" i="2" s="1"/>
  <c r="O515" i="2" s="1"/>
  <c r="P515" i="2" s="1"/>
  <c r="H652" i="2"/>
  <c r="I652" i="2"/>
  <c r="F1393" i="8"/>
  <c r="L547" i="2"/>
  <c r="M574" i="2" s="1"/>
  <c r="N574" i="2" s="1"/>
  <c r="N518" i="2"/>
  <c r="O518" i="2" s="1"/>
  <c r="P518" i="2" s="1"/>
  <c r="F1409" i="8"/>
  <c r="N519" i="2"/>
  <c r="O519" i="2" s="1"/>
  <c r="P519" i="2" s="1"/>
  <c r="M980" i="8"/>
  <c r="M981" i="8" s="1"/>
  <c r="M250" i="2"/>
  <c r="M518" i="2"/>
  <c r="M581" i="2"/>
  <c r="N581" i="2" s="1"/>
  <c r="O581" i="2" s="1"/>
  <c r="F1401" i="8"/>
  <c r="M459" i="2"/>
  <c r="N459" i="2" s="1"/>
  <c r="H253" i="2"/>
  <c r="I253" i="2"/>
  <c r="N181" i="2"/>
  <c r="Q737" i="2"/>
  <c r="Q1184" i="8" s="1"/>
  <c r="Q1185" i="8" s="1"/>
  <c r="Q772" i="8"/>
  <c r="Q773" i="8" s="1"/>
  <c r="Q844" i="8"/>
  <c r="Q845" i="8" s="1"/>
  <c r="L777" i="2"/>
  <c r="L1312" i="8" s="1"/>
  <c r="L1313" i="8" s="1"/>
  <c r="R612" i="8"/>
  <c r="R613" i="8" s="1"/>
  <c r="R345" i="2"/>
  <c r="S280" i="2"/>
  <c r="R334" i="2"/>
  <c r="R356" i="2" s="1"/>
  <c r="Q396" i="2"/>
  <c r="Q964" i="8" s="1"/>
  <c r="Q965" i="8" s="1"/>
  <c r="Q808" i="8"/>
  <c r="Q809" i="8" s="1"/>
  <c r="P759" i="2"/>
  <c r="P1256" i="8" s="1"/>
  <c r="P1257" i="8" s="1"/>
  <c r="Q1196" i="8"/>
  <c r="Q1197" i="8" s="1"/>
  <c r="Q793" i="2"/>
  <c r="Q1352" i="8" s="1"/>
  <c r="Q1353" i="8" s="1"/>
  <c r="Q1176" i="8"/>
  <c r="Q1177" i="8" s="1"/>
  <c r="S1216" i="8"/>
  <c r="S1217" i="8" s="1"/>
  <c r="S769" i="2"/>
  <c r="S1288" i="8" s="1"/>
  <c r="S1289" i="8" s="1"/>
  <c r="S798" i="2"/>
  <c r="S1372" i="8" s="1"/>
  <c r="S1373" i="8" s="1"/>
  <c r="R784" i="8"/>
  <c r="R785" i="8" s="1"/>
  <c r="R856" i="8"/>
  <c r="R857" i="8" s="1"/>
  <c r="T812" i="8"/>
  <c r="T813" i="8" s="1"/>
  <c r="T397" i="2"/>
  <c r="T968" i="8" s="1"/>
  <c r="T969" i="8" s="1"/>
  <c r="R399" i="2"/>
  <c r="R976" i="8" s="1"/>
  <c r="R977" i="8" s="1"/>
  <c r="R820" i="8"/>
  <c r="R821" i="8" s="1"/>
  <c r="R1208" i="8"/>
  <c r="R1209" i="8" s="1"/>
  <c r="R796" i="2"/>
  <c r="R1364" i="8" s="1"/>
  <c r="R1365" i="8" s="1"/>
  <c r="R1000" i="8"/>
  <c r="R1001" i="8" s="1"/>
  <c r="R731" i="2"/>
  <c r="R753" i="2" s="1"/>
  <c r="S677" i="2"/>
  <c r="R742" i="2"/>
  <c r="P378" i="2"/>
  <c r="P916" i="8" s="1"/>
  <c r="P917" i="8" s="1"/>
  <c r="R1016" i="8"/>
  <c r="R1017" i="8" s="1"/>
  <c r="R746" i="2"/>
  <c r="S681" i="2"/>
  <c r="R735" i="2"/>
  <c r="R757" i="2" s="1"/>
  <c r="T1020" i="8"/>
  <c r="T1021" i="8" s="1"/>
  <c r="U682" i="2"/>
  <c r="T747" i="2"/>
  <c r="T736" i="2"/>
  <c r="T758" i="2" s="1"/>
  <c r="S624" i="8"/>
  <c r="S625" i="8" s="1"/>
  <c r="T283" i="2"/>
  <c r="S348" i="2"/>
  <c r="S337" i="2"/>
  <c r="S359" i="2" s="1"/>
  <c r="Q1164" i="8"/>
  <c r="Q1165" i="8" s="1"/>
  <c r="Q1236" i="8"/>
  <c r="Q1237" i="8" s="1"/>
  <c r="R756" i="8"/>
  <c r="R757" i="8" s="1"/>
  <c r="U616" i="8"/>
  <c r="U617" i="8" s="1"/>
  <c r="V281" i="2"/>
  <c r="U335" i="2"/>
  <c r="U357" i="2" s="1"/>
  <c r="U346" i="2"/>
  <c r="R1172" i="8"/>
  <c r="R1173" i="8" s="1"/>
  <c r="R1244" i="8"/>
  <c r="R1245" i="8" s="1"/>
  <c r="L828" i="8"/>
  <c r="L829" i="8" s="1"/>
  <c r="L360" i="2"/>
  <c r="L860" i="8" s="1"/>
  <c r="L861" i="8" s="1"/>
  <c r="Q1200" i="8"/>
  <c r="Q1201" i="8" s="1"/>
  <c r="Q765" i="2"/>
  <c r="Q1272" i="8" s="1"/>
  <c r="Q1273" i="8" s="1"/>
  <c r="Q794" i="2"/>
  <c r="Q1356" i="8" s="1"/>
  <c r="Q1357" i="8" s="1"/>
  <c r="S596" i="8"/>
  <c r="S597" i="8" s="1"/>
  <c r="S341" i="2"/>
  <c r="T276" i="2"/>
  <c r="S330" i="2"/>
  <c r="S352" i="2" s="1"/>
  <c r="T776" i="8"/>
  <c r="T777" i="8" s="1"/>
  <c r="T848" i="8"/>
  <c r="T849" i="8" s="1"/>
  <c r="S604" i="8"/>
  <c r="S605" i="8" s="1"/>
  <c r="T278" i="2"/>
  <c r="S332" i="2"/>
  <c r="S354" i="2" s="1"/>
  <c r="S343" i="2"/>
  <c r="Q768" i="8"/>
  <c r="Q769" i="8" s="1"/>
  <c r="Q840" i="8"/>
  <c r="Q841" i="8" s="1"/>
  <c r="R1004" i="8"/>
  <c r="R1005" i="8" s="1"/>
  <c r="S678" i="2"/>
  <c r="R743" i="2"/>
  <c r="R732" i="2"/>
  <c r="R754" i="2" s="1"/>
  <c r="R792" i="8"/>
  <c r="R793" i="8" s="1"/>
  <c r="R392" i="2"/>
  <c r="P360" i="2"/>
  <c r="P860" i="8" s="1"/>
  <c r="P861" i="8" s="1"/>
  <c r="P774" i="2"/>
  <c r="P1300" i="8" s="1"/>
  <c r="P1301" i="8" s="1"/>
  <c r="Q804" i="8"/>
  <c r="Q805" i="8" s="1"/>
  <c r="Q366" i="2"/>
  <c r="Q876" i="8" s="1"/>
  <c r="Q877" i="8" s="1"/>
  <c r="Q395" i="2"/>
  <c r="Q960" i="8" s="1"/>
  <c r="Q961" i="8" s="1"/>
  <c r="L378" i="2"/>
  <c r="L916" i="8" s="1"/>
  <c r="L917" i="8" s="1"/>
  <c r="R608" i="8"/>
  <c r="R609" i="8" s="1"/>
  <c r="S279" i="2"/>
  <c r="R344" i="2"/>
  <c r="R333" i="2"/>
  <c r="R355" i="2" s="1"/>
  <c r="L1352" i="8"/>
  <c r="L1353" i="8" s="1"/>
  <c r="L1232" i="8"/>
  <c r="L1233" i="8" s="1"/>
  <c r="L759" i="2"/>
  <c r="L1256" i="8" s="1"/>
  <c r="L1257" i="8" s="1"/>
  <c r="O1296" i="8"/>
  <c r="O1297" i="8" s="1"/>
  <c r="O778" i="2"/>
  <c r="O1316" i="8" s="1"/>
  <c r="O1317" i="8" s="1"/>
  <c r="Q748" i="2"/>
  <c r="Q1220" i="8" s="1"/>
  <c r="Q1221" i="8" s="1"/>
  <c r="Q1192" i="8"/>
  <c r="Q1193" i="8" s="1"/>
  <c r="Q792" i="2"/>
  <c r="Q1348" i="8" s="1"/>
  <c r="Q1349" i="8" s="1"/>
  <c r="T600" i="8"/>
  <c r="T601" i="8" s="1"/>
  <c r="U277" i="2"/>
  <c r="T342" i="2"/>
  <c r="T331" i="2"/>
  <c r="T353" i="2" s="1"/>
  <c r="Q376" i="2"/>
  <c r="Q908" i="8" s="1"/>
  <c r="Q909" i="8" s="1"/>
  <c r="L900" i="8"/>
  <c r="L901" i="8" s="1"/>
  <c r="S1008" i="8"/>
  <c r="S1009" i="8" s="1"/>
  <c r="S733" i="2"/>
  <c r="S755" i="2" s="1"/>
  <c r="S744" i="2"/>
  <c r="T679" i="2"/>
  <c r="R1168" i="8"/>
  <c r="R1169" i="8" s="1"/>
  <c r="R1240" i="8"/>
  <c r="R1241" i="8" s="1"/>
  <c r="R1152" i="8"/>
  <c r="R1153" i="8" s="1"/>
  <c r="Q338" i="2"/>
  <c r="Q788" i="8" s="1"/>
  <c r="Q789" i="8" s="1"/>
  <c r="Q1160" i="8"/>
  <c r="Q1161" i="8" s="1"/>
  <c r="Q1232" i="8"/>
  <c r="Q1233" i="8" s="1"/>
  <c r="Q1212" i="8"/>
  <c r="Q1213" i="8" s="1"/>
  <c r="Q797" i="2"/>
  <c r="Q1368" i="8" s="1"/>
  <c r="Q1369" i="8" s="1"/>
  <c r="R1204" i="8"/>
  <c r="R1205" i="8" s="1"/>
  <c r="R795" i="2"/>
  <c r="R1360" i="8" s="1"/>
  <c r="R1361" i="8" s="1"/>
  <c r="L775" i="2"/>
  <c r="L1304" i="8" s="1"/>
  <c r="L1305" i="8" s="1"/>
  <c r="L948" i="8"/>
  <c r="L949" i="8" s="1"/>
  <c r="L400" i="2"/>
  <c r="Q828" i="8"/>
  <c r="Q829" i="8" s="1"/>
  <c r="Q948" i="8"/>
  <c r="Q949" i="8" s="1"/>
  <c r="L773" i="2"/>
  <c r="S992" i="8"/>
  <c r="S993" i="8" s="1"/>
  <c r="T675" i="2"/>
  <c r="S729" i="2"/>
  <c r="S751" i="2" s="1"/>
  <c r="S740" i="2"/>
  <c r="Q375" i="2"/>
  <c r="Q904" i="8" s="1"/>
  <c r="Q905" i="8" s="1"/>
  <c r="S1180" i="8"/>
  <c r="S1181" i="8" s="1"/>
  <c r="S1252" i="8"/>
  <c r="S1253" i="8" s="1"/>
  <c r="Q1344" i="8"/>
  <c r="Q1345" i="8" s="1"/>
  <c r="Q1156" i="8"/>
  <c r="Q1157" i="8" s="1"/>
  <c r="Q1228" i="8"/>
  <c r="Q1229" i="8" s="1"/>
  <c r="S760" i="8"/>
  <c r="S761" i="8" s="1"/>
  <c r="S832" i="8"/>
  <c r="S833" i="8" s="1"/>
  <c r="R1188" i="8"/>
  <c r="R1189" i="8" s="1"/>
  <c r="R791" i="2"/>
  <c r="S796" i="8"/>
  <c r="S797" i="8" s="1"/>
  <c r="S393" i="2"/>
  <c r="S952" i="8" s="1"/>
  <c r="S953" i="8" s="1"/>
  <c r="N1296" i="8"/>
  <c r="N1297" i="8" s="1"/>
  <c r="N778" i="2"/>
  <c r="N1316" i="8" s="1"/>
  <c r="N1317" i="8" s="1"/>
  <c r="P777" i="2"/>
  <c r="P1312" i="8" s="1"/>
  <c r="P1313" i="8" s="1"/>
  <c r="P400" i="2"/>
  <c r="R775" i="2"/>
  <c r="R1304" i="8" s="1"/>
  <c r="R1305" i="8" s="1"/>
  <c r="R800" i="8"/>
  <c r="R801" i="8" s="1"/>
  <c r="R394" i="2"/>
  <c r="R956" i="8" s="1"/>
  <c r="R957" i="8" s="1"/>
  <c r="M1296" i="8"/>
  <c r="M1297" i="8" s="1"/>
  <c r="M778" i="2"/>
  <c r="M1316" i="8" s="1"/>
  <c r="M1317" i="8" s="1"/>
  <c r="Q780" i="8"/>
  <c r="Q781" i="8" s="1"/>
  <c r="Q852" i="8"/>
  <c r="Q853" i="8" s="1"/>
  <c r="R620" i="8"/>
  <c r="R621" i="8" s="1"/>
  <c r="S282" i="2"/>
  <c r="R347" i="2"/>
  <c r="R336" i="2"/>
  <c r="R358" i="2" s="1"/>
  <c r="S1012" i="8"/>
  <c r="S1013" i="8" s="1"/>
  <c r="T680" i="2"/>
  <c r="S734" i="2"/>
  <c r="S756" i="2" s="1"/>
  <c r="S745" i="2"/>
  <c r="R996" i="8"/>
  <c r="R997" i="8" s="1"/>
  <c r="R741" i="2"/>
  <c r="R748" i="2" s="1"/>
  <c r="R1220" i="8" s="1"/>
  <c r="R1221" i="8" s="1"/>
  <c r="S676" i="2"/>
  <c r="R730" i="2"/>
  <c r="M900" i="8"/>
  <c r="M901" i="8" s="1"/>
  <c r="M379" i="2"/>
  <c r="M920" i="8" s="1"/>
  <c r="M921" i="8" s="1"/>
  <c r="R764" i="8"/>
  <c r="R765" i="8" s="1"/>
  <c r="R836" i="8"/>
  <c r="R837" i="8" s="1"/>
  <c r="N900" i="8"/>
  <c r="N901" i="8" s="1"/>
  <c r="N379" i="2"/>
  <c r="N920" i="8" s="1"/>
  <c r="N921" i="8" s="1"/>
  <c r="Q816" i="8"/>
  <c r="Q817" i="8" s="1"/>
  <c r="Q398" i="2"/>
  <c r="Q972" i="8" s="1"/>
  <c r="Q973" i="8" s="1"/>
  <c r="Q349" i="2"/>
  <c r="Q824" i="8" s="1"/>
  <c r="Q825" i="8" s="1"/>
  <c r="P773" i="2"/>
  <c r="O459" i="2"/>
  <c r="P581" i="2"/>
  <c r="P120" i="2"/>
  <c r="O67" i="8"/>
  <c r="O68" i="8" s="1"/>
  <c r="N180" i="2"/>
  <c r="M103" i="8"/>
  <c r="M104" i="8" s="1"/>
  <c r="P121" i="2"/>
  <c r="O71" i="8"/>
  <c r="O72" i="8" s="1"/>
  <c r="P118" i="2"/>
  <c r="O59" i="8"/>
  <c r="O60" i="8" s="1"/>
  <c r="P55" i="2"/>
  <c r="O11" i="8"/>
  <c r="O12" i="8" s="1"/>
  <c r="P633" i="2"/>
  <c r="O259" i="8"/>
  <c r="O260" i="8" s="1"/>
  <c r="O634" i="2"/>
  <c r="N175" i="2"/>
  <c r="M83" i="8"/>
  <c r="M84" i="8" s="1"/>
  <c r="P241" i="2"/>
  <c r="O143" i="8"/>
  <c r="O144" i="8" s="1"/>
  <c r="O178" i="2"/>
  <c r="N95" i="8"/>
  <c r="N96" i="8" s="1"/>
  <c r="O179" i="2"/>
  <c r="N99" i="8"/>
  <c r="N100" i="8" s="1"/>
  <c r="O460" i="2"/>
  <c r="O174" i="2"/>
  <c r="N79" i="8"/>
  <c r="N80" i="8" s="1"/>
  <c r="O123" i="2"/>
  <c r="P114" i="2"/>
  <c r="O43" i="8"/>
  <c r="O44" i="8" s="1"/>
  <c r="O243" i="2"/>
  <c r="P234" i="2"/>
  <c r="O115" i="8"/>
  <c r="O116" i="8" s="1"/>
  <c r="P115" i="2"/>
  <c r="O47" i="8"/>
  <c r="O48" i="8" s="1"/>
  <c r="P237" i="2"/>
  <c r="O127" i="8"/>
  <c r="O128" i="8" s="1"/>
  <c r="O640" i="2"/>
  <c r="P455" i="2"/>
  <c r="P239" i="2"/>
  <c r="O135" i="8"/>
  <c r="O136" i="8" s="1"/>
  <c r="O577" i="2"/>
  <c r="O182" i="2"/>
  <c r="N111" i="8"/>
  <c r="N112" i="8" s="1"/>
  <c r="O578" i="2"/>
  <c r="O63" i="2"/>
  <c r="P54" i="2"/>
  <c r="O7" i="8"/>
  <c r="O8" i="8" s="1"/>
  <c r="O639" i="2"/>
  <c r="P236" i="2"/>
  <c r="O123" i="8"/>
  <c r="O124" i="8" s="1"/>
  <c r="P235" i="2"/>
  <c r="O119" i="8"/>
  <c r="O120" i="8" s="1"/>
  <c r="P60" i="2"/>
  <c r="O31" i="8"/>
  <c r="O32" i="8" s="1"/>
  <c r="P61" i="2"/>
  <c r="O35" i="8"/>
  <c r="O36" i="8" s="1"/>
  <c r="P119" i="2"/>
  <c r="O63" i="8"/>
  <c r="O64" i="8" s="1"/>
  <c r="P242" i="2"/>
  <c r="O147" i="8"/>
  <c r="O148" i="8" s="1"/>
  <c r="O641" i="2"/>
  <c r="P56" i="2"/>
  <c r="O15" i="8"/>
  <c r="O16" i="8" s="1"/>
  <c r="O177" i="2"/>
  <c r="N91" i="8"/>
  <c r="N92" i="8" s="1"/>
  <c r="M183" i="2"/>
  <c r="O181" i="2"/>
  <c r="N107" i="8"/>
  <c r="N108" i="8" s="1"/>
  <c r="P59" i="2"/>
  <c r="O27" i="8"/>
  <c r="O28" i="8" s="1"/>
  <c r="Q117" i="2"/>
  <c r="P55" i="8"/>
  <c r="P56" i="8" s="1"/>
  <c r="O637" i="2"/>
  <c r="O176" i="2"/>
  <c r="N87" i="8"/>
  <c r="N88" i="8" s="1"/>
  <c r="P57" i="2"/>
  <c r="O19" i="8"/>
  <c r="O20" i="8" s="1"/>
  <c r="P116" i="2"/>
  <c r="O51" i="8"/>
  <c r="O52" i="8" s="1"/>
  <c r="P62" i="2"/>
  <c r="O39" i="8"/>
  <c r="O40" i="8" s="1"/>
  <c r="P58" i="2"/>
  <c r="O23" i="8"/>
  <c r="O24" i="8" s="1"/>
  <c r="P520" i="2"/>
  <c r="P240" i="2"/>
  <c r="O139" i="8"/>
  <c r="O140" i="8" s="1"/>
  <c r="P453" i="2"/>
  <c r="O580" i="2"/>
  <c r="N251" i="8"/>
  <c r="N252" i="8" s="1"/>
  <c r="P122" i="2"/>
  <c r="O75" i="8"/>
  <c r="O76" i="8" s="1"/>
  <c r="P458" i="2"/>
  <c r="P238" i="2"/>
  <c r="O131" i="8"/>
  <c r="O132" i="8" s="1"/>
  <c r="O636" i="2"/>
  <c r="O183" i="8" l="1"/>
  <c r="O184" i="8" s="1"/>
  <c r="O211" i="8"/>
  <c r="O212" i="8" s="1"/>
  <c r="N239" i="8"/>
  <c r="N240" i="8" s="1"/>
  <c r="P799" i="2"/>
  <c r="O151" i="8"/>
  <c r="O152" i="8" s="1"/>
  <c r="O231" i="8"/>
  <c r="O232" i="8" s="1"/>
  <c r="O255" i="8"/>
  <c r="O256" i="8" s="1"/>
  <c r="O159" i="8"/>
  <c r="O160" i="8" s="1"/>
  <c r="O215" i="8"/>
  <c r="O216" i="8" s="1"/>
  <c r="N283" i="8"/>
  <c r="N284" i="8" s="1"/>
  <c r="N271" i="8"/>
  <c r="N272" i="8" s="1"/>
  <c r="O171" i="8"/>
  <c r="O172" i="8" s="1"/>
  <c r="N291" i="8"/>
  <c r="N292" i="8" s="1"/>
  <c r="N159" i="8"/>
  <c r="N160" i="8" s="1"/>
  <c r="O207" i="8"/>
  <c r="O208" i="8" s="1"/>
  <c r="N267" i="8"/>
  <c r="N268" i="8" s="1"/>
  <c r="P516" i="2"/>
  <c r="O199" i="8"/>
  <c r="O200" i="8" s="1"/>
  <c r="P517" i="2"/>
  <c r="O203" i="8"/>
  <c r="O204" i="8" s="1"/>
  <c r="O163" i="8"/>
  <c r="O164" i="8" s="1"/>
  <c r="P456" i="2"/>
  <c r="P579" i="2"/>
  <c r="O247" i="8"/>
  <c r="O248" i="8" s="1"/>
  <c r="O574" i="2"/>
  <c r="P574" i="2" s="1"/>
  <c r="N227" i="8"/>
  <c r="N228" i="8" s="1"/>
  <c r="N454" i="2"/>
  <c r="M462" i="2"/>
  <c r="P521" i="2"/>
  <c r="P219" i="8" s="1"/>
  <c r="P220" i="8" s="1"/>
  <c r="O219" i="8"/>
  <c r="O220" i="8" s="1"/>
  <c r="O235" i="8"/>
  <c r="O236" i="8" s="1"/>
  <c r="P576" i="2"/>
  <c r="O191" i="8"/>
  <c r="O192" i="8" s="1"/>
  <c r="P514" i="2"/>
  <c r="N638" i="2"/>
  <c r="M642" i="2"/>
  <c r="P1376" i="8"/>
  <c r="P1377" i="8" s="1"/>
  <c r="P649" i="2"/>
  <c r="F311" i="2"/>
  <c r="F312" i="2"/>
  <c r="F310" i="2"/>
  <c r="F1069" i="8"/>
  <c r="G312" i="2"/>
  <c r="G311" i="2"/>
  <c r="G310" i="2"/>
  <c r="S363" i="2" s="1"/>
  <c r="R737" i="2"/>
  <c r="R1184" i="8" s="1"/>
  <c r="R1185" i="8" s="1"/>
  <c r="R752" i="2"/>
  <c r="F1073" i="8"/>
  <c r="L980" i="8"/>
  <c r="L981" i="8" s="1"/>
  <c r="L250" i="2"/>
  <c r="L799" i="2"/>
  <c r="F1057" i="8"/>
  <c r="M1376" i="8"/>
  <c r="M1377" i="8" s="1"/>
  <c r="M649" i="2"/>
  <c r="M522" i="2"/>
  <c r="N513" i="2"/>
  <c r="M769" i="2"/>
  <c r="L769" i="2"/>
  <c r="M716" i="2"/>
  <c r="N716" i="2"/>
  <c r="P716" i="2"/>
  <c r="V716" i="2"/>
  <c r="T716" i="2"/>
  <c r="AC716" i="2"/>
  <c r="U716" i="2"/>
  <c r="O716" i="2"/>
  <c r="X716" i="2"/>
  <c r="Y716" i="2"/>
  <c r="Z716" i="2"/>
  <c r="P769" i="2"/>
  <c r="AD716" i="2"/>
  <c r="W716" i="2"/>
  <c r="AE716" i="2"/>
  <c r="L716" i="2"/>
  <c r="Q716" i="2"/>
  <c r="AB716" i="2"/>
  <c r="N769" i="2"/>
  <c r="R716" i="2"/>
  <c r="Q769" i="2"/>
  <c r="R769" i="2"/>
  <c r="O769" i="2"/>
  <c r="S716" i="2"/>
  <c r="AA716" i="2"/>
  <c r="F1061" i="8"/>
  <c r="O195" i="8"/>
  <c r="O196" i="8" s="1"/>
  <c r="L379" i="2"/>
  <c r="L920" i="8" s="1"/>
  <c r="L921" i="8" s="1"/>
  <c r="F1081" i="8"/>
  <c r="N175" i="8"/>
  <c r="N176" i="8" s="1"/>
  <c r="P980" i="8"/>
  <c r="P981" i="8" s="1"/>
  <c r="P250" i="2"/>
  <c r="G315" i="2"/>
  <c r="G316" i="2"/>
  <c r="G314" i="2"/>
  <c r="G713" i="2"/>
  <c r="G715" i="2"/>
  <c r="G714" i="2"/>
  <c r="F1077" i="8"/>
  <c r="O366" i="2"/>
  <c r="M366" i="2"/>
  <c r="L366" i="2"/>
  <c r="P366" i="2"/>
  <c r="AD313" i="2"/>
  <c r="Z313" i="2"/>
  <c r="Q313" i="2"/>
  <c r="AA313" i="2"/>
  <c r="AE313" i="2"/>
  <c r="AB313" i="2"/>
  <c r="R313" i="2"/>
  <c r="N366" i="2"/>
  <c r="N313" i="2"/>
  <c r="S313" i="2"/>
  <c r="L313" i="2"/>
  <c r="V313" i="2"/>
  <c r="M313" i="2"/>
  <c r="W313" i="2"/>
  <c r="Y313" i="2"/>
  <c r="X313" i="2"/>
  <c r="AC313" i="2"/>
  <c r="U313" i="2"/>
  <c r="O313" i="2"/>
  <c r="T313" i="2"/>
  <c r="P313" i="2"/>
  <c r="N287" i="8"/>
  <c r="N288" i="8" s="1"/>
  <c r="N279" i="8"/>
  <c r="N280" i="8" s="1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M215" i="8"/>
  <c r="M216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M163" i="8"/>
  <c r="M164" i="8" s="1"/>
  <c r="M151" i="8"/>
  <c r="M152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M211" i="8"/>
  <c r="M212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M191" i="8"/>
  <c r="M192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M235" i="8"/>
  <c r="M236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M219" i="8"/>
  <c r="M220" i="8" s="1"/>
  <c r="AD471" i="8"/>
  <c r="AD472" i="8" s="1"/>
  <c r="AB531" i="8"/>
  <c r="AB532" i="8" s="1"/>
  <c r="AB559" i="8"/>
  <c r="AB560" i="8" s="1"/>
  <c r="M183" i="8"/>
  <c r="M184" i="8" s="1"/>
  <c r="M167" i="8"/>
  <c r="M168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M207" i="8"/>
  <c r="M20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M263" i="8"/>
  <c r="M264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M199" i="8"/>
  <c r="M200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M175" i="8"/>
  <c r="M176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M203" i="8"/>
  <c r="M204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M195" i="8"/>
  <c r="M19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M259" i="8"/>
  <c r="M260" i="8" s="1"/>
  <c r="AD487" i="8"/>
  <c r="AD488" i="8" s="1"/>
  <c r="AC495" i="8"/>
  <c r="AC496" i="8" s="1"/>
  <c r="P539" i="8"/>
  <c r="P540" i="8" s="1"/>
  <c r="X555" i="8"/>
  <c r="X556" i="8" s="1"/>
  <c r="M255" i="8"/>
  <c r="M2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M171" i="8"/>
  <c r="M172" i="8" s="1"/>
  <c r="N579" i="8"/>
  <c r="N580" i="8" s="1"/>
  <c r="Q503" i="8"/>
  <c r="Q504" i="8" s="1"/>
  <c r="Z471" i="8"/>
  <c r="Z472" i="8" s="1"/>
  <c r="W547" i="8"/>
  <c r="W548" i="8" s="1"/>
  <c r="F314" i="2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M243" i="8"/>
  <c r="M244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N163" i="8"/>
  <c r="N164" i="8" s="1"/>
  <c r="N183" i="8"/>
  <c r="N184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M159" i="8"/>
  <c r="M160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M251" i="8"/>
  <c r="M252" i="8" s="1"/>
  <c r="N219" i="8"/>
  <c r="N220" i="8" s="1"/>
  <c r="M275" i="8"/>
  <c r="M276" i="8" s="1"/>
  <c r="M223" i="8"/>
  <c r="M22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N167" i="8"/>
  <c r="N168" i="8" s="1"/>
  <c r="N155" i="8"/>
  <c r="N156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N195" i="8"/>
  <c r="N196" i="8" s="1"/>
  <c r="N235" i="8"/>
  <c r="N236" i="8" s="1"/>
  <c r="M187" i="8"/>
  <c r="M188" i="8" s="1"/>
  <c r="O511" i="8"/>
  <c r="O512" i="8" s="1"/>
  <c r="AB543" i="8"/>
  <c r="AB544" i="8" s="1"/>
  <c r="M527" i="8"/>
  <c r="M528" i="8" s="1"/>
  <c r="N255" i="8"/>
  <c r="N256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N211" i="8"/>
  <c r="N212" i="8" s="1"/>
  <c r="N203" i="8"/>
  <c r="N204" i="8" s="1"/>
  <c r="M471" i="8"/>
  <c r="M472" i="8" s="1"/>
  <c r="L487" i="8"/>
  <c r="L488" i="8" s="1"/>
  <c r="S543" i="8"/>
  <c r="S544" i="8" s="1"/>
  <c r="M279" i="8"/>
  <c r="M280" i="8" s="1"/>
  <c r="O459" i="8"/>
  <c r="O460" i="8" s="1"/>
  <c r="M231" i="8"/>
  <c r="M232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N151" i="8"/>
  <c r="N152" i="8" s="1"/>
  <c r="P475" i="8"/>
  <c r="P476" i="8" s="1"/>
  <c r="P491" i="8"/>
  <c r="P492" i="8" s="1"/>
  <c r="K479" i="8"/>
  <c r="S471" i="8"/>
  <c r="S472" i="8" s="1"/>
  <c r="N519" i="8"/>
  <c r="N520" i="8" s="1"/>
  <c r="M227" i="8"/>
  <c r="M228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M267" i="8"/>
  <c r="M268" i="8" s="1"/>
  <c r="N247" i="8"/>
  <c r="N248" i="8" s="1"/>
  <c r="M287" i="8"/>
  <c r="M288" i="8" s="1"/>
  <c r="N171" i="8"/>
  <c r="N172" i="8" s="1"/>
  <c r="X455" i="8"/>
  <c r="X456" i="8" s="1"/>
  <c r="Q515" i="8"/>
  <c r="Q516" i="8" s="1"/>
  <c r="N231" i="8"/>
  <c r="N232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N259" i="8"/>
  <c r="N260" i="8" s="1"/>
  <c r="M179" i="8"/>
  <c r="M180" i="8" s="1"/>
  <c r="AC579" i="8"/>
  <c r="AC580" i="8" s="1"/>
  <c r="X475" i="8"/>
  <c r="X476" i="8" s="1"/>
  <c r="M155" i="8"/>
  <c r="M156" i="8" s="1"/>
  <c r="Z527" i="8"/>
  <c r="Z528" i="8" s="1"/>
  <c r="L239" i="8"/>
  <c r="L240" i="8" s="1"/>
  <c r="AD463" i="8"/>
  <c r="AD464" i="8" s="1"/>
  <c r="M239" i="8"/>
  <c r="M240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M291" i="8"/>
  <c r="M292" i="8" s="1"/>
  <c r="N215" i="8"/>
  <c r="N216" i="8" s="1"/>
  <c r="N199" i="8"/>
  <c r="N200" i="8" s="1"/>
  <c r="X443" i="8"/>
  <c r="X444" i="8" s="1"/>
  <c r="L171" i="8"/>
  <c r="L172" i="8" s="1"/>
  <c r="AE579" i="8"/>
  <c r="AE580" i="8" s="1"/>
  <c r="M247" i="8"/>
  <c r="M248" i="8" s="1"/>
  <c r="M283" i="8"/>
  <c r="M284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N191" i="8"/>
  <c r="N192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N207" i="8"/>
  <c r="N208" i="8" s="1"/>
  <c r="L167" i="8"/>
  <c r="L168" i="8" s="1"/>
  <c r="N571" i="8"/>
  <c r="N572" i="8" s="1"/>
  <c r="AA487" i="8"/>
  <c r="AA488" i="8" s="1"/>
  <c r="F715" i="2"/>
  <c r="F714" i="2"/>
  <c r="F713" i="2"/>
  <c r="M582" i="2"/>
  <c r="N573" i="2"/>
  <c r="O167" i="8"/>
  <c r="O168" i="8" s="1"/>
  <c r="N263" i="8"/>
  <c r="N264" i="8" s="1"/>
  <c r="F1065" i="8"/>
  <c r="N1376" i="8"/>
  <c r="N1377" i="8" s="1"/>
  <c r="N649" i="2"/>
  <c r="N275" i="8"/>
  <c r="N276" i="8" s="1"/>
  <c r="N243" i="8"/>
  <c r="N244" i="8" s="1"/>
  <c r="N179" i="8"/>
  <c r="N180" i="8" s="1"/>
  <c r="M271" i="8"/>
  <c r="M272" i="8" s="1"/>
  <c r="F985" i="8"/>
  <c r="G709" i="2"/>
  <c r="G710" i="2"/>
  <c r="G711" i="2"/>
  <c r="L370" i="2"/>
  <c r="Q370" i="2"/>
  <c r="S317" i="2"/>
  <c r="AC317" i="2"/>
  <c r="T317" i="2"/>
  <c r="AE317" i="2"/>
  <c r="Y317" i="2"/>
  <c r="M370" i="2"/>
  <c r="Z317" i="2"/>
  <c r="O370" i="2"/>
  <c r="M317" i="2"/>
  <c r="N317" i="2"/>
  <c r="U317" i="2"/>
  <c r="V317" i="2"/>
  <c r="W317" i="2"/>
  <c r="X317" i="2"/>
  <c r="AD317" i="2"/>
  <c r="AA317" i="2"/>
  <c r="O317" i="2"/>
  <c r="P317" i="2"/>
  <c r="P370" i="2"/>
  <c r="Q317" i="2"/>
  <c r="AB317" i="2"/>
  <c r="N370" i="2"/>
  <c r="R317" i="2"/>
  <c r="L317" i="2"/>
  <c r="O765" i="2"/>
  <c r="F710" i="2"/>
  <c r="R763" i="2" s="1"/>
  <c r="R1264" i="8" s="1"/>
  <c r="R1265" i="8" s="1"/>
  <c r="F711" i="2"/>
  <c r="R764" i="2" s="1"/>
  <c r="R1268" i="8" s="1"/>
  <c r="R1269" i="8" s="1"/>
  <c r="F709" i="2"/>
  <c r="L712" i="2"/>
  <c r="P712" i="2"/>
  <c r="P765" i="2"/>
  <c r="M712" i="2"/>
  <c r="U712" i="2"/>
  <c r="AB712" i="2"/>
  <c r="W712" i="2"/>
  <c r="O712" i="2"/>
  <c r="X712" i="2"/>
  <c r="N765" i="2"/>
  <c r="AA712" i="2"/>
  <c r="L765" i="2"/>
  <c r="N712" i="2"/>
  <c r="M765" i="2"/>
  <c r="AC712" i="2"/>
  <c r="Z712" i="2"/>
  <c r="Q712" i="2"/>
  <c r="R712" i="2"/>
  <c r="AE712" i="2"/>
  <c r="V712" i="2"/>
  <c r="S712" i="2"/>
  <c r="Y712" i="2"/>
  <c r="T712" i="2"/>
  <c r="AD712" i="2"/>
  <c r="Q378" i="2"/>
  <c r="Q916" i="8" s="1"/>
  <c r="Q917" i="8" s="1"/>
  <c r="Q774" i="2"/>
  <c r="Q1300" i="8" s="1"/>
  <c r="Q1301" i="8" s="1"/>
  <c r="R349" i="2"/>
  <c r="R824" i="8" s="1"/>
  <c r="R825" i="8" s="1"/>
  <c r="R772" i="8"/>
  <c r="R773" i="8" s="1"/>
  <c r="R844" i="8"/>
  <c r="R845" i="8" s="1"/>
  <c r="Q374" i="2"/>
  <c r="Q900" i="8" s="1"/>
  <c r="Q901" i="8" s="1"/>
  <c r="S775" i="2"/>
  <c r="S1304" i="8" s="1"/>
  <c r="S1305" i="8" s="1"/>
  <c r="T280" i="2"/>
  <c r="S334" i="2"/>
  <c r="S356" i="2" s="1"/>
  <c r="S345" i="2"/>
  <c r="S612" i="8"/>
  <c r="S613" i="8" s="1"/>
  <c r="Q389" i="2"/>
  <c r="Q940" i="8" s="1"/>
  <c r="Q941" i="8" s="1"/>
  <c r="R808" i="8"/>
  <c r="R809" i="8" s="1"/>
  <c r="R396" i="2"/>
  <c r="R964" i="8" s="1"/>
  <c r="R965" i="8" s="1"/>
  <c r="S1152" i="8"/>
  <c r="S1153" i="8" s="1"/>
  <c r="R948" i="8"/>
  <c r="R949" i="8" s="1"/>
  <c r="S1016" i="8"/>
  <c r="S1017" i="8" s="1"/>
  <c r="S735" i="2"/>
  <c r="S757" i="2" s="1"/>
  <c r="T681" i="2"/>
  <c r="S746" i="2"/>
  <c r="R387" i="2"/>
  <c r="R932" i="8" s="1"/>
  <c r="R933" i="8" s="1"/>
  <c r="R1344" i="8"/>
  <c r="R1345" i="8" s="1"/>
  <c r="Q799" i="2"/>
  <c r="T760" i="8"/>
  <c r="T761" i="8" s="1"/>
  <c r="T832" i="8"/>
  <c r="T833" i="8" s="1"/>
  <c r="R1212" i="8"/>
  <c r="R1213" i="8" s="1"/>
  <c r="R797" i="2"/>
  <c r="R1368" i="8" s="1"/>
  <c r="R1369" i="8" s="1"/>
  <c r="R376" i="2"/>
  <c r="R908" i="8" s="1"/>
  <c r="R909" i="8" s="1"/>
  <c r="T992" i="8"/>
  <c r="T993" i="8" s="1"/>
  <c r="U675" i="2"/>
  <c r="T740" i="2"/>
  <c r="T729" i="2"/>
  <c r="T751" i="2" s="1"/>
  <c r="Q759" i="2"/>
  <c r="Q1256" i="8" s="1"/>
  <c r="Q1257" i="8" s="1"/>
  <c r="U600" i="8"/>
  <c r="U601" i="8" s="1"/>
  <c r="V277" i="2"/>
  <c r="U342" i="2"/>
  <c r="U331" i="2"/>
  <c r="U353" i="2" s="1"/>
  <c r="R804" i="8"/>
  <c r="R805" i="8" s="1"/>
  <c r="R366" i="2"/>
  <c r="R876" i="8" s="1"/>
  <c r="R877" i="8" s="1"/>
  <c r="R395" i="2"/>
  <c r="R960" i="8" s="1"/>
  <c r="R961" i="8" s="1"/>
  <c r="R1164" i="8"/>
  <c r="R1165" i="8" s="1"/>
  <c r="R1236" i="8"/>
  <c r="R1237" i="8" s="1"/>
  <c r="S756" i="8"/>
  <c r="S757" i="8" s="1"/>
  <c r="S820" i="8"/>
  <c r="S821" i="8" s="1"/>
  <c r="S399" i="2"/>
  <c r="S976" i="8" s="1"/>
  <c r="S977" i="8" s="1"/>
  <c r="S370" i="2"/>
  <c r="S892" i="8" s="1"/>
  <c r="S893" i="8" s="1"/>
  <c r="R1176" i="8"/>
  <c r="R1177" i="8" s="1"/>
  <c r="R1248" i="8"/>
  <c r="R1249" i="8" s="1"/>
  <c r="R1224" i="8"/>
  <c r="R1225" i="8" s="1"/>
  <c r="T796" i="8"/>
  <c r="T797" i="8" s="1"/>
  <c r="T393" i="2"/>
  <c r="T952" i="8" s="1"/>
  <c r="T953" i="8" s="1"/>
  <c r="R768" i="8"/>
  <c r="R769" i="8" s="1"/>
  <c r="R840" i="8"/>
  <c r="R841" i="8" s="1"/>
  <c r="S784" i="8"/>
  <c r="S785" i="8" s="1"/>
  <c r="S856" i="8"/>
  <c r="S857" i="8" s="1"/>
  <c r="R780" i="8"/>
  <c r="R781" i="8" s="1"/>
  <c r="R852" i="8"/>
  <c r="R853" i="8" s="1"/>
  <c r="R374" i="2"/>
  <c r="S608" i="8"/>
  <c r="S609" i="8" s="1"/>
  <c r="S333" i="2"/>
  <c r="S355" i="2" s="1"/>
  <c r="S344" i="2"/>
  <c r="T279" i="2"/>
  <c r="R1200" i="8"/>
  <c r="R1201" i="8" s="1"/>
  <c r="R765" i="2"/>
  <c r="R1272" i="8" s="1"/>
  <c r="R1273" i="8" s="1"/>
  <c r="R794" i="2"/>
  <c r="R1356" i="8" s="1"/>
  <c r="R1357" i="8" s="1"/>
  <c r="T596" i="8"/>
  <c r="T597" i="8" s="1"/>
  <c r="T341" i="2"/>
  <c r="U276" i="2"/>
  <c r="T330" i="2"/>
  <c r="T352" i="2" s="1"/>
  <c r="U812" i="8"/>
  <c r="U813" i="8" s="1"/>
  <c r="U397" i="2"/>
  <c r="U968" i="8" s="1"/>
  <c r="U969" i="8" s="1"/>
  <c r="U368" i="2"/>
  <c r="U884" i="8" s="1"/>
  <c r="U885" i="8" s="1"/>
  <c r="T624" i="8"/>
  <c r="T625" i="8" s="1"/>
  <c r="T348" i="2"/>
  <c r="T337" i="2"/>
  <c r="T359" i="2" s="1"/>
  <c r="U283" i="2"/>
  <c r="S1168" i="8"/>
  <c r="S1169" i="8" s="1"/>
  <c r="S1240" i="8"/>
  <c r="S1241" i="8" s="1"/>
  <c r="L1296" i="8"/>
  <c r="L1297" i="8" s="1"/>
  <c r="L778" i="2"/>
  <c r="L1316" i="8" s="1"/>
  <c r="L1317" i="8" s="1"/>
  <c r="S1004" i="8"/>
  <c r="S1005" i="8" s="1"/>
  <c r="S743" i="2"/>
  <c r="T678" i="2"/>
  <c r="S732" i="2"/>
  <c r="S754" i="2" s="1"/>
  <c r="S800" i="8"/>
  <c r="S801" i="8" s="1"/>
  <c r="S394" i="2"/>
  <c r="S956" i="8" s="1"/>
  <c r="S957" i="8" s="1"/>
  <c r="S792" i="8"/>
  <c r="S793" i="8" s="1"/>
  <c r="S392" i="2"/>
  <c r="U776" i="8"/>
  <c r="U777" i="8" s="1"/>
  <c r="U848" i="8"/>
  <c r="U849" i="8" s="1"/>
  <c r="S620" i="8"/>
  <c r="S621" i="8" s="1"/>
  <c r="T282" i="2"/>
  <c r="S347" i="2"/>
  <c r="S336" i="2"/>
  <c r="S358" i="2" s="1"/>
  <c r="S764" i="8"/>
  <c r="S765" i="8" s="1"/>
  <c r="S836" i="8"/>
  <c r="S837" i="8" s="1"/>
  <c r="V616" i="8"/>
  <c r="V617" i="8" s="1"/>
  <c r="W281" i="2"/>
  <c r="V335" i="2"/>
  <c r="V357" i="2" s="1"/>
  <c r="V346" i="2"/>
  <c r="S786" i="2"/>
  <c r="S1328" i="8" s="1"/>
  <c r="S1329" i="8" s="1"/>
  <c r="N183" i="2"/>
  <c r="P379" i="2"/>
  <c r="P920" i="8" s="1"/>
  <c r="P921" i="8" s="1"/>
  <c r="Q400" i="2"/>
  <c r="T604" i="8"/>
  <c r="T605" i="8" s="1"/>
  <c r="U278" i="2"/>
  <c r="T332" i="2"/>
  <c r="T354" i="2" s="1"/>
  <c r="T343" i="2"/>
  <c r="T1180" i="8"/>
  <c r="T1181" i="8" s="1"/>
  <c r="T1252" i="8"/>
  <c r="T1253" i="8" s="1"/>
  <c r="R1196" i="8"/>
  <c r="R1197" i="8" s="1"/>
  <c r="R793" i="2"/>
  <c r="R1352" i="8" s="1"/>
  <c r="R1353" i="8" s="1"/>
  <c r="P1296" i="8"/>
  <c r="P1297" i="8" s="1"/>
  <c r="P778" i="2"/>
  <c r="P1316" i="8" s="1"/>
  <c r="P1317" i="8" s="1"/>
  <c r="Q788" i="2"/>
  <c r="Q1336" i="8" s="1"/>
  <c r="Q1337" i="8" s="1"/>
  <c r="R338" i="2"/>
  <c r="R788" i="8" s="1"/>
  <c r="R789" i="8" s="1"/>
  <c r="T1216" i="8"/>
  <c r="T1217" i="8" s="1"/>
  <c r="T769" i="2"/>
  <c r="T1288" i="8" s="1"/>
  <c r="T1289" i="8" s="1"/>
  <c r="T798" i="2"/>
  <c r="T1372" i="8" s="1"/>
  <c r="T1373" i="8" s="1"/>
  <c r="S1000" i="8"/>
  <c r="S1001" i="8" s="1"/>
  <c r="S731" i="2"/>
  <c r="S753" i="2" s="1"/>
  <c r="S742" i="2"/>
  <c r="T677" i="2"/>
  <c r="R816" i="8"/>
  <c r="R817" i="8" s="1"/>
  <c r="R398" i="2"/>
  <c r="R972" i="8" s="1"/>
  <c r="R973" i="8" s="1"/>
  <c r="R369" i="2"/>
  <c r="R888" i="8" s="1"/>
  <c r="R889" i="8" s="1"/>
  <c r="S1208" i="8"/>
  <c r="S1209" i="8" s="1"/>
  <c r="S796" i="2"/>
  <c r="S1364" i="8" s="1"/>
  <c r="S1365" i="8" s="1"/>
  <c r="Q360" i="2"/>
  <c r="Q860" i="8" s="1"/>
  <c r="Q861" i="8" s="1"/>
  <c r="R828" i="8"/>
  <c r="R829" i="8" s="1"/>
  <c r="R360" i="2"/>
  <c r="R860" i="8" s="1"/>
  <c r="R861" i="8" s="1"/>
  <c r="U1020" i="8"/>
  <c r="U1021" i="8" s="1"/>
  <c r="V682" i="2"/>
  <c r="U747" i="2"/>
  <c r="U736" i="2"/>
  <c r="U758" i="2" s="1"/>
  <c r="R1160" i="8"/>
  <c r="R1161" i="8" s="1"/>
  <c r="R1232" i="8"/>
  <c r="R1233" i="8" s="1"/>
  <c r="R1192" i="8"/>
  <c r="R1193" i="8" s="1"/>
  <c r="R792" i="2"/>
  <c r="R1348" i="8" s="1"/>
  <c r="R1349" i="8" s="1"/>
  <c r="R1156" i="8"/>
  <c r="R1157" i="8" s="1"/>
  <c r="S1172" i="8"/>
  <c r="S1173" i="8" s="1"/>
  <c r="S1244" i="8"/>
  <c r="S1245" i="8" s="1"/>
  <c r="R375" i="2"/>
  <c r="R904" i="8" s="1"/>
  <c r="R905" i="8" s="1"/>
  <c r="Q1248" i="8"/>
  <c r="Q1249" i="8" s="1"/>
  <c r="Q773" i="2"/>
  <c r="S996" i="8"/>
  <c r="S997" i="8" s="1"/>
  <c r="S741" i="2"/>
  <c r="T676" i="2"/>
  <c r="S730" i="2"/>
  <c r="S752" i="2" s="1"/>
  <c r="T1012" i="8"/>
  <c r="T1013" i="8" s="1"/>
  <c r="U680" i="2"/>
  <c r="T745" i="2"/>
  <c r="T734" i="2"/>
  <c r="T756" i="2" s="1"/>
  <c r="T1008" i="8"/>
  <c r="T1009" i="8" s="1"/>
  <c r="T733" i="2"/>
  <c r="T755" i="2" s="1"/>
  <c r="T744" i="2"/>
  <c r="U679" i="2"/>
  <c r="S1188" i="8"/>
  <c r="S1189" i="8" s="1"/>
  <c r="S791" i="2"/>
  <c r="S1204" i="8"/>
  <c r="S1205" i="8" s="1"/>
  <c r="S795" i="2"/>
  <c r="S1360" i="8" s="1"/>
  <c r="S1361" i="8" s="1"/>
  <c r="Q777" i="2"/>
  <c r="Q1312" i="8" s="1"/>
  <c r="Q1313" i="8" s="1"/>
  <c r="Q242" i="2"/>
  <c r="P147" i="8"/>
  <c r="P148" i="8" s="1"/>
  <c r="Q116" i="2"/>
  <c r="P51" i="8"/>
  <c r="P52" i="8" s="1"/>
  <c r="Q455" i="2"/>
  <c r="P159" i="8"/>
  <c r="P160" i="8" s="1"/>
  <c r="Q59" i="2"/>
  <c r="P27" i="8"/>
  <c r="P28" i="8" s="1"/>
  <c r="P578" i="2"/>
  <c r="O243" i="8"/>
  <c r="O244" i="8" s="1"/>
  <c r="P174" i="2"/>
  <c r="O79" i="8"/>
  <c r="O80" i="8" s="1"/>
  <c r="Q453" i="2"/>
  <c r="P151" i="8"/>
  <c r="P152" i="8" s="1"/>
  <c r="Q514" i="2"/>
  <c r="P191" i="8"/>
  <c r="P192" i="8" s="1"/>
  <c r="O175" i="2"/>
  <c r="N83" i="8"/>
  <c r="N84" i="8" s="1"/>
  <c r="P634" i="2"/>
  <c r="O263" i="8"/>
  <c r="O264" i="8" s="1"/>
  <c r="Q456" i="2"/>
  <c r="P163" i="8"/>
  <c r="P164" i="8" s="1"/>
  <c r="P640" i="2"/>
  <c r="O287" i="8"/>
  <c r="O288" i="8" s="1"/>
  <c r="Q241" i="2"/>
  <c r="P143" i="8"/>
  <c r="P144" i="8" s="1"/>
  <c r="Q55" i="2"/>
  <c r="P11" i="8"/>
  <c r="P12" i="8" s="1"/>
  <c r="Q122" i="2"/>
  <c r="P75" i="8"/>
  <c r="P76" i="8" s="1"/>
  <c r="Q57" i="2"/>
  <c r="P19" i="8"/>
  <c r="P20" i="8" s="1"/>
  <c r="P181" i="2"/>
  <c r="O107" i="8"/>
  <c r="O108" i="8" s="1"/>
  <c r="Q575" i="2"/>
  <c r="P231" i="8"/>
  <c r="P232" i="8" s="1"/>
  <c r="Q518" i="2"/>
  <c r="P207" i="8"/>
  <c r="P208" i="8" s="1"/>
  <c r="Q237" i="2"/>
  <c r="P127" i="8"/>
  <c r="P128" i="8" s="1"/>
  <c r="Q461" i="2"/>
  <c r="P183" i="8"/>
  <c r="P184" i="8" s="1"/>
  <c r="Q519" i="2"/>
  <c r="P211" i="8"/>
  <c r="P212" i="8" s="1"/>
  <c r="P641" i="2"/>
  <c r="O291" i="8"/>
  <c r="O292" i="8" s="1"/>
  <c r="Q115" i="2"/>
  <c r="P47" i="8"/>
  <c r="P48" i="8" s="1"/>
  <c r="Q120" i="2"/>
  <c r="P67" i="8"/>
  <c r="P68" i="8" s="1"/>
  <c r="Q520" i="2"/>
  <c r="P215" i="8"/>
  <c r="P216" i="8" s="1"/>
  <c r="Q579" i="2"/>
  <c r="P247" i="8"/>
  <c r="P248" i="8" s="1"/>
  <c r="Q517" i="2"/>
  <c r="P203" i="8"/>
  <c r="P204" i="8" s="1"/>
  <c r="Q56" i="2"/>
  <c r="P15" i="8"/>
  <c r="P16" i="8" s="1"/>
  <c r="Q60" i="2"/>
  <c r="P31" i="8"/>
  <c r="P32" i="8" s="1"/>
  <c r="Q458" i="2"/>
  <c r="P171" i="8"/>
  <c r="P172" i="8" s="1"/>
  <c r="Q235" i="2"/>
  <c r="P119" i="8"/>
  <c r="P120" i="8" s="1"/>
  <c r="P636" i="2"/>
  <c r="O271" i="8"/>
  <c r="O272" i="8" s="1"/>
  <c r="Q240" i="2"/>
  <c r="P139" i="8"/>
  <c r="P140" i="8" s="1"/>
  <c r="P176" i="2"/>
  <c r="O87" i="8"/>
  <c r="O88" i="8" s="1"/>
  <c r="Q576" i="2"/>
  <c r="P235" i="8"/>
  <c r="P236" i="8" s="1"/>
  <c r="Q118" i="2"/>
  <c r="P59" i="8"/>
  <c r="P60" i="8" s="1"/>
  <c r="P577" i="2"/>
  <c r="O239" i="8"/>
  <c r="O240" i="8" s="1"/>
  <c r="Q121" i="2"/>
  <c r="P71" i="8"/>
  <c r="P72" i="8" s="1"/>
  <c r="Q581" i="2"/>
  <c r="P255" i="8"/>
  <c r="P256" i="8" s="1"/>
  <c r="Q58" i="2"/>
  <c r="P23" i="8"/>
  <c r="P24" i="8" s="1"/>
  <c r="P177" i="2"/>
  <c r="O91" i="8"/>
  <c r="O92" i="8" s="1"/>
  <c r="P179" i="2"/>
  <c r="O99" i="8"/>
  <c r="O100" i="8" s="1"/>
  <c r="Q633" i="2"/>
  <c r="P259" i="8"/>
  <c r="P260" i="8" s="1"/>
  <c r="Q515" i="2"/>
  <c r="P195" i="8"/>
  <c r="P196" i="8" s="1"/>
  <c r="P460" i="2"/>
  <c r="O179" i="8"/>
  <c r="O180" i="8" s="1"/>
  <c r="P635" i="2"/>
  <c r="O267" i="8"/>
  <c r="O268" i="8" s="1"/>
  <c r="Q119" i="2"/>
  <c r="P63" i="8"/>
  <c r="P64" i="8" s="1"/>
  <c r="Q239" i="2"/>
  <c r="P135" i="8"/>
  <c r="P136" i="8" s="1"/>
  <c r="Q114" i="2"/>
  <c r="P123" i="2"/>
  <c r="P43" i="8"/>
  <c r="P44" i="8" s="1"/>
  <c r="P182" i="2"/>
  <c r="O111" i="8"/>
  <c r="O112" i="8" s="1"/>
  <c r="Q236" i="2"/>
  <c r="P123" i="8"/>
  <c r="P124" i="8" s="1"/>
  <c r="P243" i="2"/>
  <c r="Q234" i="2"/>
  <c r="P115" i="8"/>
  <c r="P116" i="8" s="1"/>
  <c r="P637" i="2"/>
  <c r="O275" i="8"/>
  <c r="O276" i="8" s="1"/>
  <c r="P639" i="2"/>
  <c r="O283" i="8"/>
  <c r="O284" i="8" s="1"/>
  <c r="Q516" i="2"/>
  <c r="P199" i="8"/>
  <c r="P200" i="8" s="1"/>
  <c r="Q238" i="2"/>
  <c r="P131" i="8"/>
  <c r="P132" i="8" s="1"/>
  <c r="Q62" i="2"/>
  <c r="P39" i="8"/>
  <c r="P40" i="8" s="1"/>
  <c r="P580" i="2"/>
  <c r="O251" i="8"/>
  <c r="O252" i="8" s="1"/>
  <c r="R117" i="2"/>
  <c r="Q55" i="8"/>
  <c r="Q56" i="8" s="1"/>
  <c r="Q457" i="2"/>
  <c r="P167" i="8"/>
  <c r="P168" i="8" s="1"/>
  <c r="Q61" i="2"/>
  <c r="P35" i="8"/>
  <c r="P36" i="8" s="1"/>
  <c r="P63" i="2"/>
  <c r="Q54" i="2"/>
  <c r="P7" i="8"/>
  <c r="P8" i="8" s="1"/>
  <c r="P178" i="2"/>
  <c r="O95" i="8"/>
  <c r="O96" i="8" s="1"/>
  <c r="Q521" i="2"/>
  <c r="O180" i="2"/>
  <c r="N103" i="8"/>
  <c r="N104" i="8" s="1"/>
  <c r="P459" i="2"/>
  <c r="O175" i="8"/>
  <c r="O176" i="8" s="1"/>
  <c r="O227" i="8" l="1"/>
  <c r="O228" i="8" s="1"/>
  <c r="S766" i="2"/>
  <c r="S1276" i="8" s="1"/>
  <c r="S1277" i="8" s="1"/>
  <c r="S762" i="2"/>
  <c r="S767" i="2"/>
  <c r="S1280" i="8" s="1"/>
  <c r="S1281" i="8" s="1"/>
  <c r="R389" i="2"/>
  <c r="R940" i="8" s="1"/>
  <c r="R941" i="8" s="1"/>
  <c r="F504" i="8"/>
  <c r="T364" i="2"/>
  <c r="T868" i="8" s="1"/>
  <c r="T869" i="8" s="1"/>
  <c r="S365" i="2"/>
  <c r="S872" i="8" s="1"/>
  <c r="S873" i="8" s="1"/>
  <c r="M327" i="2"/>
  <c r="M752" i="8" s="1"/>
  <c r="M753" i="8" s="1"/>
  <c r="M720" i="8"/>
  <c r="M721" i="8" s="1"/>
  <c r="M876" i="8"/>
  <c r="M877" i="8" s="1"/>
  <c r="M389" i="2"/>
  <c r="M940" i="8" s="1"/>
  <c r="M941" i="8" s="1"/>
  <c r="S722" i="2"/>
  <c r="S1132" i="8" s="1"/>
  <c r="S1133" i="8" s="1"/>
  <c r="S1100" i="8"/>
  <c r="S1101" i="8" s="1"/>
  <c r="F568" i="8"/>
  <c r="O876" i="8"/>
  <c r="O877" i="8" s="1"/>
  <c r="O389" i="2"/>
  <c r="O940" i="8" s="1"/>
  <c r="O941" i="8" s="1"/>
  <c r="P1288" i="8"/>
  <c r="P1289" i="8" s="1"/>
  <c r="P786" i="2"/>
  <c r="P1328" i="8" s="1"/>
  <c r="P1329" i="8" s="1"/>
  <c r="V1100" i="8"/>
  <c r="V1101" i="8" s="1"/>
  <c r="V722" i="2"/>
  <c r="V1132" i="8" s="1"/>
  <c r="V1133" i="8" s="1"/>
  <c r="AB722" i="2"/>
  <c r="AB1132" i="8" s="1"/>
  <c r="AB1133" i="8" s="1"/>
  <c r="AB1100" i="8"/>
  <c r="AB1101" i="8" s="1"/>
  <c r="Q327" i="2"/>
  <c r="Q752" i="8" s="1"/>
  <c r="Q753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S323" i="2"/>
  <c r="S736" i="8" s="1"/>
  <c r="S737" i="8" s="1"/>
  <c r="AA1116" i="8"/>
  <c r="AA1117" i="8" s="1"/>
  <c r="AA726" i="2"/>
  <c r="AA1148" i="8" s="1"/>
  <c r="AA1149" i="8" s="1"/>
  <c r="Z1116" i="8"/>
  <c r="Z1117" i="8" s="1"/>
  <c r="Z726" i="2"/>
  <c r="Z1148" i="8" s="1"/>
  <c r="Z1149" i="8" s="1"/>
  <c r="P363" i="2"/>
  <c r="M363" i="2"/>
  <c r="O310" i="2"/>
  <c r="AC310" i="2"/>
  <c r="L310" i="2"/>
  <c r="P310" i="2"/>
  <c r="R310" i="2"/>
  <c r="AD310" i="2"/>
  <c r="S310" i="2"/>
  <c r="Q310" i="2"/>
  <c r="O363" i="2"/>
  <c r="Q363" i="2"/>
  <c r="X310" i="2"/>
  <c r="Y310" i="2"/>
  <c r="AA310" i="2"/>
  <c r="T310" i="2"/>
  <c r="U310" i="2"/>
  <c r="V310" i="2"/>
  <c r="W310" i="2"/>
  <c r="L363" i="2"/>
  <c r="M310" i="2"/>
  <c r="N363" i="2"/>
  <c r="N310" i="2"/>
  <c r="AE310" i="2"/>
  <c r="AB310" i="2"/>
  <c r="Z310" i="2"/>
  <c r="R363" i="2"/>
  <c r="O454" i="2"/>
  <c r="N462" i="2"/>
  <c r="N327" i="2"/>
  <c r="N752" i="8" s="1"/>
  <c r="N753" i="8" s="1"/>
  <c r="N720" i="8"/>
  <c r="N721" i="8" s="1"/>
  <c r="T722" i="2"/>
  <c r="T1132" i="8" s="1"/>
  <c r="T1133" i="8" s="1"/>
  <c r="T1100" i="8"/>
  <c r="T1101" i="8" s="1"/>
  <c r="L1288" i="8"/>
  <c r="L1289" i="8" s="1"/>
  <c r="L786" i="2"/>
  <c r="L1328" i="8" s="1"/>
  <c r="L1329" i="8" s="1"/>
  <c r="Q1376" i="8"/>
  <c r="Q1377" i="8" s="1"/>
  <c r="Q649" i="2"/>
  <c r="N892" i="8"/>
  <c r="N893" i="8" s="1"/>
  <c r="N387" i="2"/>
  <c r="N932" i="8" s="1"/>
  <c r="N933" i="8" s="1"/>
  <c r="F456" i="8"/>
  <c r="V704" i="8"/>
  <c r="V705" i="8" s="1"/>
  <c r="V323" i="2"/>
  <c r="V736" i="8" s="1"/>
  <c r="V737" i="8" s="1"/>
  <c r="W1100" i="8"/>
  <c r="W1101" i="8" s="1"/>
  <c r="W722" i="2"/>
  <c r="W1132" i="8" s="1"/>
  <c r="W1133" i="8" s="1"/>
  <c r="AB720" i="8"/>
  <c r="AB721" i="8" s="1"/>
  <c r="AB327" i="2"/>
  <c r="AB752" i="8" s="1"/>
  <c r="AB753" i="8" s="1"/>
  <c r="Z327" i="2"/>
  <c r="Z752" i="8" s="1"/>
  <c r="Z753" i="8" s="1"/>
  <c r="Z720" i="8"/>
  <c r="Z721" i="8" s="1"/>
  <c r="F472" i="8"/>
  <c r="L704" i="8"/>
  <c r="L705" i="8" s="1"/>
  <c r="L323" i="2"/>
  <c r="L736" i="8" s="1"/>
  <c r="L737" i="8" s="1"/>
  <c r="N187" i="8"/>
  <c r="N188" i="8" s="1"/>
  <c r="O513" i="2"/>
  <c r="N522" i="2"/>
  <c r="S748" i="2"/>
  <c r="S1220" i="8" s="1"/>
  <c r="S1221" i="8" s="1"/>
  <c r="AE1100" i="8"/>
  <c r="AE1101" i="8" s="1"/>
  <c r="AE722" i="2"/>
  <c r="AE1132" i="8" s="1"/>
  <c r="AE1133" i="8" s="1"/>
  <c r="U722" i="2"/>
  <c r="U1132" i="8" s="1"/>
  <c r="U1133" i="8" s="1"/>
  <c r="U1100" i="8"/>
  <c r="U1101" i="8" s="1"/>
  <c r="P892" i="8"/>
  <c r="P893" i="8" s="1"/>
  <c r="P387" i="2"/>
  <c r="P932" i="8" s="1"/>
  <c r="P933" i="8" s="1"/>
  <c r="Y327" i="2"/>
  <c r="Y752" i="8" s="1"/>
  <c r="Y753" i="8" s="1"/>
  <c r="Y720" i="8"/>
  <c r="Y721" i="8" s="1"/>
  <c r="F488" i="8"/>
  <c r="F532" i="8"/>
  <c r="F564" i="8"/>
  <c r="N704" i="8"/>
  <c r="N705" i="8" s="1"/>
  <c r="N323" i="2"/>
  <c r="N736" i="8" s="1"/>
  <c r="N737" i="8" s="1"/>
  <c r="S1116" i="8"/>
  <c r="S1117" i="8" s="1"/>
  <c r="S726" i="2"/>
  <c r="S1148" i="8" s="1"/>
  <c r="S1149" i="8" s="1"/>
  <c r="Y1116" i="8"/>
  <c r="Y1117" i="8" s="1"/>
  <c r="Y726" i="2"/>
  <c r="Y1148" i="8" s="1"/>
  <c r="Y1149" i="8" s="1"/>
  <c r="P365" i="2"/>
  <c r="P872" i="8" s="1"/>
  <c r="P873" i="8" s="1"/>
  <c r="Q365" i="2"/>
  <c r="Q872" i="8" s="1"/>
  <c r="Q873" i="8" s="1"/>
  <c r="T312" i="2"/>
  <c r="M365" i="2"/>
  <c r="M872" i="8" s="1"/>
  <c r="M873" i="8" s="1"/>
  <c r="U312" i="2"/>
  <c r="N365" i="2"/>
  <c r="N872" i="8" s="1"/>
  <c r="N873" i="8" s="1"/>
  <c r="V312" i="2"/>
  <c r="N312" i="2"/>
  <c r="AD312" i="2"/>
  <c r="X312" i="2"/>
  <c r="O312" i="2"/>
  <c r="AC312" i="2"/>
  <c r="AE312" i="2"/>
  <c r="P312" i="2"/>
  <c r="AB312" i="2"/>
  <c r="L365" i="2"/>
  <c r="L872" i="8" s="1"/>
  <c r="L873" i="8" s="1"/>
  <c r="Y312" i="2"/>
  <c r="O365" i="2"/>
  <c r="O872" i="8" s="1"/>
  <c r="O873" i="8" s="1"/>
  <c r="L312" i="2"/>
  <c r="Z312" i="2"/>
  <c r="Q312" i="2"/>
  <c r="M312" i="2"/>
  <c r="R312" i="2"/>
  <c r="AA312" i="2"/>
  <c r="S312" i="2"/>
  <c r="W312" i="2"/>
  <c r="R365" i="2"/>
  <c r="R872" i="8" s="1"/>
  <c r="R873" i="8" s="1"/>
  <c r="R720" i="8"/>
  <c r="R721" i="8" s="1"/>
  <c r="R327" i="2"/>
  <c r="R752" i="8" s="1"/>
  <c r="R753" i="8" s="1"/>
  <c r="Y1100" i="8"/>
  <c r="Y1101" i="8" s="1"/>
  <c r="Y722" i="2"/>
  <c r="Y1132" i="8" s="1"/>
  <c r="Y1133" i="8" s="1"/>
  <c r="F508" i="8"/>
  <c r="N876" i="8"/>
  <c r="N877" i="8" s="1"/>
  <c r="N389" i="2"/>
  <c r="N940" i="8" s="1"/>
  <c r="N941" i="8" s="1"/>
  <c r="P768" i="2"/>
  <c r="P1284" i="8" s="1"/>
  <c r="P1285" i="8" s="1"/>
  <c r="O1288" i="8"/>
  <c r="O1289" i="8" s="1"/>
  <c r="O786" i="2"/>
  <c r="O1328" i="8" s="1"/>
  <c r="O1329" i="8" s="1"/>
  <c r="X1116" i="8"/>
  <c r="X1117" i="8" s="1"/>
  <c r="X726" i="2"/>
  <c r="X1148" i="8" s="1"/>
  <c r="X1149" i="8" s="1"/>
  <c r="T311" i="2"/>
  <c r="M311" i="2"/>
  <c r="U311" i="2"/>
  <c r="N311" i="2"/>
  <c r="V311" i="2"/>
  <c r="O311" i="2"/>
  <c r="W311" i="2"/>
  <c r="O364" i="2"/>
  <c r="O868" i="8" s="1"/>
  <c r="O869" i="8" s="1"/>
  <c r="Y311" i="2"/>
  <c r="N364" i="2"/>
  <c r="N868" i="8" s="1"/>
  <c r="N869" i="8" s="1"/>
  <c r="R364" i="2"/>
  <c r="R868" i="8" s="1"/>
  <c r="R869" i="8" s="1"/>
  <c r="Z311" i="2"/>
  <c r="R311" i="2"/>
  <c r="AC311" i="2"/>
  <c r="AD311" i="2"/>
  <c r="AE311" i="2"/>
  <c r="L311" i="2"/>
  <c r="Q364" i="2"/>
  <c r="Q868" i="8" s="1"/>
  <c r="Q869" i="8" s="1"/>
  <c r="Q311" i="2"/>
  <c r="M364" i="2"/>
  <c r="M868" i="8" s="1"/>
  <c r="M869" i="8" s="1"/>
  <c r="P311" i="2"/>
  <c r="AB311" i="2"/>
  <c r="AA311" i="2"/>
  <c r="P364" i="2"/>
  <c r="P868" i="8" s="1"/>
  <c r="P869" i="8" s="1"/>
  <c r="L364" i="2"/>
  <c r="L868" i="8" s="1"/>
  <c r="L869" i="8" s="1"/>
  <c r="X311" i="2"/>
  <c r="S311" i="2"/>
  <c r="S364" i="2"/>
  <c r="S868" i="8" s="1"/>
  <c r="S869" i="8" s="1"/>
  <c r="N715" i="2"/>
  <c r="L768" i="2"/>
  <c r="L1284" i="8" s="1"/>
  <c r="L1285" i="8" s="1"/>
  <c r="Q715" i="2"/>
  <c r="O768" i="2"/>
  <c r="O1284" i="8" s="1"/>
  <c r="O1285" i="8" s="1"/>
  <c r="AA715" i="2"/>
  <c r="S715" i="2"/>
  <c r="AB715" i="2"/>
  <c r="V715" i="2"/>
  <c r="U715" i="2"/>
  <c r="W715" i="2"/>
  <c r="O715" i="2"/>
  <c r="X715" i="2"/>
  <c r="Z715" i="2"/>
  <c r="Q768" i="2"/>
  <c r="Q1284" i="8" s="1"/>
  <c r="Q1285" i="8" s="1"/>
  <c r="AC715" i="2"/>
  <c r="Y715" i="2"/>
  <c r="P715" i="2"/>
  <c r="AD715" i="2"/>
  <c r="R715" i="2"/>
  <c r="L715" i="2"/>
  <c r="T715" i="2"/>
  <c r="M715" i="2"/>
  <c r="N768" i="2"/>
  <c r="N1284" i="8" s="1"/>
  <c r="N1285" i="8" s="1"/>
  <c r="AE715" i="2"/>
  <c r="M768" i="2"/>
  <c r="M1284" i="8" s="1"/>
  <c r="M1285" i="8" s="1"/>
  <c r="L876" i="8"/>
  <c r="L877" i="8" s="1"/>
  <c r="L389" i="2"/>
  <c r="L940" i="8" s="1"/>
  <c r="L941" i="8" s="1"/>
  <c r="O387" i="2"/>
  <c r="O932" i="8" s="1"/>
  <c r="O933" i="8" s="1"/>
  <c r="O892" i="8"/>
  <c r="O893" i="8" s="1"/>
  <c r="AD1116" i="8"/>
  <c r="AD1117" i="8" s="1"/>
  <c r="AD726" i="2"/>
  <c r="AD1148" i="8" s="1"/>
  <c r="AD1149" i="8" s="1"/>
  <c r="F520" i="8"/>
  <c r="Q1100" i="8"/>
  <c r="Q1101" i="8" s="1"/>
  <c r="Q722" i="2"/>
  <c r="Q1132" i="8" s="1"/>
  <c r="Q1133" i="8" s="1"/>
  <c r="P1272" i="8"/>
  <c r="P1273" i="8" s="1"/>
  <c r="P788" i="2"/>
  <c r="P1336" i="8" s="1"/>
  <c r="P1337" i="8" s="1"/>
  <c r="O720" i="8"/>
  <c r="O721" i="8" s="1"/>
  <c r="O327" i="2"/>
  <c r="O752" i="8" s="1"/>
  <c r="O753" i="8" s="1"/>
  <c r="T720" i="8"/>
  <c r="T721" i="8" s="1"/>
  <c r="T327" i="2"/>
  <c r="T752" i="8" s="1"/>
  <c r="T753" i="8" s="1"/>
  <c r="F480" i="8"/>
  <c r="L316" i="2"/>
  <c r="M316" i="2"/>
  <c r="O316" i="2"/>
  <c r="P316" i="2"/>
  <c r="AC316" i="2"/>
  <c r="AD316" i="2"/>
  <c r="N316" i="2"/>
  <c r="Q369" i="2"/>
  <c r="Q888" i="8" s="1"/>
  <c r="Q889" i="8" s="1"/>
  <c r="Q316" i="2"/>
  <c r="T316" i="2"/>
  <c r="AE316" i="2"/>
  <c r="U316" i="2"/>
  <c r="S316" i="2"/>
  <c r="M369" i="2"/>
  <c r="M888" i="8" s="1"/>
  <c r="M889" i="8" s="1"/>
  <c r="R316" i="2"/>
  <c r="V316" i="2"/>
  <c r="O369" i="2"/>
  <c r="O888" i="8" s="1"/>
  <c r="O889" i="8" s="1"/>
  <c r="X316" i="2"/>
  <c r="W316" i="2"/>
  <c r="Y316" i="2"/>
  <c r="N369" i="2"/>
  <c r="N888" i="8" s="1"/>
  <c r="N889" i="8" s="1"/>
  <c r="Z316" i="2"/>
  <c r="AA316" i="2"/>
  <c r="L369" i="2"/>
  <c r="L888" i="8" s="1"/>
  <c r="L889" i="8" s="1"/>
  <c r="AB316" i="2"/>
  <c r="F528" i="8"/>
  <c r="F552" i="8"/>
  <c r="F492" i="8"/>
  <c r="P323" i="2"/>
  <c r="P736" i="8" s="1"/>
  <c r="P737" i="8" s="1"/>
  <c r="P704" i="8"/>
  <c r="P705" i="8" s="1"/>
  <c r="R323" i="2"/>
  <c r="R736" i="8" s="1"/>
  <c r="R737" i="8" s="1"/>
  <c r="R704" i="8"/>
  <c r="R705" i="8" s="1"/>
  <c r="R1288" i="8"/>
  <c r="R1289" i="8" s="1"/>
  <c r="R786" i="2"/>
  <c r="R1328" i="8" s="1"/>
  <c r="R1329" i="8" s="1"/>
  <c r="O726" i="2"/>
  <c r="O1148" i="8" s="1"/>
  <c r="O1149" i="8" s="1"/>
  <c r="O1116" i="8"/>
  <c r="O1117" i="8" s="1"/>
  <c r="N1272" i="8"/>
  <c r="N1273" i="8" s="1"/>
  <c r="N788" i="2"/>
  <c r="N1336" i="8" s="1"/>
  <c r="N1337" i="8" s="1"/>
  <c r="X1100" i="8"/>
  <c r="X1101" i="8" s="1"/>
  <c r="X722" i="2"/>
  <c r="X1132" i="8" s="1"/>
  <c r="X1133" i="8" s="1"/>
  <c r="W1116" i="8"/>
  <c r="W1117" i="8" s="1"/>
  <c r="W726" i="2"/>
  <c r="W1148" i="8" s="1"/>
  <c r="W1149" i="8" s="1"/>
  <c r="O1100" i="8"/>
  <c r="O1101" i="8" s="1"/>
  <c r="O722" i="2"/>
  <c r="O1132" i="8" s="1"/>
  <c r="O1133" i="8" s="1"/>
  <c r="M1288" i="8"/>
  <c r="M1289" i="8" s="1"/>
  <c r="M786" i="2"/>
  <c r="M1328" i="8" s="1"/>
  <c r="M1329" i="8" s="1"/>
  <c r="R768" i="2"/>
  <c r="R1100" i="8"/>
  <c r="R1101" i="8" s="1"/>
  <c r="R722" i="2"/>
  <c r="R1132" i="8" s="1"/>
  <c r="R1133" i="8" s="1"/>
  <c r="AE720" i="8"/>
  <c r="AE721" i="8" s="1"/>
  <c r="AE327" i="2"/>
  <c r="AE752" i="8" s="1"/>
  <c r="AE753" i="8" s="1"/>
  <c r="F468" i="8"/>
  <c r="F556" i="8"/>
  <c r="Z722" i="2"/>
  <c r="Z1132" i="8" s="1"/>
  <c r="Z1133" i="8" s="1"/>
  <c r="Z1100" i="8"/>
  <c r="Z1101" i="8" s="1"/>
  <c r="P722" i="2"/>
  <c r="P1132" i="8" s="1"/>
  <c r="P1133" i="8" s="1"/>
  <c r="P1100" i="8"/>
  <c r="P1101" i="8" s="1"/>
  <c r="AA327" i="2"/>
  <c r="AA752" i="8" s="1"/>
  <c r="AA753" i="8" s="1"/>
  <c r="AA720" i="8"/>
  <c r="AA721" i="8" s="1"/>
  <c r="AC720" i="8"/>
  <c r="AC721" i="8" s="1"/>
  <c r="AC327" i="2"/>
  <c r="AC752" i="8" s="1"/>
  <c r="AC753" i="8" s="1"/>
  <c r="F548" i="8"/>
  <c r="T314" i="2"/>
  <c r="Z314" i="2"/>
  <c r="U314" i="2"/>
  <c r="AA314" i="2"/>
  <c r="V314" i="2"/>
  <c r="AC314" i="2"/>
  <c r="W314" i="2"/>
  <c r="AB314" i="2"/>
  <c r="L314" i="2"/>
  <c r="Q314" i="2"/>
  <c r="O367" i="2"/>
  <c r="AD314" i="2"/>
  <c r="R314" i="2"/>
  <c r="M314" i="2"/>
  <c r="P367" i="2"/>
  <c r="N314" i="2"/>
  <c r="AE314" i="2"/>
  <c r="N367" i="2"/>
  <c r="Q367" i="2"/>
  <c r="O314" i="2"/>
  <c r="M367" i="2"/>
  <c r="P314" i="2"/>
  <c r="L367" i="2"/>
  <c r="S314" i="2"/>
  <c r="X314" i="2"/>
  <c r="R367" i="2"/>
  <c r="Y314" i="2"/>
  <c r="S368" i="2"/>
  <c r="S884" i="8" s="1"/>
  <c r="S885" i="8" s="1"/>
  <c r="T368" i="2"/>
  <c r="T884" i="8" s="1"/>
  <c r="T885" i="8" s="1"/>
  <c r="X315" i="2"/>
  <c r="R368" i="2"/>
  <c r="R884" i="8" s="1"/>
  <c r="R885" i="8" s="1"/>
  <c r="T315" i="2"/>
  <c r="Y315" i="2"/>
  <c r="P315" i="2"/>
  <c r="L315" i="2"/>
  <c r="Q315" i="2"/>
  <c r="M368" i="2"/>
  <c r="M884" i="8" s="1"/>
  <c r="M885" i="8" s="1"/>
  <c r="Z315" i="2"/>
  <c r="S315" i="2"/>
  <c r="O368" i="2"/>
  <c r="O884" i="8" s="1"/>
  <c r="O885" i="8" s="1"/>
  <c r="M315" i="2"/>
  <c r="U315" i="2"/>
  <c r="AA315" i="2"/>
  <c r="V315" i="2"/>
  <c r="N315" i="2"/>
  <c r="R315" i="2"/>
  <c r="AB315" i="2"/>
  <c r="AC315" i="2"/>
  <c r="N368" i="2"/>
  <c r="N884" i="8" s="1"/>
  <c r="N885" i="8" s="1"/>
  <c r="AD315" i="2"/>
  <c r="P368" i="2"/>
  <c r="P884" i="8" s="1"/>
  <c r="P885" i="8" s="1"/>
  <c r="AE315" i="2"/>
  <c r="O315" i="2"/>
  <c r="Q368" i="2"/>
  <c r="Q884" i="8" s="1"/>
  <c r="Q885" i="8" s="1"/>
  <c r="W315" i="2"/>
  <c r="L368" i="2"/>
  <c r="L884" i="8" s="1"/>
  <c r="L885" i="8" s="1"/>
  <c r="T323" i="2"/>
  <c r="T736" i="8" s="1"/>
  <c r="T737" i="8" s="1"/>
  <c r="T704" i="8"/>
  <c r="T705" i="8" s="1"/>
  <c r="AB704" i="8"/>
  <c r="AB705" i="8" s="1"/>
  <c r="AB323" i="2"/>
  <c r="AB736" i="8" s="1"/>
  <c r="AB737" i="8" s="1"/>
  <c r="Q1288" i="8"/>
  <c r="Q1289" i="8" s="1"/>
  <c r="Q786" i="2"/>
  <c r="Q1328" i="8" s="1"/>
  <c r="Q1329" i="8" s="1"/>
  <c r="U1116" i="8"/>
  <c r="U1117" i="8" s="1"/>
  <c r="U726" i="2"/>
  <c r="U1148" i="8" s="1"/>
  <c r="U1149" i="8" s="1"/>
  <c r="L1376" i="8"/>
  <c r="L1377" i="8" s="1"/>
  <c r="L649" i="2"/>
  <c r="L720" i="8"/>
  <c r="L721" i="8" s="1"/>
  <c r="L327" i="2"/>
  <c r="L752" i="8" s="1"/>
  <c r="L753" i="8" s="1"/>
  <c r="F544" i="8"/>
  <c r="P720" i="8"/>
  <c r="P721" i="8" s="1"/>
  <c r="P327" i="2"/>
  <c r="P752" i="8" s="1"/>
  <c r="P753" i="8" s="1"/>
  <c r="F524" i="8"/>
  <c r="AC1100" i="8"/>
  <c r="AC1101" i="8" s="1"/>
  <c r="AC722" i="2"/>
  <c r="AC1132" i="8" s="1"/>
  <c r="AC1133" i="8" s="1"/>
  <c r="L1100" i="8"/>
  <c r="L1101" i="8" s="1"/>
  <c r="L722" i="2"/>
  <c r="L1132" i="8" s="1"/>
  <c r="L1133" i="8" s="1"/>
  <c r="AD720" i="8"/>
  <c r="AD721" i="8" s="1"/>
  <c r="AD327" i="2"/>
  <c r="AD752" i="8" s="1"/>
  <c r="AD753" i="8" s="1"/>
  <c r="S720" i="8"/>
  <c r="S721" i="8" s="1"/>
  <c r="S327" i="2"/>
  <c r="S752" i="8" s="1"/>
  <c r="S753" i="8" s="1"/>
  <c r="F540" i="8"/>
  <c r="O704" i="8"/>
  <c r="O705" i="8" s="1"/>
  <c r="O323" i="2"/>
  <c r="O736" i="8" s="1"/>
  <c r="O737" i="8" s="1"/>
  <c r="AE704" i="8"/>
  <c r="AE705" i="8" s="1"/>
  <c r="AE323" i="2"/>
  <c r="AE736" i="8" s="1"/>
  <c r="AE737" i="8" s="1"/>
  <c r="P369" i="2"/>
  <c r="P888" i="8" s="1"/>
  <c r="P889" i="8" s="1"/>
  <c r="R1116" i="8"/>
  <c r="R1117" i="8" s="1"/>
  <c r="R726" i="2"/>
  <c r="R1148" i="8" s="1"/>
  <c r="R1149" i="8" s="1"/>
  <c r="AC1116" i="8"/>
  <c r="AC1117" i="8" s="1"/>
  <c r="AC726" i="2"/>
  <c r="AC1148" i="8" s="1"/>
  <c r="AC1149" i="8" s="1"/>
  <c r="M323" i="2"/>
  <c r="M736" i="8" s="1"/>
  <c r="M737" i="8" s="1"/>
  <c r="M704" i="8"/>
  <c r="M705" i="8" s="1"/>
  <c r="M722" i="2"/>
  <c r="M1132" i="8" s="1"/>
  <c r="M1133" i="8" s="1"/>
  <c r="M1100" i="8"/>
  <c r="M1101" i="8" s="1"/>
  <c r="F440" i="8"/>
  <c r="R788" i="2"/>
  <c r="R1336" i="8" s="1"/>
  <c r="R1337" i="8" s="1"/>
  <c r="M788" i="2"/>
  <c r="M1336" i="8" s="1"/>
  <c r="M1337" i="8" s="1"/>
  <c r="M1272" i="8"/>
  <c r="M1273" i="8" s="1"/>
  <c r="U709" i="2"/>
  <c r="Y709" i="2"/>
  <c r="V709" i="2"/>
  <c r="L762" i="2"/>
  <c r="P762" i="2"/>
  <c r="Q762" i="2"/>
  <c r="W709" i="2"/>
  <c r="N762" i="2"/>
  <c r="O709" i="2"/>
  <c r="Q709" i="2"/>
  <c r="P709" i="2"/>
  <c r="R709" i="2"/>
  <c r="N709" i="2"/>
  <c r="X709" i="2"/>
  <c r="AD709" i="2"/>
  <c r="S709" i="2"/>
  <c r="Z709" i="2"/>
  <c r="L709" i="2"/>
  <c r="AC709" i="2"/>
  <c r="AE709" i="2"/>
  <c r="M709" i="2"/>
  <c r="O762" i="2"/>
  <c r="AA709" i="2"/>
  <c r="M762" i="2"/>
  <c r="AB709" i="2"/>
  <c r="T709" i="2"/>
  <c r="R762" i="2"/>
  <c r="R1260" i="8" s="1"/>
  <c r="R1261" i="8" s="1"/>
  <c r="X327" i="2"/>
  <c r="X752" i="8" s="1"/>
  <c r="X753" i="8" s="1"/>
  <c r="X720" i="8"/>
  <c r="X721" i="8" s="1"/>
  <c r="Q892" i="8"/>
  <c r="Q893" i="8" s="1"/>
  <c r="Q387" i="2"/>
  <c r="Q932" i="8" s="1"/>
  <c r="Q933" i="8" s="1"/>
  <c r="F516" i="8"/>
  <c r="F576" i="8"/>
  <c r="U704" i="8"/>
  <c r="U705" i="8" s="1"/>
  <c r="U323" i="2"/>
  <c r="U736" i="8" s="1"/>
  <c r="U737" i="8" s="1"/>
  <c r="AA704" i="8"/>
  <c r="AA705" i="8" s="1"/>
  <c r="AA323" i="2"/>
  <c r="AA736" i="8" s="1"/>
  <c r="AA737" i="8" s="1"/>
  <c r="N1288" i="8"/>
  <c r="N1289" i="8" s="1"/>
  <c r="N786" i="2"/>
  <c r="N1328" i="8" s="1"/>
  <c r="N1329" i="8" s="1"/>
  <c r="T1116" i="8"/>
  <c r="T1117" i="8" s="1"/>
  <c r="T726" i="2"/>
  <c r="T1148" i="8" s="1"/>
  <c r="T1149" i="8" s="1"/>
  <c r="O638" i="2"/>
  <c r="N642" i="2"/>
  <c r="N1100" i="8"/>
  <c r="N1101" i="8" s="1"/>
  <c r="N722" i="2"/>
  <c r="N1132" i="8" s="1"/>
  <c r="N1133" i="8" s="1"/>
  <c r="AB711" i="2"/>
  <c r="W711" i="2"/>
  <c r="U711" i="2"/>
  <c r="X711" i="2"/>
  <c r="AC711" i="2"/>
  <c r="V711" i="2"/>
  <c r="AD711" i="2"/>
  <c r="Y711" i="2"/>
  <c r="P711" i="2"/>
  <c r="Z711" i="2"/>
  <c r="T711" i="2"/>
  <c r="AA711" i="2"/>
  <c r="S711" i="2"/>
  <c r="AE711" i="2"/>
  <c r="N764" i="2"/>
  <c r="N1268" i="8" s="1"/>
  <c r="N1269" i="8" s="1"/>
  <c r="M764" i="2"/>
  <c r="M1268" i="8" s="1"/>
  <c r="M1269" i="8" s="1"/>
  <c r="L711" i="2"/>
  <c r="M711" i="2"/>
  <c r="N711" i="2"/>
  <c r="O711" i="2"/>
  <c r="L764" i="2"/>
  <c r="L1268" i="8" s="1"/>
  <c r="L1269" i="8" s="1"/>
  <c r="O764" i="2"/>
  <c r="O1268" i="8" s="1"/>
  <c r="O1269" i="8" s="1"/>
  <c r="Q711" i="2"/>
  <c r="R711" i="2"/>
  <c r="P764" i="2"/>
  <c r="P1268" i="8" s="1"/>
  <c r="P1269" i="8" s="1"/>
  <c r="Q764" i="2"/>
  <c r="Q1268" i="8" s="1"/>
  <c r="Q1269" i="8" s="1"/>
  <c r="W720" i="8"/>
  <c r="W721" i="8" s="1"/>
  <c r="W327" i="2"/>
  <c r="W752" i="8" s="1"/>
  <c r="W753" i="8" s="1"/>
  <c r="L892" i="8"/>
  <c r="L893" i="8" s="1"/>
  <c r="L387" i="2"/>
  <c r="L932" i="8" s="1"/>
  <c r="L933" i="8" s="1"/>
  <c r="O573" i="2"/>
  <c r="N582" i="2"/>
  <c r="N223" i="8"/>
  <c r="N224" i="8" s="1"/>
  <c r="F512" i="8"/>
  <c r="F464" i="8"/>
  <c r="F500" i="8"/>
  <c r="F484" i="8"/>
  <c r="F536" i="8"/>
  <c r="F580" i="8"/>
  <c r="AC323" i="2"/>
  <c r="AC736" i="8" s="1"/>
  <c r="AC737" i="8" s="1"/>
  <c r="AC704" i="8"/>
  <c r="AC705" i="8" s="1"/>
  <c r="Q704" i="8"/>
  <c r="Q705" i="8" s="1"/>
  <c r="Q323" i="2"/>
  <c r="Q736" i="8" s="1"/>
  <c r="Q737" i="8" s="1"/>
  <c r="AB1116" i="8"/>
  <c r="AB1117" i="8" s="1"/>
  <c r="AB726" i="2"/>
  <c r="AB1148" i="8" s="1"/>
  <c r="AB1149" i="8" s="1"/>
  <c r="V1116" i="8"/>
  <c r="V1117" i="8" s="1"/>
  <c r="V726" i="2"/>
  <c r="V1148" i="8" s="1"/>
  <c r="V1149" i="8" s="1"/>
  <c r="L1272" i="8"/>
  <c r="L1273" i="8" s="1"/>
  <c r="L788" i="2"/>
  <c r="L1336" i="8" s="1"/>
  <c r="L1337" i="8" s="1"/>
  <c r="O763" i="2"/>
  <c r="O1264" i="8" s="1"/>
  <c r="O1265" i="8" s="1"/>
  <c r="M710" i="2"/>
  <c r="AA710" i="2"/>
  <c r="AC710" i="2"/>
  <c r="Q710" i="2"/>
  <c r="N710" i="2"/>
  <c r="U710" i="2"/>
  <c r="AD710" i="2"/>
  <c r="V710" i="2"/>
  <c r="AE710" i="2"/>
  <c r="L763" i="2"/>
  <c r="L1264" i="8" s="1"/>
  <c r="L1265" i="8" s="1"/>
  <c r="P710" i="2"/>
  <c r="N763" i="2"/>
  <c r="N1264" i="8" s="1"/>
  <c r="N1265" i="8" s="1"/>
  <c r="O710" i="2"/>
  <c r="AB710" i="2"/>
  <c r="P763" i="2"/>
  <c r="P1264" i="8" s="1"/>
  <c r="P1265" i="8" s="1"/>
  <c r="L710" i="2"/>
  <c r="T710" i="2"/>
  <c r="W710" i="2"/>
  <c r="R710" i="2"/>
  <c r="X710" i="2"/>
  <c r="Y710" i="2"/>
  <c r="Z710" i="2"/>
  <c r="M763" i="2"/>
  <c r="M1264" i="8" s="1"/>
  <c r="M1265" i="8" s="1"/>
  <c r="S710" i="2"/>
  <c r="Q763" i="2"/>
  <c r="Q1264" i="8" s="1"/>
  <c r="Q1265" i="8" s="1"/>
  <c r="V327" i="2"/>
  <c r="V752" i="8" s="1"/>
  <c r="V753" i="8" s="1"/>
  <c r="V720" i="8"/>
  <c r="V721" i="8" s="1"/>
  <c r="F444" i="8"/>
  <c r="F496" i="8"/>
  <c r="X704" i="8"/>
  <c r="X705" i="8" s="1"/>
  <c r="X323" i="2"/>
  <c r="X736" i="8" s="1"/>
  <c r="X737" i="8" s="1"/>
  <c r="Z704" i="8"/>
  <c r="Z705" i="8" s="1"/>
  <c r="Z323" i="2"/>
  <c r="Z736" i="8" s="1"/>
  <c r="Z737" i="8" s="1"/>
  <c r="Q1116" i="8"/>
  <c r="Q1117" i="8" s="1"/>
  <c r="Q726" i="2"/>
  <c r="Q1148" i="8" s="1"/>
  <c r="Q1149" i="8" s="1"/>
  <c r="P726" i="2"/>
  <c r="P1148" i="8" s="1"/>
  <c r="P1149" i="8" s="1"/>
  <c r="P1116" i="8"/>
  <c r="P1117" i="8" s="1"/>
  <c r="Q980" i="8"/>
  <c r="Q981" i="8" s="1"/>
  <c r="Q250" i="2"/>
  <c r="AA1100" i="8"/>
  <c r="AA1101" i="8" s="1"/>
  <c r="AA722" i="2"/>
  <c r="AA1132" i="8" s="1"/>
  <c r="AA1133" i="8" s="1"/>
  <c r="O1272" i="8"/>
  <c r="O1273" i="8" s="1"/>
  <c r="O788" i="2"/>
  <c r="O1336" i="8" s="1"/>
  <c r="O1337" i="8" s="1"/>
  <c r="U720" i="8"/>
  <c r="U721" i="8" s="1"/>
  <c r="U327" i="2"/>
  <c r="U752" i="8" s="1"/>
  <c r="U753" i="8" s="1"/>
  <c r="Q766" i="2"/>
  <c r="L766" i="2"/>
  <c r="AA713" i="2"/>
  <c r="V713" i="2"/>
  <c r="L713" i="2"/>
  <c r="X713" i="2"/>
  <c r="AB713" i="2"/>
  <c r="W713" i="2"/>
  <c r="R766" i="2"/>
  <c r="R1276" i="8" s="1"/>
  <c r="R1277" i="8" s="1"/>
  <c r="M713" i="2"/>
  <c r="N766" i="2"/>
  <c r="AC713" i="2"/>
  <c r="O766" i="2"/>
  <c r="S713" i="2"/>
  <c r="AE713" i="2"/>
  <c r="P766" i="2"/>
  <c r="N713" i="2"/>
  <c r="M766" i="2"/>
  <c r="O713" i="2"/>
  <c r="Q713" i="2"/>
  <c r="U713" i="2"/>
  <c r="Y713" i="2"/>
  <c r="AD713" i="2"/>
  <c r="T713" i="2"/>
  <c r="P713" i="2"/>
  <c r="Z713" i="2"/>
  <c r="R713" i="2"/>
  <c r="F476" i="8"/>
  <c r="Y704" i="8"/>
  <c r="Y705" i="8" s="1"/>
  <c r="Y323" i="2"/>
  <c r="Y736" i="8" s="1"/>
  <c r="Y737" i="8" s="1"/>
  <c r="AD704" i="8"/>
  <c r="AD705" i="8" s="1"/>
  <c r="AD323" i="2"/>
  <c r="AD736" i="8" s="1"/>
  <c r="AD737" i="8" s="1"/>
  <c r="L726" i="2"/>
  <c r="L1148" i="8" s="1"/>
  <c r="L1149" i="8" s="1"/>
  <c r="L1116" i="8"/>
  <c r="L1117" i="8" s="1"/>
  <c r="N1116" i="8"/>
  <c r="N1117" i="8" s="1"/>
  <c r="N726" i="2"/>
  <c r="N1148" i="8" s="1"/>
  <c r="N1149" i="8" s="1"/>
  <c r="AD1100" i="8"/>
  <c r="AD1101" i="8" s="1"/>
  <c r="AD722" i="2"/>
  <c r="AD1132" i="8" s="1"/>
  <c r="AD1133" i="8" s="1"/>
  <c r="L767" i="2"/>
  <c r="L1280" i="8" s="1"/>
  <c r="L1281" i="8" s="1"/>
  <c r="R767" i="2"/>
  <c r="R1280" i="8" s="1"/>
  <c r="R1281" i="8" s="1"/>
  <c r="S714" i="2"/>
  <c r="AC714" i="2"/>
  <c r="T714" i="2"/>
  <c r="W714" i="2"/>
  <c r="U714" i="2"/>
  <c r="AA714" i="2"/>
  <c r="Q767" i="2"/>
  <c r="Q1280" i="8" s="1"/>
  <c r="Q1281" i="8" s="1"/>
  <c r="V714" i="2"/>
  <c r="AB714" i="2"/>
  <c r="AD714" i="2"/>
  <c r="N767" i="2"/>
  <c r="N1280" i="8" s="1"/>
  <c r="N1281" i="8" s="1"/>
  <c r="Q714" i="2"/>
  <c r="AE714" i="2"/>
  <c r="O767" i="2"/>
  <c r="O1280" i="8" s="1"/>
  <c r="O1281" i="8" s="1"/>
  <c r="L714" i="2"/>
  <c r="M767" i="2"/>
  <c r="M1280" i="8" s="1"/>
  <c r="M1281" i="8" s="1"/>
  <c r="M714" i="2"/>
  <c r="P767" i="2"/>
  <c r="P1280" i="8" s="1"/>
  <c r="P1281" i="8" s="1"/>
  <c r="N714" i="2"/>
  <c r="P714" i="2"/>
  <c r="O714" i="2"/>
  <c r="X714" i="2"/>
  <c r="R714" i="2"/>
  <c r="Y714" i="2"/>
  <c r="Z714" i="2"/>
  <c r="F448" i="8"/>
  <c r="F452" i="8"/>
  <c r="W704" i="8"/>
  <c r="W705" i="8" s="1"/>
  <c r="W323" i="2"/>
  <c r="W736" i="8" s="1"/>
  <c r="W737" i="8" s="1"/>
  <c r="P876" i="8"/>
  <c r="P877" i="8" s="1"/>
  <c r="P389" i="2"/>
  <c r="P940" i="8" s="1"/>
  <c r="P941" i="8" s="1"/>
  <c r="AE1116" i="8"/>
  <c r="AE1117" i="8" s="1"/>
  <c r="AE726" i="2"/>
  <c r="AE1148" i="8" s="1"/>
  <c r="AE1149" i="8" s="1"/>
  <c r="M1116" i="8"/>
  <c r="M1117" i="8" s="1"/>
  <c r="M726" i="2"/>
  <c r="M1148" i="8" s="1"/>
  <c r="M1149" i="8" s="1"/>
  <c r="T786" i="2"/>
  <c r="T1328" i="8" s="1"/>
  <c r="T1329" i="8" s="1"/>
  <c r="Q379" i="2"/>
  <c r="Q920" i="8" s="1"/>
  <c r="Q921" i="8" s="1"/>
  <c r="S375" i="2"/>
  <c r="S904" i="8" s="1"/>
  <c r="S905" i="8" s="1"/>
  <c r="T775" i="2"/>
  <c r="T1304" i="8" s="1"/>
  <c r="T1305" i="8" s="1"/>
  <c r="S376" i="2"/>
  <c r="S908" i="8" s="1"/>
  <c r="S909" i="8" s="1"/>
  <c r="S808" i="8"/>
  <c r="S809" i="8" s="1"/>
  <c r="S396" i="2"/>
  <c r="S964" i="8" s="1"/>
  <c r="S965" i="8" s="1"/>
  <c r="S367" i="2"/>
  <c r="S880" i="8" s="1"/>
  <c r="S881" i="8" s="1"/>
  <c r="S844" i="8"/>
  <c r="S845" i="8" s="1"/>
  <c r="S772" i="8"/>
  <c r="S773" i="8" s="1"/>
  <c r="T345" i="2"/>
  <c r="T612" i="8"/>
  <c r="T613" i="8" s="1"/>
  <c r="U280" i="2"/>
  <c r="T334" i="2"/>
  <c r="T356" i="2" s="1"/>
  <c r="S1344" i="8"/>
  <c r="S1345" i="8" s="1"/>
  <c r="T996" i="8"/>
  <c r="T997" i="8" s="1"/>
  <c r="U676" i="2"/>
  <c r="T741" i="2"/>
  <c r="T730" i="2"/>
  <c r="T752" i="2" s="1"/>
  <c r="T1004" i="8"/>
  <c r="T1005" i="8" s="1"/>
  <c r="T743" i="2"/>
  <c r="U678" i="2"/>
  <c r="T732" i="2"/>
  <c r="T754" i="2" s="1"/>
  <c r="S804" i="8"/>
  <c r="S805" i="8" s="1"/>
  <c r="S366" i="2"/>
  <c r="S876" i="8" s="1"/>
  <c r="S877" i="8" s="1"/>
  <c r="S395" i="2"/>
  <c r="S960" i="8" s="1"/>
  <c r="S961" i="8" s="1"/>
  <c r="S1164" i="8"/>
  <c r="S1165" i="8" s="1"/>
  <c r="S1236" i="8"/>
  <c r="S1237" i="8" s="1"/>
  <c r="S1192" i="8"/>
  <c r="S1193" i="8" s="1"/>
  <c r="S763" i="2"/>
  <c r="S1264" i="8" s="1"/>
  <c r="S1265" i="8" s="1"/>
  <c r="S792" i="2"/>
  <c r="S1348" i="8" s="1"/>
  <c r="S1349" i="8" s="1"/>
  <c r="U1180" i="8"/>
  <c r="U1181" i="8" s="1"/>
  <c r="U775" i="2"/>
  <c r="U1304" i="8" s="1"/>
  <c r="U1305" i="8" s="1"/>
  <c r="U1252" i="8"/>
  <c r="U1253" i="8" s="1"/>
  <c r="S1200" i="8"/>
  <c r="S1201" i="8" s="1"/>
  <c r="S765" i="2"/>
  <c r="S1272" i="8" s="1"/>
  <c r="S1273" i="8" s="1"/>
  <c r="S794" i="2"/>
  <c r="S1356" i="8" s="1"/>
  <c r="S1357" i="8" s="1"/>
  <c r="S768" i="8"/>
  <c r="S769" i="8" s="1"/>
  <c r="S840" i="8"/>
  <c r="S841" i="8" s="1"/>
  <c r="R799" i="2"/>
  <c r="S737" i="2"/>
  <c r="S1184" i="8" s="1"/>
  <c r="S1185" i="8" s="1"/>
  <c r="U1216" i="8"/>
  <c r="U1217" i="8" s="1"/>
  <c r="U798" i="2"/>
  <c r="U1372" i="8" s="1"/>
  <c r="U1373" i="8" s="1"/>
  <c r="U769" i="2"/>
  <c r="U1288" i="8" s="1"/>
  <c r="U1289" i="8" s="1"/>
  <c r="S1224" i="8"/>
  <c r="S1225" i="8" s="1"/>
  <c r="S759" i="2"/>
  <c r="S1256" i="8" s="1"/>
  <c r="S1257" i="8" s="1"/>
  <c r="S1160" i="8"/>
  <c r="S1161" i="8" s="1"/>
  <c r="S1232" i="8"/>
  <c r="S1233" i="8" s="1"/>
  <c r="T820" i="8"/>
  <c r="T821" i="8" s="1"/>
  <c r="T399" i="2"/>
  <c r="T976" i="8" s="1"/>
  <c r="T977" i="8" s="1"/>
  <c r="T370" i="2"/>
  <c r="T892" i="8" s="1"/>
  <c r="T893" i="8" s="1"/>
  <c r="U760" i="8"/>
  <c r="U761" i="8" s="1"/>
  <c r="U832" i="8"/>
  <c r="U833" i="8" s="1"/>
  <c r="S1156" i="8"/>
  <c r="S1157" i="8" s="1"/>
  <c r="S1228" i="8"/>
  <c r="S1229" i="8" s="1"/>
  <c r="S1260" i="8"/>
  <c r="S1261" i="8" s="1"/>
  <c r="T1000" i="8"/>
  <c r="T1001" i="8" s="1"/>
  <c r="T731" i="2"/>
  <c r="T753" i="2" s="1"/>
  <c r="U677" i="2"/>
  <c r="T742" i="2"/>
  <c r="S387" i="2"/>
  <c r="S932" i="8" s="1"/>
  <c r="S933" i="8" s="1"/>
  <c r="U796" i="8"/>
  <c r="U797" i="8" s="1"/>
  <c r="U364" i="2"/>
  <c r="U868" i="8" s="1"/>
  <c r="U869" i="8" s="1"/>
  <c r="U393" i="2"/>
  <c r="U952" i="8" s="1"/>
  <c r="U953" i="8" s="1"/>
  <c r="U624" i="8"/>
  <c r="U625" i="8" s="1"/>
  <c r="U337" i="2"/>
  <c r="U359" i="2" s="1"/>
  <c r="U348" i="2"/>
  <c r="V283" i="2"/>
  <c r="R1228" i="8"/>
  <c r="R1229" i="8" s="1"/>
  <c r="R774" i="2"/>
  <c r="R1300" i="8" s="1"/>
  <c r="R1301" i="8" s="1"/>
  <c r="S948" i="8"/>
  <c r="S949" i="8" s="1"/>
  <c r="V600" i="8"/>
  <c r="V601" i="8" s="1"/>
  <c r="W277" i="2"/>
  <c r="V342" i="2"/>
  <c r="V331" i="2"/>
  <c r="V353" i="2" s="1"/>
  <c r="T1172" i="8"/>
  <c r="T1173" i="8" s="1"/>
  <c r="T1244" i="8"/>
  <c r="T1245" i="8" s="1"/>
  <c r="T620" i="8"/>
  <c r="T621" i="8" s="1"/>
  <c r="U282" i="2"/>
  <c r="T347" i="2"/>
  <c r="T336" i="2"/>
  <c r="T358" i="2" s="1"/>
  <c r="S864" i="8"/>
  <c r="S865" i="8" s="1"/>
  <c r="S338" i="2"/>
  <c r="S788" i="8" s="1"/>
  <c r="S789" i="8" s="1"/>
  <c r="R785" i="2"/>
  <c r="R1324" i="8" s="1"/>
  <c r="R1325" i="8" s="1"/>
  <c r="S1176" i="8"/>
  <c r="S1177" i="8" s="1"/>
  <c r="S1248" i="8"/>
  <c r="S1249" i="8" s="1"/>
  <c r="R1284" i="8"/>
  <c r="R1285" i="8" s="1"/>
  <c r="S816" i="8"/>
  <c r="S817" i="8" s="1"/>
  <c r="S398" i="2"/>
  <c r="S972" i="8" s="1"/>
  <c r="S973" i="8" s="1"/>
  <c r="S369" i="2"/>
  <c r="S888" i="8" s="1"/>
  <c r="S889" i="8" s="1"/>
  <c r="R759" i="2"/>
  <c r="R1256" i="8" s="1"/>
  <c r="R1257" i="8" s="1"/>
  <c r="T1208" i="8"/>
  <c r="T1209" i="8" s="1"/>
  <c r="T796" i="2"/>
  <c r="T1364" i="8" s="1"/>
  <c r="T1365" i="8" s="1"/>
  <c r="T767" i="2"/>
  <c r="T1280" i="8" s="1"/>
  <c r="T1281" i="8" s="1"/>
  <c r="T800" i="8"/>
  <c r="T801" i="8" s="1"/>
  <c r="T394" i="2"/>
  <c r="T956" i="8" s="1"/>
  <c r="T957" i="8" s="1"/>
  <c r="T365" i="2"/>
  <c r="T872" i="8" s="1"/>
  <c r="T873" i="8" s="1"/>
  <c r="S349" i="2"/>
  <c r="S824" i="8" s="1"/>
  <c r="S825" i="8" s="1"/>
  <c r="S1196" i="8"/>
  <c r="S1197" i="8" s="1"/>
  <c r="S793" i="2"/>
  <c r="S1352" i="8" s="1"/>
  <c r="S1353" i="8" s="1"/>
  <c r="S764" i="2"/>
  <c r="S1268" i="8" s="1"/>
  <c r="S1269" i="8" s="1"/>
  <c r="T784" i="8"/>
  <c r="T785" i="8" s="1"/>
  <c r="T856" i="8"/>
  <c r="T857" i="8" s="1"/>
  <c r="S780" i="8"/>
  <c r="S781" i="8" s="1"/>
  <c r="S852" i="8"/>
  <c r="S853" i="8" s="1"/>
  <c r="R773" i="2"/>
  <c r="U1012" i="8"/>
  <c r="U1013" i="8" s="1"/>
  <c r="V680" i="2"/>
  <c r="U745" i="2"/>
  <c r="U734" i="2"/>
  <c r="U756" i="2" s="1"/>
  <c r="T836" i="8"/>
  <c r="T837" i="8" s="1"/>
  <c r="T764" i="8"/>
  <c r="T765" i="8" s="1"/>
  <c r="T756" i="8"/>
  <c r="T757" i="8" s="1"/>
  <c r="T375" i="2"/>
  <c r="T904" i="8" s="1"/>
  <c r="T905" i="8" s="1"/>
  <c r="S828" i="8"/>
  <c r="S829" i="8" s="1"/>
  <c r="S773" i="2"/>
  <c r="V1020" i="8"/>
  <c r="V1021" i="8" s="1"/>
  <c r="W682" i="2"/>
  <c r="V747" i="2"/>
  <c r="V736" i="2"/>
  <c r="V758" i="2" s="1"/>
  <c r="U1008" i="8"/>
  <c r="U1009" i="8" s="1"/>
  <c r="U733" i="2"/>
  <c r="U755" i="2" s="1"/>
  <c r="U744" i="2"/>
  <c r="V679" i="2"/>
  <c r="Q1296" i="8"/>
  <c r="Q1297" i="8" s="1"/>
  <c r="Q778" i="2"/>
  <c r="Q1316" i="8" s="1"/>
  <c r="Q1317" i="8" s="1"/>
  <c r="U604" i="8"/>
  <c r="U605" i="8" s="1"/>
  <c r="V278" i="2"/>
  <c r="U332" i="2"/>
  <c r="U354" i="2" s="1"/>
  <c r="U343" i="2"/>
  <c r="V812" i="8"/>
  <c r="V813" i="8" s="1"/>
  <c r="V397" i="2"/>
  <c r="V968" i="8" s="1"/>
  <c r="V969" i="8" s="1"/>
  <c r="V368" i="2"/>
  <c r="V884" i="8" s="1"/>
  <c r="V885" i="8" s="1"/>
  <c r="U596" i="8"/>
  <c r="U597" i="8" s="1"/>
  <c r="U341" i="2"/>
  <c r="U330" i="2"/>
  <c r="U352" i="2" s="1"/>
  <c r="V276" i="2"/>
  <c r="R900" i="8"/>
  <c r="R901" i="8" s="1"/>
  <c r="R378" i="2"/>
  <c r="R916" i="8" s="1"/>
  <c r="R917" i="8" s="1"/>
  <c r="T1152" i="8"/>
  <c r="T1153" i="8" s="1"/>
  <c r="T1204" i="8"/>
  <c r="T1205" i="8" s="1"/>
  <c r="T795" i="2"/>
  <c r="T1360" i="8" s="1"/>
  <c r="T1361" i="8" s="1"/>
  <c r="T766" i="2"/>
  <c r="T1276" i="8" s="1"/>
  <c r="T1277" i="8" s="1"/>
  <c r="V776" i="8"/>
  <c r="V777" i="8" s="1"/>
  <c r="V848" i="8"/>
  <c r="V849" i="8" s="1"/>
  <c r="T392" i="2"/>
  <c r="T792" i="8"/>
  <c r="T793" i="8" s="1"/>
  <c r="T363" i="2"/>
  <c r="T1188" i="8"/>
  <c r="T1189" i="8" s="1"/>
  <c r="T762" i="2"/>
  <c r="T791" i="2"/>
  <c r="S1212" i="8"/>
  <c r="S1213" i="8" s="1"/>
  <c r="S797" i="2"/>
  <c r="S1368" i="8" s="1"/>
  <c r="S1369" i="8" s="1"/>
  <c r="S768" i="2"/>
  <c r="S1284" i="8" s="1"/>
  <c r="S1285" i="8" s="1"/>
  <c r="T608" i="8"/>
  <c r="T609" i="8" s="1"/>
  <c r="T333" i="2"/>
  <c r="T355" i="2" s="1"/>
  <c r="T344" i="2"/>
  <c r="U279" i="2"/>
  <c r="T1168" i="8"/>
  <c r="T1169" i="8" s="1"/>
  <c r="T1240" i="8"/>
  <c r="T1241" i="8" s="1"/>
  <c r="W616" i="8"/>
  <c r="W617" i="8" s="1"/>
  <c r="W346" i="2"/>
  <c r="X281" i="2"/>
  <c r="W335" i="2"/>
  <c r="W357" i="2" s="1"/>
  <c r="R777" i="2"/>
  <c r="R1312" i="8" s="1"/>
  <c r="R1313" i="8" s="1"/>
  <c r="U992" i="8"/>
  <c r="U993" i="8" s="1"/>
  <c r="V675" i="2"/>
  <c r="U729" i="2"/>
  <c r="U751" i="2" s="1"/>
  <c r="U740" i="2"/>
  <c r="T1016" i="8"/>
  <c r="T1017" i="8" s="1"/>
  <c r="T735" i="2"/>
  <c r="T757" i="2" s="1"/>
  <c r="U681" i="2"/>
  <c r="T746" i="2"/>
  <c r="R400" i="2"/>
  <c r="O183" i="2"/>
  <c r="R633" i="2"/>
  <c r="Q259" i="8"/>
  <c r="Q260" i="8" s="1"/>
  <c r="R121" i="2"/>
  <c r="Q71" i="8"/>
  <c r="Q72" i="8" s="1"/>
  <c r="R521" i="2"/>
  <c r="Q219" i="8"/>
  <c r="Q220" i="8" s="1"/>
  <c r="Q174" i="2"/>
  <c r="P79" i="8"/>
  <c r="P80" i="8" s="1"/>
  <c r="Q63" i="2"/>
  <c r="R54" i="2"/>
  <c r="Q7" i="8"/>
  <c r="Q8" i="8" s="1"/>
  <c r="R237" i="2"/>
  <c r="Q127" i="8"/>
  <c r="Q128" i="8" s="1"/>
  <c r="Q578" i="2"/>
  <c r="P243" i="8"/>
  <c r="P244" i="8" s="1"/>
  <c r="Q637" i="2"/>
  <c r="P275" i="8"/>
  <c r="P276" i="8" s="1"/>
  <c r="R240" i="2"/>
  <c r="Q139" i="8"/>
  <c r="Q140" i="8" s="1"/>
  <c r="R461" i="2"/>
  <c r="Q183" i="8"/>
  <c r="Q184" i="8" s="1"/>
  <c r="Q634" i="2"/>
  <c r="P263" i="8"/>
  <c r="P264" i="8" s="1"/>
  <c r="R579" i="2"/>
  <c r="Q247" i="8"/>
  <c r="Q248" i="8" s="1"/>
  <c r="R55" i="2"/>
  <c r="Q11" i="8"/>
  <c r="Q12" i="8" s="1"/>
  <c r="R236" i="2"/>
  <c r="Q123" i="8"/>
  <c r="Q124" i="8" s="1"/>
  <c r="Q179" i="2"/>
  <c r="P99" i="8"/>
  <c r="P100" i="8" s="1"/>
  <c r="R238" i="2"/>
  <c r="Q131" i="8"/>
  <c r="Q132" i="8" s="1"/>
  <c r="R119" i="2"/>
  <c r="Q63" i="8"/>
  <c r="Q64" i="8" s="1"/>
  <c r="R118" i="2"/>
  <c r="Q59" i="8"/>
  <c r="Q60" i="8" s="1"/>
  <c r="R235" i="2"/>
  <c r="Q119" i="8"/>
  <c r="Q120" i="8" s="1"/>
  <c r="R241" i="2"/>
  <c r="Q143" i="8"/>
  <c r="Q144" i="8" s="1"/>
  <c r="Q574" i="2"/>
  <c r="P227" i="8"/>
  <c r="P228" i="8" s="1"/>
  <c r="R122" i="2"/>
  <c r="Q75" i="8"/>
  <c r="Q76" i="8" s="1"/>
  <c r="R456" i="2"/>
  <c r="Q163" i="8"/>
  <c r="Q164" i="8" s="1"/>
  <c r="R239" i="2"/>
  <c r="Q135" i="8"/>
  <c r="Q136" i="8" s="1"/>
  <c r="R62" i="2"/>
  <c r="Q39" i="8"/>
  <c r="Q40" i="8" s="1"/>
  <c r="R520" i="2"/>
  <c r="Q215" i="8"/>
  <c r="Q216" i="8" s="1"/>
  <c r="R518" i="2"/>
  <c r="Q207" i="8"/>
  <c r="Q208" i="8" s="1"/>
  <c r="R59" i="2"/>
  <c r="Q27" i="8"/>
  <c r="Q28" i="8" s="1"/>
  <c r="R114" i="2"/>
  <c r="Q123" i="2"/>
  <c r="Q43" i="8"/>
  <c r="Q44" i="8" s="1"/>
  <c r="Q243" i="2"/>
  <c r="R234" i="2"/>
  <c r="Q115" i="8"/>
  <c r="Q116" i="8" s="1"/>
  <c r="Q178" i="2"/>
  <c r="P95" i="8"/>
  <c r="P96" i="8" s="1"/>
  <c r="Q636" i="2"/>
  <c r="P271" i="8"/>
  <c r="P272" i="8" s="1"/>
  <c r="Q577" i="2"/>
  <c r="P239" i="8"/>
  <c r="P240" i="8" s="1"/>
  <c r="R61" i="2"/>
  <c r="Q35" i="8"/>
  <c r="Q36" i="8" s="1"/>
  <c r="R516" i="2"/>
  <c r="Q199" i="8"/>
  <c r="Q200" i="8" s="1"/>
  <c r="Q635" i="2"/>
  <c r="P267" i="8"/>
  <c r="P268" i="8" s="1"/>
  <c r="Q177" i="2"/>
  <c r="P91" i="8"/>
  <c r="P92" i="8" s="1"/>
  <c r="R458" i="2"/>
  <c r="Q171" i="8"/>
  <c r="Q172" i="8" s="1"/>
  <c r="P175" i="2"/>
  <c r="O83" i="8"/>
  <c r="O84" i="8" s="1"/>
  <c r="P180" i="2"/>
  <c r="O103" i="8"/>
  <c r="O104" i="8" s="1"/>
  <c r="Q580" i="2"/>
  <c r="P251" i="8"/>
  <c r="P252" i="8" s="1"/>
  <c r="R519" i="2"/>
  <c r="Q211" i="8"/>
  <c r="Q212" i="8" s="1"/>
  <c r="R120" i="2"/>
  <c r="Q67" i="8"/>
  <c r="Q68" i="8" s="1"/>
  <c r="R575" i="2"/>
  <c r="Q231" i="8"/>
  <c r="Q232" i="8" s="1"/>
  <c r="Q182" i="2"/>
  <c r="P111" i="8"/>
  <c r="P112" i="8" s="1"/>
  <c r="R58" i="2"/>
  <c r="Q23" i="8"/>
  <c r="Q24" i="8" s="1"/>
  <c r="R60" i="2"/>
  <c r="Q31" i="8"/>
  <c r="Q32" i="8" s="1"/>
  <c r="R514" i="2"/>
  <c r="Q191" i="8"/>
  <c r="Q192" i="8" s="1"/>
  <c r="R455" i="2"/>
  <c r="Q159" i="8"/>
  <c r="Q160" i="8" s="1"/>
  <c r="R457" i="2"/>
  <c r="Q167" i="8"/>
  <c r="Q168" i="8" s="1"/>
  <c r="Q459" i="2"/>
  <c r="P175" i="8"/>
  <c r="P176" i="8" s="1"/>
  <c r="Q639" i="2"/>
  <c r="P283" i="8"/>
  <c r="P284" i="8" s="1"/>
  <c r="Q460" i="2"/>
  <c r="P179" i="8"/>
  <c r="P180" i="8" s="1"/>
  <c r="R576" i="2"/>
  <c r="Q235" i="8"/>
  <c r="Q236" i="8" s="1"/>
  <c r="R115" i="2"/>
  <c r="Q47" i="8"/>
  <c r="Q48" i="8" s="1"/>
  <c r="Q181" i="2"/>
  <c r="P107" i="8"/>
  <c r="P108" i="8" s="1"/>
  <c r="S117" i="2"/>
  <c r="R55" i="8"/>
  <c r="R56" i="8" s="1"/>
  <c r="R56" i="2"/>
  <c r="Q15" i="8"/>
  <c r="Q16" i="8" s="1"/>
  <c r="R116" i="2"/>
  <c r="Q51" i="8"/>
  <c r="Q52" i="8" s="1"/>
  <c r="R515" i="2"/>
  <c r="Q195" i="8"/>
  <c r="Q196" i="8" s="1"/>
  <c r="Q176" i="2"/>
  <c r="P87" i="8"/>
  <c r="P88" i="8" s="1"/>
  <c r="Q641" i="2"/>
  <c r="P291" i="8"/>
  <c r="P292" i="8" s="1"/>
  <c r="R57" i="2"/>
  <c r="Q19" i="8"/>
  <c r="Q20" i="8" s="1"/>
  <c r="Q640" i="2"/>
  <c r="P287" i="8"/>
  <c r="P288" i="8" s="1"/>
  <c r="R453" i="2"/>
  <c r="Q151" i="8"/>
  <c r="Q152" i="8" s="1"/>
  <c r="R581" i="2"/>
  <c r="Q255" i="8"/>
  <c r="Q256" i="8" s="1"/>
  <c r="R517" i="2"/>
  <c r="Q203" i="8"/>
  <c r="Q204" i="8" s="1"/>
  <c r="R242" i="2"/>
  <c r="Q147" i="8"/>
  <c r="Q148" i="8" s="1"/>
  <c r="T386" i="2" l="1"/>
  <c r="T928" i="8" s="1"/>
  <c r="T929" i="8" s="1"/>
  <c r="P183" i="2"/>
  <c r="V1096" i="8"/>
  <c r="V1097" i="8" s="1"/>
  <c r="V721" i="2"/>
  <c r="V1128" i="8" s="1"/>
  <c r="V1129" i="8" s="1"/>
  <c r="AC721" i="2"/>
  <c r="AC1128" i="8" s="1"/>
  <c r="AC1129" i="8" s="1"/>
  <c r="AC1096" i="8"/>
  <c r="AC1097" i="8" s="1"/>
  <c r="O785" i="2"/>
  <c r="O1324" i="8" s="1"/>
  <c r="O1325" i="8" s="1"/>
  <c r="O1260" i="8"/>
  <c r="O1261" i="8" s="1"/>
  <c r="O770" i="2"/>
  <c r="O1292" i="8" s="1"/>
  <c r="O1293" i="8" s="1"/>
  <c r="AD325" i="2"/>
  <c r="AD744" i="8" s="1"/>
  <c r="AD745" i="8" s="1"/>
  <c r="AD712" i="8"/>
  <c r="AD713" i="8" s="1"/>
  <c r="AA322" i="2"/>
  <c r="AA732" i="8" s="1"/>
  <c r="AA733" i="8" s="1"/>
  <c r="AA700" i="8"/>
  <c r="AA701" i="8" s="1"/>
  <c r="Q386" i="2"/>
  <c r="Q928" i="8" s="1"/>
  <c r="Q929" i="8" s="1"/>
  <c r="Q864" i="8"/>
  <c r="Q865" i="8" s="1"/>
  <c r="Q371" i="2"/>
  <c r="Q896" i="8" s="1"/>
  <c r="Q897" i="8" s="1"/>
  <c r="R784" i="2"/>
  <c r="R1320" i="8" s="1"/>
  <c r="R1321" i="8" s="1"/>
  <c r="U1104" i="8"/>
  <c r="U1105" i="8" s="1"/>
  <c r="U723" i="2"/>
  <c r="U1136" i="8" s="1"/>
  <c r="U1137" i="8" s="1"/>
  <c r="X724" i="2"/>
  <c r="X1140" i="8" s="1"/>
  <c r="X1141" i="8" s="1"/>
  <c r="X1108" i="8"/>
  <c r="X1109" i="8" s="1"/>
  <c r="V1108" i="8"/>
  <c r="V1109" i="8" s="1"/>
  <c r="V724" i="2"/>
  <c r="V1140" i="8" s="1"/>
  <c r="V1141" i="8" s="1"/>
  <c r="F1117" i="8"/>
  <c r="Q1104" i="8"/>
  <c r="Q1105" i="8" s="1"/>
  <c r="Q723" i="2"/>
  <c r="Q1136" i="8" s="1"/>
  <c r="Q1137" i="8" s="1"/>
  <c r="X1104" i="8"/>
  <c r="X1105" i="8" s="1"/>
  <c r="X723" i="2"/>
  <c r="X1136" i="8" s="1"/>
  <c r="X1137" i="8" s="1"/>
  <c r="AE720" i="2"/>
  <c r="AE1124" i="8" s="1"/>
  <c r="AE1125" i="8" s="1"/>
  <c r="AE1092" i="8"/>
  <c r="AE1093" i="8" s="1"/>
  <c r="O223" i="8"/>
  <c r="O224" i="8" s="1"/>
  <c r="O582" i="2"/>
  <c r="P573" i="2"/>
  <c r="L1096" i="8"/>
  <c r="L1097" i="8" s="1"/>
  <c r="L721" i="2"/>
  <c r="L1128" i="8" s="1"/>
  <c r="L1129" i="8" s="1"/>
  <c r="U1096" i="8"/>
  <c r="U1097" i="8" s="1"/>
  <c r="U721" i="2"/>
  <c r="U1128" i="8" s="1"/>
  <c r="U1129" i="8" s="1"/>
  <c r="AE1088" i="8"/>
  <c r="AE1089" i="8" s="1"/>
  <c r="AE719" i="2"/>
  <c r="AE1120" i="8" s="1"/>
  <c r="AE1121" i="8" s="1"/>
  <c r="Q1260" i="8"/>
  <c r="Q1261" i="8" s="1"/>
  <c r="Q770" i="2"/>
  <c r="Q1292" i="8" s="1"/>
  <c r="Q1293" i="8" s="1"/>
  <c r="Q785" i="2"/>
  <c r="Q1324" i="8" s="1"/>
  <c r="Q1325" i="8" s="1"/>
  <c r="F1133" i="8"/>
  <c r="AC325" i="2"/>
  <c r="AC744" i="8" s="1"/>
  <c r="AC745" i="8" s="1"/>
  <c r="AC712" i="8"/>
  <c r="AC713" i="8" s="1"/>
  <c r="P712" i="8"/>
  <c r="P713" i="8" s="1"/>
  <c r="P325" i="2"/>
  <c r="P744" i="8" s="1"/>
  <c r="P745" i="8" s="1"/>
  <c r="O708" i="8"/>
  <c r="O709" i="8" s="1"/>
  <c r="O324" i="2"/>
  <c r="O740" i="8" s="1"/>
  <c r="O741" i="8" s="1"/>
  <c r="AC324" i="2"/>
  <c r="AC740" i="8" s="1"/>
  <c r="AC741" i="8" s="1"/>
  <c r="AC708" i="8"/>
  <c r="AC709" i="8" s="1"/>
  <c r="U716" i="8"/>
  <c r="U717" i="8" s="1"/>
  <c r="U326" i="2"/>
  <c r="U748" i="8" s="1"/>
  <c r="U749" i="8" s="1"/>
  <c r="O725" i="2"/>
  <c r="O1144" i="8" s="1"/>
  <c r="O1145" i="8" s="1"/>
  <c r="O1112" i="8"/>
  <c r="O1113" i="8" s="1"/>
  <c r="M700" i="8"/>
  <c r="M701" i="8" s="1"/>
  <c r="M322" i="2"/>
  <c r="M732" i="8" s="1"/>
  <c r="M733" i="8" s="1"/>
  <c r="N322" i="2"/>
  <c r="N732" i="8" s="1"/>
  <c r="N733" i="8" s="1"/>
  <c r="N700" i="8"/>
  <c r="N701" i="8" s="1"/>
  <c r="AE692" i="8"/>
  <c r="AE693" i="8" s="1"/>
  <c r="AE320" i="2"/>
  <c r="AE724" i="8" s="1"/>
  <c r="AE725" i="8" s="1"/>
  <c r="Q692" i="8"/>
  <c r="Q693" i="8" s="1"/>
  <c r="Q320" i="2"/>
  <c r="Q724" i="8" s="1"/>
  <c r="Q725" i="8" s="1"/>
  <c r="R980" i="8"/>
  <c r="R981" i="8" s="1"/>
  <c r="R250" i="2"/>
  <c r="W1104" i="8"/>
  <c r="W1105" i="8" s="1"/>
  <c r="W723" i="2"/>
  <c r="W1136" i="8" s="1"/>
  <c r="W1137" i="8" s="1"/>
  <c r="P720" i="2"/>
  <c r="P1124" i="8" s="1"/>
  <c r="P1125" i="8" s="1"/>
  <c r="P1092" i="8"/>
  <c r="P1093" i="8" s="1"/>
  <c r="P708" i="8"/>
  <c r="P709" i="8" s="1"/>
  <c r="P324" i="2"/>
  <c r="P740" i="8" s="1"/>
  <c r="P741" i="8" s="1"/>
  <c r="Z1112" i="8"/>
  <c r="Z1113" i="8" s="1"/>
  <c r="Z725" i="2"/>
  <c r="Z1144" i="8" s="1"/>
  <c r="Z1145" i="8" s="1"/>
  <c r="Z692" i="8"/>
  <c r="Z693" i="8" s="1"/>
  <c r="Z320" i="2"/>
  <c r="Z724" i="8" s="1"/>
  <c r="Z725" i="8" s="1"/>
  <c r="X1096" i="8"/>
  <c r="X1097" i="8" s="1"/>
  <c r="X721" i="2"/>
  <c r="X1128" i="8" s="1"/>
  <c r="X1129" i="8" s="1"/>
  <c r="M385" i="2"/>
  <c r="M880" i="8"/>
  <c r="M881" i="8" s="1"/>
  <c r="W708" i="8"/>
  <c r="W709" i="8" s="1"/>
  <c r="W324" i="2"/>
  <c r="W740" i="8" s="1"/>
  <c r="W741" i="8" s="1"/>
  <c r="Z321" i="2"/>
  <c r="Z728" i="8" s="1"/>
  <c r="Z729" i="8" s="1"/>
  <c r="Z696" i="8"/>
  <c r="Z697" i="8" s="1"/>
  <c r="AD700" i="8"/>
  <c r="AD701" i="8" s="1"/>
  <c r="AD322" i="2"/>
  <c r="AD732" i="8" s="1"/>
  <c r="AD733" i="8" s="1"/>
  <c r="AB320" i="2"/>
  <c r="AB724" i="8" s="1"/>
  <c r="AB725" i="8" s="1"/>
  <c r="AB692" i="8"/>
  <c r="AB693" i="8" s="1"/>
  <c r="S788" i="2"/>
  <c r="S1336" i="8" s="1"/>
  <c r="S1337" i="8" s="1"/>
  <c r="O1108" i="8"/>
  <c r="O1109" i="8" s="1"/>
  <c r="O724" i="2"/>
  <c r="O1140" i="8" s="1"/>
  <c r="O1141" i="8" s="1"/>
  <c r="F1149" i="8"/>
  <c r="O723" i="2"/>
  <c r="O1136" i="8" s="1"/>
  <c r="O1137" i="8" s="1"/>
  <c r="O1104" i="8"/>
  <c r="O1105" i="8" s="1"/>
  <c r="L723" i="2"/>
  <c r="L1136" i="8" s="1"/>
  <c r="L1137" i="8" s="1"/>
  <c r="L1104" i="8"/>
  <c r="L1105" i="8" s="1"/>
  <c r="Z1092" i="8"/>
  <c r="Z1093" i="8" s="1"/>
  <c r="Z720" i="2"/>
  <c r="Z1124" i="8" s="1"/>
  <c r="Z1125" i="8" s="1"/>
  <c r="V720" i="2"/>
  <c r="V1124" i="8" s="1"/>
  <c r="V1125" i="8" s="1"/>
  <c r="V1092" i="8"/>
  <c r="V1093" i="8" s="1"/>
  <c r="W1096" i="8"/>
  <c r="W1097" i="8" s="1"/>
  <c r="W721" i="2"/>
  <c r="W1128" i="8" s="1"/>
  <c r="W1129" i="8" s="1"/>
  <c r="AC1088" i="8"/>
  <c r="AC1089" i="8" s="1"/>
  <c r="AC719" i="2"/>
  <c r="AC1120" i="8" s="1"/>
  <c r="AC1121" i="8" s="1"/>
  <c r="P785" i="2"/>
  <c r="P1324" i="8" s="1"/>
  <c r="P1325" i="8" s="1"/>
  <c r="P1260" i="8"/>
  <c r="P1261" i="8" s="1"/>
  <c r="F1101" i="8"/>
  <c r="AB325" i="2"/>
  <c r="AB744" i="8" s="1"/>
  <c r="AB745" i="8" s="1"/>
  <c r="AB712" i="8"/>
  <c r="AB713" i="8" s="1"/>
  <c r="Y325" i="2"/>
  <c r="Y744" i="8" s="1"/>
  <c r="Y745" i="8" s="1"/>
  <c r="Y712" i="8"/>
  <c r="Y713" i="8" s="1"/>
  <c r="Q880" i="8"/>
  <c r="Q881" i="8" s="1"/>
  <c r="Q385" i="2"/>
  <c r="V708" i="8"/>
  <c r="V709" i="8" s="1"/>
  <c r="V324" i="2"/>
  <c r="V740" i="8" s="1"/>
  <c r="V741" i="8" s="1"/>
  <c r="AB716" i="8"/>
  <c r="AB717" i="8" s="1"/>
  <c r="AB326" i="2"/>
  <c r="AB748" i="8" s="1"/>
  <c r="AB749" i="8" s="1"/>
  <c r="AE716" i="8"/>
  <c r="AE717" i="8" s="1"/>
  <c r="AE326" i="2"/>
  <c r="AE748" i="8" s="1"/>
  <c r="AE749" i="8" s="1"/>
  <c r="AE1112" i="8"/>
  <c r="AE1113" i="8" s="1"/>
  <c r="AE725" i="2"/>
  <c r="AE1144" i="8" s="1"/>
  <c r="AE1145" i="8" s="1"/>
  <c r="W725" i="2"/>
  <c r="W1144" i="8" s="1"/>
  <c r="W1145" i="8" s="1"/>
  <c r="W1112" i="8"/>
  <c r="W1113" i="8" s="1"/>
  <c r="Q700" i="8"/>
  <c r="Q701" i="8" s="1"/>
  <c r="Q322" i="2"/>
  <c r="Q732" i="8" s="1"/>
  <c r="Q733" i="8" s="1"/>
  <c r="V322" i="2"/>
  <c r="V732" i="8" s="1"/>
  <c r="V733" i="8" s="1"/>
  <c r="V700" i="8"/>
  <c r="V701" i="8" s="1"/>
  <c r="F737" i="8"/>
  <c r="N692" i="8"/>
  <c r="N693" i="8" s="1"/>
  <c r="N320" i="2"/>
  <c r="N724" i="8" s="1"/>
  <c r="N725" i="8" s="1"/>
  <c r="S692" i="8"/>
  <c r="S693" i="8" s="1"/>
  <c r="S320" i="2"/>
  <c r="S724" i="8" s="1"/>
  <c r="S725" i="8" s="1"/>
  <c r="R864" i="8"/>
  <c r="R865" i="8" s="1"/>
  <c r="R386" i="2"/>
  <c r="R928" i="8" s="1"/>
  <c r="R929" i="8" s="1"/>
  <c r="N785" i="2"/>
  <c r="N1324" i="8" s="1"/>
  <c r="N1325" i="8" s="1"/>
  <c r="N1260" i="8"/>
  <c r="N1261" i="8" s="1"/>
  <c r="N770" i="2"/>
  <c r="N1292" i="8" s="1"/>
  <c r="N1293" i="8" s="1"/>
  <c r="AB1108" i="8"/>
  <c r="AB1109" i="8" s="1"/>
  <c r="AB724" i="2"/>
  <c r="AB1140" i="8" s="1"/>
  <c r="AB1141" i="8" s="1"/>
  <c r="M1096" i="8"/>
  <c r="M1097" i="8" s="1"/>
  <c r="M721" i="2"/>
  <c r="M1128" i="8" s="1"/>
  <c r="M1129" i="8" s="1"/>
  <c r="L712" i="8"/>
  <c r="L713" i="8" s="1"/>
  <c r="L325" i="2"/>
  <c r="L744" i="8" s="1"/>
  <c r="L745" i="8" s="1"/>
  <c r="X1112" i="8"/>
  <c r="X1113" i="8" s="1"/>
  <c r="X725" i="2"/>
  <c r="X1144" i="8" s="1"/>
  <c r="X1145" i="8" s="1"/>
  <c r="R700" i="8"/>
  <c r="R701" i="8" s="1"/>
  <c r="R322" i="2"/>
  <c r="R732" i="8" s="1"/>
  <c r="R733" i="8" s="1"/>
  <c r="O864" i="8"/>
  <c r="O865" i="8" s="1"/>
  <c r="O386" i="2"/>
  <c r="O928" i="8" s="1"/>
  <c r="O929" i="8" s="1"/>
  <c r="O371" i="2"/>
  <c r="O896" i="8" s="1"/>
  <c r="O897" i="8" s="1"/>
  <c r="P1108" i="8"/>
  <c r="P1109" i="8" s="1"/>
  <c r="P724" i="2"/>
  <c r="P1140" i="8" s="1"/>
  <c r="P1141" i="8" s="1"/>
  <c r="AA1108" i="8"/>
  <c r="AA1109" i="8" s="1"/>
  <c r="AA724" i="2"/>
  <c r="AA1140" i="8" s="1"/>
  <c r="AA1141" i="8" s="1"/>
  <c r="M1276" i="8"/>
  <c r="M1277" i="8" s="1"/>
  <c r="M784" i="2"/>
  <c r="V723" i="2"/>
  <c r="V1136" i="8" s="1"/>
  <c r="V1137" i="8" s="1"/>
  <c r="V1104" i="8"/>
  <c r="V1105" i="8" s="1"/>
  <c r="Y1092" i="8"/>
  <c r="Y1093" i="8" s="1"/>
  <c r="Y720" i="2"/>
  <c r="Y1124" i="8" s="1"/>
  <c r="Y1125" i="8" s="1"/>
  <c r="AD720" i="2"/>
  <c r="AD1124" i="8" s="1"/>
  <c r="AD1125" i="8" s="1"/>
  <c r="AD1092" i="8"/>
  <c r="AD1093" i="8" s="1"/>
  <c r="AB1096" i="8"/>
  <c r="AB1097" i="8" s="1"/>
  <c r="AB721" i="2"/>
  <c r="AB1128" i="8" s="1"/>
  <c r="AB1129" i="8" s="1"/>
  <c r="L1088" i="8"/>
  <c r="L1089" i="8" s="1"/>
  <c r="L719" i="2"/>
  <c r="L1120" i="8" s="1"/>
  <c r="L1121" i="8" s="1"/>
  <c r="L770" i="2"/>
  <c r="L1292" i="8" s="1"/>
  <c r="L1293" i="8" s="1"/>
  <c r="L785" i="2"/>
  <c r="L1324" i="8" s="1"/>
  <c r="L1325" i="8" s="1"/>
  <c r="L1260" i="8"/>
  <c r="L1261" i="8" s="1"/>
  <c r="R712" i="8"/>
  <c r="R713" i="8" s="1"/>
  <c r="R325" i="2"/>
  <c r="R744" i="8" s="1"/>
  <c r="R745" i="8" s="1"/>
  <c r="T712" i="8"/>
  <c r="T713" i="8" s="1"/>
  <c r="T325" i="2"/>
  <c r="T744" i="8" s="1"/>
  <c r="T745" i="8" s="1"/>
  <c r="N385" i="2"/>
  <c r="N880" i="8"/>
  <c r="N881" i="8" s="1"/>
  <c r="AA708" i="8"/>
  <c r="AA709" i="8" s="1"/>
  <c r="AA324" i="2"/>
  <c r="AA740" i="8" s="1"/>
  <c r="AA741" i="8" s="1"/>
  <c r="T716" i="8"/>
  <c r="T717" i="8" s="1"/>
  <c r="T326" i="2"/>
  <c r="T748" i="8" s="1"/>
  <c r="T749" i="8" s="1"/>
  <c r="U725" i="2"/>
  <c r="U1144" i="8" s="1"/>
  <c r="U1145" i="8" s="1"/>
  <c r="U1112" i="8"/>
  <c r="U1113" i="8" s="1"/>
  <c r="AA321" i="2"/>
  <c r="AA728" i="8" s="1"/>
  <c r="AA729" i="8" s="1"/>
  <c r="AA696" i="8"/>
  <c r="AA697" i="8" s="1"/>
  <c r="Y696" i="8"/>
  <c r="Y697" i="8" s="1"/>
  <c r="Y321" i="2"/>
  <c r="Y728" i="8" s="1"/>
  <c r="Y729" i="8" s="1"/>
  <c r="Z700" i="8"/>
  <c r="Z701" i="8" s="1"/>
  <c r="Z322" i="2"/>
  <c r="Z732" i="8" s="1"/>
  <c r="Z733" i="8" s="1"/>
  <c r="F705" i="8"/>
  <c r="N386" i="2"/>
  <c r="N928" i="8" s="1"/>
  <c r="N929" i="8" s="1"/>
  <c r="N864" i="8"/>
  <c r="N865" i="8" s="1"/>
  <c r="N371" i="2"/>
  <c r="N896" i="8" s="1"/>
  <c r="N897" i="8" s="1"/>
  <c r="AD692" i="8"/>
  <c r="AD693" i="8" s="1"/>
  <c r="AD320" i="2"/>
  <c r="AD724" i="8" s="1"/>
  <c r="AD725" i="8" s="1"/>
  <c r="R1376" i="8"/>
  <c r="R1377" i="8" s="1"/>
  <c r="R649" i="2"/>
  <c r="O721" i="2"/>
  <c r="O1128" i="8" s="1"/>
  <c r="O1129" i="8" s="1"/>
  <c r="O1096" i="8"/>
  <c r="O1097" i="8" s="1"/>
  <c r="AA719" i="2"/>
  <c r="AA1120" i="8" s="1"/>
  <c r="AA1121" i="8" s="1"/>
  <c r="AA1088" i="8"/>
  <c r="AA1089" i="8" s="1"/>
  <c r="L371" i="2"/>
  <c r="L896" i="8" s="1"/>
  <c r="L897" i="8" s="1"/>
  <c r="L385" i="2"/>
  <c r="L880" i="8"/>
  <c r="L881" i="8" s="1"/>
  <c r="AC696" i="8"/>
  <c r="AC697" i="8" s="1"/>
  <c r="AC321" i="2"/>
  <c r="AC728" i="8" s="1"/>
  <c r="AC729" i="8" s="1"/>
  <c r="S322" i="2"/>
  <c r="S732" i="8" s="1"/>
  <c r="S733" i="8" s="1"/>
  <c r="S700" i="8"/>
  <c r="S701" i="8" s="1"/>
  <c r="O700" i="8"/>
  <c r="O701" i="8" s="1"/>
  <c r="O322" i="2"/>
  <c r="O732" i="8" s="1"/>
  <c r="O733" i="8" s="1"/>
  <c r="AD1108" i="8"/>
  <c r="AD1109" i="8" s="1"/>
  <c r="AD724" i="2"/>
  <c r="AD1140" i="8" s="1"/>
  <c r="AD1141" i="8" s="1"/>
  <c r="S321" i="2"/>
  <c r="S728" i="8" s="1"/>
  <c r="S729" i="8" s="1"/>
  <c r="S696" i="8"/>
  <c r="S697" i="8" s="1"/>
  <c r="N1108" i="8"/>
  <c r="N1109" i="8" s="1"/>
  <c r="N724" i="2"/>
  <c r="N1140" i="8" s="1"/>
  <c r="N1141" i="8" s="1"/>
  <c r="U1108" i="8"/>
  <c r="U1109" i="8" s="1"/>
  <c r="U724" i="2"/>
  <c r="U1140" i="8" s="1"/>
  <c r="U1141" i="8" s="1"/>
  <c r="N1104" i="8"/>
  <c r="N1105" i="8" s="1"/>
  <c r="N723" i="2"/>
  <c r="N1136" i="8" s="1"/>
  <c r="N1137" i="8" s="1"/>
  <c r="AA1104" i="8"/>
  <c r="AA1105" i="8" s="1"/>
  <c r="AA723" i="2"/>
  <c r="AA1136" i="8" s="1"/>
  <c r="AA1137" i="8" s="1"/>
  <c r="X1092" i="8"/>
  <c r="X1093" i="8" s="1"/>
  <c r="X720" i="2"/>
  <c r="X1124" i="8" s="1"/>
  <c r="X1125" i="8" s="1"/>
  <c r="U1092" i="8"/>
  <c r="U1093" i="8" s="1"/>
  <c r="U720" i="2"/>
  <c r="U1124" i="8" s="1"/>
  <c r="U1125" i="8" s="1"/>
  <c r="AE1096" i="8"/>
  <c r="AE1097" i="8" s="1"/>
  <c r="AE721" i="2"/>
  <c r="AE1128" i="8" s="1"/>
  <c r="AE1129" i="8" s="1"/>
  <c r="Z1088" i="8"/>
  <c r="Z1089" i="8" s="1"/>
  <c r="Z719" i="2"/>
  <c r="Z1120" i="8" s="1"/>
  <c r="Z1121" i="8" s="1"/>
  <c r="V1088" i="8"/>
  <c r="V1089" i="8" s="1"/>
  <c r="V719" i="2"/>
  <c r="V1120" i="8" s="1"/>
  <c r="V1121" i="8" s="1"/>
  <c r="N712" i="8"/>
  <c r="N713" i="8" s="1"/>
  <c r="N325" i="2"/>
  <c r="N744" i="8" s="1"/>
  <c r="N745" i="8" s="1"/>
  <c r="AE708" i="8"/>
  <c r="AE709" i="8" s="1"/>
  <c r="AE324" i="2"/>
  <c r="AE740" i="8" s="1"/>
  <c r="AE741" i="8" s="1"/>
  <c r="U708" i="8"/>
  <c r="U709" i="8" s="1"/>
  <c r="U324" i="2"/>
  <c r="U740" i="8" s="1"/>
  <c r="U741" i="8" s="1"/>
  <c r="AA716" i="8"/>
  <c r="AA717" i="8" s="1"/>
  <c r="AA326" i="2"/>
  <c r="AA748" i="8" s="1"/>
  <c r="AA749" i="8" s="1"/>
  <c r="Q326" i="2"/>
  <c r="Q748" i="8" s="1"/>
  <c r="Q749" i="8" s="1"/>
  <c r="Q716" i="8"/>
  <c r="Q717" i="8" s="1"/>
  <c r="M1112" i="8"/>
  <c r="M1113" i="8" s="1"/>
  <c r="M725" i="2"/>
  <c r="M1144" i="8" s="1"/>
  <c r="M1145" i="8" s="1"/>
  <c r="V725" i="2"/>
  <c r="V1144" i="8" s="1"/>
  <c r="V1145" i="8" s="1"/>
  <c r="V1112" i="8"/>
  <c r="V1113" i="8" s="1"/>
  <c r="AB696" i="8"/>
  <c r="AB697" i="8" s="1"/>
  <c r="AB321" i="2"/>
  <c r="AB728" i="8" s="1"/>
  <c r="AB729" i="8" s="1"/>
  <c r="L700" i="8"/>
  <c r="L701" i="8" s="1"/>
  <c r="L322" i="2"/>
  <c r="L732" i="8" s="1"/>
  <c r="L733" i="8" s="1"/>
  <c r="U700" i="8"/>
  <c r="U701" i="8" s="1"/>
  <c r="U322" i="2"/>
  <c r="U732" i="8" s="1"/>
  <c r="U733" i="8" s="1"/>
  <c r="M692" i="8"/>
  <c r="M693" i="8" s="1"/>
  <c r="M320" i="2"/>
  <c r="M724" i="8" s="1"/>
  <c r="M725" i="8" s="1"/>
  <c r="R692" i="8"/>
  <c r="R693" i="8" s="1"/>
  <c r="R320" i="2"/>
  <c r="R724" i="8" s="1"/>
  <c r="R725" i="8" s="1"/>
  <c r="O1088" i="8"/>
  <c r="O1089" i="8" s="1"/>
  <c r="O719" i="2"/>
  <c r="O1120" i="8" s="1"/>
  <c r="O1121" i="8" s="1"/>
  <c r="L708" i="8"/>
  <c r="L709" i="8" s="1"/>
  <c r="L324" i="2"/>
  <c r="L740" i="8" s="1"/>
  <c r="L741" i="8" s="1"/>
  <c r="Y723" i="2"/>
  <c r="Y1136" i="8" s="1"/>
  <c r="Y1137" i="8" s="1"/>
  <c r="Y1104" i="8"/>
  <c r="Y1105" i="8" s="1"/>
  <c r="N1096" i="8"/>
  <c r="N1097" i="8" s="1"/>
  <c r="N721" i="2"/>
  <c r="N1128" i="8" s="1"/>
  <c r="N1129" i="8" s="1"/>
  <c r="Q712" i="8"/>
  <c r="Q713" i="8" s="1"/>
  <c r="Q325" i="2"/>
  <c r="Q744" i="8" s="1"/>
  <c r="Q745" i="8" s="1"/>
  <c r="T748" i="2"/>
  <c r="T1220" i="8" s="1"/>
  <c r="T1221" i="8" s="1"/>
  <c r="R1108" i="8"/>
  <c r="R1109" i="8" s="1"/>
  <c r="R724" i="2"/>
  <c r="R1140" i="8" s="1"/>
  <c r="R1141" i="8" s="1"/>
  <c r="M719" i="2"/>
  <c r="M1120" i="8" s="1"/>
  <c r="M1121" i="8" s="1"/>
  <c r="M1088" i="8"/>
  <c r="M1089" i="8" s="1"/>
  <c r="S326" i="2"/>
  <c r="S748" i="8" s="1"/>
  <c r="S749" i="8" s="1"/>
  <c r="S716" i="8"/>
  <c r="S717" i="8" s="1"/>
  <c r="X696" i="8"/>
  <c r="X697" i="8" s="1"/>
  <c r="X321" i="2"/>
  <c r="X728" i="8" s="1"/>
  <c r="X729" i="8" s="1"/>
  <c r="P513" i="2"/>
  <c r="O187" i="8"/>
  <c r="O188" i="8" s="1"/>
  <c r="O522" i="2"/>
  <c r="W1108" i="8"/>
  <c r="W1109" i="8" s="1"/>
  <c r="W724" i="2"/>
  <c r="W1140" i="8" s="1"/>
  <c r="W1141" i="8" s="1"/>
  <c r="P770" i="2"/>
  <c r="P1292" i="8" s="1"/>
  <c r="P1293" i="8" s="1"/>
  <c r="P1276" i="8"/>
  <c r="P1277" i="8" s="1"/>
  <c r="P784" i="2"/>
  <c r="L1276" i="8"/>
  <c r="L1277" i="8" s="1"/>
  <c r="L784" i="2"/>
  <c r="R1092" i="8"/>
  <c r="R1093" i="8" s="1"/>
  <c r="R720" i="2"/>
  <c r="R1124" i="8" s="1"/>
  <c r="R1125" i="8" s="1"/>
  <c r="N1092" i="8"/>
  <c r="N1093" i="8" s="1"/>
  <c r="N720" i="2"/>
  <c r="N1124" i="8" s="1"/>
  <c r="N1125" i="8" s="1"/>
  <c r="S1096" i="8"/>
  <c r="S1097" i="8" s="1"/>
  <c r="S721" i="2"/>
  <c r="S1128" i="8" s="1"/>
  <c r="S1129" i="8" s="1"/>
  <c r="S1088" i="8"/>
  <c r="S1089" i="8" s="1"/>
  <c r="S719" i="2"/>
  <c r="S1120" i="8" s="1"/>
  <c r="S1121" i="8" s="1"/>
  <c r="Y1088" i="8"/>
  <c r="Y1089" i="8" s="1"/>
  <c r="Y719" i="2"/>
  <c r="Y1120" i="8" s="1"/>
  <c r="Y1121" i="8" s="1"/>
  <c r="V325" i="2"/>
  <c r="V744" i="8" s="1"/>
  <c r="V745" i="8" s="1"/>
  <c r="V712" i="8"/>
  <c r="V713" i="8" s="1"/>
  <c r="X712" i="8"/>
  <c r="X713" i="8" s="1"/>
  <c r="X325" i="2"/>
  <c r="X744" i="8" s="1"/>
  <c r="X745" i="8" s="1"/>
  <c r="N708" i="8"/>
  <c r="N709" i="8" s="1"/>
  <c r="N324" i="2"/>
  <c r="N740" i="8" s="1"/>
  <c r="N741" i="8" s="1"/>
  <c r="Z708" i="8"/>
  <c r="Z709" i="8" s="1"/>
  <c r="Z324" i="2"/>
  <c r="Z740" i="8" s="1"/>
  <c r="Z741" i="8" s="1"/>
  <c r="Z326" i="2"/>
  <c r="Z748" i="8" s="1"/>
  <c r="Z749" i="8" s="1"/>
  <c r="Z716" i="8"/>
  <c r="Z717" i="8" s="1"/>
  <c r="T725" i="2"/>
  <c r="T1144" i="8" s="1"/>
  <c r="T1145" i="8" s="1"/>
  <c r="T1112" i="8"/>
  <c r="T1113" i="8" s="1"/>
  <c r="AB1112" i="8"/>
  <c r="AB1113" i="8" s="1"/>
  <c r="AB725" i="2"/>
  <c r="AB1144" i="8" s="1"/>
  <c r="AB1145" i="8" s="1"/>
  <c r="P321" i="2"/>
  <c r="P728" i="8" s="1"/>
  <c r="P729" i="8" s="1"/>
  <c r="P696" i="8"/>
  <c r="P697" i="8" s="1"/>
  <c r="W696" i="8"/>
  <c r="W697" i="8" s="1"/>
  <c r="W321" i="2"/>
  <c r="W728" i="8" s="1"/>
  <c r="W729" i="8" s="1"/>
  <c r="L864" i="8"/>
  <c r="L865" i="8" s="1"/>
  <c r="L386" i="2"/>
  <c r="L928" i="8" s="1"/>
  <c r="L929" i="8" s="1"/>
  <c r="P692" i="8"/>
  <c r="P693" i="8" s="1"/>
  <c r="P320" i="2"/>
  <c r="P724" i="8" s="1"/>
  <c r="P725" i="8" s="1"/>
  <c r="X700" i="8"/>
  <c r="X701" i="8" s="1"/>
  <c r="X322" i="2"/>
  <c r="X732" i="8" s="1"/>
  <c r="X733" i="8" s="1"/>
  <c r="AB723" i="2"/>
  <c r="AB1136" i="8" s="1"/>
  <c r="AB1137" i="8" s="1"/>
  <c r="AB1104" i="8"/>
  <c r="AB1105" i="8" s="1"/>
  <c r="M724" i="2"/>
  <c r="M1140" i="8" s="1"/>
  <c r="M1141" i="8" s="1"/>
  <c r="M1108" i="8"/>
  <c r="M1109" i="8" s="1"/>
  <c r="T724" i="2"/>
  <c r="T1140" i="8" s="1"/>
  <c r="T1141" i="8" s="1"/>
  <c r="T1108" i="8"/>
  <c r="T1109" i="8" s="1"/>
  <c r="AE723" i="2"/>
  <c r="AE1136" i="8" s="1"/>
  <c r="AE1137" i="8" s="1"/>
  <c r="AE1104" i="8"/>
  <c r="AE1105" i="8" s="1"/>
  <c r="Q1276" i="8"/>
  <c r="Q1277" i="8" s="1"/>
  <c r="Q784" i="2"/>
  <c r="W1092" i="8"/>
  <c r="W1093" i="8" s="1"/>
  <c r="W720" i="2"/>
  <c r="W1124" i="8" s="1"/>
  <c r="W1125" i="8" s="1"/>
  <c r="Q1092" i="8"/>
  <c r="Q1093" i="8" s="1"/>
  <c r="Q720" i="2"/>
  <c r="Q1124" i="8" s="1"/>
  <c r="Q1125" i="8" s="1"/>
  <c r="AA721" i="2"/>
  <c r="AA1128" i="8" s="1"/>
  <c r="AA1129" i="8" s="1"/>
  <c r="AA1096" i="8"/>
  <c r="AA1097" i="8" s="1"/>
  <c r="AD1088" i="8"/>
  <c r="AD1089" i="8" s="1"/>
  <c r="AD719" i="2"/>
  <c r="AD1120" i="8" s="1"/>
  <c r="AD1121" i="8" s="1"/>
  <c r="U1088" i="8"/>
  <c r="U1089" i="8" s="1"/>
  <c r="U719" i="2"/>
  <c r="U1120" i="8" s="1"/>
  <c r="U1121" i="8" s="1"/>
  <c r="AA712" i="8"/>
  <c r="AA713" i="8" s="1"/>
  <c r="AA325" i="2"/>
  <c r="AA744" i="8" s="1"/>
  <c r="AA745" i="8" s="1"/>
  <c r="P385" i="2"/>
  <c r="P880" i="8"/>
  <c r="P881" i="8" s="1"/>
  <c r="T324" i="2"/>
  <c r="T740" i="8" s="1"/>
  <c r="T741" i="8" s="1"/>
  <c r="T708" i="8"/>
  <c r="T709" i="8" s="1"/>
  <c r="N716" i="8"/>
  <c r="N717" i="8" s="1"/>
  <c r="N326" i="2"/>
  <c r="N748" i="8" s="1"/>
  <c r="N749" i="8" s="1"/>
  <c r="L725" i="2"/>
  <c r="L1144" i="8" s="1"/>
  <c r="L1145" i="8" s="1"/>
  <c r="L1112" i="8"/>
  <c r="L1113" i="8" s="1"/>
  <c r="S1112" i="8"/>
  <c r="S1113" i="8" s="1"/>
  <c r="S725" i="2"/>
  <c r="S1144" i="8" s="1"/>
  <c r="S1145" i="8" s="1"/>
  <c r="O696" i="8"/>
  <c r="O697" i="8" s="1"/>
  <c r="O321" i="2"/>
  <c r="O728" i="8" s="1"/>
  <c r="O729" i="8" s="1"/>
  <c r="Y700" i="8"/>
  <c r="Y701" i="8" s="1"/>
  <c r="Y322" i="2"/>
  <c r="Y732" i="8" s="1"/>
  <c r="Y733" i="8" s="1"/>
  <c r="T322" i="2"/>
  <c r="T732" i="8" s="1"/>
  <c r="T733" i="8" s="1"/>
  <c r="T700" i="8"/>
  <c r="T701" i="8" s="1"/>
  <c r="W692" i="8"/>
  <c r="W693" i="8" s="1"/>
  <c r="W320" i="2"/>
  <c r="W724" i="8" s="1"/>
  <c r="W725" i="8" s="1"/>
  <c r="L692" i="8"/>
  <c r="L693" i="8" s="1"/>
  <c r="L320" i="2"/>
  <c r="L724" i="8" s="1"/>
  <c r="L725" i="8" s="1"/>
  <c r="R321" i="2"/>
  <c r="R728" i="8" s="1"/>
  <c r="R729" i="8" s="1"/>
  <c r="R696" i="8"/>
  <c r="R697" i="8" s="1"/>
  <c r="S723" i="2"/>
  <c r="S1136" i="8" s="1"/>
  <c r="S1137" i="8" s="1"/>
  <c r="S1104" i="8"/>
  <c r="S1105" i="8" s="1"/>
  <c r="T1092" i="8"/>
  <c r="T1093" i="8" s="1"/>
  <c r="T720" i="2"/>
  <c r="T1124" i="8" s="1"/>
  <c r="T1125" i="8" s="1"/>
  <c r="AC720" i="2"/>
  <c r="AC1124" i="8" s="1"/>
  <c r="AC1125" i="8" s="1"/>
  <c r="AC1092" i="8"/>
  <c r="AC1093" i="8" s="1"/>
  <c r="T1096" i="8"/>
  <c r="T1097" i="8" s="1"/>
  <c r="T721" i="2"/>
  <c r="T1128" i="8" s="1"/>
  <c r="T1129" i="8" s="1"/>
  <c r="P638" i="2"/>
  <c r="O642" i="2"/>
  <c r="O279" i="8"/>
  <c r="O280" i="8" s="1"/>
  <c r="X1088" i="8"/>
  <c r="X1089" i="8" s="1"/>
  <c r="X719" i="2"/>
  <c r="X1120" i="8" s="1"/>
  <c r="X1121" i="8" s="1"/>
  <c r="U712" i="8"/>
  <c r="U713" i="8" s="1"/>
  <c r="U325" i="2"/>
  <c r="U744" i="8" s="1"/>
  <c r="U745" i="8" s="1"/>
  <c r="M708" i="8"/>
  <c r="M709" i="8" s="1"/>
  <c r="M324" i="2"/>
  <c r="M740" i="8" s="1"/>
  <c r="M741" i="8" s="1"/>
  <c r="Y716" i="8"/>
  <c r="Y717" i="8" s="1"/>
  <c r="Y326" i="2"/>
  <c r="Y748" i="8" s="1"/>
  <c r="Y749" i="8" s="1"/>
  <c r="AD716" i="8"/>
  <c r="AD717" i="8" s="1"/>
  <c r="AD326" i="2"/>
  <c r="AD748" i="8" s="1"/>
  <c r="AD749" i="8" s="1"/>
  <c r="R1112" i="8"/>
  <c r="R1113" i="8" s="1"/>
  <c r="R725" i="2"/>
  <c r="R1144" i="8" s="1"/>
  <c r="R1145" i="8" s="1"/>
  <c r="AA1112" i="8"/>
  <c r="AA1113" i="8" s="1"/>
  <c r="AA725" i="2"/>
  <c r="AA1144" i="8" s="1"/>
  <c r="AA1145" i="8" s="1"/>
  <c r="Q696" i="8"/>
  <c r="Q697" i="8" s="1"/>
  <c r="Q321" i="2"/>
  <c r="Q728" i="8" s="1"/>
  <c r="Q729" i="8" s="1"/>
  <c r="V696" i="8"/>
  <c r="V697" i="8" s="1"/>
  <c r="V321" i="2"/>
  <c r="V728" i="8" s="1"/>
  <c r="V729" i="8" s="1"/>
  <c r="V692" i="8"/>
  <c r="V693" i="8" s="1"/>
  <c r="V320" i="2"/>
  <c r="V724" i="8" s="1"/>
  <c r="V725" i="8" s="1"/>
  <c r="AC692" i="8"/>
  <c r="AC693" i="8" s="1"/>
  <c r="AC320" i="2"/>
  <c r="AC724" i="8" s="1"/>
  <c r="AC725" i="8" s="1"/>
  <c r="S1092" i="8"/>
  <c r="S1093" i="8" s="1"/>
  <c r="S720" i="2"/>
  <c r="S1124" i="8" s="1"/>
  <c r="S1125" i="8" s="1"/>
  <c r="L724" i="2"/>
  <c r="L1140" i="8" s="1"/>
  <c r="L1141" i="8" s="1"/>
  <c r="L1108" i="8"/>
  <c r="L1109" i="8" s="1"/>
  <c r="S1108" i="8"/>
  <c r="S1109" i="8" s="1"/>
  <c r="S724" i="2"/>
  <c r="S1140" i="8" s="1"/>
  <c r="S1141" i="8" s="1"/>
  <c r="R723" i="2"/>
  <c r="R1136" i="8" s="1"/>
  <c r="R1137" i="8" s="1"/>
  <c r="R1104" i="8"/>
  <c r="R1105" i="8" s="1"/>
  <c r="O1276" i="8"/>
  <c r="O1277" i="8" s="1"/>
  <c r="O784" i="2"/>
  <c r="L1092" i="8"/>
  <c r="L1093" i="8" s="1"/>
  <c r="L720" i="2"/>
  <c r="L1124" i="8" s="1"/>
  <c r="L1125" i="8" s="1"/>
  <c r="AA1092" i="8"/>
  <c r="AA1093" i="8" s="1"/>
  <c r="AA720" i="2"/>
  <c r="AA1124" i="8" s="1"/>
  <c r="AA1125" i="8" s="1"/>
  <c r="R1096" i="8"/>
  <c r="R1097" i="8" s="1"/>
  <c r="R721" i="2"/>
  <c r="R1128" i="8" s="1"/>
  <c r="R1129" i="8" s="1"/>
  <c r="Z1096" i="8"/>
  <c r="Z1097" i="8" s="1"/>
  <c r="Z721" i="2"/>
  <c r="Z1128" i="8" s="1"/>
  <c r="Z1129" i="8" s="1"/>
  <c r="N1088" i="8"/>
  <c r="N1089" i="8" s="1"/>
  <c r="N719" i="2"/>
  <c r="N1120" i="8" s="1"/>
  <c r="N1121" i="8" s="1"/>
  <c r="W325" i="2"/>
  <c r="W744" i="8" s="1"/>
  <c r="W745" i="8" s="1"/>
  <c r="W712" i="8"/>
  <c r="W713" i="8" s="1"/>
  <c r="M712" i="8"/>
  <c r="M713" i="8" s="1"/>
  <c r="M325" i="2"/>
  <c r="M744" i="8" s="1"/>
  <c r="M745" i="8" s="1"/>
  <c r="Y708" i="8"/>
  <c r="Y709" i="8" s="1"/>
  <c r="Y324" i="2"/>
  <c r="Y740" i="8" s="1"/>
  <c r="Y741" i="8" s="1"/>
  <c r="R324" i="2"/>
  <c r="R740" i="8" s="1"/>
  <c r="R741" i="8" s="1"/>
  <c r="R708" i="8"/>
  <c r="R709" i="8" s="1"/>
  <c r="W716" i="8"/>
  <c r="W717" i="8" s="1"/>
  <c r="W326" i="2"/>
  <c r="W748" i="8" s="1"/>
  <c r="W749" i="8" s="1"/>
  <c r="AC716" i="8"/>
  <c r="AC717" i="8" s="1"/>
  <c r="AC326" i="2"/>
  <c r="AC748" i="8" s="1"/>
  <c r="AC749" i="8" s="1"/>
  <c r="AD725" i="2"/>
  <c r="AD1144" i="8" s="1"/>
  <c r="AD1145" i="8" s="1"/>
  <c r="AD1112" i="8"/>
  <c r="AD1113" i="8" s="1"/>
  <c r="N321" i="2"/>
  <c r="N728" i="8" s="1"/>
  <c r="N729" i="8" s="1"/>
  <c r="N696" i="8"/>
  <c r="N697" i="8" s="1"/>
  <c r="AB322" i="2"/>
  <c r="AB732" i="8" s="1"/>
  <c r="AB733" i="8" s="1"/>
  <c r="AB700" i="8"/>
  <c r="AB701" i="8" s="1"/>
  <c r="U692" i="8"/>
  <c r="U693" i="8" s="1"/>
  <c r="U320" i="2"/>
  <c r="U724" i="8" s="1"/>
  <c r="U725" i="8" s="1"/>
  <c r="O692" i="8"/>
  <c r="O693" i="8" s="1"/>
  <c r="O320" i="2"/>
  <c r="O724" i="8" s="1"/>
  <c r="O725" i="8" s="1"/>
  <c r="P700" i="8"/>
  <c r="P701" i="8" s="1"/>
  <c r="P322" i="2"/>
  <c r="P732" i="8" s="1"/>
  <c r="P733" i="8" s="1"/>
  <c r="T692" i="8"/>
  <c r="T693" i="8" s="1"/>
  <c r="T320" i="2"/>
  <c r="T724" i="8" s="1"/>
  <c r="T725" i="8" s="1"/>
  <c r="M864" i="8"/>
  <c r="M865" i="8" s="1"/>
  <c r="M386" i="2"/>
  <c r="M928" i="8" s="1"/>
  <c r="M929" i="8" s="1"/>
  <c r="M371" i="2"/>
  <c r="M896" i="8" s="1"/>
  <c r="M897" i="8" s="1"/>
  <c r="AD1104" i="8"/>
  <c r="AD1105" i="8" s="1"/>
  <c r="AD723" i="2"/>
  <c r="AD1136" i="8" s="1"/>
  <c r="AD1137" i="8" s="1"/>
  <c r="L716" i="8"/>
  <c r="L717" i="8" s="1"/>
  <c r="L326" i="2"/>
  <c r="L748" i="8" s="1"/>
  <c r="L749" i="8" s="1"/>
  <c r="AB708" i="8"/>
  <c r="AB709" i="8" s="1"/>
  <c r="AB324" i="2"/>
  <c r="AB740" i="8" s="1"/>
  <c r="AB741" i="8" s="1"/>
  <c r="S400" i="2"/>
  <c r="Z1104" i="8"/>
  <c r="Z1105" i="8" s="1"/>
  <c r="Z723" i="2"/>
  <c r="Z1136" i="8" s="1"/>
  <c r="Z1137" i="8" s="1"/>
  <c r="AC1104" i="8"/>
  <c r="AC1105" i="8" s="1"/>
  <c r="AC723" i="2"/>
  <c r="AC1136" i="8" s="1"/>
  <c r="AC1137" i="8" s="1"/>
  <c r="P1096" i="8"/>
  <c r="P1097" i="8" s="1"/>
  <c r="P721" i="2"/>
  <c r="P1128" i="8" s="1"/>
  <c r="P1129" i="8" s="1"/>
  <c r="R1088" i="8"/>
  <c r="R1089" i="8" s="1"/>
  <c r="R719" i="2"/>
  <c r="R1120" i="8" s="1"/>
  <c r="R1121" i="8" s="1"/>
  <c r="R880" i="8"/>
  <c r="R881" i="8" s="1"/>
  <c r="R385" i="2"/>
  <c r="AD324" i="2"/>
  <c r="AD740" i="8" s="1"/>
  <c r="AD741" i="8" s="1"/>
  <c r="AD708" i="8"/>
  <c r="AD709" i="8" s="1"/>
  <c r="X326" i="2"/>
  <c r="X748" i="8" s="1"/>
  <c r="X749" i="8" s="1"/>
  <c r="X716" i="8"/>
  <c r="X717" i="8" s="1"/>
  <c r="P326" i="2"/>
  <c r="P748" i="8" s="1"/>
  <c r="P749" i="8" s="1"/>
  <c r="P716" i="8"/>
  <c r="P717" i="8" s="1"/>
  <c r="P1112" i="8"/>
  <c r="P1113" i="8" s="1"/>
  <c r="P725" i="2"/>
  <c r="P1144" i="8" s="1"/>
  <c r="P1145" i="8" s="1"/>
  <c r="Q1112" i="8"/>
  <c r="Q1113" i="8" s="1"/>
  <c r="Q725" i="2"/>
  <c r="Q1144" i="8" s="1"/>
  <c r="Q1145" i="8" s="1"/>
  <c r="L696" i="8"/>
  <c r="L697" i="8" s="1"/>
  <c r="L321" i="2"/>
  <c r="L728" i="8" s="1"/>
  <c r="L729" i="8" s="1"/>
  <c r="AE1108" i="8"/>
  <c r="AE1109" i="8" s="1"/>
  <c r="AE724" i="2"/>
  <c r="AE1140" i="8" s="1"/>
  <c r="AE1141" i="8" s="1"/>
  <c r="P1104" i="8"/>
  <c r="P1105" i="8" s="1"/>
  <c r="P723" i="2"/>
  <c r="P1136" i="8" s="1"/>
  <c r="P1137" i="8" s="1"/>
  <c r="N1276" i="8"/>
  <c r="N1277" i="8" s="1"/>
  <c r="N784" i="2"/>
  <c r="AB1092" i="8"/>
  <c r="AB1093" i="8" s="1"/>
  <c r="AB720" i="2"/>
  <c r="AB1124" i="8" s="1"/>
  <c r="AB1125" i="8" s="1"/>
  <c r="Y721" i="2"/>
  <c r="Y1128" i="8" s="1"/>
  <c r="Y1129" i="8" s="1"/>
  <c r="Y1096" i="8"/>
  <c r="Y1097" i="8" s="1"/>
  <c r="AB1088" i="8"/>
  <c r="AB1089" i="8" s="1"/>
  <c r="AB719" i="2"/>
  <c r="AB1120" i="8" s="1"/>
  <c r="AB1121" i="8" s="1"/>
  <c r="P1088" i="8"/>
  <c r="P1089" i="8" s="1"/>
  <c r="P719" i="2"/>
  <c r="P1120" i="8" s="1"/>
  <c r="P1121" i="8" s="1"/>
  <c r="D4" i="8"/>
  <c r="F721" i="8"/>
  <c r="O712" i="8"/>
  <c r="O713" i="8" s="1"/>
  <c r="O325" i="2"/>
  <c r="O744" i="8" s="1"/>
  <c r="O745" i="8" s="1"/>
  <c r="S712" i="8"/>
  <c r="S713" i="8" s="1"/>
  <c r="S325" i="2"/>
  <c r="S744" i="8" s="1"/>
  <c r="S745" i="8" s="1"/>
  <c r="X708" i="8"/>
  <c r="X709" i="8" s="1"/>
  <c r="X324" i="2"/>
  <c r="X740" i="8" s="1"/>
  <c r="X741" i="8" s="1"/>
  <c r="O880" i="8"/>
  <c r="O881" i="8" s="1"/>
  <c r="O385" i="2"/>
  <c r="O716" i="8"/>
  <c r="O717" i="8" s="1"/>
  <c r="O326" i="2"/>
  <c r="O748" i="8" s="1"/>
  <c r="O749" i="8" s="1"/>
  <c r="Y1112" i="8"/>
  <c r="Y1113" i="8" s="1"/>
  <c r="Y725" i="2"/>
  <c r="Y1144" i="8" s="1"/>
  <c r="Y1145" i="8" s="1"/>
  <c r="AE696" i="8"/>
  <c r="AE697" i="8" s="1"/>
  <c r="AE321" i="2"/>
  <c r="AE728" i="8" s="1"/>
  <c r="AE729" i="8" s="1"/>
  <c r="M696" i="8"/>
  <c r="M697" i="8" s="1"/>
  <c r="M321" i="2"/>
  <c r="M728" i="8" s="1"/>
  <c r="M729" i="8" s="1"/>
  <c r="AE700" i="8"/>
  <c r="AE701" i="8" s="1"/>
  <c r="AE322" i="2"/>
  <c r="AE732" i="8" s="1"/>
  <c r="AE733" i="8" s="1"/>
  <c r="AA692" i="8"/>
  <c r="AA693" i="8" s="1"/>
  <c r="AA320" i="2"/>
  <c r="AA724" i="8" s="1"/>
  <c r="AA725" i="8" s="1"/>
  <c r="P864" i="8"/>
  <c r="P865" i="8" s="1"/>
  <c r="P386" i="2"/>
  <c r="P928" i="8" s="1"/>
  <c r="P929" i="8" s="1"/>
  <c r="P371" i="2"/>
  <c r="P896" i="8" s="1"/>
  <c r="P897" i="8" s="1"/>
  <c r="Z724" i="2"/>
  <c r="Z1140" i="8" s="1"/>
  <c r="Z1141" i="8" s="1"/>
  <c r="Z1108" i="8"/>
  <c r="Z1109" i="8" s="1"/>
  <c r="R326" i="2"/>
  <c r="R748" i="8" s="1"/>
  <c r="R749" i="8" s="1"/>
  <c r="R716" i="8"/>
  <c r="R717" i="8" s="1"/>
  <c r="X692" i="8"/>
  <c r="X693" i="8" s="1"/>
  <c r="X320" i="2"/>
  <c r="X724" i="8" s="1"/>
  <c r="X725" i="8" s="1"/>
  <c r="Y1108" i="8"/>
  <c r="Y1109" i="8" s="1"/>
  <c r="Y724" i="2"/>
  <c r="Y1140" i="8" s="1"/>
  <c r="Y1141" i="8" s="1"/>
  <c r="W1088" i="8"/>
  <c r="W1089" i="8" s="1"/>
  <c r="W719" i="2"/>
  <c r="W1120" i="8" s="1"/>
  <c r="W1121" i="8" s="1"/>
  <c r="AC1108" i="8"/>
  <c r="AC1109" i="8" s="1"/>
  <c r="AC724" i="2"/>
  <c r="AC1140" i="8" s="1"/>
  <c r="AC1141" i="8" s="1"/>
  <c r="R770" i="2"/>
  <c r="R1292" i="8" s="1"/>
  <c r="R1293" i="8" s="1"/>
  <c r="M1092" i="8"/>
  <c r="M1093" i="8" s="1"/>
  <c r="M720" i="2"/>
  <c r="M1124" i="8" s="1"/>
  <c r="M1125" i="8" s="1"/>
  <c r="Q1096" i="8"/>
  <c r="Q1097" i="8" s="1"/>
  <c r="Q721" i="2"/>
  <c r="Q1128" i="8" s="1"/>
  <c r="Q1129" i="8" s="1"/>
  <c r="T1088" i="8"/>
  <c r="T1089" i="8" s="1"/>
  <c r="T719" i="2"/>
  <c r="T1120" i="8" s="1"/>
  <c r="T1121" i="8" s="1"/>
  <c r="F753" i="8"/>
  <c r="U321" i="2"/>
  <c r="U728" i="8" s="1"/>
  <c r="U729" i="8" s="1"/>
  <c r="U696" i="8"/>
  <c r="U697" i="8" s="1"/>
  <c r="R371" i="2"/>
  <c r="R896" i="8" s="1"/>
  <c r="R897" i="8" s="1"/>
  <c r="Q1108" i="8"/>
  <c r="Q1109" i="8" s="1"/>
  <c r="Q724" i="2"/>
  <c r="Q1140" i="8" s="1"/>
  <c r="Q1141" i="8" s="1"/>
  <c r="T1104" i="8"/>
  <c r="T1105" i="8" s="1"/>
  <c r="T723" i="2"/>
  <c r="T1136" i="8" s="1"/>
  <c r="T1137" i="8" s="1"/>
  <c r="M1104" i="8"/>
  <c r="M1105" i="8" s="1"/>
  <c r="M723" i="2"/>
  <c r="M1136" i="8" s="1"/>
  <c r="M1137" i="8" s="1"/>
  <c r="O1092" i="8"/>
  <c r="O1093" i="8" s="1"/>
  <c r="O720" i="2"/>
  <c r="O1124" i="8" s="1"/>
  <c r="O1125" i="8" s="1"/>
  <c r="AD1096" i="8"/>
  <c r="AD1097" i="8" s="1"/>
  <c r="AD721" i="2"/>
  <c r="AD1128" i="8" s="1"/>
  <c r="AD1129" i="8" s="1"/>
  <c r="M1260" i="8"/>
  <c r="M1261" i="8" s="1"/>
  <c r="M785" i="2"/>
  <c r="M1324" i="8" s="1"/>
  <c r="M1325" i="8" s="1"/>
  <c r="M770" i="2"/>
  <c r="M1292" i="8" s="1"/>
  <c r="M1293" i="8" s="1"/>
  <c r="Q1088" i="8"/>
  <c r="Q1089" i="8" s="1"/>
  <c r="Q719" i="2"/>
  <c r="Q1120" i="8" s="1"/>
  <c r="Q1121" i="8" s="1"/>
  <c r="AE325" i="2"/>
  <c r="AE744" i="8" s="1"/>
  <c r="AE745" i="8" s="1"/>
  <c r="AE712" i="8"/>
  <c r="AE713" i="8" s="1"/>
  <c r="Z712" i="8"/>
  <c r="Z713" i="8" s="1"/>
  <c r="Z325" i="2"/>
  <c r="Z744" i="8" s="1"/>
  <c r="Z745" i="8" s="1"/>
  <c r="S324" i="2"/>
  <c r="S740" i="8" s="1"/>
  <c r="S741" i="8" s="1"/>
  <c r="S708" i="8"/>
  <c r="S709" i="8" s="1"/>
  <c r="Q324" i="2"/>
  <c r="Q740" i="8" s="1"/>
  <c r="Q741" i="8" s="1"/>
  <c r="Q708" i="8"/>
  <c r="Q709" i="8" s="1"/>
  <c r="V326" i="2"/>
  <c r="V748" i="8" s="1"/>
  <c r="V749" i="8" s="1"/>
  <c r="V716" i="8"/>
  <c r="V717" i="8" s="1"/>
  <c r="M326" i="2"/>
  <c r="M748" i="8" s="1"/>
  <c r="M749" i="8" s="1"/>
  <c r="M716" i="8"/>
  <c r="M717" i="8" s="1"/>
  <c r="AC725" i="2"/>
  <c r="AC1144" i="8" s="1"/>
  <c r="AC1145" i="8" s="1"/>
  <c r="AC1112" i="8"/>
  <c r="AC1113" i="8" s="1"/>
  <c r="N725" i="2"/>
  <c r="N1144" i="8" s="1"/>
  <c r="N1145" i="8" s="1"/>
  <c r="N1112" i="8"/>
  <c r="N1113" i="8" s="1"/>
  <c r="AD696" i="8"/>
  <c r="AD697" i="8" s="1"/>
  <c r="AD321" i="2"/>
  <c r="AD728" i="8" s="1"/>
  <c r="AD729" i="8" s="1"/>
  <c r="T696" i="8"/>
  <c r="T697" i="8" s="1"/>
  <c r="T321" i="2"/>
  <c r="T728" i="8" s="1"/>
  <c r="T729" i="8" s="1"/>
  <c r="W700" i="8"/>
  <c r="W701" i="8" s="1"/>
  <c r="W322" i="2"/>
  <c r="W732" i="8" s="1"/>
  <c r="W733" i="8" s="1"/>
  <c r="AC322" i="2"/>
  <c r="AC732" i="8" s="1"/>
  <c r="AC733" i="8" s="1"/>
  <c r="AC700" i="8"/>
  <c r="AC701" i="8" s="1"/>
  <c r="P454" i="2"/>
  <c r="O155" i="8"/>
  <c r="O156" i="8" s="1"/>
  <c r="O462" i="2"/>
  <c r="Y692" i="8"/>
  <c r="Y693" i="8" s="1"/>
  <c r="Y320" i="2"/>
  <c r="Y724" i="8" s="1"/>
  <c r="Y725" i="8" s="1"/>
  <c r="S386" i="2"/>
  <c r="S928" i="8" s="1"/>
  <c r="S929" i="8" s="1"/>
  <c r="T387" i="2"/>
  <c r="T932" i="8" s="1"/>
  <c r="T933" i="8" s="1"/>
  <c r="T367" i="2"/>
  <c r="T880" i="8" s="1"/>
  <c r="T881" i="8" s="1"/>
  <c r="T808" i="8"/>
  <c r="T809" i="8" s="1"/>
  <c r="T396" i="2"/>
  <c r="T964" i="8" s="1"/>
  <c r="T965" i="8" s="1"/>
  <c r="U612" i="8"/>
  <c r="U613" i="8" s="1"/>
  <c r="V280" i="2"/>
  <c r="U345" i="2"/>
  <c r="U334" i="2"/>
  <c r="U356" i="2" s="1"/>
  <c r="T844" i="8"/>
  <c r="T845" i="8" s="1"/>
  <c r="T772" i="8"/>
  <c r="T773" i="8" s="1"/>
  <c r="S371" i="2"/>
  <c r="S896" i="8" s="1"/>
  <c r="S897" i="8" s="1"/>
  <c r="S777" i="2"/>
  <c r="S1312" i="8" s="1"/>
  <c r="S1313" i="8" s="1"/>
  <c r="S389" i="2"/>
  <c r="S940" i="8" s="1"/>
  <c r="S941" i="8" s="1"/>
  <c r="T1260" i="8"/>
  <c r="T1261" i="8" s="1"/>
  <c r="U1016" i="8"/>
  <c r="U1017" i="8" s="1"/>
  <c r="V681" i="2"/>
  <c r="U735" i="2"/>
  <c r="U757" i="2" s="1"/>
  <c r="U746" i="2"/>
  <c r="S784" i="2"/>
  <c r="V624" i="8"/>
  <c r="V625" i="8" s="1"/>
  <c r="V337" i="2"/>
  <c r="V359" i="2" s="1"/>
  <c r="W283" i="2"/>
  <c r="V348" i="2"/>
  <c r="T1196" i="8"/>
  <c r="T1197" i="8" s="1"/>
  <c r="T793" i="2"/>
  <c r="T1352" i="8" s="1"/>
  <c r="T1353" i="8" s="1"/>
  <c r="T764" i="2"/>
  <c r="T1268" i="8" s="1"/>
  <c r="T1269" i="8" s="1"/>
  <c r="S378" i="2"/>
  <c r="S916" i="8" s="1"/>
  <c r="S917" i="8" s="1"/>
  <c r="T1212" i="8"/>
  <c r="T1213" i="8" s="1"/>
  <c r="T768" i="2"/>
  <c r="T1284" i="8" s="1"/>
  <c r="T1285" i="8" s="1"/>
  <c r="T797" i="2"/>
  <c r="T1368" i="8" s="1"/>
  <c r="T1369" i="8" s="1"/>
  <c r="T1176" i="8"/>
  <c r="T1177" i="8" s="1"/>
  <c r="T1248" i="8"/>
  <c r="T1249" i="8" s="1"/>
  <c r="U800" i="8"/>
  <c r="U801" i="8" s="1"/>
  <c r="U394" i="2"/>
  <c r="U956" i="8" s="1"/>
  <c r="U957" i="8" s="1"/>
  <c r="U365" i="2"/>
  <c r="U872" i="8" s="1"/>
  <c r="U873" i="8" s="1"/>
  <c r="T376" i="2"/>
  <c r="T908" i="8" s="1"/>
  <c r="T909" i="8" s="1"/>
  <c r="U820" i="8"/>
  <c r="U821" i="8" s="1"/>
  <c r="U399" i="2"/>
  <c r="U976" i="8" s="1"/>
  <c r="U977" i="8" s="1"/>
  <c r="U387" i="2"/>
  <c r="U932" i="8" s="1"/>
  <c r="U933" i="8" s="1"/>
  <c r="U370" i="2"/>
  <c r="U892" i="8" s="1"/>
  <c r="U893" i="8" s="1"/>
  <c r="U1000" i="8"/>
  <c r="U1001" i="8" s="1"/>
  <c r="U731" i="2"/>
  <c r="U753" i="2" s="1"/>
  <c r="V677" i="2"/>
  <c r="U742" i="2"/>
  <c r="V604" i="8"/>
  <c r="V605" i="8" s="1"/>
  <c r="W278" i="2"/>
  <c r="V343" i="2"/>
  <c r="V332" i="2"/>
  <c r="V354" i="2" s="1"/>
  <c r="U1152" i="8"/>
  <c r="U1153" i="8" s="1"/>
  <c r="T804" i="8"/>
  <c r="T805" i="8" s="1"/>
  <c r="T366" i="2"/>
  <c r="T876" i="8" s="1"/>
  <c r="T877" i="8" s="1"/>
  <c r="T395" i="2"/>
  <c r="T960" i="8" s="1"/>
  <c r="T961" i="8" s="1"/>
  <c r="W1020" i="8"/>
  <c r="W1021" i="8" s="1"/>
  <c r="X682" i="2"/>
  <c r="W747" i="2"/>
  <c r="W736" i="2"/>
  <c r="W758" i="2" s="1"/>
  <c r="X277" i="2"/>
  <c r="W600" i="8"/>
  <c r="W601" i="8" s="1"/>
  <c r="W342" i="2"/>
  <c r="W331" i="2"/>
  <c r="W353" i="2" s="1"/>
  <c r="S770" i="2"/>
  <c r="S1292" i="8" s="1"/>
  <c r="S1293" i="8" s="1"/>
  <c r="T1156" i="8"/>
  <c r="T1157" i="8" s="1"/>
  <c r="T1228" i="8"/>
  <c r="T1229" i="8" s="1"/>
  <c r="S774" i="2"/>
  <c r="S1300" i="8" s="1"/>
  <c r="S1301" i="8" s="1"/>
  <c r="S785" i="2"/>
  <c r="S1324" i="8" s="1"/>
  <c r="S1325" i="8" s="1"/>
  <c r="V760" i="8"/>
  <c r="V761" i="8" s="1"/>
  <c r="V832" i="8"/>
  <c r="V833" i="8" s="1"/>
  <c r="T1160" i="8"/>
  <c r="T1161" i="8" s="1"/>
  <c r="T1232" i="8"/>
  <c r="T1233" i="8" s="1"/>
  <c r="V1216" i="8"/>
  <c r="V1217" i="8" s="1"/>
  <c r="V769" i="2"/>
  <c r="V1288" i="8" s="1"/>
  <c r="V1289" i="8" s="1"/>
  <c r="V798" i="2"/>
  <c r="V1372" i="8" s="1"/>
  <c r="V1373" i="8" s="1"/>
  <c r="V992" i="8"/>
  <c r="V993" i="8" s="1"/>
  <c r="W675" i="2"/>
  <c r="V729" i="2"/>
  <c r="V751" i="2" s="1"/>
  <c r="V740" i="2"/>
  <c r="T768" i="8"/>
  <c r="T769" i="8" s="1"/>
  <c r="T840" i="8"/>
  <c r="T841" i="8" s="1"/>
  <c r="T864" i="8"/>
  <c r="T865" i="8" s="1"/>
  <c r="V596" i="8"/>
  <c r="V597" i="8" s="1"/>
  <c r="V330" i="2"/>
  <c r="V352" i="2" s="1"/>
  <c r="V341" i="2"/>
  <c r="W276" i="2"/>
  <c r="T1192" i="8"/>
  <c r="T1193" i="8" s="1"/>
  <c r="T792" i="2"/>
  <c r="T1348" i="8" s="1"/>
  <c r="T1349" i="8" s="1"/>
  <c r="T763" i="2"/>
  <c r="T1264" i="8" s="1"/>
  <c r="T1265" i="8" s="1"/>
  <c r="V796" i="8"/>
  <c r="V797" i="8" s="1"/>
  <c r="V364" i="2"/>
  <c r="V868" i="8" s="1"/>
  <c r="V869" i="8" s="1"/>
  <c r="V393" i="2"/>
  <c r="V952" i="8" s="1"/>
  <c r="V953" i="8" s="1"/>
  <c r="T349" i="2"/>
  <c r="T824" i="8" s="1"/>
  <c r="T825" i="8" s="1"/>
  <c r="S1296" i="8"/>
  <c r="S1297" i="8" s="1"/>
  <c r="U1172" i="8"/>
  <c r="U1173" i="8" s="1"/>
  <c r="U1244" i="8"/>
  <c r="U1245" i="8" s="1"/>
  <c r="U786" i="2"/>
  <c r="U1328" i="8" s="1"/>
  <c r="U1329" i="8" s="1"/>
  <c r="U1188" i="8"/>
  <c r="U1189" i="8" s="1"/>
  <c r="U762" i="2"/>
  <c r="U791" i="2"/>
  <c r="U792" i="8"/>
  <c r="U793" i="8" s="1"/>
  <c r="U392" i="2"/>
  <c r="U363" i="2"/>
  <c r="T948" i="8"/>
  <c r="T949" i="8" s="1"/>
  <c r="S360" i="2"/>
  <c r="S860" i="8" s="1"/>
  <c r="S861" i="8" s="1"/>
  <c r="U1208" i="8"/>
  <c r="U1209" i="8" s="1"/>
  <c r="U796" i="2"/>
  <c r="U1364" i="8" s="1"/>
  <c r="U1365" i="8" s="1"/>
  <c r="U767" i="2"/>
  <c r="U1280" i="8" s="1"/>
  <c r="U1281" i="8" s="1"/>
  <c r="S385" i="2"/>
  <c r="T780" i="8"/>
  <c r="T781" i="8" s="1"/>
  <c r="T852" i="8"/>
  <c r="T853" i="8" s="1"/>
  <c r="S799" i="2"/>
  <c r="U756" i="8"/>
  <c r="U757" i="8" s="1"/>
  <c r="U996" i="8"/>
  <c r="U997" i="8" s="1"/>
  <c r="U730" i="2"/>
  <c r="U752" i="2" s="1"/>
  <c r="V676" i="2"/>
  <c r="U741" i="2"/>
  <c r="V1008" i="8"/>
  <c r="V1009" i="8" s="1"/>
  <c r="V744" i="2"/>
  <c r="W679" i="2"/>
  <c r="V733" i="2"/>
  <c r="V755" i="2" s="1"/>
  <c r="V1012" i="8"/>
  <c r="V1013" i="8" s="1"/>
  <c r="V745" i="2"/>
  <c r="W680" i="2"/>
  <c r="V734" i="2"/>
  <c r="V756" i="2" s="1"/>
  <c r="T816" i="8"/>
  <c r="T817" i="8" s="1"/>
  <c r="T398" i="2"/>
  <c r="T972" i="8" s="1"/>
  <c r="T973" i="8" s="1"/>
  <c r="T369" i="2"/>
  <c r="T888" i="8" s="1"/>
  <c r="T889" i="8" s="1"/>
  <c r="U608" i="8"/>
  <c r="U609" i="8" s="1"/>
  <c r="U344" i="2"/>
  <c r="V279" i="2"/>
  <c r="U333" i="2"/>
  <c r="U355" i="2" s="1"/>
  <c r="R379" i="2"/>
  <c r="R920" i="8" s="1"/>
  <c r="R921" i="8" s="1"/>
  <c r="W776" i="8"/>
  <c r="W777" i="8" s="1"/>
  <c r="W848" i="8"/>
  <c r="W849" i="8" s="1"/>
  <c r="U1204" i="8"/>
  <c r="U1205" i="8" s="1"/>
  <c r="U766" i="2"/>
  <c r="U1276" i="8" s="1"/>
  <c r="U1277" i="8" s="1"/>
  <c r="U795" i="2"/>
  <c r="U1360" i="8" s="1"/>
  <c r="U1361" i="8" s="1"/>
  <c r="T338" i="2"/>
  <c r="T788" i="8" s="1"/>
  <c r="T789" i="8" s="1"/>
  <c r="U620" i="8"/>
  <c r="U621" i="8" s="1"/>
  <c r="V282" i="2"/>
  <c r="U347" i="2"/>
  <c r="U336" i="2"/>
  <c r="T1164" i="8"/>
  <c r="T1165" i="8" s="1"/>
  <c r="T1236" i="8"/>
  <c r="T1237" i="8" s="1"/>
  <c r="U764" i="8"/>
  <c r="U765" i="8" s="1"/>
  <c r="U836" i="8"/>
  <c r="U837" i="8" s="1"/>
  <c r="V1180" i="8"/>
  <c r="V1181" i="8" s="1"/>
  <c r="V1252" i="8"/>
  <c r="V1253" i="8" s="1"/>
  <c r="U784" i="8"/>
  <c r="U785" i="8" s="1"/>
  <c r="U856" i="8"/>
  <c r="U857" i="8" s="1"/>
  <c r="X616" i="8"/>
  <c r="X617" i="8" s="1"/>
  <c r="X346" i="2"/>
  <c r="Y281" i="2"/>
  <c r="X335" i="2"/>
  <c r="X357" i="2" s="1"/>
  <c r="T1344" i="8"/>
  <c r="T1345" i="8" s="1"/>
  <c r="T1224" i="8"/>
  <c r="T1225" i="8" s="1"/>
  <c r="U1168" i="8"/>
  <c r="U1169" i="8" s="1"/>
  <c r="U1240" i="8"/>
  <c r="U1241" i="8" s="1"/>
  <c r="T828" i="8"/>
  <c r="T829" i="8" s="1"/>
  <c r="R1296" i="8"/>
  <c r="R1297" i="8" s="1"/>
  <c r="R778" i="2"/>
  <c r="R1316" i="8" s="1"/>
  <c r="R1317" i="8" s="1"/>
  <c r="U1004" i="8"/>
  <c r="U1005" i="8" s="1"/>
  <c r="U743" i="2"/>
  <c r="U732" i="2"/>
  <c r="U754" i="2" s="1"/>
  <c r="V678" i="2"/>
  <c r="W812" i="8"/>
  <c r="W813" i="8" s="1"/>
  <c r="W397" i="2"/>
  <c r="W968" i="8" s="1"/>
  <c r="W969" i="8" s="1"/>
  <c r="W368" i="2"/>
  <c r="W884" i="8" s="1"/>
  <c r="W885" i="8" s="1"/>
  <c r="T737" i="2"/>
  <c r="T1184" i="8" s="1"/>
  <c r="T1185" i="8" s="1"/>
  <c r="S374" i="2"/>
  <c r="T1200" i="8"/>
  <c r="T1201" i="8" s="1"/>
  <c r="T765" i="2"/>
  <c r="T1272" i="8" s="1"/>
  <c r="T1273" i="8" s="1"/>
  <c r="T794" i="2"/>
  <c r="T1356" i="8" s="1"/>
  <c r="T1357" i="8" s="1"/>
  <c r="S56" i="2"/>
  <c r="R15" i="8"/>
  <c r="R16" i="8" s="1"/>
  <c r="S60" i="2"/>
  <c r="R31" i="8"/>
  <c r="R32" i="8" s="1"/>
  <c r="S235" i="2"/>
  <c r="R119" i="8"/>
  <c r="R120" i="8" s="1"/>
  <c r="S579" i="2"/>
  <c r="R247" i="8"/>
  <c r="R248" i="8" s="1"/>
  <c r="R63" i="2"/>
  <c r="S54" i="2"/>
  <c r="R7" i="8"/>
  <c r="R8" i="8" s="1"/>
  <c r="R639" i="2"/>
  <c r="Q283" i="8"/>
  <c r="Q284" i="8" s="1"/>
  <c r="R178" i="2"/>
  <c r="Q95" i="8"/>
  <c r="Q96" i="8" s="1"/>
  <c r="S118" i="2"/>
  <c r="R59" i="8"/>
  <c r="R60" i="8" s="1"/>
  <c r="R177" i="2"/>
  <c r="Q91" i="8"/>
  <c r="Q92" i="8" s="1"/>
  <c r="R243" i="2"/>
  <c r="S234" i="2"/>
  <c r="R115" i="8"/>
  <c r="R116" i="8" s="1"/>
  <c r="S242" i="2"/>
  <c r="R147" i="8"/>
  <c r="R148" i="8" s="1"/>
  <c r="R635" i="2"/>
  <c r="Q267" i="8"/>
  <c r="Q268" i="8" s="1"/>
  <c r="Q175" i="2"/>
  <c r="P83" i="8"/>
  <c r="P84" i="8" s="1"/>
  <c r="S57" i="2"/>
  <c r="R19" i="8"/>
  <c r="R20" i="8" s="1"/>
  <c r="R459" i="2"/>
  <c r="Q175" i="8"/>
  <c r="Q176" i="8" s="1"/>
  <c r="S519" i="2"/>
  <c r="R211" i="8"/>
  <c r="R212" i="8" s="1"/>
  <c r="S461" i="2"/>
  <c r="R183" i="8"/>
  <c r="R184" i="8" s="1"/>
  <c r="T117" i="2"/>
  <c r="S55" i="8"/>
  <c r="S56" i="8" s="1"/>
  <c r="S457" i="2"/>
  <c r="R167" i="8"/>
  <c r="R168" i="8" s="1"/>
  <c r="R176" i="2"/>
  <c r="Q87" i="8"/>
  <c r="Q88" i="8" s="1"/>
  <c r="R580" i="2"/>
  <c r="Q251" i="8"/>
  <c r="Q252" i="8" s="1"/>
  <c r="S456" i="2"/>
  <c r="R163" i="8"/>
  <c r="R164" i="8" s="1"/>
  <c r="S238" i="2"/>
  <c r="R131" i="8"/>
  <c r="R132" i="8" s="1"/>
  <c r="S240" i="2"/>
  <c r="R139" i="8"/>
  <c r="R140" i="8" s="1"/>
  <c r="S521" i="2"/>
  <c r="R219" i="8"/>
  <c r="R220" i="8" s="1"/>
  <c r="S59" i="2"/>
  <c r="R27" i="8"/>
  <c r="R28" i="8" s="1"/>
  <c r="S116" i="2"/>
  <c r="R51" i="8"/>
  <c r="R52" i="8" s="1"/>
  <c r="S120" i="2"/>
  <c r="R67" i="8"/>
  <c r="R68" i="8" s="1"/>
  <c r="R640" i="2"/>
  <c r="Q287" i="8"/>
  <c r="Q288" i="8" s="1"/>
  <c r="S58" i="2"/>
  <c r="R23" i="8"/>
  <c r="R24" i="8" s="1"/>
  <c r="S62" i="2"/>
  <c r="R39" i="8"/>
  <c r="R40" i="8" s="1"/>
  <c r="R634" i="2"/>
  <c r="Q263" i="8"/>
  <c r="Q264" i="8" s="1"/>
  <c r="R641" i="2"/>
  <c r="Q291" i="8"/>
  <c r="Q292" i="8" s="1"/>
  <c r="R182" i="2"/>
  <c r="Q111" i="8"/>
  <c r="Q112" i="8" s="1"/>
  <c r="S119" i="2"/>
  <c r="R63" i="8"/>
  <c r="R64" i="8" s="1"/>
  <c r="R181" i="2"/>
  <c r="Q107" i="8"/>
  <c r="Q108" i="8" s="1"/>
  <c r="S455" i="2"/>
  <c r="R159" i="8"/>
  <c r="R160" i="8" s="1"/>
  <c r="S516" i="2"/>
  <c r="R199" i="8"/>
  <c r="R200" i="8" s="1"/>
  <c r="S114" i="2"/>
  <c r="R123" i="2"/>
  <c r="R43" i="8"/>
  <c r="R44" i="8" s="1"/>
  <c r="R174" i="2"/>
  <c r="Q79" i="8"/>
  <c r="Q80" i="8" s="1"/>
  <c r="S239" i="2"/>
  <c r="R135" i="8"/>
  <c r="R136" i="8" s="1"/>
  <c r="S517" i="2"/>
  <c r="R203" i="8"/>
  <c r="R204" i="8" s="1"/>
  <c r="S515" i="2"/>
  <c r="R195" i="8"/>
  <c r="R196" i="8" s="1"/>
  <c r="S575" i="2"/>
  <c r="R231" i="8"/>
  <c r="R232" i="8" s="1"/>
  <c r="Q180" i="2"/>
  <c r="P103" i="8"/>
  <c r="P104" i="8" s="1"/>
  <c r="S122" i="2"/>
  <c r="R75" i="8"/>
  <c r="R76" i="8" s="1"/>
  <c r="R179" i="2"/>
  <c r="Q99" i="8"/>
  <c r="Q100" i="8" s="1"/>
  <c r="R637" i="2"/>
  <c r="Q275" i="8"/>
  <c r="Q276" i="8" s="1"/>
  <c r="S61" i="2"/>
  <c r="R35" i="8"/>
  <c r="R36" i="8" s="1"/>
  <c r="S453" i="2"/>
  <c r="R151" i="8"/>
  <c r="R152" i="8" s="1"/>
  <c r="S576" i="2"/>
  <c r="R235" i="8"/>
  <c r="R236" i="8" s="1"/>
  <c r="R577" i="2"/>
  <c r="Q239" i="8"/>
  <c r="Q240" i="8" s="1"/>
  <c r="S518" i="2"/>
  <c r="R207" i="8"/>
  <c r="R208" i="8" s="1"/>
  <c r="S581" i="2"/>
  <c r="R255" i="8"/>
  <c r="R256" i="8" s="1"/>
  <c r="S115" i="2"/>
  <c r="R47" i="8"/>
  <c r="R48" i="8" s="1"/>
  <c r="S514" i="2"/>
  <c r="R191" i="8"/>
  <c r="R192" i="8" s="1"/>
  <c r="S121" i="2"/>
  <c r="R71" i="8"/>
  <c r="R72" i="8" s="1"/>
  <c r="R574" i="2"/>
  <c r="Q227" i="8"/>
  <c r="Q228" i="8" s="1"/>
  <c r="S236" i="2"/>
  <c r="R123" i="8"/>
  <c r="R124" i="8" s="1"/>
  <c r="R578" i="2"/>
  <c r="Q243" i="8"/>
  <c r="Q244" i="8" s="1"/>
  <c r="S458" i="2"/>
  <c r="R171" i="8"/>
  <c r="R172" i="8" s="1"/>
  <c r="S241" i="2"/>
  <c r="R143" i="8"/>
  <c r="R144" i="8" s="1"/>
  <c r="S55" i="2"/>
  <c r="R11" i="8"/>
  <c r="R12" i="8" s="1"/>
  <c r="S237" i="2"/>
  <c r="R127" i="8"/>
  <c r="R128" i="8" s="1"/>
  <c r="S633" i="2"/>
  <c r="R259" i="8"/>
  <c r="R260" i="8" s="1"/>
  <c r="R460" i="2"/>
  <c r="Q179" i="8"/>
  <c r="Q180" i="8" s="1"/>
  <c r="R636" i="2"/>
  <c r="Q271" i="8"/>
  <c r="Q272" i="8" s="1"/>
  <c r="S520" i="2"/>
  <c r="R215" i="8"/>
  <c r="R216" i="8" s="1"/>
  <c r="R789" i="2" l="1"/>
  <c r="R1340" i="8" s="1"/>
  <c r="U386" i="2"/>
  <c r="U928" i="8" s="1"/>
  <c r="U929" i="8" s="1"/>
  <c r="T785" i="2"/>
  <c r="T1324" i="8" s="1"/>
  <c r="T1325" i="8" s="1"/>
  <c r="T784" i="2"/>
  <c r="F1141" i="8"/>
  <c r="L924" i="8"/>
  <c r="L925" i="8" s="1"/>
  <c r="L390" i="2"/>
  <c r="L944" i="8" s="1"/>
  <c r="L789" i="2"/>
  <c r="L1340" i="8" s="1"/>
  <c r="L1320" i="8"/>
  <c r="L1321" i="8" s="1"/>
  <c r="F745" i="8"/>
  <c r="N789" i="2"/>
  <c r="N1340" i="8" s="1"/>
  <c r="N1320" i="8"/>
  <c r="N1321" i="8" s="1"/>
  <c r="S980" i="8"/>
  <c r="S981" i="8" s="1"/>
  <c r="S250" i="2"/>
  <c r="M1320" i="8"/>
  <c r="M1321" i="8" s="1"/>
  <c r="M789" i="2"/>
  <c r="M1340" i="8" s="1"/>
  <c r="F713" i="8"/>
  <c r="P1320" i="8"/>
  <c r="P1321" i="8" s="1"/>
  <c r="P789" i="2"/>
  <c r="P1340" i="8" s="1"/>
  <c r="Q924" i="8"/>
  <c r="Q925" i="8" s="1"/>
  <c r="Q390" i="2"/>
  <c r="Q944" i="8" s="1"/>
  <c r="Q454" i="2"/>
  <c r="P155" i="8"/>
  <c r="P156" i="8" s="1"/>
  <c r="P462" i="2"/>
  <c r="F1125" i="8"/>
  <c r="F749" i="8"/>
  <c r="F1093" i="8"/>
  <c r="R924" i="8"/>
  <c r="R925" i="8" s="1"/>
  <c r="R390" i="2"/>
  <c r="R944" i="8" s="1"/>
  <c r="F717" i="8"/>
  <c r="O789" i="2"/>
  <c r="O1340" i="8" s="1"/>
  <c r="O1320" i="8"/>
  <c r="O1321" i="8" s="1"/>
  <c r="F1121" i="8"/>
  <c r="F1105" i="8"/>
  <c r="F1113" i="8"/>
  <c r="F1089" i="8"/>
  <c r="F1137" i="8"/>
  <c r="F729" i="8"/>
  <c r="F1145" i="8"/>
  <c r="F733" i="8"/>
  <c r="U748" i="2"/>
  <c r="U1220" i="8" s="1"/>
  <c r="U1221" i="8" s="1"/>
  <c r="F697" i="8"/>
  <c r="F725" i="8"/>
  <c r="F701" i="8"/>
  <c r="M390" i="2"/>
  <c r="M944" i="8" s="1"/>
  <c r="M924" i="8"/>
  <c r="M925" i="8" s="1"/>
  <c r="U338" i="2"/>
  <c r="U788" i="8" s="1"/>
  <c r="U789" i="8" s="1"/>
  <c r="U358" i="2"/>
  <c r="F693" i="8"/>
  <c r="P522" i="2"/>
  <c r="Q513" i="2"/>
  <c r="P187" i="8"/>
  <c r="P188" i="8" s="1"/>
  <c r="F1129" i="8"/>
  <c r="T385" i="2"/>
  <c r="T390" i="2" s="1"/>
  <c r="T944" i="8" s="1"/>
  <c r="F1097" i="8"/>
  <c r="O924" i="8"/>
  <c r="O925" i="8" s="1"/>
  <c r="O390" i="2"/>
  <c r="O944" i="8" s="1"/>
  <c r="F1109" i="8"/>
  <c r="P642" i="2"/>
  <c r="Q638" i="2"/>
  <c r="P279" i="8"/>
  <c r="P280" i="8" s="1"/>
  <c r="F741" i="8"/>
  <c r="N390" i="2"/>
  <c r="N944" i="8" s="1"/>
  <c r="N924" i="8"/>
  <c r="N925" i="8" s="1"/>
  <c r="P582" i="2"/>
  <c r="Q573" i="2"/>
  <c r="P223" i="8"/>
  <c r="P224" i="8" s="1"/>
  <c r="Q1320" i="8"/>
  <c r="Q1321" i="8" s="1"/>
  <c r="Q789" i="2"/>
  <c r="Q1340" i="8" s="1"/>
  <c r="F709" i="8"/>
  <c r="S1376" i="8"/>
  <c r="S1377" i="8" s="1"/>
  <c r="S649" i="2"/>
  <c r="P924" i="8"/>
  <c r="P925" i="8" s="1"/>
  <c r="P390" i="2"/>
  <c r="P944" i="8" s="1"/>
  <c r="T360" i="2"/>
  <c r="T860" i="8" s="1"/>
  <c r="T861" i="8" s="1"/>
  <c r="U376" i="2"/>
  <c r="U908" i="8" s="1"/>
  <c r="U909" i="8" s="1"/>
  <c r="U737" i="2"/>
  <c r="U1184" i="8" s="1"/>
  <c r="U1185" i="8" s="1"/>
  <c r="U772" i="8"/>
  <c r="U773" i="8" s="1"/>
  <c r="U844" i="8"/>
  <c r="U845" i="8" s="1"/>
  <c r="U808" i="8"/>
  <c r="U809" i="8" s="1"/>
  <c r="U396" i="2"/>
  <c r="U964" i="8" s="1"/>
  <c r="U965" i="8" s="1"/>
  <c r="U367" i="2"/>
  <c r="U880" i="8" s="1"/>
  <c r="U881" i="8" s="1"/>
  <c r="V612" i="8"/>
  <c r="V613" i="8" s="1"/>
  <c r="W280" i="2"/>
  <c r="V334" i="2"/>
  <c r="V356" i="2" s="1"/>
  <c r="V345" i="2"/>
  <c r="U349" i="2"/>
  <c r="U824" i="8" s="1"/>
  <c r="U825" i="8" s="1"/>
  <c r="T770" i="2"/>
  <c r="T1292" i="8" s="1"/>
  <c r="T1293" i="8" s="1"/>
  <c r="T389" i="2"/>
  <c r="T940" i="8" s="1"/>
  <c r="T941" i="8" s="1"/>
  <c r="T773" i="2"/>
  <c r="U1192" i="8"/>
  <c r="U1193" i="8" s="1"/>
  <c r="U792" i="2"/>
  <c r="U1348" i="8" s="1"/>
  <c r="U1349" i="8" s="1"/>
  <c r="U763" i="2"/>
  <c r="U1264" i="8" s="1"/>
  <c r="U1265" i="8" s="1"/>
  <c r="V1188" i="8"/>
  <c r="V1189" i="8" s="1"/>
  <c r="V791" i="2"/>
  <c r="V762" i="2"/>
  <c r="T799" i="2"/>
  <c r="V996" i="8"/>
  <c r="V997" i="8" s="1"/>
  <c r="V730" i="2"/>
  <c r="W676" i="2"/>
  <c r="V741" i="2"/>
  <c r="U1260" i="8"/>
  <c r="U1261" i="8" s="1"/>
  <c r="V1152" i="8"/>
  <c r="V1153" i="8" s="1"/>
  <c r="T777" i="2"/>
  <c r="T1312" i="8" s="1"/>
  <c r="T1313" i="8" s="1"/>
  <c r="Y616" i="8"/>
  <c r="Y617" i="8" s="1"/>
  <c r="Y346" i="2"/>
  <c r="Z281" i="2"/>
  <c r="Y335" i="2"/>
  <c r="Y357" i="2" s="1"/>
  <c r="W1012" i="8"/>
  <c r="W1013" i="8" s="1"/>
  <c r="W745" i="2"/>
  <c r="X680" i="2"/>
  <c r="W734" i="2"/>
  <c r="W756" i="2" s="1"/>
  <c r="T400" i="2"/>
  <c r="V820" i="8"/>
  <c r="V821" i="8" s="1"/>
  <c r="V399" i="2"/>
  <c r="V976" i="8" s="1"/>
  <c r="V977" i="8" s="1"/>
  <c r="V370" i="2"/>
  <c r="V892" i="8" s="1"/>
  <c r="V893" i="8" s="1"/>
  <c r="T774" i="2"/>
  <c r="T1300" i="8" s="1"/>
  <c r="T1301" i="8" s="1"/>
  <c r="S900" i="8"/>
  <c r="S901" i="8" s="1"/>
  <c r="S379" i="2"/>
  <c r="S920" i="8" s="1"/>
  <c r="S921" i="8" s="1"/>
  <c r="X812" i="8"/>
  <c r="X813" i="8" s="1"/>
  <c r="X397" i="2"/>
  <c r="X968" i="8" s="1"/>
  <c r="X969" i="8" s="1"/>
  <c r="X368" i="2"/>
  <c r="X884" i="8" s="1"/>
  <c r="X885" i="8" s="1"/>
  <c r="V1208" i="8"/>
  <c r="V1209" i="8" s="1"/>
  <c r="V767" i="2"/>
  <c r="V1280" i="8" s="1"/>
  <c r="V1281" i="8" s="1"/>
  <c r="V796" i="2"/>
  <c r="V1364" i="8" s="1"/>
  <c r="V1365" i="8" s="1"/>
  <c r="W330" i="2"/>
  <c r="W352" i="2" s="1"/>
  <c r="W341" i="2"/>
  <c r="W596" i="8"/>
  <c r="W597" i="8" s="1"/>
  <c r="X276" i="2"/>
  <c r="W760" i="8"/>
  <c r="W761" i="8" s="1"/>
  <c r="W832" i="8"/>
  <c r="W833" i="8" s="1"/>
  <c r="W624" i="8"/>
  <c r="W625" i="8" s="1"/>
  <c r="W348" i="2"/>
  <c r="W337" i="2"/>
  <c r="W359" i="2" s="1"/>
  <c r="X283" i="2"/>
  <c r="W992" i="8"/>
  <c r="W993" i="8" s="1"/>
  <c r="X675" i="2"/>
  <c r="W729" i="2"/>
  <c r="W751" i="2" s="1"/>
  <c r="W740" i="2"/>
  <c r="U828" i="8"/>
  <c r="U829" i="8" s="1"/>
  <c r="U864" i="8"/>
  <c r="U865" i="8" s="1"/>
  <c r="V792" i="8"/>
  <c r="V793" i="8" s="1"/>
  <c r="V392" i="2"/>
  <c r="V363" i="2"/>
  <c r="V786" i="2"/>
  <c r="V1328" i="8" s="1"/>
  <c r="V1329" i="8" s="1"/>
  <c r="W796" i="8"/>
  <c r="W797" i="8" s="1"/>
  <c r="W393" i="2"/>
  <c r="W952" i="8" s="1"/>
  <c r="W953" i="8" s="1"/>
  <c r="W364" i="2"/>
  <c r="W868" i="8" s="1"/>
  <c r="W869" i="8" s="1"/>
  <c r="V784" i="8"/>
  <c r="V785" i="8" s="1"/>
  <c r="V856" i="8"/>
  <c r="V857" i="8" s="1"/>
  <c r="V376" i="2"/>
  <c r="V908" i="8" s="1"/>
  <c r="V909" i="8" s="1"/>
  <c r="T924" i="8"/>
  <c r="T925" i="8" s="1"/>
  <c r="U1344" i="8"/>
  <c r="U1345" i="8" s="1"/>
  <c r="U780" i="8"/>
  <c r="U781" i="8" s="1"/>
  <c r="U852" i="8"/>
  <c r="U853" i="8" s="1"/>
  <c r="V756" i="8"/>
  <c r="V757" i="8" s="1"/>
  <c r="V375" i="2"/>
  <c r="V904" i="8" s="1"/>
  <c r="V905" i="8" s="1"/>
  <c r="U816" i="8"/>
  <c r="U817" i="8" s="1"/>
  <c r="U369" i="2"/>
  <c r="U888" i="8" s="1"/>
  <c r="U889" i="8" s="1"/>
  <c r="U398" i="2"/>
  <c r="U972" i="8" s="1"/>
  <c r="U973" i="8" s="1"/>
  <c r="W1008" i="8"/>
  <c r="W1009" i="8" s="1"/>
  <c r="W744" i="2"/>
  <c r="W733" i="2"/>
  <c r="W755" i="2" s="1"/>
  <c r="X679" i="2"/>
  <c r="S778" i="2"/>
  <c r="S1316" i="8" s="1"/>
  <c r="S1317" i="8" s="1"/>
  <c r="T1320" i="8"/>
  <c r="T1321" i="8" s="1"/>
  <c r="Y277" i="2"/>
  <c r="X600" i="8"/>
  <c r="X601" i="8" s="1"/>
  <c r="X342" i="2"/>
  <c r="X331" i="2"/>
  <c r="X353" i="2" s="1"/>
  <c r="V800" i="8"/>
  <c r="V801" i="8" s="1"/>
  <c r="V394" i="2"/>
  <c r="V956" i="8" s="1"/>
  <c r="V957" i="8" s="1"/>
  <c r="V365" i="2"/>
  <c r="V872" i="8" s="1"/>
  <c r="V873" i="8" s="1"/>
  <c r="S1320" i="8"/>
  <c r="S1321" i="8" s="1"/>
  <c r="S789" i="2"/>
  <c r="S1340" i="8" s="1"/>
  <c r="U1160" i="8"/>
  <c r="U1161" i="8" s="1"/>
  <c r="U1232" i="8"/>
  <c r="U1233" i="8" s="1"/>
  <c r="U1156" i="8"/>
  <c r="U1157" i="8" s="1"/>
  <c r="U1228" i="8"/>
  <c r="U1229" i="8" s="1"/>
  <c r="X776" i="8"/>
  <c r="X777" i="8" s="1"/>
  <c r="X848" i="8"/>
  <c r="X849" i="8" s="1"/>
  <c r="V1172" i="8"/>
  <c r="V1173" i="8" s="1"/>
  <c r="V1244" i="8"/>
  <c r="V1245" i="8" s="1"/>
  <c r="V1168" i="8"/>
  <c r="V1169" i="8" s="1"/>
  <c r="V1240" i="8"/>
  <c r="V1241" i="8" s="1"/>
  <c r="U375" i="2"/>
  <c r="U904" i="8" s="1"/>
  <c r="U905" i="8" s="1"/>
  <c r="V764" i="8"/>
  <c r="V765" i="8" s="1"/>
  <c r="V836" i="8"/>
  <c r="V837" i="8" s="1"/>
  <c r="T1296" i="8"/>
  <c r="T1297" i="8" s="1"/>
  <c r="T778" i="2"/>
  <c r="T1316" i="8" s="1"/>
  <c r="T1317" i="8" s="1"/>
  <c r="T759" i="2"/>
  <c r="T1256" i="8" s="1"/>
  <c r="T1257" i="8" s="1"/>
  <c r="V620" i="8"/>
  <c r="V621" i="8" s="1"/>
  <c r="W282" i="2"/>
  <c r="V347" i="2"/>
  <c r="V336" i="2"/>
  <c r="V358" i="2" s="1"/>
  <c r="U768" i="8"/>
  <c r="U769" i="8" s="1"/>
  <c r="U378" i="2"/>
  <c r="U916" i="8" s="1"/>
  <c r="U917" i="8" s="1"/>
  <c r="U840" i="8"/>
  <c r="U841" i="8" s="1"/>
  <c r="V766" i="2"/>
  <c r="V1276" i="8" s="1"/>
  <c r="V1277" i="8" s="1"/>
  <c r="V1204" i="8"/>
  <c r="V1205" i="8" s="1"/>
  <c r="V795" i="2"/>
  <c r="V1360" i="8" s="1"/>
  <c r="V1361" i="8" s="1"/>
  <c r="U948" i="8"/>
  <c r="U949" i="8" s="1"/>
  <c r="T371" i="2"/>
  <c r="T896" i="8" s="1"/>
  <c r="T897" i="8" s="1"/>
  <c r="W1180" i="8"/>
  <c r="W1181" i="8" s="1"/>
  <c r="W1252" i="8"/>
  <c r="W1253" i="8" s="1"/>
  <c r="W604" i="8"/>
  <c r="W605" i="8" s="1"/>
  <c r="X278" i="2"/>
  <c r="W343" i="2"/>
  <c r="W332" i="2"/>
  <c r="W354" i="2" s="1"/>
  <c r="S924" i="8"/>
  <c r="S925" i="8" s="1"/>
  <c r="S390" i="2"/>
  <c r="S944" i="8" s="1"/>
  <c r="U1224" i="8"/>
  <c r="U1225" i="8" s="1"/>
  <c r="V1004" i="8"/>
  <c r="V1005" i="8" s="1"/>
  <c r="V732" i="2"/>
  <c r="V754" i="2" s="1"/>
  <c r="V743" i="2"/>
  <c r="W678" i="2"/>
  <c r="V608" i="8"/>
  <c r="V609" i="8" s="1"/>
  <c r="V344" i="2"/>
  <c r="W279" i="2"/>
  <c r="V333" i="2"/>
  <c r="T374" i="2"/>
  <c r="W1216" i="8"/>
  <c r="W1217" i="8" s="1"/>
  <c r="W798" i="2"/>
  <c r="W1372" i="8" s="1"/>
  <c r="W1373" i="8" s="1"/>
  <c r="W769" i="2"/>
  <c r="W1288" i="8" s="1"/>
  <c r="W1289" i="8" s="1"/>
  <c r="U1212" i="8"/>
  <c r="U1213" i="8" s="1"/>
  <c r="U768" i="2"/>
  <c r="U1284" i="8" s="1"/>
  <c r="U1285" i="8" s="1"/>
  <c r="U797" i="2"/>
  <c r="U1368" i="8" s="1"/>
  <c r="U1369" i="8" s="1"/>
  <c r="T788" i="2"/>
  <c r="T1336" i="8" s="1"/>
  <c r="T1337" i="8" s="1"/>
  <c r="U1164" i="8"/>
  <c r="U1165" i="8" s="1"/>
  <c r="U1236" i="8"/>
  <c r="U1237" i="8" s="1"/>
  <c r="U777" i="2"/>
  <c r="U1312" i="8" s="1"/>
  <c r="U1313" i="8" s="1"/>
  <c r="V775" i="2"/>
  <c r="V1304" i="8" s="1"/>
  <c r="V1305" i="8" s="1"/>
  <c r="U804" i="8"/>
  <c r="U805" i="8" s="1"/>
  <c r="U366" i="2"/>
  <c r="U876" i="8" s="1"/>
  <c r="U877" i="8" s="1"/>
  <c r="U395" i="2"/>
  <c r="U960" i="8" s="1"/>
  <c r="U961" i="8" s="1"/>
  <c r="X1020" i="8"/>
  <c r="X1021" i="8" s="1"/>
  <c r="X747" i="2"/>
  <c r="Y682" i="2"/>
  <c r="X736" i="2"/>
  <c r="X758" i="2" s="1"/>
  <c r="U1196" i="8"/>
  <c r="U1197" i="8" s="1"/>
  <c r="U793" i="2"/>
  <c r="U1352" i="8" s="1"/>
  <c r="U1353" i="8" s="1"/>
  <c r="U764" i="2"/>
  <c r="U1268" i="8" s="1"/>
  <c r="U1269" i="8" s="1"/>
  <c r="U1176" i="8"/>
  <c r="U1177" i="8" s="1"/>
  <c r="U1248" i="8"/>
  <c r="U1249" i="8" s="1"/>
  <c r="U1200" i="8"/>
  <c r="U1201" i="8" s="1"/>
  <c r="U765" i="2"/>
  <c r="U1272" i="8" s="1"/>
  <c r="U1273" i="8" s="1"/>
  <c r="U794" i="2"/>
  <c r="U1356" i="8" s="1"/>
  <c r="U1357" i="8" s="1"/>
  <c r="T378" i="2"/>
  <c r="T916" i="8" s="1"/>
  <c r="T917" i="8" s="1"/>
  <c r="W677" i="2"/>
  <c r="V742" i="2"/>
  <c r="V1000" i="8"/>
  <c r="V1001" i="8" s="1"/>
  <c r="V731" i="2"/>
  <c r="V753" i="2" s="1"/>
  <c r="V1016" i="8"/>
  <c r="V1017" i="8" s="1"/>
  <c r="W681" i="2"/>
  <c r="V735" i="2"/>
  <c r="V757" i="2" s="1"/>
  <c r="V746" i="2"/>
  <c r="T514" i="2"/>
  <c r="S191" i="8"/>
  <c r="S192" i="8" s="1"/>
  <c r="T575" i="2"/>
  <c r="S231" i="8"/>
  <c r="S232" i="8" s="1"/>
  <c r="S123" i="2"/>
  <c r="T114" i="2"/>
  <c r="S43" i="8"/>
  <c r="S44" i="8" s="1"/>
  <c r="S634" i="2"/>
  <c r="R263" i="8"/>
  <c r="R264" i="8" s="1"/>
  <c r="T54" i="2"/>
  <c r="S63" i="2"/>
  <c r="S7" i="8"/>
  <c r="S8" i="8" s="1"/>
  <c r="T55" i="2"/>
  <c r="S11" i="8"/>
  <c r="S12" i="8" s="1"/>
  <c r="T240" i="2"/>
  <c r="S139" i="8"/>
  <c r="S140" i="8" s="1"/>
  <c r="T461" i="2"/>
  <c r="S183" i="8"/>
  <c r="S184" i="8" s="1"/>
  <c r="S243" i="2"/>
  <c r="T234" i="2"/>
  <c r="S115" i="8"/>
  <c r="S116" i="8" s="1"/>
  <c r="T579" i="2"/>
  <c r="S247" i="8"/>
  <c r="S248" i="8" s="1"/>
  <c r="R175" i="2"/>
  <c r="Q83" i="8"/>
  <c r="Q84" i="8" s="1"/>
  <c r="T458" i="2"/>
  <c r="S171" i="8"/>
  <c r="S172" i="8" s="1"/>
  <c r="T581" i="2"/>
  <c r="S255" i="8"/>
  <c r="S256" i="8" s="1"/>
  <c r="T61" i="2"/>
  <c r="S35" i="8"/>
  <c r="S36" i="8" s="1"/>
  <c r="T517" i="2"/>
  <c r="S203" i="8"/>
  <c r="S204" i="8" s="1"/>
  <c r="T455" i="2"/>
  <c r="S159" i="8"/>
  <c r="S160" i="8" s="1"/>
  <c r="T58" i="2"/>
  <c r="S23" i="8"/>
  <c r="S24" i="8" s="1"/>
  <c r="T242" i="2"/>
  <c r="S147" i="8"/>
  <c r="S148" i="8" s="1"/>
  <c r="T241" i="2"/>
  <c r="S143" i="8"/>
  <c r="S144" i="8" s="1"/>
  <c r="T515" i="2"/>
  <c r="S195" i="8"/>
  <c r="S196" i="8" s="1"/>
  <c r="T238" i="2"/>
  <c r="S131" i="8"/>
  <c r="S132" i="8" s="1"/>
  <c r="T519" i="2"/>
  <c r="S211" i="8"/>
  <c r="S212" i="8" s="1"/>
  <c r="T235" i="2"/>
  <c r="S119" i="8"/>
  <c r="S120" i="8" s="1"/>
  <c r="T576" i="2"/>
  <c r="S235" i="8"/>
  <c r="S236" i="8" s="1"/>
  <c r="T457" i="2"/>
  <c r="S167" i="8"/>
  <c r="S168" i="8" s="1"/>
  <c r="S636" i="2"/>
  <c r="R271" i="8"/>
  <c r="R272" i="8" s="1"/>
  <c r="T453" i="2"/>
  <c r="S151" i="8"/>
  <c r="S152" i="8" s="1"/>
  <c r="T62" i="2"/>
  <c r="S39" i="8"/>
  <c r="S40" i="8" s="1"/>
  <c r="T239" i="2"/>
  <c r="S135" i="8"/>
  <c r="S136" i="8" s="1"/>
  <c r="S177" i="2"/>
  <c r="R91" i="8"/>
  <c r="R92" i="8" s="1"/>
  <c r="U117" i="2"/>
  <c r="T55" i="8"/>
  <c r="T56" i="8" s="1"/>
  <c r="T516" i="2"/>
  <c r="S199" i="8"/>
  <c r="S200" i="8" s="1"/>
  <c r="T456" i="2"/>
  <c r="S163" i="8"/>
  <c r="S164" i="8" s="1"/>
  <c r="S459" i="2"/>
  <c r="R175" i="8"/>
  <c r="R176" i="8" s="1"/>
  <c r="T521" i="2"/>
  <c r="S219" i="8"/>
  <c r="S220" i="8" s="1"/>
  <c r="T115" i="2"/>
  <c r="S47" i="8"/>
  <c r="S48" i="8" s="1"/>
  <c r="S578" i="2"/>
  <c r="R243" i="8"/>
  <c r="R244" i="8" s="1"/>
  <c r="S637" i="2"/>
  <c r="R275" i="8"/>
  <c r="R276" i="8" s="1"/>
  <c r="S181" i="2"/>
  <c r="R107" i="8"/>
  <c r="R108" i="8" s="1"/>
  <c r="S640" i="2"/>
  <c r="R287" i="8"/>
  <c r="R288" i="8" s="1"/>
  <c r="S460" i="2"/>
  <c r="R179" i="8"/>
  <c r="R180" i="8" s="1"/>
  <c r="T518" i="2"/>
  <c r="S207" i="8"/>
  <c r="S208" i="8" s="1"/>
  <c r="T236" i="2"/>
  <c r="S123" i="8"/>
  <c r="S124" i="8" s="1"/>
  <c r="S179" i="2"/>
  <c r="R99" i="8"/>
  <c r="R100" i="8" s="1"/>
  <c r="S174" i="2"/>
  <c r="R79" i="8"/>
  <c r="R80" i="8" s="1"/>
  <c r="T119" i="2"/>
  <c r="S63" i="8"/>
  <c r="S64" i="8" s="1"/>
  <c r="T120" i="2"/>
  <c r="S67" i="8"/>
  <c r="S68" i="8" s="1"/>
  <c r="T118" i="2"/>
  <c r="S59" i="8"/>
  <c r="S60" i="8" s="1"/>
  <c r="T633" i="2"/>
  <c r="S259" i="8"/>
  <c r="S260" i="8" s="1"/>
  <c r="S577" i="2"/>
  <c r="R239" i="8"/>
  <c r="R240" i="8" s="1"/>
  <c r="Q183" i="2"/>
  <c r="S580" i="2"/>
  <c r="R251" i="8"/>
  <c r="R252" i="8" s="1"/>
  <c r="T57" i="2"/>
  <c r="S19" i="8"/>
  <c r="S20" i="8" s="1"/>
  <c r="S635" i="2"/>
  <c r="R267" i="8"/>
  <c r="R268" i="8" s="1"/>
  <c r="T520" i="2"/>
  <c r="S215" i="8"/>
  <c r="S216" i="8" s="1"/>
  <c r="S574" i="2"/>
  <c r="R227" i="8"/>
  <c r="R228" i="8" s="1"/>
  <c r="T122" i="2"/>
  <c r="S75" i="8"/>
  <c r="S76" i="8" s="1"/>
  <c r="S182" i="2"/>
  <c r="R111" i="8"/>
  <c r="R112" i="8" s="1"/>
  <c r="T116" i="2"/>
  <c r="S51" i="8"/>
  <c r="S52" i="8" s="1"/>
  <c r="S178" i="2"/>
  <c r="R95" i="8"/>
  <c r="R96" i="8" s="1"/>
  <c r="T60" i="2"/>
  <c r="S31" i="8"/>
  <c r="S32" i="8" s="1"/>
  <c r="S176" i="2"/>
  <c r="R87" i="8"/>
  <c r="R88" i="8" s="1"/>
  <c r="T237" i="2"/>
  <c r="S127" i="8"/>
  <c r="S128" i="8" s="1"/>
  <c r="T121" i="2"/>
  <c r="S71" i="8"/>
  <c r="S72" i="8" s="1"/>
  <c r="R180" i="2"/>
  <c r="Q103" i="8"/>
  <c r="Q104" i="8" s="1"/>
  <c r="S641" i="2"/>
  <c r="R291" i="8"/>
  <c r="R292" i="8" s="1"/>
  <c r="T59" i="2"/>
  <c r="S27" i="8"/>
  <c r="S28" i="8" s="1"/>
  <c r="S639" i="2"/>
  <c r="R283" i="8"/>
  <c r="R284" i="8" s="1"/>
  <c r="T56" i="2"/>
  <c r="S15" i="8"/>
  <c r="S16" i="8" s="1"/>
  <c r="U784" i="2" l="1"/>
  <c r="Q279" i="8"/>
  <c r="Q280" i="8" s="1"/>
  <c r="R638" i="2"/>
  <c r="Q642" i="2"/>
  <c r="T980" i="8"/>
  <c r="T981" i="8" s="1"/>
  <c r="T250" i="2"/>
  <c r="V737" i="2"/>
  <c r="V1184" i="8" s="1"/>
  <c r="V1185" i="8" s="1"/>
  <c r="V752" i="2"/>
  <c r="W786" i="2"/>
  <c r="W1328" i="8" s="1"/>
  <c r="W1329" i="8" s="1"/>
  <c r="T1376" i="8"/>
  <c r="T1377" i="8" s="1"/>
  <c r="T649" i="2"/>
  <c r="V338" i="2"/>
  <c r="V788" i="8" s="1"/>
  <c r="V789" i="8" s="1"/>
  <c r="V355" i="2"/>
  <c r="V840" i="8" s="1"/>
  <c r="V841" i="8" s="1"/>
  <c r="Q582" i="2"/>
  <c r="R573" i="2"/>
  <c r="Q223" i="8"/>
  <c r="Q224" i="8" s="1"/>
  <c r="V349" i="2"/>
  <c r="V824" i="8" s="1"/>
  <c r="V825" i="8" s="1"/>
  <c r="R513" i="2"/>
  <c r="Q522" i="2"/>
  <c r="Q187" i="8"/>
  <c r="Q188" i="8" s="1"/>
  <c r="R454" i="2"/>
  <c r="Q155" i="8"/>
  <c r="Q156" i="8" s="1"/>
  <c r="Q462" i="2"/>
  <c r="V808" i="8"/>
  <c r="V809" i="8" s="1"/>
  <c r="V396" i="2"/>
  <c r="V964" i="8" s="1"/>
  <c r="V965" i="8" s="1"/>
  <c r="V367" i="2"/>
  <c r="V880" i="8" s="1"/>
  <c r="V881" i="8" s="1"/>
  <c r="V772" i="8"/>
  <c r="V773" i="8" s="1"/>
  <c r="V844" i="8"/>
  <c r="V845" i="8" s="1"/>
  <c r="X280" i="2"/>
  <c r="W334" i="2"/>
  <c r="W356" i="2" s="1"/>
  <c r="W345" i="2"/>
  <c r="W612" i="8"/>
  <c r="W613" i="8" s="1"/>
  <c r="U788" i="2"/>
  <c r="U1336" i="8" s="1"/>
  <c r="U1337" i="8" s="1"/>
  <c r="U785" i="2"/>
  <c r="U1324" i="8" s="1"/>
  <c r="U1325" i="8" s="1"/>
  <c r="V386" i="2"/>
  <c r="V928" i="8" s="1"/>
  <c r="V929" i="8" s="1"/>
  <c r="W775" i="2"/>
  <c r="W1304" i="8" s="1"/>
  <c r="W1305" i="8" s="1"/>
  <c r="U385" i="2"/>
  <c r="U924" i="8" s="1"/>
  <c r="U925" i="8" s="1"/>
  <c r="U774" i="2"/>
  <c r="U1300" i="8" s="1"/>
  <c r="U1301" i="8" s="1"/>
  <c r="W1152" i="8"/>
  <c r="W1153" i="8" s="1"/>
  <c r="V1196" i="8"/>
  <c r="V1197" i="8" s="1"/>
  <c r="V764" i="2"/>
  <c r="V1268" i="8" s="1"/>
  <c r="V1269" i="8" s="1"/>
  <c r="V793" i="2"/>
  <c r="V1352" i="8" s="1"/>
  <c r="V1353" i="8" s="1"/>
  <c r="T900" i="8"/>
  <c r="T901" i="8" s="1"/>
  <c r="T379" i="2"/>
  <c r="T920" i="8" s="1"/>
  <c r="T921" i="8" s="1"/>
  <c r="W1204" i="8"/>
  <c r="W1205" i="8" s="1"/>
  <c r="W766" i="2"/>
  <c r="W1276" i="8" s="1"/>
  <c r="W1277" i="8" s="1"/>
  <c r="W795" i="2"/>
  <c r="W1360" i="8" s="1"/>
  <c r="W1361" i="8" s="1"/>
  <c r="U799" i="2"/>
  <c r="X992" i="8"/>
  <c r="X993" i="8" s="1"/>
  <c r="X740" i="2"/>
  <c r="Y675" i="2"/>
  <c r="X729" i="2"/>
  <c r="X751" i="2" s="1"/>
  <c r="V1224" i="8"/>
  <c r="V1225" i="8" s="1"/>
  <c r="V1344" i="8"/>
  <c r="V1345" i="8" s="1"/>
  <c r="W1168" i="8"/>
  <c r="W1169" i="8" s="1"/>
  <c r="W1240" i="8"/>
  <c r="W1241" i="8" s="1"/>
  <c r="W1000" i="8"/>
  <c r="W1001" i="8" s="1"/>
  <c r="X677" i="2"/>
  <c r="W742" i="2"/>
  <c r="W731" i="2"/>
  <c r="W753" i="2" s="1"/>
  <c r="V768" i="8"/>
  <c r="V769" i="8" s="1"/>
  <c r="W764" i="8"/>
  <c r="W765" i="8" s="1"/>
  <c r="W836" i="8"/>
  <c r="W837" i="8" s="1"/>
  <c r="V804" i="8"/>
  <c r="V805" i="8" s="1"/>
  <c r="V395" i="2"/>
  <c r="V960" i="8" s="1"/>
  <c r="V961" i="8" s="1"/>
  <c r="V366" i="2"/>
  <c r="V876" i="8" s="1"/>
  <c r="V877" i="8" s="1"/>
  <c r="W784" i="8"/>
  <c r="W785" i="8" s="1"/>
  <c r="W856" i="8"/>
  <c r="W857" i="8" s="1"/>
  <c r="W1172" i="8"/>
  <c r="W1173" i="8" s="1"/>
  <c r="W1244" i="8"/>
  <c r="W1245" i="8" s="1"/>
  <c r="U1320" i="8"/>
  <c r="U1321" i="8" s="1"/>
  <c r="X1180" i="8"/>
  <c r="X1181" i="8" s="1"/>
  <c r="X1252" i="8"/>
  <c r="X1253" i="8" s="1"/>
  <c r="V780" i="8"/>
  <c r="V781" i="8" s="1"/>
  <c r="V852" i="8"/>
  <c r="V853" i="8" s="1"/>
  <c r="V948" i="8"/>
  <c r="V949" i="8" s="1"/>
  <c r="W820" i="8"/>
  <c r="W821" i="8" s="1"/>
  <c r="W399" i="2"/>
  <c r="W976" i="8" s="1"/>
  <c r="W977" i="8" s="1"/>
  <c r="W370" i="2"/>
  <c r="W892" i="8" s="1"/>
  <c r="W893" i="8" s="1"/>
  <c r="X1012" i="8"/>
  <c r="X1013" i="8" s="1"/>
  <c r="X745" i="2"/>
  <c r="Y680" i="2"/>
  <c r="X734" i="2"/>
  <c r="X756" i="2" s="1"/>
  <c r="U770" i="2"/>
  <c r="U1292" i="8" s="1"/>
  <c r="U1293" i="8" s="1"/>
  <c r="W608" i="8"/>
  <c r="W609" i="8" s="1"/>
  <c r="W333" i="2"/>
  <c r="W355" i="2" s="1"/>
  <c r="W344" i="2"/>
  <c r="X279" i="2"/>
  <c r="Y1020" i="8"/>
  <c r="Y1021" i="8" s="1"/>
  <c r="Y747" i="2"/>
  <c r="Z682" i="2"/>
  <c r="Y736" i="2"/>
  <c r="Y758" i="2" s="1"/>
  <c r="V816" i="8"/>
  <c r="V817" i="8" s="1"/>
  <c r="V369" i="2"/>
  <c r="V888" i="8" s="1"/>
  <c r="V889" i="8" s="1"/>
  <c r="V398" i="2"/>
  <c r="V972" i="8" s="1"/>
  <c r="V973" i="8" s="1"/>
  <c r="X760" i="8"/>
  <c r="X761" i="8" s="1"/>
  <c r="X832" i="8"/>
  <c r="X833" i="8" s="1"/>
  <c r="W1208" i="8"/>
  <c r="W1209" i="8" s="1"/>
  <c r="W767" i="2"/>
  <c r="W1280" i="8" s="1"/>
  <c r="W1281" i="8" s="1"/>
  <c r="W796" i="2"/>
  <c r="W1364" i="8" s="1"/>
  <c r="W1365" i="8" s="1"/>
  <c r="X624" i="8"/>
  <c r="X625" i="8" s="1"/>
  <c r="X337" i="2"/>
  <c r="X359" i="2" s="1"/>
  <c r="X348" i="2"/>
  <c r="Y283" i="2"/>
  <c r="W620" i="8"/>
  <c r="W621" i="8" s="1"/>
  <c r="X282" i="2"/>
  <c r="W336" i="2"/>
  <c r="W358" i="2" s="1"/>
  <c r="W347" i="2"/>
  <c r="X796" i="8"/>
  <c r="X797" i="8" s="1"/>
  <c r="X364" i="2"/>
  <c r="X868" i="8" s="1"/>
  <c r="X869" i="8" s="1"/>
  <c r="X393" i="2"/>
  <c r="X952" i="8" s="1"/>
  <c r="X953" i="8" s="1"/>
  <c r="U371" i="2"/>
  <c r="U896" i="8" s="1"/>
  <c r="U897" i="8" s="1"/>
  <c r="V1192" i="8"/>
  <c r="V1193" i="8" s="1"/>
  <c r="V792" i="2"/>
  <c r="V1348" i="8" s="1"/>
  <c r="V1349" i="8" s="1"/>
  <c r="V763" i="2"/>
  <c r="W732" i="2"/>
  <c r="W754" i="2" s="1"/>
  <c r="W743" i="2"/>
  <c r="W1004" i="8"/>
  <c r="W1005" i="8" s="1"/>
  <c r="X678" i="2"/>
  <c r="W996" i="8"/>
  <c r="W997" i="8" s="1"/>
  <c r="W730" i="2"/>
  <c r="W752" i="2" s="1"/>
  <c r="W741" i="2"/>
  <c r="X676" i="2"/>
  <c r="V1212" i="8"/>
  <c r="V1213" i="8" s="1"/>
  <c r="V797" i="2"/>
  <c r="V1368" i="8" s="1"/>
  <c r="V1369" i="8" s="1"/>
  <c r="V768" i="2"/>
  <c r="U389" i="2"/>
  <c r="U940" i="8" s="1"/>
  <c r="U941" i="8" s="1"/>
  <c r="V1164" i="8"/>
  <c r="V1165" i="8" s="1"/>
  <c r="V1236" i="8"/>
  <c r="V1237" i="8" s="1"/>
  <c r="Z277" i="2"/>
  <c r="Y600" i="8"/>
  <c r="Y601" i="8" s="1"/>
  <c r="Y342" i="2"/>
  <c r="Y331" i="2"/>
  <c r="Y353" i="2" s="1"/>
  <c r="V828" i="8"/>
  <c r="V829" i="8" s="1"/>
  <c r="U360" i="2"/>
  <c r="U860" i="8" s="1"/>
  <c r="U861" i="8" s="1"/>
  <c r="Z616" i="8"/>
  <c r="Z617" i="8" s="1"/>
  <c r="Z346" i="2"/>
  <c r="AA281" i="2"/>
  <c r="Z335" i="2"/>
  <c r="Z357" i="2" s="1"/>
  <c r="V1156" i="8"/>
  <c r="V1157" i="8" s="1"/>
  <c r="V1228" i="8"/>
  <c r="V1229" i="8" s="1"/>
  <c r="V1176" i="8"/>
  <c r="V1177" i="8" s="1"/>
  <c r="U400" i="2"/>
  <c r="T789" i="2"/>
  <c r="T1340" i="8" s="1"/>
  <c r="Y276" i="2"/>
  <c r="X330" i="2"/>
  <c r="X352" i="2" s="1"/>
  <c r="X596" i="8"/>
  <c r="X597" i="8" s="1"/>
  <c r="X341" i="2"/>
  <c r="Y812" i="8"/>
  <c r="Y813" i="8" s="1"/>
  <c r="Y397" i="2"/>
  <c r="Y968" i="8" s="1"/>
  <c r="Y969" i="8" s="1"/>
  <c r="Y368" i="2"/>
  <c r="Y884" i="8" s="1"/>
  <c r="Y885" i="8" s="1"/>
  <c r="X604" i="8"/>
  <c r="X605" i="8" s="1"/>
  <c r="Y278" i="2"/>
  <c r="X343" i="2"/>
  <c r="X332" i="2"/>
  <c r="X354" i="2" s="1"/>
  <c r="X1216" i="8"/>
  <c r="X1217" i="8" s="1"/>
  <c r="X798" i="2"/>
  <c r="X1372" i="8" s="1"/>
  <c r="X1373" i="8" s="1"/>
  <c r="X769" i="2"/>
  <c r="X1288" i="8" s="1"/>
  <c r="X1289" i="8" s="1"/>
  <c r="V1200" i="8"/>
  <c r="V1201" i="8" s="1"/>
  <c r="V765" i="2"/>
  <c r="V1272" i="8" s="1"/>
  <c r="V1273" i="8" s="1"/>
  <c r="V794" i="2"/>
  <c r="V1356" i="8" s="1"/>
  <c r="V1357" i="8" s="1"/>
  <c r="Y776" i="8"/>
  <c r="Y777" i="8" s="1"/>
  <c r="Y848" i="8"/>
  <c r="Y849" i="8" s="1"/>
  <c r="W735" i="2"/>
  <c r="W757" i="2" s="1"/>
  <c r="W1016" i="8"/>
  <c r="W1017" i="8" s="1"/>
  <c r="X681" i="2"/>
  <c r="W746" i="2"/>
  <c r="U759" i="2"/>
  <c r="U1256" i="8" s="1"/>
  <c r="U1257" i="8" s="1"/>
  <c r="U773" i="2"/>
  <c r="U374" i="2"/>
  <c r="W792" i="8"/>
  <c r="W793" i="8" s="1"/>
  <c r="W392" i="2"/>
  <c r="W363" i="2"/>
  <c r="V387" i="2"/>
  <c r="V932" i="8" s="1"/>
  <c r="V933" i="8" s="1"/>
  <c r="V1260" i="8"/>
  <c r="V1261" i="8" s="1"/>
  <c r="W800" i="8"/>
  <c r="W801" i="8" s="1"/>
  <c r="W394" i="2"/>
  <c r="W956" i="8" s="1"/>
  <c r="W957" i="8" s="1"/>
  <c r="W365" i="2"/>
  <c r="W872" i="8" s="1"/>
  <c r="W873" i="8" s="1"/>
  <c r="V864" i="8"/>
  <c r="V865" i="8" s="1"/>
  <c r="V1160" i="8"/>
  <c r="V1161" i="8" s="1"/>
  <c r="V1232" i="8"/>
  <c r="V1233" i="8" s="1"/>
  <c r="Y679" i="2"/>
  <c r="X744" i="2"/>
  <c r="X1008" i="8"/>
  <c r="X1009" i="8" s="1"/>
  <c r="X733" i="2"/>
  <c r="X755" i="2" s="1"/>
  <c r="W1188" i="8"/>
  <c r="W1189" i="8" s="1"/>
  <c r="W791" i="2"/>
  <c r="W762" i="2"/>
  <c r="W756" i="8"/>
  <c r="W757" i="8" s="1"/>
  <c r="V748" i="2"/>
  <c r="V1220" i="8" s="1"/>
  <c r="V1221" i="8" s="1"/>
  <c r="S175" i="2"/>
  <c r="R83" i="8"/>
  <c r="R84" i="8" s="1"/>
  <c r="U56" i="2"/>
  <c r="T15" i="8"/>
  <c r="T16" i="8" s="1"/>
  <c r="T176" i="2"/>
  <c r="S87" i="8"/>
  <c r="S88" i="8" s="1"/>
  <c r="U518" i="2"/>
  <c r="T207" i="8"/>
  <c r="T208" i="8" s="1"/>
  <c r="U521" i="2"/>
  <c r="T219" i="8"/>
  <c r="T220" i="8" s="1"/>
  <c r="U235" i="2"/>
  <c r="T119" i="8"/>
  <c r="T120" i="8" s="1"/>
  <c r="U455" i="2"/>
  <c r="T159" i="8"/>
  <c r="T160" i="8" s="1"/>
  <c r="T177" i="2"/>
  <c r="S91" i="8"/>
  <c r="S92" i="8" s="1"/>
  <c r="U519" i="2"/>
  <c r="T211" i="8"/>
  <c r="T212" i="8" s="1"/>
  <c r="U517" i="2"/>
  <c r="T203" i="8"/>
  <c r="T204" i="8" s="1"/>
  <c r="T635" i="2"/>
  <c r="S267" i="8"/>
  <c r="S268" i="8" s="1"/>
  <c r="U120" i="2"/>
  <c r="T67" i="8"/>
  <c r="T68" i="8" s="1"/>
  <c r="U62" i="2"/>
  <c r="T39" i="8"/>
  <c r="T40" i="8" s="1"/>
  <c r="U579" i="2"/>
  <c r="T247" i="8"/>
  <c r="T248" i="8" s="1"/>
  <c r="T63" i="2"/>
  <c r="U54" i="2"/>
  <c r="T7" i="8"/>
  <c r="T8" i="8" s="1"/>
  <c r="U239" i="2"/>
  <c r="T135" i="8"/>
  <c r="T136" i="8" s="1"/>
  <c r="T178" i="2"/>
  <c r="S95" i="8"/>
  <c r="S96" i="8" s="1"/>
  <c r="T640" i="2"/>
  <c r="S287" i="8"/>
  <c r="S288" i="8" s="1"/>
  <c r="U238" i="2"/>
  <c r="T131" i="8"/>
  <c r="T132" i="8" s="1"/>
  <c r="U61" i="2"/>
  <c r="T35" i="8"/>
  <c r="T36" i="8" s="1"/>
  <c r="U57" i="2"/>
  <c r="T19" i="8"/>
  <c r="T20" i="8" s="1"/>
  <c r="U119" i="2"/>
  <c r="T63" i="8"/>
  <c r="T64" i="8" s="1"/>
  <c r="T459" i="2"/>
  <c r="S175" i="8"/>
  <c r="S176" i="8" s="1"/>
  <c r="T243" i="2"/>
  <c r="U234" i="2"/>
  <c r="T115" i="8"/>
  <c r="T116" i="8" s="1"/>
  <c r="T634" i="2"/>
  <c r="S263" i="8"/>
  <c r="S264" i="8" s="1"/>
  <c r="U520" i="2"/>
  <c r="T215" i="8"/>
  <c r="T216" i="8" s="1"/>
  <c r="U118" i="2"/>
  <c r="T59" i="8"/>
  <c r="T60" i="8" s="1"/>
  <c r="T639" i="2"/>
  <c r="S283" i="8"/>
  <c r="S284" i="8" s="1"/>
  <c r="U60" i="2"/>
  <c r="T31" i="8"/>
  <c r="T32" i="8" s="1"/>
  <c r="T460" i="2"/>
  <c r="S179" i="8"/>
  <c r="S180" i="8" s="1"/>
  <c r="U59" i="2"/>
  <c r="T27" i="8"/>
  <c r="T28" i="8" s="1"/>
  <c r="T641" i="2"/>
  <c r="S291" i="8"/>
  <c r="S292" i="8" s="1"/>
  <c r="U116" i="2"/>
  <c r="T51" i="8"/>
  <c r="T52" i="8" s="1"/>
  <c r="T181" i="2"/>
  <c r="S107" i="8"/>
  <c r="S108" i="8" s="1"/>
  <c r="U453" i="2"/>
  <c r="T151" i="8"/>
  <c r="T152" i="8" s="1"/>
  <c r="U515" i="2"/>
  <c r="T195" i="8"/>
  <c r="T196" i="8" s="1"/>
  <c r="U581" i="2"/>
  <c r="T255" i="8"/>
  <c r="T256" i="8" s="1"/>
  <c r="U456" i="2"/>
  <c r="T163" i="8"/>
  <c r="T164" i="8" s="1"/>
  <c r="U114" i="2"/>
  <c r="T123" i="2"/>
  <c r="T43" i="8"/>
  <c r="T44" i="8" s="1"/>
  <c r="S180" i="2"/>
  <c r="R103" i="8"/>
  <c r="R104" i="8" s="1"/>
  <c r="T182" i="2"/>
  <c r="S111" i="8"/>
  <c r="S112" i="8" s="1"/>
  <c r="R183" i="2"/>
  <c r="T637" i="2"/>
  <c r="S275" i="8"/>
  <c r="S276" i="8" s="1"/>
  <c r="T636" i="2"/>
  <c r="S271" i="8"/>
  <c r="S272" i="8" s="1"/>
  <c r="U241" i="2"/>
  <c r="T143" i="8"/>
  <c r="T144" i="8" s="1"/>
  <c r="U458" i="2"/>
  <c r="T171" i="8"/>
  <c r="T172" i="8" s="1"/>
  <c r="U461" i="2"/>
  <c r="T183" i="8"/>
  <c r="T184" i="8" s="1"/>
  <c r="T580" i="2"/>
  <c r="S251" i="8"/>
  <c r="S252" i="8" s="1"/>
  <c r="U516" i="2"/>
  <c r="T199" i="8"/>
  <c r="T200" i="8" s="1"/>
  <c r="U575" i="2"/>
  <c r="T231" i="8"/>
  <c r="T232" i="8" s="1"/>
  <c r="V117" i="2"/>
  <c r="U55" i="8"/>
  <c r="U56" i="8" s="1"/>
  <c r="T174" i="2"/>
  <c r="S79" i="8"/>
  <c r="S80" i="8" s="1"/>
  <c r="U121" i="2"/>
  <c r="T71" i="8"/>
  <c r="T72" i="8" s="1"/>
  <c r="U122" i="2"/>
  <c r="T75" i="8"/>
  <c r="T76" i="8" s="1"/>
  <c r="T577" i="2"/>
  <c r="S239" i="8"/>
  <c r="S240" i="8" s="1"/>
  <c r="T179" i="2"/>
  <c r="S99" i="8"/>
  <c r="S100" i="8" s="1"/>
  <c r="T578" i="2"/>
  <c r="S243" i="8"/>
  <c r="S244" i="8" s="1"/>
  <c r="U457" i="2"/>
  <c r="T167" i="8"/>
  <c r="T168" i="8" s="1"/>
  <c r="U242" i="2"/>
  <c r="T147" i="8"/>
  <c r="T148" i="8" s="1"/>
  <c r="U240" i="2"/>
  <c r="T139" i="8"/>
  <c r="T140" i="8" s="1"/>
  <c r="U237" i="2"/>
  <c r="T127" i="8"/>
  <c r="T128" i="8" s="1"/>
  <c r="T574" i="2"/>
  <c r="S227" i="8"/>
  <c r="S228" i="8" s="1"/>
  <c r="U633" i="2"/>
  <c r="T259" i="8"/>
  <c r="T260" i="8" s="1"/>
  <c r="U236" i="2"/>
  <c r="T123" i="8"/>
  <c r="T124" i="8" s="1"/>
  <c r="U115" i="2"/>
  <c r="T47" i="8"/>
  <c r="T48" i="8" s="1"/>
  <c r="U576" i="2"/>
  <c r="T235" i="8"/>
  <c r="T236" i="8" s="1"/>
  <c r="U58" i="2"/>
  <c r="T23" i="8"/>
  <c r="T24" i="8" s="1"/>
  <c r="U55" i="2"/>
  <c r="T11" i="8"/>
  <c r="T12" i="8" s="1"/>
  <c r="U514" i="2"/>
  <c r="T191" i="8"/>
  <c r="T192" i="8" s="1"/>
  <c r="W748" i="2" l="1"/>
  <c r="W1220" i="8" s="1"/>
  <c r="W1221" i="8" s="1"/>
  <c r="S183" i="2"/>
  <c r="W386" i="2"/>
  <c r="W928" i="8" s="1"/>
  <c r="W929" i="8" s="1"/>
  <c r="V788" i="2"/>
  <c r="V1336" i="8" s="1"/>
  <c r="V1337" i="8" s="1"/>
  <c r="U789" i="2"/>
  <c r="U1340" i="8" s="1"/>
  <c r="R582" i="2"/>
  <c r="S573" i="2"/>
  <c r="R223" i="8"/>
  <c r="R224" i="8" s="1"/>
  <c r="U1376" i="8"/>
  <c r="U1377" i="8" s="1"/>
  <c r="U649" i="2"/>
  <c r="S454" i="2"/>
  <c r="R155" i="8"/>
  <c r="R156" i="8" s="1"/>
  <c r="R462" i="2"/>
  <c r="U980" i="8"/>
  <c r="U981" i="8" s="1"/>
  <c r="U250" i="2"/>
  <c r="R522" i="2"/>
  <c r="S513" i="2"/>
  <c r="R187" i="8"/>
  <c r="R188" i="8" s="1"/>
  <c r="R642" i="2"/>
  <c r="S638" i="2"/>
  <c r="R279" i="8"/>
  <c r="R280" i="8" s="1"/>
  <c r="V385" i="2"/>
  <c r="V924" i="8" s="1"/>
  <c r="V925" i="8" s="1"/>
  <c r="W808" i="8"/>
  <c r="W809" i="8" s="1"/>
  <c r="W367" i="2"/>
  <c r="W880" i="8" s="1"/>
  <c r="W881" i="8" s="1"/>
  <c r="W396" i="2"/>
  <c r="W964" i="8" s="1"/>
  <c r="W965" i="8" s="1"/>
  <c r="W844" i="8"/>
  <c r="W845" i="8" s="1"/>
  <c r="W772" i="8"/>
  <c r="W773" i="8" s="1"/>
  <c r="X612" i="8"/>
  <c r="X613" i="8" s="1"/>
  <c r="Y280" i="2"/>
  <c r="X345" i="2"/>
  <c r="X334" i="2"/>
  <c r="X356" i="2" s="1"/>
  <c r="V374" i="2"/>
  <c r="V900" i="8" s="1"/>
  <c r="V901" i="8" s="1"/>
  <c r="W840" i="8"/>
  <c r="W841" i="8" s="1"/>
  <c r="W768" i="8"/>
  <c r="W769" i="8" s="1"/>
  <c r="X1168" i="8"/>
  <c r="X1169" i="8" s="1"/>
  <c r="X1240" i="8"/>
  <c r="X1241" i="8" s="1"/>
  <c r="W1248" i="8"/>
  <c r="W1249" i="8" s="1"/>
  <c r="W1176" i="8"/>
  <c r="W1177" i="8" s="1"/>
  <c r="X800" i="8"/>
  <c r="X801" i="8" s="1"/>
  <c r="X394" i="2"/>
  <c r="X956" i="8" s="1"/>
  <c r="X957" i="8" s="1"/>
  <c r="X365" i="2"/>
  <c r="X872" i="8" s="1"/>
  <c r="X873" i="8" s="1"/>
  <c r="V777" i="2"/>
  <c r="V1312" i="8" s="1"/>
  <c r="V1313" i="8" s="1"/>
  <c r="W1200" i="8"/>
  <c r="W1201" i="8" s="1"/>
  <c r="W765" i="2"/>
  <c r="W1272" i="8" s="1"/>
  <c r="W1273" i="8" s="1"/>
  <c r="W794" i="2"/>
  <c r="W1356" i="8" s="1"/>
  <c r="W1357" i="8" s="1"/>
  <c r="W780" i="8"/>
  <c r="W781" i="8" s="1"/>
  <c r="W852" i="8"/>
  <c r="W853" i="8" s="1"/>
  <c r="W816" i="8"/>
  <c r="W817" i="8" s="1"/>
  <c r="W369" i="2"/>
  <c r="W888" i="8" s="1"/>
  <c r="W889" i="8" s="1"/>
  <c r="W398" i="2"/>
  <c r="W972" i="8" s="1"/>
  <c r="W973" i="8" s="1"/>
  <c r="W349" i="2"/>
  <c r="W824" i="8" s="1"/>
  <c r="W825" i="8" s="1"/>
  <c r="Y604" i="8"/>
  <c r="Y605" i="8" s="1"/>
  <c r="Y332" i="2"/>
  <c r="Y354" i="2" s="1"/>
  <c r="Y343" i="2"/>
  <c r="Z278" i="2"/>
  <c r="W1164" i="8"/>
  <c r="W1165" i="8" s="1"/>
  <c r="W1236" i="8"/>
  <c r="W1237" i="8" s="1"/>
  <c r="X620" i="8"/>
  <c r="X621" i="8" s="1"/>
  <c r="X336" i="2"/>
  <c r="X358" i="2" s="1"/>
  <c r="Y282" i="2"/>
  <c r="X347" i="2"/>
  <c r="V389" i="2"/>
  <c r="V940" i="8" s="1"/>
  <c r="V941" i="8" s="1"/>
  <c r="Y1008" i="8"/>
  <c r="Y1009" i="8" s="1"/>
  <c r="Z679" i="2"/>
  <c r="Y733" i="2"/>
  <c r="Y755" i="2" s="1"/>
  <c r="Y744" i="2"/>
  <c r="AB281" i="2"/>
  <c r="AA616" i="8"/>
  <c r="AA617" i="8" s="1"/>
  <c r="AA346" i="2"/>
  <c r="AA335" i="2"/>
  <c r="AA357" i="2" s="1"/>
  <c r="V1264" i="8"/>
  <c r="V1265" i="8" s="1"/>
  <c r="V785" i="2"/>
  <c r="V1324" i="8" s="1"/>
  <c r="V1325" i="8" s="1"/>
  <c r="Y624" i="8"/>
  <c r="Y625" i="8" s="1"/>
  <c r="Y348" i="2"/>
  <c r="Y337" i="2"/>
  <c r="Y359" i="2" s="1"/>
  <c r="Z283" i="2"/>
  <c r="Y1012" i="8"/>
  <c r="Y1013" i="8" s="1"/>
  <c r="Y745" i="2"/>
  <c r="Z680" i="2"/>
  <c r="Y734" i="2"/>
  <c r="Y756" i="2" s="1"/>
  <c r="V799" i="2"/>
  <c r="W948" i="8"/>
  <c r="W949" i="8" s="1"/>
  <c r="Z812" i="8"/>
  <c r="Z813" i="8" s="1"/>
  <c r="Z397" i="2"/>
  <c r="Z968" i="8" s="1"/>
  <c r="Z969" i="8" s="1"/>
  <c r="Z368" i="2"/>
  <c r="Z884" i="8" s="1"/>
  <c r="Z885" i="8" s="1"/>
  <c r="X820" i="8"/>
  <c r="X821" i="8" s="1"/>
  <c r="X370" i="2"/>
  <c r="X892" i="8" s="1"/>
  <c r="X893" i="8" s="1"/>
  <c r="X399" i="2"/>
  <c r="X976" i="8" s="1"/>
  <c r="X977" i="8" s="1"/>
  <c r="X387" i="2"/>
  <c r="X932" i="8" s="1"/>
  <c r="X933" i="8" s="1"/>
  <c r="X1208" i="8"/>
  <c r="X1209" i="8" s="1"/>
  <c r="X796" i="2"/>
  <c r="X1364" i="8" s="1"/>
  <c r="X1365" i="8" s="1"/>
  <c r="X767" i="2"/>
  <c r="X1280" i="8" s="1"/>
  <c r="X1281" i="8" s="1"/>
  <c r="Z776" i="8"/>
  <c r="Z777" i="8" s="1"/>
  <c r="Z848" i="8"/>
  <c r="Z849" i="8" s="1"/>
  <c r="W828" i="8"/>
  <c r="W829" i="8" s="1"/>
  <c r="V1284" i="8"/>
  <c r="V1285" i="8" s="1"/>
  <c r="V784" i="2"/>
  <c r="X784" i="8"/>
  <c r="X785" i="8" s="1"/>
  <c r="X856" i="8"/>
  <c r="X857" i="8" s="1"/>
  <c r="V759" i="2"/>
  <c r="V1256" i="8" s="1"/>
  <c r="V1257" i="8" s="1"/>
  <c r="X1172" i="8"/>
  <c r="X1173" i="8" s="1"/>
  <c r="X1244" i="8"/>
  <c r="X1245" i="8" s="1"/>
  <c r="W375" i="2"/>
  <c r="W904" i="8" s="1"/>
  <c r="W905" i="8" s="1"/>
  <c r="U900" i="8"/>
  <c r="U901" i="8" s="1"/>
  <c r="U379" i="2"/>
  <c r="U920" i="8" s="1"/>
  <c r="U921" i="8" s="1"/>
  <c r="X792" i="8"/>
  <c r="X793" i="8" s="1"/>
  <c r="X363" i="2"/>
  <c r="X392" i="2"/>
  <c r="W387" i="2"/>
  <c r="W932" i="8" s="1"/>
  <c r="W933" i="8" s="1"/>
  <c r="X775" i="2"/>
  <c r="X1304" i="8" s="1"/>
  <c r="X1305" i="8" s="1"/>
  <c r="X1204" i="8"/>
  <c r="X1205" i="8" s="1"/>
  <c r="X795" i="2"/>
  <c r="X1360" i="8" s="1"/>
  <c r="X1361" i="8" s="1"/>
  <c r="X766" i="2"/>
  <c r="X1276" i="8" s="1"/>
  <c r="X1277" i="8" s="1"/>
  <c r="W864" i="8"/>
  <c r="W865" i="8" s="1"/>
  <c r="V371" i="2"/>
  <c r="V896" i="8" s="1"/>
  <c r="V897" i="8" s="1"/>
  <c r="V360" i="2"/>
  <c r="V860" i="8" s="1"/>
  <c r="V861" i="8" s="1"/>
  <c r="Y1180" i="8"/>
  <c r="Y1181" i="8" s="1"/>
  <c r="Y1252" i="8"/>
  <c r="Y1253" i="8" s="1"/>
  <c r="X1152" i="8"/>
  <c r="X1153" i="8" s="1"/>
  <c r="U1296" i="8"/>
  <c r="U1297" i="8" s="1"/>
  <c r="U778" i="2"/>
  <c r="U1316" i="8" s="1"/>
  <c r="U1317" i="8" s="1"/>
  <c r="X756" i="8"/>
  <c r="X757" i="8" s="1"/>
  <c r="X375" i="2"/>
  <c r="X904" i="8" s="1"/>
  <c r="X905" i="8" s="1"/>
  <c r="Z1020" i="8"/>
  <c r="Z1021" i="8" s="1"/>
  <c r="Z736" i="2"/>
  <c r="Z758" i="2" s="1"/>
  <c r="AA682" i="2"/>
  <c r="Z747" i="2"/>
  <c r="V378" i="2"/>
  <c r="V916" i="8" s="1"/>
  <c r="V917" i="8" s="1"/>
  <c r="Y992" i="8"/>
  <c r="Y993" i="8" s="1"/>
  <c r="Y740" i="2"/>
  <c r="Z675" i="2"/>
  <c r="Y729" i="2"/>
  <c r="Y751" i="2" s="1"/>
  <c r="W1224" i="8"/>
  <c r="W1225" i="8" s="1"/>
  <c r="X996" i="8"/>
  <c r="X997" i="8" s="1"/>
  <c r="X730" i="2"/>
  <c r="X752" i="2" s="1"/>
  <c r="X741" i="2"/>
  <c r="Y676" i="2"/>
  <c r="W1260" i="8"/>
  <c r="W1261" i="8" s="1"/>
  <c r="X786" i="2"/>
  <c r="X1328" i="8" s="1"/>
  <c r="X1329" i="8" s="1"/>
  <c r="Z276" i="2"/>
  <c r="Y341" i="2"/>
  <c r="Y330" i="2"/>
  <c r="Y352" i="2" s="1"/>
  <c r="Y596" i="8"/>
  <c r="Y597" i="8" s="1"/>
  <c r="Y832" i="8"/>
  <c r="Y833" i="8" s="1"/>
  <c r="Y760" i="8"/>
  <c r="Y761" i="8" s="1"/>
  <c r="W1192" i="8"/>
  <c r="W1193" i="8" s="1"/>
  <c r="W792" i="2"/>
  <c r="W1348" i="8" s="1"/>
  <c r="W1349" i="8" s="1"/>
  <c r="W763" i="2"/>
  <c r="Y1216" i="8"/>
  <c r="Y1217" i="8" s="1"/>
  <c r="Y769" i="2"/>
  <c r="Y1288" i="8" s="1"/>
  <c r="Y1289" i="8" s="1"/>
  <c r="Y798" i="2"/>
  <c r="Y1372" i="8" s="1"/>
  <c r="Y1373" i="8" s="1"/>
  <c r="X1188" i="8"/>
  <c r="X1189" i="8" s="1"/>
  <c r="X791" i="2"/>
  <c r="X762" i="2"/>
  <c r="W338" i="2"/>
  <c r="W788" i="8" s="1"/>
  <c r="W789" i="8" s="1"/>
  <c r="Y796" i="8"/>
  <c r="Y797" i="8" s="1"/>
  <c r="Y364" i="2"/>
  <c r="Y868" i="8" s="1"/>
  <c r="Y869" i="8" s="1"/>
  <c r="Y393" i="2"/>
  <c r="Y952" i="8" s="1"/>
  <c r="Y953" i="8" s="1"/>
  <c r="W1156" i="8"/>
  <c r="W1157" i="8" s="1"/>
  <c r="W1228" i="8"/>
  <c r="W1229" i="8" s="1"/>
  <c r="V400" i="2"/>
  <c r="W1160" i="8"/>
  <c r="W1161" i="8" s="1"/>
  <c r="W1232" i="8"/>
  <c r="W1233" i="8" s="1"/>
  <c r="W737" i="2"/>
  <c r="W1184" i="8" s="1"/>
  <c r="W1185" i="8" s="1"/>
  <c r="X764" i="8"/>
  <c r="X765" i="8" s="1"/>
  <c r="X836" i="8"/>
  <c r="X837" i="8" s="1"/>
  <c r="W1212" i="8"/>
  <c r="W1213" i="8" s="1"/>
  <c r="W768" i="2"/>
  <c r="W797" i="2"/>
  <c r="W1368" i="8" s="1"/>
  <c r="W1369" i="8" s="1"/>
  <c r="U390" i="2"/>
  <c r="U944" i="8" s="1"/>
  <c r="X608" i="8"/>
  <c r="X609" i="8" s="1"/>
  <c r="X333" i="2"/>
  <c r="X355" i="2" s="1"/>
  <c r="X344" i="2"/>
  <c r="X349" i="2" s="1"/>
  <c r="X824" i="8" s="1"/>
  <c r="X825" i="8" s="1"/>
  <c r="Y279" i="2"/>
  <c r="W1196" i="8"/>
  <c r="W1197" i="8" s="1"/>
  <c r="W764" i="2"/>
  <c r="W1268" i="8" s="1"/>
  <c r="W1269" i="8" s="1"/>
  <c r="W793" i="2"/>
  <c r="W1352" i="8" s="1"/>
  <c r="W1353" i="8" s="1"/>
  <c r="W1344" i="8"/>
  <c r="W1345" i="8" s="1"/>
  <c r="V770" i="2"/>
  <c r="V1292" i="8" s="1"/>
  <c r="V1293" i="8" s="1"/>
  <c r="X1016" i="8"/>
  <c r="X1017" i="8" s="1"/>
  <c r="X735" i="2"/>
  <c r="X757" i="2" s="1"/>
  <c r="X746" i="2"/>
  <c r="Y681" i="2"/>
  <c r="V1248" i="8"/>
  <c r="V1249" i="8" s="1"/>
  <c r="V773" i="2"/>
  <c r="AA277" i="2"/>
  <c r="Z331" i="2"/>
  <c r="Z353" i="2" s="1"/>
  <c r="Z600" i="8"/>
  <c r="Z601" i="8" s="1"/>
  <c r="Z342" i="2"/>
  <c r="X1004" i="8"/>
  <c r="X1005" i="8" s="1"/>
  <c r="X743" i="2"/>
  <c r="X732" i="2"/>
  <c r="X754" i="2" s="1"/>
  <c r="Y678" i="2"/>
  <c r="W804" i="8"/>
  <c r="W805" i="8" s="1"/>
  <c r="W395" i="2"/>
  <c r="W960" i="8" s="1"/>
  <c r="W961" i="8" s="1"/>
  <c r="W366" i="2"/>
  <c r="W876" i="8" s="1"/>
  <c r="W877" i="8" s="1"/>
  <c r="W376" i="2"/>
  <c r="W908" i="8" s="1"/>
  <c r="W909" i="8" s="1"/>
  <c r="X1000" i="8"/>
  <c r="X1001" i="8" s="1"/>
  <c r="Y677" i="2"/>
  <c r="X742" i="2"/>
  <c r="X731" i="2"/>
  <c r="X753" i="2" s="1"/>
  <c r="V774" i="2"/>
  <c r="V1300" i="8" s="1"/>
  <c r="V1301" i="8" s="1"/>
  <c r="U578" i="2"/>
  <c r="T243" i="8"/>
  <c r="T244" i="8" s="1"/>
  <c r="U460" i="2"/>
  <c r="T179" i="8"/>
  <c r="T180" i="8" s="1"/>
  <c r="V234" i="2"/>
  <c r="U243" i="2"/>
  <c r="U115" i="8"/>
  <c r="U116" i="8" s="1"/>
  <c r="U640" i="2"/>
  <c r="T287" i="8"/>
  <c r="T288" i="8" s="1"/>
  <c r="V62" i="2"/>
  <c r="U39" i="8"/>
  <c r="U40" i="8" s="1"/>
  <c r="V455" i="2"/>
  <c r="U159" i="8"/>
  <c r="U160" i="8" s="1"/>
  <c r="U637" i="2"/>
  <c r="T275" i="8"/>
  <c r="T276" i="8" s="1"/>
  <c r="V515" i="2"/>
  <c r="U195" i="8"/>
  <c r="U196" i="8" s="1"/>
  <c r="U574" i="2"/>
  <c r="T227" i="8"/>
  <c r="T228" i="8" s="1"/>
  <c r="V60" i="2"/>
  <c r="U31" i="8"/>
  <c r="U32" i="8" s="1"/>
  <c r="V120" i="2"/>
  <c r="U67" i="8"/>
  <c r="U68" i="8" s="1"/>
  <c r="V237" i="2"/>
  <c r="U127" i="8"/>
  <c r="U128" i="8" s="1"/>
  <c r="V516" i="2"/>
  <c r="U199" i="8"/>
  <c r="U200" i="8" s="1"/>
  <c r="V58" i="2"/>
  <c r="U23" i="8"/>
  <c r="U24" i="8" s="1"/>
  <c r="U577" i="2"/>
  <c r="T239" i="8"/>
  <c r="T240" i="8" s="1"/>
  <c r="U182" i="2"/>
  <c r="T111" i="8"/>
  <c r="T112" i="8" s="1"/>
  <c r="V453" i="2"/>
  <c r="U151" i="8"/>
  <c r="U152" i="8" s="1"/>
  <c r="U639" i="2"/>
  <c r="T283" i="8"/>
  <c r="T284" i="8" s="1"/>
  <c r="U459" i="2"/>
  <c r="T175" i="8"/>
  <c r="T176" i="8" s="1"/>
  <c r="U635" i="2"/>
  <c r="T267" i="8"/>
  <c r="T268" i="8" s="1"/>
  <c r="V521" i="2"/>
  <c r="U219" i="8"/>
  <c r="U220" i="8" s="1"/>
  <c r="V55" i="2"/>
  <c r="U11" i="8"/>
  <c r="U12" i="8" s="1"/>
  <c r="V240" i="2"/>
  <c r="U139" i="8"/>
  <c r="U140" i="8" s="1"/>
  <c r="U580" i="2"/>
  <c r="T251" i="8"/>
  <c r="T252" i="8" s="1"/>
  <c r="W117" i="2"/>
  <c r="V55" i="8"/>
  <c r="V56" i="8" s="1"/>
  <c r="V581" i="2"/>
  <c r="U255" i="8"/>
  <c r="U256" i="8" s="1"/>
  <c r="V514" i="2"/>
  <c r="U191" i="8"/>
  <c r="U192" i="8" s="1"/>
  <c r="V575" i="2"/>
  <c r="U231" i="8"/>
  <c r="U232" i="8" s="1"/>
  <c r="U179" i="2"/>
  <c r="T99" i="8"/>
  <c r="T100" i="8" s="1"/>
  <c r="U178" i="2"/>
  <c r="T95" i="8"/>
  <c r="T96" i="8" s="1"/>
  <c r="V235" i="2"/>
  <c r="U119" i="8"/>
  <c r="U120" i="8" s="1"/>
  <c r="V576" i="2"/>
  <c r="U235" i="8"/>
  <c r="U236" i="8" s="1"/>
  <c r="V122" i="2"/>
  <c r="U75" i="8"/>
  <c r="U76" i="8" s="1"/>
  <c r="T180" i="2"/>
  <c r="S103" i="8"/>
  <c r="S104" i="8" s="1"/>
  <c r="U181" i="2"/>
  <c r="T107" i="8"/>
  <c r="T108" i="8" s="1"/>
  <c r="V119" i="2"/>
  <c r="U63" i="8"/>
  <c r="U64" i="8" s="1"/>
  <c r="V517" i="2"/>
  <c r="U203" i="8"/>
  <c r="U204" i="8" s="1"/>
  <c r="V518" i="2"/>
  <c r="U207" i="8"/>
  <c r="U208" i="8" s="1"/>
  <c r="V461" i="2"/>
  <c r="U183" i="8"/>
  <c r="U184" i="8" s="1"/>
  <c r="V239" i="2"/>
  <c r="U135" i="8"/>
  <c r="U136" i="8" s="1"/>
  <c r="U636" i="2"/>
  <c r="T271" i="8"/>
  <c r="T272" i="8" s="1"/>
  <c r="V115" i="2"/>
  <c r="U47" i="8"/>
  <c r="U48" i="8" s="1"/>
  <c r="V121" i="2"/>
  <c r="U71" i="8"/>
  <c r="U72" i="8" s="1"/>
  <c r="V116" i="2"/>
  <c r="U51" i="8"/>
  <c r="U52" i="8" s="1"/>
  <c r="V118" i="2"/>
  <c r="U59" i="8"/>
  <c r="U60" i="8" s="1"/>
  <c r="V57" i="2"/>
  <c r="U19" i="8"/>
  <c r="U20" i="8" s="1"/>
  <c r="V519" i="2"/>
  <c r="U211" i="8"/>
  <c r="U212" i="8" s="1"/>
  <c r="U176" i="2"/>
  <c r="T87" i="8"/>
  <c r="T88" i="8" s="1"/>
  <c r="V458" i="2"/>
  <c r="U171" i="8"/>
  <c r="U172" i="8" s="1"/>
  <c r="U123" i="2"/>
  <c r="V114" i="2"/>
  <c r="U43" i="8"/>
  <c r="U44" i="8" s="1"/>
  <c r="V54" i="2"/>
  <c r="U63" i="2"/>
  <c r="U7" i="8"/>
  <c r="U8" i="8" s="1"/>
  <c r="V236" i="2"/>
  <c r="U123" i="8"/>
  <c r="U124" i="8" s="1"/>
  <c r="V242" i="2"/>
  <c r="U147" i="8"/>
  <c r="U148" i="8" s="1"/>
  <c r="U174" i="2"/>
  <c r="T79" i="8"/>
  <c r="T80" i="8" s="1"/>
  <c r="U641" i="2"/>
  <c r="T291" i="8"/>
  <c r="T292" i="8" s="1"/>
  <c r="V520" i="2"/>
  <c r="U215" i="8"/>
  <c r="U216" i="8" s="1"/>
  <c r="V61" i="2"/>
  <c r="U35" i="8"/>
  <c r="U36" i="8" s="1"/>
  <c r="U177" i="2"/>
  <c r="T91" i="8"/>
  <c r="T92" i="8" s="1"/>
  <c r="V56" i="2"/>
  <c r="U15" i="8"/>
  <c r="U16" i="8" s="1"/>
  <c r="V456" i="2"/>
  <c r="U163" i="8"/>
  <c r="U164" i="8" s="1"/>
  <c r="V241" i="2"/>
  <c r="U143" i="8"/>
  <c r="U144" i="8" s="1"/>
  <c r="V633" i="2"/>
  <c r="U259" i="8"/>
  <c r="U260" i="8" s="1"/>
  <c r="V457" i="2"/>
  <c r="U167" i="8"/>
  <c r="U168" i="8" s="1"/>
  <c r="V59" i="2"/>
  <c r="U27" i="8"/>
  <c r="U28" i="8" s="1"/>
  <c r="U634" i="2"/>
  <c r="T263" i="8"/>
  <c r="T264" i="8" s="1"/>
  <c r="V238" i="2"/>
  <c r="U131" i="8"/>
  <c r="U132" i="8" s="1"/>
  <c r="V579" i="2"/>
  <c r="U247" i="8"/>
  <c r="U248" i="8" s="1"/>
  <c r="T175" i="2"/>
  <c r="T183" i="2" s="1"/>
  <c r="S83" i="8"/>
  <c r="S84" i="8" s="1"/>
  <c r="W788" i="2" l="1"/>
  <c r="W1336" i="8" s="1"/>
  <c r="W1337" i="8" s="1"/>
  <c r="S187" i="8"/>
  <c r="S188" i="8" s="1"/>
  <c r="S522" i="2"/>
  <c r="T513" i="2"/>
  <c r="W770" i="2"/>
  <c r="W1292" i="8" s="1"/>
  <c r="W1293" i="8" s="1"/>
  <c r="V980" i="8"/>
  <c r="V981" i="8" s="1"/>
  <c r="V250" i="2"/>
  <c r="T454" i="2"/>
  <c r="S155" i="8"/>
  <c r="S156" i="8" s="1"/>
  <c r="S462" i="2"/>
  <c r="V1376" i="8"/>
  <c r="V1377" i="8" s="1"/>
  <c r="V649" i="2"/>
  <c r="S582" i="2"/>
  <c r="S223" i="8"/>
  <c r="S224" i="8" s="1"/>
  <c r="T573" i="2"/>
  <c r="S279" i="8"/>
  <c r="S280" i="8" s="1"/>
  <c r="S642" i="2"/>
  <c r="T638" i="2"/>
  <c r="X772" i="8"/>
  <c r="X773" i="8" s="1"/>
  <c r="X844" i="8"/>
  <c r="X845" i="8" s="1"/>
  <c r="W389" i="2"/>
  <c r="W940" i="8" s="1"/>
  <c r="W941" i="8" s="1"/>
  <c r="X808" i="8"/>
  <c r="X809" i="8" s="1"/>
  <c r="X396" i="2"/>
  <c r="X964" i="8" s="1"/>
  <c r="X965" i="8" s="1"/>
  <c r="X367" i="2"/>
  <c r="X880" i="8" s="1"/>
  <c r="X881" i="8" s="1"/>
  <c r="Z280" i="2"/>
  <c r="Y345" i="2"/>
  <c r="Y334" i="2"/>
  <c r="Y356" i="2" s="1"/>
  <c r="Y612" i="8"/>
  <c r="Y613" i="8" s="1"/>
  <c r="V379" i="2"/>
  <c r="V920" i="8" s="1"/>
  <c r="V921" i="8" s="1"/>
  <c r="W371" i="2"/>
  <c r="W896" i="8" s="1"/>
  <c r="W897" i="8" s="1"/>
  <c r="X840" i="8"/>
  <c r="X841" i="8" s="1"/>
  <c r="X768" i="8"/>
  <c r="X769" i="8" s="1"/>
  <c r="AA1020" i="8"/>
  <c r="AA1021" i="8" s="1"/>
  <c r="AB682" i="2"/>
  <c r="AA736" i="2"/>
  <c r="AA758" i="2" s="1"/>
  <c r="AA747" i="2"/>
  <c r="Y775" i="2"/>
  <c r="Y1304" i="8" s="1"/>
  <c r="Y1305" i="8" s="1"/>
  <c r="X948" i="8"/>
  <c r="X949" i="8" s="1"/>
  <c r="W360" i="2"/>
  <c r="W860" i="8" s="1"/>
  <c r="W861" i="8" s="1"/>
  <c r="W400" i="2"/>
  <c r="X780" i="8"/>
  <c r="X781" i="8" s="1"/>
  <c r="X852" i="8"/>
  <c r="X853" i="8" s="1"/>
  <c r="X374" i="2"/>
  <c r="V1296" i="8"/>
  <c r="V1297" i="8" s="1"/>
  <c r="V778" i="2"/>
  <c r="V1316" i="8" s="1"/>
  <c r="V1317" i="8" s="1"/>
  <c r="Z1216" i="8"/>
  <c r="Z1217" i="8" s="1"/>
  <c r="Z769" i="2"/>
  <c r="Z1288" i="8" s="1"/>
  <c r="Z1289" i="8" s="1"/>
  <c r="Z798" i="2"/>
  <c r="Z1372" i="8" s="1"/>
  <c r="Z1373" i="8" s="1"/>
  <c r="Y620" i="8"/>
  <c r="Y621" i="8" s="1"/>
  <c r="Y336" i="2"/>
  <c r="Y358" i="2" s="1"/>
  <c r="Z282" i="2"/>
  <c r="Y347" i="2"/>
  <c r="Y1016" i="8"/>
  <c r="Y1017" i="8" s="1"/>
  <c r="Y746" i="2"/>
  <c r="Z681" i="2"/>
  <c r="Y735" i="2"/>
  <c r="Y757" i="2" s="1"/>
  <c r="Y786" i="2"/>
  <c r="Y1328" i="8" s="1"/>
  <c r="Y1329" i="8" s="1"/>
  <c r="Z1180" i="8"/>
  <c r="Z1181" i="8" s="1"/>
  <c r="Z1252" i="8"/>
  <c r="Z1253" i="8" s="1"/>
  <c r="X864" i="8"/>
  <c r="X865" i="8" s="1"/>
  <c r="X1212" i="8"/>
  <c r="X1213" i="8" s="1"/>
  <c r="X797" i="2"/>
  <c r="X1368" i="8" s="1"/>
  <c r="X1369" i="8" s="1"/>
  <c r="X768" i="2"/>
  <c r="X1284" i="8" s="1"/>
  <c r="X1285" i="8" s="1"/>
  <c r="Y996" i="8"/>
  <c r="Y997" i="8" s="1"/>
  <c r="Y741" i="2"/>
  <c r="Y730" i="2"/>
  <c r="Y752" i="2" s="1"/>
  <c r="Z676" i="2"/>
  <c r="AA776" i="8"/>
  <c r="AA777" i="8" s="1"/>
  <c r="AA848" i="8"/>
  <c r="AA849" i="8" s="1"/>
  <c r="W777" i="2"/>
  <c r="W1312" i="8" s="1"/>
  <c r="W1313" i="8" s="1"/>
  <c r="AA812" i="8"/>
  <c r="AA813" i="8" s="1"/>
  <c r="AA368" i="2"/>
  <c r="AA884" i="8" s="1"/>
  <c r="AA885" i="8" s="1"/>
  <c r="AA397" i="2"/>
  <c r="AA968" i="8" s="1"/>
  <c r="AA969" i="8" s="1"/>
  <c r="W1264" i="8"/>
  <c r="W1265" i="8" s="1"/>
  <c r="W785" i="2"/>
  <c r="W1324" i="8" s="1"/>
  <c r="W1325" i="8" s="1"/>
  <c r="X1156" i="8"/>
  <c r="X1157" i="8" s="1"/>
  <c r="X1228" i="8"/>
  <c r="X1229" i="8" s="1"/>
  <c r="Y1172" i="8"/>
  <c r="Y1173" i="8" s="1"/>
  <c r="Y1244" i="8"/>
  <c r="Y1245" i="8" s="1"/>
  <c r="W374" i="2"/>
  <c r="AC281" i="2"/>
  <c r="AB616" i="8"/>
  <c r="AB617" i="8" s="1"/>
  <c r="AB346" i="2"/>
  <c r="AB335" i="2"/>
  <c r="AB357" i="2" s="1"/>
  <c r="X1164" i="8"/>
  <c r="X1165" i="8" s="1"/>
  <c r="X1236" i="8"/>
  <c r="X1237" i="8" s="1"/>
  <c r="W799" i="2"/>
  <c r="W759" i="2"/>
  <c r="W1256" i="8" s="1"/>
  <c r="W1257" i="8" s="1"/>
  <c r="X784" i="2"/>
  <c r="Y1208" i="8"/>
  <c r="Y1209" i="8" s="1"/>
  <c r="Y796" i="2"/>
  <c r="Y1364" i="8" s="1"/>
  <c r="Y1365" i="8" s="1"/>
  <c r="Y767" i="2"/>
  <c r="Y1280" i="8" s="1"/>
  <c r="Y1281" i="8" s="1"/>
  <c r="Y1204" i="8"/>
  <c r="Y1205" i="8" s="1"/>
  <c r="Y795" i="2"/>
  <c r="Y1360" i="8" s="1"/>
  <c r="Y1361" i="8" s="1"/>
  <c r="Y766" i="2"/>
  <c r="Y1276" i="8" s="1"/>
  <c r="Y1277" i="8" s="1"/>
  <c r="Y800" i="8"/>
  <c r="Y801" i="8" s="1"/>
  <c r="Y365" i="2"/>
  <c r="Y872" i="8" s="1"/>
  <c r="Y873" i="8" s="1"/>
  <c r="Y394" i="2"/>
  <c r="Y956" i="8" s="1"/>
  <c r="Y957" i="8" s="1"/>
  <c r="W378" i="2"/>
  <c r="W916" i="8" s="1"/>
  <c r="W917" i="8" s="1"/>
  <c r="X1192" i="8"/>
  <c r="X1193" i="8" s="1"/>
  <c r="X792" i="2"/>
  <c r="X1348" i="8" s="1"/>
  <c r="X1349" i="8" s="1"/>
  <c r="X763" i="2"/>
  <c r="X1264" i="8" s="1"/>
  <c r="X1265" i="8" s="1"/>
  <c r="X828" i="8"/>
  <c r="X829" i="8" s="1"/>
  <c r="Y1004" i="8"/>
  <c r="Y1005" i="8" s="1"/>
  <c r="Y732" i="2"/>
  <c r="Y754" i="2" s="1"/>
  <c r="Y743" i="2"/>
  <c r="Z678" i="2"/>
  <c r="X338" i="2"/>
  <c r="X788" i="8" s="1"/>
  <c r="X789" i="8" s="1"/>
  <c r="X1200" i="8"/>
  <c r="X1201" i="8" s="1"/>
  <c r="X765" i="2"/>
  <c r="X1272" i="8" s="1"/>
  <c r="X1273" i="8" s="1"/>
  <c r="X794" i="2"/>
  <c r="X1356" i="8" s="1"/>
  <c r="X1357" i="8" s="1"/>
  <c r="W1284" i="8"/>
  <c r="W1285" i="8" s="1"/>
  <c r="W784" i="2"/>
  <c r="Y1168" i="8"/>
  <c r="Y1169" i="8" s="1"/>
  <c r="Y1240" i="8"/>
  <c r="Y1241" i="8" s="1"/>
  <c r="Y764" i="8"/>
  <c r="Y765" i="8" s="1"/>
  <c r="Y836" i="8"/>
  <c r="Y837" i="8" s="1"/>
  <c r="Y1152" i="8"/>
  <c r="Y1153" i="8" s="1"/>
  <c r="V390" i="2"/>
  <c r="V944" i="8" s="1"/>
  <c r="Z1008" i="8"/>
  <c r="Z1009" i="8" s="1"/>
  <c r="AA679" i="2"/>
  <c r="Z744" i="2"/>
  <c r="Z733" i="2"/>
  <c r="Z755" i="2" s="1"/>
  <c r="Z796" i="8"/>
  <c r="Z797" i="8" s="1"/>
  <c r="Z364" i="2"/>
  <c r="Z868" i="8" s="1"/>
  <c r="Z869" i="8" s="1"/>
  <c r="Z393" i="2"/>
  <c r="Z952" i="8" s="1"/>
  <c r="Z953" i="8" s="1"/>
  <c r="X1260" i="8"/>
  <c r="X1261" i="8" s="1"/>
  <c r="Z992" i="8"/>
  <c r="Z993" i="8" s="1"/>
  <c r="AA675" i="2"/>
  <c r="Z729" i="2"/>
  <c r="Z751" i="2" s="1"/>
  <c r="Z740" i="2"/>
  <c r="X737" i="2"/>
  <c r="X1184" i="8" s="1"/>
  <c r="X1185" i="8" s="1"/>
  <c r="X376" i="2"/>
  <c r="X908" i="8" s="1"/>
  <c r="X909" i="8" s="1"/>
  <c r="Z604" i="8"/>
  <c r="Z605" i="8" s="1"/>
  <c r="Z332" i="2"/>
  <c r="Z354" i="2" s="1"/>
  <c r="AA278" i="2"/>
  <c r="Z343" i="2"/>
  <c r="X1160" i="8"/>
  <c r="X1161" i="8" s="1"/>
  <c r="X1232" i="8"/>
  <c r="X1233" i="8" s="1"/>
  <c r="Y756" i="8"/>
  <c r="Y757" i="8" s="1"/>
  <c r="Y375" i="2"/>
  <c r="Y904" i="8" s="1"/>
  <c r="Y905" i="8" s="1"/>
  <c r="Y1188" i="8"/>
  <c r="Y1189" i="8" s="1"/>
  <c r="Y791" i="2"/>
  <c r="Y762" i="2"/>
  <c r="Z624" i="8"/>
  <c r="Z625" i="8" s="1"/>
  <c r="Z348" i="2"/>
  <c r="Z337" i="2"/>
  <c r="Z359" i="2" s="1"/>
  <c r="AA283" i="2"/>
  <c r="W773" i="2"/>
  <c r="W385" i="2"/>
  <c r="Z1012" i="8"/>
  <c r="Z1013" i="8" s="1"/>
  <c r="AA680" i="2"/>
  <c r="Z745" i="2"/>
  <c r="Z734" i="2"/>
  <c r="Z756" i="2" s="1"/>
  <c r="X1196" i="8"/>
  <c r="X1197" i="8" s="1"/>
  <c r="X764" i="2"/>
  <c r="X1268" i="8" s="1"/>
  <c r="X1269" i="8" s="1"/>
  <c r="X793" i="2"/>
  <c r="X1352" i="8" s="1"/>
  <c r="X1353" i="8" s="1"/>
  <c r="Z832" i="8"/>
  <c r="Z833" i="8" s="1"/>
  <c r="Z760" i="8"/>
  <c r="Z761" i="8" s="1"/>
  <c r="Z279" i="2"/>
  <c r="Y333" i="2"/>
  <c r="Y608" i="8"/>
  <c r="Y609" i="8" s="1"/>
  <c r="Y344" i="2"/>
  <c r="X748" i="2"/>
  <c r="X1220" i="8" s="1"/>
  <c r="X1221" i="8" s="1"/>
  <c r="Y792" i="8"/>
  <c r="Y793" i="8" s="1"/>
  <c r="Y363" i="2"/>
  <c r="Y392" i="2"/>
  <c r="X1224" i="8"/>
  <c r="X1225" i="8" s="1"/>
  <c r="X759" i="2"/>
  <c r="X1256" i="8" s="1"/>
  <c r="X1257" i="8" s="1"/>
  <c r="Y784" i="8"/>
  <c r="Y785" i="8" s="1"/>
  <c r="Y376" i="2"/>
  <c r="Y908" i="8" s="1"/>
  <c r="Y909" i="8" s="1"/>
  <c r="Y856" i="8"/>
  <c r="Y857" i="8" s="1"/>
  <c r="X1176" i="8"/>
  <c r="X1177" i="8" s="1"/>
  <c r="X1248" i="8"/>
  <c r="X1249" i="8" s="1"/>
  <c r="Y1000" i="8"/>
  <c r="Y1001" i="8" s="1"/>
  <c r="Y742" i="2"/>
  <c r="Z677" i="2"/>
  <c r="Y731" i="2"/>
  <c r="Y753" i="2" s="1"/>
  <c r="AA331" i="2"/>
  <c r="AA353" i="2" s="1"/>
  <c r="AA600" i="8"/>
  <c r="AA601" i="8" s="1"/>
  <c r="AB277" i="2"/>
  <c r="AA342" i="2"/>
  <c r="X804" i="8"/>
  <c r="X805" i="8" s="1"/>
  <c r="X395" i="2"/>
  <c r="X960" i="8" s="1"/>
  <c r="X961" i="8" s="1"/>
  <c r="X366" i="2"/>
  <c r="X876" i="8" s="1"/>
  <c r="X877" i="8" s="1"/>
  <c r="X1344" i="8"/>
  <c r="X1345" i="8" s="1"/>
  <c r="AA276" i="2"/>
  <c r="Z341" i="2"/>
  <c r="Z596" i="8"/>
  <c r="Z597" i="8" s="1"/>
  <c r="Z330" i="2"/>
  <c r="Z352" i="2" s="1"/>
  <c r="X386" i="2"/>
  <c r="X928" i="8" s="1"/>
  <c r="X929" i="8" s="1"/>
  <c r="V1320" i="8"/>
  <c r="V1321" i="8" s="1"/>
  <c r="V789" i="2"/>
  <c r="V1340" i="8" s="1"/>
  <c r="Y820" i="8"/>
  <c r="Y821" i="8" s="1"/>
  <c r="Y370" i="2"/>
  <c r="Y892" i="8" s="1"/>
  <c r="Y893" i="8" s="1"/>
  <c r="Y399" i="2"/>
  <c r="Y976" i="8" s="1"/>
  <c r="Y977" i="8" s="1"/>
  <c r="X369" i="2"/>
  <c r="X888" i="8" s="1"/>
  <c r="X889" i="8" s="1"/>
  <c r="X398" i="2"/>
  <c r="X972" i="8" s="1"/>
  <c r="X973" i="8" s="1"/>
  <c r="X816" i="8"/>
  <c r="X817" i="8" s="1"/>
  <c r="W774" i="2"/>
  <c r="W1300" i="8" s="1"/>
  <c r="W1301" i="8" s="1"/>
  <c r="W61" i="2"/>
  <c r="V35" i="8"/>
  <c r="V36" i="8" s="1"/>
  <c r="W457" i="2"/>
  <c r="V167" i="8"/>
  <c r="V168" i="8" s="1"/>
  <c r="W116" i="2"/>
  <c r="V51" i="8"/>
  <c r="V52" i="8" s="1"/>
  <c r="X117" i="2"/>
  <c r="W55" i="8"/>
  <c r="W56" i="8" s="1"/>
  <c r="W633" i="2"/>
  <c r="V259" i="8"/>
  <c r="V260" i="8" s="1"/>
  <c r="V641" i="2"/>
  <c r="U291" i="8"/>
  <c r="U292" i="8" s="1"/>
  <c r="W517" i="2"/>
  <c r="V203" i="8"/>
  <c r="V204" i="8" s="1"/>
  <c r="W235" i="2"/>
  <c r="V119" i="8"/>
  <c r="V120" i="8" s="1"/>
  <c r="V580" i="2"/>
  <c r="U251" i="8"/>
  <c r="U252" i="8" s="1"/>
  <c r="W237" i="2"/>
  <c r="V127" i="8"/>
  <c r="V128" i="8" s="1"/>
  <c r="W62" i="2"/>
  <c r="V39" i="8"/>
  <c r="V40" i="8" s="1"/>
  <c r="W518" i="2"/>
  <c r="V207" i="8"/>
  <c r="V208" i="8" s="1"/>
  <c r="W455" i="2"/>
  <c r="V159" i="8"/>
  <c r="V160" i="8" s="1"/>
  <c r="W458" i="2"/>
  <c r="V171" i="8"/>
  <c r="V172" i="8" s="1"/>
  <c r="W115" i="2"/>
  <c r="V47" i="8"/>
  <c r="V48" i="8" s="1"/>
  <c r="V639" i="2"/>
  <c r="U283" i="8"/>
  <c r="U284" i="8" s="1"/>
  <c r="W241" i="2"/>
  <c r="V143" i="8"/>
  <c r="V144" i="8" s="1"/>
  <c r="V174" i="2"/>
  <c r="U79" i="8"/>
  <c r="U80" i="8" s="1"/>
  <c r="W119" i="2"/>
  <c r="V63" i="8"/>
  <c r="V64" i="8" s="1"/>
  <c r="V178" i="2"/>
  <c r="U95" i="8"/>
  <c r="U96" i="8" s="1"/>
  <c r="W240" i="2"/>
  <c r="V139" i="8"/>
  <c r="V140" i="8" s="1"/>
  <c r="W120" i="2"/>
  <c r="V67" i="8"/>
  <c r="V68" i="8" s="1"/>
  <c r="V640" i="2"/>
  <c r="U287" i="8"/>
  <c r="U288" i="8" s="1"/>
  <c r="W54" i="2"/>
  <c r="V63" i="2"/>
  <c r="V7" i="8"/>
  <c r="V8" i="8" s="1"/>
  <c r="W58" i="2"/>
  <c r="V23" i="8"/>
  <c r="V24" i="8" s="1"/>
  <c r="V176" i="2"/>
  <c r="U87" i="8"/>
  <c r="U88" i="8" s="1"/>
  <c r="V636" i="2"/>
  <c r="U271" i="8"/>
  <c r="U272" i="8" s="1"/>
  <c r="W453" i="2"/>
  <c r="V151" i="8"/>
  <c r="V152" i="8" s="1"/>
  <c r="V637" i="2"/>
  <c r="U275" i="8"/>
  <c r="U276" i="8" s="1"/>
  <c r="W516" i="2"/>
  <c r="V199" i="8"/>
  <c r="V200" i="8" s="1"/>
  <c r="V179" i="2"/>
  <c r="U99" i="8"/>
  <c r="U100" i="8" s="1"/>
  <c r="W55" i="2"/>
  <c r="V11" i="8"/>
  <c r="V12" i="8" s="1"/>
  <c r="W60" i="2"/>
  <c r="V31" i="8"/>
  <c r="V32" i="8" s="1"/>
  <c r="W122" i="2"/>
  <c r="V75" i="8"/>
  <c r="V76" i="8" s="1"/>
  <c r="W234" i="2"/>
  <c r="V243" i="2"/>
  <c r="V115" i="8"/>
  <c r="V116" i="8" s="1"/>
  <c r="W581" i="2"/>
  <c r="V255" i="8"/>
  <c r="V256" i="8" s="1"/>
  <c r="W114" i="2"/>
  <c r="V123" i="2"/>
  <c r="V43" i="8"/>
  <c r="V44" i="8" s="1"/>
  <c r="W576" i="2"/>
  <c r="V235" i="8"/>
  <c r="V236" i="8" s="1"/>
  <c r="U175" i="2"/>
  <c r="T83" i="8"/>
  <c r="T84" i="8" s="1"/>
  <c r="W121" i="2"/>
  <c r="V71" i="8"/>
  <c r="V72" i="8" s="1"/>
  <c r="V459" i="2"/>
  <c r="U175" i="8"/>
  <c r="U176" i="8" s="1"/>
  <c r="W456" i="2"/>
  <c r="V163" i="8"/>
  <c r="V164" i="8" s="1"/>
  <c r="W56" i="2"/>
  <c r="V15" i="8"/>
  <c r="V16" i="8" s="1"/>
  <c r="V181" i="2"/>
  <c r="U107" i="8"/>
  <c r="U108" i="8" s="1"/>
  <c r="W575" i="2"/>
  <c r="V231" i="8"/>
  <c r="V232" i="8" s="1"/>
  <c r="W521" i="2"/>
  <c r="V219" i="8"/>
  <c r="V220" i="8" s="1"/>
  <c r="V182" i="2"/>
  <c r="U111" i="8"/>
  <c r="U112" i="8" s="1"/>
  <c r="V574" i="2"/>
  <c r="U227" i="8"/>
  <c r="U228" i="8" s="1"/>
  <c r="W520" i="2"/>
  <c r="V215" i="8"/>
  <c r="V216" i="8" s="1"/>
  <c r="W239" i="2"/>
  <c r="V135" i="8"/>
  <c r="V136" i="8" s="1"/>
  <c r="V460" i="2"/>
  <c r="U179" i="8"/>
  <c r="U180" i="8" s="1"/>
  <c r="W579" i="2"/>
  <c r="V247" i="8"/>
  <c r="V248" i="8" s="1"/>
  <c r="V634" i="2"/>
  <c r="U263" i="8"/>
  <c r="U264" i="8" s="1"/>
  <c r="W236" i="2"/>
  <c r="V123" i="8"/>
  <c r="V124" i="8" s="1"/>
  <c r="W461" i="2"/>
  <c r="V183" i="8"/>
  <c r="V184" i="8" s="1"/>
  <c r="U180" i="2"/>
  <c r="T103" i="8"/>
  <c r="T104" i="8" s="1"/>
  <c r="W514" i="2"/>
  <c r="V191" i="8"/>
  <c r="V192" i="8" s="1"/>
  <c r="V635" i="2"/>
  <c r="U267" i="8"/>
  <c r="U268" i="8" s="1"/>
  <c r="V577" i="2"/>
  <c r="U239" i="8"/>
  <c r="U240" i="8" s="1"/>
  <c r="W515" i="2"/>
  <c r="V195" i="8"/>
  <c r="V196" i="8" s="1"/>
  <c r="W238" i="2"/>
  <c r="V131" i="8"/>
  <c r="V132" i="8" s="1"/>
  <c r="W242" i="2"/>
  <c r="V147" i="8"/>
  <c r="V148" i="8" s="1"/>
  <c r="W519" i="2"/>
  <c r="V211" i="8"/>
  <c r="V212" i="8" s="1"/>
  <c r="W57" i="2"/>
  <c r="V19" i="8"/>
  <c r="V20" i="8" s="1"/>
  <c r="V177" i="2"/>
  <c r="U91" i="8"/>
  <c r="U92" i="8" s="1"/>
  <c r="W59" i="2"/>
  <c r="V27" i="8"/>
  <c r="V28" i="8" s="1"/>
  <c r="W118" i="2"/>
  <c r="V59" i="8"/>
  <c r="V60" i="8" s="1"/>
  <c r="V578" i="2"/>
  <c r="U243" i="8"/>
  <c r="U244" i="8" s="1"/>
  <c r="Y386" i="2" l="1"/>
  <c r="Y928" i="8" s="1"/>
  <c r="Y929" i="8" s="1"/>
  <c r="X389" i="2"/>
  <c r="X940" i="8" s="1"/>
  <c r="X941" i="8" s="1"/>
  <c r="W980" i="8"/>
  <c r="W981" i="8" s="1"/>
  <c r="W250" i="2"/>
  <c r="Y349" i="2"/>
  <c r="Y824" i="8" s="1"/>
  <c r="Y825" i="8" s="1"/>
  <c r="Y338" i="2"/>
  <c r="Y788" i="8" s="1"/>
  <c r="Y789" i="8" s="1"/>
  <c r="Y355" i="2"/>
  <c r="Y748" i="2"/>
  <c r="Y1220" i="8" s="1"/>
  <c r="Y1221" i="8" s="1"/>
  <c r="Y737" i="2"/>
  <c r="Y1184" i="8" s="1"/>
  <c r="Y1185" i="8" s="1"/>
  <c r="U454" i="2"/>
  <c r="T155" i="8"/>
  <c r="T156" i="8" s="1"/>
  <c r="T462" i="2"/>
  <c r="T642" i="2"/>
  <c r="U638" i="2"/>
  <c r="T279" i="8"/>
  <c r="T280" i="8" s="1"/>
  <c r="W1376" i="8"/>
  <c r="W1377" i="8" s="1"/>
  <c r="W649" i="2"/>
  <c r="T522" i="2"/>
  <c r="T187" i="8"/>
  <c r="T188" i="8" s="1"/>
  <c r="U513" i="2"/>
  <c r="U573" i="2"/>
  <c r="T582" i="2"/>
  <c r="T223" i="8"/>
  <c r="T224" i="8" s="1"/>
  <c r="X360" i="2"/>
  <c r="X860" i="8" s="1"/>
  <c r="X861" i="8" s="1"/>
  <c r="Y772" i="8"/>
  <c r="Y773" i="8" s="1"/>
  <c r="Y844" i="8"/>
  <c r="Y845" i="8" s="1"/>
  <c r="Y808" i="8"/>
  <c r="Y809" i="8" s="1"/>
  <c r="Y396" i="2"/>
  <c r="Y964" i="8" s="1"/>
  <c r="Y965" i="8" s="1"/>
  <c r="Y367" i="2"/>
  <c r="Y880" i="8" s="1"/>
  <c r="Y881" i="8" s="1"/>
  <c r="X785" i="2"/>
  <c r="X1324" i="8" s="1"/>
  <c r="X1325" i="8" s="1"/>
  <c r="X400" i="2"/>
  <c r="Z334" i="2"/>
  <c r="Z356" i="2" s="1"/>
  <c r="Z612" i="8"/>
  <c r="Z613" i="8" s="1"/>
  <c r="Z345" i="2"/>
  <c r="AA280" i="2"/>
  <c r="X385" i="2"/>
  <c r="X924" i="8" s="1"/>
  <c r="X925" i="8" s="1"/>
  <c r="X777" i="2"/>
  <c r="X1312" i="8" s="1"/>
  <c r="X1313" i="8" s="1"/>
  <c r="Z786" i="2"/>
  <c r="Z1328" i="8" s="1"/>
  <c r="Z1329" i="8" s="1"/>
  <c r="U183" i="2"/>
  <c r="Y780" i="8"/>
  <c r="Y781" i="8" s="1"/>
  <c r="Y852" i="8"/>
  <c r="Y853" i="8" s="1"/>
  <c r="Z792" i="8"/>
  <c r="Z793" i="8" s="1"/>
  <c r="Z363" i="2"/>
  <c r="Z392" i="2"/>
  <c r="Y1196" i="8"/>
  <c r="Y1197" i="8" s="1"/>
  <c r="Y764" i="2"/>
  <c r="Y1268" i="8" s="1"/>
  <c r="Y1269" i="8" s="1"/>
  <c r="Y793" i="2"/>
  <c r="Y1352" i="8" s="1"/>
  <c r="Y1353" i="8" s="1"/>
  <c r="Z1172" i="8"/>
  <c r="Z1173" i="8" s="1"/>
  <c r="Z1244" i="8"/>
  <c r="Z1245" i="8" s="1"/>
  <c r="Y1344" i="8"/>
  <c r="Y1345" i="8" s="1"/>
  <c r="X788" i="2"/>
  <c r="X1336" i="8" s="1"/>
  <c r="X1337" i="8" s="1"/>
  <c r="AA1008" i="8"/>
  <c r="AA1009" i="8" s="1"/>
  <c r="AA733" i="2"/>
  <c r="AA755" i="2" s="1"/>
  <c r="AB679" i="2"/>
  <c r="AA744" i="2"/>
  <c r="AA596" i="8"/>
  <c r="AA597" i="8" s="1"/>
  <c r="AB276" i="2"/>
  <c r="AA341" i="2"/>
  <c r="AA330" i="2"/>
  <c r="AA352" i="2" s="1"/>
  <c r="Y948" i="8"/>
  <c r="Y949" i="8" s="1"/>
  <c r="Z1208" i="8"/>
  <c r="Z1209" i="8" s="1"/>
  <c r="Z767" i="2"/>
  <c r="Z1280" i="8" s="1"/>
  <c r="Z1281" i="8" s="1"/>
  <c r="Z796" i="2"/>
  <c r="Z1364" i="8" s="1"/>
  <c r="Z1365" i="8" s="1"/>
  <c r="X371" i="2"/>
  <c r="X896" i="8" s="1"/>
  <c r="X897" i="8" s="1"/>
  <c r="W924" i="8"/>
  <c r="W925" i="8" s="1"/>
  <c r="W390" i="2"/>
  <c r="W944" i="8" s="1"/>
  <c r="AA992" i="8"/>
  <c r="AA993" i="8" s="1"/>
  <c r="AB675" i="2"/>
  <c r="AA729" i="2"/>
  <c r="AA751" i="2" s="1"/>
  <c r="AA740" i="2"/>
  <c r="Y1224" i="8"/>
  <c r="Y1225" i="8" s="1"/>
  <c r="Z1004" i="8"/>
  <c r="Z1005" i="8" s="1"/>
  <c r="Z732" i="2"/>
  <c r="Z754" i="2" s="1"/>
  <c r="Z743" i="2"/>
  <c r="AA678" i="2"/>
  <c r="Z775" i="2"/>
  <c r="Z1304" i="8" s="1"/>
  <c r="Z1305" i="8" s="1"/>
  <c r="Y387" i="2"/>
  <c r="Y932" i="8" s="1"/>
  <c r="Y933" i="8" s="1"/>
  <c r="Y804" i="8"/>
  <c r="Y805" i="8" s="1"/>
  <c r="Y395" i="2"/>
  <c r="Y960" i="8" s="1"/>
  <c r="Y961" i="8" s="1"/>
  <c r="Y366" i="2"/>
  <c r="Y876" i="8" s="1"/>
  <c r="Y877" i="8" s="1"/>
  <c r="W1296" i="8"/>
  <c r="W1297" i="8" s="1"/>
  <c r="W778" i="2"/>
  <c r="W1316" i="8" s="1"/>
  <c r="W1317" i="8" s="1"/>
  <c r="Y1200" i="8"/>
  <c r="Y1201" i="8" s="1"/>
  <c r="Y794" i="2"/>
  <c r="Y1356" i="8" s="1"/>
  <c r="Y1357" i="8" s="1"/>
  <c r="Y765" i="2"/>
  <c r="Y1272" i="8" s="1"/>
  <c r="Y1273" i="8" s="1"/>
  <c r="AD281" i="2"/>
  <c r="AC335" i="2"/>
  <c r="AC357" i="2" s="1"/>
  <c r="AC616" i="8"/>
  <c r="AC617" i="8" s="1"/>
  <c r="AC346" i="2"/>
  <c r="AA1216" i="8"/>
  <c r="AA1217" i="8" s="1"/>
  <c r="AA769" i="2"/>
  <c r="AA1288" i="8" s="1"/>
  <c r="AA1289" i="8" s="1"/>
  <c r="AA798" i="2"/>
  <c r="AA1372" i="8" s="1"/>
  <c r="AA1373" i="8" s="1"/>
  <c r="Y864" i="8"/>
  <c r="Y865" i="8" s="1"/>
  <c r="Z1152" i="8"/>
  <c r="Z1153" i="8" s="1"/>
  <c r="AA624" i="8"/>
  <c r="AA625" i="8" s="1"/>
  <c r="AA348" i="2"/>
  <c r="AA337" i="2"/>
  <c r="AA359" i="2" s="1"/>
  <c r="AB283" i="2"/>
  <c r="X770" i="2"/>
  <c r="X1292" i="8" s="1"/>
  <c r="X1293" i="8" s="1"/>
  <c r="Y1164" i="8"/>
  <c r="Y1165" i="8" s="1"/>
  <c r="Y1236" i="8"/>
  <c r="Y1237" i="8" s="1"/>
  <c r="Y777" i="2"/>
  <c r="Y1312" i="8" s="1"/>
  <c r="Y1313" i="8" s="1"/>
  <c r="W900" i="8"/>
  <c r="W901" i="8" s="1"/>
  <c r="W379" i="2"/>
  <c r="W920" i="8" s="1"/>
  <c r="W921" i="8" s="1"/>
  <c r="AA1180" i="8"/>
  <c r="AA1181" i="8" s="1"/>
  <c r="AA1252" i="8"/>
  <c r="AA1253" i="8" s="1"/>
  <c r="X799" i="2"/>
  <c r="AA1012" i="8"/>
  <c r="AA1013" i="8" s="1"/>
  <c r="AA734" i="2"/>
  <c r="AA756" i="2" s="1"/>
  <c r="AB680" i="2"/>
  <c r="AA745" i="2"/>
  <c r="Y828" i="8"/>
  <c r="Y829" i="8" s="1"/>
  <c r="Z1188" i="8"/>
  <c r="Z1189" i="8" s="1"/>
  <c r="Z762" i="2"/>
  <c r="Z791" i="2"/>
  <c r="AB812" i="8"/>
  <c r="AB813" i="8" s="1"/>
  <c r="AB368" i="2"/>
  <c r="AB884" i="8" s="1"/>
  <c r="AB885" i="8" s="1"/>
  <c r="AB397" i="2"/>
  <c r="AB968" i="8" s="1"/>
  <c r="AB969" i="8" s="1"/>
  <c r="Y840" i="8"/>
  <c r="Y841" i="8" s="1"/>
  <c r="Y768" i="8"/>
  <c r="Y769" i="8" s="1"/>
  <c r="Z784" i="8"/>
  <c r="Z785" i="8" s="1"/>
  <c r="Z856" i="8"/>
  <c r="Z857" i="8" s="1"/>
  <c r="Y1176" i="8"/>
  <c r="Y1177" i="8" s="1"/>
  <c r="Y1248" i="8"/>
  <c r="Y1249" i="8" s="1"/>
  <c r="AB1020" i="8"/>
  <c r="AB1021" i="8" s="1"/>
  <c r="AB736" i="2"/>
  <c r="AB758" i="2" s="1"/>
  <c r="AB747" i="2"/>
  <c r="AC682" i="2"/>
  <c r="AA796" i="8"/>
  <c r="AA797" i="8" s="1"/>
  <c r="AA364" i="2"/>
  <c r="AA868" i="8" s="1"/>
  <c r="AA869" i="8" s="1"/>
  <c r="AA393" i="2"/>
  <c r="AA952" i="8" s="1"/>
  <c r="AA953" i="8" s="1"/>
  <c r="AA279" i="2"/>
  <c r="Z333" i="2"/>
  <c r="Z608" i="8"/>
  <c r="Z609" i="8" s="1"/>
  <c r="Z344" i="2"/>
  <c r="Z820" i="8"/>
  <c r="Z821" i="8" s="1"/>
  <c r="Z370" i="2"/>
  <c r="Z892" i="8" s="1"/>
  <c r="Z893" i="8" s="1"/>
  <c r="Z399" i="2"/>
  <c r="Z976" i="8" s="1"/>
  <c r="Z977" i="8" s="1"/>
  <c r="Z996" i="8"/>
  <c r="Z997" i="8" s="1"/>
  <c r="Z730" i="2"/>
  <c r="Z752" i="2" s="1"/>
  <c r="Z741" i="2"/>
  <c r="AA676" i="2"/>
  <c r="Z1016" i="8"/>
  <c r="Z1017" i="8" s="1"/>
  <c r="AA681" i="2"/>
  <c r="Z746" i="2"/>
  <c r="Z735" i="2"/>
  <c r="Z757" i="2" s="1"/>
  <c r="AB600" i="8"/>
  <c r="AB601" i="8" s="1"/>
  <c r="AB331" i="2"/>
  <c r="AB353" i="2" s="1"/>
  <c r="AB342" i="2"/>
  <c r="AC277" i="2"/>
  <c r="Z800" i="8"/>
  <c r="Z801" i="8" s="1"/>
  <c r="Z365" i="2"/>
  <c r="Z872" i="8" s="1"/>
  <c r="Z873" i="8" s="1"/>
  <c r="Z394" i="2"/>
  <c r="Z956" i="8" s="1"/>
  <c r="Z957" i="8" s="1"/>
  <c r="Y773" i="2"/>
  <c r="Y1156" i="8"/>
  <c r="Y1157" i="8" s="1"/>
  <c r="Y1212" i="8"/>
  <c r="Y1213" i="8" s="1"/>
  <c r="Y797" i="2"/>
  <c r="Y1368" i="8" s="1"/>
  <c r="Y1369" i="8" s="1"/>
  <c r="Y768" i="2"/>
  <c r="Y1284" i="8" s="1"/>
  <c r="Y1285" i="8" s="1"/>
  <c r="X378" i="2"/>
  <c r="X916" i="8" s="1"/>
  <c r="X917" i="8" s="1"/>
  <c r="Z1000" i="8"/>
  <c r="Z1001" i="8" s="1"/>
  <c r="Z742" i="2"/>
  <c r="Z731" i="2"/>
  <c r="Z753" i="2" s="1"/>
  <c r="AA677" i="2"/>
  <c r="X774" i="2"/>
  <c r="X1300" i="8" s="1"/>
  <c r="X1301" i="8" s="1"/>
  <c r="AA343" i="2"/>
  <c r="AA604" i="8"/>
  <c r="AA605" i="8" s="1"/>
  <c r="AA332" i="2"/>
  <c r="AA354" i="2" s="1"/>
  <c r="AB278" i="2"/>
  <c r="X1320" i="8"/>
  <c r="X1321" i="8" s="1"/>
  <c r="Y1192" i="8"/>
  <c r="Y1193" i="8" s="1"/>
  <c r="Y792" i="2"/>
  <c r="Y1348" i="8" s="1"/>
  <c r="Y1349" i="8" s="1"/>
  <c r="Y763" i="2"/>
  <c r="AA832" i="8"/>
  <c r="AA833" i="8" s="1"/>
  <c r="AA760" i="8"/>
  <c r="AA761" i="8" s="1"/>
  <c r="Z764" i="8"/>
  <c r="Z765" i="8" s="1"/>
  <c r="Z836" i="8"/>
  <c r="Z837" i="8" s="1"/>
  <c r="Z1168" i="8"/>
  <c r="Z1169" i="8" s="1"/>
  <c r="Z1240" i="8"/>
  <c r="Z1241" i="8" s="1"/>
  <c r="W1320" i="8"/>
  <c r="W1321" i="8" s="1"/>
  <c r="W789" i="2"/>
  <c r="W1340" i="8" s="1"/>
  <c r="Y816" i="8"/>
  <c r="Y817" i="8" s="1"/>
  <c r="Y398" i="2"/>
  <c r="Y972" i="8" s="1"/>
  <c r="Y973" i="8" s="1"/>
  <c r="Y369" i="2"/>
  <c r="Y888" i="8" s="1"/>
  <c r="Y889" i="8" s="1"/>
  <c r="X900" i="8"/>
  <c r="X901" i="8" s="1"/>
  <c r="AB776" i="8"/>
  <c r="AB777" i="8" s="1"/>
  <c r="AB848" i="8"/>
  <c r="AB849" i="8" s="1"/>
  <c r="Z756" i="8"/>
  <c r="Z757" i="8" s="1"/>
  <c r="Z375" i="2"/>
  <c r="Z904" i="8" s="1"/>
  <c r="Z905" i="8" s="1"/>
  <c r="Y1160" i="8"/>
  <c r="Y1161" i="8" s="1"/>
  <c r="Y1232" i="8"/>
  <c r="Y1233" i="8" s="1"/>
  <c r="Y1260" i="8"/>
  <c r="Y1261" i="8" s="1"/>
  <c r="Z1204" i="8"/>
  <c r="Z1205" i="8" s="1"/>
  <c r="Z795" i="2"/>
  <c r="Z1360" i="8" s="1"/>
  <c r="Z1361" i="8" s="1"/>
  <c r="Z766" i="2"/>
  <c r="Z1276" i="8" s="1"/>
  <c r="Z1277" i="8" s="1"/>
  <c r="Z620" i="8"/>
  <c r="Z621" i="8" s="1"/>
  <c r="Z336" i="2"/>
  <c r="Z358" i="2" s="1"/>
  <c r="Z347" i="2"/>
  <c r="AA282" i="2"/>
  <c r="X773" i="2"/>
  <c r="X633" i="2"/>
  <c r="W259" i="8"/>
  <c r="W260" i="8" s="1"/>
  <c r="V180" i="2"/>
  <c r="U103" i="8"/>
  <c r="U104" i="8" s="1"/>
  <c r="X516" i="2"/>
  <c r="W199" i="8"/>
  <c r="W200" i="8" s="1"/>
  <c r="X241" i="2"/>
  <c r="W143" i="8"/>
  <c r="W144" i="8" s="1"/>
  <c r="X62" i="2"/>
  <c r="W39" i="8"/>
  <c r="W40" i="8" s="1"/>
  <c r="X119" i="2"/>
  <c r="W63" i="8"/>
  <c r="W64" i="8" s="1"/>
  <c r="W578" i="2"/>
  <c r="V243" i="8"/>
  <c r="V244" i="8" s="1"/>
  <c r="X242" i="2"/>
  <c r="W147" i="8"/>
  <c r="W148" i="8" s="1"/>
  <c r="X461" i="2"/>
  <c r="W183" i="8"/>
  <c r="W184" i="8" s="1"/>
  <c r="W574" i="2"/>
  <c r="V227" i="8"/>
  <c r="V228" i="8" s="1"/>
  <c r="W459" i="2"/>
  <c r="V175" i="8"/>
  <c r="V176" i="8" s="1"/>
  <c r="X234" i="2"/>
  <c r="W243" i="2"/>
  <c r="W115" i="8"/>
  <c r="W116" i="8" s="1"/>
  <c r="W637" i="2"/>
  <c r="V275" i="8"/>
  <c r="V276" i="8" s="1"/>
  <c r="W640" i="2"/>
  <c r="V287" i="8"/>
  <c r="V288" i="8" s="1"/>
  <c r="Y117" i="2"/>
  <c r="X55" i="8"/>
  <c r="X56" i="8" s="1"/>
  <c r="X237" i="2"/>
  <c r="W127" i="8"/>
  <c r="W128" i="8" s="1"/>
  <c r="X57" i="2"/>
  <c r="W19" i="8"/>
  <c r="W20" i="8" s="1"/>
  <c r="X581" i="2"/>
  <c r="W255" i="8"/>
  <c r="W256" i="8" s="1"/>
  <c r="X518" i="2"/>
  <c r="W207" i="8"/>
  <c r="W208" i="8" s="1"/>
  <c r="X519" i="2"/>
  <c r="W211" i="8"/>
  <c r="W212" i="8" s="1"/>
  <c r="X456" i="2"/>
  <c r="W163" i="8"/>
  <c r="W164" i="8" s="1"/>
  <c r="W63" i="2"/>
  <c r="X54" i="2"/>
  <c r="W7" i="8"/>
  <c r="W8" i="8" s="1"/>
  <c r="X238" i="2"/>
  <c r="W131" i="8"/>
  <c r="W132" i="8" s="1"/>
  <c r="X236" i="2"/>
  <c r="W123" i="8"/>
  <c r="W124" i="8" s="1"/>
  <c r="W182" i="2"/>
  <c r="V111" i="8"/>
  <c r="V112" i="8" s="1"/>
  <c r="X121" i="2"/>
  <c r="W71" i="8"/>
  <c r="W72" i="8" s="1"/>
  <c r="X122" i="2"/>
  <c r="W75" i="8"/>
  <c r="W76" i="8" s="1"/>
  <c r="X453" i="2"/>
  <c r="W151" i="8"/>
  <c r="W152" i="8" s="1"/>
  <c r="X120" i="2"/>
  <c r="W67" i="8"/>
  <c r="W68" i="8" s="1"/>
  <c r="X116" i="2"/>
  <c r="W51" i="8"/>
  <c r="W52" i="8" s="1"/>
  <c r="W635" i="2"/>
  <c r="V267" i="8"/>
  <c r="V268" i="8" s="1"/>
  <c r="W639" i="2"/>
  <c r="V283" i="8"/>
  <c r="V284" i="8" s="1"/>
  <c r="W580" i="2"/>
  <c r="V251" i="8"/>
  <c r="V252" i="8" s="1"/>
  <c r="W181" i="2"/>
  <c r="V107" i="8"/>
  <c r="V108" i="8" s="1"/>
  <c r="X118" i="2"/>
  <c r="W59" i="8"/>
  <c r="W60" i="8" s="1"/>
  <c r="X515" i="2"/>
  <c r="W195" i="8"/>
  <c r="W196" i="8" s="1"/>
  <c r="W634" i="2"/>
  <c r="V263" i="8"/>
  <c r="V264" i="8" s="1"/>
  <c r="X521" i="2"/>
  <c r="W219" i="8"/>
  <c r="W220" i="8" s="1"/>
  <c r="V175" i="2"/>
  <c r="V183" i="2" s="1"/>
  <c r="U83" i="8"/>
  <c r="U84" i="8" s="1"/>
  <c r="X60" i="2"/>
  <c r="W31" i="8"/>
  <c r="W32" i="8" s="1"/>
  <c r="X240" i="2"/>
  <c r="W139" i="8"/>
  <c r="W140" i="8" s="1"/>
  <c r="X457" i="2"/>
  <c r="W167" i="8"/>
  <c r="W168" i="8" s="1"/>
  <c r="W177" i="2"/>
  <c r="V91" i="8"/>
  <c r="V92" i="8" s="1"/>
  <c r="X514" i="2"/>
  <c r="W191" i="8"/>
  <c r="W192" i="8" s="1"/>
  <c r="X56" i="2"/>
  <c r="W15" i="8"/>
  <c r="W16" i="8" s="1"/>
  <c r="W174" i="2"/>
  <c r="V79" i="8"/>
  <c r="V80" i="8" s="1"/>
  <c r="X520" i="2"/>
  <c r="W215" i="8"/>
  <c r="W216" i="8" s="1"/>
  <c r="W636" i="2"/>
  <c r="V271" i="8"/>
  <c r="V272" i="8" s="1"/>
  <c r="X115" i="2"/>
  <c r="W47" i="8"/>
  <c r="W48" i="8" s="1"/>
  <c r="X235" i="2"/>
  <c r="W119" i="8"/>
  <c r="W120" i="8" s="1"/>
  <c r="W179" i="2"/>
  <c r="V99" i="8"/>
  <c r="V100" i="8" s="1"/>
  <c r="X239" i="2"/>
  <c r="W135" i="8"/>
  <c r="W136" i="8" s="1"/>
  <c r="X59" i="2"/>
  <c r="W27" i="8"/>
  <c r="W28" i="8" s="1"/>
  <c r="W577" i="2"/>
  <c r="V239" i="8"/>
  <c r="V240" i="8" s="1"/>
  <c r="X579" i="2"/>
  <c r="W247" i="8"/>
  <c r="W248" i="8" s="1"/>
  <c r="X575" i="2"/>
  <c r="W231" i="8"/>
  <c r="W232" i="8" s="1"/>
  <c r="X576" i="2"/>
  <c r="W235" i="8"/>
  <c r="W236" i="8" s="1"/>
  <c r="X55" i="2"/>
  <c r="W11" i="8"/>
  <c r="W12" i="8" s="1"/>
  <c r="W178" i="2"/>
  <c r="V95" i="8"/>
  <c r="V96" i="8" s="1"/>
  <c r="W176" i="2"/>
  <c r="V87" i="8"/>
  <c r="V88" i="8" s="1"/>
  <c r="X458" i="2"/>
  <c r="W171" i="8"/>
  <c r="W172" i="8" s="1"/>
  <c r="X517" i="2"/>
  <c r="W203" i="8"/>
  <c r="W204" i="8" s="1"/>
  <c r="W460" i="2"/>
  <c r="V179" i="8"/>
  <c r="V180" i="8" s="1"/>
  <c r="W123" i="2"/>
  <c r="X114" i="2"/>
  <c r="W43" i="8"/>
  <c r="W44" i="8" s="1"/>
  <c r="X58" i="2"/>
  <c r="W23" i="8"/>
  <c r="W24" i="8" s="1"/>
  <c r="X455" i="2"/>
  <c r="W159" i="8"/>
  <c r="W160" i="8" s="1"/>
  <c r="W641" i="2"/>
  <c r="V291" i="8"/>
  <c r="V292" i="8" s="1"/>
  <c r="X61" i="2"/>
  <c r="W35" i="8"/>
  <c r="W36" i="8" s="1"/>
  <c r="X789" i="2" l="1"/>
  <c r="X1340" i="8" s="1"/>
  <c r="V638" i="2"/>
  <c r="U279" i="8"/>
  <c r="U280" i="8" s="1"/>
  <c r="U642" i="2"/>
  <c r="U155" i="8"/>
  <c r="U156" i="8" s="1"/>
  <c r="V454" i="2"/>
  <c r="U462" i="2"/>
  <c r="Z349" i="2"/>
  <c r="Z824" i="8" s="1"/>
  <c r="Z825" i="8" s="1"/>
  <c r="X1376" i="8"/>
  <c r="X1377" i="8" s="1"/>
  <c r="X649" i="2"/>
  <c r="Z338" i="2"/>
  <c r="Z788" i="8" s="1"/>
  <c r="Z789" i="8" s="1"/>
  <c r="Z355" i="2"/>
  <c r="U223" i="8"/>
  <c r="U224" i="8" s="1"/>
  <c r="V573" i="2"/>
  <c r="U582" i="2"/>
  <c r="U522" i="2"/>
  <c r="V513" i="2"/>
  <c r="U187" i="8"/>
  <c r="U188" i="8" s="1"/>
  <c r="X980" i="8"/>
  <c r="X981" i="8" s="1"/>
  <c r="X250" i="2"/>
  <c r="X379" i="2"/>
  <c r="X920" i="8" s="1"/>
  <c r="X921" i="8" s="1"/>
  <c r="Z396" i="2"/>
  <c r="Z964" i="8" s="1"/>
  <c r="Z965" i="8" s="1"/>
  <c r="Z367" i="2"/>
  <c r="Z880" i="8" s="1"/>
  <c r="Z881" i="8" s="1"/>
  <c r="Z808" i="8"/>
  <c r="Z809" i="8" s="1"/>
  <c r="Y389" i="2"/>
  <c r="Y940" i="8" s="1"/>
  <c r="Y941" i="8" s="1"/>
  <c r="Z844" i="8"/>
  <c r="Z845" i="8" s="1"/>
  <c r="Z772" i="8"/>
  <c r="Z773" i="8" s="1"/>
  <c r="Z737" i="2"/>
  <c r="Z1184" i="8" s="1"/>
  <c r="Z1185" i="8" s="1"/>
  <c r="X390" i="2"/>
  <c r="X944" i="8" s="1"/>
  <c r="AB280" i="2"/>
  <c r="AA334" i="2"/>
  <c r="AA356" i="2" s="1"/>
  <c r="AA612" i="8"/>
  <c r="AA613" i="8" s="1"/>
  <c r="AA345" i="2"/>
  <c r="Z387" i="2"/>
  <c r="Z932" i="8" s="1"/>
  <c r="Z933" i="8" s="1"/>
  <c r="Y784" i="2"/>
  <c r="Y788" i="2"/>
  <c r="Y1336" i="8" s="1"/>
  <c r="Y1337" i="8" s="1"/>
  <c r="Y385" i="2"/>
  <c r="Z1212" i="8"/>
  <c r="Z1213" i="8" s="1"/>
  <c r="Z797" i="2"/>
  <c r="Z1368" i="8" s="1"/>
  <c r="Z1369" i="8" s="1"/>
  <c r="Z768" i="2"/>
  <c r="Z1284" i="8" s="1"/>
  <c r="Z1285" i="8" s="1"/>
  <c r="AB279" i="2"/>
  <c r="AA333" i="2"/>
  <c r="AA355" i="2" s="1"/>
  <c r="AA608" i="8"/>
  <c r="AA609" i="8" s="1"/>
  <c r="AA344" i="2"/>
  <c r="Y378" i="2"/>
  <c r="Y916" i="8" s="1"/>
  <c r="Y917" i="8" s="1"/>
  <c r="AA1172" i="8"/>
  <c r="AA1173" i="8" s="1"/>
  <c r="AA1244" i="8"/>
  <c r="AA1245" i="8" s="1"/>
  <c r="AA1188" i="8"/>
  <c r="AA1189" i="8" s="1"/>
  <c r="AA762" i="2"/>
  <c r="AA791" i="2"/>
  <c r="Y400" i="2"/>
  <c r="AA1016" i="8"/>
  <c r="AA1017" i="8" s="1"/>
  <c r="AB681" i="2"/>
  <c r="AA746" i="2"/>
  <c r="AA735" i="2"/>
  <c r="AA757" i="2" s="1"/>
  <c r="AA1152" i="8"/>
  <c r="AA1153" i="8" s="1"/>
  <c r="Y770" i="2"/>
  <c r="Y1292" i="8" s="1"/>
  <c r="Y1293" i="8" s="1"/>
  <c r="AB348" i="2"/>
  <c r="AB624" i="8"/>
  <c r="AB625" i="8" s="1"/>
  <c r="AC283" i="2"/>
  <c r="AB337" i="2"/>
  <c r="AB359" i="2" s="1"/>
  <c r="AC812" i="8"/>
  <c r="AC813" i="8" s="1"/>
  <c r="AC368" i="2"/>
  <c r="AC884" i="8" s="1"/>
  <c r="AC885" i="8" s="1"/>
  <c r="AC397" i="2"/>
  <c r="AC968" i="8" s="1"/>
  <c r="AC969" i="8" s="1"/>
  <c r="AB992" i="8"/>
  <c r="AB993" i="8" s="1"/>
  <c r="AB729" i="2"/>
  <c r="AB751" i="2" s="1"/>
  <c r="AB740" i="2"/>
  <c r="AC675" i="2"/>
  <c r="AA756" i="8"/>
  <c r="AA757" i="8" s="1"/>
  <c r="AA375" i="2"/>
  <c r="AA904" i="8" s="1"/>
  <c r="AA905" i="8" s="1"/>
  <c r="Y1228" i="8"/>
  <c r="Y1229" i="8" s="1"/>
  <c r="Y774" i="2"/>
  <c r="Y1300" i="8" s="1"/>
  <c r="Y1301" i="8" s="1"/>
  <c r="AA996" i="8"/>
  <c r="AA997" i="8" s="1"/>
  <c r="AA730" i="2"/>
  <c r="AA752" i="2" s="1"/>
  <c r="AA741" i="2"/>
  <c r="AB676" i="2"/>
  <c r="AA784" i="8"/>
  <c r="AA785" i="8" s="1"/>
  <c r="AA856" i="8"/>
  <c r="AA857" i="8" s="1"/>
  <c r="AA792" i="8"/>
  <c r="AA793" i="8" s="1"/>
  <c r="AA363" i="2"/>
  <c r="AA392" i="2"/>
  <c r="X1296" i="8"/>
  <c r="X1297" i="8" s="1"/>
  <c r="X778" i="2"/>
  <c r="X1316" i="8" s="1"/>
  <c r="X1317" i="8" s="1"/>
  <c r="AA800" i="8"/>
  <c r="AA801" i="8" s="1"/>
  <c r="AA365" i="2"/>
  <c r="AA872" i="8" s="1"/>
  <c r="AA873" i="8" s="1"/>
  <c r="AA394" i="2"/>
  <c r="AA956" i="8" s="1"/>
  <c r="AA957" i="8" s="1"/>
  <c r="Z1224" i="8"/>
  <c r="Z1225" i="8" s="1"/>
  <c r="Z948" i="8"/>
  <c r="Z949" i="8" s="1"/>
  <c r="Z1192" i="8"/>
  <c r="Z1193" i="8" s="1"/>
  <c r="Z792" i="2"/>
  <c r="Z1348" i="8" s="1"/>
  <c r="Z1349" i="8" s="1"/>
  <c r="Z763" i="2"/>
  <c r="Z1264" i="8" s="1"/>
  <c r="Z1265" i="8" s="1"/>
  <c r="AA820" i="8"/>
  <c r="AA821" i="8" s="1"/>
  <c r="AA370" i="2"/>
  <c r="AA892" i="8" s="1"/>
  <c r="AA893" i="8" s="1"/>
  <c r="AA399" i="2"/>
  <c r="AA976" i="8" s="1"/>
  <c r="AA977" i="8" s="1"/>
  <c r="AB596" i="8"/>
  <c r="AB597" i="8" s="1"/>
  <c r="AC276" i="2"/>
  <c r="AB341" i="2"/>
  <c r="AB330" i="2"/>
  <c r="AB352" i="2" s="1"/>
  <c r="Y1296" i="8"/>
  <c r="Y1297" i="8" s="1"/>
  <c r="Z1344" i="8"/>
  <c r="Z1345" i="8" s="1"/>
  <c r="Z1260" i="8"/>
  <c r="Z1261" i="8" s="1"/>
  <c r="AA775" i="2"/>
  <c r="AA1304" i="8" s="1"/>
  <c r="AA1305" i="8" s="1"/>
  <c r="AA1004" i="8"/>
  <c r="AA1005" i="8" s="1"/>
  <c r="AA732" i="2"/>
  <c r="AA754" i="2" s="1"/>
  <c r="AA743" i="2"/>
  <c r="AB678" i="2"/>
  <c r="AA1204" i="8"/>
  <c r="AA1205" i="8" s="1"/>
  <c r="AA795" i="2"/>
  <c r="AA1360" i="8" s="1"/>
  <c r="AA1361" i="8" s="1"/>
  <c r="AA766" i="2"/>
  <c r="AA1276" i="8" s="1"/>
  <c r="AA1277" i="8" s="1"/>
  <c r="Z864" i="8"/>
  <c r="Z865" i="8" s="1"/>
  <c r="AB343" i="2"/>
  <c r="AB332" i="2"/>
  <c r="AB354" i="2" s="1"/>
  <c r="AB604" i="8"/>
  <c r="AB605" i="8" s="1"/>
  <c r="AC278" i="2"/>
  <c r="AA764" i="8"/>
  <c r="AA765" i="8" s="1"/>
  <c r="AA836" i="8"/>
  <c r="AA837" i="8" s="1"/>
  <c r="Z1156" i="8"/>
  <c r="Z1157" i="8" s="1"/>
  <c r="Z1228" i="8"/>
  <c r="Z1229" i="8" s="1"/>
  <c r="AB1216" i="8"/>
  <c r="AB1217" i="8" s="1"/>
  <c r="AB769" i="2"/>
  <c r="AB1288" i="8" s="1"/>
  <c r="AB1289" i="8" s="1"/>
  <c r="AB798" i="2"/>
  <c r="AB1372" i="8" s="1"/>
  <c r="AB1373" i="8" s="1"/>
  <c r="Z748" i="2"/>
  <c r="Z1220" i="8" s="1"/>
  <c r="Z1221" i="8" s="1"/>
  <c r="AD616" i="8"/>
  <c r="AD617" i="8" s="1"/>
  <c r="AE281" i="2"/>
  <c r="AD335" i="2"/>
  <c r="AD357" i="2" s="1"/>
  <c r="AD346" i="2"/>
  <c r="AB1180" i="8"/>
  <c r="AB1181" i="8" s="1"/>
  <c r="AB1252" i="8"/>
  <c r="AB1253" i="8" s="1"/>
  <c r="Z774" i="2"/>
  <c r="Z1300" i="8" s="1"/>
  <c r="Z1301" i="8" s="1"/>
  <c r="Y1320" i="8"/>
  <c r="Y1321" i="8" s="1"/>
  <c r="Z1200" i="8"/>
  <c r="Z1201" i="8" s="1"/>
  <c r="Z794" i="2"/>
  <c r="Z1356" i="8" s="1"/>
  <c r="Z1357" i="8" s="1"/>
  <c r="Z765" i="2"/>
  <c r="Z1272" i="8" s="1"/>
  <c r="Z1273" i="8" s="1"/>
  <c r="AB1008" i="8"/>
  <c r="AB1009" i="8" s="1"/>
  <c r="AB744" i="2"/>
  <c r="AB733" i="2"/>
  <c r="AB755" i="2" s="1"/>
  <c r="AC679" i="2"/>
  <c r="Z386" i="2"/>
  <c r="Z928" i="8" s="1"/>
  <c r="Z929" i="8" s="1"/>
  <c r="Z828" i="8"/>
  <c r="Z829" i="8" s="1"/>
  <c r="AA620" i="8"/>
  <c r="AA621" i="8" s="1"/>
  <c r="AA336" i="2"/>
  <c r="AA358" i="2" s="1"/>
  <c r="AB282" i="2"/>
  <c r="AA347" i="2"/>
  <c r="Z816" i="8"/>
  <c r="Z817" i="8" s="1"/>
  <c r="Z398" i="2"/>
  <c r="Z972" i="8" s="1"/>
  <c r="Z973" i="8" s="1"/>
  <c r="Z369" i="2"/>
  <c r="Z888" i="8" s="1"/>
  <c r="Z889" i="8" s="1"/>
  <c r="AA1000" i="8"/>
  <c r="AA1001" i="8" s="1"/>
  <c r="AA742" i="2"/>
  <c r="AB677" i="2"/>
  <c r="AA731" i="2"/>
  <c r="AC600" i="8"/>
  <c r="AC601" i="8" s="1"/>
  <c r="AC331" i="2"/>
  <c r="AC353" i="2" s="1"/>
  <c r="AC342" i="2"/>
  <c r="AD277" i="2"/>
  <c r="Z780" i="8"/>
  <c r="Z781" i="8" s="1"/>
  <c r="Z852" i="8"/>
  <c r="Z853" i="8" s="1"/>
  <c r="Z374" i="2"/>
  <c r="Z1160" i="8"/>
  <c r="Z1161" i="8" s="1"/>
  <c r="Z1232" i="8"/>
  <c r="Z1233" i="8" s="1"/>
  <c r="AB796" i="8"/>
  <c r="AB797" i="8" s="1"/>
  <c r="AB393" i="2"/>
  <c r="AB952" i="8" s="1"/>
  <c r="AB953" i="8" s="1"/>
  <c r="AB364" i="2"/>
  <c r="AB868" i="8" s="1"/>
  <c r="AB869" i="8" s="1"/>
  <c r="Z376" i="2"/>
  <c r="Z908" i="8" s="1"/>
  <c r="Z909" i="8" s="1"/>
  <c r="Y360" i="2"/>
  <c r="Y860" i="8" s="1"/>
  <c r="Y861" i="8" s="1"/>
  <c r="Y371" i="2"/>
  <c r="Y896" i="8" s="1"/>
  <c r="Y897" i="8" s="1"/>
  <c r="Z1164" i="8"/>
  <c r="Z1165" i="8" s="1"/>
  <c r="Z1236" i="8"/>
  <c r="Z1237" i="8" s="1"/>
  <c r="AA1168" i="8"/>
  <c r="AA1169" i="8" s="1"/>
  <c r="AA1240" i="8"/>
  <c r="AA1241" i="8" s="1"/>
  <c r="AC1020" i="8"/>
  <c r="AC1021" i="8" s="1"/>
  <c r="AC736" i="2"/>
  <c r="AC758" i="2" s="1"/>
  <c r="AC747" i="2"/>
  <c r="AD682" i="2"/>
  <c r="AC776" i="8"/>
  <c r="AC777" i="8" s="1"/>
  <c r="AC848" i="8"/>
  <c r="AC849" i="8" s="1"/>
  <c r="Z1196" i="8"/>
  <c r="Z1197" i="8" s="1"/>
  <c r="Z793" i="2"/>
  <c r="Z1352" i="8" s="1"/>
  <c r="Z1353" i="8" s="1"/>
  <c r="Z764" i="2"/>
  <c r="Z1268" i="8" s="1"/>
  <c r="Z1269" i="8" s="1"/>
  <c r="AB832" i="8"/>
  <c r="AB833" i="8" s="1"/>
  <c r="AB760" i="8"/>
  <c r="AB761" i="8" s="1"/>
  <c r="Z804" i="8"/>
  <c r="Z805" i="8" s="1"/>
  <c r="Z395" i="2"/>
  <c r="Z960" i="8" s="1"/>
  <c r="Z961" i="8" s="1"/>
  <c r="Z366" i="2"/>
  <c r="Z876" i="8" s="1"/>
  <c r="Z877" i="8" s="1"/>
  <c r="Y374" i="2"/>
  <c r="AA1208" i="8"/>
  <c r="AA1209" i="8" s="1"/>
  <c r="AA796" i="2"/>
  <c r="AA1364" i="8" s="1"/>
  <c r="AA1365" i="8" s="1"/>
  <c r="AA767" i="2"/>
  <c r="AA1280" i="8" s="1"/>
  <c r="AA1281" i="8" s="1"/>
  <c r="Y759" i="2"/>
  <c r="Y1256" i="8" s="1"/>
  <c r="Y1257" i="8" s="1"/>
  <c r="Y1264" i="8"/>
  <c r="Y1265" i="8" s="1"/>
  <c r="Y785" i="2"/>
  <c r="Y1324" i="8" s="1"/>
  <c r="Y1325" i="8" s="1"/>
  <c r="Z1176" i="8"/>
  <c r="Z1177" i="8" s="1"/>
  <c r="Z1248" i="8"/>
  <c r="Z1249" i="8" s="1"/>
  <c r="Z768" i="8"/>
  <c r="Z769" i="8" s="1"/>
  <c r="Z840" i="8"/>
  <c r="Z841" i="8" s="1"/>
  <c r="AB1012" i="8"/>
  <c r="AB1013" i="8" s="1"/>
  <c r="AB745" i="2"/>
  <c r="AB734" i="2"/>
  <c r="AB756" i="2" s="1"/>
  <c r="AC680" i="2"/>
  <c r="AA786" i="2"/>
  <c r="AA1328" i="8" s="1"/>
  <c r="AA1329" i="8" s="1"/>
  <c r="Y799" i="2"/>
  <c r="Y514" i="2"/>
  <c r="X191" i="8"/>
  <c r="X192" i="8" s="1"/>
  <c r="X634" i="2"/>
  <c r="W263" i="8"/>
  <c r="W264" i="8" s="1"/>
  <c r="Y236" i="2"/>
  <c r="X123" i="8"/>
  <c r="X124" i="8" s="1"/>
  <c r="Y518" i="2"/>
  <c r="X207" i="8"/>
  <c r="X208" i="8" s="1"/>
  <c r="X637" i="2"/>
  <c r="W275" i="8"/>
  <c r="W276" i="8" s="1"/>
  <c r="Y581" i="2"/>
  <c r="X255" i="8"/>
  <c r="X256" i="8" s="1"/>
  <c r="X636" i="2"/>
  <c r="W271" i="8"/>
  <c r="W272" i="8" s="1"/>
  <c r="Y120" i="2"/>
  <c r="X67" i="8"/>
  <c r="X68" i="8" s="1"/>
  <c r="X243" i="2"/>
  <c r="Y234" i="2"/>
  <c r="X115" i="8"/>
  <c r="X116" i="8" s="1"/>
  <c r="Y62" i="2"/>
  <c r="X39" i="8"/>
  <c r="X40" i="8" s="1"/>
  <c r="X578" i="2"/>
  <c r="W243" i="8"/>
  <c r="W244" i="8" s="1"/>
  <c r="Y517" i="2"/>
  <c r="X203" i="8"/>
  <c r="X204" i="8" s="1"/>
  <c r="Y61" i="2"/>
  <c r="X35" i="8"/>
  <c r="X36" i="8" s="1"/>
  <c r="Y575" i="2"/>
  <c r="X231" i="8"/>
  <c r="X232" i="8" s="1"/>
  <c r="Y116" i="2"/>
  <c r="X51" i="8"/>
  <c r="X52" i="8" s="1"/>
  <c r="Y119" i="2"/>
  <c r="X63" i="8"/>
  <c r="X64" i="8" s="1"/>
  <c r="Y458" i="2"/>
  <c r="X171" i="8"/>
  <c r="X172" i="8" s="1"/>
  <c r="Y515" i="2"/>
  <c r="X195" i="8"/>
  <c r="X196" i="8" s="1"/>
  <c r="X641" i="2"/>
  <c r="W291" i="8"/>
  <c r="W292" i="8" s="1"/>
  <c r="X176" i="2"/>
  <c r="W87" i="8"/>
  <c r="W88" i="8" s="1"/>
  <c r="Y457" i="2"/>
  <c r="X167" i="8"/>
  <c r="X168" i="8" s="1"/>
  <c r="Y118" i="2"/>
  <c r="X59" i="8"/>
  <c r="X60" i="8" s="1"/>
  <c r="Y57" i="2"/>
  <c r="X19" i="8"/>
  <c r="X20" i="8" s="1"/>
  <c r="Y235" i="2"/>
  <c r="X119" i="8"/>
  <c r="X120" i="8" s="1"/>
  <c r="X635" i="2"/>
  <c r="W267" i="8"/>
  <c r="W268" i="8" s="1"/>
  <c r="Y455" i="2"/>
  <c r="X159" i="8"/>
  <c r="X160" i="8" s="1"/>
  <c r="X577" i="2"/>
  <c r="W239" i="8"/>
  <c r="W240" i="8" s="1"/>
  <c r="Y520" i="2"/>
  <c r="X215" i="8"/>
  <c r="X216" i="8" s="1"/>
  <c r="Y453" i="2"/>
  <c r="X151" i="8"/>
  <c r="X152" i="8" s="1"/>
  <c r="X459" i="2"/>
  <c r="W175" i="8"/>
  <c r="W176" i="8" s="1"/>
  <c r="Y241" i="2"/>
  <c r="X143" i="8"/>
  <c r="X144" i="8" s="1"/>
  <c r="Y579" i="2"/>
  <c r="X247" i="8"/>
  <c r="X248" i="8" s="1"/>
  <c r="Y240" i="2"/>
  <c r="X139" i="8"/>
  <c r="X140" i="8" s="1"/>
  <c r="X181" i="2"/>
  <c r="W107" i="8"/>
  <c r="W108" i="8" s="1"/>
  <c r="Y237" i="2"/>
  <c r="X127" i="8"/>
  <c r="X128" i="8" s="1"/>
  <c r="Y58" i="2"/>
  <c r="X23" i="8"/>
  <c r="X24" i="8" s="1"/>
  <c r="X63" i="2"/>
  <c r="Y54" i="2"/>
  <c r="X7" i="8"/>
  <c r="X8" i="8" s="1"/>
  <c r="X574" i="2"/>
  <c r="W227" i="8"/>
  <c r="W228" i="8" s="1"/>
  <c r="Y516" i="2"/>
  <c r="X199" i="8"/>
  <c r="X200" i="8" s="1"/>
  <c r="Y115" i="2"/>
  <c r="X47" i="8"/>
  <c r="X48" i="8" s="1"/>
  <c r="Y238" i="2"/>
  <c r="X131" i="8"/>
  <c r="X132" i="8" s="1"/>
  <c r="X580" i="2"/>
  <c r="W251" i="8"/>
  <c r="W252" i="8" s="1"/>
  <c r="Y576" i="2"/>
  <c r="X235" i="8"/>
  <c r="X236" i="8" s="1"/>
  <c r="Y60" i="2"/>
  <c r="X31" i="8"/>
  <c r="X32" i="8" s="1"/>
  <c r="Y461" i="2"/>
  <c r="X183" i="8"/>
  <c r="X184" i="8" s="1"/>
  <c r="W180" i="2"/>
  <c r="V103" i="8"/>
  <c r="V104" i="8" s="1"/>
  <c r="Y59" i="2"/>
  <c r="X27" i="8"/>
  <c r="X28" i="8" s="1"/>
  <c r="X174" i="2"/>
  <c r="W79" i="8"/>
  <c r="W80" i="8" s="1"/>
  <c r="X123" i="2"/>
  <c r="Y114" i="2"/>
  <c r="X43" i="8"/>
  <c r="X44" i="8" s="1"/>
  <c r="Y239" i="2"/>
  <c r="X135" i="8"/>
  <c r="X136" i="8" s="1"/>
  <c r="W175" i="2"/>
  <c r="V83" i="8"/>
  <c r="V84" i="8" s="1"/>
  <c r="X639" i="2"/>
  <c r="W283" i="8"/>
  <c r="W284" i="8" s="1"/>
  <c r="Y121" i="2"/>
  <c r="X71" i="8"/>
  <c r="X72" i="8" s="1"/>
  <c r="Y456" i="2"/>
  <c r="X163" i="8"/>
  <c r="X164" i="8" s="1"/>
  <c r="Z117" i="2"/>
  <c r="Y55" i="8"/>
  <c r="Y56" i="8" s="1"/>
  <c r="Y122" i="2"/>
  <c r="X75" i="8"/>
  <c r="X76" i="8" s="1"/>
  <c r="X178" i="2"/>
  <c r="W95" i="8"/>
  <c r="W96" i="8" s="1"/>
  <c r="X179" i="2"/>
  <c r="W99" i="8"/>
  <c r="W100" i="8" s="1"/>
  <c r="Y242" i="2"/>
  <c r="X147" i="8"/>
  <c r="X148" i="8" s="1"/>
  <c r="X177" i="2"/>
  <c r="W91" i="8"/>
  <c r="W92" i="8" s="1"/>
  <c r="Y55" i="2"/>
  <c r="X11" i="8"/>
  <c r="X12" i="8" s="1"/>
  <c r="X460" i="2"/>
  <c r="W179" i="8"/>
  <c r="W180" i="8" s="1"/>
  <c r="Y56" i="2"/>
  <c r="X15" i="8"/>
  <c r="X16" i="8" s="1"/>
  <c r="Y521" i="2"/>
  <c r="X219" i="8"/>
  <c r="X220" i="8" s="1"/>
  <c r="X182" i="2"/>
  <c r="W111" i="8"/>
  <c r="W112" i="8" s="1"/>
  <c r="Y519" i="2"/>
  <c r="X211" i="8"/>
  <c r="X212" i="8" s="1"/>
  <c r="X640" i="2"/>
  <c r="W287" i="8"/>
  <c r="W288" i="8" s="1"/>
  <c r="Y633" i="2"/>
  <c r="X259" i="8"/>
  <c r="X260" i="8" s="1"/>
  <c r="AA737" i="2" l="1"/>
  <c r="AA1184" i="8" s="1"/>
  <c r="AA1185" i="8" s="1"/>
  <c r="AA753" i="2"/>
  <c r="W573" i="2"/>
  <c r="V582" i="2"/>
  <c r="V223" i="8"/>
  <c r="V224" i="8" s="1"/>
  <c r="Y980" i="8"/>
  <c r="Y981" i="8" s="1"/>
  <c r="Y250" i="2"/>
  <c r="W454" i="2"/>
  <c r="V155" i="8"/>
  <c r="V156" i="8" s="1"/>
  <c r="V462" i="2"/>
  <c r="Y1376" i="8"/>
  <c r="Y1377" i="8" s="1"/>
  <c r="Y649" i="2"/>
  <c r="W183" i="2"/>
  <c r="V187" i="8"/>
  <c r="V188" i="8" s="1"/>
  <c r="V522" i="2"/>
  <c r="W513" i="2"/>
  <c r="V642" i="2"/>
  <c r="W638" i="2"/>
  <c r="V279" i="8"/>
  <c r="V280" i="8" s="1"/>
  <c r="AA772" i="8"/>
  <c r="AA773" i="8" s="1"/>
  <c r="AA844" i="8"/>
  <c r="AA845" i="8" s="1"/>
  <c r="AB334" i="2"/>
  <c r="AB356" i="2" s="1"/>
  <c r="AC280" i="2"/>
  <c r="AB612" i="8"/>
  <c r="AB613" i="8" s="1"/>
  <c r="AB345" i="2"/>
  <c r="AA367" i="2"/>
  <c r="AA880" i="8" s="1"/>
  <c r="AA881" i="8" s="1"/>
  <c r="AA396" i="2"/>
  <c r="AA964" i="8" s="1"/>
  <c r="AA965" i="8" s="1"/>
  <c r="AA808" i="8"/>
  <c r="AA809" i="8" s="1"/>
  <c r="AA338" i="2"/>
  <c r="AA788" i="8" s="1"/>
  <c r="AA789" i="8" s="1"/>
  <c r="Z777" i="2"/>
  <c r="Z1312" i="8" s="1"/>
  <c r="Z1313" i="8" s="1"/>
  <c r="AA386" i="2"/>
  <c r="AA928" i="8" s="1"/>
  <c r="AA929" i="8" s="1"/>
  <c r="Z360" i="2"/>
  <c r="Z860" i="8" s="1"/>
  <c r="Z861" i="8" s="1"/>
  <c r="Y778" i="2"/>
  <c r="Y1316" i="8" s="1"/>
  <c r="Y1317" i="8" s="1"/>
  <c r="Y789" i="2"/>
  <c r="Y1340" i="8" s="1"/>
  <c r="AA948" i="8"/>
  <c r="AA949" i="8" s="1"/>
  <c r="AA1160" i="8"/>
  <c r="AA1161" i="8" s="1"/>
  <c r="AA1232" i="8"/>
  <c r="AA1233" i="8" s="1"/>
  <c r="AB756" i="8"/>
  <c r="AB757" i="8" s="1"/>
  <c r="AA864" i="8"/>
  <c r="AA865" i="8" s="1"/>
  <c r="AA1224" i="8"/>
  <c r="AA1225" i="8" s="1"/>
  <c r="AB1168" i="8"/>
  <c r="AB1169" i="8" s="1"/>
  <c r="AB1240" i="8"/>
  <c r="AB1241" i="8" s="1"/>
  <c r="AB1204" i="8"/>
  <c r="AB1205" i="8" s="1"/>
  <c r="AB766" i="2"/>
  <c r="AB1276" i="8" s="1"/>
  <c r="AB1277" i="8" s="1"/>
  <c r="AB795" i="2"/>
  <c r="AB1360" i="8" s="1"/>
  <c r="AB1361" i="8" s="1"/>
  <c r="AB775" i="2"/>
  <c r="AB1304" i="8" s="1"/>
  <c r="AB1305" i="8" s="1"/>
  <c r="AB1004" i="8"/>
  <c r="AB1005" i="8" s="1"/>
  <c r="AB732" i="2"/>
  <c r="AB754" i="2" s="1"/>
  <c r="AB743" i="2"/>
  <c r="AC678" i="2"/>
  <c r="Z759" i="2"/>
  <c r="Z1256" i="8" s="1"/>
  <c r="Z1257" i="8" s="1"/>
  <c r="AA376" i="2"/>
  <c r="AA908" i="8" s="1"/>
  <c r="AA909" i="8" s="1"/>
  <c r="AB1152" i="8"/>
  <c r="AB1153" i="8" s="1"/>
  <c r="AA1176" i="8"/>
  <c r="AA1177" i="8" s="1"/>
  <c r="AA1248" i="8"/>
  <c r="AA1249" i="8" s="1"/>
  <c r="AC1008" i="8"/>
  <c r="AC1009" i="8" s="1"/>
  <c r="AC744" i="2"/>
  <c r="AD679" i="2"/>
  <c r="AC733" i="2"/>
  <c r="AC755" i="2" s="1"/>
  <c r="AC596" i="8"/>
  <c r="AC597" i="8" s="1"/>
  <c r="AD276" i="2"/>
  <c r="AC330" i="2"/>
  <c r="AC352" i="2" s="1"/>
  <c r="AC341" i="2"/>
  <c r="AD1020" i="8"/>
  <c r="AD1021" i="8" s="1"/>
  <c r="AD736" i="2"/>
  <c r="AD758" i="2" s="1"/>
  <c r="AD747" i="2"/>
  <c r="AE682" i="2"/>
  <c r="AC1012" i="8"/>
  <c r="AC1013" i="8" s="1"/>
  <c r="AC745" i="2"/>
  <c r="AC734" i="2"/>
  <c r="AC756" i="2" s="1"/>
  <c r="AD680" i="2"/>
  <c r="AC1216" i="8"/>
  <c r="AC1217" i="8" s="1"/>
  <c r="AC798" i="2"/>
  <c r="AC1372" i="8" s="1"/>
  <c r="AC1373" i="8" s="1"/>
  <c r="AC769" i="2"/>
  <c r="AC1288" i="8" s="1"/>
  <c r="AC1289" i="8" s="1"/>
  <c r="Z385" i="2"/>
  <c r="AC604" i="8"/>
  <c r="AC605" i="8" s="1"/>
  <c r="AC343" i="2"/>
  <c r="AC332" i="2"/>
  <c r="AC354" i="2" s="1"/>
  <c r="AD278" i="2"/>
  <c r="AA1200" i="8"/>
  <c r="AA1201" i="8" s="1"/>
  <c r="AA765" i="2"/>
  <c r="AA1272" i="8" s="1"/>
  <c r="AA1273" i="8" s="1"/>
  <c r="AA788" i="2"/>
  <c r="AA1336" i="8" s="1"/>
  <c r="AA1337" i="8" s="1"/>
  <c r="AA794" i="2"/>
  <c r="AA1356" i="8" s="1"/>
  <c r="AA1357" i="8" s="1"/>
  <c r="AA387" i="2"/>
  <c r="AA932" i="8" s="1"/>
  <c r="AA933" i="8" s="1"/>
  <c r="AA1212" i="8"/>
  <c r="AA1213" i="8" s="1"/>
  <c r="AA797" i="2"/>
  <c r="AA1368" i="8" s="1"/>
  <c r="AA1369" i="8" s="1"/>
  <c r="AA768" i="2"/>
  <c r="AA1284" i="8" s="1"/>
  <c r="AA1285" i="8" s="1"/>
  <c r="AA768" i="8"/>
  <c r="AA769" i="8" s="1"/>
  <c r="AA840" i="8"/>
  <c r="AA841" i="8" s="1"/>
  <c r="AC992" i="8"/>
  <c r="AC993" i="8" s="1"/>
  <c r="AC729" i="2"/>
  <c r="AC751" i="2" s="1"/>
  <c r="AC740" i="2"/>
  <c r="AD675" i="2"/>
  <c r="AA804" i="8"/>
  <c r="AA805" i="8" s="1"/>
  <c r="AA395" i="2"/>
  <c r="AA960" i="8" s="1"/>
  <c r="AA961" i="8" s="1"/>
  <c r="AA366" i="2"/>
  <c r="AA876" i="8" s="1"/>
  <c r="AA877" i="8" s="1"/>
  <c r="AB1172" i="8"/>
  <c r="AB1173" i="8" s="1"/>
  <c r="AB1244" i="8"/>
  <c r="AB1245" i="8" s="1"/>
  <c r="Y900" i="8"/>
  <c r="Y901" i="8" s="1"/>
  <c r="Y379" i="2"/>
  <c r="Y920" i="8" s="1"/>
  <c r="Y921" i="8" s="1"/>
  <c r="AC1180" i="8"/>
  <c r="AC1181" i="8" s="1"/>
  <c r="AC1252" i="8"/>
  <c r="AC1253" i="8" s="1"/>
  <c r="AD812" i="8"/>
  <c r="AD813" i="8" s="1"/>
  <c r="AD368" i="2"/>
  <c r="AD884" i="8" s="1"/>
  <c r="AD885" i="8" s="1"/>
  <c r="AD397" i="2"/>
  <c r="AD968" i="8" s="1"/>
  <c r="AD969" i="8" s="1"/>
  <c r="AA1164" i="8"/>
  <c r="AA1165" i="8" s="1"/>
  <c r="AA1236" i="8"/>
  <c r="AA1237" i="8" s="1"/>
  <c r="AB996" i="8"/>
  <c r="AB997" i="8" s="1"/>
  <c r="AC676" i="2"/>
  <c r="AB741" i="2"/>
  <c r="AB730" i="2"/>
  <c r="AB752" i="2" s="1"/>
  <c r="AB1016" i="8"/>
  <c r="AB1017" i="8" s="1"/>
  <c r="AC681" i="2"/>
  <c r="AB746" i="2"/>
  <c r="AB735" i="2"/>
  <c r="AB757" i="2" s="1"/>
  <c r="AB608" i="8"/>
  <c r="AB609" i="8" s="1"/>
  <c r="AB333" i="2"/>
  <c r="AB355" i="2" s="1"/>
  <c r="AB344" i="2"/>
  <c r="AC279" i="2"/>
  <c r="AC760" i="8"/>
  <c r="AC761" i="8" s="1"/>
  <c r="AC832" i="8"/>
  <c r="AC833" i="8" s="1"/>
  <c r="AB1000" i="8"/>
  <c r="AB1001" i="8" s="1"/>
  <c r="AB731" i="2"/>
  <c r="AB742" i="2"/>
  <c r="AC677" i="2"/>
  <c r="AB792" i="8"/>
  <c r="AB793" i="8" s="1"/>
  <c r="AB363" i="2"/>
  <c r="AB392" i="2"/>
  <c r="AA1196" i="8"/>
  <c r="AA1197" i="8" s="1"/>
  <c r="AA764" i="2"/>
  <c r="AA1268" i="8" s="1"/>
  <c r="AA1269" i="8" s="1"/>
  <c r="AA793" i="2"/>
  <c r="AA1352" i="8" s="1"/>
  <c r="AA1353" i="8" s="1"/>
  <c r="AB1188" i="8"/>
  <c r="AB1189" i="8" s="1"/>
  <c r="AB791" i="2"/>
  <c r="AB762" i="2"/>
  <c r="AB1208" i="8"/>
  <c r="AB1209" i="8" s="1"/>
  <c r="AB767" i="2"/>
  <c r="AB1280" i="8" s="1"/>
  <c r="AB1281" i="8" s="1"/>
  <c r="AB796" i="2"/>
  <c r="AB1364" i="8" s="1"/>
  <c r="AB1365" i="8" s="1"/>
  <c r="AD848" i="8"/>
  <c r="AD849" i="8" s="1"/>
  <c r="AD776" i="8"/>
  <c r="AD777" i="8" s="1"/>
  <c r="AB764" i="8"/>
  <c r="AB765" i="8" s="1"/>
  <c r="AB836" i="8"/>
  <c r="AB837" i="8" s="1"/>
  <c r="AA1192" i="8"/>
  <c r="AA1193" i="8" s="1"/>
  <c r="AA792" i="2"/>
  <c r="AA1348" i="8" s="1"/>
  <c r="AA1349" i="8" s="1"/>
  <c r="AA763" i="2"/>
  <c r="AA1264" i="8" s="1"/>
  <c r="AA1265" i="8" s="1"/>
  <c r="Z900" i="8"/>
  <c r="Z901" i="8" s="1"/>
  <c r="AE335" i="2"/>
  <c r="AE357" i="2" s="1"/>
  <c r="AE616" i="8"/>
  <c r="AE617" i="8" s="1"/>
  <c r="F617" i="8" s="1"/>
  <c r="AE346" i="2"/>
  <c r="AB800" i="8"/>
  <c r="AB801" i="8" s="1"/>
  <c r="AB365" i="2"/>
  <c r="AB872" i="8" s="1"/>
  <c r="AB873" i="8" s="1"/>
  <c r="AB394" i="2"/>
  <c r="AB956" i="8" s="1"/>
  <c r="AB957" i="8" s="1"/>
  <c r="AA1156" i="8"/>
  <c r="AA1157" i="8" s="1"/>
  <c r="AA1228" i="8"/>
  <c r="AA1229" i="8" s="1"/>
  <c r="Z378" i="2"/>
  <c r="Z916" i="8" s="1"/>
  <c r="Z917" i="8" s="1"/>
  <c r="Z389" i="2"/>
  <c r="Z940" i="8" s="1"/>
  <c r="Z941" i="8" s="1"/>
  <c r="AA816" i="8"/>
  <c r="AA817" i="8" s="1"/>
  <c r="AA398" i="2"/>
  <c r="AA972" i="8" s="1"/>
  <c r="AA973" i="8" s="1"/>
  <c r="AA369" i="2"/>
  <c r="AA888" i="8" s="1"/>
  <c r="AA889" i="8" s="1"/>
  <c r="Z371" i="2"/>
  <c r="Z896" i="8" s="1"/>
  <c r="Z897" i="8" s="1"/>
  <c r="Z770" i="2"/>
  <c r="Z1292" i="8" s="1"/>
  <c r="Z1293" i="8" s="1"/>
  <c r="Z773" i="2"/>
  <c r="AB784" i="8"/>
  <c r="AB785" i="8" s="1"/>
  <c r="AB376" i="2"/>
  <c r="AB908" i="8" s="1"/>
  <c r="AB909" i="8" s="1"/>
  <c r="AB856" i="8"/>
  <c r="AB857" i="8" s="1"/>
  <c r="AA1344" i="8"/>
  <c r="AA1345" i="8" s="1"/>
  <c r="AB620" i="8"/>
  <c r="AB621" i="8" s="1"/>
  <c r="AC282" i="2"/>
  <c r="AB347" i="2"/>
  <c r="AB336" i="2"/>
  <c r="AB358" i="2" s="1"/>
  <c r="Z788" i="2"/>
  <c r="Z1336" i="8" s="1"/>
  <c r="Z1337" i="8" s="1"/>
  <c r="AD283" i="2"/>
  <c r="AC337" i="2"/>
  <c r="AC359" i="2" s="1"/>
  <c r="AC624" i="8"/>
  <c r="AC625" i="8" s="1"/>
  <c r="AC348" i="2"/>
  <c r="AA748" i="2"/>
  <c r="AA1220" i="8" s="1"/>
  <c r="AA1221" i="8" s="1"/>
  <c r="Y924" i="8"/>
  <c r="Y925" i="8" s="1"/>
  <c r="Y390" i="2"/>
  <c r="Y944" i="8" s="1"/>
  <c r="AD600" i="8"/>
  <c r="AD601" i="8" s="1"/>
  <c r="AD331" i="2"/>
  <c r="AD353" i="2" s="1"/>
  <c r="AD342" i="2"/>
  <c r="AE277" i="2"/>
  <c r="AA780" i="8"/>
  <c r="AA781" i="8" s="1"/>
  <c r="AA852" i="8"/>
  <c r="AA853" i="8" s="1"/>
  <c r="AA374" i="2"/>
  <c r="AA784" i="2"/>
  <c r="Z799" i="2"/>
  <c r="Z784" i="2"/>
  <c r="AC796" i="8"/>
  <c r="AC797" i="8" s="1"/>
  <c r="AC393" i="2"/>
  <c r="AC952" i="8" s="1"/>
  <c r="AC953" i="8" s="1"/>
  <c r="AC364" i="2"/>
  <c r="AC868" i="8" s="1"/>
  <c r="AC869" i="8" s="1"/>
  <c r="AB786" i="2"/>
  <c r="AB1328" i="8" s="1"/>
  <c r="AB1329" i="8" s="1"/>
  <c r="Z400" i="2"/>
  <c r="AA349" i="2"/>
  <c r="AA824" i="8" s="1"/>
  <c r="AA825" i="8" s="1"/>
  <c r="AA828" i="8"/>
  <c r="AA829" i="8" s="1"/>
  <c r="AB820" i="8"/>
  <c r="AB821" i="8" s="1"/>
  <c r="AB370" i="2"/>
  <c r="AB892" i="8" s="1"/>
  <c r="AB893" i="8" s="1"/>
  <c r="AB399" i="2"/>
  <c r="AB976" i="8" s="1"/>
  <c r="AB977" i="8" s="1"/>
  <c r="AA1260" i="8"/>
  <c r="AA1261" i="8" s="1"/>
  <c r="Z785" i="2"/>
  <c r="Z1324" i="8" s="1"/>
  <c r="Z1325" i="8" s="1"/>
  <c r="Z457" i="2"/>
  <c r="Y167" i="8"/>
  <c r="Y168" i="8" s="1"/>
  <c r="Z60" i="2"/>
  <c r="Y31" i="8"/>
  <c r="Y32" i="8" s="1"/>
  <c r="Y574" i="2"/>
  <c r="X227" i="8"/>
  <c r="X228" i="8" s="1"/>
  <c r="Z581" i="2"/>
  <c r="Y255" i="8"/>
  <c r="Y256" i="8" s="1"/>
  <c r="Z456" i="2"/>
  <c r="Y163" i="8"/>
  <c r="Y164" i="8" s="1"/>
  <c r="Z241" i="2"/>
  <c r="Y143" i="8"/>
  <c r="Y144" i="8" s="1"/>
  <c r="Z455" i="2"/>
  <c r="Y159" i="8"/>
  <c r="Y160" i="8" s="1"/>
  <c r="Y641" i="2"/>
  <c r="X291" i="8"/>
  <c r="X292" i="8" s="1"/>
  <c r="Z517" i="2"/>
  <c r="Y203" i="8"/>
  <c r="Y204" i="8" s="1"/>
  <c r="Z122" i="2"/>
  <c r="Y75" i="8"/>
  <c r="Y76" i="8" s="1"/>
  <c r="Z520" i="2"/>
  <c r="Y215" i="8"/>
  <c r="Y216" i="8" s="1"/>
  <c r="Z633" i="2"/>
  <c r="Y259" i="8"/>
  <c r="Y260" i="8" s="1"/>
  <c r="AA117" i="2"/>
  <c r="Z55" i="8"/>
  <c r="Z56" i="8" s="1"/>
  <c r="Y577" i="2"/>
  <c r="X239" i="8"/>
  <c r="X240" i="8" s="1"/>
  <c r="Y177" i="2"/>
  <c r="X91" i="8"/>
  <c r="X92" i="8" s="1"/>
  <c r="Z576" i="2"/>
  <c r="Y235" i="8"/>
  <c r="Y236" i="8" s="1"/>
  <c r="Y63" i="2"/>
  <c r="Z54" i="2"/>
  <c r="Y7" i="8"/>
  <c r="Y8" i="8" s="1"/>
  <c r="Y637" i="2"/>
  <c r="X275" i="8"/>
  <c r="X276" i="8" s="1"/>
  <c r="Z461" i="2"/>
  <c r="Y183" i="8"/>
  <c r="Y184" i="8" s="1"/>
  <c r="Y636" i="2"/>
  <c r="X271" i="8"/>
  <c r="X272" i="8" s="1"/>
  <c r="Z518" i="2"/>
  <c r="Y207" i="8"/>
  <c r="Y208" i="8" s="1"/>
  <c r="Z575" i="2"/>
  <c r="Y231" i="8"/>
  <c r="Y232" i="8" s="1"/>
  <c r="Z515" i="2"/>
  <c r="Y195" i="8"/>
  <c r="Y196" i="8" s="1"/>
  <c r="Z519" i="2"/>
  <c r="Y211" i="8"/>
  <c r="Y212" i="8" s="1"/>
  <c r="Z58" i="2"/>
  <c r="Y23" i="8"/>
  <c r="Y24" i="8" s="1"/>
  <c r="Z235" i="2"/>
  <c r="Y119" i="8"/>
  <c r="Y120" i="8" s="1"/>
  <c r="Z458" i="2"/>
  <c r="Y171" i="8"/>
  <c r="Y172" i="8" s="1"/>
  <c r="Z62" i="2"/>
  <c r="Y39" i="8"/>
  <c r="Y40" i="8" s="1"/>
  <c r="Z236" i="2"/>
  <c r="Y123" i="8"/>
  <c r="Y124" i="8" s="1"/>
  <c r="Z239" i="2"/>
  <c r="Y135" i="8"/>
  <c r="Y136" i="8" s="1"/>
  <c r="Z55" i="2"/>
  <c r="Y11" i="8"/>
  <c r="Y12" i="8" s="1"/>
  <c r="X175" i="2"/>
  <c r="W83" i="8"/>
  <c r="W84" i="8" s="1"/>
  <c r="Z237" i="2"/>
  <c r="Y127" i="8"/>
  <c r="Y128" i="8" s="1"/>
  <c r="Z57" i="2"/>
  <c r="Y19" i="8"/>
  <c r="Y20" i="8" s="1"/>
  <c r="Z119" i="2"/>
  <c r="Y63" i="8"/>
  <c r="Y64" i="8" s="1"/>
  <c r="Y243" i="2"/>
  <c r="Z234" i="2"/>
  <c r="Y115" i="8"/>
  <c r="Y116" i="8" s="1"/>
  <c r="Z240" i="2"/>
  <c r="Y139" i="8"/>
  <c r="Y140" i="8" s="1"/>
  <c r="Y635" i="2"/>
  <c r="X267" i="8"/>
  <c r="X268" i="8" s="1"/>
  <c r="Z238" i="2"/>
  <c r="Y131" i="8"/>
  <c r="Y132" i="8" s="1"/>
  <c r="Z453" i="2"/>
  <c r="Y151" i="8"/>
  <c r="Y152" i="8" s="1"/>
  <c r="Y634" i="2"/>
  <c r="X263" i="8"/>
  <c r="X264" i="8" s="1"/>
  <c r="Y460" i="2"/>
  <c r="X179" i="8"/>
  <c r="X180" i="8" s="1"/>
  <c r="Z516" i="2"/>
  <c r="Y199" i="8"/>
  <c r="Y200" i="8" s="1"/>
  <c r="Z61" i="2"/>
  <c r="Y35" i="8"/>
  <c r="Y36" i="8" s="1"/>
  <c r="Z121" i="2"/>
  <c r="Y71" i="8"/>
  <c r="Y72" i="8" s="1"/>
  <c r="Z242" i="2"/>
  <c r="Y147" i="8"/>
  <c r="Y148" i="8" s="1"/>
  <c r="Y639" i="2"/>
  <c r="X283" i="8"/>
  <c r="X284" i="8" s="1"/>
  <c r="Z59" i="2"/>
  <c r="Y27" i="8"/>
  <c r="Y28" i="8" s="1"/>
  <c r="Y182" i="2"/>
  <c r="X111" i="8"/>
  <c r="X112" i="8" s="1"/>
  <c r="Y580" i="2"/>
  <c r="X251" i="8"/>
  <c r="X252" i="8" s="1"/>
  <c r="Y181" i="2"/>
  <c r="X107" i="8"/>
  <c r="X108" i="8" s="1"/>
  <c r="Z118" i="2"/>
  <c r="Y59" i="8"/>
  <c r="Y60" i="8" s="1"/>
  <c r="Z116" i="2"/>
  <c r="Y51" i="8"/>
  <c r="Y52" i="8" s="1"/>
  <c r="Y123" i="2"/>
  <c r="Z114" i="2"/>
  <c r="Y43" i="8"/>
  <c r="Y44" i="8" s="1"/>
  <c r="Z579" i="2"/>
  <c r="Y247" i="8"/>
  <c r="Y248" i="8" s="1"/>
  <c r="Y176" i="2"/>
  <c r="X87" i="8"/>
  <c r="X88" i="8" s="1"/>
  <c r="Y640" i="2"/>
  <c r="X287" i="8"/>
  <c r="X288" i="8" s="1"/>
  <c r="Y174" i="2"/>
  <c r="X79" i="8"/>
  <c r="X80" i="8" s="1"/>
  <c r="Y459" i="2"/>
  <c r="X175" i="8"/>
  <c r="X176" i="8" s="1"/>
  <c r="Y578" i="2"/>
  <c r="X243" i="8"/>
  <c r="X244" i="8" s="1"/>
  <c r="Y179" i="2"/>
  <c r="X99" i="8"/>
  <c r="X100" i="8" s="1"/>
  <c r="Z521" i="2"/>
  <c r="Y219" i="8"/>
  <c r="Y220" i="8" s="1"/>
  <c r="Y178" i="2"/>
  <c r="X95" i="8"/>
  <c r="X96" i="8" s="1"/>
  <c r="Z56" i="2"/>
  <c r="Y15" i="8"/>
  <c r="Y16" i="8" s="1"/>
  <c r="X180" i="2"/>
  <c r="W103" i="8"/>
  <c r="W104" i="8" s="1"/>
  <c r="Z115" i="2"/>
  <c r="Y47" i="8"/>
  <c r="Y48" i="8" s="1"/>
  <c r="Z120" i="2"/>
  <c r="Y67" i="8"/>
  <c r="Y68" i="8" s="1"/>
  <c r="Z514" i="2"/>
  <c r="Y191" i="8"/>
  <c r="Y192" i="8" s="1"/>
  <c r="AB387" i="2" l="1"/>
  <c r="AB932" i="8" s="1"/>
  <c r="AB933" i="8" s="1"/>
  <c r="X454" i="2"/>
  <c r="W155" i="8"/>
  <c r="W156" i="8" s="1"/>
  <c r="W462" i="2"/>
  <c r="AB737" i="2"/>
  <c r="AB1184" i="8" s="1"/>
  <c r="AB1185" i="8" s="1"/>
  <c r="AB753" i="2"/>
  <c r="Z980" i="8"/>
  <c r="Z981" i="8" s="1"/>
  <c r="Z250" i="2"/>
  <c r="Z1376" i="8"/>
  <c r="Z1377" i="8" s="1"/>
  <c r="Z649" i="2"/>
  <c r="AA385" i="2"/>
  <c r="X638" i="2"/>
  <c r="W642" i="2"/>
  <c r="W279" i="8"/>
  <c r="W280" i="8" s="1"/>
  <c r="X573" i="2"/>
  <c r="W582" i="2"/>
  <c r="W223" i="8"/>
  <c r="W224" i="8" s="1"/>
  <c r="W522" i="2"/>
  <c r="X513" i="2"/>
  <c r="W187" i="8"/>
  <c r="W188" i="8" s="1"/>
  <c r="AB349" i="2"/>
  <c r="AB824" i="8" s="1"/>
  <c r="AB825" i="8" s="1"/>
  <c r="AB386" i="2"/>
  <c r="AB928" i="8" s="1"/>
  <c r="AB929" i="8" s="1"/>
  <c r="AA777" i="2"/>
  <c r="AA1312" i="8" s="1"/>
  <c r="AA1313" i="8" s="1"/>
  <c r="AA360" i="2"/>
  <c r="AA860" i="8" s="1"/>
  <c r="AA861" i="8" s="1"/>
  <c r="AA773" i="2"/>
  <c r="AB338" i="2"/>
  <c r="AB788" i="8" s="1"/>
  <c r="AB789" i="8" s="1"/>
  <c r="AB396" i="2"/>
  <c r="AB964" i="8" s="1"/>
  <c r="AB965" i="8" s="1"/>
  <c r="AB808" i="8"/>
  <c r="AB809" i="8" s="1"/>
  <c r="AB367" i="2"/>
  <c r="AB880" i="8" s="1"/>
  <c r="AB881" i="8" s="1"/>
  <c r="AC345" i="2"/>
  <c r="AC334" i="2"/>
  <c r="AC356" i="2" s="1"/>
  <c r="AD280" i="2"/>
  <c r="AC612" i="8"/>
  <c r="AC613" i="8" s="1"/>
  <c r="AB772" i="8"/>
  <c r="AB773" i="8" s="1"/>
  <c r="AB844" i="8"/>
  <c r="AB845" i="8" s="1"/>
  <c r="AD796" i="8"/>
  <c r="AD797" i="8" s="1"/>
  <c r="AD393" i="2"/>
  <c r="AD952" i="8" s="1"/>
  <c r="AD953" i="8" s="1"/>
  <c r="AD364" i="2"/>
  <c r="AD868" i="8" s="1"/>
  <c r="AD869" i="8" s="1"/>
  <c r="AB1160" i="8"/>
  <c r="AB1161" i="8" s="1"/>
  <c r="AB1232" i="8"/>
  <c r="AB1233" i="8" s="1"/>
  <c r="AB1196" i="8"/>
  <c r="AB1197" i="8" s="1"/>
  <c r="AB764" i="2"/>
  <c r="AB1268" i="8" s="1"/>
  <c r="AB1269" i="8" s="1"/>
  <c r="AB793" i="2"/>
  <c r="AB1352" i="8" s="1"/>
  <c r="AB1353" i="8" s="1"/>
  <c r="AC996" i="8"/>
  <c r="AC997" i="8" s="1"/>
  <c r="AD676" i="2"/>
  <c r="AC741" i="2"/>
  <c r="AC730" i="2"/>
  <c r="AC752" i="2" s="1"/>
  <c r="AD1008" i="8"/>
  <c r="AD1009" i="8" s="1"/>
  <c r="AE679" i="2"/>
  <c r="AD744" i="2"/>
  <c r="AD733" i="2"/>
  <c r="AD755" i="2" s="1"/>
  <c r="AD1012" i="8"/>
  <c r="AD1013" i="8" s="1"/>
  <c r="AD745" i="2"/>
  <c r="AD734" i="2"/>
  <c r="AD756" i="2" s="1"/>
  <c r="AE680" i="2"/>
  <c r="AC1204" i="8"/>
  <c r="AC1205" i="8" s="1"/>
  <c r="AC766" i="2"/>
  <c r="AC1276" i="8" s="1"/>
  <c r="AC1277" i="8" s="1"/>
  <c r="AC795" i="2"/>
  <c r="AC1360" i="8" s="1"/>
  <c r="AC1361" i="8" s="1"/>
  <c r="AA799" i="2"/>
  <c r="AC1172" i="8"/>
  <c r="AC1173" i="8" s="1"/>
  <c r="AC1244" i="8"/>
  <c r="AC1245" i="8" s="1"/>
  <c r="AB828" i="8"/>
  <c r="AB829" i="8" s="1"/>
  <c r="AC1000" i="8"/>
  <c r="AC1001" i="8" s="1"/>
  <c r="AD677" i="2"/>
  <c r="AC731" i="2"/>
  <c r="AC753" i="2" s="1"/>
  <c r="AC742" i="2"/>
  <c r="AD760" i="8"/>
  <c r="AD761" i="8" s="1"/>
  <c r="AD832" i="8"/>
  <c r="AD833" i="8" s="1"/>
  <c r="AA389" i="2"/>
  <c r="AA940" i="8" s="1"/>
  <c r="AA941" i="8" s="1"/>
  <c r="AC1208" i="8"/>
  <c r="AC1209" i="8" s="1"/>
  <c r="AC767" i="2"/>
  <c r="AC1280" i="8" s="1"/>
  <c r="AC1281" i="8" s="1"/>
  <c r="AC796" i="2"/>
  <c r="AC1364" i="8" s="1"/>
  <c r="AC1365" i="8" s="1"/>
  <c r="AB375" i="2"/>
  <c r="AB904" i="8" s="1"/>
  <c r="AB905" i="8" s="1"/>
  <c r="AB1200" i="8"/>
  <c r="AB1201" i="8" s="1"/>
  <c r="AB794" i="2"/>
  <c r="AB1356" i="8" s="1"/>
  <c r="AB1357" i="8" s="1"/>
  <c r="AB765" i="2"/>
  <c r="AB1272" i="8" s="1"/>
  <c r="AB1273" i="8" s="1"/>
  <c r="AA770" i="2"/>
  <c r="AA1292" i="8" s="1"/>
  <c r="AA1293" i="8" s="1"/>
  <c r="Z1320" i="8"/>
  <c r="Z1321" i="8" s="1"/>
  <c r="Z789" i="2"/>
  <c r="Z1340" i="8" s="1"/>
  <c r="AC820" i="8"/>
  <c r="AC821" i="8" s="1"/>
  <c r="AC370" i="2"/>
  <c r="AC892" i="8" s="1"/>
  <c r="AC893" i="8" s="1"/>
  <c r="AC399" i="2"/>
  <c r="AC976" i="8" s="1"/>
  <c r="AC977" i="8" s="1"/>
  <c r="AC608" i="8"/>
  <c r="AC609" i="8" s="1"/>
  <c r="AC344" i="2"/>
  <c r="AC333" i="2"/>
  <c r="AC355" i="2" s="1"/>
  <c r="AD279" i="2"/>
  <c r="AB748" i="2"/>
  <c r="AB1220" i="8" s="1"/>
  <c r="AB1221" i="8" s="1"/>
  <c r="AB1192" i="8"/>
  <c r="AB1193" i="8" s="1"/>
  <c r="AB792" i="2"/>
  <c r="AB1348" i="8" s="1"/>
  <c r="AB1349" i="8" s="1"/>
  <c r="AB763" i="2"/>
  <c r="AB1264" i="8" s="1"/>
  <c r="AB1265" i="8" s="1"/>
  <c r="AB804" i="8"/>
  <c r="AB805" i="8" s="1"/>
  <c r="AB395" i="2"/>
  <c r="AB960" i="8" s="1"/>
  <c r="AB961" i="8" s="1"/>
  <c r="AB366" i="2"/>
  <c r="AB876" i="8" s="1"/>
  <c r="AB877" i="8" s="1"/>
  <c r="AD992" i="8"/>
  <c r="AD993" i="8" s="1"/>
  <c r="AD740" i="2"/>
  <c r="AD729" i="2"/>
  <c r="AD751" i="2" s="1"/>
  <c r="AE675" i="2"/>
  <c r="AE1020" i="8"/>
  <c r="AE1021" i="8" s="1"/>
  <c r="F1021" i="8" s="1"/>
  <c r="AE736" i="2"/>
  <c r="AE758" i="2" s="1"/>
  <c r="AE747" i="2"/>
  <c r="AE283" i="2"/>
  <c r="AD337" i="2"/>
  <c r="AD359" i="2" s="1"/>
  <c r="AD624" i="8"/>
  <c r="AD625" i="8" s="1"/>
  <c r="AD348" i="2"/>
  <c r="AB1156" i="8"/>
  <c r="AB1157" i="8" s="1"/>
  <c r="AB1228" i="8"/>
  <c r="AB1229" i="8" s="1"/>
  <c r="AC1168" i="8"/>
  <c r="AC1169" i="8" s="1"/>
  <c r="AC1240" i="8"/>
  <c r="AC1241" i="8" s="1"/>
  <c r="AB1164" i="8"/>
  <c r="AB1165" i="8" s="1"/>
  <c r="AB1236" i="8"/>
  <c r="AB1237" i="8" s="1"/>
  <c r="AA1296" i="8"/>
  <c r="AA1297" i="8" s="1"/>
  <c r="AA785" i="2"/>
  <c r="AA1324" i="8" s="1"/>
  <c r="AA1325" i="8" s="1"/>
  <c r="AC784" i="8"/>
  <c r="AC785" i="8" s="1"/>
  <c r="AC856" i="8"/>
  <c r="AC857" i="8" s="1"/>
  <c r="AB768" i="8"/>
  <c r="AB769" i="8" s="1"/>
  <c r="AB840" i="8"/>
  <c r="AB841" i="8" s="1"/>
  <c r="AC1188" i="8"/>
  <c r="AC1189" i="8" s="1"/>
  <c r="AC791" i="2"/>
  <c r="AC762" i="2"/>
  <c r="AD604" i="8"/>
  <c r="AD605" i="8" s="1"/>
  <c r="AD343" i="2"/>
  <c r="AE278" i="2"/>
  <c r="AD332" i="2"/>
  <c r="AD354" i="2" s="1"/>
  <c r="AD1216" i="8"/>
  <c r="AD1217" i="8" s="1"/>
  <c r="AD798" i="2"/>
  <c r="AD1372" i="8" s="1"/>
  <c r="AD1373" i="8" s="1"/>
  <c r="AD769" i="2"/>
  <c r="AD1288" i="8" s="1"/>
  <c r="AD1289" i="8" s="1"/>
  <c r="AB1224" i="8"/>
  <c r="AB1225" i="8" s="1"/>
  <c r="AA1320" i="8"/>
  <c r="AA1321" i="8" s="1"/>
  <c r="AC1152" i="8"/>
  <c r="AC1153" i="8" s="1"/>
  <c r="AD1180" i="8"/>
  <c r="AD1181" i="8" s="1"/>
  <c r="AD1252" i="8"/>
  <c r="AD1253" i="8" s="1"/>
  <c r="AD775" i="2"/>
  <c r="AD1304" i="8" s="1"/>
  <c r="AD1305" i="8" s="1"/>
  <c r="AA900" i="8"/>
  <c r="AA901" i="8" s="1"/>
  <c r="AE812" i="8"/>
  <c r="AE813" i="8" s="1"/>
  <c r="F813" i="8" s="1"/>
  <c r="AE368" i="2"/>
  <c r="AE884" i="8" s="1"/>
  <c r="AE885" i="8" s="1"/>
  <c r="F885" i="8" s="1"/>
  <c r="AE397" i="2"/>
  <c r="AE968" i="8" s="1"/>
  <c r="AE969" i="8" s="1"/>
  <c r="F969" i="8" s="1"/>
  <c r="AB948" i="8"/>
  <c r="AB949" i="8" s="1"/>
  <c r="AB1176" i="8"/>
  <c r="AB1177" i="8" s="1"/>
  <c r="AB1248" i="8"/>
  <c r="AB1249" i="8" s="1"/>
  <c r="AC800" i="8"/>
  <c r="AC801" i="8" s="1"/>
  <c r="AC365" i="2"/>
  <c r="AC872" i="8" s="1"/>
  <c r="AC873" i="8" s="1"/>
  <c r="AC394" i="2"/>
  <c r="AC956" i="8" s="1"/>
  <c r="AC957" i="8" s="1"/>
  <c r="AA400" i="2"/>
  <c r="AC764" i="8"/>
  <c r="AC765" i="8" s="1"/>
  <c r="AC836" i="8"/>
  <c r="AC837" i="8" s="1"/>
  <c r="AB780" i="8"/>
  <c r="AB781" i="8" s="1"/>
  <c r="AB852" i="8"/>
  <c r="AB853" i="8" s="1"/>
  <c r="AB1260" i="8"/>
  <c r="AB1261" i="8" s="1"/>
  <c r="AB1212" i="8"/>
  <c r="AB1213" i="8" s="1"/>
  <c r="AB797" i="2"/>
  <c r="AB1368" i="8" s="1"/>
  <c r="AB1369" i="8" s="1"/>
  <c r="AB768" i="2"/>
  <c r="AB1284" i="8" s="1"/>
  <c r="AB1285" i="8" s="1"/>
  <c r="AC775" i="2"/>
  <c r="AC1304" i="8" s="1"/>
  <c r="AC1305" i="8" s="1"/>
  <c r="AA378" i="2"/>
  <c r="AA916" i="8" s="1"/>
  <c r="AA917" i="8" s="1"/>
  <c r="AC792" i="8"/>
  <c r="AC793" i="8" s="1"/>
  <c r="AC363" i="2"/>
  <c r="AC386" i="2"/>
  <c r="AC928" i="8" s="1"/>
  <c r="AC929" i="8" s="1"/>
  <c r="AC392" i="2"/>
  <c r="AA759" i="2"/>
  <c r="AA1256" i="8" s="1"/>
  <c r="AA1257" i="8" s="1"/>
  <c r="AB816" i="8"/>
  <c r="AB817" i="8" s="1"/>
  <c r="AB398" i="2"/>
  <c r="AB972" i="8" s="1"/>
  <c r="AB973" i="8" s="1"/>
  <c r="AB369" i="2"/>
  <c r="AB888" i="8" s="1"/>
  <c r="AB889" i="8" s="1"/>
  <c r="AB385" i="2"/>
  <c r="AA924" i="8"/>
  <c r="AA925" i="8" s="1"/>
  <c r="AE776" i="8"/>
  <c r="AE777" i="8" s="1"/>
  <c r="F777" i="8" s="1"/>
  <c r="AE848" i="8"/>
  <c r="AE849" i="8" s="1"/>
  <c r="F849" i="8" s="1"/>
  <c r="AB1344" i="8"/>
  <c r="AB1345" i="8" s="1"/>
  <c r="AB864" i="8"/>
  <c r="AB865" i="8" s="1"/>
  <c r="AC1016" i="8"/>
  <c r="AC1017" i="8" s="1"/>
  <c r="AD681" i="2"/>
  <c r="AC746" i="2"/>
  <c r="AC735" i="2"/>
  <c r="AC757" i="2" s="1"/>
  <c r="Z924" i="8"/>
  <c r="Z925" i="8" s="1"/>
  <c r="Z390" i="2"/>
  <c r="Z944" i="8" s="1"/>
  <c r="AC756" i="8"/>
  <c r="AC757" i="8" s="1"/>
  <c r="AC375" i="2"/>
  <c r="AC904" i="8" s="1"/>
  <c r="AC905" i="8" s="1"/>
  <c r="Z1296" i="8"/>
  <c r="Z1297" i="8" s="1"/>
  <c r="Z778" i="2"/>
  <c r="Z1316" i="8" s="1"/>
  <c r="Z1317" i="8" s="1"/>
  <c r="AE600" i="8"/>
  <c r="AE601" i="8" s="1"/>
  <c r="F601" i="8" s="1"/>
  <c r="AE331" i="2"/>
  <c r="AE353" i="2" s="1"/>
  <c r="AE342" i="2"/>
  <c r="AC620" i="8"/>
  <c r="AC621" i="8" s="1"/>
  <c r="AD282" i="2"/>
  <c r="AC347" i="2"/>
  <c r="AC336" i="2"/>
  <c r="AC358" i="2" s="1"/>
  <c r="Z379" i="2"/>
  <c r="Z920" i="8" s="1"/>
  <c r="Z921" i="8" s="1"/>
  <c r="AC786" i="2"/>
  <c r="AC1328" i="8" s="1"/>
  <c r="AC1329" i="8" s="1"/>
  <c r="AD596" i="8"/>
  <c r="AD597" i="8" s="1"/>
  <c r="AE276" i="2"/>
  <c r="AD341" i="2"/>
  <c r="AD330" i="2"/>
  <c r="AD352" i="2" s="1"/>
  <c r="AC1004" i="8"/>
  <c r="AC1005" i="8" s="1"/>
  <c r="AD678" i="2"/>
  <c r="AC732" i="2"/>
  <c r="AC754" i="2" s="1"/>
  <c r="AC743" i="2"/>
  <c r="AA371" i="2"/>
  <c r="AA896" i="8" s="1"/>
  <c r="AA897" i="8" s="1"/>
  <c r="AA774" i="2"/>
  <c r="AA1300" i="8" s="1"/>
  <c r="AA1301" i="8" s="1"/>
  <c r="Y175" i="2"/>
  <c r="X83" i="8"/>
  <c r="X84" i="8" s="1"/>
  <c r="Z577" i="2"/>
  <c r="Y239" i="8"/>
  <c r="Y240" i="8" s="1"/>
  <c r="AA521" i="2"/>
  <c r="Z219" i="8"/>
  <c r="Z220" i="8" s="1"/>
  <c r="Z640" i="2"/>
  <c r="Y287" i="8"/>
  <c r="Y288" i="8" s="1"/>
  <c r="Z181" i="2"/>
  <c r="Y107" i="8"/>
  <c r="Y108" i="8" s="1"/>
  <c r="AA121" i="2"/>
  <c r="Z71" i="8"/>
  <c r="Z72" i="8" s="1"/>
  <c r="Z635" i="2"/>
  <c r="Y267" i="8"/>
  <c r="Y268" i="8" s="1"/>
  <c r="AA235" i="2"/>
  <c r="Z119" i="8"/>
  <c r="Z120" i="8" s="1"/>
  <c r="Z636" i="2"/>
  <c r="Y271" i="8"/>
  <c r="Y272" i="8" s="1"/>
  <c r="AA455" i="2"/>
  <c r="Z159" i="8"/>
  <c r="Z160" i="8" s="1"/>
  <c r="Z580" i="2"/>
  <c r="Y251" i="8"/>
  <c r="Y252" i="8" s="1"/>
  <c r="AA516" i="2"/>
  <c r="Z199" i="8"/>
  <c r="Z200" i="8" s="1"/>
  <c r="AA239" i="2"/>
  <c r="Z135" i="8"/>
  <c r="Z136" i="8" s="1"/>
  <c r="Z179" i="2"/>
  <c r="Y99" i="8"/>
  <c r="Y100" i="8" s="1"/>
  <c r="Z243" i="2"/>
  <c r="AA234" i="2"/>
  <c r="Z115" i="8"/>
  <c r="Z116" i="8" s="1"/>
  <c r="AA114" i="2"/>
  <c r="Z123" i="2"/>
  <c r="Z43" i="8"/>
  <c r="Z44" i="8" s="1"/>
  <c r="AA515" i="2"/>
  <c r="Z195" i="8"/>
  <c r="Z196" i="8" s="1"/>
  <c r="AA54" i="2"/>
  <c r="Z63" i="2"/>
  <c r="Z7" i="8"/>
  <c r="Z8" i="8" s="1"/>
  <c r="AA520" i="2"/>
  <c r="Z215" i="8"/>
  <c r="Z216" i="8" s="1"/>
  <c r="AA581" i="2"/>
  <c r="Z255" i="8"/>
  <c r="Z256" i="8" s="1"/>
  <c r="AA55" i="2"/>
  <c r="Z11" i="8"/>
  <c r="Z12" i="8" s="1"/>
  <c r="AB117" i="2"/>
  <c r="AA55" i="8"/>
  <c r="AA56" i="8" s="1"/>
  <c r="AA240" i="2"/>
  <c r="Z139" i="8"/>
  <c r="Z140" i="8" s="1"/>
  <c r="AA579" i="2"/>
  <c r="Z247" i="8"/>
  <c r="Z248" i="8" s="1"/>
  <c r="AA633" i="2"/>
  <c r="Z259" i="8"/>
  <c r="Z260" i="8" s="1"/>
  <c r="AA519" i="2"/>
  <c r="Z211" i="8"/>
  <c r="Z212" i="8" s="1"/>
  <c r="Y180" i="2"/>
  <c r="X103" i="8"/>
  <c r="X104" i="8" s="1"/>
  <c r="AA59" i="2"/>
  <c r="Z27" i="8"/>
  <c r="Z28" i="8" s="1"/>
  <c r="AA119" i="2"/>
  <c r="Z63" i="8"/>
  <c r="Z64" i="8" s="1"/>
  <c r="Z459" i="2"/>
  <c r="Y175" i="8"/>
  <c r="Y176" i="8" s="1"/>
  <c r="AA575" i="2"/>
  <c r="Z231" i="8"/>
  <c r="Z232" i="8" s="1"/>
  <c r="AA122" i="2"/>
  <c r="Z75" i="8"/>
  <c r="Z76" i="8" s="1"/>
  <c r="Z574" i="2"/>
  <c r="Y227" i="8"/>
  <c r="Y228" i="8" s="1"/>
  <c r="AA514" i="2"/>
  <c r="Z191" i="8"/>
  <c r="Z192" i="8" s="1"/>
  <c r="Z637" i="2"/>
  <c r="Y275" i="8"/>
  <c r="Y276" i="8" s="1"/>
  <c r="AA56" i="2"/>
  <c r="Z15" i="8"/>
  <c r="Z16" i="8" s="1"/>
  <c r="AA116" i="2"/>
  <c r="Z51" i="8"/>
  <c r="Z52" i="8" s="1"/>
  <c r="AA57" i="2"/>
  <c r="Z19" i="8"/>
  <c r="Z20" i="8" s="1"/>
  <c r="AA576" i="2"/>
  <c r="Z235" i="8"/>
  <c r="Z236" i="8" s="1"/>
  <c r="Z176" i="2"/>
  <c r="Y87" i="8"/>
  <c r="Y88" i="8" s="1"/>
  <c r="AA58" i="2"/>
  <c r="Z23" i="8"/>
  <c r="Z24" i="8" s="1"/>
  <c r="AA461" i="2"/>
  <c r="Z183" i="8"/>
  <c r="Z184" i="8" s="1"/>
  <c r="AA120" i="2"/>
  <c r="Z67" i="8"/>
  <c r="Z68" i="8" s="1"/>
  <c r="AA456" i="2"/>
  <c r="Z163" i="8"/>
  <c r="Z164" i="8" s="1"/>
  <c r="AA115" i="2"/>
  <c r="Z47" i="8"/>
  <c r="Z48" i="8" s="1"/>
  <c r="Z182" i="2"/>
  <c r="Y111" i="8"/>
  <c r="Y112" i="8" s="1"/>
  <c r="Z460" i="2"/>
  <c r="Y179" i="8"/>
  <c r="Y180" i="8" s="1"/>
  <c r="Z578" i="2"/>
  <c r="Y243" i="8"/>
  <c r="Y244" i="8" s="1"/>
  <c r="Z634" i="2"/>
  <c r="Y263" i="8"/>
  <c r="Y264" i="8" s="1"/>
  <c r="Z639" i="2"/>
  <c r="Y283" i="8"/>
  <c r="Y284" i="8" s="1"/>
  <c r="X183" i="2"/>
  <c r="AA453" i="2"/>
  <c r="Z151" i="8"/>
  <c r="Z152" i="8" s="1"/>
  <c r="AA62" i="2"/>
  <c r="Z39" i="8"/>
  <c r="Z40" i="8" s="1"/>
  <c r="AA518" i="2"/>
  <c r="Z207" i="8"/>
  <c r="Z208" i="8" s="1"/>
  <c r="AA517" i="2"/>
  <c r="Z203" i="8"/>
  <c r="Z204" i="8" s="1"/>
  <c r="AA60" i="2"/>
  <c r="Z31" i="8"/>
  <c r="Z32" i="8" s="1"/>
  <c r="AA241" i="2"/>
  <c r="Z143" i="8"/>
  <c r="Z144" i="8" s="1"/>
  <c r="AA236" i="2"/>
  <c r="Z123" i="8"/>
  <c r="Z124" i="8" s="1"/>
  <c r="Z178" i="2"/>
  <c r="Y95" i="8"/>
  <c r="Y96" i="8" s="1"/>
  <c r="Y183" i="2"/>
  <c r="Z174" i="2"/>
  <c r="Y79" i="8"/>
  <c r="Y80" i="8" s="1"/>
  <c r="AA118" i="2"/>
  <c r="Z59" i="8"/>
  <c r="Z60" i="8" s="1"/>
  <c r="AA242" i="2"/>
  <c r="Z147" i="8"/>
  <c r="Z148" i="8" s="1"/>
  <c r="AA237" i="2"/>
  <c r="Z127" i="8"/>
  <c r="Z128" i="8" s="1"/>
  <c r="Z177" i="2"/>
  <c r="Y91" i="8"/>
  <c r="Y92" i="8" s="1"/>
  <c r="AA61" i="2"/>
  <c r="Z35" i="8"/>
  <c r="Z36" i="8" s="1"/>
  <c r="AA238" i="2"/>
  <c r="Z131" i="8"/>
  <c r="Z132" i="8" s="1"/>
  <c r="AA458" i="2"/>
  <c r="Z171" i="8"/>
  <c r="Z172" i="8" s="1"/>
  <c r="Z641" i="2"/>
  <c r="Y291" i="8"/>
  <c r="Y292" i="8" s="1"/>
  <c r="AA457" i="2"/>
  <c r="Z167" i="8"/>
  <c r="Z168" i="8" s="1"/>
  <c r="AA390" i="2" l="1"/>
  <c r="AA944" i="8" s="1"/>
  <c r="X223" i="8"/>
  <c r="X224" i="8" s="1"/>
  <c r="X582" i="2"/>
  <c r="Y573" i="2"/>
  <c r="AB400" i="2"/>
  <c r="AA778" i="2"/>
  <c r="AA1316" i="8" s="1"/>
  <c r="AA1317" i="8" s="1"/>
  <c r="X642" i="2"/>
  <c r="Y638" i="2"/>
  <c r="X279" i="8"/>
  <c r="X280" i="8" s="1"/>
  <c r="AA980" i="8"/>
  <c r="AA981" i="8" s="1"/>
  <c r="AA250" i="2"/>
  <c r="Y513" i="2"/>
  <c r="X522" i="2"/>
  <c r="X187" i="8"/>
  <c r="X188" i="8" s="1"/>
  <c r="AB371" i="2"/>
  <c r="AB896" i="8" s="1"/>
  <c r="AB897" i="8" s="1"/>
  <c r="AA1376" i="8"/>
  <c r="AA1377" i="8" s="1"/>
  <c r="AA649" i="2"/>
  <c r="AD786" i="2"/>
  <c r="AD1328" i="8" s="1"/>
  <c r="AD1329" i="8" s="1"/>
  <c r="Y454" i="2"/>
  <c r="X155" i="8"/>
  <c r="X156" i="8" s="1"/>
  <c r="X462" i="2"/>
  <c r="AD345" i="2"/>
  <c r="AD334" i="2"/>
  <c r="AD356" i="2" s="1"/>
  <c r="AE280" i="2"/>
  <c r="AD612" i="8"/>
  <c r="AD613" i="8" s="1"/>
  <c r="AB777" i="2"/>
  <c r="AB1312" i="8" s="1"/>
  <c r="AB1313" i="8" s="1"/>
  <c r="AC844" i="8"/>
  <c r="AC845" i="8" s="1"/>
  <c r="AC772" i="8"/>
  <c r="AC773" i="8" s="1"/>
  <c r="AC338" i="2"/>
  <c r="AC788" i="8" s="1"/>
  <c r="AC789" i="8" s="1"/>
  <c r="AC367" i="2"/>
  <c r="AC880" i="8" s="1"/>
  <c r="AC881" i="8" s="1"/>
  <c r="AC396" i="2"/>
  <c r="AC964" i="8" s="1"/>
  <c r="AC965" i="8" s="1"/>
  <c r="AC808" i="8"/>
  <c r="AC809" i="8" s="1"/>
  <c r="AC737" i="2"/>
  <c r="AC1184" i="8" s="1"/>
  <c r="AC1185" i="8" s="1"/>
  <c r="AC748" i="2"/>
  <c r="AC1220" i="8" s="1"/>
  <c r="AC1221" i="8" s="1"/>
  <c r="AB799" i="2"/>
  <c r="AA789" i="2"/>
  <c r="AA1340" i="8" s="1"/>
  <c r="AD784" i="8"/>
  <c r="AD785" i="8" s="1"/>
  <c r="AD856" i="8"/>
  <c r="AD857" i="8" s="1"/>
  <c r="AD1168" i="8"/>
  <c r="AD1169" i="8" s="1"/>
  <c r="AD1240" i="8"/>
  <c r="AD1241" i="8" s="1"/>
  <c r="AD764" i="8"/>
  <c r="AD765" i="8" s="1"/>
  <c r="AD836" i="8"/>
  <c r="AD837" i="8" s="1"/>
  <c r="AD363" i="2"/>
  <c r="AD792" i="8"/>
  <c r="AD793" i="8" s="1"/>
  <c r="AD392" i="2"/>
  <c r="AE604" i="8"/>
  <c r="AE605" i="8" s="1"/>
  <c r="F605" i="8" s="1"/>
  <c r="AE343" i="2"/>
  <c r="AE332" i="2"/>
  <c r="AE354" i="2" s="1"/>
  <c r="AE337" i="2"/>
  <c r="AE359" i="2" s="1"/>
  <c r="AE624" i="8"/>
  <c r="AE625" i="8" s="1"/>
  <c r="F625" i="8" s="1"/>
  <c r="AE348" i="2"/>
  <c r="AB788" i="2"/>
  <c r="AB1336" i="8" s="1"/>
  <c r="AB1337" i="8" s="1"/>
  <c r="AB360" i="2"/>
  <c r="AB860" i="8" s="1"/>
  <c r="AB861" i="8" s="1"/>
  <c r="AD1204" i="8"/>
  <c r="AD1205" i="8" s="1"/>
  <c r="AD766" i="2"/>
  <c r="AD1276" i="8" s="1"/>
  <c r="AD1277" i="8" s="1"/>
  <c r="AD795" i="2"/>
  <c r="AD1360" i="8" s="1"/>
  <c r="AD1361" i="8" s="1"/>
  <c r="AE596" i="8"/>
  <c r="AE597" i="8" s="1"/>
  <c r="F597" i="8" s="1"/>
  <c r="AE330" i="2"/>
  <c r="AE352" i="2" s="1"/>
  <c r="AE341" i="2"/>
  <c r="AD608" i="8"/>
  <c r="AD609" i="8" s="1"/>
  <c r="AE279" i="2"/>
  <c r="AD344" i="2"/>
  <c r="AD333" i="2"/>
  <c r="AD355" i="2" s="1"/>
  <c r="AC1260" i="8"/>
  <c r="AC1261" i="8" s="1"/>
  <c r="AC768" i="8"/>
  <c r="AC769" i="8" s="1"/>
  <c r="AC840" i="8"/>
  <c r="AC841" i="8" s="1"/>
  <c r="AC1156" i="8"/>
  <c r="AC1157" i="8" s="1"/>
  <c r="AC1228" i="8"/>
  <c r="AC1229" i="8" s="1"/>
  <c r="AC1224" i="8"/>
  <c r="AC1225" i="8" s="1"/>
  <c r="AD800" i="8"/>
  <c r="AD801" i="8" s="1"/>
  <c r="AD365" i="2"/>
  <c r="AD872" i="8" s="1"/>
  <c r="AD873" i="8" s="1"/>
  <c r="AD394" i="2"/>
  <c r="AD956" i="8" s="1"/>
  <c r="AD957" i="8" s="1"/>
  <c r="AB785" i="2"/>
  <c r="AB1324" i="8" s="1"/>
  <c r="AB1325" i="8" s="1"/>
  <c r="AE992" i="8"/>
  <c r="AE993" i="8" s="1"/>
  <c r="F993" i="8" s="1"/>
  <c r="AE740" i="2"/>
  <c r="AE729" i="2"/>
  <c r="AE751" i="2" s="1"/>
  <c r="AC804" i="8"/>
  <c r="AC805" i="8" s="1"/>
  <c r="AC395" i="2"/>
  <c r="AC960" i="8" s="1"/>
  <c r="AC961" i="8" s="1"/>
  <c r="AC366" i="2"/>
  <c r="AC876" i="8" s="1"/>
  <c r="AC877" i="8" s="1"/>
  <c r="AC1192" i="8"/>
  <c r="AC1193" i="8" s="1"/>
  <c r="AC763" i="2"/>
  <c r="AC792" i="2"/>
  <c r="AC1348" i="8" s="1"/>
  <c r="AC1349" i="8" s="1"/>
  <c r="AD820" i="8"/>
  <c r="AD821" i="8" s="1"/>
  <c r="AD370" i="2"/>
  <c r="AD892" i="8" s="1"/>
  <c r="AD893" i="8" s="1"/>
  <c r="AD399" i="2"/>
  <c r="AD976" i="8" s="1"/>
  <c r="AD977" i="8" s="1"/>
  <c r="AD1208" i="8"/>
  <c r="AD1209" i="8" s="1"/>
  <c r="AD767" i="2"/>
  <c r="AD1280" i="8" s="1"/>
  <c r="AD1281" i="8" s="1"/>
  <c r="AD796" i="2"/>
  <c r="AD1364" i="8" s="1"/>
  <c r="AD1365" i="8" s="1"/>
  <c r="AC864" i="8"/>
  <c r="AC865" i="8" s="1"/>
  <c r="AB924" i="8"/>
  <c r="AB925" i="8" s="1"/>
  <c r="AD1152" i="8"/>
  <c r="AD1153" i="8" s="1"/>
  <c r="AD996" i="8"/>
  <c r="AD997" i="8" s="1"/>
  <c r="AE676" i="2"/>
  <c r="AD741" i="2"/>
  <c r="AD730" i="2"/>
  <c r="AD752" i="2" s="1"/>
  <c r="AE760" i="8"/>
  <c r="AE761" i="8" s="1"/>
  <c r="F761" i="8" s="1"/>
  <c r="AE832" i="8"/>
  <c r="AE833" i="8" s="1"/>
  <c r="F833" i="8" s="1"/>
  <c r="AD1000" i="8"/>
  <c r="AD1001" i="8" s="1"/>
  <c r="AD731" i="2"/>
  <c r="AD753" i="2" s="1"/>
  <c r="AE677" i="2"/>
  <c r="AD742" i="2"/>
  <c r="AD756" i="8"/>
  <c r="AD757" i="8" s="1"/>
  <c r="AC780" i="8"/>
  <c r="AC781" i="8" s="1"/>
  <c r="AC852" i="8"/>
  <c r="AC853" i="8" s="1"/>
  <c r="AB770" i="2"/>
  <c r="AB1292" i="8" s="1"/>
  <c r="AB1293" i="8" s="1"/>
  <c r="AC1344" i="8"/>
  <c r="AC1345" i="8" s="1"/>
  <c r="AD1188" i="8"/>
  <c r="AD1189" i="8" s="1"/>
  <c r="AD791" i="2"/>
  <c r="AD762" i="2"/>
  <c r="AC816" i="8"/>
  <c r="AC817" i="8" s="1"/>
  <c r="AC398" i="2"/>
  <c r="AC972" i="8" s="1"/>
  <c r="AC973" i="8" s="1"/>
  <c r="AC369" i="2"/>
  <c r="AC888" i="8" s="1"/>
  <c r="AC889" i="8" s="1"/>
  <c r="AC1176" i="8"/>
  <c r="AC1177" i="8" s="1"/>
  <c r="AC1248" i="8"/>
  <c r="AC1249" i="8" s="1"/>
  <c r="AB759" i="2"/>
  <c r="AB1256" i="8" s="1"/>
  <c r="AB1257" i="8" s="1"/>
  <c r="AC387" i="2"/>
  <c r="AC932" i="8" s="1"/>
  <c r="AC933" i="8" s="1"/>
  <c r="AC376" i="2"/>
  <c r="AC908" i="8" s="1"/>
  <c r="AC909" i="8" s="1"/>
  <c r="AC828" i="8"/>
  <c r="AC829" i="8" s="1"/>
  <c r="AE1216" i="8"/>
  <c r="AE1217" i="8" s="1"/>
  <c r="F1217" i="8" s="1"/>
  <c r="AE798" i="2"/>
  <c r="AE1372" i="8" s="1"/>
  <c r="AE1373" i="8" s="1"/>
  <c r="F1373" i="8" s="1"/>
  <c r="AE769" i="2"/>
  <c r="AE1288" i="8" s="1"/>
  <c r="AE1289" i="8" s="1"/>
  <c r="F1289" i="8" s="1"/>
  <c r="AE1180" i="8"/>
  <c r="AE1181" i="8" s="1"/>
  <c r="F1181" i="8" s="1"/>
  <c r="AE1252" i="8"/>
  <c r="AE1253" i="8" s="1"/>
  <c r="F1253" i="8" s="1"/>
  <c r="AE775" i="2"/>
  <c r="AE1304" i="8" s="1"/>
  <c r="AE1305" i="8" s="1"/>
  <c r="F1305" i="8" s="1"/>
  <c r="AD620" i="8"/>
  <c r="AD621" i="8" s="1"/>
  <c r="AD336" i="2"/>
  <c r="AD358" i="2" s="1"/>
  <c r="AE282" i="2"/>
  <c r="AD347" i="2"/>
  <c r="AD349" i="2" s="1"/>
  <c r="AD824" i="8" s="1"/>
  <c r="AD825" i="8" s="1"/>
  <c r="AC1212" i="8"/>
  <c r="AC1213" i="8" s="1"/>
  <c r="AC768" i="2"/>
  <c r="AC1284" i="8" s="1"/>
  <c r="AC1285" i="8" s="1"/>
  <c r="AC797" i="2"/>
  <c r="AC1368" i="8" s="1"/>
  <c r="AC1369" i="8" s="1"/>
  <c r="AB374" i="2"/>
  <c r="AB378" i="2"/>
  <c r="AB916" i="8" s="1"/>
  <c r="AB917" i="8" s="1"/>
  <c r="AB774" i="2"/>
  <c r="AB1300" i="8" s="1"/>
  <c r="AB1301" i="8" s="1"/>
  <c r="AC948" i="8"/>
  <c r="AC949" i="8" s="1"/>
  <c r="AE1008" i="8"/>
  <c r="AE1009" i="8" s="1"/>
  <c r="F1009" i="8" s="1"/>
  <c r="AE733" i="2"/>
  <c r="AE755" i="2" s="1"/>
  <c r="AE744" i="2"/>
  <c r="AC1200" i="8"/>
  <c r="AC1201" i="8" s="1"/>
  <c r="AC794" i="2"/>
  <c r="AC1356" i="8" s="1"/>
  <c r="AC1357" i="8" s="1"/>
  <c r="AC765" i="2"/>
  <c r="AC1272" i="8" s="1"/>
  <c r="AC1273" i="8" s="1"/>
  <c r="AD746" i="2"/>
  <c r="AD1016" i="8"/>
  <c r="AD1017" i="8" s="1"/>
  <c r="AE681" i="2"/>
  <c r="AD735" i="2"/>
  <c r="AD757" i="2" s="1"/>
  <c r="AE1012" i="8"/>
  <c r="AE1013" i="8" s="1"/>
  <c r="F1013" i="8" s="1"/>
  <c r="AE745" i="2"/>
  <c r="AE734" i="2"/>
  <c r="AE756" i="2" s="1"/>
  <c r="AB784" i="2"/>
  <c r="AD1004" i="8"/>
  <c r="AD1005" i="8" s="1"/>
  <c r="AE678" i="2"/>
  <c r="AD732" i="2"/>
  <c r="AD754" i="2" s="1"/>
  <c r="AD743" i="2"/>
  <c r="AC1160" i="8"/>
  <c r="AC1161" i="8" s="1"/>
  <c r="AC1232" i="8"/>
  <c r="AC1233" i="8" s="1"/>
  <c r="AC1164" i="8"/>
  <c r="AC1165" i="8" s="1"/>
  <c r="AC777" i="2"/>
  <c r="AC1312" i="8" s="1"/>
  <c r="AC1313" i="8" s="1"/>
  <c r="AC1236" i="8"/>
  <c r="AC1237" i="8" s="1"/>
  <c r="AE796" i="8"/>
  <c r="AE797" i="8" s="1"/>
  <c r="F797" i="8" s="1"/>
  <c r="AE393" i="2"/>
  <c r="AE952" i="8" s="1"/>
  <c r="AE953" i="8" s="1"/>
  <c r="F953" i="8" s="1"/>
  <c r="AE364" i="2"/>
  <c r="AE868" i="8" s="1"/>
  <c r="AE869" i="8" s="1"/>
  <c r="F869" i="8" s="1"/>
  <c r="AC349" i="2"/>
  <c r="AC824" i="8" s="1"/>
  <c r="AC825" i="8" s="1"/>
  <c r="AA379" i="2"/>
  <c r="AA920" i="8" s="1"/>
  <c r="AA921" i="8" s="1"/>
  <c r="AB389" i="2"/>
  <c r="AB940" i="8" s="1"/>
  <c r="AB941" i="8" s="1"/>
  <c r="AC1196" i="8"/>
  <c r="AC1197" i="8" s="1"/>
  <c r="AC764" i="2"/>
  <c r="AC1268" i="8" s="1"/>
  <c r="AC1269" i="8" s="1"/>
  <c r="AC793" i="2"/>
  <c r="AC1352" i="8" s="1"/>
  <c r="AC1353" i="8" s="1"/>
  <c r="AD1172" i="8"/>
  <c r="AD1173" i="8" s="1"/>
  <c r="AD1244" i="8"/>
  <c r="AD1245" i="8" s="1"/>
  <c r="AB773" i="2"/>
  <c r="AB239" i="2"/>
  <c r="AA135" i="8"/>
  <c r="AA136" i="8" s="1"/>
  <c r="AB457" i="2"/>
  <c r="AA167" i="8"/>
  <c r="AA168" i="8" s="1"/>
  <c r="AB237" i="2"/>
  <c r="AA127" i="8"/>
  <c r="AA128" i="8" s="1"/>
  <c r="AA639" i="2"/>
  <c r="Z283" i="8"/>
  <c r="Z284" i="8" s="1"/>
  <c r="AB120" i="2"/>
  <c r="AA67" i="8"/>
  <c r="AA68" i="8" s="1"/>
  <c r="AB116" i="2"/>
  <c r="AA51" i="8"/>
  <c r="AA52" i="8" s="1"/>
  <c r="AB633" i="2"/>
  <c r="AA259" i="8"/>
  <c r="AA260" i="8" s="1"/>
  <c r="AA635" i="2"/>
  <c r="Z267" i="8"/>
  <c r="Z268" i="8" s="1"/>
  <c r="AB54" i="2"/>
  <c r="AA63" i="2"/>
  <c r="AA7" i="8"/>
  <c r="AA8" i="8" s="1"/>
  <c r="AB516" i="2"/>
  <c r="AA199" i="8"/>
  <c r="AA200" i="8" s="1"/>
  <c r="AB60" i="2"/>
  <c r="AA31" i="8"/>
  <c r="AA32" i="8" s="1"/>
  <c r="AB242" i="2"/>
  <c r="AA147" i="8"/>
  <c r="AA148" i="8" s="1"/>
  <c r="AB56" i="2"/>
  <c r="AA15" i="8"/>
  <c r="AA16" i="8" s="1"/>
  <c r="AA578" i="2"/>
  <c r="Z243" i="8"/>
  <c r="Z244" i="8" s="1"/>
  <c r="AB58" i="2"/>
  <c r="AA23" i="8"/>
  <c r="AA24" i="8" s="1"/>
  <c r="AA637" i="2"/>
  <c r="Z275" i="8"/>
  <c r="Z276" i="8" s="1"/>
  <c r="AB240" i="2"/>
  <c r="AA139" i="8"/>
  <c r="AA140" i="8" s="1"/>
  <c r="AA181" i="2"/>
  <c r="Z107" i="8"/>
  <c r="Z108" i="8" s="1"/>
  <c r="AB57" i="2"/>
  <c r="AA19" i="8"/>
  <c r="AA20" i="8" s="1"/>
  <c r="AB241" i="2"/>
  <c r="AA143" i="8"/>
  <c r="AA144" i="8" s="1"/>
  <c r="AB517" i="2"/>
  <c r="AA203" i="8"/>
  <c r="AA204" i="8" s="1"/>
  <c r="AA459" i="2"/>
  <c r="Z175" i="8"/>
  <c r="Z176" i="8" s="1"/>
  <c r="AB515" i="2"/>
  <c r="AA195" i="8"/>
  <c r="AA196" i="8" s="1"/>
  <c r="AA580" i="2"/>
  <c r="Z251" i="8"/>
  <c r="Z252" i="8" s="1"/>
  <c r="AB518" i="2"/>
  <c r="AA207" i="8"/>
  <c r="AA208" i="8" s="1"/>
  <c r="AB119" i="2"/>
  <c r="AA63" i="8"/>
  <c r="AA64" i="8" s="1"/>
  <c r="AB118" i="2"/>
  <c r="AA59" i="8"/>
  <c r="AA60" i="8" s="1"/>
  <c r="AB458" i="2"/>
  <c r="AA171" i="8"/>
  <c r="AA172" i="8" s="1"/>
  <c r="AA174" i="2"/>
  <c r="Z79" i="8"/>
  <c r="Z80" i="8" s="1"/>
  <c r="AA460" i="2"/>
  <c r="Z179" i="8"/>
  <c r="Z180" i="8" s="1"/>
  <c r="AA176" i="2"/>
  <c r="Z87" i="8"/>
  <c r="Z88" i="8" s="1"/>
  <c r="AB514" i="2"/>
  <c r="AA191" i="8"/>
  <c r="AA192" i="8" s="1"/>
  <c r="AC117" i="2"/>
  <c r="AB55" i="8"/>
  <c r="AB56" i="8" s="1"/>
  <c r="AA123" i="2"/>
  <c r="AB114" i="2"/>
  <c r="AA43" i="8"/>
  <c r="AA44" i="8" s="1"/>
  <c r="AA640" i="2"/>
  <c r="Z287" i="8"/>
  <c r="Z288" i="8" s="1"/>
  <c r="AB579" i="2"/>
  <c r="AA247" i="8"/>
  <c r="AA248" i="8" s="1"/>
  <c r="AB121" i="2"/>
  <c r="AA71" i="8"/>
  <c r="AA72" i="8" s="1"/>
  <c r="AB59" i="2"/>
  <c r="AA27" i="8"/>
  <c r="AA28" i="8" s="1"/>
  <c r="AA182" i="2"/>
  <c r="Z111" i="8"/>
  <c r="Z112" i="8" s="1"/>
  <c r="AA574" i="2"/>
  <c r="Z227" i="8"/>
  <c r="Z228" i="8" s="1"/>
  <c r="AB55" i="2"/>
  <c r="AA11" i="8"/>
  <c r="AA12" i="8" s="1"/>
  <c r="AB234" i="2"/>
  <c r="AA243" i="2"/>
  <c r="AA115" i="8"/>
  <c r="AA116" i="8" s="1"/>
  <c r="AB455" i="2"/>
  <c r="AA159" i="8"/>
  <c r="AA160" i="8" s="1"/>
  <c r="AB521" i="2"/>
  <c r="AA219" i="8"/>
  <c r="AA220" i="8" s="1"/>
  <c r="AA641" i="2"/>
  <c r="Z291" i="8"/>
  <c r="Z292" i="8" s="1"/>
  <c r="AA634" i="2"/>
  <c r="Z263" i="8"/>
  <c r="Z264" i="8" s="1"/>
  <c r="AB62" i="2"/>
  <c r="AA39" i="8"/>
  <c r="AA40" i="8" s="1"/>
  <c r="AB238" i="2"/>
  <c r="AA131" i="8"/>
  <c r="AA132" i="8" s="1"/>
  <c r="AA178" i="2"/>
  <c r="Z95" i="8"/>
  <c r="Z96" i="8" s="1"/>
  <c r="AB453" i="2"/>
  <c r="AA151" i="8"/>
  <c r="AA152" i="8" s="1"/>
  <c r="Z180" i="2"/>
  <c r="Y103" i="8"/>
  <c r="Y104" i="8" s="1"/>
  <c r="AB461" i="2"/>
  <c r="AA183" i="8"/>
  <c r="AA184" i="8" s="1"/>
  <c r="AB61" i="2"/>
  <c r="AA35" i="8"/>
  <c r="AA36" i="8" s="1"/>
  <c r="AB115" i="2"/>
  <c r="AA47" i="8"/>
  <c r="AA48" i="8" s="1"/>
  <c r="AB576" i="2"/>
  <c r="AA235" i="8"/>
  <c r="AA236" i="8" s="1"/>
  <c r="AB122" i="2"/>
  <c r="AA75" i="8"/>
  <c r="AA76" i="8" s="1"/>
  <c r="AB581" i="2"/>
  <c r="AA255" i="8"/>
  <c r="AA256" i="8" s="1"/>
  <c r="AA636" i="2"/>
  <c r="Z271" i="8"/>
  <c r="Z272" i="8" s="1"/>
  <c r="AA577" i="2"/>
  <c r="Z239" i="8"/>
  <c r="Z240" i="8" s="1"/>
  <c r="AB456" i="2"/>
  <c r="AA163" i="8"/>
  <c r="AA164" i="8" s="1"/>
  <c r="AB236" i="2"/>
  <c r="AA123" i="8"/>
  <c r="AA124" i="8" s="1"/>
  <c r="AB519" i="2"/>
  <c r="AA211" i="8"/>
  <c r="AA212" i="8" s="1"/>
  <c r="AA179" i="2"/>
  <c r="Z99" i="8"/>
  <c r="Z100" i="8" s="1"/>
  <c r="AA177" i="2"/>
  <c r="Z91" i="8"/>
  <c r="Z92" i="8" s="1"/>
  <c r="AB575" i="2"/>
  <c r="AA231" i="8"/>
  <c r="AA232" i="8" s="1"/>
  <c r="AB520" i="2"/>
  <c r="AA215" i="8"/>
  <c r="AA216" i="8" s="1"/>
  <c r="AB235" i="2"/>
  <c r="AA119" i="8"/>
  <c r="AA120" i="8" s="1"/>
  <c r="Z175" i="2"/>
  <c r="Y83" i="8"/>
  <c r="Y84" i="8" s="1"/>
  <c r="Y522" i="2" l="1"/>
  <c r="Y187" i="8"/>
  <c r="Y188" i="8" s="1"/>
  <c r="Z513" i="2"/>
  <c r="AB390" i="2"/>
  <c r="AB944" i="8" s="1"/>
  <c r="AC389" i="2"/>
  <c r="AC940" i="8" s="1"/>
  <c r="AC941" i="8" s="1"/>
  <c r="Y642" i="2"/>
  <c r="Y279" i="8"/>
  <c r="Y280" i="8" s="1"/>
  <c r="Z638" i="2"/>
  <c r="AB1376" i="8"/>
  <c r="AB1377" i="8" s="1"/>
  <c r="AB649" i="2"/>
  <c r="Y155" i="8"/>
  <c r="Y156" i="8" s="1"/>
  <c r="Z454" i="2"/>
  <c r="Y462" i="2"/>
  <c r="AB980" i="8"/>
  <c r="AB981" i="8" s="1"/>
  <c r="AB250" i="2"/>
  <c r="AC385" i="2"/>
  <c r="Z573" i="2"/>
  <c r="Y582" i="2"/>
  <c r="Y223" i="8"/>
  <c r="Y224" i="8" s="1"/>
  <c r="AD748" i="2"/>
  <c r="AD1220" i="8" s="1"/>
  <c r="AD1221" i="8" s="1"/>
  <c r="AC773" i="2"/>
  <c r="AD386" i="2"/>
  <c r="AD928" i="8" s="1"/>
  <c r="AD929" i="8" s="1"/>
  <c r="AC759" i="2"/>
  <c r="AC1256" i="8" s="1"/>
  <c r="AC1257" i="8" s="1"/>
  <c r="AC374" i="2"/>
  <c r="AC379" i="2" s="1"/>
  <c r="AC920" i="8" s="1"/>
  <c r="AC921" i="8" s="1"/>
  <c r="AC378" i="2"/>
  <c r="AC916" i="8" s="1"/>
  <c r="AC917" i="8" s="1"/>
  <c r="AC371" i="2"/>
  <c r="AC896" i="8" s="1"/>
  <c r="AC897" i="8" s="1"/>
  <c r="AE612" i="8"/>
  <c r="AE613" i="8" s="1"/>
  <c r="F613" i="8" s="1"/>
  <c r="AE345" i="2"/>
  <c r="AE334" i="2"/>
  <c r="AE356" i="2" s="1"/>
  <c r="AD772" i="8"/>
  <c r="AD773" i="8" s="1"/>
  <c r="AD844" i="8"/>
  <c r="AD845" i="8" s="1"/>
  <c r="AD396" i="2"/>
  <c r="AD964" i="8" s="1"/>
  <c r="AD965" i="8" s="1"/>
  <c r="AD808" i="8"/>
  <c r="AD809" i="8" s="1"/>
  <c r="AD367" i="2"/>
  <c r="AD880" i="8" s="1"/>
  <c r="AD881" i="8" s="1"/>
  <c r="AD1224" i="8"/>
  <c r="AD1225" i="8" s="1"/>
  <c r="AD1248" i="8"/>
  <c r="AD1249" i="8" s="1"/>
  <c r="AD1176" i="8"/>
  <c r="AD1177" i="8" s="1"/>
  <c r="AC1264" i="8"/>
  <c r="AC1265" i="8" s="1"/>
  <c r="AC785" i="2"/>
  <c r="AC1324" i="8" s="1"/>
  <c r="AC1325" i="8" s="1"/>
  <c r="AE1016" i="8"/>
  <c r="AE1017" i="8" s="1"/>
  <c r="F1017" i="8" s="1"/>
  <c r="AE746" i="2"/>
  <c r="AE735" i="2"/>
  <c r="AE757" i="2" s="1"/>
  <c r="AB900" i="8"/>
  <c r="AB901" i="8" s="1"/>
  <c r="AB379" i="2"/>
  <c r="AB920" i="8" s="1"/>
  <c r="AB921" i="8" s="1"/>
  <c r="AD1196" i="8"/>
  <c r="AD1197" i="8" s="1"/>
  <c r="AD793" i="2"/>
  <c r="AD1352" i="8" s="1"/>
  <c r="AD1353" i="8" s="1"/>
  <c r="AD764" i="2"/>
  <c r="AD1268" i="8" s="1"/>
  <c r="AD1269" i="8" s="1"/>
  <c r="AD948" i="8"/>
  <c r="AD949" i="8" s="1"/>
  <c r="AD1260" i="8"/>
  <c r="AD1261" i="8" s="1"/>
  <c r="AE756" i="8"/>
  <c r="AE757" i="8" s="1"/>
  <c r="F757" i="8" s="1"/>
  <c r="AC360" i="2"/>
  <c r="AC860" i="8" s="1"/>
  <c r="AC861" i="8" s="1"/>
  <c r="AD1344" i="8"/>
  <c r="AD1345" i="8" s="1"/>
  <c r="AE1000" i="8"/>
  <c r="AE1001" i="8" s="1"/>
  <c r="F1001" i="8" s="1"/>
  <c r="AE731" i="2"/>
  <c r="AE753" i="2" s="1"/>
  <c r="AE742" i="2"/>
  <c r="AC788" i="2"/>
  <c r="AC1336" i="8" s="1"/>
  <c r="AC1337" i="8" s="1"/>
  <c r="AD816" i="8"/>
  <c r="AD817" i="8" s="1"/>
  <c r="AD369" i="2"/>
  <c r="AD888" i="8" s="1"/>
  <c r="AD889" i="8" s="1"/>
  <c r="AD398" i="2"/>
  <c r="AD972" i="8" s="1"/>
  <c r="AD973" i="8" s="1"/>
  <c r="AC799" i="2"/>
  <c r="AC1296" i="8"/>
  <c r="AC1297" i="8" s="1"/>
  <c r="AD1200" i="8"/>
  <c r="AD1201" i="8" s="1"/>
  <c r="AD765" i="2"/>
  <c r="AD1272" i="8" s="1"/>
  <c r="AD1273" i="8" s="1"/>
  <c r="AD794" i="2"/>
  <c r="AD1356" i="8" s="1"/>
  <c r="AD1357" i="8" s="1"/>
  <c r="AE347" i="2"/>
  <c r="AE620" i="8"/>
  <c r="AE621" i="8" s="1"/>
  <c r="F621" i="8" s="1"/>
  <c r="AE336" i="2"/>
  <c r="AE358" i="2" s="1"/>
  <c r="AE1152" i="8"/>
  <c r="AE1153" i="8" s="1"/>
  <c r="F1153" i="8" s="1"/>
  <c r="AC770" i="2"/>
  <c r="AC1292" i="8" s="1"/>
  <c r="AC1293" i="8" s="1"/>
  <c r="AB1296" i="8"/>
  <c r="AB1297" i="8" s="1"/>
  <c r="AB778" i="2"/>
  <c r="AB1316" i="8" s="1"/>
  <c r="AB1317" i="8" s="1"/>
  <c r="AD1212" i="8"/>
  <c r="AD1213" i="8" s="1"/>
  <c r="AD797" i="2"/>
  <c r="AD1368" i="8" s="1"/>
  <c r="AD1369" i="8" s="1"/>
  <c r="AD768" i="2"/>
  <c r="AD1284" i="8" s="1"/>
  <c r="AD1285" i="8" s="1"/>
  <c r="AD780" i="8"/>
  <c r="AD781" i="8" s="1"/>
  <c r="AD852" i="8"/>
  <c r="AD853" i="8" s="1"/>
  <c r="AC784" i="2"/>
  <c r="AE1188" i="8"/>
  <c r="AE1189" i="8" s="1"/>
  <c r="F1189" i="8" s="1"/>
  <c r="AE762" i="2"/>
  <c r="AE791" i="2"/>
  <c r="AE1004" i="8"/>
  <c r="AE1005" i="8" s="1"/>
  <c r="F1005" i="8" s="1"/>
  <c r="AE732" i="2"/>
  <c r="AE754" i="2" s="1"/>
  <c r="AE743" i="2"/>
  <c r="AE1204" i="8"/>
  <c r="AE1205" i="8" s="1"/>
  <c r="F1205" i="8" s="1"/>
  <c r="AE766" i="2"/>
  <c r="AE1276" i="8" s="1"/>
  <c r="AE1277" i="8" s="1"/>
  <c r="F1277" i="8" s="1"/>
  <c r="AE795" i="2"/>
  <c r="AE1360" i="8" s="1"/>
  <c r="AE1361" i="8" s="1"/>
  <c r="F1361" i="8" s="1"/>
  <c r="AD1156" i="8"/>
  <c r="AD1157" i="8" s="1"/>
  <c r="AD1228" i="8"/>
  <c r="AD1229" i="8" s="1"/>
  <c r="AC774" i="2"/>
  <c r="AC1300" i="8" s="1"/>
  <c r="AC1301" i="8" s="1"/>
  <c r="AE820" i="8"/>
  <c r="AE821" i="8" s="1"/>
  <c r="F821" i="8" s="1"/>
  <c r="AE370" i="2"/>
  <c r="AE892" i="8" s="1"/>
  <c r="AE893" i="8" s="1"/>
  <c r="F893" i="8" s="1"/>
  <c r="AE399" i="2"/>
  <c r="AE976" i="8" s="1"/>
  <c r="AE977" i="8" s="1"/>
  <c r="F977" i="8" s="1"/>
  <c r="AD773" i="2"/>
  <c r="AD828" i="8"/>
  <c r="AD829" i="8" s="1"/>
  <c r="AE792" i="8"/>
  <c r="AE793" i="8" s="1"/>
  <c r="F793" i="8" s="1"/>
  <c r="AE363" i="2"/>
  <c r="AE392" i="2"/>
  <c r="AD1160" i="8"/>
  <c r="AD1161" i="8" s="1"/>
  <c r="AD1232" i="8"/>
  <c r="AD1233" i="8" s="1"/>
  <c r="AD1164" i="8"/>
  <c r="AD1165" i="8" s="1"/>
  <c r="AD1236" i="8"/>
  <c r="AD1237" i="8" s="1"/>
  <c r="AE1168" i="8"/>
  <c r="AE1169" i="8" s="1"/>
  <c r="F1169" i="8" s="1"/>
  <c r="AE1240" i="8"/>
  <c r="AE1241" i="8" s="1"/>
  <c r="F1241" i="8" s="1"/>
  <c r="AC924" i="8"/>
  <c r="AC925" i="8" s="1"/>
  <c r="AC390" i="2"/>
  <c r="AC944" i="8" s="1"/>
  <c r="AD1192" i="8"/>
  <c r="AD1193" i="8" s="1"/>
  <c r="AD763" i="2"/>
  <c r="AD1264" i="8" s="1"/>
  <c r="AD1265" i="8" s="1"/>
  <c r="AD792" i="2"/>
  <c r="AD1348" i="8" s="1"/>
  <c r="AD1349" i="8" s="1"/>
  <c r="AD768" i="8"/>
  <c r="AD769" i="8" s="1"/>
  <c r="AD840" i="8"/>
  <c r="AD841" i="8" s="1"/>
  <c r="AD378" i="2"/>
  <c r="AD916" i="8" s="1"/>
  <c r="AD917" i="8" s="1"/>
  <c r="Z183" i="2"/>
  <c r="AB1320" i="8"/>
  <c r="AB1321" i="8" s="1"/>
  <c r="AB789" i="2"/>
  <c r="AB1340" i="8" s="1"/>
  <c r="AE996" i="8"/>
  <c r="AE997" i="8" s="1"/>
  <c r="F997" i="8" s="1"/>
  <c r="AE741" i="2"/>
  <c r="AE730" i="2"/>
  <c r="AE752" i="2" s="1"/>
  <c r="AD387" i="2"/>
  <c r="AD932" i="8" s="1"/>
  <c r="AD933" i="8" s="1"/>
  <c r="AD804" i="8"/>
  <c r="AD805" i="8" s="1"/>
  <c r="AD395" i="2"/>
  <c r="AD960" i="8" s="1"/>
  <c r="AD961" i="8" s="1"/>
  <c r="AD366" i="2"/>
  <c r="AD876" i="8" s="1"/>
  <c r="AD877" i="8" s="1"/>
  <c r="AE784" i="8"/>
  <c r="AE785" i="8" s="1"/>
  <c r="F785" i="8" s="1"/>
  <c r="AE856" i="8"/>
  <c r="AE857" i="8" s="1"/>
  <c r="F857" i="8" s="1"/>
  <c r="AE376" i="2"/>
  <c r="AE908" i="8" s="1"/>
  <c r="AE909" i="8" s="1"/>
  <c r="AD864" i="8"/>
  <c r="AD865" i="8" s="1"/>
  <c r="AE1172" i="8"/>
  <c r="AE1173" i="8" s="1"/>
  <c r="F1173" i="8" s="1"/>
  <c r="AE1244" i="8"/>
  <c r="AE1245" i="8" s="1"/>
  <c r="F1245" i="8" s="1"/>
  <c r="AC400" i="2"/>
  <c r="AD375" i="2"/>
  <c r="AD904" i="8" s="1"/>
  <c r="AD905" i="8" s="1"/>
  <c r="AE608" i="8"/>
  <c r="AE609" i="8" s="1"/>
  <c r="F609" i="8" s="1"/>
  <c r="AE344" i="2"/>
  <c r="AE333" i="2"/>
  <c r="AE764" i="8"/>
  <c r="AE765" i="8" s="1"/>
  <c r="F765" i="8" s="1"/>
  <c r="AE836" i="8"/>
  <c r="AE837" i="8" s="1"/>
  <c r="F837" i="8" s="1"/>
  <c r="AD376" i="2"/>
  <c r="AD908" i="8" s="1"/>
  <c r="AD909" i="8" s="1"/>
  <c r="AE1208" i="8"/>
  <c r="AE1209" i="8" s="1"/>
  <c r="F1209" i="8" s="1"/>
  <c r="AE767" i="2"/>
  <c r="AE1280" i="8" s="1"/>
  <c r="AE1281" i="8" s="1"/>
  <c r="F1281" i="8" s="1"/>
  <c r="AE796" i="2"/>
  <c r="AE1364" i="8" s="1"/>
  <c r="AE1365" i="8" s="1"/>
  <c r="F1365" i="8" s="1"/>
  <c r="AE786" i="2"/>
  <c r="AE1328" i="8" s="1"/>
  <c r="AE1329" i="8" s="1"/>
  <c r="F1329" i="8" s="1"/>
  <c r="AD338" i="2"/>
  <c r="AD788" i="8" s="1"/>
  <c r="AD789" i="8" s="1"/>
  <c r="AD737" i="2"/>
  <c r="AD1184" i="8" s="1"/>
  <c r="AD1185" i="8" s="1"/>
  <c r="AE800" i="8"/>
  <c r="AE801" i="8" s="1"/>
  <c r="F801" i="8" s="1"/>
  <c r="AE365" i="2"/>
  <c r="AE872" i="8" s="1"/>
  <c r="AE873" i="8" s="1"/>
  <c r="F873" i="8" s="1"/>
  <c r="AE394" i="2"/>
  <c r="AE956" i="8" s="1"/>
  <c r="AE957" i="8" s="1"/>
  <c r="F957" i="8" s="1"/>
  <c r="AC57" i="2"/>
  <c r="AB19" i="8"/>
  <c r="AB20" i="8" s="1"/>
  <c r="AC242" i="2"/>
  <c r="AB147" i="8"/>
  <c r="AB148" i="8" s="1"/>
  <c r="AC519" i="2"/>
  <c r="AB211" i="8"/>
  <c r="AB212" i="8" s="1"/>
  <c r="AC576" i="2"/>
  <c r="AB235" i="8"/>
  <c r="AB236" i="8" s="1"/>
  <c r="AC234" i="2"/>
  <c r="AB243" i="2"/>
  <c r="AB115" i="8"/>
  <c r="AB116" i="8" s="1"/>
  <c r="AC579" i="2"/>
  <c r="AB247" i="8"/>
  <c r="AB248" i="8" s="1"/>
  <c r="AB176" i="2"/>
  <c r="AA87" i="8"/>
  <c r="AA88" i="8" s="1"/>
  <c r="AC633" i="2"/>
  <c r="AB259" i="8"/>
  <c r="AB260" i="8" s="1"/>
  <c r="AC62" i="2"/>
  <c r="AB39" i="8"/>
  <c r="AB40" i="8" s="1"/>
  <c r="AB580" i="2"/>
  <c r="AA251" i="8"/>
  <c r="AA252" i="8" s="1"/>
  <c r="AC240" i="2"/>
  <c r="AB139" i="8"/>
  <c r="AB140" i="8" s="1"/>
  <c r="AC516" i="2"/>
  <c r="AB199" i="8"/>
  <c r="AB200" i="8" s="1"/>
  <c r="AB178" i="2"/>
  <c r="AA95" i="8"/>
  <c r="AA96" i="8" s="1"/>
  <c r="AC119" i="2"/>
  <c r="AB63" i="8"/>
  <c r="AB64" i="8" s="1"/>
  <c r="AC456" i="2"/>
  <c r="AB163" i="8"/>
  <c r="AB164" i="8" s="1"/>
  <c r="AC120" i="2"/>
  <c r="AB67" i="8"/>
  <c r="AB68" i="8" s="1"/>
  <c r="AB179" i="2"/>
  <c r="AA99" i="8"/>
  <c r="AA100" i="8" s="1"/>
  <c r="AC122" i="2"/>
  <c r="AB75" i="8"/>
  <c r="AB76" i="8" s="1"/>
  <c r="AC121" i="2"/>
  <c r="AB71" i="8"/>
  <c r="AB72" i="8" s="1"/>
  <c r="AC514" i="2"/>
  <c r="AB191" i="8"/>
  <c r="AB192" i="8" s="1"/>
  <c r="AC239" i="2"/>
  <c r="AB135" i="8"/>
  <c r="AB136" i="8" s="1"/>
  <c r="AB181" i="2"/>
  <c r="AA107" i="8"/>
  <c r="AA108" i="8" s="1"/>
  <c r="AC116" i="2"/>
  <c r="AB51" i="8"/>
  <c r="AB52" i="8" s="1"/>
  <c r="AC235" i="2"/>
  <c r="AB119" i="8"/>
  <c r="AB120" i="8" s="1"/>
  <c r="AC61" i="2"/>
  <c r="AB35" i="8"/>
  <c r="AB36" i="8" s="1"/>
  <c r="AB634" i="2"/>
  <c r="AA263" i="8"/>
  <c r="AA264" i="8" s="1"/>
  <c r="AB174" i="2"/>
  <c r="AA79" i="8"/>
  <c r="AA80" i="8" s="1"/>
  <c r="AC515" i="2"/>
  <c r="AB195" i="8"/>
  <c r="AB196" i="8" s="1"/>
  <c r="AB637" i="2"/>
  <c r="AA275" i="8"/>
  <c r="AA276" i="8" s="1"/>
  <c r="AC115" i="2"/>
  <c r="AB47" i="8"/>
  <c r="AB48" i="8" s="1"/>
  <c r="AB460" i="2"/>
  <c r="AA179" i="8"/>
  <c r="AA180" i="8" s="1"/>
  <c r="AB574" i="2"/>
  <c r="AA227" i="8"/>
  <c r="AA228" i="8" s="1"/>
  <c r="AC520" i="2"/>
  <c r="AB215" i="8"/>
  <c r="AB216" i="8" s="1"/>
  <c r="AB577" i="2"/>
  <c r="AA239" i="8"/>
  <c r="AA240" i="8" s="1"/>
  <c r="AC461" i="2"/>
  <c r="AB183" i="8"/>
  <c r="AB184" i="8" s="1"/>
  <c r="AC54" i="2"/>
  <c r="AB63" i="2"/>
  <c r="AB7" i="8"/>
  <c r="AB8" i="8" s="1"/>
  <c r="AB639" i="2"/>
  <c r="AA283" i="8"/>
  <c r="AA284" i="8" s="1"/>
  <c r="AC238" i="2"/>
  <c r="AB131" i="8"/>
  <c r="AB132" i="8" s="1"/>
  <c r="AB641" i="2"/>
  <c r="AA291" i="8"/>
  <c r="AA292" i="8" s="1"/>
  <c r="AC114" i="2"/>
  <c r="AB123" i="2"/>
  <c r="AB43" i="8"/>
  <c r="AB44" i="8" s="1"/>
  <c r="AC458" i="2"/>
  <c r="AB171" i="8"/>
  <c r="AB172" i="8" s="1"/>
  <c r="AB459" i="2"/>
  <c r="AA175" i="8"/>
  <c r="AA176" i="8" s="1"/>
  <c r="AC58" i="2"/>
  <c r="AB23" i="8"/>
  <c r="AB24" i="8" s="1"/>
  <c r="AC575" i="2"/>
  <c r="AB231" i="8"/>
  <c r="AB232" i="8" s="1"/>
  <c r="AB636" i="2"/>
  <c r="AA271" i="8"/>
  <c r="AA272" i="8" s="1"/>
  <c r="AA180" i="2"/>
  <c r="Z103" i="8"/>
  <c r="Z104" i="8" s="1"/>
  <c r="AB182" i="2"/>
  <c r="AA111" i="8"/>
  <c r="AA112" i="8" s="1"/>
  <c r="AC237" i="2"/>
  <c r="AB127" i="8"/>
  <c r="AB128" i="8" s="1"/>
  <c r="AC236" i="2"/>
  <c r="AB123" i="8"/>
  <c r="AB124" i="8" s="1"/>
  <c r="AC521" i="2"/>
  <c r="AB219" i="8"/>
  <c r="AB220" i="8" s="1"/>
  <c r="AC118" i="2"/>
  <c r="AB59" i="8"/>
  <c r="AB60" i="8" s="1"/>
  <c r="AC517" i="2"/>
  <c r="AB203" i="8"/>
  <c r="AB204" i="8" s="1"/>
  <c r="AB578" i="2"/>
  <c r="AA243" i="8"/>
  <c r="AA244" i="8" s="1"/>
  <c r="AC518" i="2"/>
  <c r="AB207" i="8"/>
  <c r="AB208" i="8" s="1"/>
  <c r="AA175" i="2"/>
  <c r="Z83" i="8"/>
  <c r="Z84" i="8" s="1"/>
  <c r="AC55" i="2"/>
  <c r="AB11" i="8"/>
  <c r="AB12" i="8" s="1"/>
  <c r="AC581" i="2"/>
  <c r="AB255" i="8"/>
  <c r="AB256" i="8" s="1"/>
  <c r="AC59" i="2"/>
  <c r="AB27" i="8"/>
  <c r="AB28" i="8" s="1"/>
  <c r="AD117" i="2"/>
  <c r="AC55" i="8"/>
  <c r="AC56" i="8" s="1"/>
  <c r="AC457" i="2"/>
  <c r="AB167" i="8"/>
  <c r="AB168" i="8" s="1"/>
  <c r="AC60" i="2"/>
  <c r="AB31" i="8"/>
  <c r="AB32" i="8" s="1"/>
  <c r="AB640" i="2"/>
  <c r="AA287" i="8"/>
  <c r="AA288" i="8" s="1"/>
  <c r="AB177" i="2"/>
  <c r="AA91" i="8"/>
  <c r="AA92" i="8" s="1"/>
  <c r="AC453" i="2"/>
  <c r="AB151" i="8"/>
  <c r="AB152" i="8" s="1"/>
  <c r="AC455" i="2"/>
  <c r="AB159" i="8"/>
  <c r="AB160" i="8" s="1"/>
  <c r="AC241" i="2"/>
  <c r="AB143" i="8"/>
  <c r="AB144" i="8" s="1"/>
  <c r="AC56" i="2"/>
  <c r="AB15" i="8"/>
  <c r="AB16" i="8" s="1"/>
  <c r="AB635" i="2"/>
  <c r="AA267" i="8"/>
  <c r="AA268" i="8" s="1"/>
  <c r="AC900" i="8" l="1"/>
  <c r="AC901" i="8" s="1"/>
  <c r="Z155" i="8"/>
  <c r="Z156" i="8" s="1"/>
  <c r="AA454" i="2"/>
  <c r="Z462" i="2"/>
  <c r="AE338" i="2"/>
  <c r="AE788" i="8" s="1"/>
  <c r="AE789" i="8" s="1"/>
  <c r="F789" i="8" s="1"/>
  <c r="AE355" i="2"/>
  <c r="AE387" i="2"/>
  <c r="AE932" i="8" s="1"/>
  <c r="AE933" i="8" s="1"/>
  <c r="Z642" i="2"/>
  <c r="AA638" i="2"/>
  <c r="Z279" i="8"/>
  <c r="Z280" i="8" s="1"/>
  <c r="AC980" i="8"/>
  <c r="AC981" i="8" s="1"/>
  <c r="AC250" i="2"/>
  <c r="AC1376" i="8"/>
  <c r="AC1377" i="8" s="1"/>
  <c r="AC649" i="2"/>
  <c r="AA573" i="2"/>
  <c r="Z582" i="2"/>
  <c r="Z223" i="8"/>
  <c r="Z224" i="8" s="1"/>
  <c r="AA513" i="2"/>
  <c r="Z522" i="2"/>
  <c r="Z187" i="8"/>
  <c r="Z188" i="8" s="1"/>
  <c r="AE386" i="2"/>
  <c r="AE928" i="8" s="1"/>
  <c r="AE929" i="8" s="1"/>
  <c r="F929" i="8" s="1"/>
  <c r="AE772" i="8"/>
  <c r="AE773" i="8" s="1"/>
  <c r="F773" i="8" s="1"/>
  <c r="AE844" i="8"/>
  <c r="AE845" i="8" s="1"/>
  <c r="F845" i="8" s="1"/>
  <c r="AE367" i="2"/>
  <c r="AE880" i="8" s="1"/>
  <c r="AE881" i="8" s="1"/>
  <c r="F881" i="8" s="1"/>
  <c r="AE396" i="2"/>
  <c r="AE964" i="8" s="1"/>
  <c r="AE965" i="8" s="1"/>
  <c r="F965" i="8" s="1"/>
  <c r="AE808" i="8"/>
  <c r="AE809" i="8" s="1"/>
  <c r="F809" i="8" s="1"/>
  <c r="AE375" i="2"/>
  <c r="AE904" i="8" s="1"/>
  <c r="AE905" i="8" s="1"/>
  <c r="F905" i="8" s="1"/>
  <c r="F909" i="8"/>
  <c r="AD759" i="2"/>
  <c r="AD1256" i="8" s="1"/>
  <c r="AD1257" i="8" s="1"/>
  <c r="AD385" i="2"/>
  <c r="AE804" i="8"/>
  <c r="AE805" i="8" s="1"/>
  <c r="F805" i="8" s="1"/>
  <c r="AE366" i="2"/>
  <c r="AE876" i="8" s="1"/>
  <c r="AE877" i="8" s="1"/>
  <c r="F877" i="8" s="1"/>
  <c r="AE395" i="2"/>
  <c r="AE960" i="8" s="1"/>
  <c r="AE961" i="8" s="1"/>
  <c r="F961" i="8" s="1"/>
  <c r="AE1164" i="8"/>
  <c r="AE1165" i="8" s="1"/>
  <c r="F1165" i="8" s="1"/>
  <c r="AE1236" i="8"/>
  <c r="AE1237" i="8" s="1"/>
  <c r="F1237" i="8" s="1"/>
  <c r="AD371" i="2"/>
  <c r="AD896" i="8" s="1"/>
  <c r="AD897" i="8" s="1"/>
  <c r="AD777" i="2"/>
  <c r="AD1312" i="8" s="1"/>
  <c r="AD1313" i="8" s="1"/>
  <c r="AC778" i="2"/>
  <c r="AC1316" i="8" s="1"/>
  <c r="AC1317" i="8" s="1"/>
  <c r="AE1160" i="8"/>
  <c r="AE1161" i="8" s="1"/>
  <c r="F1161" i="8" s="1"/>
  <c r="AE1232" i="8"/>
  <c r="AE1233" i="8" s="1"/>
  <c r="F1233" i="8" s="1"/>
  <c r="AE773" i="2"/>
  <c r="AD1296" i="8"/>
  <c r="AD1297" i="8" s="1"/>
  <c r="AE1200" i="8"/>
  <c r="AE1201" i="8" s="1"/>
  <c r="F1201" i="8" s="1"/>
  <c r="AE765" i="2"/>
  <c r="AE1272" i="8" s="1"/>
  <c r="AE1273" i="8" s="1"/>
  <c r="F1273" i="8" s="1"/>
  <c r="AE794" i="2"/>
  <c r="AE1356" i="8" s="1"/>
  <c r="AE1357" i="8" s="1"/>
  <c r="F1357" i="8" s="1"/>
  <c r="F933" i="8"/>
  <c r="AE1344" i="8"/>
  <c r="AE1345" i="8" s="1"/>
  <c r="F1345" i="8" s="1"/>
  <c r="AE1176" i="8"/>
  <c r="AE1177" i="8" s="1"/>
  <c r="F1177" i="8" s="1"/>
  <c r="AE1248" i="8"/>
  <c r="AE1249" i="8" s="1"/>
  <c r="F1249" i="8" s="1"/>
  <c r="AE1212" i="8"/>
  <c r="AE1213" i="8" s="1"/>
  <c r="F1213" i="8" s="1"/>
  <c r="AE768" i="2"/>
  <c r="AE1284" i="8" s="1"/>
  <c r="AE1285" i="8" s="1"/>
  <c r="F1285" i="8" s="1"/>
  <c r="AE797" i="2"/>
  <c r="AE1368" i="8" s="1"/>
  <c r="AE1369" i="8" s="1"/>
  <c r="F1369" i="8" s="1"/>
  <c r="AE737" i="2"/>
  <c r="AE1184" i="8" s="1"/>
  <c r="AE1185" i="8" s="1"/>
  <c r="F1185" i="8" s="1"/>
  <c r="AD924" i="8"/>
  <c r="AD925" i="8" s="1"/>
  <c r="AE349" i="2"/>
  <c r="AE824" i="8" s="1"/>
  <c r="AE825" i="8" s="1"/>
  <c r="F825" i="8" s="1"/>
  <c r="AE1224" i="8"/>
  <c r="AE1225" i="8" s="1"/>
  <c r="F1225" i="8" s="1"/>
  <c r="AE1196" i="8"/>
  <c r="AE1197" i="8" s="1"/>
  <c r="F1197" i="8" s="1"/>
  <c r="AE793" i="2"/>
  <c r="AE1352" i="8" s="1"/>
  <c r="AE1353" i="8" s="1"/>
  <c r="F1353" i="8" s="1"/>
  <c r="AE764" i="2"/>
  <c r="AE1268" i="8" s="1"/>
  <c r="AE1269" i="8" s="1"/>
  <c r="F1269" i="8" s="1"/>
  <c r="AE816" i="8"/>
  <c r="AE817" i="8" s="1"/>
  <c r="F817" i="8" s="1"/>
  <c r="AE369" i="2"/>
  <c r="AE888" i="8" s="1"/>
  <c r="AE889" i="8" s="1"/>
  <c r="F889" i="8" s="1"/>
  <c r="AE398" i="2"/>
  <c r="AE972" i="8" s="1"/>
  <c r="AE973" i="8" s="1"/>
  <c r="F973" i="8" s="1"/>
  <c r="AE385" i="2"/>
  <c r="AE1260" i="8"/>
  <c r="AE1261" i="8" s="1"/>
  <c r="F1261" i="8" s="1"/>
  <c r="AE828" i="8"/>
  <c r="AE829" i="8" s="1"/>
  <c r="F829" i="8" s="1"/>
  <c r="AD389" i="2"/>
  <c r="AD940" i="8" s="1"/>
  <c r="AD941" i="8" s="1"/>
  <c r="AE948" i="8"/>
  <c r="AE949" i="8" s="1"/>
  <c r="F949" i="8" s="1"/>
  <c r="AC1320" i="8"/>
  <c r="AC1321" i="8" s="1"/>
  <c r="AC789" i="2"/>
  <c r="AC1340" i="8" s="1"/>
  <c r="AD400" i="2"/>
  <c r="AE748" i="2"/>
  <c r="AE1220" i="8" s="1"/>
  <c r="AE1221" i="8" s="1"/>
  <c r="F1221" i="8" s="1"/>
  <c r="AD770" i="2"/>
  <c r="AD1292" i="8" s="1"/>
  <c r="AD1293" i="8" s="1"/>
  <c r="AE768" i="8"/>
  <c r="AE769" i="8" s="1"/>
  <c r="F769" i="8" s="1"/>
  <c r="AE840" i="8"/>
  <c r="AE841" i="8" s="1"/>
  <c r="F841" i="8" s="1"/>
  <c r="AE378" i="2"/>
  <c r="AE916" i="8" s="1"/>
  <c r="AE917" i="8" s="1"/>
  <c r="F917" i="8" s="1"/>
  <c r="AE864" i="8"/>
  <c r="AE865" i="8" s="1"/>
  <c r="F865" i="8" s="1"/>
  <c r="AD374" i="2"/>
  <c r="AE780" i="8"/>
  <c r="AE781" i="8" s="1"/>
  <c r="F781" i="8" s="1"/>
  <c r="AE852" i="8"/>
  <c r="AE853" i="8" s="1"/>
  <c r="F853" i="8" s="1"/>
  <c r="AE1156" i="8"/>
  <c r="AE1157" i="8" s="1"/>
  <c r="F1157" i="8" s="1"/>
  <c r="AE1228" i="8"/>
  <c r="AE1229" i="8" s="1"/>
  <c r="F1229" i="8" s="1"/>
  <c r="AD360" i="2"/>
  <c r="AD860" i="8" s="1"/>
  <c r="AD861" i="8" s="1"/>
  <c r="AD784" i="2"/>
  <c r="AD788" i="2"/>
  <c r="AD1336" i="8" s="1"/>
  <c r="AD1337" i="8" s="1"/>
  <c r="AD774" i="2"/>
  <c r="AD1300" i="8" s="1"/>
  <c r="AD1301" i="8" s="1"/>
  <c r="AE1192" i="8"/>
  <c r="AE1193" i="8" s="1"/>
  <c r="F1193" i="8" s="1"/>
  <c r="AE763" i="2"/>
  <c r="AE1264" i="8" s="1"/>
  <c r="AE1265" i="8" s="1"/>
  <c r="F1265" i="8" s="1"/>
  <c r="AE792" i="2"/>
  <c r="AE1348" i="8" s="1"/>
  <c r="AE1349" i="8" s="1"/>
  <c r="F1349" i="8" s="1"/>
  <c r="AD799" i="2"/>
  <c r="AD785" i="2"/>
  <c r="AD1324" i="8" s="1"/>
  <c r="AD1325" i="8" s="1"/>
  <c r="AA183" i="2"/>
  <c r="AD57" i="2"/>
  <c r="AC19" i="8"/>
  <c r="AC20" i="8" s="1"/>
  <c r="AD118" i="2"/>
  <c r="AC59" i="8"/>
  <c r="AC60" i="8" s="1"/>
  <c r="AD575" i="2"/>
  <c r="AC231" i="8"/>
  <c r="AC232" i="8" s="1"/>
  <c r="AD514" i="2"/>
  <c r="AC191" i="8"/>
  <c r="AC192" i="8" s="1"/>
  <c r="AC178" i="2"/>
  <c r="AB95" i="8"/>
  <c r="AB96" i="8" s="1"/>
  <c r="AD239" i="2"/>
  <c r="AC135" i="8"/>
  <c r="AC136" i="8" s="1"/>
  <c r="AC635" i="2"/>
  <c r="AB267" i="8"/>
  <c r="AB268" i="8" s="1"/>
  <c r="AD55" i="2"/>
  <c r="AC11" i="8"/>
  <c r="AC12" i="8" s="1"/>
  <c r="AD121" i="2"/>
  <c r="AC71" i="8"/>
  <c r="AC72" i="8" s="1"/>
  <c r="AD516" i="2"/>
  <c r="AC199" i="8"/>
  <c r="AC200" i="8" s="1"/>
  <c r="AD56" i="2"/>
  <c r="AC15" i="8"/>
  <c r="AC16" i="8" s="1"/>
  <c r="AC640" i="2"/>
  <c r="AB287" i="8"/>
  <c r="AB288" i="8" s="1"/>
  <c r="AB175" i="2"/>
  <c r="AA83" i="8"/>
  <c r="AA84" i="8" s="1"/>
  <c r="AC574" i="2"/>
  <c r="AB227" i="8"/>
  <c r="AB228" i="8" s="1"/>
  <c r="AC174" i="2"/>
  <c r="AB79" i="8"/>
  <c r="AB80" i="8" s="1"/>
  <c r="AC177" i="2"/>
  <c r="AB91" i="8"/>
  <c r="AB92" i="8" s="1"/>
  <c r="AD236" i="2"/>
  <c r="AC123" i="8"/>
  <c r="AC124" i="8" s="1"/>
  <c r="AC459" i="2"/>
  <c r="AB175" i="8"/>
  <c r="AB176" i="8" s="1"/>
  <c r="AD54" i="2"/>
  <c r="AC63" i="2"/>
  <c r="AC7" i="8"/>
  <c r="AC8" i="8" s="1"/>
  <c r="AD61" i="2"/>
  <c r="AC35" i="8"/>
  <c r="AC36" i="8" s="1"/>
  <c r="AD122" i="2"/>
  <c r="AC75" i="8"/>
  <c r="AC76" i="8" s="1"/>
  <c r="AD240" i="2"/>
  <c r="AC139" i="8"/>
  <c r="AC140" i="8" s="1"/>
  <c r="AD234" i="2"/>
  <c r="AC243" i="2"/>
  <c r="AC115" i="8"/>
  <c r="AC116" i="8" s="1"/>
  <c r="AC176" i="2"/>
  <c r="AB87" i="8"/>
  <c r="AB88" i="8" s="1"/>
  <c r="AC639" i="2"/>
  <c r="AB283" i="8"/>
  <c r="AB284" i="8" s="1"/>
  <c r="AD521" i="2"/>
  <c r="AC219" i="8"/>
  <c r="AC220" i="8" s="1"/>
  <c r="AC634" i="2"/>
  <c r="AB263" i="8"/>
  <c r="AB264" i="8" s="1"/>
  <c r="AD60" i="2"/>
  <c r="AC31" i="8"/>
  <c r="AC32" i="8" s="1"/>
  <c r="AD518" i="2"/>
  <c r="AC207" i="8"/>
  <c r="AC208" i="8" s="1"/>
  <c r="AC460" i="2"/>
  <c r="AB179" i="8"/>
  <c r="AB180" i="8" s="1"/>
  <c r="AD581" i="2"/>
  <c r="AC255" i="8"/>
  <c r="AC256" i="8" s="1"/>
  <c r="AD579" i="2"/>
  <c r="AC247" i="8"/>
  <c r="AC248" i="8" s="1"/>
  <c r="AD58" i="2"/>
  <c r="AC23" i="8"/>
  <c r="AC24" i="8" s="1"/>
  <c r="AD241" i="2"/>
  <c r="AC143" i="8"/>
  <c r="AC144" i="8" s="1"/>
  <c r="AD237" i="2"/>
  <c r="AC127" i="8"/>
  <c r="AC128" i="8" s="1"/>
  <c r="AD458" i="2"/>
  <c r="AC171" i="8"/>
  <c r="AC172" i="8" s="1"/>
  <c r="AD235" i="2"/>
  <c r="AC119" i="8"/>
  <c r="AC120" i="8" s="1"/>
  <c r="AC179" i="2"/>
  <c r="AB99" i="8"/>
  <c r="AB100" i="8" s="1"/>
  <c r="AC580" i="2"/>
  <c r="AB251" i="8"/>
  <c r="AB252" i="8" s="1"/>
  <c r="AD576" i="2"/>
  <c r="AC235" i="8"/>
  <c r="AC236" i="8" s="1"/>
  <c r="AD517" i="2"/>
  <c r="AC203" i="8"/>
  <c r="AC204" i="8" s="1"/>
  <c r="AD119" i="2"/>
  <c r="AC63" i="8"/>
  <c r="AC64" i="8" s="1"/>
  <c r="AD238" i="2"/>
  <c r="AC131" i="8"/>
  <c r="AC132" i="8" s="1"/>
  <c r="AD115" i="2"/>
  <c r="AC47" i="8"/>
  <c r="AC48" i="8" s="1"/>
  <c r="AC636" i="2"/>
  <c r="AB271" i="8"/>
  <c r="AB272" i="8" s="1"/>
  <c r="AD457" i="2"/>
  <c r="AC167" i="8"/>
  <c r="AC168" i="8" s="1"/>
  <c r="AC182" i="2"/>
  <c r="AB111" i="8"/>
  <c r="AB112" i="8" s="1"/>
  <c r="AD461" i="2"/>
  <c r="AC183" i="8"/>
  <c r="AC184" i="8" s="1"/>
  <c r="AD116" i="2"/>
  <c r="AC51" i="8"/>
  <c r="AC52" i="8" s="1"/>
  <c r="AD120" i="2"/>
  <c r="AC67" i="8"/>
  <c r="AC68" i="8" s="1"/>
  <c r="AD62" i="2"/>
  <c r="AC39" i="8"/>
  <c r="AC40" i="8" s="1"/>
  <c r="AD519" i="2"/>
  <c r="AC211" i="8"/>
  <c r="AC212" i="8" s="1"/>
  <c r="AC637" i="2"/>
  <c r="AB275" i="8"/>
  <c r="AB276" i="8" s="1"/>
  <c r="AD520" i="2"/>
  <c r="AC215" i="8"/>
  <c r="AC216" i="8" s="1"/>
  <c r="AD455" i="2"/>
  <c r="AC159" i="8"/>
  <c r="AC160" i="8" s="1"/>
  <c r="AE117" i="2"/>
  <c r="AE55" i="8" s="1"/>
  <c r="AE56" i="8" s="1"/>
  <c r="AD55" i="8"/>
  <c r="AD56" i="8" s="1"/>
  <c r="AC123" i="2"/>
  <c r="AD114" i="2"/>
  <c r="AC43" i="8"/>
  <c r="AC44" i="8" s="1"/>
  <c r="AC578" i="2"/>
  <c r="AB243" i="8"/>
  <c r="AB244" i="8" s="1"/>
  <c r="AB180" i="2"/>
  <c r="AA103" i="8"/>
  <c r="AA104" i="8" s="1"/>
  <c r="AC577" i="2"/>
  <c r="AB239" i="8"/>
  <c r="AB240" i="8" s="1"/>
  <c r="AC181" i="2"/>
  <c r="AB107" i="8"/>
  <c r="AB108" i="8" s="1"/>
  <c r="AD456" i="2"/>
  <c r="AC163" i="8"/>
  <c r="AC164" i="8" s="1"/>
  <c r="AD242" i="2"/>
  <c r="AC147" i="8"/>
  <c r="AC148" i="8" s="1"/>
  <c r="AD453" i="2"/>
  <c r="AC151" i="8"/>
  <c r="AC152" i="8" s="1"/>
  <c r="AD59" i="2"/>
  <c r="AC27" i="8"/>
  <c r="AC28" i="8" s="1"/>
  <c r="AC641" i="2"/>
  <c r="AB291" i="8"/>
  <c r="AB292" i="8" s="1"/>
  <c r="AD515" i="2"/>
  <c r="AC195" i="8"/>
  <c r="AC196" i="8" s="1"/>
  <c r="AD633" i="2"/>
  <c r="AC259" i="8"/>
  <c r="AC260" i="8" s="1"/>
  <c r="AE788" i="2" l="1"/>
  <c r="AE1336" i="8" s="1"/>
  <c r="AE1337" i="8" s="1"/>
  <c r="AB573" i="2"/>
  <c r="AA582" i="2"/>
  <c r="AA223" i="8"/>
  <c r="AA224" i="8" s="1"/>
  <c r="AA279" i="8"/>
  <c r="AA280" i="8" s="1"/>
  <c r="AA642" i="2"/>
  <c r="AB638" i="2"/>
  <c r="AD1376" i="8"/>
  <c r="AD1377" i="8" s="1"/>
  <c r="AD649" i="2"/>
  <c r="AA187" i="8"/>
  <c r="AA188" i="8" s="1"/>
  <c r="AB513" i="2"/>
  <c r="AA522" i="2"/>
  <c r="AB454" i="2"/>
  <c r="AA155" i="8"/>
  <c r="AA156" i="8" s="1"/>
  <c r="AA462" i="2"/>
  <c r="AD980" i="8"/>
  <c r="AD981" i="8" s="1"/>
  <c r="AD250" i="2"/>
  <c r="AD390" i="2"/>
  <c r="AD944" i="8" s="1"/>
  <c r="AE374" i="2"/>
  <c r="AE777" i="2"/>
  <c r="AE1312" i="8" s="1"/>
  <c r="AE1313" i="8" s="1"/>
  <c r="AE400" i="2"/>
  <c r="F1313" i="8"/>
  <c r="AE759" i="2"/>
  <c r="AE1256" i="8" s="1"/>
  <c r="AE1257" i="8" s="1"/>
  <c r="F1257" i="8" s="1"/>
  <c r="AD1320" i="8"/>
  <c r="AD1321" i="8" s="1"/>
  <c r="AD789" i="2"/>
  <c r="AD1340" i="8" s="1"/>
  <c r="AE900" i="8"/>
  <c r="AE901" i="8" s="1"/>
  <c r="AE379" i="2"/>
  <c r="AE920" i="8" s="1"/>
  <c r="AE921" i="8" s="1"/>
  <c r="F921" i="8" s="1"/>
  <c r="F1337" i="8"/>
  <c r="AE784" i="2"/>
  <c r="AE799" i="2"/>
  <c r="AD900" i="8"/>
  <c r="AD901" i="8" s="1"/>
  <c r="AD379" i="2"/>
  <c r="AD920" i="8" s="1"/>
  <c r="AD921" i="8" s="1"/>
  <c r="AE389" i="2"/>
  <c r="AE940" i="8" s="1"/>
  <c r="AE941" i="8" s="1"/>
  <c r="F941" i="8" s="1"/>
  <c r="F56" i="8"/>
  <c r="AE371" i="2"/>
  <c r="AE896" i="8" s="1"/>
  <c r="AE897" i="8" s="1"/>
  <c r="F897" i="8" s="1"/>
  <c r="AE360" i="2"/>
  <c r="AE860" i="8" s="1"/>
  <c r="AE861" i="8" s="1"/>
  <c r="F861" i="8" s="1"/>
  <c r="AE774" i="2"/>
  <c r="AE1300" i="8" s="1"/>
  <c r="AE1301" i="8" s="1"/>
  <c r="F1301" i="8" s="1"/>
  <c r="AE770" i="2"/>
  <c r="AE1292" i="8" s="1"/>
  <c r="AE1293" i="8" s="1"/>
  <c r="F1293" i="8" s="1"/>
  <c r="AD778" i="2"/>
  <c r="AD1316" i="8" s="1"/>
  <c r="AD1317" i="8" s="1"/>
  <c r="AE785" i="2"/>
  <c r="AE1324" i="8" s="1"/>
  <c r="AE1325" i="8" s="1"/>
  <c r="F1325" i="8" s="1"/>
  <c r="AE924" i="8"/>
  <c r="AE925" i="8" s="1"/>
  <c r="F925" i="8" s="1"/>
  <c r="AE1296" i="8"/>
  <c r="AE1297" i="8" s="1"/>
  <c r="F1297" i="8" s="1"/>
  <c r="AE115" i="2"/>
  <c r="AE47" i="8" s="1"/>
  <c r="AE48" i="8" s="1"/>
  <c r="AD47" i="8"/>
  <c r="AD48" i="8" s="1"/>
  <c r="AD179" i="2"/>
  <c r="AC99" i="8"/>
  <c r="AC100" i="8" s="1"/>
  <c r="AE579" i="2"/>
  <c r="AE247" i="8" s="1"/>
  <c r="AE248" i="8" s="1"/>
  <c r="AD247" i="8"/>
  <c r="AD248" i="8" s="1"/>
  <c r="AE61" i="2"/>
  <c r="AE35" i="8" s="1"/>
  <c r="AE36" i="8" s="1"/>
  <c r="AD35" i="8"/>
  <c r="AD36" i="8" s="1"/>
  <c r="AD574" i="2"/>
  <c r="AC227" i="8"/>
  <c r="AC228" i="8" s="1"/>
  <c r="AD635" i="2"/>
  <c r="AC267" i="8"/>
  <c r="AC268" i="8" s="1"/>
  <c r="AE242" i="2"/>
  <c r="AE147" i="8" s="1"/>
  <c r="AE148" i="8" s="1"/>
  <c r="AD147" i="8"/>
  <c r="AD148" i="8" s="1"/>
  <c r="AE461" i="2"/>
  <c r="AE183" i="8" s="1"/>
  <c r="AE184" i="8" s="1"/>
  <c r="AD183" i="8"/>
  <c r="AD184" i="8" s="1"/>
  <c r="AD639" i="2"/>
  <c r="AC283" i="8"/>
  <c r="AC284" i="8" s="1"/>
  <c r="AE54" i="2"/>
  <c r="AD63" i="2"/>
  <c r="AD7" i="8"/>
  <c r="AD8" i="8" s="1"/>
  <c r="AE120" i="2"/>
  <c r="AE67" i="8" s="1"/>
  <c r="AE68" i="8" s="1"/>
  <c r="AD67" i="8"/>
  <c r="AD68" i="8" s="1"/>
  <c r="AE239" i="2"/>
  <c r="AE135" i="8" s="1"/>
  <c r="AE136" i="8" s="1"/>
  <c r="F136" i="8" s="1"/>
  <c r="AD135" i="8"/>
  <c r="AD136" i="8" s="1"/>
  <c r="AE238" i="2"/>
  <c r="AE131" i="8" s="1"/>
  <c r="AE132" i="8" s="1"/>
  <c r="AD131" i="8"/>
  <c r="AD132" i="8" s="1"/>
  <c r="AD460" i="2"/>
  <c r="AC179" i="8"/>
  <c r="AC180" i="8" s="1"/>
  <c r="AD640" i="2"/>
  <c r="AC287" i="8"/>
  <c r="AC288" i="8" s="1"/>
  <c r="AD178" i="2"/>
  <c r="AC95" i="8"/>
  <c r="AC96" i="8" s="1"/>
  <c r="AE455" i="2"/>
  <c r="AE159" i="8" s="1"/>
  <c r="AE160" i="8" s="1"/>
  <c r="AD159" i="8"/>
  <c r="AD160" i="8" s="1"/>
  <c r="AE515" i="2"/>
  <c r="AE195" i="8" s="1"/>
  <c r="AE196" i="8" s="1"/>
  <c r="AD195" i="8"/>
  <c r="AD196" i="8" s="1"/>
  <c r="AD181" i="2"/>
  <c r="AC107" i="8"/>
  <c r="AC108" i="8" s="1"/>
  <c r="AE520" i="2"/>
  <c r="AE215" i="8" s="1"/>
  <c r="AE216" i="8" s="1"/>
  <c r="AD215" i="8"/>
  <c r="AD216" i="8" s="1"/>
  <c r="AD182" i="2"/>
  <c r="AC111" i="8"/>
  <c r="AC112" i="8" s="1"/>
  <c r="AD176" i="2"/>
  <c r="AC87" i="8"/>
  <c r="AC88" i="8" s="1"/>
  <c r="AD459" i="2"/>
  <c r="AC175" i="8"/>
  <c r="AC176" i="8" s="1"/>
  <c r="AD641" i="2"/>
  <c r="AC291" i="8"/>
  <c r="AC292" i="8" s="1"/>
  <c r="AD577" i="2"/>
  <c r="AC239" i="8"/>
  <c r="AC240" i="8" s="1"/>
  <c r="AE119" i="2"/>
  <c r="AE63" i="8" s="1"/>
  <c r="AE64" i="8" s="1"/>
  <c r="AD63" i="8"/>
  <c r="AD64" i="8" s="1"/>
  <c r="AE458" i="2"/>
  <c r="AE171" i="8" s="1"/>
  <c r="AE172" i="8" s="1"/>
  <c r="AD171" i="8"/>
  <c r="AD172" i="8" s="1"/>
  <c r="AE518" i="2"/>
  <c r="AE207" i="8" s="1"/>
  <c r="AE208" i="8" s="1"/>
  <c r="AD207" i="8"/>
  <c r="AD208" i="8" s="1"/>
  <c r="AE56" i="2"/>
  <c r="AE15" i="8" s="1"/>
  <c r="AE16" i="8" s="1"/>
  <c r="AD15" i="8"/>
  <c r="AD16" i="8" s="1"/>
  <c r="AE514" i="2"/>
  <c r="AE191" i="8" s="1"/>
  <c r="AE192" i="8" s="1"/>
  <c r="AD191" i="8"/>
  <c r="AD192" i="8" s="1"/>
  <c r="AE581" i="2"/>
  <c r="AE255" i="8" s="1"/>
  <c r="AE256" i="8" s="1"/>
  <c r="AD255" i="8"/>
  <c r="AD256" i="8" s="1"/>
  <c r="AD637" i="2"/>
  <c r="AC275" i="8"/>
  <c r="AC276" i="8" s="1"/>
  <c r="AE236" i="2"/>
  <c r="AE123" i="8" s="1"/>
  <c r="AE124" i="8" s="1"/>
  <c r="AD123" i="8"/>
  <c r="AD124" i="8" s="1"/>
  <c r="AE456" i="2"/>
  <c r="AE163" i="8" s="1"/>
  <c r="AE164" i="8" s="1"/>
  <c r="AD163" i="8"/>
  <c r="AD164" i="8" s="1"/>
  <c r="AE235" i="2"/>
  <c r="AE119" i="8" s="1"/>
  <c r="AE120" i="8" s="1"/>
  <c r="AD119" i="8"/>
  <c r="AD120" i="8" s="1"/>
  <c r="AC175" i="2"/>
  <c r="AB83" i="8"/>
  <c r="AB84" i="8" s="1"/>
  <c r="AE59" i="2"/>
  <c r="AE27" i="8" s="1"/>
  <c r="AE28" i="8" s="1"/>
  <c r="AD27" i="8"/>
  <c r="AD28" i="8" s="1"/>
  <c r="AC180" i="2"/>
  <c r="AB103" i="8"/>
  <c r="AB104" i="8" s="1"/>
  <c r="AE517" i="2"/>
  <c r="AE203" i="8" s="1"/>
  <c r="AE204" i="8" s="1"/>
  <c r="AD203" i="8"/>
  <c r="AD204" i="8" s="1"/>
  <c r="AE237" i="2"/>
  <c r="AE127" i="8" s="1"/>
  <c r="AE128" i="8" s="1"/>
  <c r="AD127" i="8"/>
  <c r="AD128" i="8" s="1"/>
  <c r="AE60" i="2"/>
  <c r="AE31" i="8" s="1"/>
  <c r="AE32" i="8" s="1"/>
  <c r="AD31" i="8"/>
  <c r="AD32" i="8" s="1"/>
  <c r="AE234" i="2"/>
  <c r="AD243" i="2"/>
  <c r="AD115" i="8"/>
  <c r="AD116" i="8" s="1"/>
  <c r="AE516" i="2"/>
  <c r="AE199" i="8" s="1"/>
  <c r="AE200" i="8" s="1"/>
  <c r="AD199" i="8"/>
  <c r="AD200" i="8" s="1"/>
  <c r="AE575" i="2"/>
  <c r="AE231" i="8" s="1"/>
  <c r="AE232" i="8" s="1"/>
  <c r="AD231" i="8"/>
  <c r="AD232" i="8" s="1"/>
  <c r="AE633" i="2"/>
  <c r="AD259" i="8"/>
  <c r="AD260" i="8" s="1"/>
  <c r="AE116" i="2"/>
  <c r="AE51" i="8" s="1"/>
  <c r="AE52" i="8" s="1"/>
  <c r="AD51" i="8"/>
  <c r="AD52" i="8" s="1"/>
  <c r="AE519" i="2"/>
  <c r="AE211" i="8" s="1"/>
  <c r="AE212" i="8" s="1"/>
  <c r="AD211" i="8"/>
  <c r="AD212" i="8" s="1"/>
  <c r="AD177" i="2"/>
  <c r="AC91" i="8"/>
  <c r="AC92" i="8" s="1"/>
  <c r="AE453" i="2"/>
  <c r="AD151" i="8"/>
  <c r="AD152" i="8" s="1"/>
  <c r="AD578" i="2"/>
  <c r="AC243" i="8"/>
  <c r="AC244" i="8" s="1"/>
  <c r="AE457" i="2"/>
  <c r="AE167" i="8" s="1"/>
  <c r="AE168" i="8" s="1"/>
  <c r="AD167" i="8"/>
  <c r="AD168" i="8" s="1"/>
  <c r="AE576" i="2"/>
  <c r="AE235" i="8" s="1"/>
  <c r="AE236" i="8" s="1"/>
  <c r="AD235" i="8"/>
  <c r="AD236" i="8" s="1"/>
  <c r="AE241" i="2"/>
  <c r="AE143" i="8" s="1"/>
  <c r="AE144" i="8" s="1"/>
  <c r="AD143" i="8"/>
  <c r="AD144" i="8" s="1"/>
  <c r="AD634" i="2"/>
  <c r="AC263" i="8"/>
  <c r="AC264" i="8" s="1"/>
  <c r="AE240" i="2"/>
  <c r="AE139" i="8" s="1"/>
  <c r="AE140" i="8" s="1"/>
  <c r="AD139" i="8"/>
  <c r="AD140" i="8" s="1"/>
  <c r="AE121" i="2"/>
  <c r="AE71" i="8" s="1"/>
  <c r="AE72" i="8" s="1"/>
  <c r="AD71" i="8"/>
  <c r="AD72" i="8" s="1"/>
  <c r="AE118" i="2"/>
  <c r="AE59" i="8" s="1"/>
  <c r="AE60" i="8" s="1"/>
  <c r="AD59" i="8"/>
  <c r="AD60" i="8" s="1"/>
  <c r="AE62" i="2"/>
  <c r="AE39" i="8" s="1"/>
  <c r="AE40" i="8" s="1"/>
  <c r="AD39" i="8"/>
  <c r="AD40" i="8" s="1"/>
  <c r="AB183" i="2"/>
  <c r="AD123" i="2"/>
  <c r="AE114" i="2"/>
  <c r="AD43" i="8"/>
  <c r="AD44" i="8" s="1"/>
  <c r="AD636" i="2"/>
  <c r="AC271" i="8"/>
  <c r="AC272" i="8" s="1"/>
  <c r="AD580" i="2"/>
  <c r="AC251" i="8"/>
  <c r="AC252" i="8" s="1"/>
  <c r="AE58" i="2"/>
  <c r="AE23" i="8" s="1"/>
  <c r="AE24" i="8" s="1"/>
  <c r="AD23" i="8"/>
  <c r="AD24" i="8" s="1"/>
  <c r="AE521" i="2"/>
  <c r="AE219" i="8" s="1"/>
  <c r="AE220" i="8" s="1"/>
  <c r="AD219" i="8"/>
  <c r="AD220" i="8" s="1"/>
  <c r="AE122" i="2"/>
  <c r="AE75" i="8" s="1"/>
  <c r="AE76" i="8" s="1"/>
  <c r="AD75" i="8"/>
  <c r="AD76" i="8" s="1"/>
  <c r="AD174" i="2"/>
  <c r="AC79" i="8"/>
  <c r="AC80" i="8" s="1"/>
  <c r="AE55" i="2"/>
  <c r="AE11" i="8" s="1"/>
  <c r="AE12" i="8" s="1"/>
  <c r="AD11" i="8"/>
  <c r="AD12" i="8" s="1"/>
  <c r="AE57" i="2"/>
  <c r="AE19" i="8" s="1"/>
  <c r="AE20" i="8" s="1"/>
  <c r="AD19" i="8"/>
  <c r="AD20" i="8" s="1"/>
  <c r="F196" i="8" l="1"/>
  <c r="AC513" i="2"/>
  <c r="AB522" i="2"/>
  <c r="AB187" i="8"/>
  <c r="AB188" i="8" s="1"/>
  <c r="AE980" i="8"/>
  <c r="AE981" i="8" s="1"/>
  <c r="F981" i="8" s="1"/>
  <c r="AE250" i="2"/>
  <c r="AC638" i="2"/>
  <c r="AB279" i="8"/>
  <c r="AB280" i="8" s="1"/>
  <c r="AB642" i="2"/>
  <c r="AE1376" i="8"/>
  <c r="AE1377" i="8" s="1"/>
  <c r="F1377" i="8" s="1"/>
  <c r="AE649" i="2"/>
  <c r="AB155" i="8"/>
  <c r="AB156" i="8" s="1"/>
  <c r="AC454" i="2"/>
  <c r="AB462" i="2"/>
  <c r="AE390" i="2"/>
  <c r="AE944" i="8" s="1"/>
  <c r="AB223" i="8"/>
  <c r="AB224" i="8" s="1"/>
  <c r="AB582" i="2"/>
  <c r="AC573" i="2"/>
  <c r="F232" i="8"/>
  <c r="F16" i="8"/>
  <c r="F144" i="8"/>
  <c r="F204" i="8"/>
  <c r="F48" i="8"/>
  <c r="AE778" i="2"/>
  <c r="AE1316" i="8" s="1"/>
  <c r="AE1317" i="8" s="1"/>
  <c r="F1317" i="8" s="1"/>
  <c r="AE1320" i="8"/>
  <c r="AE1321" i="8" s="1"/>
  <c r="F1321" i="8" s="1"/>
  <c r="AE789" i="2"/>
  <c r="AE1340" i="8" s="1"/>
  <c r="F60" i="8"/>
  <c r="F36" i="8"/>
  <c r="F901" i="8"/>
  <c r="AC183" i="2"/>
  <c r="F236" i="8"/>
  <c r="F32" i="8"/>
  <c r="F248" i="8"/>
  <c r="F128" i="8"/>
  <c r="F76" i="8"/>
  <c r="F40" i="8"/>
  <c r="F168" i="8"/>
  <c r="F52" i="8"/>
  <c r="F164" i="8"/>
  <c r="F172" i="8"/>
  <c r="F216" i="8"/>
  <c r="F72" i="8"/>
  <c r="F148" i="8"/>
  <c r="F140" i="8"/>
  <c r="F20" i="8"/>
  <c r="F200" i="8"/>
  <c r="AD180" i="2"/>
  <c r="AC103" i="8"/>
  <c r="AC104" i="8" s="1"/>
  <c r="F256" i="8"/>
  <c r="AE641" i="2"/>
  <c r="AE291" i="8" s="1"/>
  <c r="AE292" i="8" s="1"/>
  <c r="AD291" i="8"/>
  <c r="AD292" i="8" s="1"/>
  <c r="F160" i="8"/>
  <c r="F68" i="8"/>
  <c r="F124" i="8"/>
  <c r="F24" i="8"/>
  <c r="AE635" i="2"/>
  <c r="AE267" i="8" s="1"/>
  <c r="AE268" i="8" s="1"/>
  <c r="AD267" i="8"/>
  <c r="AD268" i="8" s="1"/>
  <c r="AE574" i="2"/>
  <c r="AE227" i="8" s="1"/>
  <c r="AE228" i="8" s="1"/>
  <c r="AD227" i="8"/>
  <c r="AD228" i="8" s="1"/>
  <c r="F132" i="8"/>
  <c r="AE151" i="8"/>
  <c r="AE152" i="8" s="1"/>
  <c r="F152" i="8" s="1"/>
  <c r="AE577" i="2"/>
  <c r="AE239" i="8" s="1"/>
  <c r="AE240" i="8" s="1"/>
  <c r="AD239" i="8"/>
  <c r="AD240" i="8" s="1"/>
  <c r="AE177" i="2"/>
  <c r="AE91" i="8" s="1"/>
  <c r="AE92" i="8" s="1"/>
  <c r="AD91" i="8"/>
  <c r="AD92" i="8" s="1"/>
  <c r="AE636" i="2"/>
  <c r="AE271" i="8" s="1"/>
  <c r="AE272" i="8" s="1"/>
  <c r="AD271" i="8"/>
  <c r="AD272" i="8" s="1"/>
  <c r="AE634" i="2"/>
  <c r="AE263" i="8" s="1"/>
  <c r="AE264" i="8" s="1"/>
  <c r="AD263" i="8"/>
  <c r="AD264" i="8" s="1"/>
  <c r="F12" i="8"/>
  <c r="F212" i="8"/>
  <c r="F28" i="8"/>
  <c r="F192" i="8"/>
  <c r="AE459" i="2"/>
  <c r="AE175" i="8" s="1"/>
  <c r="AE176" i="8" s="1"/>
  <c r="AD175" i="8"/>
  <c r="AD176" i="8" s="1"/>
  <c r="AE178" i="2"/>
  <c r="AE95" i="8" s="1"/>
  <c r="AE96" i="8" s="1"/>
  <c r="AD95" i="8"/>
  <c r="AD96" i="8" s="1"/>
  <c r="F220" i="8"/>
  <c r="AE259" i="8"/>
  <c r="AE260" i="8" s="1"/>
  <c r="F260" i="8" s="1"/>
  <c r="AE181" i="2"/>
  <c r="AE107" i="8" s="1"/>
  <c r="AE108" i="8" s="1"/>
  <c r="AD107" i="8"/>
  <c r="AD108" i="8" s="1"/>
  <c r="AE123" i="2"/>
  <c r="AE43" i="8"/>
  <c r="AE44" i="8" s="1"/>
  <c r="F44" i="8" s="1"/>
  <c r="AE243" i="2"/>
  <c r="AE115" i="8"/>
  <c r="AE116" i="8" s="1"/>
  <c r="F116" i="8" s="1"/>
  <c r="AE63" i="2"/>
  <c r="AE7" i="8"/>
  <c r="AE8" i="8" s="1"/>
  <c r="F8" i="8" s="1"/>
  <c r="AE637" i="2"/>
  <c r="AE275" i="8" s="1"/>
  <c r="AE276" i="8" s="1"/>
  <c r="AD275" i="8"/>
  <c r="AD276" i="8" s="1"/>
  <c r="AE580" i="2"/>
  <c r="AE251" i="8" s="1"/>
  <c r="AE252" i="8" s="1"/>
  <c r="AD251" i="8"/>
  <c r="AD252" i="8" s="1"/>
  <c r="AD175" i="2"/>
  <c r="AC83" i="8"/>
  <c r="AC84" i="8" s="1"/>
  <c r="AE176" i="2"/>
  <c r="AE87" i="8" s="1"/>
  <c r="AE88" i="8" s="1"/>
  <c r="AD87" i="8"/>
  <c r="AD88" i="8" s="1"/>
  <c r="AE640" i="2"/>
  <c r="AE287" i="8" s="1"/>
  <c r="AE288" i="8" s="1"/>
  <c r="F288" i="8" s="1"/>
  <c r="AD287" i="8"/>
  <c r="AD288" i="8" s="1"/>
  <c r="AE578" i="2"/>
  <c r="AE243" i="8" s="1"/>
  <c r="AE244" i="8" s="1"/>
  <c r="AD243" i="8"/>
  <c r="AD244" i="8" s="1"/>
  <c r="AE639" i="2"/>
  <c r="AE283" i="8" s="1"/>
  <c r="AE284" i="8" s="1"/>
  <c r="AD283" i="8"/>
  <c r="AD284" i="8" s="1"/>
  <c r="F64" i="8"/>
  <c r="AE174" i="2"/>
  <c r="AD79" i="8"/>
  <c r="AD80" i="8" s="1"/>
  <c r="F120" i="8"/>
  <c r="F208" i="8"/>
  <c r="AE182" i="2"/>
  <c r="AE111" i="8" s="1"/>
  <c r="AE112" i="8" s="1"/>
  <c r="AD111" i="8"/>
  <c r="AD112" i="8" s="1"/>
  <c r="AE460" i="2"/>
  <c r="AE179" i="8" s="1"/>
  <c r="AE180" i="8" s="1"/>
  <c r="F180" i="8" s="1"/>
  <c r="AD179" i="8"/>
  <c r="AD180" i="8" s="1"/>
  <c r="F184" i="8"/>
  <c r="AE179" i="2"/>
  <c r="AE99" i="8" s="1"/>
  <c r="AE100" i="8" s="1"/>
  <c r="AD99" i="8"/>
  <c r="AD100" i="8" s="1"/>
  <c r="F292" i="8" l="1"/>
  <c r="AD638" i="2"/>
  <c r="AC642" i="2"/>
  <c r="AC279" i="8"/>
  <c r="AC280" i="8" s="1"/>
  <c r="AC582" i="2"/>
  <c r="AC223" i="8"/>
  <c r="AC224" i="8" s="1"/>
  <c r="AD573" i="2"/>
  <c r="AD454" i="2"/>
  <c r="AC155" i="8"/>
  <c r="AC156" i="8" s="1"/>
  <c r="AC462" i="2"/>
  <c r="AD513" i="2"/>
  <c r="AC522" i="2"/>
  <c r="AC187" i="8"/>
  <c r="AC188" i="8" s="1"/>
  <c r="D584" i="8"/>
  <c r="D585" i="8"/>
  <c r="F268" i="8"/>
  <c r="AD183" i="2"/>
  <c r="F252" i="8"/>
  <c r="F88" i="8"/>
  <c r="F100" i="8"/>
  <c r="F272" i="8"/>
  <c r="F228" i="8"/>
  <c r="F112" i="8"/>
  <c r="F284" i="8"/>
  <c r="F92" i="8"/>
  <c r="F176" i="8"/>
  <c r="F244" i="8"/>
  <c r="AE180" i="2"/>
  <c r="AE103" i="8" s="1"/>
  <c r="AE104" i="8" s="1"/>
  <c r="AD103" i="8"/>
  <c r="AD104" i="8" s="1"/>
  <c r="F276" i="8"/>
  <c r="F240" i="8"/>
  <c r="AE79" i="8"/>
  <c r="AE80" i="8" s="1"/>
  <c r="F80" i="8" s="1"/>
  <c r="F264" i="8"/>
  <c r="F96" i="8"/>
  <c r="AE175" i="2"/>
  <c r="AE83" i="8" s="1"/>
  <c r="AE84" i="8" s="1"/>
  <c r="AD83" i="8"/>
  <c r="AD84" i="8" s="1"/>
  <c r="F108" i="8"/>
  <c r="AE454" i="2" l="1"/>
  <c r="AD155" i="8"/>
  <c r="AD156" i="8" s="1"/>
  <c r="AD462" i="2"/>
  <c r="AD187" i="8"/>
  <c r="AD188" i="8" s="1"/>
  <c r="AD522" i="2"/>
  <c r="AE513" i="2"/>
  <c r="AD582" i="2"/>
  <c r="AD223" i="8"/>
  <c r="AD224" i="8" s="1"/>
  <c r="AE573" i="2"/>
  <c r="AD642" i="2"/>
  <c r="AE638" i="2"/>
  <c r="AD279" i="8"/>
  <c r="AD280" i="8" s="1"/>
  <c r="F104" i="8"/>
  <c r="F84" i="8"/>
  <c r="AE183" i="2"/>
  <c r="AE279" i="8" l="1"/>
  <c r="AE280" i="8" s="1"/>
  <c r="F280" i="8" s="1"/>
  <c r="AE642" i="2"/>
  <c r="AE582" i="2"/>
  <c r="AE223" i="8"/>
  <c r="AE224" i="8" s="1"/>
  <c r="F224" i="8" s="1"/>
  <c r="AE187" i="8"/>
  <c r="AE188" i="8" s="1"/>
  <c r="F188" i="8" s="1"/>
  <c r="AE522" i="2"/>
  <c r="D2" i="8"/>
  <c r="AE155" i="8"/>
  <c r="AE156" i="8" s="1"/>
  <c r="F156" i="8" s="1"/>
  <c r="AE462" i="2"/>
  <c r="D3" i="8" l="1"/>
</calcChain>
</file>

<file path=xl/sharedStrings.xml><?xml version="1.0" encoding="utf-8"?>
<sst xmlns="http://schemas.openxmlformats.org/spreadsheetml/2006/main" count="9624" uniqueCount="1879">
  <si>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</si>
  <si>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</si>
  <si>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</si>
  <si>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</si>
  <si>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</si>
  <si>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</si>
  <si>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</si>
  <si>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</si>
  <si>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</si>
  <si>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</si>
  <si>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</si>
  <si>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</si>
  <si>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</si>
  <si>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</si>
  <si>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</si>
  <si>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</si>
  <si>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</si>
  <si>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</si>
  <si>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</si>
  <si>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</si>
  <si>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</si>
  <si>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</si>
  <si>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</si>
  <si>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</si>
  <si>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</si>
  <si>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</si>
  <si>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</si>
  <si>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</si>
  <si>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</si>
  <si>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</si>
  <si>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</si>
  <si>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</si>
  <si>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</si>
  <si>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</si>
  <si>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</si>
  <si>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</si>
  <si>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</si>
  <si>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</si>
  <si>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</si>
  <si>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</si>
  <si>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</si>
  <si>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</si>
  <si>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</si>
  <si>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</si>
  <si>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</si>
  <si>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</si>
  <si>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</si>
  <si>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</si>
  <si>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</si>
  <si>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</si>
  <si>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</si>
  <si>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</si>
  <si>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</si>
  <si>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</si>
  <si>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</si>
  <si>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</si>
  <si>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</si>
  <si>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</si>
  <si>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</si>
  <si>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</si>
  <si>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</si>
  <si>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</si>
  <si>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</si>
  <si>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</si>
  <si>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</si>
  <si>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</si>
  <si>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</si>
  <si>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</si>
  <si>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</si>
  <si>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</si>
  <si>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</si>
  <si>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</si>
  <si>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</si>
  <si>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</si>
  <si>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</si>
  <si>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</si>
  <si>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</si>
  <si>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</si>
  <si>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</si>
  <si>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</si>
  <si>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</si>
  <si>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</si>
  <si>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</si>
  <si>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</si>
  <si>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</si>
  <si>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</si>
  <si>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</si>
  <si>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</si>
  <si>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</si>
  <si>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</si>
  <si>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</si>
  <si>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</si>
  <si>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</si>
  <si>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</si>
  <si>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</si>
  <si>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</si>
  <si>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</si>
  <si>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</si>
  <si>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</si>
  <si>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</si>
  <si>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</si>
  <si>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</si>
  <si>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</si>
  <si>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</si>
  <si>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</si>
  <si>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</si>
  <si>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</si>
  <si>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</si>
  <si>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</si>
  <si>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</si>
  <si>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</si>
  <si>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</si>
  <si>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</si>
  <si>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</si>
  <si>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</si>
  <si>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</si>
  <si>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</si>
  <si>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</si>
  <si>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</si>
  <si>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</si>
  <si>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</si>
  <si>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</si>
  <si>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</si>
  <si>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</si>
  <si>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</si>
  <si>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</si>
  <si>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</si>
  <si>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</si>
  <si>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</si>
  <si>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</si>
  <si>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</si>
  <si>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</si>
  <si>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</si>
  <si>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</si>
  <si>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</si>
  <si>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</si>
  <si>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</si>
  <si>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</si>
  <si>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</si>
  <si>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</si>
  <si>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</si>
  <si>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</si>
  <si>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</si>
  <si>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</si>
  <si>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</si>
  <si>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</si>
  <si>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</si>
  <si>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</si>
  <si>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</si>
  <si>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</si>
  <si>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</si>
  <si>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</si>
  <si>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</si>
  <si>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</si>
  <si>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</si>
  <si>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</si>
  <si>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</si>
  <si>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</si>
  <si>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</si>
  <si>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</si>
  <si>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</si>
  <si>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</si>
  <si>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</si>
  <si>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</si>
  <si>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</si>
  <si>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</si>
  <si>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</si>
  <si>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</si>
  <si>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</si>
  <si>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</si>
  <si>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</si>
  <si>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</si>
  <si>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</si>
  <si>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</si>
  <si>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</si>
  <si>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</si>
  <si>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</si>
  <si>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</si>
  <si>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</si>
  <si>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</si>
  <si>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</si>
  <si>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</si>
  <si>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</si>
  <si>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</si>
  <si>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</si>
  <si>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</si>
  <si>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</si>
  <si>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</si>
  <si>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</si>
  <si>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</si>
  <si>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</si>
  <si>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</si>
  <si>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</si>
  <si>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</si>
  <si>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</si>
  <si>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</si>
  <si>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</si>
  <si>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</si>
  <si>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</si>
  <si>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</si>
  <si>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</si>
  <si>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</si>
  <si>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</si>
  <si>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</si>
  <si>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</si>
  <si>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</si>
  <si>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</si>
  <si>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</si>
  <si>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</si>
  <si>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</si>
  <si>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</si>
  <si>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</si>
  <si>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</si>
  <si>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</si>
  <si>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</si>
  <si>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</si>
  <si>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</si>
  <si>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</si>
  <si>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</si>
  <si>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</si>
  <si>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</si>
  <si>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</si>
  <si>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</si>
  <si>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</si>
  <si>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</si>
  <si>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</si>
  <si>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</si>
  <si>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</si>
  <si>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</si>
  <si>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</si>
  <si>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</si>
  <si>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</si>
  <si>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</si>
  <si>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</si>
  <si>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</si>
  <si>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</si>
  <si>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</si>
  <si>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</si>
  <si>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</si>
  <si>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</si>
  <si>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</si>
  <si>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</si>
  <si>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</si>
  <si>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</si>
  <si>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</si>
  <si>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</si>
  <si>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</si>
  <si>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</si>
  <si>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</si>
  <si>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</si>
  <si>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</si>
  <si>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</si>
  <si>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</si>
  <si>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</si>
  <si>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</si>
  <si>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</si>
  <si>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</si>
  <si>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</si>
  <si>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</si>
  <si>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</si>
  <si>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</si>
  <si>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</si>
  <si>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</si>
  <si>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</si>
  <si>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</si>
  <si>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</si>
  <si>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</si>
  <si>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</si>
  <si>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</si>
  <si>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</si>
  <si>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</si>
  <si>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</si>
  <si>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</si>
  <si>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</si>
  <si>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</si>
  <si>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</si>
  <si>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</si>
  <si>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</si>
  <si>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</si>
  <si>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</si>
  <si>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</si>
  <si>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</si>
  <si>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</si>
  <si>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</si>
  <si>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</si>
  <si>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</si>
  <si>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</si>
  <si>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</si>
  <si>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</si>
  <si>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</si>
  <si>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</si>
  <si>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</si>
  <si>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</si>
  <si>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</si>
  <si>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</si>
  <si>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</si>
  <si>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</si>
  <si>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</si>
  <si>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</si>
  <si>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</si>
  <si>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</si>
  <si>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</si>
  <si>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</si>
  <si>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</si>
  <si>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</si>
  <si>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</si>
  <si>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</si>
  <si>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</si>
  <si>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</si>
  <si>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</si>
  <si>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</si>
  <si>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</si>
  <si>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</si>
  <si>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</si>
  <si>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</si>
  <si>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</si>
  <si>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</si>
  <si>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</si>
  <si>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</si>
  <si>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</si>
  <si>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</si>
  <si>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</si>
  <si>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</si>
  <si>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</si>
  <si>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</si>
  <si>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</si>
  <si>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</si>
  <si>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</si>
  <si>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</si>
  <si>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</si>
  <si>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</si>
  <si>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</si>
  <si>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</si>
  <si>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</si>
  <si>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</si>
  <si>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</si>
  <si>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</si>
  <si>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</si>
  <si>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</si>
  <si>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</si>
  <si>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</si>
  <si>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</si>
  <si>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</si>
  <si>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</si>
  <si>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</si>
  <si>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</si>
  <si>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</si>
  <si>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</si>
  <si>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</si>
  <si>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</si>
  <si>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</si>
  <si>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</si>
  <si>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</si>
  <si>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</si>
  <si>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</si>
  <si>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</si>
  <si>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</si>
  <si>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</si>
  <si>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</si>
  <si>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</si>
  <si>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</si>
  <si>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</si>
  <si>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</si>
  <si>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</si>
  <si>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</si>
  <si>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</si>
  <si>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</si>
  <si>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</si>
  <si>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</si>
  <si>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</si>
  <si>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</si>
  <si>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</si>
  <si>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</si>
  <si>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</si>
  <si>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</si>
  <si>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</si>
  <si>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</si>
  <si>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</si>
  <si>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</si>
  <si>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</si>
  <si>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</si>
  <si>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</si>
  <si>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</si>
  <si>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</si>
  <si>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</si>
  <si>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</si>
  <si>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</si>
  <si>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</si>
  <si>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</si>
  <si>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</si>
  <si>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</si>
  <si>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</si>
  <si>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</si>
  <si>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</si>
  <si>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</si>
  <si>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</si>
  <si>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</si>
  <si>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</si>
  <si>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</si>
  <si>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</si>
  <si>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</si>
  <si>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</si>
  <si>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</si>
  <si>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</si>
  <si>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</si>
  <si>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</si>
  <si>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</si>
  <si>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</si>
  <si>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</si>
  <si>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</si>
  <si>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</si>
  <si>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</si>
  <si>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</si>
  <si>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</si>
  <si>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</si>
  <si>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</si>
  <si>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</si>
  <si>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</si>
  <si>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</si>
  <si>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</si>
  <si>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</si>
  <si>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</si>
  <si>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</si>
  <si>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</si>
  <si>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</si>
  <si>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</si>
  <si>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</si>
  <si>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</si>
  <si>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</si>
  <si>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</si>
  <si>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</si>
  <si>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</si>
  <si>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</si>
  <si>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</si>
  <si>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</si>
  <si>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</si>
  <si>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</si>
  <si>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</si>
  <si>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</si>
  <si>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</si>
  <si>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</si>
  <si>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</si>
  <si>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</si>
  <si>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</si>
  <si>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</si>
  <si>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</si>
  <si>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</si>
  <si>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</si>
  <si>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</si>
  <si>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</si>
  <si>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</si>
  <si>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</si>
  <si>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</si>
  <si>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</si>
  <si>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</si>
  <si>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</si>
  <si>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</si>
  <si>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</si>
  <si>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</si>
  <si>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</si>
  <si>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</si>
  <si>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</si>
  <si>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</si>
  <si>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</si>
  <si>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</si>
  <si>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</si>
  <si>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</si>
  <si>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</si>
  <si>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</si>
  <si>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</si>
  <si>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</si>
  <si>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</si>
  <si>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</si>
  <si>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</si>
  <si>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</si>
  <si>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</si>
  <si>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</si>
  <si>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</si>
  <si>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</si>
  <si>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</si>
  <si>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</si>
  <si>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</si>
  <si>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</si>
  <si>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</si>
  <si>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</si>
  <si>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</si>
  <si>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</si>
  <si>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</si>
  <si>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</si>
  <si>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</si>
  <si>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</si>
  <si>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</si>
  <si>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</si>
  <si>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</si>
  <si>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</si>
  <si>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</si>
  <si>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</si>
  <si>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</si>
  <si>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</si>
  <si>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</si>
  <si>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</si>
  <si>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</si>
  <si>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</si>
  <si>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</si>
  <si>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</si>
  <si>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</si>
  <si>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</si>
  <si>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</si>
  <si>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</si>
  <si>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</si>
  <si>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</si>
  <si>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</si>
  <si>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</si>
  <si>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</si>
  <si>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</si>
  <si>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</si>
  <si>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</si>
  <si>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</si>
  <si>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</si>
  <si>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</si>
  <si>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</si>
  <si>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</si>
  <si>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</si>
  <si>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</si>
  <si>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</si>
  <si>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</si>
  <si>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</si>
  <si>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</si>
  <si>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</si>
  <si>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</si>
  <si>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</si>
  <si>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</si>
  <si>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</si>
  <si>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</si>
  <si>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</si>
  <si>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</si>
  <si>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</si>
  <si>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</si>
  <si>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</si>
  <si>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</si>
  <si>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</si>
  <si>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</si>
  <si>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</si>
  <si>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</si>
  <si>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</si>
  <si>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</si>
  <si>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</si>
  <si>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</si>
  <si>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</si>
  <si>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</si>
  <si>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</si>
  <si>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</si>
  <si>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</si>
  <si>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</si>
  <si>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</si>
  <si>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</si>
  <si>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</si>
  <si>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</si>
  <si>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</si>
  <si>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</si>
  <si>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</si>
  <si>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</si>
  <si>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</si>
  <si>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</si>
  <si>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</si>
  <si>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</si>
  <si>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</si>
  <si>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</si>
  <si>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</si>
  <si>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</si>
  <si>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</si>
  <si>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</si>
  <si>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</si>
  <si>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</si>
  <si>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</si>
  <si>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</si>
  <si>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</si>
  <si>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</si>
  <si>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</si>
  <si>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</si>
  <si>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</si>
  <si>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</si>
  <si>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</si>
  <si>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</si>
  <si>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</si>
  <si>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</si>
  <si>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</si>
  <si>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</si>
  <si>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</si>
  <si>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</si>
  <si>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</si>
  <si>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</si>
  <si>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</si>
  <si>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</si>
  <si>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</si>
  <si>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</si>
  <si>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</si>
  <si>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</si>
  <si>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</si>
  <si>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</si>
  <si>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</si>
  <si>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</si>
  <si>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</si>
  <si>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</si>
  <si>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</si>
  <si>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</si>
  <si>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</si>
  <si>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</si>
  <si>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</si>
  <si>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</si>
  <si>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</si>
  <si>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</si>
  <si>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</si>
  <si>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</si>
  <si>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</si>
  <si>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</si>
  <si>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</si>
  <si>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</si>
  <si>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</si>
  <si>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</si>
  <si>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</si>
  <si>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</si>
  <si>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</si>
  <si>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</si>
  <si>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</si>
  <si>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</si>
  <si>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</si>
  <si>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</si>
  <si>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</si>
  <si>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</si>
  <si>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</si>
  <si>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</si>
  <si>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</si>
  <si>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</si>
  <si>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</si>
  <si>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</si>
  <si>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</si>
  <si>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</si>
  <si>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</si>
  <si>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</si>
  <si>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</si>
  <si>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</si>
  <si>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</si>
  <si>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</si>
  <si>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</si>
  <si>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</si>
  <si>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</si>
  <si>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</si>
  <si>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</si>
  <si>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</si>
  <si>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</si>
  <si>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</si>
  <si>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</si>
  <si>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</si>
  <si>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</si>
  <si>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</si>
  <si>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</si>
  <si>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</si>
  <si>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</si>
  <si>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</si>
  <si>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</si>
  <si>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</si>
  <si>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</si>
  <si>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</si>
  <si>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</si>
  <si>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</si>
  <si>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</si>
  <si>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</si>
  <si>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</si>
  <si>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</si>
  <si>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</si>
  <si>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</si>
  <si>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</si>
  <si>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</si>
  <si>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</si>
  <si>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</si>
  <si>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</si>
  <si>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</si>
  <si>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</si>
  <si>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</si>
  <si>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</si>
  <si>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</si>
  <si>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</si>
  <si>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</si>
  <si>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</si>
  <si>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</si>
  <si>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</si>
  <si>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</si>
  <si>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</si>
  <si>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</si>
  <si>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</si>
  <si>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</si>
  <si>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</si>
  <si>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</si>
  <si>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</si>
  <si>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</si>
  <si>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</si>
  <si>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</si>
  <si>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</si>
  <si>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</si>
  <si>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</si>
  <si>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</si>
  <si>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</si>
  <si>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</si>
  <si>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</si>
  <si>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</si>
  <si>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</si>
  <si>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</si>
  <si>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</si>
  <si>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</si>
  <si>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</si>
  <si>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</si>
  <si>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</si>
  <si>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</si>
  <si>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</si>
  <si>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</si>
  <si>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</si>
  <si>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</si>
  <si>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</si>
  <si>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</si>
  <si>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</si>
  <si>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</si>
  <si>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</si>
  <si>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</si>
  <si>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</si>
  <si>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</si>
  <si>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</si>
  <si>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</si>
  <si>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</si>
  <si>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</si>
  <si>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</si>
  <si>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</si>
  <si>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</si>
  <si>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</si>
  <si>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</si>
  <si>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</si>
  <si>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</si>
  <si>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</si>
  <si>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</si>
  <si>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</si>
  <si>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</si>
  <si>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</si>
  <si>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</si>
  <si>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</si>
  <si>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</si>
  <si>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</si>
  <si>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</si>
  <si>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</si>
  <si>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</si>
  <si>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</si>
  <si>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</si>
  <si>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</si>
  <si>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</si>
  <si>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</si>
  <si>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</si>
  <si>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</si>
  <si>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</si>
  <si>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</si>
  <si>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</si>
  <si>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</si>
  <si>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</si>
  <si>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</si>
  <si>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</si>
  <si>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</si>
  <si>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</si>
  <si>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</si>
  <si>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</si>
  <si>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</si>
  <si>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</si>
  <si>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</si>
  <si>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</si>
  <si>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</si>
  <si>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</si>
  <si>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</si>
  <si>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</si>
  <si>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</si>
  <si>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</si>
  <si>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</si>
  <si>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</si>
  <si>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</si>
  <si>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</si>
  <si>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</si>
  <si>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</si>
  <si>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</si>
  <si>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</si>
  <si>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</si>
  <si>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</si>
  <si>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</si>
  <si>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</si>
  <si>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</si>
  <si>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</si>
  <si>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</si>
  <si>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</si>
  <si>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</si>
  <si>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</si>
  <si>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</si>
  <si>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</si>
  <si>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</si>
  <si>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</si>
  <si>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</si>
  <si>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</si>
  <si>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</si>
  <si>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</si>
  <si>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</si>
  <si>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</si>
  <si>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</si>
  <si>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</si>
  <si>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</si>
  <si>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</si>
  <si>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</si>
  <si>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</si>
  <si>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</si>
  <si>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</si>
  <si>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</si>
  <si>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</si>
  <si>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</si>
  <si>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</si>
  <si>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</si>
  <si>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</si>
  <si>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</si>
  <si>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</si>
  <si>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</si>
  <si>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</si>
  <si>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</si>
  <si>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</si>
  <si>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</si>
  <si>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</si>
  <si>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</si>
  <si>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</si>
  <si>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</si>
  <si>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</si>
  <si>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</si>
  <si>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</si>
  <si>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</si>
  <si>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</si>
  <si>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</si>
  <si>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</si>
  <si>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</si>
  <si>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</si>
  <si>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</si>
  <si>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</si>
  <si>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</si>
  <si>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</si>
  <si>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</si>
  <si>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</si>
  <si>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</si>
  <si>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</si>
  <si>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</si>
  <si>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</si>
  <si>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</si>
  <si>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</si>
  <si>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</si>
  <si>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</si>
  <si>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</si>
  <si>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</si>
  <si>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</si>
  <si>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</si>
  <si>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</si>
  <si>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</si>
  <si>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</si>
  <si>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</si>
  <si>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</si>
  <si>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</si>
  <si>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</si>
  <si>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</si>
  <si>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</si>
  <si>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</si>
  <si>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</si>
  <si>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</si>
  <si>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</si>
  <si>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</si>
  <si>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</si>
  <si>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</si>
  <si>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</si>
  <si>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</si>
  <si>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</si>
  <si>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</si>
  <si>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</si>
  <si>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</si>
  <si>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</si>
  <si>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</si>
  <si>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</si>
  <si>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</si>
  <si>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</si>
  <si>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</si>
  <si>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</si>
  <si>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</si>
  <si>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</si>
  <si>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</si>
  <si>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</si>
  <si>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</si>
  <si>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</si>
  <si>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</si>
  <si>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</si>
  <si>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</si>
  <si>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</si>
  <si>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</si>
  <si>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</si>
  <si>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</si>
  <si>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</si>
  <si>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</si>
  <si>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</si>
  <si>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</si>
  <si>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</si>
  <si>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</si>
  <si>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</si>
  <si>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</si>
  <si>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</si>
  <si>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</si>
  <si>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</si>
  <si>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</si>
  <si>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</si>
  <si>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</si>
  <si>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</si>
  <si>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</si>
  <si>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</si>
  <si>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</si>
  <si>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</si>
  <si>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</si>
  <si>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</si>
  <si>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</si>
  <si>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</si>
  <si>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</si>
  <si>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</si>
  <si>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</si>
  <si>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</si>
  <si>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</si>
  <si>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</si>
  <si>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</si>
  <si>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</si>
  <si>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</si>
  <si>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</si>
  <si>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</si>
  <si>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</si>
  <si>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</si>
  <si>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</si>
  <si>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</si>
  <si>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</si>
  <si>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</si>
  <si>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</si>
  <si>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</si>
  <si>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</si>
  <si>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</si>
  <si>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</si>
  <si>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</si>
  <si>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</si>
  <si>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</si>
  <si>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</si>
  <si>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</si>
  <si>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</si>
  <si>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</si>
  <si>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</si>
  <si>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</si>
  <si>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</si>
  <si>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</si>
  <si>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</si>
  <si>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</si>
  <si>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</si>
  <si>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</si>
  <si>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</si>
  <si>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</si>
  <si>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</si>
  <si>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</si>
  <si>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</si>
  <si>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</si>
  <si>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</si>
  <si>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</si>
  <si>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</si>
  <si>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</si>
  <si>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</si>
  <si>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</si>
  <si>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</si>
  <si>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</si>
  <si>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</si>
  <si>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</si>
  <si>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</si>
  <si>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</si>
  <si>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</si>
  <si>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</si>
  <si>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</si>
  <si>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</si>
  <si>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</si>
  <si>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</si>
  <si>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</si>
  <si>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</si>
  <si>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</si>
  <si>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</si>
  <si>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</si>
  <si>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</si>
  <si>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</si>
  <si>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</si>
  <si>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</si>
  <si>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</si>
  <si>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</si>
  <si>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</si>
  <si>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</si>
  <si>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</si>
  <si>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</si>
  <si>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</si>
  <si>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</si>
  <si>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</si>
  <si>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</si>
  <si>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</si>
  <si>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</si>
  <si>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</si>
  <si>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</si>
  <si>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</si>
  <si>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</si>
  <si>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</si>
  <si>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</si>
  <si>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</si>
  <si>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</si>
  <si>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</si>
  <si>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</si>
  <si>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</si>
  <si>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</si>
  <si>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</si>
  <si>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</si>
  <si>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</si>
  <si>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</si>
  <si>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</si>
  <si>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</si>
  <si>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</si>
  <si>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</si>
  <si>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</si>
  <si>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</si>
  <si>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</si>
  <si>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</si>
  <si>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</si>
  <si>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</si>
  <si>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</si>
  <si>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</si>
  <si>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</si>
  <si>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</si>
  <si>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</si>
  <si>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</si>
  <si>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</si>
  <si>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</si>
  <si>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</si>
  <si>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</si>
  <si>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</si>
  <si>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</si>
  <si>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</si>
  <si>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</si>
  <si>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</si>
  <si>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</si>
  <si>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</si>
  <si>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</si>
  <si>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</si>
  <si>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</si>
  <si>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</si>
  <si>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</si>
  <si>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</si>
  <si>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</si>
  <si>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</si>
  <si>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</si>
  <si>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</si>
  <si>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</si>
  <si>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</si>
  <si>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</si>
  <si>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</si>
  <si>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</si>
  <si>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</si>
  <si>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</si>
  <si>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</si>
  <si>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</si>
  <si>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</si>
  <si>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</si>
  <si>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</si>
  <si>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</si>
  <si>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</si>
  <si>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</si>
  <si>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</si>
  <si>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</si>
  <si>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</si>
  <si>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</si>
  <si>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</si>
  <si>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</si>
  <si>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</si>
  <si>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</si>
  <si>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</si>
  <si>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</si>
  <si>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</si>
  <si>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</si>
  <si>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</si>
  <si>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</si>
  <si>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</si>
  <si>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</si>
  <si>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</si>
  <si>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</si>
  <si>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</si>
  <si>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</si>
  <si>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</si>
  <si>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</si>
  <si>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</si>
  <si>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</si>
  <si>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</si>
  <si>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</si>
  <si>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</si>
  <si>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</si>
  <si>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</si>
  <si>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</si>
  <si>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</si>
  <si>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</si>
  <si>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</si>
  <si>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</si>
  <si>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</si>
  <si>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</si>
  <si>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</si>
  <si>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</si>
  <si>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</si>
  <si>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</si>
  <si>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</si>
  <si>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</si>
  <si>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</si>
  <si>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</si>
  <si>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</si>
  <si>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</si>
  <si>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</si>
  <si>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</si>
  <si>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</si>
  <si>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</si>
  <si>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</si>
  <si>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</si>
  <si>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</si>
  <si>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</si>
  <si>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</si>
  <si>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</si>
  <si>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</si>
  <si>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</si>
  <si>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</si>
  <si>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</si>
  <si>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</si>
  <si>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</si>
  <si>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</si>
  <si>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</si>
  <si>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</si>
  <si>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</si>
  <si>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</si>
  <si>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</si>
  <si>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</si>
  <si>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</si>
  <si>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</si>
  <si>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</si>
  <si>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</si>
  <si>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</si>
  <si>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</si>
  <si>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</si>
  <si>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</si>
  <si>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</si>
  <si>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</si>
  <si>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</si>
  <si>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</si>
  <si>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</si>
  <si>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</si>
  <si>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</si>
  <si>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</si>
  <si>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</si>
  <si>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</si>
  <si>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</si>
  <si>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</si>
  <si>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</si>
  <si>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</si>
  <si>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</si>
  <si>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</si>
  <si>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</si>
  <si>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</si>
  <si>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</si>
  <si>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</si>
  <si>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</si>
  <si>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</si>
  <si>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</si>
  <si>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</si>
  <si>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</si>
  <si>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</si>
  <si>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</si>
  <si>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</si>
  <si>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</si>
  <si>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</si>
  <si>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</si>
  <si>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</si>
  <si>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</si>
  <si>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</si>
  <si>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</si>
  <si>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</si>
  <si>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</si>
  <si>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</si>
  <si>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</si>
  <si>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</si>
  <si>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</si>
  <si>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</si>
  <si>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</si>
  <si>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</si>
  <si>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</si>
  <si>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</si>
  <si>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</si>
  <si>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</si>
  <si>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</si>
  <si>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</si>
  <si>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</si>
  <si>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</si>
  <si>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</si>
  <si>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</si>
  <si>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</si>
  <si>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</si>
  <si>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</si>
  <si>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</si>
  <si>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</si>
  <si>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</si>
  <si>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</si>
  <si>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</si>
  <si>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</si>
  <si>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</si>
  <si>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</si>
  <si>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</si>
  <si>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</si>
  <si>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</si>
  <si>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</si>
  <si>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</si>
  <si>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</si>
  <si>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</si>
  <si>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</si>
  <si>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</si>
  <si>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</si>
  <si>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</si>
  <si>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</si>
  <si>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</si>
  <si>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</si>
  <si>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</si>
  <si>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</si>
  <si>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</si>
  <si>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</si>
  <si>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</si>
  <si>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</si>
  <si>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</si>
  <si>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</si>
  <si>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</si>
  <si>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</si>
  <si>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</si>
  <si>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</si>
  <si>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</si>
  <si>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</si>
  <si>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</si>
  <si>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</si>
  <si>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</si>
  <si>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</si>
  <si>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</si>
  <si>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</si>
  <si>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</si>
  <si>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</si>
  <si>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</si>
  <si>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</si>
  <si>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</si>
  <si>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</si>
  <si>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</si>
  <si>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</si>
  <si>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</si>
  <si>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</si>
  <si>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</si>
  <si>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</si>
  <si>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</si>
  <si>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</si>
  <si>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</si>
  <si>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</si>
  <si>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</si>
  <si>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</si>
  <si>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</si>
  <si>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</si>
  <si>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</si>
  <si>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</si>
  <si>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</si>
  <si>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</si>
  <si>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</si>
  <si>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</si>
  <si>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</si>
  <si>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</si>
  <si>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</si>
  <si>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</si>
  <si>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</si>
  <si>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</si>
  <si>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</si>
  <si>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</si>
  <si>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</si>
  <si>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</si>
  <si>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</si>
  <si>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</si>
  <si>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</si>
  <si>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</si>
  <si>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</si>
  <si>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</si>
  <si>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</si>
  <si>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</si>
  <si>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</si>
  <si>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</si>
  <si>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</si>
  <si>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</si>
  <si>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</si>
  <si>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</si>
  <si>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</si>
  <si>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</si>
  <si>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</si>
  <si>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</si>
  <si>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</si>
  <si>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</si>
  <si>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</si>
  <si>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</si>
  <si>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</si>
  <si>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</si>
  <si>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</si>
  <si>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</si>
  <si>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</si>
  <si>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</si>
  <si>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</si>
  <si>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</si>
  <si>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</si>
  <si>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</si>
  <si>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</si>
  <si>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</si>
  <si>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</si>
  <si>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</si>
  <si>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</si>
  <si>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</si>
  <si>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</si>
  <si>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</si>
  <si>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</si>
  <si>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</si>
  <si>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</si>
  <si>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</si>
  <si>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</si>
  <si>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</si>
  <si>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</si>
  <si>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</si>
  <si>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</si>
  <si>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</si>
  <si>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</si>
  <si>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</si>
  <si>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</si>
  <si>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</si>
  <si>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</si>
  <si>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</si>
  <si>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</si>
  <si>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</si>
  <si>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</si>
  <si>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</si>
  <si>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</si>
  <si>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</si>
  <si>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</si>
  <si>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</si>
  <si>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</si>
  <si>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</si>
  <si>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</si>
  <si>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</si>
  <si>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</si>
  <si>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</si>
  <si>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</si>
  <si>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 xml:space="preserve">S1.fc: Est: Midrex heat:reductant ratio 5:24 GJ/t NG. Total EF Auth (WSA 2023 / S1.fp: Est: Midrex standard ratio; IPCC 2006 Vol2 2C1; WSA 2023. Total Auth; </t>
  </si>
  <si>
    <t>S1.np: Auth: IPCC 2006 2C1 — DRI process CO2 = 0 / S1.no: Auth: IPCC 2006 2C1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</si>
  <si>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</si>
  <si>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</si>
  <si>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</si>
  <si>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</si>
  <si>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S1.fc: Est: IEA Egypt sector average; WSA 2023 scrap-EAF range 2-3 GJ/t. Tota / S1.fp: Auth: no reductant in scrap melting process</t>
  </si>
  <si>
    <t>S1.np: Est: IPCC 2006 Vol2 2C1 default 0.01-0.02 tCO2/t for scrap-EAF / S1.no: Auth: IPCC 2006 2C1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</si>
  <si>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</si>
  <si>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</si>
  <si>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</si>
  <si>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</si>
  <si>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S1.fc: Prox: WSA 2023 global BF-BOF average. No Egypt-specific data (no produ / S1.fp: Prox: WSA 2023 BF standard; IPCC 2006 Vol2 2C1. Split Est within proxy</t>
  </si>
  <si>
    <t>S1.np: Auth: IPCC 2006 Vol2 2C1 default 0.22-0.28 tCO2/t crude steel / S1.no: Auth: IPCC 2006 2C1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</si>
  <si>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</si>
  <si>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</si>
  <si>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</si>
  <si>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</si>
  <si>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</si>
  <si>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S1.fc: Est: IEA Egypt cement sector; CSI/GCCA GNR Egypt 2022. Total AukCoa / S1.fp: Auth: cement production has no chemical reductant fuel</t>
  </si>
  <si>
    <t>S1.np: Auth: IPCC 2006 2A1 stoichiometric constant (44/100 × fraction CaCO3 i / S1.no: Auth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</si>
  <si>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</si>
  <si>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</si>
  <si>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</si>
  <si>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</si>
  <si>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</si>
  <si>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S1.fc: Est: IFA/EFMA BAT Vol.1; combustion ~6-8 GJ/t NH3. Total Auth (IFA sta / S1.fp: Est: IFA/EFMA BAT Vol.1 standard SMR ~24-28 GJ/t NH3. Total Auth; comb</t>
  </si>
  <si>
    <t>S1.np: Auth: NH3 synthesis has no carbon process emissions / S1.no: Auth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</si>
  <si>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</si>
  <si>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</si>
  <si>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</si>
  <si>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</si>
  <si>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</si>
  <si>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S1.fc: Est: IFA/EFMA; small relative to NH3 chain. ~1.5-2.5 GJ/t urea typical / S1.fp: Auth: no additional reductant/feedstock in urea synthesis itself</t>
  </si>
  <si>
    <t>S1.np: Auth: IPCC 2006 Vol2 3G stoichiometric constant. 44/60 = 0.733 tCO2 ab / S1.no: Auth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</si>
  <si>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</si>
  <si>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</si>
  <si>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</si>
  <si>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</si>
  <si>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</si>
  <si>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S1.fc: Est: IFA/EFMA BAT Vol.3; 1.5-2.5 GJ/t AN typical. Total direct EF less / S1.fp: Auth: HNO3 and neutralisation have no reductant</t>
  </si>
  <si>
    <t>S1.np: Auth: AN chemistry (NH4NO3) contains no carbon / S1.no: Est: IPCC 2006 2B2; GWP AR6 AII.1.2. CRITICAL: range 0.21 (with high-e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</si>
  <si>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</si>
  <si>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</si>
  <si>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</si>
  <si>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</si>
  <si>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</si>
  <si>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S1.fc: Est: IAI 2023 smelter profile; 1.5-2.5 GJ/t range. Weighted EF 78 kgCO / S1.fp: Auth: Hall-Héroult is electrolytic; reduction is electrical not fuel-d</t>
  </si>
  <si>
    <t>S1.np: Auth: IPCC 2006 Vol2 2C3 default 1.5 tCO2/t Al for prebaked anodes. Ra / S1.no: Est: IAI 2023 Egypt country profile. Global prebaked average 0.38 tCO2</t>
  </si>
  <si>
    <t>Process Emissions Half Elasticities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</si>
  <si>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</si>
  <si>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</si>
  <si>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</si>
  <si>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</si>
  <si>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</si>
  <si>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</si>
  <si>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</si>
  <si>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</si>
  <si>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</si>
  <si>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</si>
  <si>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</si>
  <si>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</si>
  <si>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</si>
  <si>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</si>
  <si>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</si>
  <si>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</si>
  <si>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</si>
  <si>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</si>
  <si>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</si>
  <si>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</si>
  <si>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</si>
  <si>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</si>
  <si>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</si>
  <si>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</si>
  <si>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</si>
  <si>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</si>
  <si>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</si>
  <si>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</si>
  <si>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</si>
  <si>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</si>
  <si>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</si>
  <si>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</si>
  <si>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</si>
  <si>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</si>
  <si>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</si>
  <si>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</si>
  <si>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</si>
  <si>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</si>
  <si>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</si>
  <si>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</si>
  <si>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</si>
  <si>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</si>
  <si>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</si>
  <si>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</si>
  <si>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</si>
  <si>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</si>
  <si>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</si>
  <si>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</si>
  <si>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</si>
  <si>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</si>
  <si>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</si>
  <si>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</si>
  <si>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</si>
  <si>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</si>
  <si>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</si>
  <si>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</si>
  <si>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</si>
  <si>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</si>
  <si>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</si>
  <si>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</si>
  <si>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</si>
  <si>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</si>
  <si>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</si>
  <si>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</si>
  <si>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</si>
  <si>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</si>
  <si>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</si>
  <si>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</si>
  <si>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</si>
  <si>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</si>
  <si>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</si>
  <si>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</si>
  <si>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</si>
  <si>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</si>
  <si>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</si>
  <si>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</si>
  <si>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</si>
  <si>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</si>
  <si>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</si>
  <si>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</si>
  <si>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</si>
  <si>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</si>
  <si>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</si>
  <si>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</si>
  <si>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</si>
  <si>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</si>
  <si>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</si>
  <si>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</si>
  <si>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</si>
  <si>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</si>
  <si>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</si>
  <si>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</si>
  <si>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</si>
  <si>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</si>
  <si>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</si>
  <si>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</si>
  <si>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</si>
  <si>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</si>
  <si>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</si>
  <si>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</si>
  <si>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</si>
  <si>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</si>
  <si>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</si>
  <si>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</si>
  <si>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</si>
  <si>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</si>
  <si>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</si>
  <si>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</si>
  <si>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</si>
  <si>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</si>
  <si>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</si>
  <si>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</si>
  <si>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</si>
  <si>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</si>
  <si>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</si>
  <si>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</si>
  <si>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</si>
  <si>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</si>
  <si>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</si>
  <si>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</si>
  <si>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</si>
  <si>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</si>
  <si>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</si>
  <si>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</si>
  <si>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</si>
  <si>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</si>
  <si>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</si>
  <si>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</si>
  <si>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</si>
  <si>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</si>
  <si>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</si>
  <si>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</si>
  <si>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</si>
  <si>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</si>
  <si>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</si>
  <si>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</si>
  <si>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</si>
  <si>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</si>
  <si>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</si>
  <si>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</si>
  <si>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</si>
  <si>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</si>
  <si>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</si>
  <si>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</si>
  <si>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</si>
  <si>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</si>
  <si>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</si>
  <si>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</si>
  <si>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</si>
  <si>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</si>
  <si>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</si>
  <si>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</si>
  <si>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</si>
  <si>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</si>
  <si>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</si>
  <si>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</si>
  <si>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</si>
  <si>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</si>
  <si>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</si>
  <si>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</si>
  <si>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</si>
  <si>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</si>
  <si>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</si>
  <si>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</si>
  <si>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</si>
  <si>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</si>
  <si>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</si>
  <si>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</si>
  <si>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</si>
  <si>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</si>
  <si>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</si>
  <si>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</si>
  <si>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</si>
  <si>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</si>
  <si>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</si>
  <si>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</si>
  <si>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</si>
  <si>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</si>
  <si>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</si>
  <si>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</si>
  <si>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</si>
  <si>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</si>
  <si>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</si>
  <si>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</si>
  <si>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</si>
  <si>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</si>
  <si>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</si>
  <si>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</si>
  <si>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</si>
  <si>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</si>
  <si>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</si>
  <si>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</si>
  <si>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</si>
  <si>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</si>
  <si>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</si>
  <si>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</si>
  <si>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</si>
  <si>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</si>
  <si>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</si>
  <si>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</si>
  <si>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</si>
  <si>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</si>
  <si>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</si>
  <si>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</si>
  <si>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</si>
  <si>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</si>
  <si>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</si>
  <si>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</si>
  <si>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</si>
  <si>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</si>
  <si>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</si>
  <si>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</si>
  <si>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</si>
  <si>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</si>
  <si>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</si>
  <si>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</si>
  <si>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</si>
  <si>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</si>
  <si>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</si>
  <si>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</si>
  <si>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</si>
  <si>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</si>
  <si>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</si>
  <si>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</si>
  <si>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</si>
  <si>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</si>
  <si>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</si>
  <si>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</si>
  <si>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</si>
  <si>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</si>
  <si>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</si>
  <si>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</si>
  <si>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</si>
  <si>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</si>
  <si>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</si>
  <si>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</si>
  <si>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</si>
  <si>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</si>
  <si>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</si>
  <si>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</si>
  <si>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</si>
  <si>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</si>
  <si>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</si>
  <si>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</si>
  <si>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</si>
  <si>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</si>
  <si>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</si>
  <si>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</si>
  <si>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</si>
  <si>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</si>
  <si>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</si>
  <si>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</si>
  <si>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</si>
  <si>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</si>
  <si>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</si>
  <si>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</si>
  <si>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</si>
  <si>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</si>
  <si>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</si>
  <si>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</si>
  <si>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</si>
  <si>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</si>
  <si>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</si>
  <si>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</si>
  <si>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</si>
  <si>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</si>
  <si>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</si>
  <si>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</si>
  <si>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</si>
  <si>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</si>
  <si>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</si>
  <si>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</si>
  <si>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</si>
  <si>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</si>
  <si>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</si>
  <si>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</si>
  <si>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</si>
  <si>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</si>
  <si>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</si>
  <si>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</si>
  <si>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</si>
  <si>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</si>
  <si>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</si>
  <si>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</si>
  <si>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</si>
  <si>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</si>
  <si>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</si>
  <si>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</si>
  <si>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</si>
  <si>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</si>
  <si>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</si>
  <si>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</si>
  <si>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</si>
  <si>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</si>
  <si>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</si>
  <si>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</si>
  <si>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</si>
  <si>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</si>
  <si>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uses wired carbon tax (revenue base: see notes)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</si>
  <si>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</si>
  <si>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</si>
  <si>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</si>
  <si>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</si>
  <si>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</si>
  <si>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</si>
  <si>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</si>
  <si>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</si>
  <si>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</si>
  <si>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</si>
  <si>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</si>
  <si>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</si>
  <si>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</si>
  <si>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</si>
  <si>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</si>
  <si>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</si>
  <si>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</si>
  <si>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</si>
  <si>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</si>
  <si>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</si>
  <si>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</si>
  <si>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</si>
  <si>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</si>
  <si>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</si>
  <si>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</si>
  <si>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</si>
  <si>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</si>
  <si>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</si>
  <si>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</si>
  <si>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</si>
  <si>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</si>
  <si>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</si>
  <si>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</si>
  <si>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</si>
  <si>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</si>
  <si>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</si>
  <si>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</si>
  <si>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</si>
  <si>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</si>
  <si>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</si>
  <si>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</si>
  <si>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</si>
  <si>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</si>
  <si>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</si>
  <si>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</si>
  <si>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</si>
  <si>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</si>
  <si>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</si>
  <si>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</si>
  <si>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</si>
  <si>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</si>
  <si>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</si>
  <si>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</si>
  <si>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</si>
  <si>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</si>
  <si>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</si>
  <si>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</si>
  <si>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</si>
  <si>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</si>
  <si>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</si>
  <si>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</si>
  <si>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</si>
  <si>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</si>
  <si>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</si>
  <si>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</si>
  <si>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</si>
  <si>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</si>
  <si>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</si>
  <si>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</si>
  <si>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</si>
  <si>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</si>
  <si>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</si>
  <si>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</si>
  <si>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</si>
  <si>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</si>
  <si>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</si>
  <si>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</si>
  <si>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</si>
  <si>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</si>
  <si>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</si>
  <si>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</si>
  <si>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</si>
  <si>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</si>
  <si>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</si>
  <si>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</si>
  <si>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</si>
  <si>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</si>
  <si>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kernel via nce; CBAM block o2 (fuel and, until Task C, process)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</si>
  <si>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</si>
  <si>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</si>
  <si>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</si>
  <si>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</si>
  <si>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</si>
  <si>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Stream 1 (Task C: process pricing; L: CBAM obligations)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</si>
  <si>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</si>
  <si>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</si>
  <si>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</si>
  <si>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</si>
  <si>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</si>
  <si>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</si>
  <si>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</si>
  <si>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</si>
  <si>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Stream 1 (H: output response; L: CBAM price deduction)</t>
  </si>
  <si>
    <t>obrrb</t>
  </si>
  <si>
    <t>Output-based rebate = theta x cptraj (value returned per t at benchmark)</t>
  </si>
  <si>
    <t>egy.mit.obrrb.2</t>
  </si>
  <si>
    <t>CBAM block o6; Stream 1 (H, L)</t>
  </si>
  <si>
    <t>fundsh</t>
  </si>
  <si>
    <t>Share of revenue recycled to the industrial abatement fund phi</t>
  </si>
  <si>
    <t>Stream 2 (E, J)</t>
  </si>
  <si>
    <t>egy.mit.fundsh.2</t>
  </si>
  <si>
    <t>CBAM block o5</t>
  </si>
  <si>
    <t>fundsp</t>
  </si>
  <si>
    <t>Shadow price of fund-financed abatement (acts on intensity only). Placeholder 0 until Task J</t>
  </si>
  <si>
    <t>Stream 2 (J)</t>
  </si>
  <si>
    <t>egy.mit.fundsp.2</t>
  </si>
  <si>
    <t>CBAM block o4 -&gt; Additional ER rows o107-o114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</si>
  <si>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</si>
  <si>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</si>
  <si>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</si>
  <si>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</si>
  <si>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</si>
  <si>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</si>
  <si>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</si>
  <si>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</si>
  <si>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</si>
  <si>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</si>
  <si>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</si>
  <si>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</si>
  <si>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</si>
  <si>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</si>
  <si>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</si>
  <si>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</si>
  <si>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</si>
  <si>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</si>
  <si>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</si>
  <si>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CPAT industry kernel - Egypt prototype v0.4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</si>
  <si>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</si>
  <si>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</si>
  <si>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</si>
  <si>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</si>
  <si>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Kernel output against the values stored in CPAT_1_0pre_456 for the same rows; max absolute and relative differences. v0.3: plus CBAM block rows vs legacy (rows from 583). v0.4: plus Scenarios regression section.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</si>
  <si>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</si>
  <si>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</si>
  <si>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</si>
  <si>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</si>
  <si>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</si>
  <si>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</si>
  <si>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</si>
  <si>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</si>
  <si>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</si>
  <si>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</si>
  <si>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</si>
  <si>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</si>
  <si>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</si>
  <si>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</si>
  <si>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</si>
  <si>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</si>
  <si>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</si>
  <si>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</si>
  <si>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</si>
  <si>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</si>
  <si>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</si>
  <si>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</si>
  <si>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</si>
  <si>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</si>
  <si>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Fund-financed abatement shadow price (Task J); intensity only</t>
  </si>
  <si>
    <t>units of o155</t>
  </si>
  <si>
    <t>fundsh x Total Revenues (o155); converted to o4 in Task J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</si>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</sst>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</numFmts>
  <fonts count="22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0" fontId="0" fillId="0" borderId="0" xfId="0" applyAlignment="1"/>
    <xf numFmtId="0" fontId="21" fillId="0" borderId="0" xfId="0" applyFont="1" applyFill="1"/>
    <xf numFmtId="173" fontId="2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zoomScaleNormal="100" workbookViewId="0">
      <selection activeCell="A31" sqref="A31:XFD31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1840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1841</v>
      </c>
      <c r="B10" s="43" t="s">
        <v>1755</v>
      </c>
      <c r="C10" t="s">
        <v>1842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1714</v>
      </c>
      <c r="C17" t="s">
        <v>1715</v>
      </c>
    </row>
    <row r="18" spans="1:3" x14ac:dyDescent="0.45">
      <c r="A18" s="2" t="s">
        <v>1790</v>
      </c>
      <c r="C18" t="s">
        <v>1843</v>
      </c>
    </row>
    <row r="19" spans="1:3" x14ac:dyDescent="0.45">
      <c r="A19" s="5" t="s">
        <v>21</v>
      </c>
      <c r="C19" s="3" t="s">
        <v>1716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1844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1845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1717</v>
      </c>
      <c r="C30" t="s">
        <v>1718</v>
      </c>
    </row>
    <row r="31" spans="1:3" x14ac:dyDescent="0.45">
      <c r="A31" t="s">
        <v>1846</v>
      </c>
      <c r="B31" s="95" t="s">
        <v>1847</v>
      </c>
      <c r="C31" s="96" t="s">
        <v>1848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47"/>
  <sheetViews>
    <sheetView workbookViewId="0"/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1875</v>
      </c>
      <c r="E21" s="93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0.12903000000000001</v>
      </c>
      <c r="I30" s="65">
        <v>0.56100000000000005</v>
      </c>
      <c r="J30" s="65">
        <v>0.04</v>
      </c>
      <c r="K30" s="65">
        <v>0</v>
      </c>
      <c r="L30" s="59">
        <f t="shared" ref="L30:L37" si="0">SUM(H30:K30)</f>
        <v>0.73003000000000007</v>
      </c>
      <c r="M30" s="65">
        <v>0</v>
      </c>
      <c r="N30" s="59">
        <f t="shared" ref="N30:N37" si="1">L30+M30</f>
        <v>0.73003000000000007</v>
      </c>
      <c r="O30" s="65">
        <v>0.25</v>
      </c>
      <c r="P30" s="66">
        <v>0</v>
      </c>
      <c r="Q30" s="59">
        <f t="shared" ref="Q30:Q37" si="2">N30+O30</f>
        <v>0.98003000000000007</v>
      </c>
      <c r="R30" s="60">
        <f t="shared" ref="R30:R37" si="3">N30+O30*P30</f>
        <v>0.73003000000000007</v>
      </c>
      <c r="S30" s="67">
        <v>5</v>
      </c>
      <c r="T30" s="67">
        <v>56.1</v>
      </c>
      <c r="U30" s="67">
        <v>24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-1.27197</v>
      </c>
      <c r="AB30" s="61">
        <f t="shared" ref="AB30:AB37" si="6">R30-Z30</f>
        <v>0.24903000000000008</v>
      </c>
      <c r="AC30" s="53" t="s">
        <v>1354</v>
      </c>
      <c r="AD30" s="56" t="s">
        <v>1355</v>
      </c>
      <c r="AE30" s="56" t="s">
        <v>1356</v>
      </c>
    </row>
    <row r="31" spans="1:31" ht="13.15" x14ac:dyDescent="0.4">
      <c r="D31" s="56" t="s">
        <v>1357</v>
      </c>
      <c r="E31" s="53" t="s">
        <v>1351</v>
      </c>
      <c r="F31" s="53" t="s">
        <v>1358</v>
      </c>
      <c r="G31" s="53" t="s">
        <v>1359</v>
      </c>
      <c r="H31" s="65">
        <v>0.14025000000000001</v>
      </c>
      <c r="I31" s="65">
        <v>0</v>
      </c>
      <c r="J31" s="65">
        <v>1.4999999999999999E-2</v>
      </c>
      <c r="K31" s="65">
        <v>0</v>
      </c>
      <c r="L31" s="59">
        <f t="shared" si="0"/>
        <v>0.15525</v>
      </c>
      <c r="M31" s="65">
        <v>0</v>
      </c>
      <c r="N31" s="59">
        <f t="shared" si="1"/>
        <v>0.15525</v>
      </c>
      <c r="O31" s="65">
        <v>0.25</v>
      </c>
      <c r="P31" s="66">
        <v>0</v>
      </c>
      <c r="Q31" s="59">
        <f t="shared" si="2"/>
        <v>0.40525</v>
      </c>
      <c r="R31" s="60">
        <f t="shared" si="3"/>
        <v>0.15525</v>
      </c>
      <c r="S31" s="67">
        <v>2.5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-0.63675000000000004</v>
      </c>
      <c r="AB31" s="61">
        <f t="shared" si="6"/>
        <v>8.3250000000000005E-2</v>
      </c>
      <c r="AC31" s="53" t="s">
        <v>1360</v>
      </c>
      <c r="AD31" s="56" t="s">
        <v>1361</v>
      </c>
      <c r="AE31" s="56" t="s">
        <v>1362</v>
      </c>
    </row>
    <row r="32" spans="1:31" ht="13.15" x14ac:dyDescent="0.4">
      <c r="D32" s="56" t="s">
        <v>1363</v>
      </c>
      <c r="E32" s="53" t="s">
        <v>1351</v>
      </c>
      <c r="F32" s="53" t="s">
        <v>1364</v>
      </c>
      <c r="G32" s="53" t="s">
        <v>1365</v>
      </c>
      <c r="H32" s="65">
        <v>0.38440000000000002</v>
      </c>
      <c r="I32" s="65">
        <v>1.5376000000000001</v>
      </c>
      <c r="J32" s="65">
        <v>0.25</v>
      </c>
      <c r="K32" s="65">
        <v>0</v>
      </c>
      <c r="L32" s="59">
        <f t="shared" si="0"/>
        <v>2.1720000000000002</v>
      </c>
      <c r="M32" s="65">
        <v>0</v>
      </c>
      <c r="N32" s="59">
        <f t="shared" si="1"/>
        <v>2.1720000000000002</v>
      </c>
      <c r="O32" s="65">
        <v>0.1875</v>
      </c>
      <c r="P32" s="66">
        <v>0</v>
      </c>
      <c r="Q32" s="59">
        <f t="shared" si="2"/>
        <v>2.3595000000000002</v>
      </c>
      <c r="R32" s="60">
        <f t="shared" si="3"/>
        <v>2.1720000000000002</v>
      </c>
      <c r="S32" s="67">
        <v>4</v>
      </c>
      <c r="T32" s="67">
        <v>96.1</v>
      </c>
      <c r="U32" s="67">
        <v>16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-0.90799999999999992</v>
      </c>
      <c r="AB32" s="61">
        <f t="shared" si="6"/>
        <v>0.80200000000000005</v>
      </c>
      <c r="AC32" s="53" t="s">
        <v>1366</v>
      </c>
      <c r="AD32" s="56" t="s">
        <v>1367</v>
      </c>
      <c r="AE32" s="56" t="s">
        <v>1368</v>
      </c>
    </row>
    <row r="33" spans="1:31" ht="13.15" x14ac:dyDescent="0.4">
      <c r="D33" s="56" t="s">
        <v>1369</v>
      </c>
      <c r="E33" s="53" t="s">
        <v>1370</v>
      </c>
      <c r="F33" s="53" t="s">
        <v>1371</v>
      </c>
      <c r="G33" s="53" t="s">
        <v>1372</v>
      </c>
      <c r="H33" s="65">
        <v>0.2883</v>
      </c>
      <c r="I33" s="65">
        <v>0</v>
      </c>
      <c r="J33" s="65">
        <v>0.52600000000000002</v>
      </c>
      <c r="K33" s="65">
        <v>0</v>
      </c>
      <c r="L33" s="59">
        <f t="shared" si="0"/>
        <v>0.81430000000000002</v>
      </c>
      <c r="M33" s="65">
        <v>0</v>
      </c>
      <c r="N33" s="59">
        <f t="shared" si="1"/>
        <v>0.81430000000000002</v>
      </c>
      <c r="O33" s="65">
        <v>5.6250000000000001E-2</v>
      </c>
      <c r="P33" s="66">
        <v>1</v>
      </c>
      <c r="Q33" s="59">
        <f t="shared" si="2"/>
        <v>0.87055000000000005</v>
      </c>
      <c r="R33" s="60">
        <f t="shared" si="3"/>
        <v>0.87055000000000005</v>
      </c>
      <c r="S33" s="67">
        <v>3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-0.86745000000000017</v>
      </c>
      <c r="AB33" s="61">
        <f t="shared" si="6"/>
        <v>0.20455000000000001</v>
      </c>
      <c r="AC33" s="53" t="s">
        <v>1373</v>
      </c>
      <c r="AD33" s="56" t="s">
        <v>1374</v>
      </c>
      <c r="AE33" s="56" t="s">
        <v>1375</v>
      </c>
    </row>
    <row r="34" spans="1:31" ht="13.15" x14ac:dyDescent="0.4">
      <c r="D34" s="56" t="s">
        <v>1376</v>
      </c>
      <c r="E34" s="53" t="s">
        <v>1377</v>
      </c>
      <c r="F34" s="53" t="s">
        <v>1378</v>
      </c>
      <c r="G34" s="53" t="s">
        <v>1379</v>
      </c>
      <c r="H34" s="65">
        <v>0.39269999999999999</v>
      </c>
      <c r="I34" s="65">
        <v>1.4585999999999999</v>
      </c>
      <c r="J34" s="65">
        <v>0</v>
      </c>
      <c r="K34" s="65">
        <v>0</v>
      </c>
      <c r="L34" s="59">
        <f t="shared" si="0"/>
        <v>1.8512999999999999</v>
      </c>
      <c r="M34" s="65">
        <v>0</v>
      </c>
      <c r="N34" s="59">
        <f t="shared" si="1"/>
        <v>1.8512999999999999</v>
      </c>
      <c r="O34" s="65">
        <v>3.7499999999999999E-2</v>
      </c>
      <c r="P34" s="66">
        <v>1</v>
      </c>
      <c r="Q34" s="59">
        <f t="shared" si="2"/>
        <v>1.8888</v>
      </c>
      <c r="R34" s="60">
        <f t="shared" si="3"/>
        <v>1.8888</v>
      </c>
      <c r="S34" s="67">
        <v>7</v>
      </c>
      <c r="T34" s="67">
        <v>56.1</v>
      </c>
      <c r="U34" s="67">
        <v>26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-0.18169999999999997</v>
      </c>
      <c r="AB34" s="61">
        <f t="shared" si="6"/>
        <v>0.40480000000000005</v>
      </c>
      <c r="AC34" s="53" t="s">
        <v>1380</v>
      </c>
      <c r="AD34" s="56" t="s">
        <v>1381</v>
      </c>
      <c r="AE34" s="56" t="s">
        <v>1382</v>
      </c>
    </row>
    <row r="35" spans="1:31" ht="13.15" x14ac:dyDescent="0.4">
      <c r="D35" s="56" t="s">
        <v>1383</v>
      </c>
      <c r="E35" s="53" t="s">
        <v>1384</v>
      </c>
      <c r="F35" s="53" t="s">
        <v>1385</v>
      </c>
      <c r="G35" s="53" t="s">
        <v>1386</v>
      </c>
      <c r="H35" s="65">
        <v>0.11219999999999999</v>
      </c>
      <c r="I35" s="65">
        <v>0</v>
      </c>
      <c r="J35" s="65">
        <v>-0.73299999999999998</v>
      </c>
      <c r="K35" s="65">
        <v>0</v>
      </c>
      <c r="L35" s="59">
        <f t="shared" si="0"/>
        <v>-0.62080000000000002</v>
      </c>
      <c r="M35" s="65">
        <v>1.0709496000000001</v>
      </c>
      <c r="N35" s="59">
        <f t="shared" si="1"/>
        <v>0.45014960000000004</v>
      </c>
      <c r="O35" s="65">
        <v>3.7499999999999999E-2</v>
      </c>
      <c r="P35" s="66">
        <v>1</v>
      </c>
      <c r="Q35" s="59">
        <f t="shared" si="2"/>
        <v>0.48764960000000002</v>
      </c>
      <c r="R35" s="60">
        <f t="shared" si="3"/>
        <v>0.48764960000000002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-0.91625039999999991</v>
      </c>
      <c r="AB35" s="61">
        <f t="shared" si="6"/>
        <v>-0.41435040000000001</v>
      </c>
      <c r="AC35" s="53" t="s">
        <v>1387</v>
      </c>
      <c r="AD35" s="56" t="s">
        <v>1388</v>
      </c>
      <c r="AE35" s="56" t="s">
        <v>1389</v>
      </c>
    </row>
    <row r="36" spans="1:31" ht="13.15" x14ac:dyDescent="0.4">
      <c r="D36" s="56" t="s">
        <v>1390</v>
      </c>
      <c r="E36" s="53" t="s">
        <v>1391</v>
      </c>
      <c r="F36" s="53" t="s">
        <v>1392</v>
      </c>
      <c r="G36" s="53" t="s">
        <v>1393</v>
      </c>
      <c r="H36" s="65">
        <v>0.11219999999999999</v>
      </c>
      <c r="I36" s="65">
        <v>0</v>
      </c>
      <c r="J36" s="65">
        <v>0</v>
      </c>
      <c r="K36" s="65">
        <v>0.97</v>
      </c>
      <c r="L36" s="59">
        <f t="shared" si="0"/>
        <v>1.0822000000000001</v>
      </c>
      <c r="M36" s="65">
        <v>0.40137</v>
      </c>
      <c r="N36" s="59">
        <f t="shared" si="1"/>
        <v>1.4835700000000001</v>
      </c>
      <c r="O36" s="65">
        <v>4.3749999999999997E-2</v>
      </c>
      <c r="P36" s="66">
        <v>1</v>
      </c>
      <c r="Q36" s="59">
        <f t="shared" si="2"/>
        <v>1.52732</v>
      </c>
      <c r="R36" s="60">
        <f t="shared" si="3"/>
        <v>1.52732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-1.1390800000000003</v>
      </c>
      <c r="AB36" s="61">
        <f t="shared" si="6"/>
        <v>1.22532</v>
      </c>
      <c r="AC36" s="53" t="s">
        <v>1394</v>
      </c>
      <c r="AD36" s="56" t="s">
        <v>1395</v>
      </c>
      <c r="AE36" s="56" t="s">
        <v>1396</v>
      </c>
    </row>
    <row r="37" spans="1:31" ht="13.15" x14ac:dyDescent="0.4">
      <c r="D37" s="56" t="s">
        <v>1397</v>
      </c>
      <c r="E37" s="53" t="s">
        <v>1398</v>
      </c>
      <c r="F37" s="53" t="s">
        <v>1399</v>
      </c>
      <c r="G37" s="53" t="s">
        <v>1400</v>
      </c>
      <c r="H37" s="65">
        <v>0.156</v>
      </c>
      <c r="I37" s="65">
        <v>0</v>
      </c>
      <c r="J37" s="65">
        <v>1.5</v>
      </c>
      <c r="K37" s="65">
        <v>0.85</v>
      </c>
      <c r="L37" s="59">
        <f t="shared" si="0"/>
        <v>2.5059999999999998</v>
      </c>
      <c r="M37" s="65">
        <v>0</v>
      </c>
      <c r="N37" s="59">
        <f t="shared" si="1"/>
        <v>2.5059999999999998</v>
      </c>
      <c r="O37" s="65">
        <v>6.75</v>
      </c>
      <c r="P37" s="66">
        <v>0</v>
      </c>
      <c r="Q37" s="59">
        <f t="shared" si="2"/>
        <v>9.2560000000000002</v>
      </c>
      <c r="R37" s="60">
        <f t="shared" si="3"/>
        <v>2.5059999999999998</v>
      </c>
      <c r="S37" s="67">
        <v>2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0.23999999999999932</v>
      </c>
      <c r="AB37" s="61">
        <f t="shared" si="6"/>
        <v>1.0829999999999997</v>
      </c>
      <c r="AC37" s="53" t="s">
        <v>1401</v>
      </c>
      <c r="AD37" s="56" t="s">
        <v>1402</v>
      </c>
      <c r="AE37" s="56" t="s">
        <v>1403</v>
      </c>
    </row>
    <row r="38" spans="1:31" ht="13.15" x14ac:dyDescent="0.4">
      <c r="A38" s="56"/>
      <c r="B38" s="56" t="s">
        <v>1404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1405</v>
      </c>
      <c r="E39" s="56" t="s">
        <v>1406</v>
      </c>
      <c r="F39" s="53" t="s">
        <v>1407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1357</v>
      </c>
      <c r="E41" s="69">
        <v>2.0202707317519501E-4</v>
      </c>
      <c r="F41" s="68">
        <v>0.02</v>
      </c>
    </row>
    <row r="42" spans="1:31" ht="13.15" x14ac:dyDescent="0.4">
      <c r="D42" s="56" t="s">
        <v>1408</v>
      </c>
      <c r="E42" s="69">
        <v>5.1293294387550598E-4</v>
      </c>
      <c r="F42" s="68">
        <v>0.05</v>
      </c>
    </row>
    <row r="43" spans="1:31" ht="13.15" x14ac:dyDescent="0.4">
      <c r="D43" s="56" t="s">
        <v>1409</v>
      </c>
      <c r="E43" s="69">
        <v>8.3381608939051E-4</v>
      </c>
      <c r="F43" s="68">
        <v>0.08</v>
      </c>
    </row>
    <row r="44" spans="1:31" ht="13.15" x14ac:dyDescent="0.4">
      <c r="D44" s="56" t="s">
        <v>1410</v>
      </c>
      <c r="E44" s="69">
        <v>1.98450938723838E-3</v>
      </c>
      <c r="F44" s="68">
        <v>0.18</v>
      </c>
    </row>
    <row r="45" spans="1:31" ht="13.15" x14ac:dyDescent="0.4">
      <c r="D45" s="56" t="s">
        <v>1383</v>
      </c>
      <c r="E45" s="69">
        <v>0</v>
      </c>
      <c r="F45" s="68">
        <v>0</v>
      </c>
    </row>
    <row r="46" spans="1:31" ht="13.15" x14ac:dyDescent="0.4">
      <c r="D46" s="56" t="s">
        <v>1411</v>
      </c>
      <c r="E46" s="69">
        <v>1.04982212449868E-2</v>
      </c>
      <c r="F46" s="68">
        <v>0.65</v>
      </c>
    </row>
    <row r="47" spans="1:31" ht="13.15" x14ac:dyDescent="0.4">
      <c r="D47" s="56" t="s">
        <v>1397</v>
      </c>
      <c r="E47" s="69">
        <v>8.3381608939051E-4</v>
      </c>
      <c r="F47" s="68">
        <v>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68"/>
  <sheetViews>
    <sheetView workbookViewId="0"/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1719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1720</v>
      </c>
    </row>
    <row r="3" spans="1:35" x14ac:dyDescent="0.35">
      <c r="B3" s="53" t="s">
        <v>1721</v>
      </c>
    </row>
    <row r="5" spans="1:35" ht="13.15" x14ac:dyDescent="0.4">
      <c r="A5" s="63">
        <v>1</v>
      </c>
      <c r="B5" s="63" t="s">
        <v>1722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1723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1724</v>
      </c>
      <c r="C7" s="53" t="s">
        <v>1725</v>
      </c>
      <c r="D7" s="53" t="s">
        <v>1726</v>
      </c>
      <c r="I7" s="53" t="s">
        <v>1415</v>
      </c>
      <c r="J7" s="53" t="s">
        <v>1727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1728</v>
      </c>
      <c r="C8" s="53" t="s">
        <v>1729</v>
      </c>
      <c r="D8" s="53" t="s">
        <v>1730</v>
      </c>
      <c r="I8" s="53" t="s">
        <v>1415</v>
      </c>
      <c r="J8" s="53" t="s">
        <v>1727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1731</v>
      </c>
      <c r="C9" s="53" t="s">
        <v>1732</v>
      </c>
      <c r="D9" s="53" t="s">
        <v>77</v>
      </c>
      <c r="I9" s="53" t="s">
        <v>1415</v>
      </c>
      <c r="J9" s="53" t="s">
        <v>1727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1733</v>
      </c>
      <c r="C10" s="53" t="s">
        <v>1734</v>
      </c>
      <c r="D10" s="53" t="s">
        <v>1735</v>
      </c>
      <c r="I10" s="53" t="s">
        <v>1415</v>
      </c>
      <c r="J10" s="53" t="s">
        <v>1727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1736</v>
      </c>
      <c r="C11" s="53" t="s">
        <v>1737</v>
      </c>
      <c r="D11" s="53" t="s">
        <v>1738</v>
      </c>
      <c r="I11" s="53" t="s">
        <v>1415</v>
      </c>
      <c r="J11" s="53" t="s">
        <v>1727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1739</v>
      </c>
      <c r="C12" s="53" t="s">
        <v>1740</v>
      </c>
      <c r="D12" s="53" t="s">
        <v>1741</v>
      </c>
      <c r="I12" s="53" t="s">
        <v>1415</v>
      </c>
      <c r="J12" s="53" t="s">
        <v>1727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1742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1743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1744</v>
      </c>
      <c r="C16" s="58" t="s">
        <v>1745</v>
      </c>
      <c r="D16" s="58" t="s">
        <v>1746</v>
      </c>
      <c r="E16" s="58" t="s">
        <v>1747</v>
      </c>
      <c r="F16" s="58" t="s">
        <v>1748</v>
      </c>
      <c r="G16" s="58" t="s">
        <v>1749</v>
      </c>
      <c r="H16" s="58" t="s">
        <v>1750</v>
      </c>
      <c r="I16" s="58" t="s">
        <v>1751</v>
      </c>
      <c r="J16" s="58" t="s">
        <v>1752</v>
      </c>
      <c r="K16" s="58" t="s">
        <v>1753</v>
      </c>
      <c r="L16" s="58" t="s">
        <v>1754</v>
      </c>
    </row>
    <row r="17" spans="1:35" ht="13.15" x14ac:dyDescent="0.4">
      <c r="A17" s="56"/>
      <c r="B17" s="53" t="s">
        <v>1755</v>
      </c>
      <c r="C17" s="62" t="s">
        <v>1756</v>
      </c>
      <c r="D17" s="62" t="s">
        <v>1724</v>
      </c>
      <c r="E17" s="62" t="s">
        <v>1728</v>
      </c>
      <c r="F17" s="62">
        <v>1</v>
      </c>
      <c r="G17" s="62">
        <v>0</v>
      </c>
      <c r="H17" s="62" t="s">
        <v>1724</v>
      </c>
      <c r="I17" s="62">
        <v>0</v>
      </c>
      <c r="J17" s="62">
        <v>0</v>
      </c>
      <c r="K17" s="62" t="s">
        <v>1757</v>
      </c>
      <c r="L17" s="62" t="s">
        <v>1758</v>
      </c>
    </row>
    <row r="18" spans="1:35" ht="13.15" x14ac:dyDescent="0.4">
      <c r="A18" s="56"/>
      <c r="B18" s="53" t="s">
        <v>1759</v>
      </c>
      <c r="C18" s="62" t="s">
        <v>1760</v>
      </c>
      <c r="D18" s="62" t="s">
        <v>1733</v>
      </c>
      <c r="E18" s="62" t="s">
        <v>1731</v>
      </c>
      <c r="F18" s="62">
        <v>1</v>
      </c>
      <c r="G18" s="62">
        <v>1</v>
      </c>
      <c r="H18" s="62" t="s">
        <v>1733</v>
      </c>
      <c r="I18" s="62">
        <v>0</v>
      </c>
      <c r="J18" s="62">
        <v>0</v>
      </c>
      <c r="K18" s="62" t="s">
        <v>1761</v>
      </c>
      <c r="L18" s="62" t="s">
        <v>1758</v>
      </c>
    </row>
    <row r="19" spans="1:35" ht="13.15" x14ac:dyDescent="0.4">
      <c r="A19" s="56"/>
      <c r="B19" s="53" t="s">
        <v>1762</v>
      </c>
      <c r="C19" s="62" t="s">
        <v>1763</v>
      </c>
      <c r="D19" s="62" t="s">
        <v>1733</v>
      </c>
      <c r="E19" s="62" t="s">
        <v>1731</v>
      </c>
      <c r="F19" s="62">
        <v>1</v>
      </c>
      <c r="G19" s="62">
        <v>0</v>
      </c>
      <c r="H19" s="62" t="s">
        <v>1733</v>
      </c>
      <c r="I19" s="62">
        <v>0</v>
      </c>
      <c r="J19" s="62">
        <v>0</v>
      </c>
      <c r="K19" s="62" t="s">
        <v>1761</v>
      </c>
      <c r="L19" s="62" t="s">
        <v>1758</v>
      </c>
    </row>
    <row r="20" spans="1:35" ht="13.15" x14ac:dyDescent="0.4">
      <c r="A20" s="56"/>
      <c r="B20" s="53" t="s">
        <v>1764</v>
      </c>
      <c r="C20" s="62" t="s">
        <v>1765</v>
      </c>
      <c r="D20" s="62" t="s">
        <v>1733</v>
      </c>
      <c r="E20" s="62" t="s">
        <v>1731</v>
      </c>
      <c r="F20" s="62">
        <v>1</v>
      </c>
      <c r="G20" s="62">
        <v>0</v>
      </c>
      <c r="H20" s="62" t="s">
        <v>1733</v>
      </c>
      <c r="I20" s="62">
        <v>0</v>
      </c>
      <c r="J20" s="62">
        <v>0</v>
      </c>
      <c r="K20" s="62" t="s">
        <v>1766</v>
      </c>
      <c r="L20" s="62" t="s">
        <v>1758</v>
      </c>
    </row>
    <row r="21" spans="1:35" ht="13.15" x14ac:dyDescent="0.4">
      <c r="A21" s="56"/>
      <c r="B21" s="53" t="s">
        <v>1767</v>
      </c>
      <c r="C21" s="62" t="s">
        <v>1768</v>
      </c>
      <c r="D21" s="62" t="s">
        <v>1736</v>
      </c>
      <c r="E21" s="62" t="s">
        <v>1731</v>
      </c>
      <c r="F21" s="62">
        <v>1</v>
      </c>
      <c r="G21" s="62">
        <v>1</v>
      </c>
      <c r="H21" s="62" t="s">
        <v>1736</v>
      </c>
      <c r="I21" s="62">
        <v>0</v>
      </c>
      <c r="J21" s="62">
        <v>0</v>
      </c>
      <c r="K21" s="62" t="s">
        <v>1766</v>
      </c>
      <c r="L21" s="62" t="s">
        <v>1769</v>
      </c>
    </row>
    <row r="22" spans="1:35" ht="13.15" x14ac:dyDescent="0.4">
      <c r="A22" s="56"/>
      <c r="B22" s="53" t="s">
        <v>1770</v>
      </c>
      <c r="C22" s="62" t="s">
        <v>1771</v>
      </c>
      <c r="D22" s="62" t="s">
        <v>1736</v>
      </c>
      <c r="E22" s="62" t="s">
        <v>1731</v>
      </c>
      <c r="F22" s="62">
        <v>1</v>
      </c>
      <c r="G22" s="62">
        <v>1</v>
      </c>
      <c r="H22" s="62" t="s">
        <v>1736</v>
      </c>
      <c r="I22" s="62">
        <v>1</v>
      </c>
      <c r="J22" s="62">
        <v>0</v>
      </c>
      <c r="K22" s="62" t="s">
        <v>1772</v>
      </c>
      <c r="L22" s="62" t="s">
        <v>1769</v>
      </c>
    </row>
    <row r="23" spans="1:35" ht="13.15" x14ac:dyDescent="0.4">
      <c r="A23" s="56"/>
      <c r="B23" s="53" t="s">
        <v>1773</v>
      </c>
      <c r="C23" s="62" t="s">
        <v>1774</v>
      </c>
      <c r="D23" s="62" t="s">
        <v>1736</v>
      </c>
      <c r="E23" s="62" t="s">
        <v>1731</v>
      </c>
      <c r="F23" s="62">
        <v>1</v>
      </c>
      <c r="G23" s="62">
        <v>1</v>
      </c>
      <c r="H23" s="62" t="s">
        <v>1736</v>
      </c>
      <c r="I23" s="62">
        <v>0</v>
      </c>
      <c r="J23" s="62">
        <v>1</v>
      </c>
      <c r="K23" s="62" t="s">
        <v>1775</v>
      </c>
      <c r="L23" s="62" t="s">
        <v>1769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1776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1744</v>
      </c>
      <c r="C26" s="56" t="s">
        <v>1745</v>
      </c>
      <c r="D26" s="56" t="s">
        <v>1746</v>
      </c>
      <c r="E26" s="56" t="s">
        <v>1747</v>
      </c>
      <c r="F26" s="56" t="s">
        <v>1748</v>
      </c>
      <c r="G26" s="56" t="s">
        <v>1749</v>
      </c>
      <c r="H26" s="56" t="s">
        <v>1750</v>
      </c>
      <c r="I26" s="56" t="s">
        <v>1751</v>
      </c>
      <c r="J26" s="56" t="s">
        <v>1752</v>
      </c>
      <c r="K26" s="56" t="s">
        <v>1753</v>
      </c>
      <c r="L26" s="56" t="s">
        <v>1754</v>
      </c>
    </row>
    <row r="27" spans="1:35" ht="13.15" x14ac:dyDescent="0.4">
      <c r="A27" s="56"/>
      <c r="B27" s="93" t="str">
        <f>Settings!$B$10</f>
        <v>LEGACY</v>
      </c>
      <c r="C27" s="53" t="str">
        <f>INDEX(C$17:C$23,MATCH($B$27,$B$17:$B$23,0))</f>
        <v>CPAT default policy scenario (regression)</v>
      </c>
      <c r="D27" s="53" t="str">
        <f>INDEX(D$17:D$23,MATCH($B$27,$B$17:$B$23,0))</f>
        <v>LEGACY_CP</v>
      </c>
      <c r="E27" s="53" t="str">
        <f>INDEX(E$17:E$23,MATCH($B$27,$B$17:$B$23,0))</f>
        <v>LEGACY_ETS</v>
      </c>
      <c r="F27" s="53">
        <f>INDEX(F$17:F$23,MATCH($B$27,$B$17:$B$23,0))</f>
        <v>1</v>
      </c>
      <c r="G27" s="53">
        <f>INDEX(G$17:G$23,MATCH($B$27,$B$17:$B$23,0))</f>
        <v>0</v>
      </c>
      <c r="H27" s="53" t="str">
        <f>INDEX(H$17:H$23,MATCH($B$27,$B$17:$B$23,0))</f>
        <v>LEGACY_CP</v>
      </c>
      <c r="I27" s="53">
        <f>INDEX(I$17:I$23,MATCH($B$27,$B$17:$B$23,0))</f>
        <v>0</v>
      </c>
      <c r="J27" s="53">
        <f>INDEX(J$17:J$23,MATCH($B$27,$B$17:$B$23,0))</f>
        <v>0</v>
      </c>
      <c r="K27" s="53" t="str">
        <f>INDEX(K$17:K$23,MATCH($B$27,$B$17:$B$23,0))</f>
        <v>CPAT default</v>
      </c>
      <c r="L27" s="53" t="str">
        <f>INDEX(L$17:L$23,MATCH($B$27,$B$17:$B$23,0))</f>
        <v>All sectors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1777</v>
      </c>
      <c r="D29" s="56"/>
      <c r="E29" s="56" t="s">
        <v>1778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1779</v>
      </c>
      <c r="E30" s="62">
        <v>0.1</v>
      </c>
      <c r="I30" s="53" t="s">
        <v>1780</v>
      </c>
      <c r="J30" s="53" t="s">
        <v>1781</v>
      </c>
    </row>
    <row r="31" spans="1:35" ht="13.15" x14ac:dyDescent="0.4">
      <c r="A31" s="56"/>
      <c r="B31" s="53" t="s">
        <v>53</v>
      </c>
      <c r="C31" s="53" t="s">
        <v>1779</v>
      </c>
      <c r="E31" s="62">
        <v>5.5800000000000002E-2</v>
      </c>
      <c r="I31" s="53" t="s">
        <v>1780</v>
      </c>
      <c r="J31" s="53" t="s">
        <v>1781</v>
      </c>
    </row>
    <row r="32" spans="1:35" ht="13.15" x14ac:dyDescent="0.4">
      <c r="A32" s="56"/>
      <c r="B32" s="53" t="s">
        <v>55</v>
      </c>
      <c r="C32" s="53" t="s">
        <v>1779</v>
      </c>
      <c r="E32" s="62">
        <v>2.3142274537200002E-3</v>
      </c>
      <c r="I32" s="53" t="s">
        <v>1782</v>
      </c>
      <c r="J32" s="53" t="s">
        <v>1781</v>
      </c>
    </row>
    <row r="33" spans="1:35" ht="13.15" x14ac:dyDescent="0.4">
      <c r="A33" s="56"/>
      <c r="B33" s="53" t="s">
        <v>58</v>
      </c>
      <c r="C33" s="53" t="s">
        <v>1779</v>
      </c>
      <c r="E33" s="62">
        <v>2.64083510871E-3</v>
      </c>
      <c r="I33" s="53" t="s">
        <v>1782</v>
      </c>
      <c r="J33" s="53" t="s">
        <v>1781</v>
      </c>
    </row>
    <row r="34" spans="1:35" ht="13.15" x14ac:dyDescent="0.4">
      <c r="A34" s="56"/>
      <c r="B34" s="53" t="s">
        <v>60</v>
      </c>
      <c r="C34" s="53" t="s">
        <v>1779</v>
      </c>
      <c r="E34" s="62">
        <v>1.7684866341836534E-3</v>
      </c>
      <c r="I34" s="53" t="s">
        <v>1782</v>
      </c>
      <c r="J34" s="53" t="s">
        <v>1781</v>
      </c>
    </row>
    <row r="35" spans="1:35" ht="13.15" x14ac:dyDescent="0.4">
      <c r="A35" s="56"/>
      <c r="B35" s="53" t="s">
        <v>62</v>
      </c>
      <c r="C35" s="53" t="s">
        <v>1779</v>
      </c>
      <c r="E35" s="62">
        <v>2.5591064088086772E-3</v>
      </c>
      <c r="I35" s="53" t="s">
        <v>1782</v>
      </c>
      <c r="J35" s="53" t="s">
        <v>1781</v>
      </c>
    </row>
    <row r="36" spans="1:35" ht="13.15" x14ac:dyDescent="0.4">
      <c r="A36" s="56"/>
      <c r="B36" s="53" t="s">
        <v>64</v>
      </c>
      <c r="C36" s="53" t="s">
        <v>1779</v>
      </c>
      <c r="E36" s="62">
        <v>0.46940399999999999</v>
      </c>
      <c r="I36" s="53" t="s">
        <v>1783</v>
      </c>
      <c r="J36" s="53" t="s">
        <v>1781</v>
      </c>
    </row>
    <row r="37" spans="1:35" ht="13.15" x14ac:dyDescent="0.4">
      <c r="A37" s="56"/>
      <c r="B37" s="53" t="s">
        <v>67</v>
      </c>
      <c r="C37" s="53" t="s">
        <v>1779</v>
      </c>
      <c r="E37" s="62">
        <v>0</v>
      </c>
      <c r="I37" s="53" t="s">
        <v>1780</v>
      </c>
      <c r="J37" s="53" t="s">
        <v>1781</v>
      </c>
    </row>
    <row r="38" spans="1:35" ht="13.15" x14ac:dyDescent="0.4">
      <c r="A38" s="56"/>
      <c r="B38" s="53" t="s">
        <v>69</v>
      </c>
      <c r="C38" s="53" t="s">
        <v>1779</v>
      </c>
      <c r="E38" s="62">
        <v>0</v>
      </c>
      <c r="I38" s="53" t="s">
        <v>1784</v>
      </c>
      <c r="J38" s="53" t="s">
        <v>1781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1785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1786</v>
      </c>
      <c r="E41" s="56" t="s">
        <v>35</v>
      </c>
      <c r="F41" s="56" t="s">
        <v>36</v>
      </c>
      <c r="G41" s="56" t="s">
        <v>37</v>
      </c>
      <c r="H41" s="56" t="s">
        <v>1787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1414</v>
      </c>
      <c r="C42" s="53" t="s">
        <v>1788</v>
      </c>
      <c r="D42" s="53" t="s">
        <v>1789</v>
      </c>
      <c r="E42" s="53" t="s">
        <v>1415</v>
      </c>
      <c r="F42" s="53" t="s">
        <v>1790</v>
      </c>
      <c r="G42" s="94" t="s">
        <v>1420</v>
      </c>
      <c r="H42" s="53" t="s">
        <v>1791</v>
      </c>
      <c r="J42" s="53" t="s">
        <v>1727</v>
      </c>
      <c r="K42" s="59">
        <f t="shared" ref="K42:AI42" si="0">INDEX(K$7:K$12,MATCH($D$27,$B$7:$B$12,0))</f>
        <v>0</v>
      </c>
      <c r="L42" s="59">
        <f t="shared" si="0"/>
        <v>0</v>
      </c>
      <c r="M42" s="59">
        <f t="shared" si="0"/>
        <v>0</v>
      </c>
      <c r="N42" s="59">
        <f t="shared" si="0"/>
        <v>0</v>
      </c>
      <c r="O42" s="59">
        <f t="shared" si="0"/>
        <v>0</v>
      </c>
      <c r="P42" s="59">
        <f t="shared" si="0"/>
        <v>0</v>
      </c>
      <c r="Q42" s="59">
        <f t="shared" si="0"/>
        <v>12.5</v>
      </c>
      <c r="R42" s="59">
        <f t="shared" si="0"/>
        <v>25</v>
      </c>
      <c r="S42" s="59">
        <f t="shared" si="0"/>
        <v>37.5</v>
      </c>
      <c r="T42" s="59">
        <f t="shared" si="0"/>
        <v>50</v>
      </c>
      <c r="U42" s="59">
        <f t="shared" si="0"/>
        <v>62.5</v>
      </c>
      <c r="V42" s="59">
        <f t="shared" si="0"/>
        <v>75</v>
      </c>
      <c r="W42" s="59">
        <f t="shared" si="0"/>
        <v>87.5</v>
      </c>
      <c r="X42" s="59">
        <f t="shared" si="0"/>
        <v>100</v>
      </c>
      <c r="Y42" s="59">
        <f t="shared" si="0"/>
        <v>112.5</v>
      </c>
      <c r="Z42" s="59">
        <f t="shared" si="0"/>
        <v>125</v>
      </c>
      <c r="AA42" s="59">
        <f t="shared" si="0"/>
        <v>137.5</v>
      </c>
      <c r="AB42" s="59">
        <f t="shared" si="0"/>
        <v>150</v>
      </c>
      <c r="AC42" s="59">
        <f t="shared" si="0"/>
        <v>162.5</v>
      </c>
      <c r="AD42" s="59">
        <f t="shared" si="0"/>
        <v>175</v>
      </c>
      <c r="AE42" s="59">
        <f t="shared" si="0"/>
        <v>187.5</v>
      </c>
      <c r="AF42" s="59">
        <f t="shared" si="0"/>
        <v>0</v>
      </c>
      <c r="AG42" s="59">
        <f t="shared" si="0"/>
        <v>0</v>
      </c>
      <c r="AH42" s="59">
        <f t="shared" si="0"/>
        <v>0</v>
      </c>
      <c r="AI42" s="59">
        <f t="shared" si="0"/>
        <v>0</v>
      </c>
    </row>
    <row r="43" spans="1:35" ht="13.15" x14ac:dyDescent="0.4">
      <c r="A43" s="56"/>
      <c r="B43" s="53" t="s">
        <v>1418</v>
      </c>
      <c r="C43" s="53" t="s">
        <v>1792</v>
      </c>
      <c r="D43" s="53" t="s">
        <v>1789</v>
      </c>
      <c r="E43" s="53" t="s">
        <v>1415</v>
      </c>
      <c r="F43" s="53" t="s">
        <v>1790</v>
      </c>
      <c r="G43" s="94" t="s">
        <v>1421</v>
      </c>
      <c r="H43" s="53" t="s">
        <v>1793</v>
      </c>
      <c r="J43" s="53" t="s">
        <v>1727</v>
      </c>
      <c r="K43" s="59">
        <f t="shared" ref="K43:AI43" si="1">INDEX(K$7:K$12,MATCH($E$27,$B$7:$B$12,0))</f>
        <v>0</v>
      </c>
      <c r="L43" s="59">
        <f t="shared" si="1"/>
        <v>0</v>
      </c>
      <c r="M43" s="59">
        <f t="shared" si="1"/>
        <v>0</v>
      </c>
      <c r="N43" s="59">
        <f t="shared" si="1"/>
        <v>0</v>
      </c>
      <c r="O43" s="59">
        <f t="shared" si="1"/>
        <v>0</v>
      </c>
      <c r="P43" s="59">
        <f t="shared" si="1"/>
        <v>0</v>
      </c>
      <c r="Q43" s="59">
        <f t="shared" si="1"/>
        <v>0</v>
      </c>
      <c r="R43" s="59">
        <f t="shared" si="1"/>
        <v>0</v>
      </c>
      <c r="S43" s="59">
        <f t="shared" si="1"/>
        <v>0</v>
      </c>
      <c r="T43" s="59">
        <f t="shared" si="1"/>
        <v>0</v>
      </c>
      <c r="U43" s="59">
        <f t="shared" si="1"/>
        <v>0</v>
      </c>
      <c r="V43" s="59">
        <f t="shared" si="1"/>
        <v>0</v>
      </c>
      <c r="W43" s="59">
        <f t="shared" si="1"/>
        <v>0</v>
      </c>
      <c r="X43" s="59">
        <f t="shared" si="1"/>
        <v>0</v>
      </c>
      <c r="Y43" s="59">
        <f t="shared" si="1"/>
        <v>0</v>
      </c>
      <c r="Z43" s="59">
        <f t="shared" si="1"/>
        <v>0</v>
      </c>
      <c r="AA43" s="59">
        <f t="shared" si="1"/>
        <v>0</v>
      </c>
      <c r="AB43" s="59">
        <f t="shared" si="1"/>
        <v>0</v>
      </c>
      <c r="AC43" s="59">
        <f t="shared" si="1"/>
        <v>0</v>
      </c>
      <c r="AD43" s="59">
        <f t="shared" si="1"/>
        <v>0</v>
      </c>
      <c r="AE43" s="59">
        <f t="shared" si="1"/>
        <v>0</v>
      </c>
      <c r="AF43" s="59">
        <f t="shared" si="1"/>
        <v>0</v>
      </c>
      <c r="AG43" s="59">
        <f t="shared" si="1"/>
        <v>0</v>
      </c>
      <c r="AH43" s="59">
        <f t="shared" si="1"/>
        <v>0</v>
      </c>
      <c r="AI43" s="59">
        <f t="shared" si="1"/>
        <v>0</v>
      </c>
    </row>
    <row r="44" spans="1:35" ht="13.15" x14ac:dyDescent="0.4">
      <c r="A44" s="56"/>
      <c r="B44" s="53" t="s">
        <v>1794</v>
      </c>
      <c r="C44" s="53" t="s">
        <v>1795</v>
      </c>
      <c r="D44" s="53" t="s">
        <v>1789</v>
      </c>
      <c r="E44" s="53" t="s">
        <v>1415</v>
      </c>
      <c r="F44" s="53" t="s">
        <v>1790</v>
      </c>
      <c r="G44" s="94" t="s">
        <v>1796</v>
      </c>
      <c r="H44" s="53" t="s">
        <v>1797</v>
      </c>
      <c r="J44" s="53" t="s">
        <v>1727</v>
      </c>
      <c r="K44" s="59">
        <f t="shared" ref="K44:AI44" si="2">INDEX(K$7:K$12,MATCH($H$27,$B$7:$B$12,0))*$G$27</f>
        <v>0</v>
      </c>
      <c r="L44" s="59">
        <f t="shared" si="2"/>
        <v>0</v>
      </c>
      <c r="M44" s="59">
        <f t="shared" si="2"/>
        <v>0</v>
      </c>
      <c r="N44" s="59">
        <f t="shared" si="2"/>
        <v>0</v>
      </c>
      <c r="O44" s="59">
        <f t="shared" si="2"/>
        <v>0</v>
      </c>
      <c r="P44" s="59">
        <f t="shared" si="2"/>
        <v>0</v>
      </c>
      <c r="Q44" s="59">
        <f t="shared" si="2"/>
        <v>0</v>
      </c>
      <c r="R44" s="59">
        <f t="shared" si="2"/>
        <v>0</v>
      </c>
      <c r="S44" s="59">
        <f t="shared" si="2"/>
        <v>0</v>
      </c>
      <c r="T44" s="59">
        <f t="shared" si="2"/>
        <v>0</v>
      </c>
      <c r="U44" s="59">
        <f t="shared" si="2"/>
        <v>0</v>
      </c>
      <c r="V44" s="59">
        <f t="shared" si="2"/>
        <v>0</v>
      </c>
      <c r="W44" s="59">
        <f t="shared" si="2"/>
        <v>0</v>
      </c>
      <c r="X44" s="59">
        <f t="shared" si="2"/>
        <v>0</v>
      </c>
      <c r="Y44" s="59">
        <f t="shared" si="2"/>
        <v>0</v>
      </c>
      <c r="Z44" s="59">
        <f t="shared" si="2"/>
        <v>0</v>
      </c>
      <c r="AA44" s="59">
        <f t="shared" si="2"/>
        <v>0</v>
      </c>
      <c r="AB44" s="59">
        <f t="shared" si="2"/>
        <v>0</v>
      </c>
      <c r="AC44" s="59">
        <f t="shared" si="2"/>
        <v>0</v>
      </c>
      <c r="AD44" s="59">
        <f t="shared" si="2"/>
        <v>0</v>
      </c>
      <c r="AE44" s="59">
        <f t="shared" si="2"/>
        <v>0</v>
      </c>
      <c r="AF44" s="59">
        <f t="shared" si="2"/>
        <v>0</v>
      </c>
      <c r="AG44" s="59">
        <f t="shared" si="2"/>
        <v>0</v>
      </c>
      <c r="AH44" s="59">
        <f t="shared" si="2"/>
        <v>0</v>
      </c>
      <c r="AI44" s="59">
        <f t="shared" si="2"/>
        <v>0</v>
      </c>
    </row>
    <row r="45" spans="1:35" ht="13.15" x14ac:dyDescent="0.4">
      <c r="A45" s="56"/>
      <c r="B45" s="53" t="s">
        <v>1798</v>
      </c>
      <c r="C45" s="53" t="s">
        <v>1799</v>
      </c>
      <c r="D45" s="53" t="s">
        <v>1789</v>
      </c>
      <c r="E45" s="53" t="s">
        <v>79</v>
      </c>
      <c r="F45" s="53" t="s">
        <v>1790</v>
      </c>
      <c r="G45" s="94" t="s">
        <v>1800</v>
      </c>
      <c r="H45" s="53" t="s">
        <v>1801</v>
      </c>
      <c r="J45" s="53" t="s">
        <v>1727</v>
      </c>
      <c r="K45" s="59">
        <f t="shared" ref="K45:AI45" si="3">$F$27</f>
        <v>1</v>
      </c>
      <c r="L45" s="59">
        <f t="shared" si="3"/>
        <v>1</v>
      </c>
      <c r="M45" s="59">
        <f t="shared" si="3"/>
        <v>1</v>
      </c>
      <c r="N45" s="59">
        <f t="shared" si="3"/>
        <v>1</v>
      </c>
      <c r="O45" s="59">
        <f t="shared" si="3"/>
        <v>1</v>
      </c>
      <c r="P45" s="59">
        <f t="shared" si="3"/>
        <v>1</v>
      </c>
      <c r="Q45" s="59">
        <f t="shared" si="3"/>
        <v>1</v>
      </c>
      <c r="R45" s="59">
        <f t="shared" si="3"/>
        <v>1</v>
      </c>
      <c r="S45" s="59">
        <f t="shared" si="3"/>
        <v>1</v>
      </c>
      <c r="T45" s="59">
        <f t="shared" si="3"/>
        <v>1</v>
      </c>
      <c r="U45" s="59">
        <f t="shared" si="3"/>
        <v>1</v>
      </c>
      <c r="V45" s="59">
        <f t="shared" si="3"/>
        <v>1</v>
      </c>
      <c r="W45" s="59">
        <f t="shared" si="3"/>
        <v>1</v>
      </c>
      <c r="X45" s="59">
        <f t="shared" si="3"/>
        <v>1</v>
      </c>
      <c r="Y45" s="59">
        <f t="shared" si="3"/>
        <v>1</v>
      </c>
      <c r="Z45" s="59">
        <f t="shared" si="3"/>
        <v>1</v>
      </c>
      <c r="AA45" s="59">
        <f t="shared" si="3"/>
        <v>1</v>
      </c>
      <c r="AB45" s="59">
        <f t="shared" si="3"/>
        <v>1</v>
      </c>
      <c r="AC45" s="59">
        <f t="shared" si="3"/>
        <v>1</v>
      </c>
      <c r="AD45" s="59">
        <f t="shared" si="3"/>
        <v>1</v>
      </c>
      <c r="AE45" s="59">
        <f t="shared" si="3"/>
        <v>1</v>
      </c>
      <c r="AF45" s="59">
        <f t="shared" si="3"/>
        <v>1</v>
      </c>
      <c r="AG45" s="59">
        <f t="shared" si="3"/>
        <v>1</v>
      </c>
      <c r="AH45" s="59">
        <f t="shared" si="3"/>
        <v>1</v>
      </c>
      <c r="AI45" s="59">
        <f t="shared" si="3"/>
        <v>1</v>
      </c>
    </row>
    <row r="46" spans="1:35" ht="13.15" x14ac:dyDescent="0.4">
      <c r="A46" s="56"/>
      <c r="B46" s="53" t="s">
        <v>1802</v>
      </c>
      <c r="C46" s="53" t="s">
        <v>1803</v>
      </c>
      <c r="D46" s="53" t="s">
        <v>1804</v>
      </c>
      <c r="E46" s="53" t="s">
        <v>79</v>
      </c>
      <c r="F46" s="53" t="s">
        <v>1790</v>
      </c>
      <c r="G46" s="94" t="s">
        <v>1805</v>
      </c>
      <c r="H46" s="53" t="s">
        <v>1806</v>
      </c>
      <c r="J46" s="53" t="s">
        <v>1727</v>
      </c>
      <c r="K46" s="59">
        <f t="shared" ref="K46:AI46" si="4">$I$27</f>
        <v>0</v>
      </c>
      <c r="L46" s="59">
        <f t="shared" si="4"/>
        <v>0</v>
      </c>
      <c r="M46" s="59">
        <f t="shared" si="4"/>
        <v>0</v>
      </c>
      <c r="N46" s="59">
        <f t="shared" si="4"/>
        <v>0</v>
      </c>
      <c r="O46" s="59">
        <f t="shared" si="4"/>
        <v>0</v>
      </c>
      <c r="P46" s="59">
        <f t="shared" si="4"/>
        <v>0</v>
      </c>
      <c r="Q46" s="59">
        <f t="shared" si="4"/>
        <v>0</v>
      </c>
      <c r="R46" s="59">
        <f t="shared" si="4"/>
        <v>0</v>
      </c>
      <c r="S46" s="59">
        <f t="shared" si="4"/>
        <v>0</v>
      </c>
      <c r="T46" s="59">
        <f t="shared" si="4"/>
        <v>0</v>
      </c>
      <c r="U46" s="59">
        <f t="shared" si="4"/>
        <v>0</v>
      </c>
      <c r="V46" s="59">
        <f t="shared" si="4"/>
        <v>0</v>
      </c>
      <c r="W46" s="59">
        <f t="shared" si="4"/>
        <v>0</v>
      </c>
      <c r="X46" s="59">
        <f t="shared" si="4"/>
        <v>0</v>
      </c>
      <c r="Y46" s="59">
        <f t="shared" si="4"/>
        <v>0</v>
      </c>
      <c r="Z46" s="59">
        <f t="shared" si="4"/>
        <v>0</v>
      </c>
      <c r="AA46" s="59">
        <f t="shared" si="4"/>
        <v>0</v>
      </c>
      <c r="AB46" s="59">
        <f t="shared" si="4"/>
        <v>0</v>
      </c>
      <c r="AC46" s="59">
        <f t="shared" si="4"/>
        <v>0</v>
      </c>
      <c r="AD46" s="59">
        <f t="shared" si="4"/>
        <v>0</v>
      </c>
      <c r="AE46" s="59">
        <f t="shared" si="4"/>
        <v>0</v>
      </c>
      <c r="AF46" s="59">
        <f t="shared" si="4"/>
        <v>0</v>
      </c>
      <c r="AG46" s="59">
        <f t="shared" si="4"/>
        <v>0</v>
      </c>
      <c r="AH46" s="59">
        <f t="shared" si="4"/>
        <v>0</v>
      </c>
      <c r="AI46" s="59">
        <f t="shared" si="4"/>
        <v>0</v>
      </c>
    </row>
    <row r="47" spans="1:35" ht="13.15" x14ac:dyDescent="0.4">
      <c r="A47" s="56"/>
      <c r="B47" s="53" t="s">
        <v>1807</v>
      </c>
      <c r="C47" s="53" t="s">
        <v>1808</v>
      </c>
      <c r="D47" s="53" t="s">
        <v>1804</v>
      </c>
      <c r="E47" s="53" t="s">
        <v>1415</v>
      </c>
      <c r="F47" s="53" t="s">
        <v>1790</v>
      </c>
      <c r="G47" s="94" t="s">
        <v>1809</v>
      </c>
      <c r="H47" s="53" t="s">
        <v>1810</v>
      </c>
      <c r="J47" s="53" t="s">
        <v>1727</v>
      </c>
      <c r="K47" s="59">
        <f t="shared" ref="K47:AI47" si="5">K46*K42</f>
        <v>0</v>
      </c>
      <c r="L47" s="59">
        <f t="shared" si="5"/>
        <v>0</v>
      </c>
      <c r="M47" s="59">
        <f t="shared" si="5"/>
        <v>0</v>
      </c>
      <c r="N47" s="59">
        <f t="shared" si="5"/>
        <v>0</v>
      </c>
      <c r="O47" s="59">
        <f t="shared" si="5"/>
        <v>0</v>
      </c>
      <c r="P47" s="59">
        <f t="shared" si="5"/>
        <v>0</v>
      </c>
      <c r="Q47" s="59">
        <f t="shared" si="5"/>
        <v>0</v>
      </c>
      <c r="R47" s="59">
        <f t="shared" si="5"/>
        <v>0</v>
      </c>
      <c r="S47" s="59">
        <f t="shared" si="5"/>
        <v>0</v>
      </c>
      <c r="T47" s="59">
        <f t="shared" si="5"/>
        <v>0</v>
      </c>
      <c r="U47" s="59">
        <f t="shared" si="5"/>
        <v>0</v>
      </c>
      <c r="V47" s="59">
        <f t="shared" si="5"/>
        <v>0</v>
      </c>
      <c r="W47" s="59">
        <f t="shared" si="5"/>
        <v>0</v>
      </c>
      <c r="X47" s="59">
        <f t="shared" si="5"/>
        <v>0</v>
      </c>
      <c r="Y47" s="59">
        <f t="shared" si="5"/>
        <v>0</v>
      </c>
      <c r="Z47" s="59">
        <f t="shared" si="5"/>
        <v>0</v>
      </c>
      <c r="AA47" s="59">
        <f t="shared" si="5"/>
        <v>0</v>
      </c>
      <c r="AB47" s="59">
        <f t="shared" si="5"/>
        <v>0</v>
      </c>
      <c r="AC47" s="59">
        <f t="shared" si="5"/>
        <v>0</v>
      </c>
      <c r="AD47" s="59">
        <f t="shared" si="5"/>
        <v>0</v>
      </c>
      <c r="AE47" s="59">
        <f t="shared" si="5"/>
        <v>0</v>
      </c>
      <c r="AF47" s="59">
        <f t="shared" si="5"/>
        <v>0</v>
      </c>
      <c r="AG47" s="59">
        <f t="shared" si="5"/>
        <v>0</v>
      </c>
      <c r="AH47" s="59">
        <f t="shared" si="5"/>
        <v>0</v>
      </c>
      <c r="AI47" s="59">
        <f t="shared" si="5"/>
        <v>0</v>
      </c>
    </row>
    <row r="48" spans="1:35" ht="13.15" x14ac:dyDescent="0.4">
      <c r="A48" s="56"/>
      <c r="B48" s="53" t="s">
        <v>1811</v>
      </c>
      <c r="C48" s="53" t="s">
        <v>1812</v>
      </c>
      <c r="D48" s="53" t="s">
        <v>1813</v>
      </c>
      <c r="E48" s="53" t="s">
        <v>79</v>
      </c>
      <c r="F48" s="53" t="s">
        <v>1790</v>
      </c>
      <c r="G48" s="94" t="s">
        <v>1814</v>
      </c>
      <c r="H48" s="53" t="s">
        <v>1815</v>
      </c>
      <c r="J48" s="53" t="s">
        <v>1727</v>
      </c>
      <c r="K48" s="59">
        <f t="shared" ref="K48:AI48" si="6">$J$27</f>
        <v>0</v>
      </c>
      <c r="L48" s="59">
        <f t="shared" si="6"/>
        <v>0</v>
      </c>
      <c r="M48" s="59">
        <f t="shared" si="6"/>
        <v>0</v>
      </c>
      <c r="N48" s="59">
        <f t="shared" si="6"/>
        <v>0</v>
      </c>
      <c r="O48" s="59">
        <f t="shared" si="6"/>
        <v>0</v>
      </c>
      <c r="P48" s="59">
        <f t="shared" si="6"/>
        <v>0</v>
      </c>
      <c r="Q48" s="59">
        <f t="shared" si="6"/>
        <v>0</v>
      </c>
      <c r="R48" s="59">
        <f t="shared" si="6"/>
        <v>0</v>
      </c>
      <c r="S48" s="59">
        <f t="shared" si="6"/>
        <v>0</v>
      </c>
      <c r="T48" s="59">
        <f t="shared" si="6"/>
        <v>0</v>
      </c>
      <c r="U48" s="59">
        <f t="shared" si="6"/>
        <v>0</v>
      </c>
      <c r="V48" s="59">
        <f t="shared" si="6"/>
        <v>0</v>
      </c>
      <c r="W48" s="59">
        <f t="shared" si="6"/>
        <v>0</v>
      </c>
      <c r="X48" s="59">
        <f t="shared" si="6"/>
        <v>0</v>
      </c>
      <c r="Y48" s="59">
        <f t="shared" si="6"/>
        <v>0</v>
      </c>
      <c r="Z48" s="59">
        <f t="shared" si="6"/>
        <v>0</v>
      </c>
      <c r="AA48" s="59">
        <f t="shared" si="6"/>
        <v>0</v>
      </c>
      <c r="AB48" s="59">
        <f t="shared" si="6"/>
        <v>0</v>
      </c>
      <c r="AC48" s="59">
        <f t="shared" si="6"/>
        <v>0</v>
      </c>
      <c r="AD48" s="59">
        <f t="shared" si="6"/>
        <v>0</v>
      </c>
      <c r="AE48" s="59">
        <f t="shared" si="6"/>
        <v>0</v>
      </c>
      <c r="AF48" s="59">
        <f t="shared" si="6"/>
        <v>0</v>
      </c>
      <c r="AG48" s="59">
        <f t="shared" si="6"/>
        <v>0</v>
      </c>
      <c r="AH48" s="59">
        <f t="shared" si="6"/>
        <v>0</v>
      </c>
      <c r="AI48" s="59">
        <f t="shared" si="6"/>
        <v>0</v>
      </c>
    </row>
    <row r="49" spans="1:35" ht="13.15" x14ac:dyDescent="0.4">
      <c r="A49" s="56"/>
      <c r="B49" s="53" t="s">
        <v>1816</v>
      </c>
      <c r="C49" s="53" t="s">
        <v>1817</v>
      </c>
      <c r="D49" s="53" t="s">
        <v>1818</v>
      </c>
      <c r="E49" s="53" t="s">
        <v>1415</v>
      </c>
      <c r="F49" s="53" t="s">
        <v>1790</v>
      </c>
      <c r="G49" s="94" t="s">
        <v>1819</v>
      </c>
      <c r="H49" s="53" t="s">
        <v>1820</v>
      </c>
      <c r="J49" s="53" t="s">
        <v>1727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0</v>
      </c>
      <c r="AH49" s="65">
        <v>0</v>
      </c>
      <c r="AI49" s="65">
        <v>0</v>
      </c>
    </row>
    <row r="50" spans="1:35" ht="13.15" x14ac:dyDescent="0.4">
      <c r="A50" s="56"/>
      <c r="B50" s="53" t="s">
        <v>938</v>
      </c>
      <c r="C50" s="53" t="s">
        <v>1821</v>
      </c>
      <c r="D50" s="53" t="s">
        <v>1789</v>
      </c>
      <c r="E50" s="53" t="s">
        <v>51</v>
      </c>
      <c r="F50" s="53" t="s">
        <v>1790</v>
      </c>
      <c r="G50" s="94" t="s">
        <v>1023</v>
      </c>
      <c r="H50" s="53" t="s">
        <v>1822</v>
      </c>
      <c r="J50" s="53" t="s">
        <v>1727</v>
      </c>
      <c r="K50" s="59">
        <f t="shared" ref="K50:AI50" si="7">K42*K45*$E$30</f>
        <v>0</v>
      </c>
      <c r="L50" s="59">
        <f t="shared" si="7"/>
        <v>0</v>
      </c>
      <c r="M50" s="59">
        <f t="shared" si="7"/>
        <v>0</v>
      </c>
      <c r="N50" s="59">
        <f t="shared" si="7"/>
        <v>0</v>
      </c>
      <c r="O50" s="59">
        <f t="shared" si="7"/>
        <v>0</v>
      </c>
      <c r="P50" s="59">
        <f t="shared" si="7"/>
        <v>0</v>
      </c>
      <c r="Q50" s="59">
        <f t="shared" si="7"/>
        <v>1.25</v>
      </c>
      <c r="R50" s="59">
        <f t="shared" si="7"/>
        <v>2.5</v>
      </c>
      <c r="S50" s="59">
        <f t="shared" si="7"/>
        <v>3.75</v>
      </c>
      <c r="T50" s="59">
        <f t="shared" si="7"/>
        <v>5</v>
      </c>
      <c r="U50" s="59">
        <f t="shared" si="7"/>
        <v>6.25</v>
      </c>
      <c r="V50" s="59">
        <f t="shared" si="7"/>
        <v>7.5</v>
      </c>
      <c r="W50" s="59">
        <f t="shared" si="7"/>
        <v>8.75</v>
      </c>
      <c r="X50" s="59">
        <f t="shared" si="7"/>
        <v>10</v>
      </c>
      <c r="Y50" s="59">
        <f t="shared" si="7"/>
        <v>11.25</v>
      </c>
      <c r="Z50" s="59">
        <f t="shared" si="7"/>
        <v>12.5</v>
      </c>
      <c r="AA50" s="59">
        <f t="shared" si="7"/>
        <v>13.75</v>
      </c>
      <c r="AB50" s="59">
        <f t="shared" si="7"/>
        <v>15</v>
      </c>
      <c r="AC50" s="59">
        <f t="shared" si="7"/>
        <v>16.25</v>
      </c>
      <c r="AD50" s="59">
        <f t="shared" si="7"/>
        <v>17.5</v>
      </c>
      <c r="AE50" s="59">
        <f t="shared" si="7"/>
        <v>18.75</v>
      </c>
      <c r="AF50" s="59">
        <f t="shared" si="7"/>
        <v>0</v>
      </c>
      <c r="AG50" s="59">
        <f t="shared" si="7"/>
        <v>0</v>
      </c>
      <c r="AH50" s="59">
        <f t="shared" si="7"/>
        <v>0</v>
      </c>
      <c r="AI50" s="59">
        <f t="shared" si="7"/>
        <v>0</v>
      </c>
    </row>
    <row r="51" spans="1:35" ht="13.15" x14ac:dyDescent="0.4">
      <c r="A51" s="56"/>
      <c r="B51" s="53" t="s">
        <v>938</v>
      </c>
      <c r="C51" s="53" t="s">
        <v>1823</v>
      </c>
      <c r="D51" s="53" t="s">
        <v>1789</v>
      </c>
      <c r="E51" s="53" t="s">
        <v>51</v>
      </c>
      <c r="F51" s="53" t="s">
        <v>1790</v>
      </c>
      <c r="G51" s="94" t="s">
        <v>1025</v>
      </c>
      <c r="H51" s="53" t="s">
        <v>1822</v>
      </c>
      <c r="J51" s="53" t="s">
        <v>1727</v>
      </c>
      <c r="K51" s="59">
        <f t="shared" ref="K51:AI51" si="8">K42*K45*$E$31</f>
        <v>0</v>
      </c>
      <c r="L51" s="59">
        <f t="shared" si="8"/>
        <v>0</v>
      </c>
      <c r="M51" s="59">
        <f t="shared" si="8"/>
        <v>0</v>
      </c>
      <c r="N51" s="59">
        <f t="shared" si="8"/>
        <v>0</v>
      </c>
      <c r="O51" s="59">
        <f t="shared" si="8"/>
        <v>0</v>
      </c>
      <c r="P51" s="59">
        <f t="shared" si="8"/>
        <v>0</v>
      </c>
      <c r="Q51" s="59">
        <f t="shared" si="8"/>
        <v>0.69750000000000001</v>
      </c>
      <c r="R51" s="59">
        <f t="shared" si="8"/>
        <v>1.395</v>
      </c>
      <c r="S51" s="59">
        <f t="shared" si="8"/>
        <v>2.0925000000000002</v>
      </c>
      <c r="T51" s="59">
        <f t="shared" si="8"/>
        <v>2.79</v>
      </c>
      <c r="U51" s="59">
        <f t="shared" si="8"/>
        <v>3.4875000000000003</v>
      </c>
      <c r="V51" s="59">
        <f t="shared" si="8"/>
        <v>4.1850000000000005</v>
      </c>
      <c r="W51" s="59">
        <f t="shared" si="8"/>
        <v>4.8825000000000003</v>
      </c>
      <c r="X51" s="59">
        <f t="shared" si="8"/>
        <v>5.58</v>
      </c>
      <c r="Y51" s="59">
        <f t="shared" si="8"/>
        <v>6.2774999999999999</v>
      </c>
      <c r="Z51" s="59">
        <f t="shared" si="8"/>
        <v>6.9750000000000005</v>
      </c>
      <c r="AA51" s="59">
        <f t="shared" si="8"/>
        <v>7.6725000000000003</v>
      </c>
      <c r="AB51" s="59">
        <f t="shared" si="8"/>
        <v>8.370000000000001</v>
      </c>
      <c r="AC51" s="59">
        <f t="shared" si="8"/>
        <v>9.0675000000000008</v>
      </c>
      <c r="AD51" s="59">
        <f t="shared" si="8"/>
        <v>9.7650000000000006</v>
      </c>
      <c r="AE51" s="59">
        <f t="shared" si="8"/>
        <v>10.4625</v>
      </c>
      <c r="AF51" s="59">
        <f t="shared" si="8"/>
        <v>0</v>
      </c>
      <c r="AG51" s="59">
        <f t="shared" si="8"/>
        <v>0</v>
      </c>
      <c r="AH51" s="59">
        <f t="shared" si="8"/>
        <v>0</v>
      </c>
      <c r="AI51" s="59">
        <f t="shared" si="8"/>
        <v>0</v>
      </c>
    </row>
    <row r="52" spans="1:35" ht="13.15" x14ac:dyDescent="0.4">
      <c r="A52" s="56"/>
      <c r="B52" s="53" t="s">
        <v>938</v>
      </c>
      <c r="C52" s="53" t="s">
        <v>1824</v>
      </c>
      <c r="D52" s="53" t="s">
        <v>1789</v>
      </c>
      <c r="E52" s="53" t="s">
        <v>57</v>
      </c>
      <c r="F52" s="53" t="s">
        <v>1790</v>
      </c>
      <c r="G52" s="94" t="s">
        <v>1028</v>
      </c>
      <c r="H52" s="53" t="s">
        <v>1822</v>
      </c>
      <c r="J52" s="53" t="s">
        <v>1727</v>
      </c>
      <c r="K52" s="59">
        <f t="shared" ref="K52:AI52" si="9">K42*K45*$E$32</f>
        <v>0</v>
      </c>
      <c r="L52" s="59">
        <f t="shared" si="9"/>
        <v>0</v>
      </c>
      <c r="M52" s="59">
        <f t="shared" si="9"/>
        <v>0</v>
      </c>
      <c r="N52" s="59">
        <f t="shared" si="9"/>
        <v>0</v>
      </c>
      <c r="O52" s="59">
        <f t="shared" si="9"/>
        <v>0</v>
      </c>
      <c r="P52" s="59">
        <f t="shared" si="9"/>
        <v>0</v>
      </c>
      <c r="Q52" s="59">
        <f t="shared" si="9"/>
        <v>2.8927843171500003E-2</v>
      </c>
      <c r="R52" s="59">
        <f t="shared" si="9"/>
        <v>5.7855686343000007E-2</v>
      </c>
      <c r="S52" s="59">
        <f t="shared" si="9"/>
        <v>8.678352951450001E-2</v>
      </c>
      <c r="T52" s="59">
        <f t="shared" si="9"/>
        <v>0.11571137268600001</v>
      </c>
      <c r="U52" s="59">
        <f t="shared" si="9"/>
        <v>0.1446392158575</v>
      </c>
      <c r="V52" s="59">
        <f t="shared" si="9"/>
        <v>0.17356705902900002</v>
      </c>
      <c r="W52" s="59">
        <f t="shared" si="9"/>
        <v>0.20249490220050001</v>
      </c>
      <c r="X52" s="59">
        <f t="shared" si="9"/>
        <v>0.23142274537200003</v>
      </c>
      <c r="Y52" s="59">
        <f t="shared" si="9"/>
        <v>0.26035058854350002</v>
      </c>
      <c r="Z52" s="59">
        <f t="shared" si="9"/>
        <v>0.28927843171500001</v>
      </c>
      <c r="AA52" s="59">
        <f t="shared" si="9"/>
        <v>0.31820627488650005</v>
      </c>
      <c r="AB52" s="59">
        <f t="shared" si="9"/>
        <v>0.34713411805800004</v>
      </c>
      <c r="AC52" s="59">
        <f t="shared" si="9"/>
        <v>0.37606196122950003</v>
      </c>
      <c r="AD52" s="59">
        <f t="shared" si="9"/>
        <v>0.40498980440100002</v>
      </c>
      <c r="AE52" s="59">
        <f t="shared" si="9"/>
        <v>0.43391764757250006</v>
      </c>
      <c r="AF52" s="59">
        <f t="shared" si="9"/>
        <v>0</v>
      </c>
      <c r="AG52" s="59">
        <f t="shared" si="9"/>
        <v>0</v>
      </c>
      <c r="AH52" s="59">
        <f t="shared" si="9"/>
        <v>0</v>
      </c>
      <c r="AI52" s="59">
        <f t="shared" si="9"/>
        <v>0</v>
      </c>
    </row>
    <row r="53" spans="1:35" ht="13.15" x14ac:dyDescent="0.4">
      <c r="A53" s="56"/>
      <c r="B53" s="53" t="s">
        <v>938</v>
      </c>
      <c r="C53" s="53" t="s">
        <v>1825</v>
      </c>
      <c r="D53" s="53" t="s">
        <v>1789</v>
      </c>
      <c r="E53" s="53" t="s">
        <v>57</v>
      </c>
      <c r="F53" s="53" t="s">
        <v>1790</v>
      </c>
      <c r="G53" s="94" t="s">
        <v>1032</v>
      </c>
      <c r="H53" s="53" t="s">
        <v>1822</v>
      </c>
      <c r="J53" s="53" t="s">
        <v>1727</v>
      </c>
      <c r="K53" s="59">
        <f t="shared" ref="K53:AI53" si="10">K42*K45*$E$33</f>
        <v>0</v>
      </c>
      <c r="L53" s="59">
        <f t="shared" si="10"/>
        <v>0</v>
      </c>
      <c r="M53" s="59">
        <f t="shared" si="10"/>
        <v>0</v>
      </c>
      <c r="N53" s="59">
        <f t="shared" si="10"/>
        <v>0</v>
      </c>
      <c r="O53" s="59">
        <f t="shared" si="10"/>
        <v>0</v>
      </c>
      <c r="P53" s="59">
        <f t="shared" si="10"/>
        <v>0</v>
      </c>
      <c r="Q53" s="59">
        <f t="shared" si="10"/>
        <v>3.3010438858875002E-2</v>
      </c>
      <c r="R53" s="59">
        <f t="shared" si="10"/>
        <v>6.6020877717750004E-2</v>
      </c>
      <c r="S53" s="59">
        <f t="shared" si="10"/>
        <v>9.9031316576625006E-2</v>
      </c>
      <c r="T53" s="59">
        <f t="shared" si="10"/>
        <v>0.13204175543550001</v>
      </c>
      <c r="U53" s="59">
        <f t="shared" si="10"/>
        <v>0.16505219429437501</v>
      </c>
      <c r="V53" s="59">
        <f t="shared" si="10"/>
        <v>0.19806263315325001</v>
      </c>
      <c r="W53" s="59">
        <f t="shared" si="10"/>
        <v>0.23107307201212501</v>
      </c>
      <c r="X53" s="59">
        <f t="shared" si="10"/>
        <v>0.26408351087100002</v>
      </c>
      <c r="Y53" s="59">
        <f t="shared" si="10"/>
        <v>0.29709394972987502</v>
      </c>
      <c r="Z53" s="59">
        <f t="shared" si="10"/>
        <v>0.33010438858875002</v>
      </c>
      <c r="AA53" s="59">
        <f t="shared" si="10"/>
        <v>0.36311482744762502</v>
      </c>
      <c r="AB53" s="59">
        <f t="shared" si="10"/>
        <v>0.39612526630650002</v>
      </c>
      <c r="AC53" s="59">
        <f t="shared" si="10"/>
        <v>0.42913570516537503</v>
      </c>
      <c r="AD53" s="59">
        <f t="shared" si="10"/>
        <v>0.46214614402425003</v>
      </c>
      <c r="AE53" s="59">
        <f t="shared" si="10"/>
        <v>0.49515658288312497</v>
      </c>
      <c r="AF53" s="59">
        <f t="shared" si="10"/>
        <v>0</v>
      </c>
      <c r="AG53" s="59">
        <f t="shared" si="10"/>
        <v>0</v>
      </c>
      <c r="AH53" s="59">
        <f t="shared" si="10"/>
        <v>0</v>
      </c>
      <c r="AI53" s="59">
        <f t="shared" si="10"/>
        <v>0</v>
      </c>
    </row>
    <row r="54" spans="1:35" ht="13.15" x14ac:dyDescent="0.4">
      <c r="A54" s="56"/>
      <c r="B54" s="53" t="s">
        <v>938</v>
      </c>
      <c r="C54" s="53" t="s">
        <v>1826</v>
      </c>
      <c r="D54" s="53" t="s">
        <v>1789</v>
      </c>
      <c r="E54" s="53" t="s">
        <v>57</v>
      </c>
      <c r="F54" s="53" t="s">
        <v>1790</v>
      </c>
      <c r="G54" s="94" t="s">
        <v>1036</v>
      </c>
      <c r="H54" s="53" t="s">
        <v>1822</v>
      </c>
      <c r="J54" s="53" t="s">
        <v>1727</v>
      </c>
      <c r="K54" s="59">
        <f t="shared" ref="K54:AI54" si="11">K42*K45*$E$34</f>
        <v>0</v>
      </c>
      <c r="L54" s="59">
        <f t="shared" si="11"/>
        <v>0</v>
      </c>
      <c r="M54" s="59">
        <f t="shared" si="11"/>
        <v>0</v>
      </c>
      <c r="N54" s="59">
        <f t="shared" si="11"/>
        <v>0</v>
      </c>
      <c r="O54" s="59">
        <f t="shared" si="11"/>
        <v>0</v>
      </c>
      <c r="P54" s="59">
        <f t="shared" si="11"/>
        <v>0</v>
      </c>
      <c r="Q54" s="59">
        <f t="shared" si="11"/>
        <v>2.2106082927295666E-2</v>
      </c>
      <c r="R54" s="59">
        <f t="shared" si="11"/>
        <v>4.4212165854591333E-2</v>
      </c>
      <c r="S54" s="59">
        <f t="shared" si="11"/>
        <v>6.6318248781886996E-2</v>
      </c>
      <c r="T54" s="59">
        <f t="shared" si="11"/>
        <v>8.8424331709182666E-2</v>
      </c>
      <c r="U54" s="59">
        <f t="shared" si="11"/>
        <v>0.11053041463647834</v>
      </c>
      <c r="V54" s="59">
        <f t="shared" si="11"/>
        <v>0.13263649756377399</v>
      </c>
      <c r="W54" s="59">
        <f t="shared" si="11"/>
        <v>0.15474258049106968</v>
      </c>
      <c r="X54" s="59">
        <f t="shared" si="11"/>
        <v>0.17684866341836533</v>
      </c>
      <c r="Y54" s="59">
        <f t="shared" si="11"/>
        <v>0.19895474634566102</v>
      </c>
      <c r="Z54" s="59">
        <f t="shared" si="11"/>
        <v>0.22106082927295667</v>
      </c>
      <c r="AA54" s="59">
        <f t="shared" si="11"/>
        <v>0.24316691220025236</v>
      </c>
      <c r="AB54" s="59">
        <f t="shared" si="11"/>
        <v>0.26527299512754798</v>
      </c>
      <c r="AC54" s="59">
        <f t="shared" si="11"/>
        <v>0.2873790780548437</v>
      </c>
      <c r="AD54" s="59">
        <f t="shared" si="11"/>
        <v>0.30948516098213935</v>
      </c>
      <c r="AE54" s="59">
        <f t="shared" si="11"/>
        <v>0.33159124390943501</v>
      </c>
      <c r="AF54" s="59">
        <f t="shared" si="11"/>
        <v>0</v>
      </c>
      <c r="AG54" s="59">
        <f t="shared" si="11"/>
        <v>0</v>
      </c>
      <c r="AH54" s="59">
        <f t="shared" si="11"/>
        <v>0</v>
      </c>
      <c r="AI54" s="59">
        <f t="shared" si="11"/>
        <v>0</v>
      </c>
    </row>
    <row r="55" spans="1:35" ht="13.15" x14ac:dyDescent="0.4">
      <c r="A55" s="56"/>
      <c r="B55" s="53" t="s">
        <v>938</v>
      </c>
      <c r="C55" s="53" t="s">
        <v>1827</v>
      </c>
      <c r="D55" s="53" t="s">
        <v>1789</v>
      </c>
      <c r="E55" s="53" t="s">
        <v>57</v>
      </c>
      <c r="F55" s="53" t="s">
        <v>1790</v>
      </c>
      <c r="G55" s="94" t="s">
        <v>1040</v>
      </c>
      <c r="H55" s="53" t="s">
        <v>1822</v>
      </c>
      <c r="J55" s="53" t="s">
        <v>1727</v>
      </c>
      <c r="K55" s="59">
        <f t="shared" ref="K55:AI55" si="12">K42*K45*$E$35</f>
        <v>0</v>
      </c>
      <c r="L55" s="59">
        <f t="shared" si="12"/>
        <v>0</v>
      </c>
      <c r="M55" s="59">
        <f t="shared" si="12"/>
        <v>0</v>
      </c>
      <c r="N55" s="59">
        <f t="shared" si="12"/>
        <v>0</v>
      </c>
      <c r="O55" s="59">
        <f t="shared" si="12"/>
        <v>0</v>
      </c>
      <c r="P55" s="59">
        <f t="shared" si="12"/>
        <v>0</v>
      </c>
      <c r="Q55" s="59">
        <f t="shared" si="12"/>
        <v>3.1988830110108467E-2</v>
      </c>
      <c r="R55" s="59">
        <f t="shared" si="12"/>
        <v>6.3977660220216934E-2</v>
      </c>
      <c r="S55" s="59">
        <f t="shared" si="12"/>
        <v>9.5966490330325394E-2</v>
      </c>
      <c r="T55" s="59">
        <f t="shared" si="12"/>
        <v>0.12795532044043387</v>
      </c>
      <c r="U55" s="59">
        <f t="shared" si="12"/>
        <v>0.15994415055054234</v>
      </c>
      <c r="V55" s="59">
        <f t="shared" si="12"/>
        <v>0.19193298066065079</v>
      </c>
      <c r="W55" s="59">
        <f t="shared" si="12"/>
        <v>0.22392181077075926</v>
      </c>
      <c r="X55" s="59">
        <f t="shared" si="12"/>
        <v>0.25591064088086773</v>
      </c>
      <c r="Y55" s="59">
        <f t="shared" si="12"/>
        <v>0.28789947099097618</v>
      </c>
      <c r="Z55" s="59">
        <f t="shared" si="12"/>
        <v>0.31988830110108468</v>
      </c>
      <c r="AA55" s="59">
        <f t="shared" si="12"/>
        <v>0.35187713121119313</v>
      </c>
      <c r="AB55" s="59">
        <f t="shared" si="12"/>
        <v>0.38386596132130157</v>
      </c>
      <c r="AC55" s="59">
        <f t="shared" si="12"/>
        <v>0.41585479143141008</v>
      </c>
      <c r="AD55" s="59">
        <f t="shared" si="12"/>
        <v>0.44784362154151852</v>
      </c>
      <c r="AE55" s="59">
        <f t="shared" si="12"/>
        <v>0.47983245165162697</v>
      </c>
      <c r="AF55" s="59">
        <f t="shared" si="12"/>
        <v>0</v>
      </c>
      <c r="AG55" s="59">
        <f t="shared" si="12"/>
        <v>0</v>
      </c>
      <c r="AH55" s="59">
        <f t="shared" si="12"/>
        <v>0</v>
      </c>
      <c r="AI55" s="59">
        <f t="shared" si="12"/>
        <v>0</v>
      </c>
    </row>
    <row r="56" spans="1:35" ht="13.15" x14ac:dyDescent="0.4">
      <c r="A56" s="56"/>
      <c r="B56" s="53" t="s">
        <v>938</v>
      </c>
      <c r="C56" s="53" t="s">
        <v>1828</v>
      </c>
      <c r="D56" s="53" t="s">
        <v>1789</v>
      </c>
      <c r="E56" s="53" t="s">
        <v>66</v>
      </c>
      <c r="F56" s="53" t="s">
        <v>1790</v>
      </c>
      <c r="G56" s="94" t="s">
        <v>1044</v>
      </c>
      <c r="H56" s="53" t="s">
        <v>1822</v>
      </c>
      <c r="J56" s="53" t="s">
        <v>1727</v>
      </c>
      <c r="K56" s="59">
        <f t="shared" ref="K56:AI56" si="13">K42*K45*$E$36</f>
        <v>0</v>
      </c>
      <c r="L56" s="59">
        <f t="shared" si="13"/>
        <v>0</v>
      </c>
      <c r="M56" s="59">
        <f t="shared" si="13"/>
        <v>0</v>
      </c>
      <c r="N56" s="59">
        <f t="shared" si="13"/>
        <v>0</v>
      </c>
      <c r="O56" s="59">
        <f t="shared" si="13"/>
        <v>0</v>
      </c>
      <c r="P56" s="59">
        <f t="shared" si="13"/>
        <v>0</v>
      </c>
      <c r="Q56" s="59">
        <f t="shared" si="13"/>
        <v>5.8675499999999996</v>
      </c>
      <c r="R56" s="59">
        <f t="shared" si="13"/>
        <v>11.735099999999999</v>
      </c>
      <c r="S56" s="59">
        <f t="shared" si="13"/>
        <v>17.602650000000001</v>
      </c>
      <c r="T56" s="59">
        <f t="shared" si="13"/>
        <v>23.470199999999998</v>
      </c>
      <c r="U56" s="59">
        <f t="shared" si="13"/>
        <v>29.33775</v>
      </c>
      <c r="V56" s="59">
        <f t="shared" si="13"/>
        <v>35.205300000000001</v>
      </c>
      <c r="W56" s="59">
        <f t="shared" si="13"/>
        <v>41.072849999999995</v>
      </c>
      <c r="X56" s="59">
        <f t="shared" si="13"/>
        <v>46.940399999999997</v>
      </c>
      <c r="Y56" s="59">
        <f t="shared" si="13"/>
        <v>52.807949999999998</v>
      </c>
      <c r="Z56" s="59">
        <f t="shared" si="13"/>
        <v>58.6755</v>
      </c>
      <c r="AA56" s="59">
        <f t="shared" si="13"/>
        <v>64.543049999999994</v>
      </c>
      <c r="AB56" s="59">
        <f t="shared" si="13"/>
        <v>70.410600000000002</v>
      </c>
      <c r="AC56" s="59">
        <f t="shared" si="13"/>
        <v>76.278149999999997</v>
      </c>
      <c r="AD56" s="59">
        <f t="shared" si="13"/>
        <v>82.145699999999991</v>
      </c>
      <c r="AE56" s="59">
        <f t="shared" si="13"/>
        <v>88.013249999999999</v>
      </c>
      <c r="AF56" s="59">
        <f t="shared" si="13"/>
        <v>0</v>
      </c>
      <c r="AG56" s="59">
        <f t="shared" si="13"/>
        <v>0</v>
      </c>
      <c r="AH56" s="59">
        <f t="shared" si="13"/>
        <v>0</v>
      </c>
      <c r="AI56" s="59">
        <f t="shared" si="13"/>
        <v>0</v>
      </c>
    </row>
    <row r="57" spans="1:35" ht="13.15" x14ac:dyDescent="0.4">
      <c r="A57" s="56"/>
      <c r="B57" s="53" t="s">
        <v>938</v>
      </c>
      <c r="C57" s="53" t="s">
        <v>1829</v>
      </c>
      <c r="D57" s="53" t="s">
        <v>1789</v>
      </c>
      <c r="E57" s="53" t="s">
        <v>51</v>
      </c>
      <c r="F57" s="53" t="s">
        <v>1790</v>
      </c>
      <c r="G57" s="94" t="s">
        <v>1048</v>
      </c>
      <c r="H57" s="53" t="s">
        <v>1822</v>
      </c>
      <c r="J57" s="53" t="s">
        <v>1727</v>
      </c>
      <c r="K57" s="59">
        <f t="shared" ref="K57:AI57" si="14">K42*K45*$E$37</f>
        <v>0</v>
      </c>
      <c r="L57" s="59">
        <f t="shared" si="14"/>
        <v>0</v>
      </c>
      <c r="M57" s="59">
        <f t="shared" si="14"/>
        <v>0</v>
      </c>
      <c r="N57" s="59">
        <f t="shared" si="14"/>
        <v>0</v>
      </c>
      <c r="O57" s="59">
        <f t="shared" si="14"/>
        <v>0</v>
      </c>
      <c r="P57" s="59">
        <f t="shared" si="14"/>
        <v>0</v>
      </c>
      <c r="Q57" s="59">
        <f t="shared" si="14"/>
        <v>0</v>
      </c>
      <c r="R57" s="59">
        <f t="shared" si="14"/>
        <v>0</v>
      </c>
      <c r="S57" s="59">
        <f t="shared" si="14"/>
        <v>0</v>
      </c>
      <c r="T57" s="59">
        <f t="shared" si="14"/>
        <v>0</v>
      </c>
      <c r="U57" s="59">
        <f t="shared" si="14"/>
        <v>0</v>
      </c>
      <c r="V57" s="59">
        <f t="shared" si="14"/>
        <v>0</v>
      </c>
      <c r="W57" s="59">
        <f t="shared" si="14"/>
        <v>0</v>
      </c>
      <c r="X57" s="59">
        <f t="shared" si="14"/>
        <v>0</v>
      </c>
      <c r="Y57" s="59">
        <f t="shared" si="14"/>
        <v>0</v>
      </c>
      <c r="Z57" s="59">
        <f t="shared" si="14"/>
        <v>0</v>
      </c>
      <c r="AA57" s="59">
        <f t="shared" si="14"/>
        <v>0</v>
      </c>
      <c r="AB57" s="59">
        <f t="shared" si="14"/>
        <v>0</v>
      </c>
      <c r="AC57" s="59">
        <f t="shared" si="14"/>
        <v>0</v>
      </c>
      <c r="AD57" s="59">
        <f t="shared" si="14"/>
        <v>0</v>
      </c>
      <c r="AE57" s="59">
        <f t="shared" si="14"/>
        <v>0</v>
      </c>
      <c r="AF57" s="59">
        <f t="shared" si="14"/>
        <v>0</v>
      </c>
      <c r="AG57" s="59">
        <f t="shared" si="14"/>
        <v>0</v>
      </c>
      <c r="AH57" s="59">
        <f t="shared" si="14"/>
        <v>0</v>
      </c>
      <c r="AI57" s="59">
        <f t="shared" si="14"/>
        <v>0</v>
      </c>
    </row>
    <row r="58" spans="1:35" ht="13.15" x14ac:dyDescent="0.4">
      <c r="A58" s="56"/>
      <c r="B58" s="53" t="s">
        <v>938</v>
      </c>
      <c r="C58" s="53" t="s">
        <v>1830</v>
      </c>
      <c r="D58" s="53" t="s">
        <v>1789</v>
      </c>
      <c r="E58" s="53" t="s">
        <v>71</v>
      </c>
      <c r="F58" s="53" t="s">
        <v>1790</v>
      </c>
      <c r="G58" s="94" t="s">
        <v>1052</v>
      </c>
      <c r="H58" s="53" t="s">
        <v>1822</v>
      </c>
      <c r="J58" s="53" t="s">
        <v>1727</v>
      </c>
      <c r="K58" s="59">
        <f t="shared" ref="K58:AI58" si="15">K42*K45*$E$38</f>
        <v>0</v>
      </c>
      <c r="L58" s="59">
        <f t="shared" si="15"/>
        <v>0</v>
      </c>
      <c r="M58" s="59">
        <f t="shared" si="15"/>
        <v>0</v>
      </c>
      <c r="N58" s="59">
        <f t="shared" si="15"/>
        <v>0</v>
      </c>
      <c r="O58" s="59">
        <f t="shared" si="15"/>
        <v>0</v>
      </c>
      <c r="P58" s="59">
        <f t="shared" si="15"/>
        <v>0</v>
      </c>
      <c r="Q58" s="59">
        <f t="shared" si="15"/>
        <v>0</v>
      </c>
      <c r="R58" s="59">
        <f t="shared" si="15"/>
        <v>0</v>
      </c>
      <c r="S58" s="59">
        <f t="shared" si="15"/>
        <v>0</v>
      </c>
      <c r="T58" s="59">
        <f t="shared" si="15"/>
        <v>0</v>
      </c>
      <c r="U58" s="59">
        <f t="shared" si="15"/>
        <v>0</v>
      </c>
      <c r="V58" s="59">
        <f t="shared" si="15"/>
        <v>0</v>
      </c>
      <c r="W58" s="59">
        <f t="shared" si="15"/>
        <v>0</v>
      </c>
      <c r="X58" s="59">
        <f t="shared" si="15"/>
        <v>0</v>
      </c>
      <c r="Y58" s="59">
        <f t="shared" si="15"/>
        <v>0</v>
      </c>
      <c r="Z58" s="59">
        <f t="shared" si="15"/>
        <v>0</v>
      </c>
      <c r="AA58" s="59">
        <f t="shared" si="15"/>
        <v>0</v>
      </c>
      <c r="AB58" s="59">
        <f t="shared" si="15"/>
        <v>0</v>
      </c>
      <c r="AC58" s="59">
        <f t="shared" si="15"/>
        <v>0</v>
      </c>
      <c r="AD58" s="59">
        <f t="shared" si="15"/>
        <v>0</v>
      </c>
      <c r="AE58" s="59">
        <f t="shared" si="15"/>
        <v>0</v>
      </c>
      <c r="AF58" s="59">
        <f t="shared" si="15"/>
        <v>0</v>
      </c>
      <c r="AG58" s="59">
        <f t="shared" si="15"/>
        <v>0</v>
      </c>
      <c r="AH58" s="59">
        <f t="shared" si="15"/>
        <v>0</v>
      </c>
      <c r="AI58" s="59">
        <f t="shared" si="15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1831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1832</v>
      </c>
    </row>
    <row r="62" spans="1:35" ht="13.15" x14ac:dyDescent="0.4">
      <c r="A62" s="56"/>
      <c r="B62" s="53" t="s">
        <v>1833</v>
      </c>
    </row>
    <row r="63" spans="1:35" ht="13.15" x14ac:dyDescent="0.4">
      <c r="A63" s="56"/>
      <c r="B63" s="53" t="s">
        <v>1834</v>
      </c>
    </row>
    <row r="64" spans="1:35" ht="13.15" x14ac:dyDescent="0.4">
      <c r="A64" s="56"/>
      <c r="B64" s="53" t="s">
        <v>1835</v>
      </c>
    </row>
    <row r="65" spans="1:2" ht="13.15" x14ac:dyDescent="0.4">
      <c r="A65" s="56"/>
      <c r="B65" s="53" t="s">
        <v>1836</v>
      </c>
    </row>
    <row r="66" spans="1:2" ht="13.15" x14ac:dyDescent="0.4">
      <c r="A66" s="56"/>
      <c r="B66" s="53" t="s">
        <v>1837</v>
      </c>
    </row>
    <row r="67" spans="1:2" ht="13.15" x14ac:dyDescent="0.4">
      <c r="A67" s="56"/>
      <c r="B67" s="53" t="s">
        <v>1838</v>
      </c>
    </row>
    <row r="68" spans="1:2" ht="13.15" x14ac:dyDescent="0.4">
      <c r="A68" s="56"/>
      <c r="B68" s="53" t="s">
        <v>1839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628" activePane="bottomRight" state="frozen"/>
      <selection pane="topRight" activeCell="E1" sqref="E1"/>
      <selection pane="bottomLeft" activeCell="A2" sqref="A2"/>
      <selection pane="bottomRight" activeCell="A644" sqref="A644:XFD644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L54" s="47">
        <f>INDEX(Data_Energy!$D$3:$U$22,MATCH($B54,Data_Energy!$C$3:$C$22,0),MATCH($C54,Data_Energy!$D$2:$U$2,0))</f>
        <v>232.65735477013101</v>
      </c>
      <c r="M54" s="24">
        <f t="shared" ref="M54:AE54" si="5">L54*(1+M$39)^($E44*M$40)*(1+M$41)*IF(L17&lt;=0,1,M17/L17)^$F44*(IF(L27&lt;=0,1,M27/L27)^$G44/(1+$H44+$I44))^(1+$F44)</f>
        <v>189.45265610688699</v>
      </c>
      <c r="N54" s="24">
        <f t="shared" si="5"/>
        <v>217.72883870914094</v>
      </c>
      <c r="O54" s="24">
        <f t="shared" si="5"/>
        <v>237.89793015048883</v>
      </c>
      <c r="P54" s="24">
        <f t="shared" si="5"/>
        <v>232.65006903124424</v>
      </c>
      <c r="Q54" s="24">
        <f t="shared" si="5"/>
        <v>235.34294021003569</v>
      </c>
      <c r="R54" s="24">
        <f t="shared" si="5"/>
        <v>241.85374047418856</v>
      </c>
      <c r="S54" s="24">
        <f t="shared" si="5"/>
        <v>248.19368529175608</v>
      </c>
      <c r="T54" s="24">
        <f t="shared" si="5"/>
        <v>254.26779674013815</v>
      </c>
      <c r="U54" s="24">
        <f t="shared" si="5"/>
        <v>260.35638985714291</v>
      </c>
      <c r="V54" s="24">
        <f t="shared" si="5"/>
        <v>265.28547286301517</v>
      </c>
      <c r="W54" s="24">
        <f t="shared" si="5"/>
        <v>270.22699380634242</v>
      </c>
      <c r="X54" s="24">
        <f t="shared" si="5"/>
        <v>275.17954419785963</v>
      </c>
      <c r="Y54" s="24">
        <f t="shared" si="5"/>
        <v>280.1417279609912</v>
      </c>
      <c r="Z54" s="24">
        <f t="shared" si="5"/>
        <v>285.11216024955354</v>
      </c>
      <c r="AA54" s="24">
        <f t="shared" si="5"/>
        <v>290.08946613853749</v>
      </c>
      <c r="AB54" s="24">
        <f t="shared" si="5"/>
        <v>295.07227919448746</v>
      </c>
      <c r="AC54" s="24">
        <f t="shared" si="5"/>
        <v>300.0592399315745</v>
      </c>
      <c r="AD54" s="24">
        <f t="shared" si="5"/>
        <v>305.04899415904566</v>
      </c>
      <c r="AE54" s="24">
        <f t="shared" si="5"/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L55" s="47">
        <f>INDEX(Data_Energy!$D$3:$U$22,MATCH($B55,Data_Energy!$C$3:$C$22,0),MATCH($C55,Data_Energy!$D$2:$U$2,0))</f>
        <v>1669.05671904213</v>
      </c>
      <c r="M55" s="24">
        <f t="shared" ref="M55:AE55" si="6">L55*(1+M$39)^($E45*M$40)*(1+M$41)*IF(L18&lt;=0,1,M18/L18)^$F45*(IF(L28&lt;=0,1,M28/L28)^$G45/(1+$H45+$I45))^(1+$F45)</f>
        <v>1431.7775208824874</v>
      </c>
      <c r="N55" s="24">
        <f t="shared" si="6"/>
        <v>1603.1180815212331</v>
      </c>
      <c r="O55" s="24">
        <f t="shared" si="6"/>
        <v>1666.4691074748598</v>
      </c>
      <c r="P55" s="24">
        <f t="shared" si="6"/>
        <v>1729.0519522219979</v>
      </c>
      <c r="Q55" s="24">
        <f t="shared" si="6"/>
        <v>1803.6196014388593</v>
      </c>
      <c r="R55" s="24">
        <f t="shared" si="6"/>
        <v>1893.1814307796642</v>
      </c>
      <c r="S55" s="24">
        <f t="shared" si="6"/>
        <v>1980.291402052703</v>
      </c>
      <c r="T55" s="24">
        <f t="shared" si="6"/>
        <v>2062.9630959218939</v>
      </c>
      <c r="U55" s="24">
        <f t="shared" si="6"/>
        <v>2147.4247884614956</v>
      </c>
      <c r="V55" s="24">
        <f t="shared" si="6"/>
        <v>2233.9848148462875</v>
      </c>
      <c r="W55" s="24">
        <f t="shared" si="6"/>
        <v>2322.6434118442621</v>
      </c>
      <c r="X55" s="24">
        <f t="shared" si="6"/>
        <v>2413.3992465193619</v>
      </c>
      <c r="Y55" s="24">
        <f t="shared" si="6"/>
        <v>2506.2493925354538</v>
      </c>
      <c r="Z55" s="24">
        <f t="shared" si="6"/>
        <v>2601.1893032264006</v>
      </c>
      <c r="AA55" s="24">
        <f t="shared" si="6"/>
        <v>2698.2127811658702</v>
      </c>
      <c r="AB55" s="24">
        <f t="shared" si="6"/>
        <v>2797.3119439811508</v>
      </c>
      <c r="AC55" s="24">
        <f t="shared" si="6"/>
        <v>2898.4771861653253</v>
      </c>
      <c r="AD55" s="24">
        <f t="shared" si="6"/>
        <v>3001.6971366522166</v>
      </c>
      <c r="AE55" s="24">
        <f t="shared" si="6"/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L56" s="47">
        <f>INDEX(Data_Energy!$D$3:$U$22,MATCH($B56,Data_Energy!$C$3:$C$22,0),MATCH($C56,Data_Energy!$D$2:$U$2,0))</f>
        <v>0</v>
      </c>
      <c r="M56" s="24">
        <f t="shared" ref="M56:AE56" si="7">L56*(1+M$39)^($E46*M$40)*(1+M$41)*IF(L19&lt;=0,1,M19/L19)^$F46*(IF(L29&lt;=0,1,M29/L29)^$G46/(1+$H46+$I46))^(1+$F46)</f>
        <v>0</v>
      </c>
      <c r="N56" s="24">
        <f t="shared" si="7"/>
        <v>0</v>
      </c>
      <c r="O56" s="24">
        <f t="shared" si="7"/>
        <v>0</v>
      </c>
      <c r="P56" s="24">
        <f t="shared" si="7"/>
        <v>0</v>
      </c>
      <c r="Q56" s="24">
        <f t="shared" si="7"/>
        <v>0</v>
      </c>
      <c r="R56" s="24">
        <f t="shared" si="7"/>
        <v>0</v>
      </c>
      <c r="S56" s="24">
        <f t="shared" si="7"/>
        <v>0</v>
      </c>
      <c r="T56" s="24">
        <f t="shared" si="7"/>
        <v>0</v>
      </c>
      <c r="U56" s="24">
        <f t="shared" si="7"/>
        <v>0</v>
      </c>
      <c r="V56" s="24">
        <f t="shared" si="7"/>
        <v>0</v>
      </c>
      <c r="W56" s="24">
        <f t="shared" si="7"/>
        <v>0</v>
      </c>
      <c r="X56" s="24">
        <f t="shared" si="7"/>
        <v>0</v>
      </c>
      <c r="Y56" s="24">
        <f t="shared" si="7"/>
        <v>0</v>
      </c>
      <c r="Z56" s="24">
        <f t="shared" si="7"/>
        <v>0</v>
      </c>
      <c r="AA56" s="24">
        <f t="shared" si="7"/>
        <v>0</v>
      </c>
      <c r="AB56" s="24">
        <f t="shared" si="7"/>
        <v>0</v>
      </c>
      <c r="AC56" s="24">
        <f t="shared" si="7"/>
        <v>0</v>
      </c>
      <c r="AD56" s="24">
        <f t="shared" si="7"/>
        <v>0</v>
      </c>
      <c r="AE56" s="24">
        <f t="shared" si="7"/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L57" s="47">
        <f>INDEX(Data_Energy!$D$3:$U$22,MATCH($B57,Data_Energy!$C$3:$C$22,0),MATCH($C57,Data_Energy!$D$2:$U$2,0))</f>
        <v>0</v>
      </c>
      <c r="M57" s="24">
        <f t="shared" ref="M57:AE57" si="8">L57*(1+M$39)^($E47*M$40)*(1+M$41)*IF(L20&lt;=0,1,M20/L20)^$F47*(IF(L30&lt;=0,1,M30/L30)^$G47/(1+$H47+$I47))^(1+$F47)</f>
        <v>0</v>
      </c>
      <c r="N57" s="24">
        <f t="shared" si="8"/>
        <v>0</v>
      </c>
      <c r="O57" s="24">
        <f t="shared" si="8"/>
        <v>0</v>
      </c>
      <c r="P57" s="24">
        <f t="shared" si="8"/>
        <v>0</v>
      </c>
      <c r="Q57" s="24">
        <f t="shared" si="8"/>
        <v>0</v>
      </c>
      <c r="R57" s="24">
        <f t="shared" si="8"/>
        <v>0</v>
      </c>
      <c r="S57" s="24">
        <f t="shared" si="8"/>
        <v>0</v>
      </c>
      <c r="T57" s="24">
        <f t="shared" si="8"/>
        <v>0</v>
      </c>
      <c r="U57" s="24">
        <f t="shared" si="8"/>
        <v>0</v>
      </c>
      <c r="V57" s="24">
        <f t="shared" si="8"/>
        <v>0</v>
      </c>
      <c r="W57" s="24">
        <f t="shared" si="8"/>
        <v>0</v>
      </c>
      <c r="X57" s="24">
        <f t="shared" si="8"/>
        <v>0</v>
      </c>
      <c r="Y57" s="24">
        <f t="shared" si="8"/>
        <v>0</v>
      </c>
      <c r="Z57" s="24">
        <f t="shared" si="8"/>
        <v>0</v>
      </c>
      <c r="AA57" s="24">
        <f t="shared" si="8"/>
        <v>0</v>
      </c>
      <c r="AB57" s="24">
        <f t="shared" si="8"/>
        <v>0</v>
      </c>
      <c r="AC57" s="24">
        <f t="shared" si="8"/>
        <v>0</v>
      </c>
      <c r="AD57" s="24">
        <f t="shared" si="8"/>
        <v>0</v>
      </c>
      <c r="AE57" s="24">
        <f t="shared" si="8"/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L58" s="47">
        <f>INDEX(Data_Energy!$D$3:$U$22,MATCH($B58,Data_Energy!$C$3:$C$22,0),MATCH($C58,Data_Energy!$D$2:$U$2,0))</f>
        <v>0</v>
      </c>
      <c r="M58" s="24">
        <f t="shared" ref="M58:AE58" si="9">L58*(1+M$39)^($E48*M$40)*(1+M$41)*IF(L21&lt;=0,1,M21/L21)^$F48*(IF(L31&lt;=0,1,M31/L31)^$G48/(1+$H48+$I48))^(1+$F48)</f>
        <v>0</v>
      </c>
      <c r="N58" s="24">
        <f t="shared" si="9"/>
        <v>0</v>
      </c>
      <c r="O58" s="24">
        <f t="shared" si="9"/>
        <v>0</v>
      </c>
      <c r="P58" s="24">
        <f t="shared" si="9"/>
        <v>0</v>
      </c>
      <c r="Q58" s="24">
        <f t="shared" si="9"/>
        <v>0</v>
      </c>
      <c r="R58" s="24">
        <f t="shared" si="9"/>
        <v>0</v>
      </c>
      <c r="S58" s="24">
        <f t="shared" si="9"/>
        <v>0</v>
      </c>
      <c r="T58" s="24">
        <f t="shared" si="9"/>
        <v>0</v>
      </c>
      <c r="U58" s="24">
        <f t="shared" si="9"/>
        <v>0</v>
      </c>
      <c r="V58" s="24">
        <f t="shared" si="9"/>
        <v>0</v>
      </c>
      <c r="W58" s="24">
        <f t="shared" si="9"/>
        <v>0</v>
      </c>
      <c r="X58" s="24">
        <f t="shared" si="9"/>
        <v>0</v>
      </c>
      <c r="Y58" s="24">
        <f t="shared" si="9"/>
        <v>0</v>
      </c>
      <c r="Z58" s="24">
        <f t="shared" si="9"/>
        <v>0</v>
      </c>
      <c r="AA58" s="24">
        <f t="shared" si="9"/>
        <v>0</v>
      </c>
      <c r="AB58" s="24">
        <f t="shared" si="9"/>
        <v>0</v>
      </c>
      <c r="AC58" s="24">
        <f t="shared" si="9"/>
        <v>0</v>
      </c>
      <c r="AD58" s="24">
        <f t="shared" si="9"/>
        <v>0</v>
      </c>
      <c r="AE58" s="24">
        <f t="shared" si="9"/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L59" s="47">
        <f>INDEX(Data_Energy!$D$3:$U$22,MATCH($B59,Data_Energy!$C$3:$C$22,0),MATCH($C59,Data_Energy!$D$2:$U$2,0))</f>
        <v>0</v>
      </c>
      <c r="M59" s="24">
        <f t="shared" ref="M59:AE59" si="10">L59*(1+M$39)^($E49*M$40)*(1+M$41)*IF(L22&lt;=0,1,M22/L22)^$F49*(IF(L32&lt;=0,1,M32/L32)^$G49/(1+$H49+$I49))^(1+$F49)</f>
        <v>0</v>
      </c>
      <c r="N59" s="24">
        <f t="shared" si="10"/>
        <v>0</v>
      </c>
      <c r="O59" s="24">
        <f t="shared" si="10"/>
        <v>0</v>
      </c>
      <c r="P59" s="24">
        <f t="shared" si="10"/>
        <v>0</v>
      </c>
      <c r="Q59" s="24">
        <f t="shared" si="10"/>
        <v>0</v>
      </c>
      <c r="R59" s="24">
        <f t="shared" si="10"/>
        <v>0</v>
      </c>
      <c r="S59" s="24">
        <f t="shared" si="10"/>
        <v>0</v>
      </c>
      <c r="T59" s="24">
        <f t="shared" si="10"/>
        <v>0</v>
      </c>
      <c r="U59" s="24">
        <f t="shared" si="10"/>
        <v>0</v>
      </c>
      <c r="V59" s="24">
        <f t="shared" si="10"/>
        <v>0</v>
      </c>
      <c r="W59" s="24">
        <f t="shared" si="10"/>
        <v>0</v>
      </c>
      <c r="X59" s="24">
        <f t="shared" si="10"/>
        <v>0</v>
      </c>
      <c r="Y59" s="24">
        <f t="shared" si="10"/>
        <v>0</v>
      </c>
      <c r="Z59" s="24">
        <f t="shared" si="10"/>
        <v>0</v>
      </c>
      <c r="AA59" s="24">
        <f t="shared" si="10"/>
        <v>0</v>
      </c>
      <c r="AB59" s="24">
        <f t="shared" si="10"/>
        <v>0</v>
      </c>
      <c r="AC59" s="24">
        <f t="shared" si="10"/>
        <v>0</v>
      </c>
      <c r="AD59" s="24">
        <f t="shared" si="10"/>
        <v>0</v>
      </c>
      <c r="AE59" s="24">
        <f t="shared" si="10"/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L60" s="47">
        <f>INDEX(Data_Energy!$D$3:$U$22,MATCH($B60,Data_Energy!$C$3:$C$22,0),MATCH($C60,Data_Energy!$D$2:$U$2,0))</f>
        <v>0</v>
      </c>
      <c r="M60" s="24">
        <f t="shared" ref="M60:AE60" si="11">L60*(1+M$39)^($E50*M$40)*(1+M$41)*IF(L23&lt;=0,1,M23/L23)^$F50*(IF(L33&lt;=0,1,M33/L33)^$G50/(1+$H50+$I50))^(1+$F50)</f>
        <v>0</v>
      </c>
      <c r="N60" s="24">
        <f t="shared" si="11"/>
        <v>0</v>
      </c>
      <c r="O60" s="24">
        <f t="shared" si="11"/>
        <v>0</v>
      </c>
      <c r="P60" s="24">
        <f t="shared" si="11"/>
        <v>0</v>
      </c>
      <c r="Q60" s="24">
        <f t="shared" si="11"/>
        <v>0</v>
      </c>
      <c r="R60" s="24">
        <f t="shared" si="11"/>
        <v>0</v>
      </c>
      <c r="S60" s="24">
        <f t="shared" si="11"/>
        <v>0</v>
      </c>
      <c r="T60" s="24">
        <f t="shared" si="11"/>
        <v>0</v>
      </c>
      <c r="U60" s="24">
        <f t="shared" si="11"/>
        <v>0</v>
      </c>
      <c r="V60" s="24">
        <f t="shared" si="11"/>
        <v>0</v>
      </c>
      <c r="W60" s="24">
        <f t="shared" si="11"/>
        <v>0</v>
      </c>
      <c r="X60" s="24">
        <f t="shared" si="11"/>
        <v>0</v>
      </c>
      <c r="Y60" s="24">
        <f t="shared" si="11"/>
        <v>0</v>
      </c>
      <c r="Z60" s="24">
        <f t="shared" si="11"/>
        <v>0</v>
      </c>
      <c r="AA60" s="24">
        <f t="shared" si="11"/>
        <v>0</v>
      </c>
      <c r="AB60" s="24">
        <f t="shared" si="11"/>
        <v>0</v>
      </c>
      <c r="AC60" s="24">
        <f t="shared" si="11"/>
        <v>0</v>
      </c>
      <c r="AD60" s="24">
        <f t="shared" si="11"/>
        <v>0</v>
      </c>
      <c r="AE60" s="24">
        <f t="shared" si="11"/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L61" s="47">
        <f>INDEX(Data_Energy!$D$3:$U$22,MATCH($B61,Data_Energy!$C$3:$C$22,0),MATCH($C61,Data_Energy!$D$2:$U$2,0))</f>
        <v>0</v>
      </c>
      <c r="M61" s="24">
        <f t="shared" ref="M61:AE61" si="12">L61*(1+M$39)^($E51*M$40)*(1+M$41)*IF(L24&lt;=0,1,M24/L24)^$F51*(IF(L34&lt;=0,1,M34/L34)^$G51/(1+$H51+$I51))^(1+$F51)</f>
        <v>0</v>
      </c>
      <c r="N61" s="24">
        <f t="shared" si="12"/>
        <v>0</v>
      </c>
      <c r="O61" s="24">
        <f t="shared" si="12"/>
        <v>0</v>
      </c>
      <c r="P61" s="24">
        <f t="shared" si="12"/>
        <v>0</v>
      </c>
      <c r="Q61" s="24">
        <f t="shared" si="12"/>
        <v>0</v>
      </c>
      <c r="R61" s="24">
        <f t="shared" si="12"/>
        <v>0</v>
      </c>
      <c r="S61" s="24">
        <f t="shared" si="12"/>
        <v>0</v>
      </c>
      <c r="T61" s="24">
        <f t="shared" si="12"/>
        <v>0</v>
      </c>
      <c r="U61" s="24">
        <f t="shared" si="12"/>
        <v>0</v>
      </c>
      <c r="V61" s="24">
        <f t="shared" si="12"/>
        <v>0</v>
      </c>
      <c r="W61" s="24">
        <f t="shared" si="12"/>
        <v>0</v>
      </c>
      <c r="X61" s="24">
        <f t="shared" si="12"/>
        <v>0</v>
      </c>
      <c r="Y61" s="24">
        <f t="shared" si="12"/>
        <v>0</v>
      </c>
      <c r="Z61" s="24">
        <f t="shared" si="12"/>
        <v>0</v>
      </c>
      <c r="AA61" s="24">
        <f t="shared" si="12"/>
        <v>0</v>
      </c>
      <c r="AB61" s="24">
        <f t="shared" si="12"/>
        <v>0</v>
      </c>
      <c r="AC61" s="24">
        <f t="shared" si="12"/>
        <v>0</v>
      </c>
      <c r="AD61" s="24">
        <f t="shared" si="12"/>
        <v>0</v>
      </c>
      <c r="AE61" s="24">
        <f t="shared" si="12"/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L62" s="47">
        <f>INDEX(Data_Energy!$D$3:$U$22,MATCH($B62,Data_Energy!$C$3:$C$22,0),MATCH($C62,Data_Energy!$D$2:$U$2,0))</f>
        <v>0</v>
      </c>
      <c r="M62" s="24">
        <f t="shared" ref="M62:AE62" si="13">L62*(1+M$39)^($E52*M$40)*(1+M$41)*IF(L25&lt;=0,1,M25/L25)^$F52*(IF(L35&lt;=0,1,M35/L35)^$G52/(1+$H52+$I52))^(1+$F52)</f>
        <v>0</v>
      </c>
      <c r="N62" s="24">
        <f t="shared" si="13"/>
        <v>0</v>
      </c>
      <c r="O62" s="24">
        <f t="shared" si="13"/>
        <v>0</v>
      </c>
      <c r="P62" s="24">
        <f t="shared" si="13"/>
        <v>0</v>
      </c>
      <c r="Q62" s="24">
        <f t="shared" si="13"/>
        <v>0</v>
      </c>
      <c r="R62" s="24">
        <f t="shared" si="13"/>
        <v>0</v>
      </c>
      <c r="S62" s="24">
        <f t="shared" si="13"/>
        <v>0</v>
      </c>
      <c r="T62" s="24">
        <f t="shared" si="13"/>
        <v>0</v>
      </c>
      <c r="U62" s="24">
        <f t="shared" si="13"/>
        <v>0</v>
      </c>
      <c r="V62" s="24">
        <f t="shared" si="13"/>
        <v>0</v>
      </c>
      <c r="W62" s="24">
        <f t="shared" si="13"/>
        <v>0</v>
      </c>
      <c r="X62" s="24">
        <f t="shared" si="13"/>
        <v>0</v>
      </c>
      <c r="Y62" s="24">
        <f t="shared" si="13"/>
        <v>0</v>
      </c>
      <c r="Z62" s="24">
        <f t="shared" si="13"/>
        <v>0</v>
      </c>
      <c r="AA62" s="24">
        <f t="shared" si="13"/>
        <v>0</v>
      </c>
      <c r="AB62" s="24">
        <f t="shared" si="13"/>
        <v>0</v>
      </c>
      <c r="AC62" s="24">
        <f t="shared" si="13"/>
        <v>0</v>
      </c>
      <c r="AD62" s="24">
        <f t="shared" si="13"/>
        <v>0</v>
      </c>
      <c r="AE62" s="24">
        <f t="shared" si="13"/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14">SUM(L54:L62)</f>
        <v>1901.7140738122609</v>
      </c>
      <c r="M63" s="26">
        <f t="shared" si="14"/>
        <v>1621.2301769893743</v>
      </c>
      <c r="N63" s="26">
        <f t="shared" si="14"/>
        <v>1820.8469202303741</v>
      </c>
      <c r="O63" s="26">
        <f t="shared" si="14"/>
        <v>1904.3670376253485</v>
      </c>
      <c r="P63" s="26">
        <f t="shared" si="14"/>
        <v>1961.702021253242</v>
      </c>
      <c r="Q63" s="26">
        <f t="shared" si="14"/>
        <v>2038.962541648895</v>
      </c>
      <c r="R63" s="26">
        <f t="shared" si="14"/>
        <v>2135.0351712538527</v>
      </c>
      <c r="S63" s="26">
        <f t="shared" si="14"/>
        <v>2228.4850873444593</v>
      </c>
      <c r="T63" s="26">
        <f t="shared" si="14"/>
        <v>2317.2308926620321</v>
      </c>
      <c r="U63" s="26">
        <f t="shared" si="14"/>
        <v>2407.7811783186385</v>
      </c>
      <c r="V63" s="26">
        <f t="shared" si="14"/>
        <v>2499.2702877093025</v>
      </c>
      <c r="W63" s="26">
        <f t="shared" si="14"/>
        <v>2592.8704056506044</v>
      </c>
      <c r="X63" s="26">
        <f t="shared" si="14"/>
        <v>2688.5787907172216</v>
      </c>
      <c r="Y63" s="26">
        <f t="shared" si="14"/>
        <v>2786.3911204964452</v>
      </c>
      <c r="Z63" s="26">
        <f t="shared" si="14"/>
        <v>2886.3014634759543</v>
      </c>
      <c r="AA63" s="26">
        <f t="shared" si="14"/>
        <v>2988.3022473044075</v>
      </c>
      <c r="AB63" s="26">
        <f t="shared" si="14"/>
        <v>3092.384223175638</v>
      </c>
      <c r="AC63" s="26">
        <f t="shared" si="14"/>
        <v>3198.5364260969</v>
      </c>
      <c r="AD63" s="26">
        <f t="shared" si="14"/>
        <v>3306.7461308112624</v>
      </c>
      <c r="AE63" s="26">
        <f t="shared" si="14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15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15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15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15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15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15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15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15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15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16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16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16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16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16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16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16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16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16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17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17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17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17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17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17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17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17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17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18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18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18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18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18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18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18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18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18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9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L114" s="47">
        <f>INDEX(Data_Energy!$D$3:$U$22,MATCH($B114,Data_Energy!$C$3:$C$22,0),MATCH($C114,Data_Energy!$D$2:$U$2,0))</f>
        <v>1463.05522446279</v>
      </c>
      <c r="M114" s="24">
        <f t="shared" ref="M114:AE114" si="20">L114*(1+M$99)^($E104*M$100)*(1+M$101)*IF(L77&lt;=0,1,M77/L77)^$F104*(IF(L87&lt;=0,1,M87/L87)^$G104/(1+$H104+$I104))^(1+$F104)</f>
        <v>1191.3644362517186</v>
      </c>
      <c r="N114" s="24">
        <f t="shared" si="20"/>
        <v>1369.1779282213379</v>
      </c>
      <c r="O114" s="24">
        <f t="shared" si="20"/>
        <v>1496.0103450821184</v>
      </c>
      <c r="P114" s="24">
        <f t="shared" si="20"/>
        <v>1463.0094084242087</v>
      </c>
      <c r="Q114" s="24">
        <f t="shared" si="20"/>
        <v>1479.9434067103523</v>
      </c>
      <c r="R114" s="24">
        <f t="shared" si="20"/>
        <v>1520.8862789067375</v>
      </c>
      <c r="S114" s="24">
        <f t="shared" si="20"/>
        <v>1560.7547343755641</v>
      </c>
      <c r="T114" s="24">
        <f t="shared" si="20"/>
        <v>1598.9515087578091</v>
      </c>
      <c r="U114" s="24">
        <f t="shared" si="20"/>
        <v>1637.2393504564443</v>
      </c>
      <c r="V114" s="24">
        <f t="shared" si="20"/>
        <v>1668.235665404997</v>
      </c>
      <c r="W114" s="24">
        <f t="shared" si="20"/>
        <v>1699.3101957591753</v>
      </c>
      <c r="X114" s="24">
        <f t="shared" si="20"/>
        <v>1730.4540842981107</v>
      </c>
      <c r="Y114" s="24">
        <f t="shared" si="20"/>
        <v>1761.6585518575694</v>
      </c>
      <c r="Z114" s="24">
        <f t="shared" si="20"/>
        <v>1792.9148898951291</v>
      </c>
      <c r="AA114" s="24">
        <f t="shared" si="20"/>
        <v>1824.2144522572223</v>
      </c>
      <c r="AB114" s="24">
        <f t="shared" si="20"/>
        <v>1855.5486461890316</v>
      </c>
      <c r="AC114" s="24">
        <f t="shared" si="20"/>
        <v>1886.9089226255737</v>
      </c>
      <c r="AD114" s="24">
        <f t="shared" si="20"/>
        <v>1918.2867657997119</v>
      </c>
      <c r="AE114" s="24">
        <f t="shared" si="20"/>
        <v>1949.6736822001205</v>
      </c>
    </row>
    <row r="115" spans="1:35" x14ac:dyDescent="0.45">
      <c r="B115" s="14" t="s">
        <v>53</v>
      </c>
      <c r="C115" s="14" t="str">
        <f t="shared" si="19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L115" s="47">
        <f>INDEX(Data_Energy!$D$3:$U$22,MATCH($B115,Data_Energy!$C$3:$C$22,0),MATCH($C115,Data_Energy!$D$2:$U$2,0))</f>
        <v>1747.39153476208</v>
      </c>
      <c r="M115" s="24">
        <f t="shared" ref="M115:AE115" si="21">L115*(1+M$99)^($E105*M$100)*(1+M$101)*IF(L78&lt;=0,1,M78/L78)^$F105*(IF(L88&lt;=0,1,M88/L88)^$G105/(1+$H105+$I105))^(1+$F105)</f>
        <v>1498.9759731403976</v>
      </c>
      <c r="N115" s="24">
        <f t="shared" si="21"/>
        <v>1678.358160579395</v>
      </c>
      <c r="O115" s="24">
        <f t="shared" si="21"/>
        <v>1744.6824773068638</v>
      </c>
      <c r="P115" s="24">
        <f t="shared" si="21"/>
        <v>1810.2025593297435</v>
      </c>
      <c r="Q115" s="24">
        <f t="shared" si="21"/>
        <v>1888.2699356639823</v>
      </c>
      <c r="R115" s="24">
        <f t="shared" si="21"/>
        <v>1982.0352227524543</v>
      </c>
      <c r="S115" s="24">
        <f t="shared" si="21"/>
        <v>2073.2335772836482</v>
      </c>
      <c r="T115" s="24">
        <f t="shared" si="21"/>
        <v>2159.7853501403379</v>
      </c>
      <c r="U115" s="24">
        <f t="shared" si="21"/>
        <v>2248.2111327225371</v>
      </c>
      <c r="V115" s="24">
        <f t="shared" si="21"/>
        <v>2338.8337314802193</v>
      </c>
      <c r="W115" s="24">
        <f t="shared" si="21"/>
        <v>2431.6533942937472</v>
      </c>
      <c r="X115" s="24">
        <f t="shared" si="21"/>
        <v>2526.6687256675955</v>
      </c>
      <c r="Y115" s="24">
        <f t="shared" si="21"/>
        <v>2623.8766619221847</v>
      </c>
      <c r="Z115" s="24">
        <f t="shared" si="21"/>
        <v>2723.2724430000362</v>
      </c>
      <c r="AA115" s="24">
        <f t="shared" si="21"/>
        <v>2824.8495806073797</v>
      </c>
      <c r="AB115" s="24">
        <f t="shared" si="21"/>
        <v>2928.5998224234936</v>
      </c>
      <c r="AC115" s="24">
        <f t="shared" si="21"/>
        <v>3034.5131121205823</v>
      </c>
      <c r="AD115" s="24">
        <f t="shared" si="21"/>
        <v>3142.5775449475668</v>
      </c>
      <c r="AE115" s="24">
        <f t="shared" si="21"/>
        <v>3252.7793186410991</v>
      </c>
    </row>
    <row r="116" spans="1:35" x14ac:dyDescent="0.45">
      <c r="B116" s="14" t="s">
        <v>55</v>
      </c>
      <c r="C116" s="14" t="str">
        <f t="shared" si="19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L116" s="47">
        <f>INDEX(Data_Energy!$D$3:$U$22,MATCH($B116,Data_Energy!$C$3:$C$22,0),MATCH($C116,Data_Energy!$D$2:$U$2,0))</f>
        <v>0</v>
      </c>
      <c r="M116" s="24">
        <f t="shared" ref="M116:AE116" si="22">L116*(1+M$99)^($E106*M$100)*(1+M$101)*IF(L79&lt;=0,1,M79/L79)^$F106*(IF(L89&lt;=0,1,M89/L89)^$G106/(1+$H106+$I106))^(1+$F106)</f>
        <v>0</v>
      </c>
      <c r="N116" s="24">
        <f t="shared" si="22"/>
        <v>0</v>
      </c>
      <c r="O116" s="24">
        <f t="shared" si="22"/>
        <v>0</v>
      </c>
      <c r="P116" s="24">
        <f t="shared" si="22"/>
        <v>0</v>
      </c>
      <c r="Q116" s="24">
        <f t="shared" si="22"/>
        <v>0</v>
      </c>
      <c r="R116" s="24">
        <f t="shared" si="22"/>
        <v>0</v>
      </c>
      <c r="S116" s="24">
        <f t="shared" si="22"/>
        <v>0</v>
      </c>
      <c r="T116" s="24">
        <f t="shared" si="22"/>
        <v>0</v>
      </c>
      <c r="U116" s="24">
        <f t="shared" si="22"/>
        <v>0</v>
      </c>
      <c r="V116" s="24">
        <f t="shared" si="22"/>
        <v>0</v>
      </c>
      <c r="W116" s="24">
        <f t="shared" si="22"/>
        <v>0</v>
      </c>
      <c r="X116" s="24">
        <f t="shared" si="22"/>
        <v>0</v>
      </c>
      <c r="Y116" s="24">
        <f t="shared" si="22"/>
        <v>0</v>
      </c>
      <c r="Z116" s="24">
        <f t="shared" si="22"/>
        <v>0</v>
      </c>
      <c r="AA116" s="24">
        <f t="shared" si="22"/>
        <v>0</v>
      </c>
      <c r="AB116" s="24">
        <f t="shared" si="22"/>
        <v>0</v>
      </c>
      <c r="AC116" s="24">
        <f t="shared" si="22"/>
        <v>0</v>
      </c>
      <c r="AD116" s="24">
        <f t="shared" si="22"/>
        <v>0</v>
      </c>
      <c r="AE116" s="24">
        <f t="shared" si="22"/>
        <v>0</v>
      </c>
    </row>
    <row r="117" spans="1:35" x14ac:dyDescent="0.45">
      <c r="B117" s="14" t="s">
        <v>58</v>
      </c>
      <c r="C117" s="14" t="str">
        <f t="shared" si="19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L117" s="47">
        <f>INDEX(Data_Energy!$D$3:$U$22,MATCH($B117,Data_Energy!$C$3:$C$22,0),MATCH($C117,Data_Energy!$D$2:$U$2,0))</f>
        <v>0</v>
      </c>
      <c r="M117" s="24">
        <f t="shared" ref="M117:AE117" si="23">L117*(1+M$99)^($E107*M$100)*(1+M$101)*IF(L80&lt;=0,1,M80/L80)^$F107*(IF(L90&lt;=0,1,M90/L90)^$G107/(1+$H107+$I107))^(1+$F107)</f>
        <v>0</v>
      </c>
      <c r="N117" s="24">
        <f t="shared" si="23"/>
        <v>0</v>
      </c>
      <c r="O117" s="24">
        <f t="shared" si="23"/>
        <v>0</v>
      </c>
      <c r="P117" s="24">
        <f t="shared" si="23"/>
        <v>0</v>
      </c>
      <c r="Q117" s="24">
        <f t="shared" si="23"/>
        <v>0</v>
      </c>
      <c r="R117" s="24">
        <f t="shared" si="23"/>
        <v>0</v>
      </c>
      <c r="S117" s="24">
        <f t="shared" si="23"/>
        <v>0</v>
      </c>
      <c r="T117" s="24">
        <f t="shared" si="23"/>
        <v>0</v>
      </c>
      <c r="U117" s="24">
        <f t="shared" si="23"/>
        <v>0</v>
      </c>
      <c r="V117" s="24">
        <f t="shared" si="23"/>
        <v>0</v>
      </c>
      <c r="W117" s="24">
        <f t="shared" si="23"/>
        <v>0</v>
      </c>
      <c r="X117" s="24">
        <f t="shared" si="23"/>
        <v>0</v>
      </c>
      <c r="Y117" s="24">
        <f t="shared" si="23"/>
        <v>0</v>
      </c>
      <c r="Z117" s="24">
        <f t="shared" si="23"/>
        <v>0</v>
      </c>
      <c r="AA117" s="24">
        <f t="shared" si="23"/>
        <v>0</v>
      </c>
      <c r="AB117" s="24">
        <f t="shared" si="23"/>
        <v>0</v>
      </c>
      <c r="AC117" s="24">
        <f t="shared" si="23"/>
        <v>0</v>
      </c>
      <c r="AD117" s="24">
        <f t="shared" si="23"/>
        <v>0</v>
      </c>
      <c r="AE117" s="24">
        <f t="shared" si="23"/>
        <v>0</v>
      </c>
    </row>
    <row r="118" spans="1:35" x14ac:dyDescent="0.45">
      <c r="B118" s="14" t="s">
        <v>60</v>
      </c>
      <c r="C118" s="14" t="str">
        <f t="shared" si="19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L118" s="47">
        <f>INDEX(Data_Energy!$D$3:$U$22,MATCH($B118,Data_Energy!$C$3:$C$22,0),MATCH($C118,Data_Energy!$D$2:$U$2,0))</f>
        <v>0</v>
      </c>
      <c r="M118" s="24">
        <f t="shared" ref="M118:AE118" si="24">L118*(1+M$99)^($E108*M$100)*(1+M$101)*IF(L81&lt;=0,1,M81/L81)^$F108*(IF(L91&lt;=0,1,M91/L91)^$G108/(1+$H108+$I108))^(1+$F108)</f>
        <v>0</v>
      </c>
      <c r="N118" s="24">
        <f t="shared" si="24"/>
        <v>0</v>
      </c>
      <c r="O118" s="24">
        <f t="shared" si="24"/>
        <v>0</v>
      </c>
      <c r="P118" s="24">
        <f t="shared" si="24"/>
        <v>0</v>
      </c>
      <c r="Q118" s="24">
        <f t="shared" si="24"/>
        <v>0</v>
      </c>
      <c r="R118" s="24">
        <f t="shared" si="24"/>
        <v>0</v>
      </c>
      <c r="S118" s="24">
        <f t="shared" si="24"/>
        <v>0</v>
      </c>
      <c r="T118" s="24">
        <f t="shared" si="24"/>
        <v>0</v>
      </c>
      <c r="U118" s="24">
        <f t="shared" si="24"/>
        <v>0</v>
      </c>
      <c r="V118" s="24">
        <f t="shared" si="24"/>
        <v>0</v>
      </c>
      <c r="W118" s="24">
        <f t="shared" si="24"/>
        <v>0</v>
      </c>
      <c r="X118" s="24">
        <f t="shared" si="24"/>
        <v>0</v>
      </c>
      <c r="Y118" s="24">
        <f t="shared" si="24"/>
        <v>0</v>
      </c>
      <c r="Z118" s="24">
        <f t="shared" si="24"/>
        <v>0</v>
      </c>
      <c r="AA118" s="24">
        <f t="shared" si="24"/>
        <v>0</v>
      </c>
      <c r="AB118" s="24">
        <f t="shared" si="24"/>
        <v>0</v>
      </c>
      <c r="AC118" s="24">
        <f t="shared" si="24"/>
        <v>0</v>
      </c>
      <c r="AD118" s="24">
        <f t="shared" si="24"/>
        <v>0</v>
      </c>
      <c r="AE118" s="24">
        <f t="shared" si="24"/>
        <v>0</v>
      </c>
    </row>
    <row r="119" spans="1:35" x14ac:dyDescent="0.45">
      <c r="B119" s="14" t="s">
        <v>62</v>
      </c>
      <c r="C119" s="14" t="str">
        <f t="shared" si="19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L119" s="47">
        <f>INDEX(Data_Energy!$D$3:$U$22,MATCH($B119,Data_Energy!$C$3:$C$22,0),MATCH($C119,Data_Energy!$D$2:$U$2,0))</f>
        <v>0</v>
      </c>
      <c r="M119" s="24">
        <f t="shared" ref="M119:AE119" si="25">L119*(1+M$99)^($E109*M$100)*(1+M$101)*IF(L82&lt;=0,1,M82/L82)^$F109*(IF(L92&lt;=0,1,M92/L92)^$G109/(1+$H109+$I109))^(1+$F109)</f>
        <v>0</v>
      </c>
      <c r="N119" s="24">
        <f t="shared" si="25"/>
        <v>0</v>
      </c>
      <c r="O119" s="24">
        <f t="shared" si="25"/>
        <v>0</v>
      </c>
      <c r="P119" s="24">
        <f t="shared" si="25"/>
        <v>0</v>
      </c>
      <c r="Q119" s="24">
        <f t="shared" si="25"/>
        <v>0</v>
      </c>
      <c r="R119" s="24">
        <f t="shared" si="25"/>
        <v>0</v>
      </c>
      <c r="S119" s="24">
        <f t="shared" si="25"/>
        <v>0</v>
      </c>
      <c r="T119" s="24">
        <f t="shared" si="25"/>
        <v>0</v>
      </c>
      <c r="U119" s="24">
        <f t="shared" si="25"/>
        <v>0</v>
      </c>
      <c r="V119" s="24">
        <f t="shared" si="25"/>
        <v>0</v>
      </c>
      <c r="W119" s="24">
        <f t="shared" si="25"/>
        <v>0</v>
      </c>
      <c r="X119" s="24">
        <f t="shared" si="25"/>
        <v>0</v>
      </c>
      <c r="Y119" s="24">
        <f t="shared" si="25"/>
        <v>0</v>
      </c>
      <c r="Z119" s="24">
        <f t="shared" si="25"/>
        <v>0</v>
      </c>
      <c r="AA119" s="24">
        <f t="shared" si="25"/>
        <v>0</v>
      </c>
      <c r="AB119" s="24">
        <f t="shared" si="25"/>
        <v>0</v>
      </c>
      <c r="AC119" s="24">
        <f t="shared" si="25"/>
        <v>0</v>
      </c>
      <c r="AD119" s="24">
        <f t="shared" si="25"/>
        <v>0</v>
      </c>
      <c r="AE119" s="24">
        <f t="shared" si="25"/>
        <v>0</v>
      </c>
    </row>
    <row r="120" spans="1:35" x14ac:dyDescent="0.45">
      <c r="B120" s="14" t="s">
        <v>64</v>
      </c>
      <c r="C120" s="14" t="str">
        <f t="shared" si="19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L120" s="47">
        <f>INDEX(Data_Energy!$D$3:$U$22,MATCH($B120,Data_Energy!$C$3:$C$22,0),MATCH($C120,Data_Energy!$D$2:$U$2,0))</f>
        <v>0</v>
      </c>
      <c r="M120" s="24">
        <f t="shared" ref="M120:AE120" si="26">L120*(1+M$99)^($E110*M$100)*(1+M$101)*IF(L83&lt;=0,1,M83/L83)^$F110*(IF(L93&lt;=0,1,M93/L93)^$G110/(1+$H110+$I110))^(1+$F110)</f>
        <v>0</v>
      </c>
      <c r="N120" s="24">
        <f t="shared" si="26"/>
        <v>0</v>
      </c>
      <c r="O120" s="24">
        <f t="shared" si="26"/>
        <v>0</v>
      </c>
      <c r="P120" s="24">
        <f t="shared" si="26"/>
        <v>0</v>
      </c>
      <c r="Q120" s="24">
        <f t="shared" si="26"/>
        <v>0</v>
      </c>
      <c r="R120" s="24">
        <f t="shared" si="26"/>
        <v>0</v>
      </c>
      <c r="S120" s="24">
        <f t="shared" si="26"/>
        <v>0</v>
      </c>
      <c r="T120" s="24">
        <f t="shared" si="26"/>
        <v>0</v>
      </c>
      <c r="U120" s="24">
        <f t="shared" si="26"/>
        <v>0</v>
      </c>
      <c r="V120" s="24">
        <f t="shared" si="26"/>
        <v>0</v>
      </c>
      <c r="W120" s="24">
        <f t="shared" si="26"/>
        <v>0</v>
      </c>
      <c r="X120" s="24">
        <f t="shared" si="26"/>
        <v>0</v>
      </c>
      <c r="Y120" s="24">
        <f t="shared" si="26"/>
        <v>0</v>
      </c>
      <c r="Z120" s="24">
        <f t="shared" si="26"/>
        <v>0</v>
      </c>
      <c r="AA120" s="24">
        <f t="shared" si="26"/>
        <v>0</v>
      </c>
      <c r="AB120" s="24">
        <f t="shared" si="26"/>
        <v>0</v>
      </c>
      <c r="AC120" s="24">
        <f t="shared" si="26"/>
        <v>0</v>
      </c>
      <c r="AD120" s="24">
        <f t="shared" si="26"/>
        <v>0</v>
      </c>
      <c r="AE120" s="24">
        <f t="shared" si="26"/>
        <v>0</v>
      </c>
    </row>
    <row r="121" spans="1:35" x14ac:dyDescent="0.45">
      <c r="B121" s="14" t="s">
        <v>67</v>
      </c>
      <c r="C121" s="14" t="str">
        <f t="shared" si="19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L121" s="47">
        <f>INDEX(Data_Energy!$D$3:$U$22,MATCH($B121,Data_Energy!$C$3:$C$22,0),MATCH($C121,Data_Energy!$D$2:$U$2,0))</f>
        <v>0</v>
      </c>
      <c r="M121" s="24">
        <f t="shared" ref="M121:AE121" si="27">L121*(1+M$99)^($E111*M$100)*(1+M$101)*IF(L84&lt;=0,1,M84/L84)^$F111*(IF(L94&lt;=0,1,M94/L94)^$G111/(1+$H111+$I111))^(1+$F111)</f>
        <v>0</v>
      </c>
      <c r="N121" s="24">
        <f t="shared" si="27"/>
        <v>0</v>
      </c>
      <c r="O121" s="24">
        <f t="shared" si="27"/>
        <v>0</v>
      </c>
      <c r="P121" s="24">
        <f t="shared" si="27"/>
        <v>0</v>
      </c>
      <c r="Q121" s="24">
        <f t="shared" si="27"/>
        <v>0</v>
      </c>
      <c r="R121" s="24">
        <f t="shared" si="27"/>
        <v>0</v>
      </c>
      <c r="S121" s="24">
        <f t="shared" si="27"/>
        <v>0</v>
      </c>
      <c r="T121" s="24">
        <f t="shared" si="27"/>
        <v>0</v>
      </c>
      <c r="U121" s="24">
        <f t="shared" si="27"/>
        <v>0</v>
      </c>
      <c r="V121" s="24">
        <f t="shared" si="27"/>
        <v>0</v>
      </c>
      <c r="W121" s="24">
        <f t="shared" si="27"/>
        <v>0</v>
      </c>
      <c r="X121" s="24">
        <f t="shared" si="27"/>
        <v>0</v>
      </c>
      <c r="Y121" s="24">
        <f t="shared" si="27"/>
        <v>0</v>
      </c>
      <c r="Z121" s="24">
        <f t="shared" si="27"/>
        <v>0</v>
      </c>
      <c r="AA121" s="24">
        <f t="shared" si="27"/>
        <v>0</v>
      </c>
      <c r="AB121" s="24">
        <f t="shared" si="27"/>
        <v>0</v>
      </c>
      <c r="AC121" s="24">
        <f t="shared" si="27"/>
        <v>0</v>
      </c>
      <c r="AD121" s="24">
        <f t="shared" si="27"/>
        <v>0</v>
      </c>
      <c r="AE121" s="24">
        <f t="shared" si="27"/>
        <v>0</v>
      </c>
    </row>
    <row r="122" spans="1:35" x14ac:dyDescent="0.45">
      <c r="B122" s="14" t="s">
        <v>69</v>
      </c>
      <c r="C122" s="14" t="str">
        <f t="shared" si="19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L122" s="47">
        <f>INDEX(Data_Energy!$D$3:$U$22,MATCH($B122,Data_Energy!$C$3:$C$22,0),MATCH($C122,Data_Energy!$D$2:$U$2,0))</f>
        <v>0</v>
      </c>
      <c r="M122" s="24">
        <f t="shared" ref="M122:AE122" si="28">L122*(1+M$99)^($E112*M$100)*(1+M$101)*IF(L85&lt;=0,1,M85/L85)^$F112*(IF(L95&lt;=0,1,M95/L95)^$G112/(1+$H112+$I112))^(1+$F112)</f>
        <v>0</v>
      </c>
      <c r="N122" s="24">
        <f t="shared" si="28"/>
        <v>0</v>
      </c>
      <c r="O122" s="24">
        <f t="shared" si="28"/>
        <v>0</v>
      </c>
      <c r="P122" s="24">
        <f t="shared" si="28"/>
        <v>0</v>
      </c>
      <c r="Q122" s="24">
        <f t="shared" si="28"/>
        <v>0</v>
      </c>
      <c r="R122" s="24">
        <f t="shared" si="28"/>
        <v>0</v>
      </c>
      <c r="S122" s="24">
        <f t="shared" si="28"/>
        <v>0</v>
      </c>
      <c r="T122" s="24">
        <f t="shared" si="28"/>
        <v>0</v>
      </c>
      <c r="U122" s="24">
        <f t="shared" si="28"/>
        <v>0</v>
      </c>
      <c r="V122" s="24">
        <f t="shared" si="28"/>
        <v>0</v>
      </c>
      <c r="W122" s="24">
        <f t="shared" si="28"/>
        <v>0</v>
      </c>
      <c r="X122" s="24">
        <f t="shared" si="28"/>
        <v>0</v>
      </c>
      <c r="Y122" s="24">
        <f t="shared" si="28"/>
        <v>0</v>
      </c>
      <c r="Z122" s="24">
        <f t="shared" si="28"/>
        <v>0</v>
      </c>
      <c r="AA122" s="24">
        <f t="shared" si="28"/>
        <v>0</v>
      </c>
      <c r="AB122" s="24">
        <f t="shared" si="28"/>
        <v>0</v>
      </c>
      <c r="AC122" s="24">
        <f t="shared" si="28"/>
        <v>0</v>
      </c>
      <c r="AD122" s="24">
        <f t="shared" si="28"/>
        <v>0</v>
      </c>
      <c r="AE122" s="24">
        <f t="shared" si="28"/>
        <v>0</v>
      </c>
    </row>
    <row r="123" spans="1:35" x14ac:dyDescent="0.45">
      <c r="B123" s="14" t="s">
        <v>110</v>
      </c>
      <c r="C123" s="14" t="str">
        <f t="shared" si="19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29">SUM(L114:L122)</f>
        <v>3210.4467592248702</v>
      </c>
      <c r="M123" s="26">
        <f t="shared" si="29"/>
        <v>2690.3404093921163</v>
      </c>
      <c r="N123" s="26">
        <f t="shared" si="29"/>
        <v>3047.5360888007326</v>
      </c>
      <c r="O123" s="26">
        <f t="shared" si="29"/>
        <v>3240.6928223889822</v>
      </c>
      <c r="P123" s="26">
        <f t="shared" si="29"/>
        <v>3273.2119677539522</v>
      </c>
      <c r="Q123" s="26">
        <f t="shared" si="29"/>
        <v>3368.2133423743344</v>
      </c>
      <c r="R123" s="26">
        <f t="shared" si="29"/>
        <v>3502.9215016591916</v>
      </c>
      <c r="S123" s="26">
        <f t="shared" si="29"/>
        <v>3633.9883116592123</v>
      </c>
      <c r="T123" s="26">
        <f t="shared" si="29"/>
        <v>3758.7368588981471</v>
      </c>
      <c r="U123" s="26">
        <f t="shared" si="29"/>
        <v>3885.4504831789814</v>
      </c>
      <c r="V123" s="26">
        <f t="shared" si="29"/>
        <v>4007.0693968852165</v>
      </c>
      <c r="W123" s="26">
        <f t="shared" si="29"/>
        <v>4130.9635900529229</v>
      </c>
      <c r="X123" s="26">
        <f t="shared" si="29"/>
        <v>4257.1228099657064</v>
      </c>
      <c r="Y123" s="26">
        <f t="shared" si="29"/>
        <v>4385.5352137797545</v>
      </c>
      <c r="Z123" s="26">
        <f t="shared" si="29"/>
        <v>4516.1873328951651</v>
      </c>
      <c r="AA123" s="26">
        <f t="shared" si="29"/>
        <v>4649.0640328646023</v>
      </c>
      <c r="AB123" s="26">
        <f t="shared" si="29"/>
        <v>4784.148468612525</v>
      </c>
      <c r="AC123" s="26">
        <f t="shared" si="29"/>
        <v>4921.422034746156</v>
      </c>
      <c r="AD123" s="26">
        <f t="shared" si="29"/>
        <v>5060.864310747279</v>
      </c>
      <c r="AE123" s="26">
        <f t="shared" si="29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30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30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30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30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30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30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30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30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30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31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31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31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31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31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31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31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31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31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32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32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32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32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32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32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32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32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32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33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33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33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33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33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33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33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33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33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34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L174" s="47">
        <f>INDEX(Data_Energy!$D$3:$U$22,MATCH($B174,Data_Energy!$C$3:$C$22,0),MATCH($C174,Data_Energy!$D$2:$U$2,0))</f>
        <v>0</v>
      </c>
      <c r="M174" s="24">
        <f t="shared" ref="M174:AE174" si="35">L174*(1+M$159)^($E164*M$160)*(1+M$161)*IF(L137&lt;=0,1,M137/L137)^$F164*(IF(L147&lt;=0,1,M147/L147)^$G164/(1+$H164+$I164))^(1+$F164)</f>
        <v>0</v>
      </c>
      <c r="N174" s="24">
        <f t="shared" si="35"/>
        <v>0</v>
      </c>
      <c r="O174" s="24">
        <f t="shared" si="35"/>
        <v>0</v>
      </c>
      <c r="P174" s="24">
        <f t="shared" si="35"/>
        <v>0</v>
      </c>
      <c r="Q174" s="24">
        <f t="shared" si="35"/>
        <v>0</v>
      </c>
      <c r="R174" s="24">
        <f t="shared" si="35"/>
        <v>0</v>
      </c>
      <c r="S174" s="24">
        <f t="shared" si="35"/>
        <v>0</v>
      </c>
      <c r="T174" s="24">
        <f t="shared" si="35"/>
        <v>0</v>
      </c>
      <c r="U174" s="24">
        <f t="shared" si="35"/>
        <v>0</v>
      </c>
      <c r="V174" s="24">
        <f t="shared" si="35"/>
        <v>0</v>
      </c>
      <c r="W174" s="24">
        <f t="shared" si="35"/>
        <v>0</v>
      </c>
      <c r="X174" s="24">
        <f t="shared" si="35"/>
        <v>0</v>
      </c>
      <c r="Y174" s="24">
        <f t="shared" si="35"/>
        <v>0</v>
      </c>
      <c r="Z174" s="24">
        <f t="shared" si="35"/>
        <v>0</v>
      </c>
      <c r="AA174" s="24">
        <f t="shared" si="35"/>
        <v>0</v>
      </c>
      <c r="AB174" s="24">
        <f t="shared" si="35"/>
        <v>0</v>
      </c>
      <c r="AC174" s="24">
        <f t="shared" si="35"/>
        <v>0</v>
      </c>
      <c r="AD174" s="24">
        <f t="shared" si="35"/>
        <v>0</v>
      </c>
      <c r="AE174" s="24">
        <f t="shared" si="35"/>
        <v>0</v>
      </c>
    </row>
    <row r="175" spans="2:31" x14ac:dyDescent="0.45">
      <c r="B175" s="14" t="s">
        <v>53</v>
      </c>
      <c r="C175" s="14" t="str">
        <f t="shared" si="34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L175" s="47">
        <f>INDEX(Data_Energy!$D$3:$U$22,MATCH($B175,Data_Energy!$C$3:$C$22,0),MATCH($C175,Data_Energy!$D$2:$U$2,0))</f>
        <v>0</v>
      </c>
      <c r="M175" s="24">
        <f t="shared" ref="M175:AE175" si="36">L175*(1+M$159)^($E165*M$160)*(1+M$161)*IF(L138&lt;=0,1,M138/L138)^$F165*(IF(L148&lt;=0,1,M148/L148)^$G165/(1+$H165+$I165))^(1+$F165)</f>
        <v>0</v>
      </c>
      <c r="N175" s="24">
        <f t="shared" si="36"/>
        <v>0</v>
      </c>
      <c r="O175" s="24">
        <f t="shared" si="36"/>
        <v>0</v>
      </c>
      <c r="P175" s="24">
        <f t="shared" si="36"/>
        <v>0</v>
      </c>
      <c r="Q175" s="24">
        <f t="shared" si="36"/>
        <v>0</v>
      </c>
      <c r="R175" s="24">
        <f t="shared" si="36"/>
        <v>0</v>
      </c>
      <c r="S175" s="24">
        <f t="shared" si="36"/>
        <v>0</v>
      </c>
      <c r="T175" s="24">
        <f t="shared" si="36"/>
        <v>0</v>
      </c>
      <c r="U175" s="24">
        <f t="shared" si="36"/>
        <v>0</v>
      </c>
      <c r="V175" s="24">
        <f t="shared" si="36"/>
        <v>0</v>
      </c>
      <c r="W175" s="24">
        <f t="shared" si="36"/>
        <v>0</v>
      </c>
      <c r="X175" s="24">
        <f t="shared" si="36"/>
        <v>0</v>
      </c>
      <c r="Y175" s="24">
        <f t="shared" si="36"/>
        <v>0</v>
      </c>
      <c r="Z175" s="24">
        <f t="shared" si="36"/>
        <v>0</v>
      </c>
      <c r="AA175" s="24">
        <f t="shared" si="36"/>
        <v>0</v>
      </c>
      <c r="AB175" s="24">
        <f t="shared" si="36"/>
        <v>0</v>
      </c>
      <c r="AC175" s="24">
        <f t="shared" si="36"/>
        <v>0</v>
      </c>
      <c r="AD175" s="24">
        <f t="shared" si="36"/>
        <v>0</v>
      </c>
      <c r="AE175" s="24">
        <f t="shared" si="36"/>
        <v>0</v>
      </c>
    </row>
    <row r="176" spans="2:31" x14ac:dyDescent="0.45">
      <c r="B176" s="14" t="s">
        <v>55</v>
      </c>
      <c r="C176" s="14" t="str">
        <f t="shared" si="34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L176" s="47">
        <f>INDEX(Data_Energy!$D$3:$U$22,MATCH($B176,Data_Energy!$C$3:$C$22,0),MATCH($C176,Data_Energy!$D$2:$U$2,0))</f>
        <v>0</v>
      </c>
      <c r="M176" s="24">
        <f t="shared" ref="M176:AE176" si="37">L176*(1+M$159)^($E166*M$160)*(1+M$161)*IF(L139&lt;=0,1,M139/L139)^$F166*(IF(L149&lt;=0,1,M149/L149)^$G166/(1+$H166+$I166))^(1+$F166)</f>
        <v>0</v>
      </c>
      <c r="N176" s="24">
        <f t="shared" si="37"/>
        <v>0</v>
      </c>
      <c r="O176" s="24">
        <f t="shared" si="37"/>
        <v>0</v>
      </c>
      <c r="P176" s="24">
        <f t="shared" si="37"/>
        <v>0</v>
      </c>
      <c r="Q176" s="24">
        <f t="shared" si="37"/>
        <v>0</v>
      </c>
      <c r="R176" s="24">
        <f t="shared" si="37"/>
        <v>0</v>
      </c>
      <c r="S176" s="24">
        <f t="shared" si="37"/>
        <v>0</v>
      </c>
      <c r="T176" s="24">
        <f t="shared" si="37"/>
        <v>0</v>
      </c>
      <c r="U176" s="24">
        <f t="shared" si="37"/>
        <v>0</v>
      </c>
      <c r="V176" s="24">
        <f t="shared" si="37"/>
        <v>0</v>
      </c>
      <c r="W176" s="24">
        <f t="shared" si="37"/>
        <v>0</v>
      </c>
      <c r="X176" s="24">
        <f t="shared" si="37"/>
        <v>0</v>
      </c>
      <c r="Y176" s="24">
        <f t="shared" si="37"/>
        <v>0</v>
      </c>
      <c r="Z176" s="24">
        <f t="shared" si="37"/>
        <v>0</v>
      </c>
      <c r="AA176" s="24">
        <f t="shared" si="37"/>
        <v>0</v>
      </c>
      <c r="AB176" s="24">
        <f t="shared" si="37"/>
        <v>0</v>
      </c>
      <c r="AC176" s="24">
        <f t="shared" si="37"/>
        <v>0</v>
      </c>
      <c r="AD176" s="24">
        <f t="shared" si="37"/>
        <v>0</v>
      </c>
      <c r="AE176" s="24">
        <f t="shared" si="37"/>
        <v>0</v>
      </c>
    </row>
    <row r="177" spans="1:35" x14ac:dyDescent="0.45">
      <c r="B177" s="14" t="s">
        <v>58</v>
      </c>
      <c r="C177" s="14" t="str">
        <f t="shared" si="34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L177" s="47">
        <f>INDEX(Data_Energy!$D$3:$U$22,MATCH($B177,Data_Energy!$C$3:$C$22,0),MATCH($C177,Data_Energy!$D$2:$U$2,0))</f>
        <v>0</v>
      </c>
      <c r="M177" s="24">
        <f t="shared" ref="M177:AE177" si="38">L177*(1+M$159)^($E167*M$160)*(1+M$161)*IF(L140&lt;=0,1,M140/L140)^$F167*(IF(L150&lt;=0,1,M150/L150)^$G167/(1+$H167+$I167))^(1+$F167)</f>
        <v>0</v>
      </c>
      <c r="N177" s="24">
        <f t="shared" si="38"/>
        <v>0</v>
      </c>
      <c r="O177" s="24">
        <f t="shared" si="38"/>
        <v>0</v>
      </c>
      <c r="P177" s="24">
        <f t="shared" si="38"/>
        <v>0</v>
      </c>
      <c r="Q177" s="24">
        <f t="shared" si="38"/>
        <v>0</v>
      </c>
      <c r="R177" s="24">
        <f t="shared" si="38"/>
        <v>0</v>
      </c>
      <c r="S177" s="24">
        <f t="shared" si="38"/>
        <v>0</v>
      </c>
      <c r="T177" s="24">
        <f t="shared" si="38"/>
        <v>0</v>
      </c>
      <c r="U177" s="24">
        <f t="shared" si="38"/>
        <v>0</v>
      </c>
      <c r="V177" s="24">
        <f t="shared" si="38"/>
        <v>0</v>
      </c>
      <c r="W177" s="24">
        <f t="shared" si="38"/>
        <v>0</v>
      </c>
      <c r="X177" s="24">
        <f t="shared" si="38"/>
        <v>0</v>
      </c>
      <c r="Y177" s="24">
        <f t="shared" si="38"/>
        <v>0</v>
      </c>
      <c r="Z177" s="24">
        <f t="shared" si="38"/>
        <v>0</v>
      </c>
      <c r="AA177" s="24">
        <f t="shared" si="38"/>
        <v>0</v>
      </c>
      <c r="AB177" s="24">
        <f t="shared" si="38"/>
        <v>0</v>
      </c>
      <c r="AC177" s="24">
        <f t="shared" si="38"/>
        <v>0</v>
      </c>
      <c r="AD177" s="24">
        <f t="shared" si="38"/>
        <v>0</v>
      </c>
      <c r="AE177" s="24">
        <f t="shared" si="38"/>
        <v>0</v>
      </c>
    </row>
    <row r="178" spans="1:35" x14ac:dyDescent="0.45">
      <c r="B178" s="14" t="s">
        <v>60</v>
      </c>
      <c r="C178" s="14" t="str">
        <f t="shared" si="34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L178" s="47">
        <f>INDEX(Data_Energy!$D$3:$U$22,MATCH($B178,Data_Energy!$C$3:$C$22,0),MATCH($C178,Data_Energy!$D$2:$U$2,0))</f>
        <v>0</v>
      </c>
      <c r="M178" s="24">
        <f t="shared" ref="M178:AE178" si="39">L178*(1+M$159)^($E168*M$160)*(1+M$161)*IF(L141&lt;=0,1,M141/L141)^$F168*(IF(L151&lt;=0,1,M151/L151)^$G168/(1+$H168+$I168))^(1+$F168)</f>
        <v>0</v>
      </c>
      <c r="N178" s="24">
        <f t="shared" si="39"/>
        <v>0</v>
      </c>
      <c r="O178" s="24">
        <f t="shared" si="39"/>
        <v>0</v>
      </c>
      <c r="P178" s="24">
        <f t="shared" si="39"/>
        <v>0</v>
      </c>
      <c r="Q178" s="24">
        <f t="shared" si="39"/>
        <v>0</v>
      </c>
      <c r="R178" s="24">
        <f t="shared" si="39"/>
        <v>0</v>
      </c>
      <c r="S178" s="24">
        <f t="shared" si="39"/>
        <v>0</v>
      </c>
      <c r="T178" s="24">
        <f t="shared" si="39"/>
        <v>0</v>
      </c>
      <c r="U178" s="24">
        <f t="shared" si="39"/>
        <v>0</v>
      </c>
      <c r="V178" s="24">
        <f t="shared" si="39"/>
        <v>0</v>
      </c>
      <c r="W178" s="24">
        <f t="shared" si="39"/>
        <v>0</v>
      </c>
      <c r="X178" s="24">
        <f t="shared" si="39"/>
        <v>0</v>
      </c>
      <c r="Y178" s="24">
        <f t="shared" si="39"/>
        <v>0</v>
      </c>
      <c r="Z178" s="24">
        <f t="shared" si="39"/>
        <v>0</v>
      </c>
      <c r="AA178" s="24">
        <f t="shared" si="39"/>
        <v>0</v>
      </c>
      <c r="AB178" s="24">
        <f t="shared" si="39"/>
        <v>0</v>
      </c>
      <c r="AC178" s="24">
        <f t="shared" si="39"/>
        <v>0</v>
      </c>
      <c r="AD178" s="24">
        <f t="shared" si="39"/>
        <v>0</v>
      </c>
      <c r="AE178" s="24">
        <f t="shared" si="39"/>
        <v>0</v>
      </c>
    </row>
    <row r="179" spans="1:35" x14ac:dyDescent="0.45">
      <c r="B179" s="14" t="s">
        <v>62</v>
      </c>
      <c r="C179" s="14" t="str">
        <f t="shared" si="34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L179" s="47">
        <f>INDEX(Data_Energy!$D$3:$U$22,MATCH($B179,Data_Energy!$C$3:$C$22,0),MATCH($C179,Data_Energy!$D$2:$U$2,0))</f>
        <v>0</v>
      </c>
      <c r="M179" s="24">
        <f t="shared" ref="M179:AE179" si="40">L179*(1+M$159)^($E169*M$160)*(1+M$161)*IF(L142&lt;=0,1,M142/L142)^$F169*(IF(L152&lt;=0,1,M152/L152)^$G169/(1+$H169+$I169))^(1+$F169)</f>
        <v>0</v>
      </c>
      <c r="N179" s="24">
        <f t="shared" si="40"/>
        <v>0</v>
      </c>
      <c r="O179" s="24">
        <f t="shared" si="40"/>
        <v>0</v>
      </c>
      <c r="P179" s="24">
        <f t="shared" si="40"/>
        <v>0</v>
      </c>
      <c r="Q179" s="24">
        <f t="shared" si="40"/>
        <v>0</v>
      </c>
      <c r="R179" s="24">
        <f t="shared" si="40"/>
        <v>0</v>
      </c>
      <c r="S179" s="24">
        <f t="shared" si="40"/>
        <v>0</v>
      </c>
      <c r="T179" s="24">
        <f t="shared" si="40"/>
        <v>0</v>
      </c>
      <c r="U179" s="24">
        <f t="shared" si="40"/>
        <v>0</v>
      </c>
      <c r="V179" s="24">
        <f t="shared" si="40"/>
        <v>0</v>
      </c>
      <c r="W179" s="24">
        <f t="shared" si="40"/>
        <v>0</v>
      </c>
      <c r="X179" s="24">
        <f t="shared" si="40"/>
        <v>0</v>
      </c>
      <c r="Y179" s="24">
        <f t="shared" si="40"/>
        <v>0</v>
      </c>
      <c r="Z179" s="24">
        <f t="shared" si="40"/>
        <v>0</v>
      </c>
      <c r="AA179" s="24">
        <f t="shared" si="40"/>
        <v>0</v>
      </c>
      <c r="AB179" s="24">
        <f t="shared" si="40"/>
        <v>0</v>
      </c>
      <c r="AC179" s="24">
        <f t="shared" si="40"/>
        <v>0</v>
      </c>
      <c r="AD179" s="24">
        <f t="shared" si="40"/>
        <v>0</v>
      </c>
      <c r="AE179" s="24">
        <f t="shared" si="40"/>
        <v>0</v>
      </c>
    </row>
    <row r="180" spans="1:35" x14ac:dyDescent="0.45">
      <c r="B180" s="14" t="s">
        <v>64</v>
      </c>
      <c r="C180" s="14" t="str">
        <f t="shared" si="34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L180" s="47">
        <f>INDEX(Data_Energy!$D$3:$U$22,MATCH($B180,Data_Energy!$C$3:$C$22,0),MATCH($C180,Data_Energy!$D$2:$U$2,0))</f>
        <v>0</v>
      </c>
      <c r="M180" s="24">
        <f t="shared" ref="M180:AE180" si="41">L180*(1+M$159)^($E170*M$160)*(1+M$161)*IF(L143&lt;=0,1,M143/L143)^$F170*(IF(L153&lt;=0,1,M153/L153)^$G170/(1+$H170+$I170))^(1+$F170)</f>
        <v>0</v>
      </c>
      <c r="N180" s="24">
        <f t="shared" si="41"/>
        <v>0</v>
      </c>
      <c r="O180" s="24">
        <f t="shared" si="41"/>
        <v>0</v>
      </c>
      <c r="P180" s="24">
        <f t="shared" si="41"/>
        <v>0</v>
      </c>
      <c r="Q180" s="24">
        <f t="shared" si="41"/>
        <v>0</v>
      </c>
      <c r="R180" s="24">
        <f t="shared" si="41"/>
        <v>0</v>
      </c>
      <c r="S180" s="24">
        <f t="shared" si="41"/>
        <v>0</v>
      </c>
      <c r="T180" s="24">
        <f t="shared" si="41"/>
        <v>0</v>
      </c>
      <c r="U180" s="24">
        <f t="shared" si="41"/>
        <v>0</v>
      </c>
      <c r="V180" s="24">
        <f t="shared" si="41"/>
        <v>0</v>
      </c>
      <c r="W180" s="24">
        <f t="shared" si="41"/>
        <v>0</v>
      </c>
      <c r="X180" s="24">
        <f t="shared" si="41"/>
        <v>0</v>
      </c>
      <c r="Y180" s="24">
        <f t="shared" si="41"/>
        <v>0</v>
      </c>
      <c r="Z180" s="24">
        <f t="shared" si="41"/>
        <v>0</v>
      </c>
      <c r="AA180" s="24">
        <f t="shared" si="41"/>
        <v>0</v>
      </c>
      <c r="AB180" s="24">
        <f t="shared" si="41"/>
        <v>0</v>
      </c>
      <c r="AC180" s="24">
        <f t="shared" si="41"/>
        <v>0</v>
      </c>
      <c r="AD180" s="24">
        <f t="shared" si="41"/>
        <v>0</v>
      </c>
      <c r="AE180" s="24">
        <f t="shared" si="41"/>
        <v>0</v>
      </c>
    </row>
    <row r="181" spans="1:35" x14ac:dyDescent="0.45">
      <c r="B181" s="14" t="s">
        <v>67</v>
      </c>
      <c r="C181" s="14" t="str">
        <f t="shared" si="34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L181" s="47">
        <f>INDEX(Data_Energy!$D$3:$U$22,MATCH($B181,Data_Energy!$C$3:$C$22,0),MATCH($C181,Data_Energy!$D$2:$U$2,0))</f>
        <v>0</v>
      </c>
      <c r="M181" s="24">
        <f t="shared" ref="M181:AE181" si="42">L181*(1+M$159)^($E171*M$160)*(1+M$161)*IF(L144&lt;=0,1,M144/L144)^$F171*(IF(L154&lt;=0,1,M154/L154)^$G171/(1+$H171+$I171))^(1+$F171)</f>
        <v>0</v>
      </c>
      <c r="N181" s="24">
        <f t="shared" si="42"/>
        <v>0</v>
      </c>
      <c r="O181" s="24">
        <f t="shared" si="42"/>
        <v>0</v>
      </c>
      <c r="P181" s="24">
        <f t="shared" si="42"/>
        <v>0</v>
      </c>
      <c r="Q181" s="24">
        <f t="shared" si="42"/>
        <v>0</v>
      </c>
      <c r="R181" s="24">
        <f t="shared" si="42"/>
        <v>0</v>
      </c>
      <c r="S181" s="24">
        <f t="shared" si="42"/>
        <v>0</v>
      </c>
      <c r="T181" s="24">
        <f t="shared" si="42"/>
        <v>0</v>
      </c>
      <c r="U181" s="24">
        <f t="shared" si="42"/>
        <v>0</v>
      </c>
      <c r="V181" s="24">
        <f t="shared" si="42"/>
        <v>0</v>
      </c>
      <c r="W181" s="24">
        <f t="shared" si="42"/>
        <v>0</v>
      </c>
      <c r="X181" s="24">
        <f t="shared" si="42"/>
        <v>0</v>
      </c>
      <c r="Y181" s="24">
        <f t="shared" si="42"/>
        <v>0</v>
      </c>
      <c r="Z181" s="24">
        <f t="shared" si="42"/>
        <v>0</v>
      </c>
      <c r="AA181" s="24">
        <f t="shared" si="42"/>
        <v>0</v>
      </c>
      <c r="AB181" s="24">
        <f t="shared" si="42"/>
        <v>0</v>
      </c>
      <c r="AC181" s="24">
        <f t="shared" si="42"/>
        <v>0</v>
      </c>
      <c r="AD181" s="24">
        <f t="shared" si="42"/>
        <v>0</v>
      </c>
      <c r="AE181" s="24">
        <f t="shared" si="42"/>
        <v>0</v>
      </c>
    </row>
    <row r="182" spans="1:35" x14ac:dyDescent="0.45">
      <c r="B182" s="14" t="s">
        <v>69</v>
      </c>
      <c r="C182" s="14" t="str">
        <f t="shared" si="34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L182" s="47">
        <f>INDEX(Data_Energy!$D$3:$U$22,MATCH($B182,Data_Energy!$C$3:$C$22,0),MATCH($C182,Data_Energy!$D$2:$U$2,0))</f>
        <v>0</v>
      </c>
      <c r="M182" s="24">
        <f t="shared" ref="M182:AE182" si="43">L182*(1+M$159)^($E172*M$160)*(1+M$161)*IF(L145&lt;=0,1,M145/L145)^$F172*(IF(L155&lt;=0,1,M155/L155)^$G172/(1+$H172+$I172))^(1+$F172)</f>
        <v>0</v>
      </c>
      <c r="N182" s="24">
        <f t="shared" si="43"/>
        <v>0</v>
      </c>
      <c r="O182" s="24">
        <f t="shared" si="43"/>
        <v>0</v>
      </c>
      <c r="P182" s="24">
        <f t="shared" si="43"/>
        <v>0</v>
      </c>
      <c r="Q182" s="24">
        <f t="shared" si="43"/>
        <v>0</v>
      </c>
      <c r="R182" s="24">
        <f t="shared" si="43"/>
        <v>0</v>
      </c>
      <c r="S182" s="24">
        <f t="shared" si="43"/>
        <v>0</v>
      </c>
      <c r="T182" s="24">
        <f t="shared" si="43"/>
        <v>0</v>
      </c>
      <c r="U182" s="24">
        <f t="shared" si="43"/>
        <v>0</v>
      </c>
      <c r="V182" s="24">
        <f t="shared" si="43"/>
        <v>0</v>
      </c>
      <c r="W182" s="24">
        <f t="shared" si="43"/>
        <v>0</v>
      </c>
      <c r="X182" s="24">
        <f t="shared" si="43"/>
        <v>0</v>
      </c>
      <c r="Y182" s="24">
        <f t="shared" si="43"/>
        <v>0</v>
      </c>
      <c r="Z182" s="24">
        <f t="shared" si="43"/>
        <v>0</v>
      </c>
      <c r="AA182" s="24">
        <f t="shared" si="43"/>
        <v>0</v>
      </c>
      <c r="AB182" s="24">
        <f t="shared" si="43"/>
        <v>0</v>
      </c>
      <c r="AC182" s="24">
        <f t="shared" si="43"/>
        <v>0</v>
      </c>
      <c r="AD182" s="24">
        <f t="shared" si="43"/>
        <v>0</v>
      </c>
      <c r="AE182" s="24">
        <f t="shared" si="43"/>
        <v>0</v>
      </c>
    </row>
    <row r="183" spans="1:35" x14ac:dyDescent="0.45">
      <c r="B183" s="14" t="s">
        <v>110</v>
      </c>
      <c r="C183" s="14" t="str">
        <f t="shared" si="34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44">SUM(L174:L182)</f>
        <v>0</v>
      </c>
      <c r="M183" s="26">
        <f t="shared" si="44"/>
        <v>0</v>
      </c>
      <c r="N183" s="26">
        <f t="shared" si="44"/>
        <v>0</v>
      </c>
      <c r="O183" s="26">
        <f t="shared" si="44"/>
        <v>0</v>
      </c>
      <c r="P183" s="26">
        <f t="shared" si="44"/>
        <v>0</v>
      </c>
      <c r="Q183" s="26">
        <f t="shared" si="44"/>
        <v>0</v>
      </c>
      <c r="R183" s="26">
        <f t="shared" si="44"/>
        <v>0</v>
      </c>
      <c r="S183" s="26">
        <f t="shared" si="44"/>
        <v>0</v>
      </c>
      <c r="T183" s="26">
        <f t="shared" si="44"/>
        <v>0</v>
      </c>
      <c r="U183" s="26">
        <f t="shared" si="44"/>
        <v>0</v>
      </c>
      <c r="V183" s="26">
        <f t="shared" si="44"/>
        <v>0</v>
      </c>
      <c r="W183" s="26">
        <f t="shared" si="44"/>
        <v>0</v>
      </c>
      <c r="X183" s="26">
        <f t="shared" si="44"/>
        <v>0</v>
      </c>
      <c r="Y183" s="26">
        <f t="shared" si="44"/>
        <v>0</v>
      </c>
      <c r="Z183" s="26">
        <f t="shared" si="44"/>
        <v>0</v>
      </c>
      <c r="AA183" s="26">
        <f t="shared" si="44"/>
        <v>0</v>
      </c>
      <c r="AB183" s="26">
        <f t="shared" si="44"/>
        <v>0</v>
      </c>
      <c r="AC183" s="26">
        <f t="shared" si="44"/>
        <v>0</v>
      </c>
      <c r="AD183" s="26">
        <f t="shared" si="44"/>
        <v>0</v>
      </c>
      <c r="AE183" s="26">
        <f t="shared" si="44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45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45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45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45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45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45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45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45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45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46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46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46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46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46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46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46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46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46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47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47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47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47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47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47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47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47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47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48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48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48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48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48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48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48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48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48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49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L234" s="47">
        <f>INDEX(Data_Energy!$D$3:$U$22,MATCH($B234,Data_Energy!$C$3:$C$22,0),MATCH($C234,Data_Energy!$D$2:$U$2,0))</f>
        <v>0</v>
      </c>
      <c r="M234" s="24">
        <f t="shared" ref="M234:AE234" si="50">L234*(1+M$219)^($E224*M$220)*(1+M$221)*IF(L197&lt;=0,1,M197/L197)^$F224*(IF(L207&lt;=0,1,M207/L207)^$G224/(1+$H224+$I224))^(1+$F224)</f>
        <v>0</v>
      </c>
      <c r="N234" s="24">
        <f t="shared" si="50"/>
        <v>0</v>
      </c>
      <c r="O234" s="24">
        <f t="shared" si="50"/>
        <v>0</v>
      </c>
      <c r="P234" s="24">
        <f t="shared" si="50"/>
        <v>0</v>
      </c>
      <c r="Q234" s="24">
        <f t="shared" si="50"/>
        <v>0</v>
      </c>
      <c r="R234" s="24">
        <f t="shared" si="50"/>
        <v>0</v>
      </c>
      <c r="S234" s="24">
        <f t="shared" si="50"/>
        <v>0</v>
      </c>
      <c r="T234" s="24">
        <f t="shared" si="50"/>
        <v>0</v>
      </c>
      <c r="U234" s="24">
        <f t="shared" si="50"/>
        <v>0</v>
      </c>
      <c r="V234" s="24">
        <f t="shared" si="50"/>
        <v>0</v>
      </c>
      <c r="W234" s="24">
        <f t="shared" si="50"/>
        <v>0</v>
      </c>
      <c r="X234" s="24">
        <f t="shared" si="50"/>
        <v>0</v>
      </c>
      <c r="Y234" s="24">
        <f t="shared" si="50"/>
        <v>0</v>
      </c>
      <c r="Z234" s="24">
        <f t="shared" si="50"/>
        <v>0</v>
      </c>
      <c r="AA234" s="24">
        <f t="shared" si="50"/>
        <v>0</v>
      </c>
      <c r="AB234" s="24">
        <f t="shared" si="50"/>
        <v>0</v>
      </c>
      <c r="AC234" s="24">
        <f t="shared" si="50"/>
        <v>0</v>
      </c>
      <c r="AD234" s="24">
        <f t="shared" si="50"/>
        <v>0</v>
      </c>
      <c r="AE234" s="24">
        <f t="shared" si="50"/>
        <v>0</v>
      </c>
    </row>
    <row r="235" spans="2:31" x14ac:dyDescent="0.45">
      <c r="B235" s="14" t="s">
        <v>53</v>
      </c>
      <c r="C235" s="14" t="str">
        <f t="shared" si="49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L235" s="47">
        <f>INDEX(Data_Energy!$D$3:$U$22,MATCH($B235,Data_Energy!$C$3:$C$22,0),MATCH($C235,Data_Energy!$D$2:$U$2,0))</f>
        <v>0</v>
      </c>
      <c r="M235" s="24">
        <f t="shared" ref="M235:AE235" si="51">L235*(1+M$219)^($E225*M$220)*(1+M$221)*IF(L198&lt;=0,1,M198/L198)^$F225*(IF(L208&lt;=0,1,M208/L208)^$G225/(1+$H225+$I225))^(1+$F225)</f>
        <v>0</v>
      </c>
      <c r="N235" s="24">
        <f t="shared" si="51"/>
        <v>0</v>
      </c>
      <c r="O235" s="24">
        <f t="shared" si="51"/>
        <v>0</v>
      </c>
      <c r="P235" s="24">
        <f t="shared" si="51"/>
        <v>0</v>
      </c>
      <c r="Q235" s="24">
        <f t="shared" si="51"/>
        <v>0</v>
      </c>
      <c r="R235" s="24">
        <f t="shared" si="51"/>
        <v>0</v>
      </c>
      <c r="S235" s="24">
        <f t="shared" si="51"/>
        <v>0</v>
      </c>
      <c r="T235" s="24">
        <f t="shared" si="51"/>
        <v>0</v>
      </c>
      <c r="U235" s="24">
        <f t="shared" si="51"/>
        <v>0</v>
      </c>
      <c r="V235" s="24">
        <f t="shared" si="51"/>
        <v>0</v>
      </c>
      <c r="W235" s="24">
        <f t="shared" si="51"/>
        <v>0</v>
      </c>
      <c r="X235" s="24">
        <f t="shared" si="51"/>
        <v>0</v>
      </c>
      <c r="Y235" s="24">
        <f t="shared" si="51"/>
        <v>0</v>
      </c>
      <c r="Z235" s="24">
        <f t="shared" si="51"/>
        <v>0</v>
      </c>
      <c r="AA235" s="24">
        <f t="shared" si="51"/>
        <v>0</v>
      </c>
      <c r="AB235" s="24">
        <f t="shared" si="51"/>
        <v>0</v>
      </c>
      <c r="AC235" s="24">
        <f t="shared" si="51"/>
        <v>0</v>
      </c>
      <c r="AD235" s="24">
        <f t="shared" si="51"/>
        <v>0</v>
      </c>
      <c r="AE235" s="24">
        <f t="shared" si="51"/>
        <v>0</v>
      </c>
    </row>
    <row r="236" spans="2:31" x14ac:dyDescent="0.45">
      <c r="B236" s="14" t="s">
        <v>55</v>
      </c>
      <c r="C236" s="14" t="str">
        <f t="shared" si="49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L236" s="47">
        <f>INDEX(Data_Energy!$D$3:$U$22,MATCH($B236,Data_Energy!$C$3:$C$22,0),MATCH($C236,Data_Energy!$D$2:$U$2,0))</f>
        <v>0</v>
      </c>
      <c r="M236" s="24">
        <f t="shared" ref="M236:AE236" si="52">L236*(1+M$219)^($E226*M$220)*(1+M$221)*IF(L199&lt;=0,1,M199/L199)^$F226*(IF(L209&lt;=0,1,M209/L209)^$G226/(1+$H226+$I226))^(1+$F226)</f>
        <v>0</v>
      </c>
      <c r="N236" s="24">
        <f t="shared" si="52"/>
        <v>0</v>
      </c>
      <c r="O236" s="24">
        <f t="shared" si="52"/>
        <v>0</v>
      </c>
      <c r="P236" s="24">
        <f t="shared" si="52"/>
        <v>0</v>
      </c>
      <c r="Q236" s="24">
        <f t="shared" si="52"/>
        <v>0</v>
      </c>
      <c r="R236" s="24">
        <f t="shared" si="52"/>
        <v>0</v>
      </c>
      <c r="S236" s="24">
        <f t="shared" si="52"/>
        <v>0</v>
      </c>
      <c r="T236" s="24">
        <f t="shared" si="52"/>
        <v>0</v>
      </c>
      <c r="U236" s="24">
        <f t="shared" si="52"/>
        <v>0</v>
      </c>
      <c r="V236" s="24">
        <f t="shared" si="52"/>
        <v>0</v>
      </c>
      <c r="W236" s="24">
        <f t="shared" si="52"/>
        <v>0</v>
      </c>
      <c r="X236" s="24">
        <f t="shared" si="52"/>
        <v>0</v>
      </c>
      <c r="Y236" s="24">
        <f t="shared" si="52"/>
        <v>0</v>
      </c>
      <c r="Z236" s="24">
        <f t="shared" si="52"/>
        <v>0</v>
      </c>
      <c r="AA236" s="24">
        <f t="shared" si="52"/>
        <v>0</v>
      </c>
      <c r="AB236" s="24">
        <f t="shared" si="52"/>
        <v>0</v>
      </c>
      <c r="AC236" s="24">
        <f t="shared" si="52"/>
        <v>0</v>
      </c>
      <c r="AD236" s="24">
        <f t="shared" si="52"/>
        <v>0</v>
      </c>
      <c r="AE236" s="24">
        <f t="shared" si="52"/>
        <v>0</v>
      </c>
    </row>
    <row r="237" spans="2:31" x14ac:dyDescent="0.45">
      <c r="B237" s="14" t="s">
        <v>58</v>
      </c>
      <c r="C237" s="14" t="str">
        <f t="shared" si="49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L237" s="47">
        <f>INDEX(Data_Energy!$D$3:$U$22,MATCH($B237,Data_Energy!$C$3:$C$22,0),MATCH($C237,Data_Energy!$D$2:$U$2,0))</f>
        <v>0</v>
      </c>
      <c r="M237" s="24">
        <f t="shared" ref="M237:AE237" si="53">L237*(1+M$219)^($E227*M$220)*(1+M$221)*IF(L200&lt;=0,1,M200/L200)^$F227*(IF(L210&lt;=0,1,M210/L210)^$G227/(1+$H227+$I227))^(1+$F227)</f>
        <v>0</v>
      </c>
      <c r="N237" s="24">
        <f t="shared" si="53"/>
        <v>0</v>
      </c>
      <c r="O237" s="24">
        <f t="shared" si="53"/>
        <v>0</v>
      </c>
      <c r="P237" s="24">
        <f t="shared" si="53"/>
        <v>0</v>
      </c>
      <c r="Q237" s="24">
        <f t="shared" si="53"/>
        <v>0</v>
      </c>
      <c r="R237" s="24">
        <f t="shared" si="53"/>
        <v>0</v>
      </c>
      <c r="S237" s="24">
        <f t="shared" si="53"/>
        <v>0</v>
      </c>
      <c r="T237" s="24">
        <f t="shared" si="53"/>
        <v>0</v>
      </c>
      <c r="U237" s="24">
        <f t="shared" si="53"/>
        <v>0</v>
      </c>
      <c r="V237" s="24">
        <f t="shared" si="53"/>
        <v>0</v>
      </c>
      <c r="W237" s="24">
        <f t="shared" si="53"/>
        <v>0</v>
      </c>
      <c r="X237" s="24">
        <f t="shared" si="53"/>
        <v>0</v>
      </c>
      <c r="Y237" s="24">
        <f t="shared" si="53"/>
        <v>0</v>
      </c>
      <c r="Z237" s="24">
        <f t="shared" si="53"/>
        <v>0</v>
      </c>
      <c r="AA237" s="24">
        <f t="shared" si="53"/>
        <v>0</v>
      </c>
      <c r="AB237" s="24">
        <f t="shared" si="53"/>
        <v>0</v>
      </c>
      <c r="AC237" s="24">
        <f t="shared" si="53"/>
        <v>0</v>
      </c>
      <c r="AD237" s="24">
        <f t="shared" si="53"/>
        <v>0</v>
      </c>
      <c r="AE237" s="24">
        <f t="shared" si="53"/>
        <v>0</v>
      </c>
    </row>
    <row r="238" spans="2:31" x14ac:dyDescent="0.45">
      <c r="B238" s="14" t="s">
        <v>60</v>
      </c>
      <c r="C238" s="14" t="str">
        <f t="shared" si="49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L238" s="47">
        <f>INDEX(Data_Energy!$D$3:$U$22,MATCH($B238,Data_Energy!$C$3:$C$22,0),MATCH($C238,Data_Energy!$D$2:$U$2,0))</f>
        <v>0</v>
      </c>
      <c r="M238" s="24">
        <f t="shared" ref="M238:AE238" si="54">L238*(1+M$219)^($E228*M$220)*(1+M$221)*IF(L201&lt;=0,1,M201/L201)^$F228*(IF(L211&lt;=0,1,M211/L211)^$G228/(1+$H228+$I228))^(1+$F228)</f>
        <v>0</v>
      </c>
      <c r="N238" s="24">
        <f t="shared" si="54"/>
        <v>0</v>
      </c>
      <c r="O238" s="24">
        <f t="shared" si="54"/>
        <v>0</v>
      </c>
      <c r="P238" s="24">
        <f t="shared" si="54"/>
        <v>0</v>
      </c>
      <c r="Q238" s="24">
        <f t="shared" si="54"/>
        <v>0</v>
      </c>
      <c r="R238" s="24">
        <f t="shared" si="54"/>
        <v>0</v>
      </c>
      <c r="S238" s="24">
        <f t="shared" si="54"/>
        <v>0</v>
      </c>
      <c r="T238" s="24">
        <f t="shared" si="54"/>
        <v>0</v>
      </c>
      <c r="U238" s="24">
        <f t="shared" si="54"/>
        <v>0</v>
      </c>
      <c r="V238" s="24">
        <f t="shared" si="54"/>
        <v>0</v>
      </c>
      <c r="W238" s="24">
        <f t="shared" si="54"/>
        <v>0</v>
      </c>
      <c r="X238" s="24">
        <f t="shared" si="54"/>
        <v>0</v>
      </c>
      <c r="Y238" s="24">
        <f t="shared" si="54"/>
        <v>0</v>
      </c>
      <c r="Z238" s="24">
        <f t="shared" si="54"/>
        <v>0</v>
      </c>
      <c r="AA238" s="24">
        <f t="shared" si="54"/>
        <v>0</v>
      </c>
      <c r="AB238" s="24">
        <f t="shared" si="54"/>
        <v>0</v>
      </c>
      <c r="AC238" s="24">
        <f t="shared" si="54"/>
        <v>0</v>
      </c>
      <c r="AD238" s="24">
        <f t="shared" si="54"/>
        <v>0</v>
      </c>
      <c r="AE238" s="24">
        <f t="shared" si="54"/>
        <v>0</v>
      </c>
    </row>
    <row r="239" spans="2:31" x14ac:dyDescent="0.45">
      <c r="B239" s="14" t="s">
        <v>62</v>
      </c>
      <c r="C239" s="14" t="str">
        <f t="shared" si="49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L239" s="47">
        <f>INDEX(Data_Energy!$D$3:$U$22,MATCH($B239,Data_Energy!$C$3:$C$22,0),MATCH($C239,Data_Energy!$D$2:$U$2,0))</f>
        <v>0</v>
      </c>
      <c r="M239" s="24">
        <f t="shared" ref="M239:AE239" si="55">L239*(1+M$219)^($E229*M$220)*(1+M$221)*IF(L202&lt;=0,1,M202/L202)^$F229*(IF(L212&lt;=0,1,M212/L212)^$G229/(1+$H229+$I229))^(1+$F229)</f>
        <v>0</v>
      </c>
      <c r="N239" s="24">
        <f t="shared" si="55"/>
        <v>0</v>
      </c>
      <c r="O239" s="24">
        <f t="shared" si="55"/>
        <v>0</v>
      </c>
      <c r="P239" s="24">
        <f t="shared" si="55"/>
        <v>0</v>
      </c>
      <c r="Q239" s="24">
        <f t="shared" si="55"/>
        <v>0</v>
      </c>
      <c r="R239" s="24">
        <f t="shared" si="55"/>
        <v>0</v>
      </c>
      <c r="S239" s="24">
        <f t="shared" si="55"/>
        <v>0</v>
      </c>
      <c r="T239" s="24">
        <f t="shared" si="55"/>
        <v>0</v>
      </c>
      <c r="U239" s="24">
        <f t="shared" si="55"/>
        <v>0</v>
      </c>
      <c r="V239" s="24">
        <f t="shared" si="55"/>
        <v>0</v>
      </c>
      <c r="W239" s="24">
        <f t="shared" si="55"/>
        <v>0</v>
      </c>
      <c r="X239" s="24">
        <f t="shared" si="55"/>
        <v>0</v>
      </c>
      <c r="Y239" s="24">
        <f t="shared" si="55"/>
        <v>0</v>
      </c>
      <c r="Z239" s="24">
        <f t="shared" si="55"/>
        <v>0</v>
      </c>
      <c r="AA239" s="24">
        <f t="shared" si="55"/>
        <v>0</v>
      </c>
      <c r="AB239" s="24">
        <f t="shared" si="55"/>
        <v>0</v>
      </c>
      <c r="AC239" s="24">
        <f t="shared" si="55"/>
        <v>0</v>
      </c>
      <c r="AD239" s="24">
        <f t="shared" si="55"/>
        <v>0</v>
      </c>
      <c r="AE239" s="24">
        <f t="shared" si="55"/>
        <v>0</v>
      </c>
    </row>
    <row r="240" spans="2:31" x14ac:dyDescent="0.45">
      <c r="B240" s="14" t="s">
        <v>64</v>
      </c>
      <c r="C240" s="14" t="str">
        <f t="shared" si="49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L240" s="47">
        <f>INDEX(Data_Energy!$D$3:$U$22,MATCH($B240,Data_Energy!$C$3:$C$22,0),MATCH($C240,Data_Energy!$D$2:$U$2,0))</f>
        <v>0</v>
      </c>
      <c r="M240" s="24">
        <f t="shared" ref="M240:AE240" si="56">L240*(1+M$219)^($E230*M$220)*(1+M$221)*IF(L203&lt;=0,1,M203/L203)^$F230*(IF(L213&lt;=0,1,M213/L213)^$G230/(1+$H230+$I230))^(1+$F230)</f>
        <v>0</v>
      </c>
      <c r="N240" s="24">
        <f t="shared" si="56"/>
        <v>0</v>
      </c>
      <c r="O240" s="24">
        <f t="shared" si="56"/>
        <v>0</v>
      </c>
      <c r="P240" s="24">
        <f t="shared" si="56"/>
        <v>0</v>
      </c>
      <c r="Q240" s="24">
        <f t="shared" si="56"/>
        <v>0</v>
      </c>
      <c r="R240" s="24">
        <f t="shared" si="56"/>
        <v>0</v>
      </c>
      <c r="S240" s="24">
        <f t="shared" si="56"/>
        <v>0</v>
      </c>
      <c r="T240" s="24">
        <f t="shared" si="56"/>
        <v>0</v>
      </c>
      <c r="U240" s="24">
        <f t="shared" si="56"/>
        <v>0</v>
      </c>
      <c r="V240" s="24">
        <f t="shared" si="56"/>
        <v>0</v>
      </c>
      <c r="W240" s="24">
        <f t="shared" si="56"/>
        <v>0</v>
      </c>
      <c r="X240" s="24">
        <f t="shared" si="56"/>
        <v>0</v>
      </c>
      <c r="Y240" s="24">
        <f t="shared" si="56"/>
        <v>0</v>
      </c>
      <c r="Z240" s="24">
        <f t="shared" si="56"/>
        <v>0</v>
      </c>
      <c r="AA240" s="24">
        <f t="shared" si="56"/>
        <v>0</v>
      </c>
      <c r="AB240" s="24">
        <f t="shared" si="56"/>
        <v>0</v>
      </c>
      <c r="AC240" s="24">
        <f t="shared" si="56"/>
        <v>0</v>
      </c>
      <c r="AD240" s="24">
        <f t="shared" si="56"/>
        <v>0</v>
      </c>
      <c r="AE240" s="24">
        <f t="shared" si="56"/>
        <v>0</v>
      </c>
    </row>
    <row r="241" spans="1:35" x14ac:dyDescent="0.45">
      <c r="B241" s="14" t="s">
        <v>67</v>
      </c>
      <c r="C241" s="14" t="str">
        <f t="shared" si="49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L241" s="47">
        <f>INDEX(Data_Energy!$D$3:$U$22,MATCH($B241,Data_Energy!$C$3:$C$22,0),MATCH($C241,Data_Energy!$D$2:$U$2,0))</f>
        <v>0</v>
      </c>
      <c r="M241" s="24">
        <f t="shared" ref="M241:AE241" si="57">L241*(1+M$219)^($E231*M$220)*(1+M$221)*IF(L204&lt;=0,1,M204/L204)^$F231*(IF(L214&lt;=0,1,M214/L214)^$G231/(1+$H231+$I231))^(1+$F231)</f>
        <v>0</v>
      </c>
      <c r="N241" s="24">
        <f t="shared" si="57"/>
        <v>0</v>
      </c>
      <c r="O241" s="24">
        <f t="shared" si="57"/>
        <v>0</v>
      </c>
      <c r="P241" s="24">
        <f t="shared" si="57"/>
        <v>0</v>
      </c>
      <c r="Q241" s="24">
        <f t="shared" si="57"/>
        <v>0</v>
      </c>
      <c r="R241" s="24">
        <f t="shared" si="57"/>
        <v>0</v>
      </c>
      <c r="S241" s="24">
        <f t="shared" si="57"/>
        <v>0</v>
      </c>
      <c r="T241" s="24">
        <f t="shared" si="57"/>
        <v>0</v>
      </c>
      <c r="U241" s="24">
        <f t="shared" si="57"/>
        <v>0</v>
      </c>
      <c r="V241" s="24">
        <f t="shared" si="57"/>
        <v>0</v>
      </c>
      <c r="W241" s="24">
        <f t="shared" si="57"/>
        <v>0</v>
      </c>
      <c r="X241" s="24">
        <f t="shared" si="57"/>
        <v>0</v>
      </c>
      <c r="Y241" s="24">
        <f t="shared" si="57"/>
        <v>0</v>
      </c>
      <c r="Z241" s="24">
        <f t="shared" si="57"/>
        <v>0</v>
      </c>
      <c r="AA241" s="24">
        <f t="shared" si="57"/>
        <v>0</v>
      </c>
      <c r="AB241" s="24">
        <f t="shared" si="57"/>
        <v>0</v>
      </c>
      <c r="AC241" s="24">
        <f t="shared" si="57"/>
        <v>0</v>
      </c>
      <c r="AD241" s="24">
        <f t="shared" si="57"/>
        <v>0</v>
      </c>
      <c r="AE241" s="24">
        <f t="shared" si="57"/>
        <v>0</v>
      </c>
    </row>
    <row r="242" spans="1:35" x14ac:dyDescent="0.45">
      <c r="B242" s="14" t="s">
        <v>69</v>
      </c>
      <c r="C242" s="14" t="str">
        <f t="shared" si="49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L242" s="47">
        <f>INDEX(Data_Energy!$D$3:$U$22,MATCH($B242,Data_Energy!$C$3:$C$22,0),MATCH($C242,Data_Energy!$D$2:$U$2,0))</f>
        <v>0</v>
      </c>
      <c r="M242" s="24">
        <f t="shared" ref="M242:AE242" si="58">L242*(1+M$219)^($E232*M$220)*(1+M$221)*IF(L205&lt;=0,1,M205/L205)^$F232*(IF(L215&lt;=0,1,M215/L215)^$G232/(1+$H232+$I232))^(1+$F232)</f>
        <v>0</v>
      </c>
      <c r="N242" s="24">
        <f t="shared" si="58"/>
        <v>0</v>
      </c>
      <c r="O242" s="24">
        <f t="shared" si="58"/>
        <v>0</v>
      </c>
      <c r="P242" s="24">
        <f t="shared" si="58"/>
        <v>0</v>
      </c>
      <c r="Q242" s="24">
        <f t="shared" si="58"/>
        <v>0</v>
      </c>
      <c r="R242" s="24">
        <f t="shared" si="58"/>
        <v>0</v>
      </c>
      <c r="S242" s="24">
        <f t="shared" si="58"/>
        <v>0</v>
      </c>
      <c r="T242" s="24">
        <f t="shared" si="58"/>
        <v>0</v>
      </c>
      <c r="U242" s="24">
        <f t="shared" si="58"/>
        <v>0</v>
      </c>
      <c r="V242" s="24">
        <f t="shared" si="58"/>
        <v>0</v>
      </c>
      <c r="W242" s="24">
        <f t="shared" si="58"/>
        <v>0</v>
      </c>
      <c r="X242" s="24">
        <f t="shared" si="58"/>
        <v>0</v>
      </c>
      <c r="Y242" s="24">
        <f t="shared" si="58"/>
        <v>0</v>
      </c>
      <c r="Z242" s="24">
        <f t="shared" si="58"/>
        <v>0</v>
      </c>
      <c r="AA242" s="24">
        <f t="shared" si="58"/>
        <v>0</v>
      </c>
      <c r="AB242" s="24">
        <f t="shared" si="58"/>
        <v>0</v>
      </c>
      <c r="AC242" s="24">
        <f t="shared" si="58"/>
        <v>0</v>
      </c>
      <c r="AD242" s="24">
        <f t="shared" si="58"/>
        <v>0</v>
      </c>
      <c r="AE242" s="24">
        <f t="shared" si="58"/>
        <v>0</v>
      </c>
    </row>
    <row r="243" spans="1:35" x14ac:dyDescent="0.45">
      <c r="B243" s="14" t="s">
        <v>110</v>
      </c>
      <c r="C243" s="14" t="str">
        <f t="shared" si="49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59">SUM(L234:L242)</f>
        <v>0</v>
      </c>
      <c r="M243" s="26">
        <f t="shared" si="59"/>
        <v>0</v>
      </c>
      <c r="N243" s="26">
        <f t="shared" si="59"/>
        <v>0</v>
      </c>
      <c r="O243" s="26">
        <f t="shared" si="59"/>
        <v>0</v>
      </c>
      <c r="P243" s="26">
        <f t="shared" si="59"/>
        <v>0</v>
      </c>
      <c r="Q243" s="26">
        <f t="shared" si="59"/>
        <v>0</v>
      </c>
      <c r="R243" s="26">
        <f t="shared" si="59"/>
        <v>0</v>
      </c>
      <c r="S243" s="26">
        <f t="shared" si="59"/>
        <v>0</v>
      </c>
      <c r="T243" s="26">
        <f t="shared" si="59"/>
        <v>0</v>
      </c>
      <c r="U243" s="26">
        <f t="shared" si="59"/>
        <v>0</v>
      </c>
      <c r="V243" s="26">
        <f t="shared" si="59"/>
        <v>0</v>
      </c>
      <c r="W243" s="26">
        <f t="shared" si="59"/>
        <v>0</v>
      </c>
      <c r="X243" s="26">
        <f t="shared" si="59"/>
        <v>0</v>
      </c>
      <c r="Y243" s="26">
        <f t="shared" si="59"/>
        <v>0</v>
      </c>
      <c r="Z243" s="26">
        <f t="shared" si="59"/>
        <v>0</v>
      </c>
      <c r="AA243" s="26">
        <f t="shared" si="59"/>
        <v>0</v>
      </c>
      <c r="AB243" s="26">
        <f t="shared" si="59"/>
        <v>0</v>
      </c>
      <c r="AC243" s="26">
        <f t="shared" si="59"/>
        <v>0</v>
      </c>
      <c r="AD243" s="26">
        <f t="shared" si="59"/>
        <v>0</v>
      </c>
      <c r="AE243" s="26">
        <f t="shared" si="59"/>
        <v>0</v>
      </c>
    </row>
    <row r="245" spans="1:35" x14ac:dyDescent="0.45">
      <c r="A245" s="11"/>
      <c r="B245" s="6" t="s">
        <v>1422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1423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60">L340</f>
        <v>2022</v>
      </c>
      <c r="M246" s="74">
        <f t="shared" si="60"/>
        <v>2023</v>
      </c>
      <c r="N246" s="74">
        <f t="shared" si="60"/>
        <v>2024</v>
      </c>
      <c r="O246" s="74">
        <f t="shared" si="60"/>
        <v>2025</v>
      </c>
      <c r="P246" s="74">
        <f t="shared" si="60"/>
        <v>2026</v>
      </c>
      <c r="Q246" s="74">
        <f t="shared" si="60"/>
        <v>2027</v>
      </c>
      <c r="R246" s="74">
        <f t="shared" si="60"/>
        <v>2028</v>
      </c>
      <c r="S246" s="74">
        <f t="shared" si="60"/>
        <v>2029</v>
      </c>
      <c r="T246" s="74">
        <f t="shared" si="60"/>
        <v>2030</v>
      </c>
      <c r="U246" s="74">
        <f t="shared" si="60"/>
        <v>2031</v>
      </c>
      <c r="V246" s="74">
        <f t="shared" si="60"/>
        <v>2032</v>
      </c>
      <c r="W246" s="74">
        <f t="shared" si="60"/>
        <v>2033</v>
      </c>
      <c r="X246" s="74">
        <f t="shared" si="60"/>
        <v>2034</v>
      </c>
      <c r="Y246" s="74">
        <f t="shared" si="60"/>
        <v>2035</v>
      </c>
      <c r="Z246" s="74">
        <f t="shared" si="60"/>
        <v>2036</v>
      </c>
      <c r="AA246" s="74">
        <f t="shared" si="60"/>
        <v>2037</v>
      </c>
      <c r="AB246" s="74">
        <f t="shared" si="60"/>
        <v>2038</v>
      </c>
      <c r="AC246" s="74">
        <f t="shared" si="60"/>
        <v>2039</v>
      </c>
      <c r="AD246" s="74">
        <f t="shared" si="60"/>
        <v>2040</v>
      </c>
      <c r="AE246" s="74">
        <f t="shared" si="60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1424</v>
      </c>
      <c r="E247" s="71" t="s">
        <v>1415</v>
      </c>
      <c r="F247" s="71" t="s">
        <v>26</v>
      </c>
      <c r="G247" s="86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1425</v>
      </c>
      <c r="E248" s="70" t="s">
        <v>1415</v>
      </c>
      <c r="F248" s="70" t="s">
        <v>26</v>
      </c>
      <c r="G248" s="87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1426</v>
      </c>
      <c r="E249" s="70" t="s">
        <v>1427</v>
      </c>
      <c r="F249" s="70" t="s">
        <v>26</v>
      </c>
      <c r="G249" s="87" t="str">
        <f>Settings!$B$3&amp;".mit.fundsp."&amp;$J$5</f>
        <v>egy.mit.fundsp.1</v>
      </c>
      <c r="H249" s="70"/>
      <c r="I249" s="70" t="s">
        <v>1870</v>
      </c>
      <c r="J249" s="70"/>
      <c r="K249" s="97"/>
      <c r="L249" s="98">
        <f>INDEX(Data_Prices!L:L,MATCH($G249,Data_Prices!$A:$A,0))</f>
        <v>0</v>
      </c>
      <c r="M249" s="98">
        <f>INDEX(Data_Prices!M:M,MATCH($G249,Data_Prices!$A:$A,0))</f>
        <v>0</v>
      </c>
      <c r="N249" s="98">
        <f>INDEX(Data_Prices!N:N,MATCH($G249,Data_Prices!$A:$A,0))</f>
        <v>0</v>
      </c>
      <c r="O249" s="98">
        <f>INDEX(Data_Prices!O:O,MATCH($G249,Data_Prices!$A:$A,0))</f>
        <v>0</v>
      </c>
      <c r="P249" s="98">
        <f>INDEX(Data_Prices!P:P,MATCH($G249,Data_Prices!$A:$A,0))</f>
        <v>0</v>
      </c>
      <c r="Q249" s="98">
        <f>INDEX(Data_Prices!Q:Q,MATCH($G249,Data_Prices!$A:$A,0))</f>
        <v>0</v>
      </c>
      <c r="R249" s="98">
        <f>INDEX(Data_Prices!R:R,MATCH($G249,Data_Prices!$A:$A,0))</f>
        <v>0</v>
      </c>
      <c r="S249" s="98">
        <f>INDEX(Data_Prices!S:S,MATCH($G249,Data_Prices!$A:$A,0))</f>
        <v>0</v>
      </c>
      <c r="T249" s="98">
        <f>INDEX(Data_Prices!T:T,MATCH($G249,Data_Prices!$A:$A,0))</f>
        <v>0</v>
      </c>
      <c r="U249" s="98">
        <f>INDEX(Data_Prices!U:U,MATCH($G249,Data_Prices!$A:$A,0))</f>
        <v>0</v>
      </c>
      <c r="V249" s="98">
        <f>INDEX(Data_Prices!V:V,MATCH($G249,Data_Prices!$A:$A,0))</f>
        <v>0</v>
      </c>
      <c r="W249" s="98">
        <f>INDEX(Data_Prices!W:W,MATCH($G249,Data_Prices!$A:$A,0))</f>
        <v>0</v>
      </c>
      <c r="X249" s="98">
        <f>INDEX(Data_Prices!X:X,MATCH($G249,Data_Prices!$A:$A,0))</f>
        <v>0</v>
      </c>
      <c r="Y249" s="98">
        <f>INDEX(Data_Prices!Y:Y,MATCH($G249,Data_Prices!$A:$A,0))</f>
        <v>0</v>
      </c>
      <c r="Z249" s="98">
        <f>INDEX(Data_Prices!Z:Z,MATCH($G249,Data_Prices!$A:$A,0))</f>
        <v>0</v>
      </c>
      <c r="AA249" s="98">
        <f>INDEX(Data_Prices!AA:AA,MATCH($G249,Data_Prices!$A:$A,0))</f>
        <v>0</v>
      </c>
      <c r="AB249" s="98">
        <f>INDEX(Data_Prices!AB:AB,MATCH($G249,Data_Prices!$A:$A,0))</f>
        <v>0</v>
      </c>
      <c r="AC249" s="98">
        <f>INDEX(Data_Prices!AC:AC,MATCH($G249,Data_Prices!$A:$A,0))</f>
        <v>0</v>
      </c>
      <c r="AD249" s="98">
        <f>INDEX(Data_Prices!AD:AD,MATCH($G249,Data_Prices!$A:$A,0))</f>
        <v>0</v>
      </c>
      <c r="AE249" s="98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1428</v>
      </c>
      <c r="E250" s="70" t="s">
        <v>1871</v>
      </c>
      <c r="F250" s="70" t="s">
        <v>26</v>
      </c>
      <c r="G250" s="87" t="str">
        <f>Settings!$B$3&amp;".mit.fundsh."&amp;$J$5</f>
        <v>egy.mit.fundsh.1</v>
      </c>
      <c r="H250" s="70"/>
      <c r="I250" s="70" t="s">
        <v>1872</v>
      </c>
      <c r="J250" s="70"/>
      <c r="K250" s="97"/>
      <c r="L250" s="97">
        <f>INDEX(Data_Prices!L:L,MATCH($G250,Data_Prices!$A:$A,0))*L400</f>
        <v>0</v>
      </c>
      <c r="M250" s="97">
        <f>INDEX(Data_Prices!M:M,MATCH($G250,Data_Prices!$A:$A,0))*M400</f>
        <v>0</v>
      </c>
      <c r="N250" s="97">
        <f>INDEX(Data_Prices!N:N,MATCH($G250,Data_Prices!$A:$A,0))*N400</f>
        <v>0</v>
      </c>
      <c r="O250" s="97">
        <f>INDEX(Data_Prices!O:O,MATCH($G250,Data_Prices!$A:$A,0))*O400</f>
        <v>0</v>
      </c>
      <c r="P250" s="97">
        <f>INDEX(Data_Prices!P:P,MATCH($G250,Data_Prices!$A:$A,0))*P400</f>
        <v>0</v>
      </c>
      <c r="Q250" s="97">
        <f>INDEX(Data_Prices!Q:Q,MATCH($G250,Data_Prices!$A:$A,0))*Q400</f>
        <v>0</v>
      </c>
      <c r="R250" s="97">
        <f>INDEX(Data_Prices!R:R,MATCH($G250,Data_Prices!$A:$A,0))*R400</f>
        <v>0</v>
      </c>
      <c r="S250" s="97">
        <f>INDEX(Data_Prices!S:S,MATCH($G250,Data_Prices!$A:$A,0))*S400</f>
        <v>0</v>
      </c>
      <c r="T250" s="97">
        <f>INDEX(Data_Prices!T:T,MATCH($G250,Data_Prices!$A:$A,0))*T400</f>
        <v>0</v>
      </c>
      <c r="U250" s="97">
        <f>INDEX(Data_Prices!U:U,MATCH($G250,Data_Prices!$A:$A,0))*U400</f>
        <v>0</v>
      </c>
      <c r="V250" s="97">
        <f>INDEX(Data_Prices!V:V,MATCH($G250,Data_Prices!$A:$A,0))*V400</f>
        <v>0</v>
      </c>
      <c r="W250" s="97">
        <f>INDEX(Data_Prices!W:W,MATCH($G250,Data_Prices!$A:$A,0))*W400</f>
        <v>0</v>
      </c>
      <c r="X250" s="97">
        <f>INDEX(Data_Prices!X:X,MATCH($G250,Data_Prices!$A:$A,0))*X400</f>
        <v>0</v>
      </c>
      <c r="Y250" s="97">
        <f>INDEX(Data_Prices!Y:Y,MATCH($G250,Data_Prices!$A:$A,0))*Y400</f>
        <v>0</v>
      </c>
      <c r="Z250" s="97">
        <f>INDEX(Data_Prices!Z:Z,MATCH($G250,Data_Prices!$A:$A,0))*Z400</f>
        <v>0</v>
      </c>
      <c r="AA250" s="97">
        <f>INDEX(Data_Prices!AA:AA,MATCH($G250,Data_Prices!$A:$A,0))*AA400</f>
        <v>0</v>
      </c>
      <c r="AB250" s="97">
        <f>INDEX(Data_Prices!AB:AB,MATCH($G250,Data_Prices!$A:$A,0))*AB400</f>
        <v>0</v>
      </c>
      <c r="AC250" s="97">
        <f>INDEX(Data_Prices!AC:AC,MATCH($G250,Data_Prices!$A:$A,0))*AC400</f>
        <v>0</v>
      </c>
      <c r="AD250" s="97">
        <f>INDEX(Data_Prices!AD:AD,MATCH($G250,Data_Prices!$A:$A,0))*AD400</f>
        <v>0</v>
      </c>
      <c r="AE250" s="97">
        <f>INDEX(Data_Prices!AE:AE,MATCH($G250,Data_Prices!$A:$A,0))*AE400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1873</v>
      </c>
      <c r="E251" s="70" t="s">
        <v>1415</v>
      </c>
      <c r="F251" s="70" t="s">
        <v>26</v>
      </c>
      <c r="G251" s="87" t="str">
        <f>Settings!$B$3&amp;".mit.obrrb."&amp;$J$5</f>
        <v>egy.mit.obrrb.1</v>
      </c>
      <c r="H251" s="70"/>
      <c r="I251" s="70" t="s">
        <v>1874</v>
      </c>
      <c r="J251" s="70"/>
      <c r="K251" s="97"/>
      <c r="L251" s="97">
        <f>INDEX(Data_Prices!L:L,MATCH($G251,Data_Prices!$A:$A,0))</f>
        <v>0</v>
      </c>
      <c r="M251" s="97">
        <f>INDEX(Data_Prices!M:M,MATCH($G251,Data_Prices!$A:$A,0))</f>
        <v>0</v>
      </c>
      <c r="N251" s="97">
        <f>INDEX(Data_Prices!N:N,MATCH($G251,Data_Prices!$A:$A,0))</f>
        <v>0</v>
      </c>
      <c r="O251" s="97">
        <f>INDEX(Data_Prices!O:O,MATCH($G251,Data_Prices!$A:$A,0))</f>
        <v>0</v>
      </c>
      <c r="P251" s="97">
        <f>INDEX(Data_Prices!P:P,MATCH($G251,Data_Prices!$A:$A,0))</f>
        <v>0</v>
      </c>
      <c r="Q251" s="97">
        <f>INDEX(Data_Prices!Q:Q,MATCH($G251,Data_Prices!$A:$A,0))</f>
        <v>0</v>
      </c>
      <c r="R251" s="97">
        <f>INDEX(Data_Prices!R:R,MATCH($G251,Data_Prices!$A:$A,0))</f>
        <v>0</v>
      </c>
      <c r="S251" s="97">
        <f>INDEX(Data_Prices!S:S,MATCH($G251,Data_Prices!$A:$A,0))</f>
        <v>0</v>
      </c>
      <c r="T251" s="97">
        <f>INDEX(Data_Prices!T:T,MATCH($G251,Data_Prices!$A:$A,0))</f>
        <v>0</v>
      </c>
      <c r="U251" s="97">
        <f>INDEX(Data_Prices!U:U,MATCH($G251,Data_Prices!$A:$A,0))</f>
        <v>0</v>
      </c>
      <c r="V251" s="97">
        <f>INDEX(Data_Prices!V:V,MATCH($G251,Data_Prices!$A:$A,0))</f>
        <v>0</v>
      </c>
      <c r="W251" s="97">
        <f>INDEX(Data_Prices!W:W,MATCH($G251,Data_Prices!$A:$A,0))</f>
        <v>0</v>
      </c>
      <c r="X251" s="97">
        <f>INDEX(Data_Prices!X:X,MATCH($G251,Data_Prices!$A:$A,0))</f>
        <v>0</v>
      </c>
      <c r="Y251" s="97">
        <f>INDEX(Data_Prices!Y:Y,MATCH($G251,Data_Prices!$A:$A,0))</f>
        <v>0</v>
      </c>
      <c r="Z251" s="97">
        <f>INDEX(Data_Prices!Z:Z,MATCH($G251,Data_Prices!$A:$A,0))</f>
        <v>0</v>
      </c>
      <c r="AA251" s="97">
        <f>INDEX(Data_Prices!AA:AA,MATCH($G251,Data_Prices!$A:$A,0))</f>
        <v>0</v>
      </c>
      <c r="AB251" s="97">
        <f>INDEX(Data_Prices!AB:AB,MATCH($G251,Data_Prices!$A:$A,0))</f>
        <v>0</v>
      </c>
      <c r="AC251" s="97">
        <f>INDEX(Data_Prices!AC:AC,MATCH($G251,Data_Prices!$A:$A,0))</f>
        <v>0</v>
      </c>
      <c r="AD251" s="97">
        <f>INDEX(Data_Prices!AD:AD,MATCH($G251,Data_Prices!$A:$A,0))</f>
        <v>0</v>
      </c>
      <c r="AE251" s="97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1429</v>
      </c>
      <c r="D252" s="73"/>
      <c r="E252" s="71" t="s">
        <v>1430</v>
      </c>
      <c r="F252" s="71" t="s">
        <v>1431</v>
      </c>
      <c r="G252" s="71" t="s">
        <v>1405</v>
      </c>
      <c r="H252" s="71" t="s">
        <v>1432</v>
      </c>
      <c r="I252" s="71" t="s">
        <v>1433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73"/>
      <c r="C258" s="73"/>
      <c r="D258" s="73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0"/>
      <c r="AH258" s="70"/>
      <c r="AI258" s="70"/>
    </row>
    <row r="259" spans="1:35" x14ac:dyDescent="0.45">
      <c r="A259" s="70"/>
      <c r="B259" s="73"/>
      <c r="C259" s="73"/>
      <c r="D259" s="73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0"/>
      <c r="AH259" s="70"/>
      <c r="AI259" s="70"/>
    </row>
    <row r="260" spans="1:35" x14ac:dyDescent="0.45">
      <c r="A260" s="70"/>
      <c r="B260" s="73"/>
      <c r="C260" s="73"/>
      <c r="D260" s="73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0"/>
      <c r="AH260" s="70"/>
      <c r="AI260" s="70"/>
    </row>
    <row r="261" spans="1:35" x14ac:dyDescent="0.45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2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1" t="s">
        <v>1331</v>
      </c>
      <c r="N263" s="91" t="s">
        <v>1332</v>
      </c>
      <c r="O263" s="70" t="s">
        <v>1333</v>
      </c>
      <c r="P263" s="91" t="s">
        <v>1334</v>
      </c>
      <c r="Q263" s="91" t="s">
        <v>1335</v>
      </c>
      <c r="R263" s="91" t="s">
        <v>1336</v>
      </c>
      <c r="S263" s="91" t="s">
        <v>1337</v>
      </c>
      <c r="T263" s="91" t="s">
        <v>1338</v>
      </c>
      <c r="U263" s="91" t="s">
        <v>1339</v>
      </c>
      <c r="V263" s="91" t="s">
        <v>1340</v>
      </c>
      <c r="W263" s="91" t="s">
        <v>1341</v>
      </c>
      <c r="X263" s="91" t="s">
        <v>1342</v>
      </c>
      <c r="Y263" s="91" t="s">
        <v>1343</v>
      </c>
      <c r="Z263" s="91" t="s">
        <v>1344</v>
      </c>
      <c r="AA263" s="91" t="s">
        <v>1345</v>
      </c>
      <c r="AB263" s="91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0.12903000000000001</v>
      </c>
      <c r="I264" s="76">
        <f>'Manual inputs'!I$30</f>
        <v>0.56100000000000005</v>
      </c>
      <c r="J264" s="76">
        <f>'Manual inputs'!J$30</f>
        <v>0.04</v>
      </c>
      <c r="K264" s="76">
        <f>'Manual inputs'!K$30</f>
        <v>0</v>
      </c>
      <c r="L264" s="76">
        <f t="shared" ref="L264:L271" si="61">SUM(H264:K264)</f>
        <v>0.73003000000000007</v>
      </c>
      <c r="M264" s="76">
        <f>'Manual inputs'!M$30</f>
        <v>0</v>
      </c>
      <c r="N264" s="76">
        <f>'Manual inputs'!N$30</f>
        <v>0.73003000000000007</v>
      </c>
      <c r="O264" s="76">
        <f>'Manual inputs'!O$30</f>
        <v>0.25</v>
      </c>
      <c r="P264" s="70">
        <f>'Manual inputs'!P$30</f>
        <v>0</v>
      </c>
      <c r="Q264" s="76">
        <f t="shared" ref="Q264:Q271" si="62">N264+O264</f>
        <v>0.98003000000000007</v>
      </c>
      <c r="R264" s="76">
        <f t="shared" ref="R264:R271" si="63">N264+O264*P264</f>
        <v>0.73003000000000007</v>
      </c>
      <c r="S264" s="77">
        <f>'Manual inputs'!S$30</f>
        <v>5</v>
      </c>
      <c r="T264" s="77">
        <f>'Manual inputs'!T$30</f>
        <v>56.1</v>
      </c>
      <c r="U264" s="77">
        <f>'Manual inputs'!U$30</f>
        <v>24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-1.27197</v>
      </c>
      <c r="AB264" s="79">
        <f>'Manual inputs'!AB$30</f>
        <v>0.24903000000000008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S1.fc: Est: Midrex heat:reductant ratio 5:24 GJ/t NG. Total EF Auth (WSA 2023 / S1.fp: Est: Midrex standard ratio; IPCC 2006 Vol2 2C1; WSA 2023. Total Auth; </v>
      </c>
      <c r="AE264" s="70" t="str">
        <f>'Manual inputs'!AE$30</f>
        <v>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1357</v>
      </c>
      <c r="E265" s="70" t="s">
        <v>1351</v>
      </c>
      <c r="F265" s="70" t="s">
        <v>1358</v>
      </c>
      <c r="G265" s="70" t="s">
        <v>1359</v>
      </c>
      <c r="H265" s="76">
        <f>'Manual inputs'!H$31</f>
        <v>0.14025000000000001</v>
      </c>
      <c r="I265" s="76">
        <f>'Manual inputs'!I$31</f>
        <v>0</v>
      </c>
      <c r="J265" s="76">
        <f>'Manual inputs'!J$31</f>
        <v>1.4999999999999999E-2</v>
      </c>
      <c r="K265" s="76">
        <f>'Manual inputs'!K$31</f>
        <v>0</v>
      </c>
      <c r="L265" s="76">
        <f t="shared" si="61"/>
        <v>0.15525</v>
      </c>
      <c r="M265" s="76">
        <f>'Manual inputs'!M$31</f>
        <v>0</v>
      </c>
      <c r="N265" s="76">
        <f>'Manual inputs'!N$31</f>
        <v>0.15525</v>
      </c>
      <c r="O265" s="76">
        <f>'Manual inputs'!O$31</f>
        <v>0.25</v>
      </c>
      <c r="P265" s="70">
        <f>'Manual inputs'!P$31</f>
        <v>0</v>
      </c>
      <c r="Q265" s="76">
        <f t="shared" si="62"/>
        <v>0.40525</v>
      </c>
      <c r="R265" s="76">
        <f t="shared" si="63"/>
        <v>0.15525</v>
      </c>
      <c r="S265" s="77">
        <f>'Manual inputs'!S$31</f>
        <v>2.5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-0.63675000000000004</v>
      </c>
      <c r="AB265" s="79">
        <f>'Manual inputs'!AB$31</f>
        <v>8.3250000000000005E-2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S1.fc: Est: IEA Egypt sector average; WSA 2023 scrap-EAF range 2-3 GJ/t. Tota / S1.fp: Auth: no reductant in scrap melting process</v>
      </c>
      <c r="AE265" s="70" t="str">
        <f>'Manual inputs'!AE$31</f>
        <v>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1363</v>
      </c>
      <c r="E266" s="70" t="s">
        <v>1351</v>
      </c>
      <c r="F266" s="70" t="s">
        <v>1364</v>
      </c>
      <c r="G266" s="70" t="s">
        <v>1365</v>
      </c>
      <c r="H266" s="76">
        <f>'Manual inputs'!H$32</f>
        <v>0.38440000000000002</v>
      </c>
      <c r="I266" s="76">
        <f>'Manual inputs'!I$32</f>
        <v>1.5376000000000001</v>
      </c>
      <c r="J266" s="76">
        <f>'Manual inputs'!J$32</f>
        <v>0.25</v>
      </c>
      <c r="K266" s="76">
        <f>'Manual inputs'!K$32</f>
        <v>0</v>
      </c>
      <c r="L266" s="76">
        <f t="shared" si="61"/>
        <v>2.1720000000000002</v>
      </c>
      <c r="M266" s="76">
        <f>'Manual inputs'!M$32</f>
        <v>0</v>
      </c>
      <c r="N266" s="76">
        <f>'Manual inputs'!N$32</f>
        <v>2.1720000000000002</v>
      </c>
      <c r="O266" s="76">
        <f>'Manual inputs'!O$32</f>
        <v>0.1875</v>
      </c>
      <c r="P266" s="70">
        <f>'Manual inputs'!P$32</f>
        <v>0</v>
      </c>
      <c r="Q266" s="76">
        <f t="shared" si="62"/>
        <v>2.3595000000000002</v>
      </c>
      <c r="R266" s="76">
        <f t="shared" si="63"/>
        <v>2.1720000000000002</v>
      </c>
      <c r="S266" s="77">
        <f>'Manual inputs'!S$32</f>
        <v>4</v>
      </c>
      <c r="T266" s="77">
        <f>'Manual inputs'!T$32</f>
        <v>96.1</v>
      </c>
      <c r="U266" s="77">
        <f>'Manual inputs'!U$32</f>
        <v>16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-0.90799999999999992</v>
      </c>
      <c r="AB266" s="79">
        <f>'Manual inputs'!AB$32</f>
        <v>0.80200000000000005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S1.fc: Prox: WSA 2023 global BF-BOF average. No Egypt-specific data (no produ / S1.fp: Prox: WSA 2023 BF standard; IPCC 2006 Vol2 2C1. Split Est within proxy</v>
      </c>
      <c r="AE266" s="70" t="str">
        <f>'Manual inputs'!AE$32</f>
        <v>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1369</v>
      </c>
      <c r="E267" s="70" t="s">
        <v>1370</v>
      </c>
      <c r="F267" s="70" t="s">
        <v>1371</v>
      </c>
      <c r="G267" s="70" t="s">
        <v>1372</v>
      </c>
      <c r="H267" s="76">
        <f>'Manual inputs'!H$33</f>
        <v>0.2883</v>
      </c>
      <c r="I267" s="76">
        <f>'Manual inputs'!I$33</f>
        <v>0</v>
      </c>
      <c r="J267" s="76">
        <f>'Manual inputs'!J$33</f>
        <v>0.52600000000000002</v>
      </c>
      <c r="K267" s="76">
        <f>'Manual inputs'!K$33</f>
        <v>0</v>
      </c>
      <c r="L267" s="76">
        <f t="shared" si="61"/>
        <v>0.81430000000000002</v>
      </c>
      <c r="M267" s="76">
        <f>'Manual inputs'!M$33</f>
        <v>0</v>
      </c>
      <c r="N267" s="76">
        <f>'Manual inputs'!N$33</f>
        <v>0.81430000000000002</v>
      </c>
      <c r="O267" s="76">
        <f>'Manual inputs'!O$33</f>
        <v>5.6250000000000001E-2</v>
      </c>
      <c r="P267" s="70">
        <f>'Manual inputs'!P$33</f>
        <v>1</v>
      </c>
      <c r="Q267" s="76">
        <f t="shared" si="62"/>
        <v>0.87055000000000005</v>
      </c>
      <c r="R267" s="76">
        <f t="shared" si="63"/>
        <v>0.87055000000000005</v>
      </c>
      <c r="S267" s="77">
        <f>'Manual inputs'!S$33</f>
        <v>3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-0.86745000000000017</v>
      </c>
      <c r="AB267" s="79">
        <f>'Manual inputs'!AB$33</f>
        <v>0.20455000000000001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S1.fc: Est: IEA Egypt cement sector; CSI/GCCA GNR Egypt 2022. Total AukCoa / S1.fp: Auth: cement production has no chemical reductant fuel</v>
      </c>
      <c r="AE267" s="70" t="str">
        <f>'Manual inputs'!AE$33</f>
        <v>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1376</v>
      </c>
      <c r="E268" s="70" t="s">
        <v>1377</v>
      </c>
      <c r="F268" s="70" t="s">
        <v>1378</v>
      </c>
      <c r="G268" s="70" t="s">
        <v>1379</v>
      </c>
      <c r="H268" s="76">
        <f>'Manual inputs'!H$34</f>
        <v>0.39269999999999999</v>
      </c>
      <c r="I268" s="76">
        <f>'Manual inputs'!I$34</f>
        <v>1.4585999999999999</v>
      </c>
      <c r="J268" s="76">
        <f>'Manual inputs'!J$34</f>
        <v>0</v>
      </c>
      <c r="K268" s="76">
        <f>'Manual inputs'!K$34</f>
        <v>0</v>
      </c>
      <c r="L268" s="76">
        <f t="shared" si="61"/>
        <v>1.8512999999999999</v>
      </c>
      <c r="M268" s="76">
        <f>'Manual inputs'!M$34</f>
        <v>0</v>
      </c>
      <c r="N268" s="76">
        <f>'Manual inputs'!N$34</f>
        <v>1.8512999999999999</v>
      </c>
      <c r="O268" s="76">
        <f>'Manual inputs'!O$34</f>
        <v>3.7499999999999999E-2</v>
      </c>
      <c r="P268" s="70">
        <f>'Manual inputs'!P$34</f>
        <v>1</v>
      </c>
      <c r="Q268" s="76">
        <f t="shared" si="62"/>
        <v>1.8888</v>
      </c>
      <c r="R268" s="76">
        <f t="shared" si="63"/>
        <v>1.8888</v>
      </c>
      <c r="S268" s="77">
        <f>'Manual inputs'!S$34</f>
        <v>7</v>
      </c>
      <c r="T268" s="77">
        <f>'Manual inputs'!T$34</f>
        <v>56.1</v>
      </c>
      <c r="U268" s="77">
        <f>'Manual inputs'!U$34</f>
        <v>26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-0.18169999999999997</v>
      </c>
      <c r="AB268" s="79">
        <f>'Manual inputs'!AB$34</f>
        <v>0.40480000000000005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S1.fc: Est: IFA/EFMA BAT Vol.1; combustion ~6-8 GJ/t NH3. Total Auth (IFA sta / S1.fp: Est: IFA/EFMA BAT Vol.1 standard SMR ~24-28 GJ/t NH3. Total Auth; comb</v>
      </c>
      <c r="AE268" s="70" t="str">
        <f>'Manual inputs'!AE$34</f>
        <v>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1383</v>
      </c>
      <c r="E269" s="70" t="s">
        <v>1384</v>
      </c>
      <c r="F269" s="70" t="s">
        <v>1385</v>
      </c>
      <c r="G269" s="70" t="s">
        <v>1386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-0.73299999999999998</v>
      </c>
      <c r="K269" s="76">
        <f>'Manual inputs'!K$35</f>
        <v>0</v>
      </c>
      <c r="L269" s="76">
        <f t="shared" si="61"/>
        <v>-0.62080000000000002</v>
      </c>
      <c r="M269" s="76">
        <f>'Manual inputs'!M$35</f>
        <v>1.0709496000000001</v>
      </c>
      <c r="N269" s="76">
        <f>'Manual inputs'!N$35</f>
        <v>0.45014960000000004</v>
      </c>
      <c r="O269" s="76">
        <f>'Manual inputs'!O$35</f>
        <v>3.7499999999999999E-2</v>
      </c>
      <c r="P269" s="70">
        <f>'Manual inputs'!P$35</f>
        <v>1</v>
      </c>
      <c r="Q269" s="76">
        <f t="shared" si="62"/>
        <v>0.48764960000000002</v>
      </c>
      <c r="R269" s="76">
        <f t="shared" si="63"/>
        <v>0.48764960000000002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-0.91625039999999991</v>
      </c>
      <c r="AB269" s="79">
        <f>'Manual inputs'!AB$35</f>
        <v>-0.41435040000000001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S1.fc: Est: IFA/EFMA; small relative to NH3 chain. ~1.5-2.5 GJ/t urea typical / S1.fp: Auth: no additional reductant/feedstock in urea synthesis itself</v>
      </c>
      <c r="AE269" s="70" t="str">
        <f>'Manual inputs'!AE$35</f>
        <v>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1390</v>
      </c>
      <c r="E270" s="70" t="s">
        <v>1391</v>
      </c>
      <c r="F270" s="70" t="s">
        <v>1392</v>
      </c>
      <c r="G270" s="70" t="s">
        <v>1393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0.97</v>
      </c>
      <c r="L270" s="76">
        <f t="shared" si="61"/>
        <v>1.0822000000000001</v>
      </c>
      <c r="M270" s="76">
        <f>'Manual inputs'!M$36</f>
        <v>0.40137</v>
      </c>
      <c r="N270" s="76">
        <f>'Manual inputs'!N$36</f>
        <v>1.4835700000000001</v>
      </c>
      <c r="O270" s="76">
        <f>'Manual inputs'!O$36</f>
        <v>4.3749999999999997E-2</v>
      </c>
      <c r="P270" s="70">
        <f>'Manual inputs'!P$36</f>
        <v>1</v>
      </c>
      <c r="Q270" s="76">
        <f t="shared" si="62"/>
        <v>1.52732</v>
      </c>
      <c r="R270" s="76">
        <f t="shared" si="63"/>
        <v>1.52732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-1.1390800000000003</v>
      </c>
      <c r="AB270" s="79">
        <f>'Manual inputs'!AB$36</f>
        <v>1.22532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S1.fc: Est: IFA/EFMA BAT Vol.3; 1.5-2.5 GJ/t AN typical. Total direct EF less / S1.fp: Auth: HNO3 and neutralisation have no reductant</v>
      </c>
      <c r="AE270" s="70" t="str">
        <f>'Manual inputs'!AE$36</f>
        <v>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1397</v>
      </c>
      <c r="E271" s="70" t="s">
        <v>1398</v>
      </c>
      <c r="F271" s="70" t="s">
        <v>1399</v>
      </c>
      <c r="G271" s="70" t="s">
        <v>1400</v>
      </c>
      <c r="H271" s="76">
        <f>'Manual inputs'!H$37</f>
        <v>0.156</v>
      </c>
      <c r="I271" s="76">
        <f>'Manual inputs'!I$37</f>
        <v>0</v>
      </c>
      <c r="J271" s="76">
        <f>'Manual inputs'!J$37</f>
        <v>1.5</v>
      </c>
      <c r="K271" s="76">
        <f>'Manual inputs'!K$37</f>
        <v>0.85</v>
      </c>
      <c r="L271" s="76">
        <f t="shared" si="61"/>
        <v>2.5059999999999998</v>
      </c>
      <c r="M271" s="76">
        <f>'Manual inputs'!M$37</f>
        <v>0</v>
      </c>
      <c r="N271" s="76">
        <f>'Manual inputs'!N$37</f>
        <v>2.5059999999999998</v>
      </c>
      <c r="O271" s="76">
        <f>'Manual inputs'!O$37</f>
        <v>6.75</v>
      </c>
      <c r="P271" s="70">
        <f>'Manual inputs'!P$37</f>
        <v>0</v>
      </c>
      <c r="Q271" s="76">
        <f t="shared" si="62"/>
        <v>9.2560000000000002</v>
      </c>
      <c r="R271" s="76">
        <f t="shared" si="63"/>
        <v>2.5059999999999998</v>
      </c>
      <c r="S271" s="77">
        <f>'Manual inputs'!S$37</f>
        <v>2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0.23999999999999932</v>
      </c>
      <c r="AB271" s="79">
        <f>'Manual inputs'!AB$37</f>
        <v>1.0829999999999997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S1.fc: Est: IAI 2023 smelter profile; 1.5-2.5 GJ/t range. Weighted EF 78 kgCO / S1.fp: Auth: Hall-Héroult is electrolytic; reduction is electrical not fuel-d</v>
      </c>
      <c r="AE271" s="70" t="str">
        <f>'Manual inputs'!AE$37</f>
        <v>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52"/>
      <c r="C272" s="52"/>
      <c r="D272" s="70"/>
      <c r="E272" s="70"/>
      <c r="F272" s="70"/>
      <c r="G272" s="70"/>
      <c r="H272" s="70"/>
      <c r="I272" s="70"/>
      <c r="J272" s="70"/>
      <c r="K272" s="72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</row>
    <row r="273" spans="1:35" x14ac:dyDescent="0.45">
      <c r="A273" s="70"/>
      <c r="B273" s="52"/>
      <c r="C273" s="52"/>
      <c r="D273" s="70"/>
      <c r="E273" s="70"/>
      <c r="F273" s="70"/>
      <c r="G273" s="70"/>
      <c r="H273" s="70"/>
      <c r="I273" s="70"/>
      <c r="J273" s="70"/>
      <c r="K273" s="72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1434</v>
      </c>
      <c r="D274" s="73"/>
      <c r="E274" s="70"/>
      <c r="F274" s="70" t="s">
        <v>1435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1436</v>
      </c>
      <c r="G275" s="70" t="s">
        <v>1437</v>
      </c>
      <c r="H275" s="70" t="s">
        <v>1438</v>
      </c>
      <c r="I275" s="70" t="s">
        <v>1439</v>
      </c>
      <c r="J275" s="71"/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1440</v>
      </c>
      <c r="F276" s="88">
        <v>5100</v>
      </c>
      <c r="G276" s="89">
        <v>4.3999999999999997E-2</v>
      </c>
      <c r="H276" s="80"/>
      <c r="I276" s="88">
        <v>580</v>
      </c>
      <c r="J276" s="71"/>
      <c r="K276" s="72"/>
      <c r="L276" s="72">
        <f t="shared" ref="L276:L283" si="64">M276/(1+G276)</f>
        <v>4679.1738230501605</v>
      </c>
      <c r="M276" s="72">
        <f t="shared" ref="M276:M283" si="65">N276/(1+G276)</f>
        <v>4885.0574712643675</v>
      </c>
      <c r="N276" s="90">
        <f>IF(UPPER(Settings!$B$3)="EGY",F276,0)</f>
        <v>5100</v>
      </c>
      <c r="O276" s="72">
        <f t="shared" ref="O276:O283" si="66">N276*(1+G276)</f>
        <v>5324.4000000000005</v>
      </c>
      <c r="P276" s="72">
        <f t="shared" ref="P276:P283" si="67">O276*(1+G276)</f>
        <v>5558.673600000001</v>
      </c>
      <c r="Q276" s="72">
        <f t="shared" ref="Q276:Q283" si="68">P276*(1+G276)</f>
        <v>5803.255238400001</v>
      </c>
      <c r="R276" s="72">
        <f t="shared" ref="R276:R283" si="69">Q276*(1+G276)</f>
        <v>6058.5984688896015</v>
      </c>
      <c r="S276" s="72">
        <f t="shared" ref="S276:S283" si="70">R276*(1+G276)</f>
        <v>6325.1768015207444</v>
      </c>
      <c r="T276" s="72">
        <f t="shared" ref="T276:T283" si="71">S276*(1+G276)</f>
        <v>6603.4845807876573</v>
      </c>
      <c r="U276" s="72">
        <f t="shared" ref="U276:U283" si="72">T276*(1+G276)</f>
        <v>6894.0379023423147</v>
      </c>
      <c r="V276" s="72">
        <f t="shared" ref="V276:V283" si="73">U276*(1+G276)</f>
        <v>7197.3755700453767</v>
      </c>
      <c r="W276" s="72">
        <f t="shared" ref="W276:W283" si="74">V276*(1+G276)</f>
        <v>7514.0600951273736</v>
      </c>
      <c r="X276" s="72">
        <f t="shared" ref="X276:X283" si="75">W276*(1+G276)</f>
        <v>7844.678739312978</v>
      </c>
      <c r="Y276" s="72">
        <f t="shared" ref="Y276:Y283" si="76">X276*(1+G276)</f>
        <v>8189.8446038427492</v>
      </c>
      <c r="Z276" s="72">
        <f t="shared" ref="Z276:Z283" si="77">Y276*(1+G276)</f>
        <v>8550.1977664118313</v>
      </c>
      <c r="AA276" s="72">
        <f t="shared" ref="AA276:AA283" si="78">Z276*(1+G276)</f>
        <v>8926.4064681339514</v>
      </c>
      <c r="AB276" s="72">
        <f t="shared" ref="AB276:AB283" si="79">AA276*(1+G276)</f>
        <v>9319.1683527318455</v>
      </c>
      <c r="AC276" s="72">
        <f t="shared" ref="AC276:AC283" si="80">AB276*(1+G276)</f>
        <v>9729.2117602520466</v>
      </c>
      <c r="AD276" s="72">
        <f t="shared" ref="AD276:AD283" si="81">AC276*(1+G276)</f>
        <v>10157.297077703137</v>
      </c>
      <c r="AE276" s="72">
        <f t="shared" ref="AE276:AE283" si="82">AD276*(1+G276)</f>
        <v>10604.218149122074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1357</v>
      </c>
      <c r="E277" s="70" t="s">
        <v>1440</v>
      </c>
      <c r="F277" s="88">
        <v>4800</v>
      </c>
      <c r="G277" s="89">
        <v>4.3999999999999997E-2</v>
      </c>
      <c r="H277" s="80"/>
      <c r="I277" s="88">
        <v>300</v>
      </c>
      <c r="J277" s="71"/>
      <c r="K277" s="72"/>
      <c r="L277" s="72">
        <f t="shared" si="64"/>
        <v>4403.9283040472101</v>
      </c>
      <c r="M277" s="72">
        <f t="shared" si="65"/>
        <v>4597.7011494252874</v>
      </c>
      <c r="N277" s="90">
        <f>IF(UPPER(Settings!$B$3)="EGY",F277,0)</f>
        <v>4800</v>
      </c>
      <c r="O277" s="72">
        <f t="shared" si="66"/>
        <v>5011.2</v>
      </c>
      <c r="P277" s="72">
        <f t="shared" si="67"/>
        <v>5231.6927999999998</v>
      </c>
      <c r="Q277" s="72">
        <f t="shared" si="68"/>
        <v>5461.8872831999997</v>
      </c>
      <c r="R277" s="72">
        <f t="shared" si="69"/>
        <v>5702.2103236608</v>
      </c>
      <c r="S277" s="72">
        <f t="shared" si="70"/>
        <v>5953.1075779018756</v>
      </c>
      <c r="T277" s="72">
        <f t="shared" si="71"/>
        <v>6215.0443113295587</v>
      </c>
      <c r="U277" s="72">
        <f t="shared" si="72"/>
        <v>6488.5062610280593</v>
      </c>
      <c r="V277" s="72">
        <f t="shared" si="73"/>
        <v>6774.0005365132938</v>
      </c>
      <c r="W277" s="72">
        <f t="shared" si="74"/>
        <v>7072.0565601198787</v>
      </c>
      <c r="X277" s="72">
        <f t="shared" si="75"/>
        <v>7383.227048765154</v>
      </c>
      <c r="Y277" s="72">
        <f t="shared" si="76"/>
        <v>7708.0890389108208</v>
      </c>
      <c r="Z277" s="72">
        <f t="shared" si="77"/>
        <v>8047.244956622897</v>
      </c>
      <c r="AA277" s="72">
        <f t="shared" si="78"/>
        <v>8401.323734714304</v>
      </c>
      <c r="AB277" s="72">
        <f t="shared" si="79"/>
        <v>8770.9819790417332</v>
      </c>
      <c r="AC277" s="72">
        <f t="shared" si="80"/>
        <v>9156.9051861195694</v>
      </c>
      <c r="AD277" s="72">
        <f t="shared" si="81"/>
        <v>9559.8090143088302</v>
      </c>
      <c r="AE277" s="72">
        <f t="shared" si="82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1363</v>
      </c>
      <c r="E278" s="70" t="s">
        <v>1440</v>
      </c>
      <c r="F278" s="88">
        <v>0</v>
      </c>
      <c r="G278" s="89">
        <v>0</v>
      </c>
      <c r="H278" s="80"/>
      <c r="I278" s="88">
        <v>0</v>
      </c>
      <c r="J278" s="71"/>
      <c r="K278" s="72"/>
      <c r="L278" s="72">
        <f t="shared" si="64"/>
        <v>0</v>
      </c>
      <c r="M278" s="72">
        <f t="shared" si="65"/>
        <v>0</v>
      </c>
      <c r="N278" s="90">
        <f>IF(UPPER(Settings!$B$3)="EGY",F278,0)</f>
        <v>0</v>
      </c>
      <c r="O278" s="72">
        <f t="shared" si="66"/>
        <v>0</v>
      </c>
      <c r="P278" s="72">
        <f t="shared" si="67"/>
        <v>0</v>
      </c>
      <c r="Q278" s="72">
        <f t="shared" si="68"/>
        <v>0</v>
      </c>
      <c r="R278" s="72">
        <f t="shared" si="69"/>
        <v>0</v>
      </c>
      <c r="S278" s="72">
        <f t="shared" si="70"/>
        <v>0</v>
      </c>
      <c r="T278" s="72">
        <f t="shared" si="71"/>
        <v>0</v>
      </c>
      <c r="U278" s="72">
        <f t="shared" si="72"/>
        <v>0</v>
      </c>
      <c r="V278" s="72">
        <f t="shared" si="73"/>
        <v>0</v>
      </c>
      <c r="W278" s="72">
        <f t="shared" si="74"/>
        <v>0</v>
      </c>
      <c r="X278" s="72">
        <f t="shared" si="75"/>
        <v>0</v>
      </c>
      <c r="Y278" s="72">
        <f t="shared" si="76"/>
        <v>0</v>
      </c>
      <c r="Z278" s="72">
        <f t="shared" si="77"/>
        <v>0</v>
      </c>
      <c r="AA278" s="72">
        <f t="shared" si="78"/>
        <v>0</v>
      </c>
      <c r="AB278" s="72">
        <f t="shared" si="79"/>
        <v>0</v>
      </c>
      <c r="AC278" s="72">
        <f t="shared" si="80"/>
        <v>0</v>
      </c>
      <c r="AD278" s="72">
        <f t="shared" si="81"/>
        <v>0</v>
      </c>
      <c r="AE278" s="72">
        <f t="shared" si="82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1369</v>
      </c>
      <c r="E279" s="70" t="s">
        <v>1441</v>
      </c>
      <c r="F279" s="88">
        <v>50000</v>
      </c>
      <c r="G279" s="89">
        <v>3.3000000000000002E-2</v>
      </c>
      <c r="H279" s="80"/>
      <c r="I279" s="88">
        <v>800</v>
      </c>
      <c r="J279" s="71"/>
      <c r="K279" s="72"/>
      <c r="L279" s="72">
        <f t="shared" si="64"/>
        <v>46856.447775209017</v>
      </c>
      <c r="M279" s="72">
        <f t="shared" si="65"/>
        <v>48402.710551790908</v>
      </c>
      <c r="N279" s="90">
        <f>IF(UPPER(Settings!$B$3)="EGY",F279,0)</f>
        <v>50000</v>
      </c>
      <c r="O279" s="72">
        <f t="shared" si="66"/>
        <v>51649.999999999993</v>
      </c>
      <c r="P279" s="72">
        <f t="shared" si="67"/>
        <v>53354.44999999999</v>
      </c>
      <c r="Q279" s="72">
        <f t="shared" si="68"/>
        <v>55115.146849999983</v>
      </c>
      <c r="R279" s="72">
        <f t="shared" si="69"/>
        <v>56933.946696049978</v>
      </c>
      <c r="S279" s="72">
        <f t="shared" si="70"/>
        <v>58812.766937019624</v>
      </c>
      <c r="T279" s="72">
        <f t="shared" si="71"/>
        <v>60753.588245941268</v>
      </c>
      <c r="U279" s="72">
        <f t="shared" si="72"/>
        <v>62758.456658057323</v>
      </c>
      <c r="V279" s="72">
        <f t="shared" si="73"/>
        <v>64829.485727773208</v>
      </c>
      <c r="W279" s="72">
        <f t="shared" si="74"/>
        <v>66968.858756789719</v>
      </c>
      <c r="X279" s="72">
        <f t="shared" si="75"/>
        <v>69178.831095763773</v>
      </c>
      <c r="Y279" s="72">
        <f t="shared" si="76"/>
        <v>71461.732521923972</v>
      </c>
      <c r="Z279" s="72">
        <f t="shared" si="77"/>
        <v>73819.969695147462</v>
      </c>
      <c r="AA279" s="72">
        <f t="shared" si="78"/>
        <v>76256.028695087327</v>
      </c>
      <c r="AB279" s="72">
        <f t="shared" si="79"/>
        <v>78772.477642025202</v>
      </c>
      <c r="AC279" s="72">
        <f t="shared" si="80"/>
        <v>81371.969404212025</v>
      </c>
      <c r="AD279" s="72">
        <f t="shared" si="81"/>
        <v>84057.244394551017</v>
      </c>
      <c r="AE279" s="72">
        <f t="shared" si="82"/>
        <v>86831.133459571196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1442</v>
      </c>
      <c r="E280" s="70" t="s">
        <v>1443</v>
      </c>
      <c r="F280" s="88">
        <v>1785</v>
      </c>
      <c r="G280" s="89">
        <v>2.1999999999999999E-2</v>
      </c>
      <c r="H280" s="80"/>
      <c r="I280" s="88">
        <v>120</v>
      </c>
      <c r="J280" s="71"/>
      <c r="K280" s="72"/>
      <c r="L280" s="72">
        <f t="shared" si="64"/>
        <v>1708.9778302013242</v>
      </c>
      <c r="M280" s="72">
        <f t="shared" si="65"/>
        <v>1746.5753424657535</v>
      </c>
      <c r="N280" s="90">
        <f>IF(UPPER(Settings!$B$3)="EGY",F280,0)</f>
        <v>1785</v>
      </c>
      <c r="O280" s="72">
        <f t="shared" si="66"/>
        <v>1824.27</v>
      </c>
      <c r="P280" s="72">
        <f t="shared" si="67"/>
        <v>1864.4039399999999</v>
      </c>
      <c r="Q280" s="72">
        <f t="shared" si="68"/>
        <v>1905.4208266799999</v>
      </c>
      <c r="R280" s="72">
        <f t="shared" si="69"/>
        <v>1947.3400848669598</v>
      </c>
      <c r="S280" s="72">
        <f t="shared" si="70"/>
        <v>1990.1815667340329</v>
      </c>
      <c r="T280" s="72">
        <f t="shared" si="71"/>
        <v>2033.9655612021818</v>
      </c>
      <c r="U280" s="72">
        <f t="shared" si="72"/>
        <v>2078.7128035486298</v>
      </c>
      <c r="V280" s="72">
        <f t="shared" si="73"/>
        <v>2124.4444852266997</v>
      </c>
      <c r="W280" s="72">
        <f t="shared" si="74"/>
        <v>2171.1822639016873</v>
      </c>
      <c r="X280" s="72">
        <f t="shared" si="75"/>
        <v>2218.9482737075245</v>
      </c>
      <c r="Y280" s="72">
        <f t="shared" si="76"/>
        <v>2267.7651357290902</v>
      </c>
      <c r="Z280" s="72">
        <f t="shared" si="77"/>
        <v>2317.6559687151303</v>
      </c>
      <c r="AA280" s="72">
        <f t="shared" si="78"/>
        <v>2368.644400026863</v>
      </c>
      <c r="AB280" s="72">
        <f t="shared" si="79"/>
        <v>2420.754576827454</v>
      </c>
      <c r="AC280" s="72">
        <f t="shared" si="80"/>
        <v>2474.0111775176579</v>
      </c>
      <c r="AD280" s="72">
        <f t="shared" si="81"/>
        <v>2528.4394234230463</v>
      </c>
      <c r="AE280" s="72">
        <f t="shared" si="82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1383</v>
      </c>
      <c r="E281" s="70" t="s">
        <v>1444</v>
      </c>
      <c r="F281" s="88">
        <v>2800</v>
      </c>
      <c r="G281" s="89">
        <v>2.1999999999999999E-2</v>
      </c>
      <c r="H281" s="80"/>
      <c r="I281" s="88">
        <v>1600</v>
      </c>
      <c r="J281" s="71"/>
      <c r="K281" s="72"/>
      <c r="L281" s="72">
        <f t="shared" si="64"/>
        <v>2680.7495375707044</v>
      </c>
      <c r="M281" s="72">
        <f t="shared" si="65"/>
        <v>2739.7260273972602</v>
      </c>
      <c r="N281" s="90">
        <f>IF(UPPER(Settings!$B$3)="EGY",F281,0)</f>
        <v>2800</v>
      </c>
      <c r="O281" s="72">
        <f t="shared" si="66"/>
        <v>2861.6</v>
      </c>
      <c r="P281" s="72">
        <f t="shared" si="67"/>
        <v>2924.5551999999998</v>
      </c>
      <c r="Q281" s="72">
        <f t="shared" si="68"/>
        <v>2988.8954143999999</v>
      </c>
      <c r="R281" s="72">
        <f t="shared" si="69"/>
        <v>3054.6511135167998</v>
      </c>
      <c r="S281" s="72">
        <f t="shared" si="70"/>
        <v>3121.8534380141696</v>
      </c>
      <c r="T281" s="72">
        <f t="shared" si="71"/>
        <v>3190.5342136504814</v>
      </c>
      <c r="U281" s="72">
        <f t="shared" si="72"/>
        <v>3260.7259663507921</v>
      </c>
      <c r="V281" s="72">
        <f t="shared" si="73"/>
        <v>3332.4619376105097</v>
      </c>
      <c r="W281" s="72">
        <f t="shared" si="74"/>
        <v>3405.7761002379411</v>
      </c>
      <c r="X281" s="72">
        <f t="shared" si="75"/>
        <v>3480.7031744431761</v>
      </c>
      <c r="Y281" s="72">
        <f t="shared" si="76"/>
        <v>3557.2786442809261</v>
      </c>
      <c r="Z281" s="72">
        <f t="shared" si="77"/>
        <v>3635.5387744551067</v>
      </c>
      <c r="AA281" s="72">
        <f t="shared" si="78"/>
        <v>3715.5206274931193</v>
      </c>
      <c r="AB281" s="72">
        <f t="shared" si="79"/>
        <v>3797.2620812979681</v>
      </c>
      <c r="AC281" s="72">
        <f t="shared" si="80"/>
        <v>3880.8018470865236</v>
      </c>
      <c r="AD281" s="72">
        <f t="shared" si="81"/>
        <v>3966.179487722427</v>
      </c>
      <c r="AE281" s="72">
        <f t="shared" si="82"/>
        <v>4053.4354364523206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1390</v>
      </c>
      <c r="E282" s="70" t="s">
        <v>1445</v>
      </c>
      <c r="F282" s="88">
        <v>600</v>
      </c>
      <c r="G282" s="89">
        <v>2.1999999999999999E-2</v>
      </c>
      <c r="H282" s="80"/>
      <c r="I282" s="88">
        <v>80</v>
      </c>
      <c r="J282" s="71"/>
      <c r="K282" s="72"/>
      <c r="L282" s="72">
        <f t="shared" si="64"/>
        <v>574.44632947943671</v>
      </c>
      <c r="M282" s="72">
        <f t="shared" si="65"/>
        <v>587.08414872798437</v>
      </c>
      <c r="N282" s="90">
        <f>IF(UPPER(Settings!$B$3)="EGY",F282,0)</f>
        <v>600</v>
      </c>
      <c r="O282" s="72">
        <f t="shared" si="66"/>
        <v>613.20000000000005</v>
      </c>
      <c r="P282" s="72">
        <f t="shared" si="67"/>
        <v>626.69040000000007</v>
      </c>
      <c r="Q282" s="72">
        <f t="shared" si="68"/>
        <v>640.47758880000004</v>
      </c>
      <c r="R282" s="72">
        <f t="shared" si="69"/>
        <v>654.56809575360001</v>
      </c>
      <c r="S282" s="72">
        <f t="shared" si="70"/>
        <v>668.96859386017923</v>
      </c>
      <c r="T282" s="72">
        <f t="shared" si="71"/>
        <v>683.68590292510316</v>
      </c>
      <c r="U282" s="72">
        <f t="shared" si="72"/>
        <v>698.72699278945549</v>
      </c>
      <c r="V282" s="72">
        <f t="shared" si="73"/>
        <v>714.09898663082356</v>
      </c>
      <c r="W282" s="72">
        <f t="shared" si="74"/>
        <v>729.80916433670166</v>
      </c>
      <c r="X282" s="72">
        <f t="shared" si="75"/>
        <v>745.86496595210906</v>
      </c>
      <c r="Y282" s="72">
        <f t="shared" si="76"/>
        <v>762.27399520305551</v>
      </c>
      <c r="Z282" s="72">
        <f t="shared" si="77"/>
        <v>779.04402309752277</v>
      </c>
      <c r="AA282" s="72">
        <f t="shared" si="78"/>
        <v>796.18299160566824</v>
      </c>
      <c r="AB282" s="72">
        <f t="shared" si="79"/>
        <v>813.69901742099296</v>
      </c>
      <c r="AC282" s="72">
        <f t="shared" si="80"/>
        <v>831.60039580425484</v>
      </c>
      <c r="AD282" s="72">
        <f t="shared" si="81"/>
        <v>849.89560451194848</v>
      </c>
      <c r="AE282" s="72">
        <f t="shared" si="82"/>
        <v>868.59330781121139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1397</v>
      </c>
      <c r="E283" s="70" t="s">
        <v>1446</v>
      </c>
      <c r="F283" s="88">
        <v>300</v>
      </c>
      <c r="G283" s="89">
        <v>5.5E-2</v>
      </c>
      <c r="H283" s="80"/>
      <c r="I283" s="88">
        <v>167</v>
      </c>
      <c r="J283" s="71"/>
      <c r="K283" s="72"/>
      <c r="L283" s="72">
        <f t="shared" si="64"/>
        <v>269.53572471417982</v>
      </c>
      <c r="M283" s="72">
        <f t="shared" si="65"/>
        <v>284.36018957345971</v>
      </c>
      <c r="N283" s="90">
        <f>IF(UPPER(Settings!$B$3)="EGY",F283,0)</f>
        <v>300</v>
      </c>
      <c r="O283" s="72">
        <f t="shared" si="66"/>
        <v>316.5</v>
      </c>
      <c r="P283" s="72">
        <f t="shared" si="67"/>
        <v>333.90749999999997</v>
      </c>
      <c r="Q283" s="72">
        <f t="shared" si="68"/>
        <v>352.27241249999997</v>
      </c>
      <c r="R283" s="72">
        <f t="shared" si="69"/>
        <v>371.64739518749997</v>
      </c>
      <c r="S283" s="72">
        <f t="shared" si="70"/>
        <v>392.08800192281245</v>
      </c>
      <c r="T283" s="72">
        <f t="shared" si="71"/>
        <v>413.65284202856714</v>
      </c>
      <c r="U283" s="72">
        <f t="shared" si="72"/>
        <v>436.40374834013829</v>
      </c>
      <c r="V283" s="72">
        <f t="shared" si="73"/>
        <v>460.40595449884586</v>
      </c>
      <c r="W283" s="72">
        <f t="shared" si="74"/>
        <v>485.72828199628236</v>
      </c>
      <c r="X283" s="72">
        <f t="shared" si="75"/>
        <v>512.44333750607791</v>
      </c>
      <c r="Y283" s="72">
        <f t="shared" si="76"/>
        <v>540.62772106891214</v>
      </c>
      <c r="Z283" s="72">
        <f t="shared" si="77"/>
        <v>570.36224572770232</v>
      </c>
      <c r="AA283" s="72">
        <f t="shared" si="78"/>
        <v>601.73216924272594</v>
      </c>
      <c r="AB283" s="72">
        <f t="shared" si="79"/>
        <v>634.82743855107583</v>
      </c>
      <c r="AC283" s="72">
        <f t="shared" si="80"/>
        <v>669.74294767138497</v>
      </c>
      <c r="AD283" s="72">
        <f t="shared" si="81"/>
        <v>706.57880979331105</v>
      </c>
      <c r="AE283" s="72">
        <f t="shared" si="82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/>
      <c r="D284" s="70"/>
      <c r="E284" s="70"/>
      <c r="F284" s="70"/>
      <c r="G284" s="70"/>
      <c r="H284" s="70"/>
      <c r="I284" s="70"/>
      <c r="J284" s="70"/>
      <c r="K284" s="72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0"/>
      <c r="E285" s="70"/>
      <c r="F285" s="70"/>
      <c r="G285" s="70"/>
      <c r="H285" s="70"/>
      <c r="I285" s="70"/>
      <c r="J285" s="70"/>
      <c r="K285" s="72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0"/>
      <c r="E286" s="70"/>
      <c r="F286" s="70"/>
      <c r="G286" s="70"/>
      <c r="H286" s="70"/>
      <c r="I286" s="70"/>
      <c r="J286" s="70"/>
      <c r="K286" s="72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</row>
    <row r="287" spans="1:35" x14ac:dyDescent="0.45">
      <c r="A287" s="70"/>
      <c r="B287" s="52"/>
      <c r="C287" s="73" t="s">
        <v>1447</v>
      </c>
      <c r="D287" s="73" t="s">
        <v>1323</v>
      </c>
      <c r="E287" s="70" t="s">
        <v>1448</v>
      </c>
      <c r="F287" s="70" t="s">
        <v>1323</v>
      </c>
      <c r="G287" s="70" t="s">
        <v>1449</v>
      </c>
      <c r="H287" s="70"/>
      <c r="I287" s="71"/>
      <c r="J287" s="71"/>
      <c r="K287" s="72"/>
      <c r="L287" s="74">
        <f t="shared" ref="L287:AE287" si="83">L274</f>
        <v>2022</v>
      </c>
      <c r="M287" s="74">
        <f t="shared" si="83"/>
        <v>2023</v>
      </c>
      <c r="N287" s="74">
        <f t="shared" si="83"/>
        <v>2024</v>
      </c>
      <c r="O287" s="74">
        <f t="shared" si="83"/>
        <v>2025</v>
      </c>
      <c r="P287" s="74">
        <f t="shared" si="83"/>
        <v>2026</v>
      </c>
      <c r="Q287" s="74">
        <f t="shared" si="83"/>
        <v>2027</v>
      </c>
      <c r="R287" s="74">
        <f t="shared" si="83"/>
        <v>2028</v>
      </c>
      <c r="S287" s="74">
        <f t="shared" si="83"/>
        <v>2029</v>
      </c>
      <c r="T287" s="74">
        <f t="shared" si="83"/>
        <v>2030</v>
      </c>
      <c r="U287" s="74">
        <f t="shared" si="83"/>
        <v>2031</v>
      </c>
      <c r="V287" s="74">
        <f t="shared" si="83"/>
        <v>2032</v>
      </c>
      <c r="W287" s="74">
        <f t="shared" si="83"/>
        <v>2033</v>
      </c>
      <c r="X287" s="74">
        <f t="shared" si="83"/>
        <v>2034</v>
      </c>
      <c r="Y287" s="74">
        <f t="shared" si="83"/>
        <v>2035</v>
      </c>
      <c r="Z287" s="74">
        <f t="shared" si="83"/>
        <v>2036</v>
      </c>
      <c r="AA287" s="74">
        <f t="shared" si="83"/>
        <v>2037</v>
      </c>
      <c r="AB287" s="74">
        <f t="shared" si="83"/>
        <v>2038</v>
      </c>
      <c r="AC287" s="74">
        <f t="shared" si="83"/>
        <v>2039</v>
      </c>
      <c r="AD287" s="74">
        <f t="shared" si="83"/>
        <v>2040</v>
      </c>
      <c r="AE287" s="74">
        <f t="shared" si="83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1450</v>
      </c>
      <c r="E288" s="87" t="s">
        <v>1451</v>
      </c>
      <c r="F288" s="70" t="s">
        <v>1452</v>
      </c>
      <c r="G288" s="85">
        <v>750</v>
      </c>
      <c r="H288" s="72"/>
      <c r="I288" s="70"/>
      <c r="J288" s="70"/>
      <c r="K288" s="72"/>
      <c r="L288" s="72">
        <f t="shared" ref="L288:L295" si="84">G288</f>
        <v>750</v>
      </c>
      <c r="M288" s="72">
        <f t="shared" ref="M288:M295" si="85">G288</f>
        <v>750</v>
      </c>
      <c r="N288" s="72">
        <f t="shared" ref="N288:N295" si="86">G288</f>
        <v>750</v>
      </c>
      <c r="O288" s="72">
        <f t="shared" ref="O288:O295" si="87">G288</f>
        <v>750</v>
      </c>
      <c r="P288" s="72">
        <f t="shared" ref="P288:P295" si="88">G288</f>
        <v>750</v>
      </c>
      <c r="Q288" s="72">
        <f t="shared" ref="Q288:Q295" si="89">G288</f>
        <v>750</v>
      </c>
      <c r="R288" s="72">
        <f t="shared" ref="R288:R295" si="90">G288</f>
        <v>750</v>
      </c>
      <c r="S288" s="72">
        <f t="shared" ref="S288:S295" si="91">G288</f>
        <v>750</v>
      </c>
      <c r="T288" s="72">
        <f t="shared" ref="T288:T295" si="92">G288</f>
        <v>750</v>
      </c>
      <c r="U288" s="72">
        <f t="shared" ref="U288:U295" si="93">G288</f>
        <v>750</v>
      </c>
      <c r="V288" s="72">
        <f t="shared" ref="V288:V295" si="94">G288</f>
        <v>750</v>
      </c>
      <c r="W288" s="72">
        <f t="shared" ref="W288:W295" si="95">G288</f>
        <v>750</v>
      </c>
      <c r="X288" s="72">
        <f t="shared" ref="X288:X295" si="96">G288</f>
        <v>750</v>
      </c>
      <c r="Y288" s="72">
        <f t="shared" ref="Y288:Y295" si="97">G288</f>
        <v>750</v>
      </c>
      <c r="Z288" s="72">
        <f t="shared" ref="Z288:Z295" si="98">G288</f>
        <v>750</v>
      </c>
      <c r="AA288" s="72">
        <f t="shared" ref="AA288:AA295" si="99">G288</f>
        <v>750</v>
      </c>
      <c r="AB288" s="72">
        <f t="shared" ref="AB288:AB295" si="100">G288</f>
        <v>750</v>
      </c>
      <c r="AC288" s="72">
        <f t="shared" ref="AC288:AC295" si="101">G288</f>
        <v>750</v>
      </c>
      <c r="AD288" s="72">
        <f t="shared" ref="AD288:AD295" si="102">G288</f>
        <v>750</v>
      </c>
      <c r="AE288" s="72">
        <f t="shared" ref="AE288:AE295" si="103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1453</v>
      </c>
      <c r="E289" s="87" t="s">
        <v>1454</v>
      </c>
      <c r="F289" s="70" t="s">
        <v>1455</v>
      </c>
      <c r="G289" s="85">
        <v>680</v>
      </c>
      <c r="H289" s="70"/>
      <c r="I289" s="70"/>
      <c r="J289" s="70"/>
      <c r="K289" s="72"/>
      <c r="L289" s="72">
        <f t="shared" si="84"/>
        <v>680</v>
      </c>
      <c r="M289" s="72">
        <f t="shared" si="85"/>
        <v>680</v>
      </c>
      <c r="N289" s="72">
        <f t="shared" si="86"/>
        <v>680</v>
      </c>
      <c r="O289" s="72">
        <f t="shared" si="87"/>
        <v>680</v>
      </c>
      <c r="P289" s="72">
        <f t="shared" si="88"/>
        <v>680</v>
      </c>
      <c r="Q289" s="72">
        <f t="shared" si="89"/>
        <v>680</v>
      </c>
      <c r="R289" s="72">
        <f t="shared" si="90"/>
        <v>680</v>
      </c>
      <c r="S289" s="72">
        <f t="shared" si="91"/>
        <v>680</v>
      </c>
      <c r="T289" s="72">
        <f t="shared" si="92"/>
        <v>680</v>
      </c>
      <c r="U289" s="72">
        <f t="shared" si="93"/>
        <v>680</v>
      </c>
      <c r="V289" s="72">
        <f t="shared" si="94"/>
        <v>680</v>
      </c>
      <c r="W289" s="72">
        <f t="shared" si="95"/>
        <v>680</v>
      </c>
      <c r="X289" s="72">
        <f t="shared" si="96"/>
        <v>680</v>
      </c>
      <c r="Y289" s="72">
        <f t="shared" si="97"/>
        <v>680</v>
      </c>
      <c r="Z289" s="72">
        <f t="shared" si="98"/>
        <v>680</v>
      </c>
      <c r="AA289" s="72">
        <f t="shared" si="99"/>
        <v>680</v>
      </c>
      <c r="AB289" s="72">
        <f t="shared" si="100"/>
        <v>680</v>
      </c>
      <c r="AC289" s="72">
        <f t="shared" si="101"/>
        <v>680</v>
      </c>
      <c r="AD289" s="72">
        <f t="shared" si="102"/>
        <v>680</v>
      </c>
      <c r="AE289" s="72">
        <f t="shared" si="103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1456</v>
      </c>
      <c r="E290" s="87" t="s">
        <v>1457</v>
      </c>
      <c r="F290" s="70" t="s">
        <v>1458</v>
      </c>
      <c r="G290" s="85">
        <v>620</v>
      </c>
      <c r="H290" s="70"/>
      <c r="I290" s="70"/>
      <c r="J290" s="70"/>
      <c r="K290" s="72"/>
      <c r="L290" s="72">
        <f t="shared" si="84"/>
        <v>620</v>
      </c>
      <c r="M290" s="72">
        <f t="shared" si="85"/>
        <v>620</v>
      </c>
      <c r="N290" s="72">
        <f t="shared" si="86"/>
        <v>620</v>
      </c>
      <c r="O290" s="72">
        <f t="shared" si="87"/>
        <v>620</v>
      </c>
      <c r="P290" s="72">
        <f t="shared" si="88"/>
        <v>620</v>
      </c>
      <c r="Q290" s="72">
        <f t="shared" si="89"/>
        <v>620</v>
      </c>
      <c r="R290" s="72">
        <f t="shared" si="90"/>
        <v>620</v>
      </c>
      <c r="S290" s="72">
        <f t="shared" si="91"/>
        <v>620</v>
      </c>
      <c r="T290" s="72">
        <f t="shared" si="92"/>
        <v>620</v>
      </c>
      <c r="U290" s="72">
        <f t="shared" si="93"/>
        <v>620</v>
      </c>
      <c r="V290" s="72">
        <f t="shared" si="94"/>
        <v>620</v>
      </c>
      <c r="W290" s="72">
        <f t="shared" si="95"/>
        <v>620</v>
      </c>
      <c r="X290" s="72">
        <f t="shared" si="96"/>
        <v>620</v>
      </c>
      <c r="Y290" s="72">
        <f t="shared" si="97"/>
        <v>620</v>
      </c>
      <c r="Z290" s="72">
        <f t="shared" si="98"/>
        <v>620</v>
      </c>
      <c r="AA290" s="72">
        <f t="shared" si="99"/>
        <v>620</v>
      </c>
      <c r="AB290" s="72">
        <f t="shared" si="100"/>
        <v>620</v>
      </c>
      <c r="AC290" s="72">
        <f t="shared" si="101"/>
        <v>620</v>
      </c>
      <c r="AD290" s="72">
        <f t="shared" si="102"/>
        <v>620</v>
      </c>
      <c r="AE290" s="72">
        <f t="shared" si="103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1459</v>
      </c>
      <c r="E291" s="87" t="s">
        <v>1460</v>
      </c>
      <c r="F291" s="70" t="s">
        <v>1461</v>
      </c>
      <c r="G291" s="85">
        <v>110</v>
      </c>
      <c r="H291" s="70"/>
      <c r="I291" s="70"/>
      <c r="J291" s="70"/>
      <c r="K291" s="72"/>
      <c r="L291" s="72">
        <f t="shared" si="84"/>
        <v>110</v>
      </c>
      <c r="M291" s="72">
        <f t="shared" si="85"/>
        <v>110</v>
      </c>
      <c r="N291" s="72">
        <f t="shared" si="86"/>
        <v>110</v>
      </c>
      <c r="O291" s="72">
        <f t="shared" si="87"/>
        <v>110</v>
      </c>
      <c r="P291" s="72">
        <f t="shared" si="88"/>
        <v>110</v>
      </c>
      <c r="Q291" s="72">
        <f t="shared" si="89"/>
        <v>110</v>
      </c>
      <c r="R291" s="72">
        <f t="shared" si="90"/>
        <v>110</v>
      </c>
      <c r="S291" s="72">
        <f t="shared" si="91"/>
        <v>110</v>
      </c>
      <c r="T291" s="72">
        <f t="shared" si="92"/>
        <v>110</v>
      </c>
      <c r="U291" s="72">
        <f t="shared" si="93"/>
        <v>110</v>
      </c>
      <c r="V291" s="72">
        <f t="shared" si="94"/>
        <v>110</v>
      </c>
      <c r="W291" s="72">
        <f t="shared" si="95"/>
        <v>110</v>
      </c>
      <c r="X291" s="72">
        <f t="shared" si="96"/>
        <v>110</v>
      </c>
      <c r="Y291" s="72">
        <f t="shared" si="97"/>
        <v>110</v>
      </c>
      <c r="Z291" s="72">
        <f t="shared" si="98"/>
        <v>110</v>
      </c>
      <c r="AA291" s="72">
        <f t="shared" si="99"/>
        <v>110</v>
      </c>
      <c r="AB291" s="72">
        <f t="shared" si="100"/>
        <v>110</v>
      </c>
      <c r="AC291" s="72">
        <f t="shared" si="101"/>
        <v>110</v>
      </c>
      <c r="AD291" s="72">
        <f t="shared" si="102"/>
        <v>110</v>
      </c>
      <c r="AE291" s="72">
        <f t="shared" si="103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1462</v>
      </c>
      <c r="E292" s="87" t="s">
        <v>1463</v>
      </c>
      <c r="F292" s="70" t="s">
        <v>1464</v>
      </c>
      <c r="G292" s="85">
        <v>450</v>
      </c>
      <c r="H292" s="70"/>
      <c r="I292" s="70"/>
      <c r="J292" s="70"/>
      <c r="K292" s="72"/>
      <c r="L292" s="72">
        <f t="shared" si="84"/>
        <v>450</v>
      </c>
      <c r="M292" s="72">
        <f t="shared" si="85"/>
        <v>450</v>
      </c>
      <c r="N292" s="72">
        <f t="shared" si="86"/>
        <v>450</v>
      </c>
      <c r="O292" s="72">
        <f t="shared" si="87"/>
        <v>450</v>
      </c>
      <c r="P292" s="72">
        <f t="shared" si="88"/>
        <v>450</v>
      </c>
      <c r="Q292" s="72">
        <f t="shared" si="89"/>
        <v>450</v>
      </c>
      <c r="R292" s="72">
        <f t="shared" si="90"/>
        <v>450</v>
      </c>
      <c r="S292" s="72">
        <f t="shared" si="91"/>
        <v>450</v>
      </c>
      <c r="T292" s="72">
        <f t="shared" si="92"/>
        <v>450</v>
      </c>
      <c r="U292" s="72">
        <f t="shared" si="93"/>
        <v>450</v>
      </c>
      <c r="V292" s="72">
        <f t="shared" si="94"/>
        <v>450</v>
      </c>
      <c r="W292" s="72">
        <f t="shared" si="95"/>
        <v>450</v>
      </c>
      <c r="X292" s="72">
        <f t="shared" si="96"/>
        <v>450</v>
      </c>
      <c r="Y292" s="72">
        <f t="shared" si="97"/>
        <v>450</v>
      </c>
      <c r="Z292" s="72">
        <f t="shared" si="98"/>
        <v>450</v>
      </c>
      <c r="AA292" s="72">
        <f t="shared" si="99"/>
        <v>450</v>
      </c>
      <c r="AB292" s="72">
        <f t="shared" si="100"/>
        <v>450</v>
      </c>
      <c r="AC292" s="72">
        <f t="shared" si="101"/>
        <v>450</v>
      </c>
      <c r="AD292" s="72">
        <f t="shared" si="102"/>
        <v>450</v>
      </c>
      <c r="AE292" s="72">
        <f t="shared" si="103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1465</v>
      </c>
      <c r="E293" s="87" t="s">
        <v>1466</v>
      </c>
      <c r="F293" s="70" t="s">
        <v>1467</v>
      </c>
      <c r="G293" s="85">
        <v>380</v>
      </c>
      <c r="H293" s="70"/>
      <c r="I293" s="70"/>
      <c r="J293" s="70"/>
      <c r="K293" s="72"/>
      <c r="L293" s="72">
        <f t="shared" si="84"/>
        <v>380</v>
      </c>
      <c r="M293" s="72">
        <f t="shared" si="85"/>
        <v>380</v>
      </c>
      <c r="N293" s="72">
        <f t="shared" si="86"/>
        <v>380</v>
      </c>
      <c r="O293" s="72">
        <f t="shared" si="87"/>
        <v>380</v>
      </c>
      <c r="P293" s="72">
        <f t="shared" si="88"/>
        <v>380</v>
      </c>
      <c r="Q293" s="72">
        <f t="shared" si="89"/>
        <v>380</v>
      </c>
      <c r="R293" s="72">
        <f t="shared" si="90"/>
        <v>380</v>
      </c>
      <c r="S293" s="72">
        <f t="shared" si="91"/>
        <v>380</v>
      </c>
      <c r="T293" s="72">
        <f t="shared" si="92"/>
        <v>380</v>
      </c>
      <c r="U293" s="72">
        <f t="shared" si="93"/>
        <v>380</v>
      </c>
      <c r="V293" s="72">
        <f t="shared" si="94"/>
        <v>380</v>
      </c>
      <c r="W293" s="72">
        <f t="shared" si="95"/>
        <v>380</v>
      </c>
      <c r="X293" s="72">
        <f t="shared" si="96"/>
        <v>380</v>
      </c>
      <c r="Y293" s="72">
        <f t="shared" si="97"/>
        <v>380</v>
      </c>
      <c r="Z293" s="72">
        <f t="shared" si="98"/>
        <v>380</v>
      </c>
      <c r="AA293" s="72">
        <f t="shared" si="99"/>
        <v>380</v>
      </c>
      <c r="AB293" s="72">
        <f t="shared" si="100"/>
        <v>380</v>
      </c>
      <c r="AC293" s="72">
        <f t="shared" si="101"/>
        <v>380</v>
      </c>
      <c r="AD293" s="72">
        <f t="shared" si="102"/>
        <v>380</v>
      </c>
      <c r="AE293" s="72">
        <f t="shared" si="103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1468</v>
      </c>
      <c r="E294" s="87" t="s">
        <v>1469</v>
      </c>
      <c r="F294" s="70" t="s">
        <v>1470</v>
      </c>
      <c r="G294" s="85">
        <v>320</v>
      </c>
      <c r="H294" s="70"/>
      <c r="I294" s="70"/>
      <c r="J294" s="70"/>
      <c r="K294" s="72"/>
      <c r="L294" s="72">
        <f t="shared" si="84"/>
        <v>320</v>
      </c>
      <c r="M294" s="72">
        <f t="shared" si="85"/>
        <v>320</v>
      </c>
      <c r="N294" s="72">
        <f t="shared" si="86"/>
        <v>320</v>
      </c>
      <c r="O294" s="72">
        <f t="shared" si="87"/>
        <v>320</v>
      </c>
      <c r="P294" s="72">
        <f t="shared" si="88"/>
        <v>320</v>
      </c>
      <c r="Q294" s="72">
        <f t="shared" si="89"/>
        <v>320</v>
      </c>
      <c r="R294" s="72">
        <f t="shared" si="90"/>
        <v>320</v>
      </c>
      <c r="S294" s="72">
        <f t="shared" si="91"/>
        <v>320</v>
      </c>
      <c r="T294" s="72">
        <f t="shared" si="92"/>
        <v>320</v>
      </c>
      <c r="U294" s="72">
        <f t="shared" si="93"/>
        <v>320</v>
      </c>
      <c r="V294" s="72">
        <f t="shared" si="94"/>
        <v>320</v>
      </c>
      <c r="W294" s="72">
        <f t="shared" si="95"/>
        <v>320</v>
      </c>
      <c r="X294" s="72">
        <f t="shared" si="96"/>
        <v>320</v>
      </c>
      <c r="Y294" s="72">
        <f t="shared" si="97"/>
        <v>320</v>
      </c>
      <c r="Z294" s="72">
        <f t="shared" si="98"/>
        <v>320</v>
      </c>
      <c r="AA294" s="72">
        <f t="shared" si="99"/>
        <v>320</v>
      </c>
      <c r="AB294" s="72">
        <f t="shared" si="100"/>
        <v>320</v>
      </c>
      <c r="AC294" s="72">
        <f t="shared" si="101"/>
        <v>320</v>
      </c>
      <c r="AD294" s="72">
        <f t="shared" si="102"/>
        <v>320</v>
      </c>
      <c r="AE294" s="72">
        <f t="shared" si="103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1471</v>
      </c>
      <c r="E295" s="87" t="s">
        <v>1472</v>
      </c>
      <c r="F295" s="70" t="s">
        <v>1473</v>
      </c>
      <c r="G295" s="85">
        <v>2400</v>
      </c>
      <c r="H295" s="70"/>
      <c r="I295" s="70"/>
      <c r="J295" s="70"/>
      <c r="K295" s="72"/>
      <c r="L295" s="72">
        <f t="shared" si="84"/>
        <v>2400</v>
      </c>
      <c r="M295" s="72">
        <f t="shared" si="85"/>
        <v>2400</v>
      </c>
      <c r="N295" s="72">
        <f t="shared" si="86"/>
        <v>2400</v>
      </c>
      <c r="O295" s="72">
        <f t="shared" si="87"/>
        <v>2400</v>
      </c>
      <c r="P295" s="72">
        <f t="shared" si="88"/>
        <v>2400</v>
      </c>
      <c r="Q295" s="72">
        <f t="shared" si="89"/>
        <v>2400</v>
      </c>
      <c r="R295" s="72">
        <f t="shared" si="90"/>
        <v>2400</v>
      </c>
      <c r="S295" s="72">
        <f t="shared" si="91"/>
        <v>2400</v>
      </c>
      <c r="T295" s="72">
        <f t="shared" si="92"/>
        <v>2400</v>
      </c>
      <c r="U295" s="72">
        <f t="shared" si="93"/>
        <v>2400</v>
      </c>
      <c r="V295" s="72">
        <f t="shared" si="94"/>
        <v>2400</v>
      </c>
      <c r="W295" s="72">
        <f t="shared" si="95"/>
        <v>2400</v>
      </c>
      <c r="X295" s="72">
        <f t="shared" si="96"/>
        <v>2400</v>
      </c>
      <c r="Y295" s="72">
        <f t="shared" si="97"/>
        <v>2400</v>
      </c>
      <c r="Z295" s="72">
        <f t="shared" si="98"/>
        <v>2400</v>
      </c>
      <c r="AA295" s="72">
        <f t="shared" si="99"/>
        <v>2400</v>
      </c>
      <c r="AB295" s="72">
        <f t="shared" si="100"/>
        <v>2400</v>
      </c>
      <c r="AC295" s="72">
        <f t="shared" si="101"/>
        <v>2400</v>
      </c>
      <c r="AD295" s="72">
        <f t="shared" si="102"/>
        <v>2400</v>
      </c>
      <c r="AE295" s="72">
        <f t="shared" si="103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/>
      <c r="D296" s="52"/>
      <c r="E296" s="70"/>
      <c r="F296" s="70"/>
      <c r="G296" s="70"/>
      <c r="H296" s="70"/>
      <c r="I296" s="70"/>
      <c r="J296" s="70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52"/>
      <c r="E297" s="70"/>
      <c r="F297" s="70"/>
      <c r="G297" s="70"/>
      <c r="H297" s="70"/>
      <c r="I297" s="70"/>
      <c r="J297" s="70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0"/>
      <c r="AG297" s="70"/>
      <c r="AH297" s="70"/>
      <c r="AI297" s="70"/>
    </row>
    <row r="298" spans="1:35" x14ac:dyDescent="0.45">
      <c r="A298" s="70"/>
      <c r="B298" s="52"/>
      <c r="C298" s="73" t="s">
        <v>1474</v>
      </c>
      <c r="D298" s="73"/>
      <c r="E298" s="72" t="str">
        <f t="shared" ref="E298:E306" si="104">F329</f>
        <v>EF Fuel CO2</v>
      </c>
      <c r="F298" s="70" t="s">
        <v>1475</v>
      </c>
      <c r="G298" s="70" t="s">
        <v>1476</v>
      </c>
      <c r="H298" s="71"/>
      <c r="I298" s="71"/>
      <c r="J298" s="71"/>
      <c r="K298" s="72"/>
      <c r="L298" s="74">
        <f t="shared" ref="L298:AE298" si="105">L246</f>
        <v>2022</v>
      </c>
      <c r="M298" s="74">
        <f t="shared" si="105"/>
        <v>2023</v>
      </c>
      <c r="N298" s="74">
        <f t="shared" si="105"/>
        <v>2024</v>
      </c>
      <c r="O298" s="74">
        <f t="shared" si="105"/>
        <v>2025</v>
      </c>
      <c r="P298" s="74">
        <f t="shared" si="105"/>
        <v>2026</v>
      </c>
      <c r="Q298" s="74">
        <f t="shared" si="105"/>
        <v>2027</v>
      </c>
      <c r="R298" s="74">
        <f t="shared" si="105"/>
        <v>2028</v>
      </c>
      <c r="S298" s="74">
        <f t="shared" si="105"/>
        <v>2029</v>
      </c>
      <c r="T298" s="74">
        <f t="shared" si="105"/>
        <v>2030</v>
      </c>
      <c r="U298" s="74">
        <f t="shared" si="105"/>
        <v>2031</v>
      </c>
      <c r="V298" s="74">
        <f t="shared" si="105"/>
        <v>2032</v>
      </c>
      <c r="W298" s="74">
        <f t="shared" si="105"/>
        <v>2033</v>
      </c>
      <c r="X298" s="74">
        <f t="shared" si="105"/>
        <v>2034</v>
      </c>
      <c r="Y298" s="74">
        <f t="shared" si="105"/>
        <v>2035</v>
      </c>
      <c r="Z298" s="74">
        <f t="shared" si="105"/>
        <v>2036</v>
      </c>
      <c r="AA298" s="74">
        <f t="shared" si="105"/>
        <v>2037</v>
      </c>
      <c r="AB298" s="74">
        <f t="shared" si="105"/>
        <v>2038</v>
      </c>
      <c r="AC298" s="74">
        <f t="shared" si="105"/>
        <v>2039</v>
      </c>
      <c r="AD298" s="74">
        <f t="shared" si="105"/>
        <v>2040</v>
      </c>
      <c r="AE298" s="74">
        <f t="shared" si="105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1450</v>
      </c>
      <c r="E299" s="72">
        <f t="shared" si="104"/>
        <v>0.69003000000000003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1453</v>
      </c>
      <c r="E300" s="72">
        <f t="shared" si="104"/>
        <v>0.14025000000000001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1456</v>
      </c>
      <c r="E301" s="72">
        <f t="shared" si="104"/>
        <v>1.9220000000000002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1459</v>
      </c>
      <c r="E302" s="72">
        <f t="shared" si="104"/>
        <v>0.2883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1462</v>
      </c>
      <c r="E303" s="72">
        <f t="shared" si="104"/>
        <v>1.8512999999999999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1465</v>
      </c>
      <c r="E304" s="72">
        <f t="shared" si="104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1468</v>
      </c>
      <c r="E305" s="72">
        <f t="shared" si="104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1471</v>
      </c>
      <c r="E306" s="72">
        <f t="shared" si="104"/>
        <v>0.156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0"/>
      <c r="E307" s="70"/>
      <c r="F307" s="70"/>
      <c r="G307" s="70"/>
      <c r="H307" s="70"/>
      <c r="I307" s="70"/>
      <c r="J307" s="70"/>
      <c r="K307" s="72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</row>
    <row r="308" spans="1:35" x14ac:dyDescent="0.45">
      <c r="A308" s="70"/>
      <c r="B308" s="52"/>
      <c r="C308" s="52"/>
      <c r="D308" s="70"/>
      <c r="E308" s="70"/>
      <c r="F308" s="70"/>
      <c r="G308" s="70"/>
      <c r="H308" s="70"/>
      <c r="I308" s="70"/>
      <c r="J308" s="70"/>
      <c r="K308" s="72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</row>
    <row r="309" spans="1:35" x14ac:dyDescent="0.45">
      <c r="A309" s="70"/>
      <c r="B309" s="52"/>
      <c r="C309" s="73" t="s">
        <v>1477</v>
      </c>
      <c r="D309" s="73"/>
      <c r="E309" s="72" t="str">
        <f t="shared" ref="E309:E317" si="106">G329</f>
        <v>EF, Process non-ff co2 + all non-co2</v>
      </c>
      <c r="F309" s="70" t="s">
        <v>1478</v>
      </c>
      <c r="G309" s="70" t="s">
        <v>1479</v>
      </c>
      <c r="H309" s="71"/>
      <c r="I309" s="71"/>
      <c r="J309" s="71"/>
      <c r="K309" s="72"/>
      <c r="L309" s="74">
        <f t="shared" ref="L309:AE309" si="107">L298</f>
        <v>2022</v>
      </c>
      <c r="M309" s="74">
        <f t="shared" si="107"/>
        <v>2023</v>
      </c>
      <c r="N309" s="74">
        <f t="shared" si="107"/>
        <v>2024</v>
      </c>
      <c r="O309" s="74">
        <f t="shared" si="107"/>
        <v>2025</v>
      </c>
      <c r="P309" s="74">
        <f t="shared" si="107"/>
        <v>2026</v>
      </c>
      <c r="Q309" s="74">
        <f t="shared" si="107"/>
        <v>2027</v>
      </c>
      <c r="R309" s="74">
        <f t="shared" si="107"/>
        <v>2028</v>
      </c>
      <c r="S309" s="74">
        <f t="shared" si="107"/>
        <v>2029</v>
      </c>
      <c r="T309" s="74">
        <f t="shared" si="107"/>
        <v>2030</v>
      </c>
      <c r="U309" s="74">
        <f t="shared" si="107"/>
        <v>2031</v>
      </c>
      <c r="V309" s="74">
        <f t="shared" si="107"/>
        <v>2032</v>
      </c>
      <c r="W309" s="74">
        <f t="shared" si="107"/>
        <v>2033</v>
      </c>
      <c r="X309" s="74">
        <f t="shared" si="107"/>
        <v>2034</v>
      </c>
      <c r="Y309" s="74">
        <f t="shared" si="107"/>
        <v>2035</v>
      </c>
      <c r="Z309" s="74">
        <f t="shared" si="107"/>
        <v>2036</v>
      </c>
      <c r="AA309" s="74">
        <f t="shared" si="107"/>
        <v>2037</v>
      </c>
      <c r="AB309" s="74">
        <f t="shared" si="107"/>
        <v>2038</v>
      </c>
      <c r="AC309" s="74">
        <f t="shared" si="107"/>
        <v>2039</v>
      </c>
      <c r="AD309" s="74">
        <f t="shared" si="107"/>
        <v>2040</v>
      </c>
      <c r="AE309" s="74">
        <f t="shared" si="107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1450</v>
      </c>
      <c r="E310" s="72">
        <f t="shared" si="106"/>
        <v>0.04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>(F310*L247+G310*L248)*E310</f>
        <v>0</v>
      </c>
      <c r="M310" s="81">
        <f>(F310*M247+G310*M248)*E310</f>
        <v>0</v>
      </c>
      <c r="N310" s="81">
        <f>(F310*N247+G310*N248)*E310</f>
        <v>0</v>
      </c>
      <c r="O310" s="81">
        <f>(F310*O247+G310*O248)*E310</f>
        <v>0</v>
      </c>
      <c r="P310" s="81">
        <f>(F310*P247+G310*P248)*E310</f>
        <v>0</v>
      </c>
      <c r="Q310" s="81">
        <f>(F310*Q247+G310*Q248)*E310</f>
        <v>0</v>
      </c>
      <c r="R310" s="81">
        <f>(F310*R247+G310*R248)*E310</f>
        <v>0</v>
      </c>
      <c r="S310" s="81">
        <f>(F310*S247+G310*S248)*E310</f>
        <v>0</v>
      </c>
      <c r="T310" s="81">
        <f>(F310*T247+G310*T248)*E310</f>
        <v>0</v>
      </c>
      <c r="U310" s="81">
        <f>(F310*U247+G310*U248)*E310</f>
        <v>0</v>
      </c>
      <c r="V310" s="81">
        <f>(F310*V247+G310*V248)*E310</f>
        <v>0</v>
      </c>
      <c r="W310" s="81">
        <f>(F310*W247+G310*W248)*E310</f>
        <v>0</v>
      </c>
      <c r="X310" s="81">
        <f>(F310*X247+G310*X248)*E310</f>
        <v>0</v>
      </c>
      <c r="Y310" s="81">
        <f>(F310*Y247+G310*Y248)*E310</f>
        <v>0</v>
      </c>
      <c r="Z310" s="81">
        <f>(F310*Z247+G310*Z248)*E310</f>
        <v>0</v>
      </c>
      <c r="AA310" s="81">
        <f>(F310*AA247+G310*AA248)*E310</f>
        <v>0</v>
      </c>
      <c r="AB310" s="81">
        <f>(F310*AB247+G310*AB248)*E310</f>
        <v>0</v>
      </c>
      <c r="AC310" s="81">
        <f>(F310*AC247+G310*AC248)*E310</f>
        <v>0</v>
      </c>
      <c r="AD310" s="81">
        <f>(F310*AD247+G310*AD248)*E310</f>
        <v>0</v>
      </c>
      <c r="AE310" s="81">
        <f>(F310*AE247+G310*AE248)*E310</f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1453</v>
      </c>
      <c r="E311" s="72">
        <f t="shared" si="106"/>
        <v>1.4999999999999999E-2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>(F311*L247+G311*L248)*E311</f>
        <v>0</v>
      </c>
      <c r="M311" s="81">
        <f>(F311*M247+G311*M248)*E311</f>
        <v>0</v>
      </c>
      <c r="N311" s="81">
        <f>(F311*N247+G311*N248)*E311</f>
        <v>0</v>
      </c>
      <c r="O311" s="81">
        <f>(F311*O247+G311*O248)*E311</f>
        <v>0</v>
      </c>
      <c r="P311" s="81">
        <f>(F311*P247+G311*P248)*E311</f>
        <v>0</v>
      </c>
      <c r="Q311" s="81">
        <f>(F311*Q247+G311*Q248)*E311</f>
        <v>0</v>
      </c>
      <c r="R311" s="81">
        <f>(F311*R247+G311*R248)*E311</f>
        <v>0</v>
      </c>
      <c r="S311" s="81">
        <f>(F311*S247+G311*S248)*E311</f>
        <v>0</v>
      </c>
      <c r="T311" s="81">
        <f>(F311*T247+G311*T248)*E311</f>
        <v>0</v>
      </c>
      <c r="U311" s="81">
        <f>(F311*U247+G311*U248)*E311</f>
        <v>0</v>
      </c>
      <c r="V311" s="81">
        <f>(F311*V247+G311*V248)*E311</f>
        <v>0</v>
      </c>
      <c r="W311" s="81">
        <f>(F311*W247+G311*W248)*E311</f>
        <v>0</v>
      </c>
      <c r="X311" s="81">
        <f>(F311*X247+G311*X248)*E311</f>
        <v>0</v>
      </c>
      <c r="Y311" s="81">
        <f>(F311*Y247+G311*Y248)*E311</f>
        <v>0</v>
      </c>
      <c r="Z311" s="81">
        <f>(F311*Z247+G311*Z248)*E311</f>
        <v>0</v>
      </c>
      <c r="AA311" s="81">
        <f>(F311*AA247+G311*AA248)*E311</f>
        <v>0</v>
      </c>
      <c r="AB311" s="81">
        <f>(F311*AB247+G311*AB248)*E311</f>
        <v>0</v>
      </c>
      <c r="AC311" s="81">
        <f>(F311*AC247+G311*AC248)*E311</f>
        <v>0</v>
      </c>
      <c r="AD311" s="81">
        <f>(F311*AD247+G311*AD248)*E311</f>
        <v>0</v>
      </c>
      <c r="AE311" s="81">
        <f>(F311*AE247+G311*AE248)*E311</f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1456</v>
      </c>
      <c r="E312" s="72">
        <f t="shared" si="106"/>
        <v>0.25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>(F312*L247+G312*L248)*E312</f>
        <v>0</v>
      </c>
      <c r="M312" s="81">
        <f>(F312*M247+G312*M248)*E312</f>
        <v>0</v>
      </c>
      <c r="N312" s="81">
        <f>(F312*N247+G312*N248)*E312</f>
        <v>0</v>
      </c>
      <c r="O312" s="81">
        <f>(F312*O247+G312*O248)*E312</f>
        <v>0</v>
      </c>
      <c r="P312" s="81">
        <f>(F312*P247+G312*P248)*E312</f>
        <v>0</v>
      </c>
      <c r="Q312" s="81">
        <f>(F312*Q247+G312*Q248)*E312</f>
        <v>0</v>
      </c>
      <c r="R312" s="81">
        <f>(F312*R247+G312*R248)*E312</f>
        <v>0</v>
      </c>
      <c r="S312" s="81">
        <f>(F312*S247+G312*S248)*E312</f>
        <v>0</v>
      </c>
      <c r="T312" s="81">
        <f>(F312*T247+G312*T248)*E312</f>
        <v>0</v>
      </c>
      <c r="U312" s="81">
        <f>(F312*U247+G312*U248)*E312</f>
        <v>0</v>
      </c>
      <c r="V312" s="81">
        <f>(F312*V247+G312*V248)*E312</f>
        <v>0</v>
      </c>
      <c r="W312" s="81">
        <f>(F312*W247+G312*W248)*E312</f>
        <v>0</v>
      </c>
      <c r="X312" s="81">
        <f>(F312*X247+G312*X248)*E312</f>
        <v>0</v>
      </c>
      <c r="Y312" s="81">
        <f>(F312*Y247+G312*Y248)*E312</f>
        <v>0</v>
      </c>
      <c r="Z312" s="81">
        <f>(F312*Z247+G312*Z248)*E312</f>
        <v>0</v>
      </c>
      <c r="AA312" s="81">
        <f>(F312*AA247+G312*AA248)*E312</f>
        <v>0</v>
      </c>
      <c r="AB312" s="81">
        <f>(F312*AB247+G312*AB248)*E312</f>
        <v>0</v>
      </c>
      <c r="AC312" s="81">
        <f>(F312*AC247+G312*AC248)*E312</f>
        <v>0</v>
      </c>
      <c r="AD312" s="81">
        <f>(F312*AD247+G312*AD248)*E312</f>
        <v>0</v>
      </c>
      <c r="AE312" s="81">
        <f>(F312*AE247+G312*AE248)*E312</f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1459</v>
      </c>
      <c r="E313" s="72">
        <f t="shared" si="106"/>
        <v>0.52600000000000002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>(F313*L247+G313*L248)*E313</f>
        <v>0</v>
      </c>
      <c r="M313" s="81">
        <f>(F313*M247+G313*M248)*E313</f>
        <v>0</v>
      </c>
      <c r="N313" s="81">
        <f>(F313*N247+G313*N248)*E313</f>
        <v>0</v>
      </c>
      <c r="O313" s="81">
        <f>(F313*O247+G313*O248)*E313</f>
        <v>0</v>
      </c>
      <c r="P313" s="81">
        <f>(F313*P247+G313*P248)*E313</f>
        <v>0</v>
      </c>
      <c r="Q313" s="81">
        <f>(F313*Q247+G313*Q248)*E313</f>
        <v>0</v>
      </c>
      <c r="R313" s="81">
        <f>(F313*R247+G313*R248)*E313</f>
        <v>0</v>
      </c>
      <c r="S313" s="81">
        <f>(F313*S247+G313*S248)*E313</f>
        <v>0</v>
      </c>
      <c r="T313" s="81">
        <f>(F313*T247+G313*T248)*E313</f>
        <v>0</v>
      </c>
      <c r="U313" s="81">
        <f>(F313*U247+G313*U248)*E313</f>
        <v>0</v>
      </c>
      <c r="V313" s="81">
        <f>(F313*V247+G313*V248)*E313</f>
        <v>0</v>
      </c>
      <c r="W313" s="81">
        <f>(F313*W247+G313*W248)*E313</f>
        <v>0</v>
      </c>
      <c r="X313" s="81">
        <f>(F313*X247+G313*X248)*E313</f>
        <v>0</v>
      </c>
      <c r="Y313" s="81">
        <f>(F313*Y247+G313*Y248)*E313</f>
        <v>0</v>
      </c>
      <c r="Z313" s="81">
        <f>(F313*Z247+G313*Z248)*E313</f>
        <v>0</v>
      </c>
      <c r="AA313" s="81">
        <f>(F313*AA247+G313*AA248)*E313</f>
        <v>0</v>
      </c>
      <c r="AB313" s="81">
        <f>(F313*AB247+G313*AB248)*E313</f>
        <v>0</v>
      </c>
      <c r="AC313" s="81">
        <f>(F313*AC247+G313*AC248)*E313</f>
        <v>0</v>
      </c>
      <c r="AD313" s="81">
        <f>(F313*AD247+G313*AD248)*E313</f>
        <v>0</v>
      </c>
      <c r="AE313" s="81">
        <f>(F313*AE247+G313*AE248)*E313</f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1462</v>
      </c>
      <c r="E314" s="72">
        <f t="shared" si="106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>(F314*L247+G314*L248)*E314</f>
        <v>0</v>
      </c>
      <c r="M314" s="81">
        <f>(F314*M247+G314*M248)*E314</f>
        <v>0</v>
      </c>
      <c r="N314" s="81">
        <f>(F314*N247+G314*N248)*E314</f>
        <v>0</v>
      </c>
      <c r="O314" s="81">
        <f>(F314*O247+G314*O248)*E314</f>
        <v>0</v>
      </c>
      <c r="P314" s="81">
        <f>(F314*P247+G314*P248)*E314</f>
        <v>0</v>
      </c>
      <c r="Q314" s="81">
        <f>(F314*Q247+G314*Q248)*E314</f>
        <v>0</v>
      </c>
      <c r="R314" s="81">
        <f>(F314*R247+G314*R248)*E314</f>
        <v>0</v>
      </c>
      <c r="S314" s="81">
        <f>(F314*S247+G314*S248)*E314</f>
        <v>0</v>
      </c>
      <c r="T314" s="81">
        <f>(F314*T247+G314*T248)*E314</f>
        <v>0</v>
      </c>
      <c r="U314" s="81">
        <f>(F314*U247+G314*U248)*E314</f>
        <v>0</v>
      </c>
      <c r="V314" s="81">
        <f>(F314*V247+G314*V248)*E314</f>
        <v>0</v>
      </c>
      <c r="W314" s="81">
        <f>(F314*W247+G314*W248)*E314</f>
        <v>0</v>
      </c>
      <c r="X314" s="81">
        <f>(F314*X247+G314*X248)*E314</f>
        <v>0</v>
      </c>
      <c r="Y314" s="81">
        <f>(F314*Y247+G314*Y248)*E314</f>
        <v>0</v>
      </c>
      <c r="Z314" s="81">
        <f>(F314*Z247+G314*Z248)*E314</f>
        <v>0</v>
      </c>
      <c r="AA314" s="81">
        <f>(F314*AA247+G314*AA248)*E314</f>
        <v>0</v>
      </c>
      <c r="AB314" s="81">
        <f>(F314*AB247+G314*AB248)*E314</f>
        <v>0</v>
      </c>
      <c r="AC314" s="81">
        <f>(F314*AC247+G314*AC248)*E314</f>
        <v>0</v>
      </c>
      <c r="AD314" s="81">
        <f>(F314*AD247+G314*AD248)*E314</f>
        <v>0</v>
      </c>
      <c r="AE314" s="81">
        <f>(F314*AE247+G314*AE248)*E314</f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1465</v>
      </c>
      <c r="E315" s="72">
        <f t="shared" si="106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>(F315*L247+G315*L248)*E315</f>
        <v>0</v>
      </c>
      <c r="M315" s="81">
        <f>(F315*M247+G315*M248)*E315</f>
        <v>0</v>
      </c>
      <c r="N315" s="81">
        <f>(F315*N247+G315*N248)*E315</f>
        <v>0</v>
      </c>
      <c r="O315" s="81">
        <f>(F315*O247+G315*O248)*E315</f>
        <v>0</v>
      </c>
      <c r="P315" s="81">
        <f>(F315*P247+G315*P248)*E315</f>
        <v>0</v>
      </c>
      <c r="Q315" s="81">
        <f>(F315*Q247+G315*Q248)*E315</f>
        <v>0</v>
      </c>
      <c r="R315" s="81">
        <f>(F315*R247+G315*R248)*E315</f>
        <v>0</v>
      </c>
      <c r="S315" s="81">
        <f>(F315*S247+G315*S248)*E315</f>
        <v>0</v>
      </c>
      <c r="T315" s="81">
        <f>(F315*T247+G315*T248)*E315</f>
        <v>0</v>
      </c>
      <c r="U315" s="81">
        <f>(F315*U247+G315*U248)*E315</f>
        <v>0</v>
      </c>
      <c r="V315" s="81">
        <f>(F315*V247+G315*V248)*E315</f>
        <v>0</v>
      </c>
      <c r="W315" s="81">
        <f>(F315*W247+G315*W248)*E315</f>
        <v>0</v>
      </c>
      <c r="X315" s="81">
        <f>(F315*X247+G315*X248)*E315</f>
        <v>0</v>
      </c>
      <c r="Y315" s="81">
        <f>(F315*Y247+G315*Y248)*E315</f>
        <v>0</v>
      </c>
      <c r="Z315" s="81">
        <f>(F315*Z247+G315*Z248)*E315</f>
        <v>0</v>
      </c>
      <c r="AA315" s="81">
        <f>(F315*AA247+G315*AA248)*E315</f>
        <v>0</v>
      </c>
      <c r="AB315" s="81">
        <f>(F315*AB247+G315*AB248)*E315</f>
        <v>0</v>
      </c>
      <c r="AC315" s="81">
        <f>(F315*AC247+G315*AC248)*E315</f>
        <v>0</v>
      </c>
      <c r="AD315" s="81">
        <f>(F315*AD247+G315*AD248)*E315</f>
        <v>0</v>
      </c>
      <c r="AE315" s="81">
        <f>(F315*AE247+G315*AE248)*E315</f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1468</v>
      </c>
      <c r="E316" s="72">
        <f t="shared" si="106"/>
        <v>0.97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>(F316*L247+G316*L248)*E316</f>
        <v>0</v>
      </c>
      <c r="M316" s="81">
        <f>(F316*M247+G316*M248)*E316</f>
        <v>0</v>
      </c>
      <c r="N316" s="81">
        <f>(F316*N247+G316*N248)*E316</f>
        <v>0</v>
      </c>
      <c r="O316" s="81">
        <f>(F316*O247+G316*O248)*E316</f>
        <v>0</v>
      </c>
      <c r="P316" s="81">
        <f>(F316*P247+G316*P248)*E316</f>
        <v>0</v>
      </c>
      <c r="Q316" s="81">
        <f>(F316*Q247+G316*Q248)*E316</f>
        <v>0</v>
      </c>
      <c r="R316" s="81">
        <f>(F316*R247+G316*R248)*E316</f>
        <v>0</v>
      </c>
      <c r="S316" s="81">
        <f>(F316*S247+G316*S248)*E316</f>
        <v>0</v>
      </c>
      <c r="T316" s="81">
        <f>(F316*T247+G316*T248)*E316</f>
        <v>0</v>
      </c>
      <c r="U316" s="81">
        <f>(F316*U247+G316*U248)*E316</f>
        <v>0</v>
      </c>
      <c r="V316" s="81">
        <f>(F316*V247+G316*V248)*E316</f>
        <v>0</v>
      </c>
      <c r="W316" s="81">
        <f>(F316*W247+G316*W248)*E316</f>
        <v>0</v>
      </c>
      <c r="X316" s="81">
        <f>(F316*X247+G316*X248)*E316</f>
        <v>0</v>
      </c>
      <c r="Y316" s="81">
        <f>(F316*Y247+G316*Y248)*E316</f>
        <v>0</v>
      </c>
      <c r="Z316" s="81">
        <f>(F316*Z247+G316*Z248)*E316</f>
        <v>0</v>
      </c>
      <c r="AA316" s="81">
        <f>(F316*AA247+G316*AA248)*E316</f>
        <v>0</v>
      </c>
      <c r="AB316" s="81">
        <f>(F316*AB247+G316*AB248)*E316</f>
        <v>0</v>
      </c>
      <c r="AC316" s="81">
        <f>(F316*AC247+G316*AC248)*E316</f>
        <v>0</v>
      </c>
      <c r="AD316" s="81">
        <f>(F316*AD247+G316*AD248)*E316</f>
        <v>0</v>
      </c>
      <c r="AE316" s="81">
        <f>(F316*AE247+G316*AE248)*E316</f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1471</v>
      </c>
      <c r="E317" s="72">
        <f t="shared" si="106"/>
        <v>2.35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>(F317*L247+G317*L248)*E317</f>
        <v>0</v>
      </c>
      <c r="M317" s="81">
        <f>(F317*M247+G317*M248)*E317</f>
        <v>0</v>
      </c>
      <c r="N317" s="81">
        <f>(F317*N247+G317*N248)*E317</f>
        <v>0</v>
      </c>
      <c r="O317" s="81">
        <f>(F317*O247+G317*O248)*E317</f>
        <v>0</v>
      </c>
      <c r="P317" s="81">
        <f>(F317*P247+G317*P248)*E317</f>
        <v>0</v>
      </c>
      <c r="Q317" s="81">
        <f>(F317*Q247+G317*Q248)*E317</f>
        <v>0</v>
      </c>
      <c r="R317" s="81">
        <f>(F317*R247+G317*R248)*E317</f>
        <v>0</v>
      </c>
      <c r="S317" s="81">
        <f>(F317*S247+G317*S248)*E317</f>
        <v>0</v>
      </c>
      <c r="T317" s="81">
        <f>(F317*T247+G317*T248)*E317</f>
        <v>0</v>
      </c>
      <c r="U317" s="81">
        <f>(F317*U247+G317*U248)*E317</f>
        <v>0</v>
      </c>
      <c r="V317" s="81">
        <f>(F317*V247+G317*V248)*E317</f>
        <v>0</v>
      </c>
      <c r="W317" s="81">
        <f>(F317*W247+G317*W248)*E317</f>
        <v>0</v>
      </c>
      <c r="X317" s="81">
        <f>(F317*X247+G317*X248)*E317</f>
        <v>0</v>
      </c>
      <c r="Y317" s="81">
        <f>(F317*Y247+G317*Y248)*E317</f>
        <v>0</v>
      </c>
      <c r="Z317" s="81">
        <f>(F317*Z247+G317*Z248)*E317</f>
        <v>0</v>
      </c>
      <c r="AA317" s="81">
        <f>(F317*AA247+G317*AA248)*E317</f>
        <v>0</v>
      </c>
      <c r="AB317" s="81">
        <f>(F317*AB247+G317*AB248)*E317</f>
        <v>0</v>
      </c>
      <c r="AC317" s="81">
        <f>(F317*AC247+G317*AC248)*E317</f>
        <v>0</v>
      </c>
      <c r="AD317" s="81">
        <f>(F317*AD247+G317*AD248)*E317</f>
        <v>0</v>
      </c>
      <c r="AE317" s="81">
        <f>(F317*AE247+G317*AE248)*E317</f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52"/>
      <c r="E318" s="70"/>
      <c r="F318" s="70"/>
      <c r="G318" s="70"/>
      <c r="H318" s="70"/>
      <c r="I318" s="70"/>
      <c r="J318" s="70"/>
      <c r="K318" s="72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</row>
    <row r="319" spans="1:35" x14ac:dyDescent="0.45">
      <c r="A319" s="70"/>
      <c r="B319" s="52"/>
      <c r="C319" s="73" t="s">
        <v>1480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108">L309</f>
        <v>2022</v>
      </c>
      <c r="M319" s="74">
        <f t="shared" si="108"/>
        <v>2023</v>
      </c>
      <c r="N319" s="74">
        <f t="shared" si="108"/>
        <v>2024</v>
      </c>
      <c r="O319" s="74">
        <f t="shared" si="108"/>
        <v>2025</v>
      </c>
      <c r="P319" s="74">
        <f t="shared" si="108"/>
        <v>2026</v>
      </c>
      <c r="Q319" s="74">
        <f t="shared" si="108"/>
        <v>2027</v>
      </c>
      <c r="R319" s="74">
        <f t="shared" si="108"/>
        <v>2028</v>
      </c>
      <c r="S319" s="74">
        <f t="shared" si="108"/>
        <v>2029</v>
      </c>
      <c r="T319" s="74">
        <f t="shared" si="108"/>
        <v>2030</v>
      </c>
      <c r="U319" s="74">
        <f t="shared" si="108"/>
        <v>2031</v>
      </c>
      <c r="V319" s="74">
        <f t="shared" si="108"/>
        <v>2032</v>
      </c>
      <c r="W319" s="74">
        <f t="shared" si="108"/>
        <v>2033</v>
      </c>
      <c r="X319" s="74">
        <f t="shared" si="108"/>
        <v>2034</v>
      </c>
      <c r="Y319" s="74">
        <f t="shared" si="108"/>
        <v>2035</v>
      </c>
      <c r="Z319" s="74">
        <f t="shared" si="108"/>
        <v>2036</v>
      </c>
      <c r="AA319" s="74">
        <f t="shared" si="108"/>
        <v>2037</v>
      </c>
      <c r="AB319" s="74">
        <f t="shared" si="108"/>
        <v>2038</v>
      </c>
      <c r="AC319" s="74">
        <f t="shared" si="108"/>
        <v>2039</v>
      </c>
      <c r="AD319" s="74">
        <f t="shared" si="108"/>
        <v>2040</v>
      </c>
      <c r="AE319" s="74">
        <f t="shared" si="108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1450</v>
      </c>
      <c r="E320" s="70"/>
      <c r="F320" s="70"/>
      <c r="G320" s="70"/>
      <c r="H320" s="70"/>
      <c r="I320" s="70"/>
      <c r="J320" s="70"/>
      <c r="K320" s="72"/>
      <c r="L320" s="78">
        <f t="shared" ref="L320:AE320" si="109">(L310+L299)/L288</f>
        <v>0</v>
      </c>
      <c r="M320" s="78">
        <f t="shared" si="109"/>
        <v>0</v>
      </c>
      <c r="N320" s="78">
        <f t="shared" si="109"/>
        <v>0</v>
      </c>
      <c r="O320" s="78">
        <f t="shared" si="109"/>
        <v>0</v>
      </c>
      <c r="P320" s="78">
        <f t="shared" si="109"/>
        <v>0</v>
      </c>
      <c r="Q320" s="78">
        <f t="shared" si="109"/>
        <v>0</v>
      </c>
      <c r="R320" s="78">
        <f t="shared" si="109"/>
        <v>0</v>
      </c>
      <c r="S320" s="78">
        <f t="shared" si="109"/>
        <v>0</v>
      </c>
      <c r="T320" s="78">
        <f t="shared" si="109"/>
        <v>0</v>
      </c>
      <c r="U320" s="78">
        <f t="shared" si="109"/>
        <v>0</v>
      </c>
      <c r="V320" s="78">
        <f t="shared" si="109"/>
        <v>0</v>
      </c>
      <c r="W320" s="78">
        <f t="shared" si="109"/>
        <v>0</v>
      </c>
      <c r="X320" s="78">
        <f t="shared" si="109"/>
        <v>0</v>
      </c>
      <c r="Y320" s="78">
        <f t="shared" si="109"/>
        <v>0</v>
      </c>
      <c r="Z320" s="78">
        <f t="shared" si="109"/>
        <v>0</v>
      </c>
      <c r="AA320" s="78">
        <f t="shared" si="109"/>
        <v>0</v>
      </c>
      <c r="AB320" s="78">
        <f t="shared" si="109"/>
        <v>0</v>
      </c>
      <c r="AC320" s="78">
        <f t="shared" si="109"/>
        <v>0</v>
      </c>
      <c r="AD320" s="78">
        <f t="shared" si="109"/>
        <v>0</v>
      </c>
      <c r="AE320" s="78">
        <f t="shared" si="109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1453</v>
      </c>
      <c r="E321" s="70"/>
      <c r="F321" s="70"/>
      <c r="G321" s="70"/>
      <c r="H321" s="70"/>
      <c r="I321" s="70"/>
      <c r="J321" s="70"/>
      <c r="K321" s="72"/>
      <c r="L321" s="78">
        <f t="shared" ref="L321:AE321" si="110">(L311+L300)/L289</f>
        <v>0</v>
      </c>
      <c r="M321" s="78">
        <f t="shared" si="110"/>
        <v>0</v>
      </c>
      <c r="N321" s="78">
        <f t="shared" si="110"/>
        <v>0</v>
      </c>
      <c r="O321" s="78">
        <f t="shared" si="110"/>
        <v>0</v>
      </c>
      <c r="P321" s="78">
        <f t="shared" si="110"/>
        <v>0</v>
      </c>
      <c r="Q321" s="78">
        <f t="shared" si="110"/>
        <v>0</v>
      </c>
      <c r="R321" s="78">
        <f t="shared" si="110"/>
        <v>0</v>
      </c>
      <c r="S321" s="78">
        <f t="shared" si="110"/>
        <v>0</v>
      </c>
      <c r="T321" s="78">
        <f t="shared" si="110"/>
        <v>0</v>
      </c>
      <c r="U321" s="78">
        <f t="shared" si="110"/>
        <v>0</v>
      </c>
      <c r="V321" s="78">
        <f t="shared" si="110"/>
        <v>0</v>
      </c>
      <c r="W321" s="78">
        <f t="shared" si="110"/>
        <v>0</v>
      </c>
      <c r="X321" s="78">
        <f t="shared" si="110"/>
        <v>0</v>
      </c>
      <c r="Y321" s="78">
        <f t="shared" si="110"/>
        <v>0</v>
      </c>
      <c r="Z321" s="78">
        <f t="shared" si="110"/>
        <v>0</v>
      </c>
      <c r="AA321" s="78">
        <f t="shared" si="110"/>
        <v>0</v>
      </c>
      <c r="AB321" s="78">
        <f t="shared" si="110"/>
        <v>0</v>
      </c>
      <c r="AC321" s="78">
        <f t="shared" si="110"/>
        <v>0</v>
      </c>
      <c r="AD321" s="78">
        <f t="shared" si="110"/>
        <v>0</v>
      </c>
      <c r="AE321" s="78">
        <f t="shared" si="110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1456</v>
      </c>
      <c r="E322" s="70"/>
      <c r="F322" s="70"/>
      <c r="G322" s="70"/>
      <c r="H322" s="70"/>
      <c r="I322" s="70"/>
      <c r="J322" s="70"/>
      <c r="K322" s="72"/>
      <c r="L322" s="78">
        <f t="shared" ref="L322:AE322" si="111">(L312+L301)/L290</f>
        <v>0</v>
      </c>
      <c r="M322" s="78">
        <f t="shared" si="111"/>
        <v>0</v>
      </c>
      <c r="N322" s="78">
        <f t="shared" si="111"/>
        <v>0</v>
      </c>
      <c r="O322" s="78">
        <f t="shared" si="111"/>
        <v>0</v>
      </c>
      <c r="P322" s="78">
        <f t="shared" si="111"/>
        <v>0</v>
      </c>
      <c r="Q322" s="78">
        <f t="shared" si="111"/>
        <v>0</v>
      </c>
      <c r="R322" s="78">
        <f t="shared" si="111"/>
        <v>0</v>
      </c>
      <c r="S322" s="78">
        <f t="shared" si="111"/>
        <v>0</v>
      </c>
      <c r="T322" s="78">
        <f t="shared" si="111"/>
        <v>0</v>
      </c>
      <c r="U322" s="78">
        <f t="shared" si="111"/>
        <v>0</v>
      </c>
      <c r="V322" s="78">
        <f t="shared" si="111"/>
        <v>0</v>
      </c>
      <c r="W322" s="78">
        <f t="shared" si="111"/>
        <v>0</v>
      </c>
      <c r="X322" s="78">
        <f t="shared" si="111"/>
        <v>0</v>
      </c>
      <c r="Y322" s="78">
        <f t="shared" si="111"/>
        <v>0</v>
      </c>
      <c r="Z322" s="78">
        <f t="shared" si="111"/>
        <v>0</v>
      </c>
      <c r="AA322" s="78">
        <f t="shared" si="111"/>
        <v>0</v>
      </c>
      <c r="AB322" s="78">
        <f t="shared" si="111"/>
        <v>0</v>
      </c>
      <c r="AC322" s="78">
        <f t="shared" si="111"/>
        <v>0</v>
      </c>
      <c r="AD322" s="78">
        <f t="shared" si="111"/>
        <v>0</v>
      </c>
      <c r="AE322" s="78">
        <f t="shared" si="111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1459</v>
      </c>
      <c r="E323" s="70"/>
      <c r="F323" s="70"/>
      <c r="G323" s="70"/>
      <c r="H323" s="70"/>
      <c r="I323" s="70"/>
      <c r="J323" s="70"/>
      <c r="K323" s="72"/>
      <c r="L323" s="78">
        <f t="shared" ref="L323:AE323" si="112">(L313+L302)/L291</f>
        <v>0</v>
      </c>
      <c r="M323" s="78">
        <f t="shared" si="112"/>
        <v>0</v>
      </c>
      <c r="N323" s="78">
        <f t="shared" si="112"/>
        <v>0</v>
      </c>
      <c r="O323" s="78">
        <f t="shared" si="112"/>
        <v>0</v>
      </c>
      <c r="P323" s="78">
        <f t="shared" si="112"/>
        <v>0</v>
      </c>
      <c r="Q323" s="78">
        <f t="shared" si="112"/>
        <v>0</v>
      </c>
      <c r="R323" s="78">
        <f t="shared" si="112"/>
        <v>0</v>
      </c>
      <c r="S323" s="78">
        <f t="shared" si="112"/>
        <v>0</v>
      </c>
      <c r="T323" s="78">
        <f t="shared" si="112"/>
        <v>0</v>
      </c>
      <c r="U323" s="78">
        <f t="shared" si="112"/>
        <v>0</v>
      </c>
      <c r="V323" s="78">
        <f t="shared" si="112"/>
        <v>0</v>
      </c>
      <c r="W323" s="78">
        <f t="shared" si="112"/>
        <v>0</v>
      </c>
      <c r="X323" s="78">
        <f t="shared" si="112"/>
        <v>0</v>
      </c>
      <c r="Y323" s="78">
        <f t="shared" si="112"/>
        <v>0</v>
      </c>
      <c r="Z323" s="78">
        <f t="shared" si="112"/>
        <v>0</v>
      </c>
      <c r="AA323" s="78">
        <f t="shared" si="112"/>
        <v>0</v>
      </c>
      <c r="AB323" s="78">
        <f t="shared" si="112"/>
        <v>0</v>
      </c>
      <c r="AC323" s="78">
        <f t="shared" si="112"/>
        <v>0</v>
      </c>
      <c r="AD323" s="78">
        <f t="shared" si="112"/>
        <v>0</v>
      </c>
      <c r="AE323" s="78">
        <f t="shared" si="112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1462</v>
      </c>
      <c r="E324" s="70"/>
      <c r="F324" s="70"/>
      <c r="G324" s="70"/>
      <c r="H324" s="70"/>
      <c r="I324" s="70"/>
      <c r="J324" s="70"/>
      <c r="K324" s="72"/>
      <c r="L324" s="78">
        <f t="shared" ref="L324:AE324" si="113">(L314+L303)/L292</f>
        <v>0</v>
      </c>
      <c r="M324" s="78">
        <f t="shared" si="113"/>
        <v>0</v>
      </c>
      <c r="N324" s="78">
        <f t="shared" si="113"/>
        <v>0</v>
      </c>
      <c r="O324" s="78">
        <f t="shared" si="113"/>
        <v>0</v>
      </c>
      <c r="P324" s="78">
        <f t="shared" si="113"/>
        <v>0</v>
      </c>
      <c r="Q324" s="78">
        <f t="shared" si="113"/>
        <v>0</v>
      </c>
      <c r="R324" s="78">
        <f t="shared" si="113"/>
        <v>0</v>
      </c>
      <c r="S324" s="78">
        <f t="shared" si="113"/>
        <v>0</v>
      </c>
      <c r="T324" s="78">
        <f t="shared" si="113"/>
        <v>0</v>
      </c>
      <c r="U324" s="78">
        <f t="shared" si="113"/>
        <v>0</v>
      </c>
      <c r="V324" s="78">
        <f t="shared" si="113"/>
        <v>0</v>
      </c>
      <c r="W324" s="78">
        <f t="shared" si="113"/>
        <v>0</v>
      </c>
      <c r="X324" s="78">
        <f t="shared" si="113"/>
        <v>0</v>
      </c>
      <c r="Y324" s="78">
        <f t="shared" si="113"/>
        <v>0</v>
      </c>
      <c r="Z324" s="78">
        <f t="shared" si="113"/>
        <v>0</v>
      </c>
      <c r="AA324" s="78">
        <f t="shared" si="113"/>
        <v>0</v>
      </c>
      <c r="AB324" s="78">
        <f t="shared" si="113"/>
        <v>0</v>
      </c>
      <c r="AC324" s="78">
        <f t="shared" si="113"/>
        <v>0</v>
      </c>
      <c r="AD324" s="78">
        <f t="shared" si="113"/>
        <v>0</v>
      </c>
      <c r="AE324" s="78">
        <f t="shared" si="113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1465</v>
      </c>
      <c r="E325" s="70"/>
      <c r="F325" s="70"/>
      <c r="G325" s="70"/>
      <c r="H325" s="70"/>
      <c r="I325" s="70"/>
      <c r="J325" s="70"/>
      <c r="K325" s="72"/>
      <c r="L325" s="78">
        <f t="shared" ref="L325:AE325" si="114">(L315+L304)/L293</f>
        <v>0</v>
      </c>
      <c r="M325" s="78">
        <f t="shared" si="114"/>
        <v>0</v>
      </c>
      <c r="N325" s="78">
        <f t="shared" si="114"/>
        <v>0</v>
      </c>
      <c r="O325" s="78">
        <f t="shared" si="114"/>
        <v>0</v>
      </c>
      <c r="P325" s="78">
        <f t="shared" si="114"/>
        <v>0</v>
      </c>
      <c r="Q325" s="78">
        <f t="shared" si="114"/>
        <v>0</v>
      </c>
      <c r="R325" s="78">
        <f t="shared" si="114"/>
        <v>0</v>
      </c>
      <c r="S325" s="78">
        <f t="shared" si="114"/>
        <v>0</v>
      </c>
      <c r="T325" s="78">
        <f t="shared" si="114"/>
        <v>0</v>
      </c>
      <c r="U325" s="78">
        <f t="shared" si="114"/>
        <v>0</v>
      </c>
      <c r="V325" s="78">
        <f t="shared" si="114"/>
        <v>0</v>
      </c>
      <c r="W325" s="78">
        <f t="shared" si="114"/>
        <v>0</v>
      </c>
      <c r="X325" s="78">
        <f t="shared" si="114"/>
        <v>0</v>
      </c>
      <c r="Y325" s="78">
        <f t="shared" si="114"/>
        <v>0</v>
      </c>
      <c r="Z325" s="78">
        <f t="shared" si="114"/>
        <v>0</v>
      </c>
      <c r="AA325" s="78">
        <f t="shared" si="114"/>
        <v>0</v>
      </c>
      <c r="AB325" s="78">
        <f t="shared" si="114"/>
        <v>0</v>
      </c>
      <c r="AC325" s="78">
        <f t="shared" si="114"/>
        <v>0</v>
      </c>
      <c r="AD325" s="78">
        <f t="shared" si="114"/>
        <v>0</v>
      </c>
      <c r="AE325" s="78">
        <f t="shared" si="114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1468</v>
      </c>
      <c r="E326" s="70"/>
      <c r="F326" s="70"/>
      <c r="G326" s="70"/>
      <c r="H326" s="70"/>
      <c r="I326" s="70"/>
      <c r="J326" s="70"/>
      <c r="K326" s="72"/>
      <c r="L326" s="78">
        <f t="shared" ref="L326:AE326" si="115">(L316+L305)/L294</f>
        <v>0</v>
      </c>
      <c r="M326" s="78">
        <f t="shared" si="115"/>
        <v>0</v>
      </c>
      <c r="N326" s="78">
        <f t="shared" si="115"/>
        <v>0</v>
      </c>
      <c r="O326" s="78">
        <f t="shared" si="115"/>
        <v>0</v>
      </c>
      <c r="P326" s="78">
        <f t="shared" si="115"/>
        <v>0</v>
      </c>
      <c r="Q326" s="78">
        <f t="shared" si="115"/>
        <v>0</v>
      </c>
      <c r="R326" s="78">
        <f t="shared" si="115"/>
        <v>0</v>
      </c>
      <c r="S326" s="78">
        <f t="shared" si="115"/>
        <v>0</v>
      </c>
      <c r="T326" s="78">
        <f t="shared" si="115"/>
        <v>0</v>
      </c>
      <c r="U326" s="78">
        <f t="shared" si="115"/>
        <v>0</v>
      </c>
      <c r="V326" s="78">
        <f t="shared" si="115"/>
        <v>0</v>
      </c>
      <c r="W326" s="78">
        <f t="shared" si="115"/>
        <v>0</v>
      </c>
      <c r="X326" s="78">
        <f t="shared" si="115"/>
        <v>0</v>
      </c>
      <c r="Y326" s="78">
        <f t="shared" si="115"/>
        <v>0</v>
      </c>
      <c r="Z326" s="78">
        <f t="shared" si="115"/>
        <v>0</v>
      </c>
      <c r="AA326" s="78">
        <f t="shared" si="115"/>
        <v>0</v>
      </c>
      <c r="AB326" s="78">
        <f t="shared" si="115"/>
        <v>0</v>
      </c>
      <c r="AC326" s="78">
        <f t="shared" si="115"/>
        <v>0</v>
      </c>
      <c r="AD326" s="78">
        <f t="shared" si="115"/>
        <v>0</v>
      </c>
      <c r="AE326" s="78">
        <f t="shared" si="115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1471</v>
      </c>
      <c r="E327" s="70"/>
      <c r="F327" s="70"/>
      <c r="G327" s="70"/>
      <c r="H327" s="70"/>
      <c r="I327" s="70"/>
      <c r="J327" s="70"/>
      <c r="K327" s="72"/>
      <c r="L327" s="78">
        <f t="shared" ref="L327:AE327" si="116">(L317+L306)/L295</f>
        <v>0</v>
      </c>
      <c r="M327" s="78">
        <f t="shared" si="116"/>
        <v>0</v>
      </c>
      <c r="N327" s="78">
        <f t="shared" si="116"/>
        <v>0</v>
      </c>
      <c r="O327" s="78">
        <f t="shared" si="116"/>
        <v>0</v>
      </c>
      <c r="P327" s="78">
        <f t="shared" si="116"/>
        <v>0</v>
      </c>
      <c r="Q327" s="78">
        <f t="shared" si="116"/>
        <v>0</v>
      </c>
      <c r="R327" s="78">
        <f t="shared" si="116"/>
        <v>0</v>
      </c>
      <c r="S327" s="78">
        <f t="shared" si="116"/>
        <v>0</v>
      </c>
      <c r="T327" s="78">
        <f t="shared" si="116"/>
        <v>0</v>
      </c>
      <c r="U327" s="78">
        <f t="shared" si="116"/>
        <v>0</v>
      </c>
      <c r="V327" s="78">
        <f t="shared" si="116"/>
        <v>0</v>
      </c>
      <c r="W327" s="78">
        <f t="shared" si="116"/>
        <v>0</v>
      </c>
      <c r="X327" s="78">
        <f t="shared" si="116"/>
        <v>0</v>
      </c>
      <c r="Y327" s="78">
        <f t="shared" si="116"/>
        <v>0</v>
      </c>
      <c r="Z327" s="78">
        <f t="shared" si="116"/>
        <v>0</v>
      </c>
      <c r="AA327" s="78">
        <f t="shared" si="116"/>
        <v>0</v>
      </c>
      <c r="AB327" s="78">
        <f t="shared" si="116"/>
        <v>0</v>
      </c>
      <c r="AC327" s="78">
        <f t="shared" si="116"/>
        <v>0</v>
      </c>
      <c r="AD327" s="78">
        <f t="shared" si="116"/>
        <v>0</v>
      </c>
      <c r="AE327" s="78">
        <f t="shared" si="116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52"/>
      <c r="E328" s="70"/>
      <c r="F328" s="70"/>
      <c r="G328" s="70"/>
      <c r="H328" s="70"/>
      <c r="I328" s="70"/>
      <c r="J328" s="70"/>
      <c r="K328" s="72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</row>
    <row r="329" spans="1:35" x14ac:dyDescent="0.45">
      <c r="A329" s="71"/>
      <c r="B329" s="52"/>
      <c r="C329" s="73" t="s">
        <v>1481</v>
      </c>
      <c r="D329" s="73"/>
      <c r="E329" s="70"/>
      <c r="F329" s="72" t="s">
        <v>1482</v>
      </c>
      <c r="G329" s="72" t="s">
        <v>1483</v>
      </c>
      <c r="H329" s="72" t="s">
        <v>1484</v>
      </c>
      <c r="I329" s="72"/>
      <c r="J329" s="72"/>
      <c r="K329" s="72"/>
      <c r="L329" s="74">
        <f t="shared" ref="L329:AE329" si="117">L340</f>
        <v>2022</v>
      </c>
      <c r="M329" s="74">
        <f t="shared" si="117"/>
        <v>2023</v>
      </c>
      <c r="N329" s="74">
        <f t="shared" si="117"/>
        <v>2024</v>
      </c>
      <c r="O329" s="74">
        <f t="shared" si="117"/>
        <v>2025</v>
      </c>
      <c r="P329" s="74">
        <f t="shared" si="117"/>
        <v>2026</v>
      </c>
      <c r="Q329" s="74">
        <f t="shared" si="117"/>
        <v>2027</v>
      </c>
      <c r="R329" s="74">
        <f t="shared" si="117"/>
        <v>2028</v>
      </c>
      <c r="S329" s="74">
        <f t="shared" si="117"/>
        <v>2029</v>
      </c>
      <c r="T329" s="74">
        <f t="shared" si="117"/>
        <v>2030</v>
      </c>
      <c r="U329" s="74">
        <f t="shared" si="117"/>
        <v>2031</v>
      </c>
      <c r="V329" s="74">
        <f t="shared" si="117"/>
        <v>2032</v>
      </c>
      <c r="W329" s="74">
        <f t="shared" si="117"/>
        <v>2033</v>
      </c>
      <c r="X329" s="74">
        <f t="shared" si="117"/>
        <v>2034</v>
      </c>
      <c r="Y329" s="74">
        <f t="shared" si="117"/>
        <v>2035</v>
      </c>
      <c r="Z329" s="74">
        <f t="shared" si="117"/>
        <v>2036</v>
      </c>
      <c r="AA329" s="74">
        <f t="shared" si="117"/>
        <v>2037</v>
      </c>
      <c r="AB329" s="74">
        <f t="shared" si="117"/>
        <v>2038</v>
      </c>
      <c r="AC329" s="74">
        <f t="shared" si="117"/>
        <v>2039</v>
      </c>
      <c r="AD329" s="74">
        <f t="shared" si="117"/>
        <v>2040</v>
      </c>
      <c r="AE329" s="74">
        <f t="shared" si="117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1485</v>
      </c>
      <c r="F330" s="72">
        <f t="shared" ref="F330:F337" si="118">H264+I264</f>
        <v>0.69003000000000003</v>
      </c>
      <c r="G330" s="72">
        <f t="shared" ref="G330:G337" si="119">MAX(J264+K264,0)</f>
        <v>0.04</v>
      </c>
      <c r="H330" s="72">
        <f t="shared" ref="H330:H337" si="120">G330/F330</f>
        <v>5.7968494123443903E-2</v>
      </c>
      <c r="I330" s="70"/>
      <c r="J330" s="70"/>
      <c r="K330" s="72"/>
      <c r="L330" s="72">
        <f t="shared" ref="L330:AE330" si="121">L276*$F330/1000</f>
        <v>3.2287703131193024</v>
      </c>
      <c r="M330" s="72">
        <f t="shared" si="121"/>
        <v>3.3708362068965516</v>
      </c>
      <c r="N330" s="72">
        <f t="shared" si="121"/>
        <v>3.5191530000000002</v>
      </c>
      <c r="O330" s="72">
        <f t="shared" si="121"/>
        <v>3.6739957320000007</v>
      </c>
      <c r="P330" s="72">
        <f t="shared" si="121"/>
        <v>3.8356515442080008</v>
      </c>
      <c r="Q330" s="72">
        <f t="shared" si="121"/>
        <v>4.0044202121531534</v>
      </c>
      <c r="R330" s="72">
        <f t="shared" si="121"/>
        <v>4.1806147014878912</v>
      </c>
      <c r="S330" s="72">
        <f t="shared" si="121"/>
        <v>4.3645617483533599</v>
      </c>
      <c r="T330" s="72">
        <f t="shared" si="121"/>
        <v>4.556602465280907</v>
      </c>
      <c r="U330" s="72">
        <f t="shared" si="121"/>
        <v>4.7570929737532675</v>
      </c>
      <c r="V330" s="72">
        <f t="shared" si="121"/>
        <v>4.9664050645984119</v>
      </c>
      <c r="W330" s="72">
        <f t="shared" si="121"/>
        <v>5.1849268874407413</v>
      </c>
      <c r="X330" s="72">
        <f t="shared" si="121"/>
        <v>5.4130636704881345</v>
      </c>
      <c r="Y330" s="72">
        <f t="shared" si="121"/>
        <v>5.6512384719896129</v>
      </c>
      <c r="Z330" s="72">
        <f t="shared" si="121"/>
        <v>5.8998929647571554</v>
      </c>
      <c r="AA330" s="72">
        <f t="shared" si="121"/>
        <v>6.1594882552064707</v>
      </c>
      <c r="AB330" s="72">
        <f t="shared" si="121"/>
        <v>6.4305057384355555</v>
      </c>
      <c r="AC330" s="72">
        <f t="shared" si="121"/>
        <v>6.7134479909267206</v>
      </c>
      <c r="AD330" s="72">
        <f t="shared" si="121"/>
        <v>7.0088397025274967</v>
      </c>
      <c r="AE330" s="72">
        <f t="shared" si="121"/>
        <v>7.3172286494387055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1357</v>
      </c>
      <c r="E331" s="71" t="s">
        <v>1485</v>
      </c>
      <c r="F331" s="72">
        <f t="shared" si="118"/>
        <v>0.14025000000000001</v>
      </c>
      <c r="G331" s="72">
        <f t="shared" si="119"/>
        <v>1.4999999999999999E-2</v>
      </c>
      <c r="H331" s="72">
        <f t="shared" si="120"/>
        <v>0.10695187165775399</v>
      </c>
      <c r="I331" s="70"/>
      <c r="J331" s="70"/>
      <c r="K331" s="72"/>
      <c r="L331" s="72">
        <f t="shared" ref="L331:AE331" si="122">L277*$F331/1000</f>
        <v>0.61765094464262127</v>
      </c>
      <c r="M331" s="72">
        <f t="shared" si="122"/>
        <v>0.64482758620689662</v>
      </c>
      <c r="N331" s="72">
        <f t="shared" si="122"/>
        <v>0.67320000000000002</v>
      </c>
      <c r="O331" s="72">
        <f t="shared" si="122"/>
        <v>0.70282080000000002</v>
      </c>
      <c r="P331" s="72">
        <f t="shared" si="122"/>
        <v>0.73374491520000007</v>
      </c>
      <c r="Q331" s="72">
        <f t="shared" si="122"/>
        <v>0.76602969146880007</v>
      </c>
      <c r="R331" s="72">
        <f t="shared" si="122"/>
        <v>0.79973499789342728</v>
      </c>
      <c r="S331" s="72">
        <f t="shared" si="122"/>
        <v>0.83492333780073813</v>
      </c>
      <c r="T331" s="72">
        <f t="shared" si="122"/>
        <v>0.87165996466397067</v>
      </c>
      <c r="U331" s="72">
        <f t="shared" si="122"/>
        <v>0.91001300310918543</v>
      </c>
      <c r="V331" s="72">
        <f t="shared" si="122"/>
        <v>0.95005357524598955</v>
      </c>
      <c r="W331" s="72">
        <f t="shared" si="122"/>
        <v>0.99185593255681304</v>
      </c>
      <c r="X331" s="72">
        <f t="shared" si="122"/>
        <v>1.0354975935893131</v>
      </c>
      <c r="Y331" s="72">
        <f t="shared" si="122"/>
        <v>1.0810594877072426</v>
      </c>
      <c r="Z331" s="72">
        <f t="shared" si="122"/>
        <v>1.1286261051663613</v>
      </c>
      <c r="AA331" s="72">
        <f t="shared" si="122"/>
        <v>1.1782856537936812</v>
      </c>
      <c r="AB331" s="72">
        <f t="shared" si="122"/>
        <v>1.2301302225606032</v>
      </c>
      <c r="AC331" s="72">
        <f t="shared" si="122"/>
        <v>1.2842559523532697</v>
      </c>
      <c r="AD331" s="72">
        <f t="shared" si="122"/>
        <v>1.3407632142568136</v>
      </c>
      <c r="AE331" s="72">
        <f t="shared" si="122"/>
        <v>1.3997567956841135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1363</v>
      </c>
      <c r="E332" s="71" t="s">
        <v>1485</v>
      </c>
      <c r="F332" s="72">
        <f t="shared" si="118"/>
        <v>1.9220000000000002</v>
      </c>
      <c r="G332" s="72">
        <f t="shared" si="119"/>
        <v>0.25</v>
      </c>
      <c r="H332" s="72">
        <f t="shared" si="120"/>
        <v>0.13007284079084286</v>
      </c>
      <c r="I332" s="70"/>
      <c r="J332" s="70"/>
      <c r="K332" s="72"/>
      <c r="L332" s="72">
        <f t="shared" ref="L332:AE332" si="123">L278*$F332/1000</f>
        <v>0</v>
      </c>
      <c r="M332" s="72">
        <f t="shared" si="123"/>
        <v>0</v>
      </c>
      <c r="N332" s="72">
        <f t="shared" si="123"/>
        <v>0</v>
      </c>
      <c r="O332" s="72">
        <f t="shared" si="123"/>
        <v>0</v>
      </c>
      <c r="P332" s="72">
        <f t="shared" si="123"/>
        <v>0</v>
      </c>
      <c r="Q332" s="72">
        <f t="shared" si="123"/>
        <v>0</v>
      </c>
      <c r="R332" s="72">
        <f t="shared" si="123"/>
        <v>0</v>
      </c>
      <c r="S332" s="72">
        <f t="shared" si="123"/>
        <v>0</v>
      </c>
      <c r="T332" s="72">
        <f t="shared" si="123"/>
        <v>0</v>
      </c>
      <c r="U332" s="72">
        <f t="shared" si="123"/>
        <v>0</v>
      </c>
      <c r="V332" s="72">
        <f t="shared" si="123"/>
        <v>0</v>
      </c>
      <c r="W332" s="72">
        <f t="shared" si="123"/>
        <v>0</v>
      </c>
      <c r="X332" s="72">
        <f t="shared" si="123"/>
        <v>0</v>
      </c>
      <c r="Y332" s="72">
        <f t="shared" si="123"/>
        <v>0</v>
      </c>
      <c r="Z332" s="72">
        <f t="shared" si="123"/>
        <v>0</v>
      </c>
      <c r="AA332" s="72">
        <f t="shared" si="123"/>
        <v>0</v>
      </c>
      <c r="AB332" s="72">
        <f t="shared" si="123"/>
        <v>0</v>
      </c>
      <c r="AC332" s="72">
        <f t="shared" si="123"/>
        <v>0</v>
      </c>
      <c r="AD332" s="72">
        <f t="shared" si="123"/>
        <v>0</v>
      </c>
      <c r="AE332" s="72">
        <f t="shared" si="123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1369</v>
      </c>
      <c r="E333" s="71" t="s">
        <v>1485</v>
      </c>
      <c r="F333" s="72">
        <f t="shared" si="118"/>
        <v>0.2883</v>
      </c>
      <c r="G333" s="72">
        <f t="shared" si="119"/>
        <v>0.52600000000000002</v>
      </c>
      <c r="H333" s="72">
        <f t="shared" si="120"/>
        <v>1.8244883801595562</v>
      </c>
      <c r="I333" s="70"/>
      <c r="J333" s="70"/>
      <c r="K333" s="72"/>
      <c r="L333" s="72">
        <f t="shared" ref="L333:AE333" si="124">L279*$F333/1000</f>
        <v>13.508713893592759</v>
      </c>
      <c r="M333" s="72">
        <f t="shared" si="124"/>
        <v>13.954501452081319</v>
      </c>
      <c r="N333" s="72">
        <f t="shared" si="124"/>
        <v>14.414999999999999</v>
      </c>
      <c r="O333" s="72">
        <f t="shared" si="124"/>
        <v>14.890694999999997</v>
      </c>
      <c r="P333" s="72">
        <f t="shared" si="124"/>
        <v>15.382087934999998</v>
      </c>
      <c r="Q333" s="72">
        <f t="shared" si="124"/>
        <v>15.889696836854995</v>
      </c>
      <c r="R333" s="72">
        <f t="shared" si="124"/>
        <v>16.414056832471207</v>
      </c>
      <c r="S333" s="72">
        <f t="shared" si="124"/>
        <v>16.955720707942756</v>
      </c>
      <c r="T333" s="72">
        <f t="shared" si="124"/>
        <v>17.515259491304867</v>
      </c>
      <c r="U333" s="72">
        <f t="shared" si="124"/>
        <v>18.093263054517926</v>
      </c>
      <c r="V333" s="72">
        <f t="shared" si="124"/>
        <v>18.690340735317015</v>
      </c>
      <c r="W333" s="72">
        <f t="shared" si="124"/>
        <v>19.307121979582476</v>
      </c>
      <c r="X333" s="72">
        <f t="shared" si="124"/>
        <v>19.944257004908696</v>
      </c>
      <c r="Y333" s="72">
        <f t="shared" si="124"/>
        <v>20.602417486070681</v>
      </c>
      <c r="Z333" s="72">
        <f t="shared" si="124"/>
        <v>21.282297263111012</v>
      </c>
      <c r="AA333" s="72">
        <f t="shared" si="124"/>
        <v>21.984613072793675</v>
      </c>
      <c r="AB333" s="72">
        <f t="shared" si="124"/>
        <v>22.710105304195867</v>
      </c>
      <c r="AC333" s="72">
        <f t="shared" si="124"/>
        <v>23.459538779234329</v>
      </c>
      <c r="AD333" s="72">
        <f t="shared" si="124"/>
        <v>24.23370355894906</v>
      </c>
      <c r="AE333" s="72">
        <f t="shared" si="124"/>
        <v>25.033415776394378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1442</v>
      </c>
      <c r="E334" s="71" t="s">
        <v>1485</v>
      </c>
      <c r="F334" s="72">
        <f t="shared" si="118"/>
        <v>1.8512999999999999</v>
      </c>
      <c r="G334" s="72">
        <f t="shared" si="119"/>
        <v>0</v>
      </c>
      <c r="H334" s="72">
        <f t="shared" si="120"/>
        <v>0</v>
      </c>
      <c r="I334" s="70"/>
      <c r="J334" s="70"/>
      <c r="K334" s="72"/>
      <c r="L334" s="72">
        <f t="shared" ref="L334:AE334" si="125">L280*$F334/1000</f>
        <v>3.1638306570517116</v>
      </c>
      <c r="M334" s="72">
        <f t="shared" si="125"/>
        <v>3.2334349315068494</v>
      </c>
      <c r="N334" s="72">
        <f t="shared" si="125"/>
        <v>3.3045704999999996</v>
      </c>
      <c r="O334" s="72">
        <f t="shared" si="125"/>
        <v>3.3772710509999997</v>
      </c>
      <c r="P334" s="72">
        <f t="shared" si="125"/>
        <v>3.4515710141219995</v>
      </c>
      <c r="Q334" s="72">
        <f t="shared" si="125"/>
        <v>3.5275055764326835</v>
      </c>
      <c r="R334" s="72">
        <f t="shared" si="125"/>
        <v>3.6051106991142028</v>
      </c>
      <c r="S334" s="72">
        <f t="shared" si="125"/>
        <v>3.6844231344947151</v>
      </c>
      <c r="T334" s="72">
        <f t="shared" si="125"/>
        <v>3.7654804434535989</v>
      </c>
      <c r="U334" s="72">
        <f t="shared" si="125"/>
        <v>3.8483210132095782</v>
      </c>
      <c r="V334" s="72">
        <f t="shared" si="125"/>
        <v>3.932984075500189</v>
      </c>
      <c r="W334" s="72">
        <f t="shared" si="125"/>
        <v>4.0195097251611935</v>
      </c>
      <c r="X334" s="72">
        <f t="shared" si="125"/>
        <v>4.1079389391147396</v>
      </c>
      <c r="Y334" s="72">
        <f t="shared" si="125"/>
        <v>4.1983135957752644</v>
      </c>
      <c r="Z334" s="72">
        <f t="shared" si="125"/>
        <v>4.2906764948823204</v>
      </c>
      <c r="AA334" s="72">
        <f t="shared" si="125"/>
        <v>4.385071377769731</v>
      </c>
      <c r="AB334" s="72">
        <f t="shared" si="125"/>
        <v>4.4815429480806648</v>
      </c>
      <c r="AC334" s="72">
        <f t="shared" si="125"/>
        <v>4.5801368929384401</v>
      </c>
      <c r="AD334" s="72">
        <f t="shared" si="125"/>
        <v>4.680899904583085</v>
      </c>
      <c r="AE334" s="72">
        <f t="shared" si="125"/>
        <v>4.7838797024839135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1383</v>
      </c>
      <c r="E335" s="71" t="s">
        <v>1485</v>
      </c>
      <c r="F335" s="72">
        <f t="shared" si="118"/>
        <v>0.11219999999999999</v>
      </c>
      <c r="G335" s="72">
        <f t="shared" si="119"/>
        <v>0</v>
      </c>
      <c r="H335" s="72">
        <f t="shared" si="120"/>
        <v>0</v>
      </c>
      <c r="I335" s="70"/>
      <c r="J335" s="70"/>
      <c r="K335" s="72"/>
      <c r="L335" s="72">
        <f t="shared" ref="L335:AE335" si="126">L281*$F335/1000</f>
        <v>0.30078009811543305</v>
      </c>
      <c r="M335" s="72">
        <f t="shared" si="126"/>
        <v>0.30739726027397257</v>
      </c>
      <c r="N335" s="72">
        <f t="shared" si="126"/>
        <v>0.31415999999999999</v>
      </c>
      <c r="O335" s="72">
        <f t="shared" si="126"/>
        <v>0.32107151999999994</v>
      </c>
      <c r="P335" s="72">
        <f t="shared" si="126"/>
        <v>0.32813509343999991</v>
      </c>
      <c r="Q335" s="72">
        <f t="shared" si="126"/>
        <v>0.33535406549567992</v>
      </c>
      <c r="R335" s="72">
        <f t="shared" si="126"/>
        <v>0.34273185493658492</v>
      </c>
      <c r="S335" s="72">
        <f t="shared" si="126"/>
        <v>0.35027195574518982</v>
      </c>
      <c r="T335" s="72">
        <f t="shared" si="126"/>
        <v>0.35797793877158396</v>
      </c>
      <c r="U335" s="72">
        <f t="shared" si="126"/>
        <v>0.36585345342455883</v>
      </c>
      <c r="V335" s="72">
        <f t="shared" si="126"/>
        <v>0.37390222939989914</v>
      </c>
      <c r="W335" s="72">
        <f t="shared" si="126"/>
        <v>0.38212807844669699</v>
      </c>
      <c r="X335" s="72">
        <f t="shared" si="126"/>
        <v>0.39053489617252435</v>
      </c>
      <c r="Y335" s="72">
        <f t="shared" si="126"/>
        <v>0.39912666388831991</v>
      </c>
      <c r="Z335" s="72">
        <f t="shared" si="126"/>
        <v>0.40790745049386296</v>
      </c>
      <c r="AA335" s="72">
        <f t="shared" si="126"/>
        <v>0.41688141440472792</v>
      </c>
      <c r="AB335" s="72">
        <f t="shared" si="126"/>
        <v>0.42605280552163199</v>
      </c>
      <c r="AC335" s="72">
        <f t="shared" si="126"/>
        <v>0.43542596724310795</v>
      </c>
      <c r="AD335" s="72">
        <f t="shared" si="126"/>
        <v>0.44500533852245627</v>
      </c>
      <c r="AE335" s="72">
        <f t="shared" si="126"/>
        <v>0.45479545596995036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1390</v>
      </c>
      <c r="E336" s="71" t="s">
        <v>1485</v>
      </c>
      <c r="F336" s="72">
        <f t="shared" si="118"/>
        <v>0.11219999999999999</v>
      </c>
      <c r="G336" s="72">
        <f t="shared" si="119"/>
        <v>0.97</v>
      </c>
      <c r="H336" s="72">
        <f t="shared" si="120"/>
        <v>8.6452762923351152</v>
      </c>
      <c r="I336" s="70"/>
      <c r="J336" s="70"/>
      <c r="K336" s="72"/>
      <c r="L336" s="72">
        <f t="shared" ref="L336:AE336" si="127">L282*$F336/1000</f>
        <v>6.4452878167592806E-2</v>
      </c>
      <c r="M336" s="72">
        <f t="shared" si="127"/>
        <v>6.5870841487279841E-2</v>
      </c>
      <c r="N336" s="72">
        <f t="shared" si="127"/>
        <v>6.7319999999999991E-2</v>
      </c>
      <c r="O336" s="72">
        <f t="shared" si="127"/>
        <v>6.8801039999999994E-2</v>
      </c>
      <c r="P336" s="72">
        <f t="shared" si="127"/>
        <v>7.0314662880000003E-2</v>
      </c>
      <c r="Q336" s="72">
        <f t="shared" si="127"/>
        <v>7.1861585463359995E-2</v>
      </c>
      <c r="R336" s="72">
        <f t="shared" si="127"/>
        <v>7.3442540343553922E-2</v>
      </c>
      <c r="S336" s="72">
        <f t="shared" si="127"/>
        <v>7.5058276231112109E-2</v>
      </c>
      <c r="T336" s="72">
        <f t="shared" si="127"/>
        <v>7.6709558308196577E-2</v>
      </c>
      <c r="U336" s="72">
        <f t="shared" si="127"/>
        <v>7.8397168590976909E-2</v>
      </c>
      <c r="V336" s="72">
        <f t="shared" si="127"/>
        <v>8.012190629997841E-2</v>
      </c>
      <c r="W336" s="72">
        <f t="shared" si="127"/>
        <v>8.1884588238577916E-2</v>
      </c>
      <c r="X336" s="72">
        <f t="shared" si="127"/>
        <v>8.3686049179826624E-2</v>
      </c>
      <c r="Y336" s="72">
        <f t="shared" si="127"/>
        <v>8.5527142261782832E-2</v>
      </c>
      <c r="Z336" s="72">
        <f t="shared" si="127"/>
        <v>8.7408739391542062E-2</v>
      </c>
      <c r="AA336" s="72">
        <f t="shared" si="127"/>
        <v>8.9331731658155972E-2</v>
      </c>
      <c r="AB336" s="72">
        <f t="shared" si="127"/>
        <v>9.1297029754635398E-2</v>
      </c>
      <c r="AC336" s="72">
        <f t="shared" si="127"/>
        <v>9.3305564409237388E-2</v>
      </c>
      <c r="AD336" s="72">
        <f t="shared" si="127"/>
        <v>9.5358286826240618E-2</v>
      </c>
      <c r="AE336" s="72">
        <f t="shared" si="127"/>
        <v>9.7456169136417914E-2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1397</v>
      </c>
      <c r="E337" s="71" t="s">
        <v>1485</v>
      </c>
      <c r="F337" s="72">
        <f t="shared" si="118"/>
        <v>0.156</v>
      </c>
      <c r="G337" s="72">
        <f t="shared" si="119"/>
        <v>2.35</v>
      </c>
      <c r="H337" s="72">
        <f t="shared" si="120"/>
        <v>15.064102564102564</v>
      </c>
      <c r="I337" s="70"/>
      <c r="J337" s="70"/>
      <c r="K337" s="72"/>
      <c r="L337" s="72">
        <f t="shared" ref="L337:AE337" si="128">L283*$F337/1000</f>
        <v>4.2047573055412055E-2</v>
      </c>
      <c r="M337" s="72">
        <f t="shared" si="128"/>
        <v>4.4360189573459712E-2</v>
      </c>
      <c r="N337" s="72">
        <f t="shared" si="128"/>
        <v>4.6799999999999994E-2</v>
      </c>
      <c r="O337" s="72">
        <f t="shared" si="128"/>
        <v>4.9374000000000001E-2</v>
      </c>
      <c r="P337" s="72">
        <f t="shared" si="128"/>
        <v>5.2089569999999995E-2</v>
      </c>
      <c r="Q337" s="72">
        <f t="shared" si="128"/>
        <v>5.4954496349999993E-2</v>
      </c>
      <c r="R337" s="72">
        <f t="shared" si="128"/>
        <v>5.7976993649249998E-2</v>
      </c>
      <c r="S337" s="72">
        <f t="shared" si="128"/>
        <v>6.1165728299958741E-2</v>
      </c>
      <c r="T337" s="72">
        <f t="shared" si="128"/>
        <v>6.4529843356456465E-2</v>
      </c>
      <c r="U337" s="72">
        <f t="shared" si="128"/>
        <v>6.8078984741061568E-2</v>
      </c>
      <c r="V337" s="72">
        <f t="shared" si="128"/>
        <v>7.1823328901819944E-2</v>
      </c>
      <c r="W337" s="72">
        <f t="shared" si="128"/>
        <v>7.5773611991420048E-2</v>
      </c>
      <c r="X337" s="72">
        <f t="shared" si="128"/>
        <v>7.9941160650948154E-2</v>
      </c>
      <c r="Y337" s="72">
        <f t="shared" si="128"/>
        <v>8.4337924486750301E-2</v>
      </c>
      <c r="Z337" s="72">
        <f t="shared" si="128"/>
        <v>8.8976510333521566E-2</v>
      </c>
      <c r="AA337" s="72">
        <f t="shared" si="128"/>
        <v>9.3870218401865241E-2</v>
      </c>
      <c r="AB337" s="72">
        <f t="shared" si="128"/>
        <v>9.9033080413967828E-2</v>
      </c>
      <c r="AC337" s="72">
        <f t="shared" si="128"/>
        <v>0.10447989983673606</v>
      </c>
      <c r="AD337" s="72">
        <f t="shared" si="128"/>
        <v>0.11022629432775652</v>
      </c>
      <c r="AE337" s="72">
        <f t="shared" si="128"/>
        <v>0.11628874051578311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1486</v>
      </c>
      <c r="E338" s="70"/>
      <c r="F338" s="70"/>
      <c r="G338" s="70"/>
      <c r="H338" s="70"/>
      <c r="I338" s="70"/>
      <c r="J338" s="70"/>
      <c r="K338" s="72"/>
      <c r="L338" s="72">
        <f t="shared" ref="L338:AE338" si="129">SUM(L330:L337)</f>
        <v>20.926246357744834</v>
      </c>
      <c r="M338" s="72">
        <f t="shared" si="129"/>
        <v>21.621228468026327</v>
      </c>
      <c r="N338" s="72">
        <f t="shared" si="129"/>
        <v>22.340203500000001</v>
      </c>
      <c r="O338" s="72">
        <f t="shared" si="129"/>
        <v>23.084029143000002</v>
      </c>
      <c r="P338" s="72">
        <f t="shared" si="129"/>
        <v>23.853594734849999</v>
      </c>
      <c r="Q338" s="72">
        <f t="shared" si="129"/>
        <v>24.649822464218669</v>
      </c>
      <c r="R338" s="72">
        <f t="shared" si="129"/>
        <v>25.473668619896113</v>
      </c>
      <c r="S338" s="72">
        <f t="shared" si="129"/>
        <v>26.326124888867827</v>
      </c>
      <c r="T338" s="72">
        <f t="shared" si="129"/>
        <v>27.20821970513958</v>
      </c>
      <c r="U338" s="72">
        <f t="shared" si="129"/>
        <v>28.121019651346554</v>
      </c>
      <c r="V338" s="72">
        <f t="shared" si="129"/>
        <v>29.065630915263306</v>
      </c>
      <c r="W338" s="72">
        <f t="shared" si="129"/>
        <v>30.043200803417918</v>
      </c>
      <c r="X338" s="72">
        <f t="shared" si="129"/>
        <v>31.054919314104183</v>
      </c>
      <c r="Y338" s="72">
        <f t="shared" si="129"/>
        <v>32.102020772179657</v>
      </c>
      <c r="Z338" s="72">
        <f t="shared" si="129"/>
        <v>33.185785528135781</v>
      </c>
      <c r="AA338" s="72">
        <f t="shared" si="129"/>
        <v>34.307541724028312</v>
      </c>
      <c r="AB338" s="72">
        <f t="shared" si="129"/>
        <v>35.468667128962927</v>
      </c>
      <c r="AC338" s="72">
        <f t="shared" si="129"/>
        <v>36.67059104694183</v>
      </c>
      <c r="AD338" s="72">
        <f t="shared" si="129"/>
        <v>37.914796299992908</v>
      </c>
      <c r="AE338" s="72">
        <f t="shared" si="129"/>
        <v>39.202821289623259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70"/>
      <c r="E339" s="70"/>
      <c r="F339" s="70"/>
      <c r="G339" s="70"/>
      <c r="H339" s="70"/>
      <c r="I339" s="70"/>
      <c r="J339" s="70"/>
      <c r="K339" s="72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</row>
    <row r="340" spans="1:35" x14ac:dyDescent="0.45">
      <c r="A340" s="71"/>
      <c r="B340" s="52"/>
      <c r="C340" s="73" t="s">
        <v>1487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30">L274</f>
        <v>2022</v>
      </c>
      <c r="M340" s="74">
        <f t="shared" si="130"/>
        <v>2023</v>
      </c>
      <c r="N340" s="74">
        <f t="shared" si="130"/>
        <v>2024</v>
      </c>
      <c r="O340" s="74">
        <f t="shared" si="130"/>
        <v>2025</v>
      </c>
      <c r="P340" s="74">
        <f t="shared" si="130"/>
        <v>2026</v>
      </c>
      <c r="Q340" s="74">
        <f t="shared" si="130"/>
        <v>2027</v>
      </c>
      <c r="R340" s="74">
        <f t="shared" si="130"/>
        <v>2028</v>
      </c>
      <c r="S340" s="74">
        <f t="shared" si="130"/>
        <v>2029</v>
      </c>
      <c r="T340" s="74">
        <f t="shared" si="130"/>
        <v>2030</v>
      </c>
      <c r="U340" s="74">
        <f t="shared" si="130"/>
        <v>2031</v>
      </c>
      <c r="V340" s="74">
        <f t="shared" si="130"/>
        <v>2032</v>
      </c>
      <c r="W340" s="74">
        <f t="shared" si="130"/>
        <v>2033</v>
      </c>
      <c r="X340" s="74">
        <f t="shared" si="130"/>
        <v>2034</v>
      </c>
      <c r="Y340" s="74">
        <f t="shared" si="130"/>
        <v>2035</v>
      </c>
      <c r="Z340" s="74">
        <f t="shared" si="130"/>
        <v>2036</v>
      </c>
      <c r="AA340" s="74">
        <f t="shared" si="130"/>
        <v>2037</v>
      </c>
      <c r="AB340" s="74">
        <f t="shared" si="130"/>
        <v>2038</v>
      </c>
      <c r="AC340" s="74">
        <f t="shared" si="130"/>
        <v>2039</v>
      </c>
      <c r="AD340" s="74">
        <f t="shared" si="130"/>
        <v>2040</v>
      </c>
      <c r="AE340" s="74">
        <f t="shared" si="130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1485</v>
      </c>
      <c r="F341" s="70"/>
      <c r="G341" s="70"/>
      <c r="H341" s="70"/>
      <c r="I341" s="70"/>
      <c r="J341" s="70"/>
      <c r="K341" s="72"/>
      <c r="L341" s="72">
        <f t="shared" ref="L341:L348" si="131">L276*G330/1000</f>
        <v>0.18716695292200644</v>
      </c>
      <c r="M341" s="72">
        <f t="shared" ref="M341:M348" si="132">M276*G330/1000</f>
        <v>0.1954022988505747</v>
      </c>
      <c r="N341" s="72">
        <f t="shared" ref="N341:N348" si="133">N276*G330/1000</f>
        <v>0.20399999999999999</v>
      </c>
      <c r="O341" s="72">
        <f t="shared" ref="O341:O348" si="134">O276*G330/1000</f>
        <v>0.21297600000000003</v>
      </c>
      <c r="P341" s="72">
        <f t="shared" ref="P341:P348" si="135">P276*G330/1000</f>
        <v>0.22234694400000005</v>
      </c>
      <c r="Q341" s="72">
        <f t="shared" ref="Q341:Q348" si="136">Q276*G330/1000</f>
        <v>0.23213020953600005</v>
      </c>
      <c r="R341" s="72">
        <f t="shared" ref="R341:R348" si="137">R276*G330/1000</f>
        <v>0.24234393875558408</v>
      </c>
      <c r="S341" s="72">
        <f t="shared" ref="S341:S348" si="138">S276*G330/1000</f>
        <v>0.25300707206082979</v>
      </c>
      <c r="T341" s="72">
        <f t="shared" ref="T341:T348" si="139">T276*G330/1000</f>
        <v>0.26413938323150632</v>
      </c>
      <c r="U341" s="72">
        <f t="shared" ref="U341:U348" si="140">U276*G330/1000</f>
        <v>0.27576151609369259</v>
      </c>
      <c r="V341" s="72">
        <f t="shared" ref="V341:V348" si="141">V276*G330/1000</f>
        <v>0.28789502280181506</v>
      </c>
      <c r="W341" s="72">
        <f t="shared" ref="W341:W348" si="142">W276*G330/1000</f>
        <v>0.30056240380509497</v>
      </c>
      <c r="X341" s="72">
        <f t="shared" ref="X341:X348" si="143">X276*G330/1000</f>
        <v>0.31378714957251913</v>
      </c>
      <c r="Y341" s="72">
        <f t="shared" ref="Y341:Y348" si="144">Y276*G330/1000</f>
        <v>0.32759378415370999</v>
      </c>
      <c r="Z341" s="72">
        <f t="shared" ref="Z341:Z348" si="145">Z276*G330/1000</f>
        <v>0.34200791065647324</v>
      </c>
      <c r="AA341" s="72">
        <f t="shared" ref="AA341:AA348" si="146">AA276*G330/1000</f>
        <v>0.35705625872535807</v>
      </c>
      <c r="AB341" s="72">
        <f t="shared" ref="AB341:AB348" si="147">AB276*G330/1000</f>
        <v>0.37276673410927386</v>
      </c>
      <c r="AC341" s="72">
        <f t="shared" ref="AC341:AC348" si="148">AC276*G330/1000</f>
        <v>0.38916847041008185</v>
      </c>
      <c r="AD341" s="72">
        <f t="shared" ref="AD341:AD348" si="149">AD276*G330/1000</f>
        <v>0.40629188310812547</v>
      </c>
      <c r="AE341" s="72">
        <f t="shared" ref="AE341:AE348" si="150">AE276*G330/1000</f>
        <v>0.42416872596488298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1357</v>
      </c>
      <c r="E342" s="71" t="s">
        <v>1485</v>
      </c>
      <c r="F342" s="70"/>
      <c r="G342" s="70"/>
      <c r="H342" s="70"/>
      <c r="I342" s="70"/>
      <c r="J342" s="70"/>
      <c r="K342" s="72"/>
      <c r="L342" s="72">
        <f t="shared" si="131"/>
        <v>6.6058924560708152E-2</v>
      </c>
      <c r="M342" s="72">
        <f t="shared" si="132"/>
        <v>6.8965517241379309E-2</v>
      </c>
      <c r="N342" s="72">
        <f t="shared" si="133"/>
        <v>7.1999999999999995E-2</v>
      </c>
      <c r="O342" s="72">
        <f t="shared" si="134"/>
        <v>7.5167999999999999E-2</v>
      </c>
      <c r="P342" s="72">
        <f t="shared" si="135"/>
        <v>7.8475392000000005E-2</v>
      </c>
      <c r="Q342" s="72">
        <f t="shared" si="136"/>
        <v>8.1928309247999986E-2</v>
      </c>
      <c r="R342" s="72">
        <f t="shared" si="137"/>
        <v>8.5533154854912002E-2</v>
      </c>
      <c r="S342" s="72">
        <f t="shared" si="138"/>
        <v>8.9296613668528119E-2</v>
      </c>
      <c r="T342" s="72">
        <f t="shared" si="139"/>
        <v>9.3225664669943364E-2</v>
      </c>
      <c r="U342" s="72">
        <f t="shared" si="140"/>
        <v>9.7327593915420896E-2</v>
      </c>
      <c r="V342" s="72">
        <f t="shared" si="141"/>
        <v>0.10161000804769942</v>
      </c>
      <c r="W342" s="72">
        <f t="shared" si="142"/>
        <v>0.10608084840179818</v>
      </c>
      <c r="X342" s="72">
        <f t="shared" si="143"/>
        <v>0.1107484057314773</v>
      </c>
      <c r="Y342" s="72">
        <f t="shared" si="144"/>
        <v>0.1156213355836623</v>
      </c>
      <c r="Z342" s="72">
        <f t="shared" si="145"/>
        <v>0.12070867434934346</v>
      </c>
      <c r="AA342" s="72">
        <f t="shared" si="146"/>
        <v>0.12601985602071455</v>
      </c>
      <c r="AB342" s="72">
        <f t="shared" si="147"/>
        <v>0.13156472968562599</v>
      </c>
      <c r="AC342" s="72">
        <f t="shared" si="148"/>
        <v>0.13735357779179352</v>
      </c>
      <c r="AD342" s="72">
        <f t="shared" si="149"/>
        <v>0.14339713521463243</v>
      </c>
      <c r="AE342" s="72">
        <f t="shared" si="150"/>
        <v>0.1497066091640763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1363</v>
      </c>
      <c r="E343" s="71" t="s">
        <v>1485</v>
      </c>
      <c r="F343" s="70"/>
      <c r="G343" s="70"/>
      <c r="H343" s="70"/>
      <c r="I343" s="70"/>
      <c r="J343" s="70"/>
      <c r="K343" s="72"/>
      <c r="L343" s="72">
        <f t="shared" si="131"/>
        <v>0</v>
      </c>
      <c r="M343" s="72">
        <f t="shared" si="132"/>
        <v>0</v>
      </c>
      <c r="N343" s="72">
        <f t="shared" si="133"/>
        <v>0</v>
      </c>
      <c r="O343" s="72">
        <f t="shared" si="134"/>
        <v>0</v>
      </c>
      <c r="P343" s="72">
        <f t="shared" si="135"/>
        <v>0</v>
      </c>
      <c r="Q343" s="72">
        <f t="shared" si="136"/>
        <v>0</v>
      </c>
      <c r="R343" s="72">
        <f t="shared" si="137"/>
        <v>0</v>
      </c>
      <c r="S343" s="72">
        <f t="shared" si="138"/>
        <v>0</v>
      </c>
      <c r="T343" s="72">
        <f t="shared" si="139"/>
        <v>0</v>
      </c>
      <c r="U343" s="72">
        <f t="shared" si="140"/>
        <v>0</v>
      </c>
      <c r="V343" s="72">
        <f t="shared" si="141"/>
        <v>0</v>
      </c>
      <c r="W343" s="72">
        <f t="shared" si="142"/>
        <v>0</v>
      </c>
      <c r="X343" s="72">
        <f t="shared" si="143"/>
        <v>0</v>
      </c>
      <c r="Y343" s="72">
        <f t="shared" si="144"/>
        <v>0</v>
      </c>
      <c r="Z343" s="72">
        <f t="shared" si="145"/>
        <v>0</v>
      </c>
      <c r="AA343" s="72">
        <f t="shared" si="146"/>
        <v>0</v>
      </c>
      <c r="AB343" s="72">
        <f t="shared" si="147"/>
        <v>0</v>
      </c>
      <c r="AC343" s="72">
        <f t="shared" si="148"/>
        <v>0</v>
      </c>
      <c r="AD343" s="72">
        <f t="shared" si="149"/>
        <v>0</v>
      </c>
      <c r="AE343" s="72">
        <f t="shared" si="150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1369</v>
      </c>
      <c r="E344" s="71" t="s">
        <v>1485</v>
      </c>
      <c r="F344" s="70"/>
      <c r="G344" s="70"/>
      <c r="H344" s="70"/>
      <c r="I344" s="70"/>
      <c r="J344" s="70"/>
      <c r="K344" s="72"/>
      <c r="L344" s="72">
        <f t="shared" si="131"/>
        <v>24.646491529759945</v>
      </c>
      <c r="M344" s="72">
        <f t="shared" si="132"/>
        <v>25.459825750242022</v>
      </c>
      <c r="N344" s="72">
        <f t="shared" si="133"/>
        <v>26.3</v>
      </c>
      <c r="O344" s="72">
        <f t="shared" si="134"/>
        <v>27.167899999999999</v>
      </c>
      <c r="P344" s="72">
        <f t="shared" si="135"/>
        <v>28.064440699999995</v>
      </c>
      <c r="Q344" s="72">
        <f t="shared" si="136"/>
        <v>28.990567243099992</v>
      </c>
      <c r="R344" s="72">
        <f t="shared" si="137"/>
        <v>29.947255962122291</v>
      </c>
      <c r="S344" s="72">
        <f t="shared" si="138"/>
        <v>30.935515408872323</v>
      </c>
      <c r="T344" s="72">
        <f t="shared" si="139"/>
        <v>31.956387417365111</v>
      </c>
      <c r="U344" s="72">
        <f t="shared" si="140"/>
        <v>33.010948202138152</v>
      </c>
      <c r="V344" s="72">
        <f t="shared" si="141"/>
        <v>34.100309492808705</v>
      </c>
      <c r="W344" s="72">
        <f t="shared" si="142"/>
        <v>35.225619706071399</v>
      </c>
      <c r="X344" s="72">
        <f t="shared" si="143"/>
        <v>36.388065156371745</v>
      </c>
      <c r="Y344" s="72">
        <f t="shared" si="144"/>
        <v>37.588871306532013</v>
      </c>
      <c r="Z344" s="72">
        <f t="shared" si="145"/>
        <v>38.829304059647569</v>
      </c>
      <c r="AA344" s="72">
        <f t="shared" si="146"/>
        <v>40.110671093615935</v>
      </c>
      <c r="AB344" s="72">
        <f t="shared" si="147"/>
        <v>41.434323239705257</v>
      </c>
      <c r="AC344" s="72">
        <f t="shared" si="148"/>
        <v>42.801655906615522</v>
      </c>
      <c r="AD344" s="72">
        <f t="shared" si="149"/>
        <v>44.214110551533835</v>
      </c>
      <c r="AE344" s="72">
        <f t="shared" si="150"/>
        <v>45.673176199734449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1442</v>
      </c>
      <c r="E345" s="71" t="s">
        <v>1485</v>
      </c>
      <c r="F345" s="70"/>
      <c r="G345" s="70"/>
      <c r="H345" s="70"/>
      <c r="I345" s="70"/>
      <c r="J345" s="70"/>
      <c r="K345" s="72"/>
      <c r="L345" s="72">
        <f t="shared" si="131"/>
        <v>0</v>
      </c>
      <c r="M345" s="72">
        <f t="shared" si="132"/>
        <v>0</v>
      </c>
      <c r="N345" s="72">
        <f t="shared" si="133"/>
        <v>0</v>
      </c>
      <c r="O345" s="72">
        <f t="shared" si="134"/>
        <v>0</v>
      </c>
      <c r="P345" s="72">
        <f t="shared" si="135"/>
        <v>0</v>
      </c>
      <c r="Q345" s="72">
        <f t="shared" si="136"/>
        <v>0</v>
      </c>
      <c r="R345" s="72">
        <f t="shared" si="137"/>
        <v>0</v>
      </c>
      <c r="S345" s="72">
        <f t="shared" si="138"/>
        <v>0</v>
      </c>
      <c r="T345" s="72">
        <f t="shared" si="139"/>
        <v>0</v>
      </c>
      <c r="U345" s="72">
        <f t="shared" si="140"/>
        <v>0</v>
      </c>
      <c r="V345" s="72">
        <f t="shared" si="141"/>
        <v>0</v>
      </c>
      <c r="W345" s="72">
        <f t="shared" si="142"/>
        <v>0</v>
      </c>
      <c r="X345" s="72">
        <f t="shared" si="143"/>
        <v>0</v>
      </c>
      <c r="Y345" s="72">
        <f t="shared" si="144"/>
        <v>0</v>
      </c>
      <c r="Z345" s="72">
        <f t="shared" si="145"/>
        <v>0</v>
      </c>
      <c r="AA345" s="72">
        <f t="shared" si="146"/>
        <v>0</v>
      </c>
      <c r="AB345" s="72">
        <f t="shared" si="147"/>
        <v>0</v>
      </c>
      <c r="AC345" s="72">
        <f t="shared" si="148"/>
        <v>0</v>
      </c>
      <c r="AD345" s="72">
        <f t="shared" si="149"/>
        <v>0</v>
      </c>
      <c r="AE345" s="72">
        <f t="shared" si="150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1383</v>
      </c>
      <c r="E346" s="71" t="s">
        <v>1485</v>
      </c>
      <c r="F346" s="70"/>
      <c r="G346" s="70"/>
      <c r="H346" s="70"/>
      <c r="I346" s="70"/>
      <c r="J346" s="70"/>
      <c r="K346" s="72"/>
      <c r="L346" s="72">
        <f t="shared" si="131"/>
        <v>0</v>
      </c>
      <c r="M346" s="72">
        <f t="shared" si="132"/>
        <v>0</v>
      </c>
      <c r="N346" s="72">
        <f t="shared" si="133"/>
        <v>0</v>
      </c>
      <c r="O346" s="72">
        <f t="shared" si="134"/>
        <v>0</v>
      </c>
      <c r="P346" s="72">
        <f t="shared" si="135"/>
        <v>0</v>
      </c>
      <c r="Q346" s="72">
        <f t="shared" si="136"/>
        <v>0</v>
      </c>
      <c r="R346" s="72">
        <f t="shared" si="137"/>
        <v>0</v>
      </c>
      <c r="S346" s="72">
        <f t="shared" si="138"/>
        <v>0</v>
      </c>
      <c r="T346" s="72">
        <f t="shared" si="139"/>
        <v>0</v>
      </c>
      <c r="U346" s="72">
        <f t="shared" si="140"/>
        <v>0</v>
      </c>
      <c r="V346" s="72">
        <f t="shared" si="141"/>
        <v>0</v>
      </c>
      <c r="W346" s="72">
        <f t="shared" si="142"/>
        <v>0</v>
      </c>
      <c r="X346" s="72">
        <f t="shared" si="143"/>
        <v>0</v>
      </c>
      <c r="Y346" s="72">
        <f t="shared" si="144"/>
        <v>0</v>
      </c>
      <c r="Z346" s="72">
        <f t="shared" si="145"/>
        <v>0</v>
      </c>
      <c r="AA346" s="72">
        <f t="shared" si="146"/>
        <v>0</v>
      </c>
      <c r="AB346" s="72">
        <f t="shared" si="147"/>
        <v>0</v>
      </c>
      <c r="AC346" s="72">
        <f t="shared" si="148"/>
        <v>0</v>
      </c>
      <c r="AD346" s="72">
        <f t="shared" si="149"/>
        <v>0</v>
      </c>
      <c r="AE346" s="72">
        <f t="shared" si="150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1390</v>
      </c>
      <c r="E347" s="71" t="s">
        <v>1485</v>
      </c>
      <c r="F347" s="70"/>
      <c r="G347" s="70"/>
      <c r="H347" s="70"/>
      <c r="I347" s="70"/>
      <c r="J347" s="70"/>
      <c r="K347" s="72"/>
      <c r="L347" s="72">
        <f t="shared" si="131"/>
        <v>0.55721293959505358</v>
      </c>
      <c r="M347" s="72">
        <f t="shared" si="132"/>
        <v>0.56947162426614473</v>
      </c>
      <c r="N347" s="72">
        <f t="shared" si="133"/>
        <v>0.58199999999999996</v>
      </c>
      <c r="O347" s="72">
        <f t="shared" si="134"/>
        <v>0.594804</v>
      </c>
      <c r="P347" s="72">
        <f t="shared" si="135"/>
        <v>0.60788968800000009</v>
      </c>
      <c r="Q347" s="72">
        <f t="shared" si="136"/>
        <v>0.62126326113599994</v>
      </c>
      <c r="R347" s="72">
        <f t="shared" si="137"/>
        <v>0.63493105288099194</v>
      </c>
      <c r="S347" s="72">
        <f t="shared" si="138"/>
        <v>0.64889953604437378</v>
      </c>
      <c r="T347" s="72">
        <f t="shared" si="139"/>
        <v>0.66317532583735006</v>
      </c>
      <c r="U347" s="72">
        <f t="shared" si="140"/>
        <v>0.67776518300577182</v>
      </c>
      <c r="V347" s="72">
        <f t="shared" si="141"/>
        <v>0.69267601703189885</v>
      </c>
      <c r="W347" s="72">
        <f t="shared" si="142"/>
        <v>0.70791488940660052</v>
      </c>
      <c r="X347" s="72">
        <f t="shared" si="143"/>
        <v>0.72348901697354573</v>
      </c>
      <c r="Y347" s="72">
        <f t="shared" si="144"/>
        <v>0.73940577534696372</v>
      </c>
      <c r="Z347" s="72">
        <f t="shared" si="145"/>
        <v>0.75567270240459705</v>
      </c>
      <c r="AA347" s="72">
        <f t="shared" si="146"/>
        <v>0.77229750185749824</v>
      </c>
      <c r="AB347" s="72">
        <f t="shared" si="147"/>
        <v>0.78928804689836318</v>
      </c>
      <c r="AC347" s="72">
        <f t="shared" si="148"/>
        <v>0.80665238393012717</v>
      </c>
      <c r="AD347" s="72">
        <f t="shared" si="149"/>
        <v>0.82439873637659</v>
      </c>
      <c r="AE347" s="72">
        <f t="shared" si="150"/>
        <v>0.84253550857687498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1397</v>
      </c>
      <c r="E348" s="71" t="s">
        <v>1485</v>
      </c>
      <c r="F348" s="70"/>
      <c r="G348" s="70"/>
      <c r="H348" s="70"/>
      <c r="I348" s="70"/>
      <c r="J348" s="70"/>
      <c r="K348" s="72"/>
      <c r="L348" s="72">
        <f t="shared" si="131"/>
        <v>0.63340895307832257</v>
      </c>
      <c r="M348" s="72">
        <f t="shared" si="132"/>
        <v>0.66824644549763035</v>
      </c>
      <c r="N348" s="72">
        <f t="shared" si="133"/>
        <v>0.70499999999999996</v>
      </c>
      <c r="O348" s="72">
        <f t="shared" si="134"/>
        <v>0.74377499999999996</v>
      </c>
      <c r="P348" s="72">
        <f t="shared" si="135"/>
        <v>0.78468262499999997</v>
      </c>
      <c r="Q348" s="72">
        <f t="shared" si="136"/>
        <v>0.82784016937499993</v>
      </c>
      <c r="R348" s="72">
        <f t="shared" si="137"/>
        <v>0.87337137869062498</v>
      </c>
      <c r="S348" s="72">
        <f t="shared" si="138"/>
        <v>0.92140680451860935</v>
      </c>
      <c r="T348" s="72">
        <f t="shared" si="139"/>
        <v>0.97208417876713282</v>
      </c>
      <c r="U348" s="72">
        <f t="shared" si="140"/>
        <v>1.025548808599325</v>
      </c>
      <c r="V348" s="72">
        <f t="shared" si="141"/>
        <v>1.0819539930722879</v>
      </c>
      <c r="W348" s="72">
        <f t="shared" si="142"/>
        <v>1.1414614626912638</v>
      </c>
      <c r="X348" s="72">
        <f t="shared" si="143"/>
        <v>1.2042418431392832</v>
      </c>
      <c r="Y348" s="72">
        <f t="shared" si="144"/>
        <v>1.2704751445119435</v>
      </c>
      <c r="Z348" s="72">
        <f t="shared" si="145"/>
        <v>1.3403512774601003</v>
      </c>
      <c r="AA348" s="72">
        <f t="shared" si="146"/>
        <v>1.4140705977204062</v>
      </c>
      <c r="AB348" s="72">
        <f t="shared" si="147"/>
        <v>1.4918444805950282</v>
      </c>
      <c r="AC348" s="72">
        <f t="shared" si="148"/>
        <v>1.5738959270277546</v>
      </c>
      <c r="AD348" s="72">
        <f t="shared" si="149"/>
        <v>1.660460203014281</v>
      </c>
      <c r="AE348" s="72">
        <f t="shared" si="150"/>
        <v>1.7517855141800662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1486</v>
      </c>
      <c r="E349" s="70"/>
      <c r="F349" s="70"/>
      <c r="G349" s="70"/>
      <c r="H349" s="70"/>
      <c r="I349" s="70"/>
      <c r="J349" s="70"/>
      <c r="K349" s="72"/>
      <c r="L349" s="72">
        <f t="shared" ref="L349:AE349" si="151">SUM(L341:L348)</f>
        <v>26.090339299916039</v>
      </c>
      <c r="M349" s="72">
        <f t="shared" si="151"/>
        <v>26.961911636097753</v>
      </c>
      <c r="N349" s="72">
        <f t="shared" si="151"/>
        <v>27.863</v>
      </c>
      <c r="O349" s="72">
        <f t="shared" si="151"/>
        <v>28.794622999999998</v>
      </c>
      <c r="P349" s="72">
        <f t="shared" si="151"/>
        <v>29.757835348999993</v>
      </c>
      <c r="Q349" s="72">
        <f t="shared" si="151"/>
        <v>30.753729192394996</v>
      </c>
      <c r="R349" s="72">
        <f t="shared" si="151"/>
        <v>31.783435487304406</v>
      </c>
      <c r="S349" s="72">
        <f t="shared" si="151"/>
        <v>32.848125435164668</v>
      </c>
      <c r="T349" s="72">
        <f t="shared" si="151"/>
        <v>33.949011969871044</v>
      </c>
      <c r="U349" s="72">
        <f t="shared" si="151"/>
        <v>35.087351303752364</v>
      </c>
      <c r="V349" s="72">
        <f t="shared" si="151"/>
        <v>36.264444533762408</v>
      </c>
      <c r="W349" s="72">
        <f t="shared" si="151"/>
        <v>37.481639310376153</v>
      </c>
      <c r="X349" s="72">
        <f t="shared" si="151"/>
        <v>38.740331571788573</v>
      </c>
      <c r="Y349" s="72">
        <f t="shared" si="151"/>
        <v>40.041967346128295</v>
      </c>
      <c r="Z349" s="72">
        <f t="shared" si="151"/>
        <v>41.388044624518081</v>
      </c>
      <c r="AA349" s="72">
        <f t="shared" si="151"/>
        <v>42.780115307939909</v>
      </c>
      <c r="AB349" s="72">
        <f t="shared" si="151"/>
        <v>44.219787230993546</v>
      </c>
      <c r="AC349" s="72">
        <f t="shared" si="151"/>
        <v>45.708726265775283</v>
      </c>
      <c r="AD349" s="72">
        <f t="shared" si="151"/>
        <v>47.248658509247463</v>
      </c>
      <c r="AE349" s="72">
        <f t="shared" si="151"/>
        <v>48.841372557620346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/>
      <c r="E350" s="70"/>
      <c r="F350" s="70"/>
      <c r="G350" s="70"/>
      <c r="H350" s="70"/>
      <c r="I350" s="70"/>
      <c r="J350" s="70"/>
      <c r="K350" s="72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</row>
    <row r="351" spans="1:35" x14ac:dyDescent="0.45">
      <c r="A351" s="70"/>
      <c r="B351" s="52"/>
      <c r="C351" s="73" t="s">
        <v>1488</v>
      </c>
      <c r="D351" s="73"/>
      <c r="E351" s="72" t="s">
        <v>1489</v>
      </c>
      <c r="F351" s="72" t="s">
        <v>1407</v>
      </c>
      <c r="G351" s="72" t="s">
        <v>1490</v>
      </c>
      <c r="H351" s="74"/>
      <c r="I351" s="74"/>
      <c r="J351" s="74"/>
      <c r="K351" s="74"/>
      <c r="L351" s="74">
        <f t="shared" ref="L351:AE351" si="152">L298</f>
        <v>2022</v>
      </c>
      <c r="M351" s="74">
        <f t="shared" si="152"/>
        <v>2023</v>
      </c>
      <c r="N351" s="74">
        <f t="shared" si="152"/>
        <v>2024</v>
      </c>
      <c r="O351" s="74">
        <f t="shared" si="152"/>
        <v>2025</v>
      </c>
      <c r="P351" s="74">
        <f t="shared" si="152"/>
        <v>2026</v>
      </c>
      <c r="Q351" s="74">
        <f t="shared" si="152"/>
        <v>2027</v>
      </c>
      <c r="R351" s="74">
        <f t="shared" si="152"/>
        <v>2028</v>
      </c>
      <c r="S351" s="74">
        <f t="shared" si="152"/>
        <v>2029</v>
      </c>
      <c r="T351" s="74">
        <f t="shared" si="152"/>
        <v>2030</v>
      </c>
      <c r="U351" s="74">
        <f t="shared" si="152"/>
        <v>2031</v>
      </c>
      <c r="V351" s="74">
        <f t="shared" si="152"/>
        <v>2032</v>
      </c>
      <c r="W351" s="74">
        <f t="shared" si="152"/>
        <v>2033</v>
      </c>
      <c r="X351" s="74">
        <f t="shared" si="152"/>
        <v>2034</v>
      </c>
      <c r="Y351" s="74">
        <f t="shared" si="152"/>
        <v>2035</v>
      </c>
      <c r="Z351" s="74">
        <f t="shared" si="152"/>
        <v>2036</v>
      </c>
      <c r="AA351" s="74">
        <f t="shared" si="152"/>
        <v>2037</v>
      </c>
      <c r="AB351" s="74">
        <f t="shared" si="152"/>
        <v>2038</v>
      </c>
      <c r="AC351" s="74">
        <f t="shared" si="152"/>
        <v>2039</v>
      </c>
      <c r="AD351" s="74">
        <f t="shared" si="152"/>
        <v>2040</v>
      </c>
      <c r="AE351" s="74">
        <f t="shared" si="152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>L330*(EXP(-($E352)*(L249))-1)</f>
        <v>0</v>
      </c>
      <c r="M352" s="72">
        <f>M330*(EXP(-($E352)*(M249))-1)</f>
        <v>0</v>
      </c>
      <c r="N352" s="72">
        <f>N330*(EXP(-($E352)*(N249))-1)</f>
        <v>0</v>
      </c>
      <c r="O352" s="72">
        <f>O330*(EXP(-($E352)*(O249))-1)</f>
        <v>0</v>
      </c>
      <c r="P352" s="72">
        <f>P330*(EXP(-($E352)*(P249))-1)</f>
        <v>0</v>
      </c>
      <c r="Q352" s="72">
        <f>Q330*(EXP(-($E352)*(Q249))-1)</f>
        <v>0</v>
      </c>
      <c r="R352" s="72">
        <f>R330*(EXP(-($E352)*(R249))-1)</f>
        <v>0</v>
      </c>
      <c r="S352" s="72">
        <f>S330*(EXP(-($E352)*(S249))-1)</f>
        <v>0</v>
      </c>
      <c r="T352" s="72">
        <f>T330*(EXP(-($E352)*(T249))-1)</f>
        <v>0</v>
      </c>
      <c r="U352" s="72">
        <f>U330*(EXP(-($E352)*(U249))-1)</f>
        <v>0</v>
      </c>
      <c r="V352" s="72">
        <f>V330*(EXP(-($E352)*(V249))-1)</f>
        <v>0</v>
      </c>
      <c r="W352" s="72">
        <f>W330*(EXP(-($E352)*(W249))-1)</f>
        <v>0</v>
      </c>
      <c r="X352" s="72">
        <f>X330*(EXP(-($E352)*(X249))-1)</f>
        <v>0</v>
      </c>
      <c r="Y352" s="72">
        <f>Y330*(EXP(-($E352)*(Y249))-1)</f>
        <v>0</v>
      </c>
      <c r="Z352" s="72">
        <f>Z330*(EXP(-($E352)*(Z249))-1)</f>
        <v>0</v>
      </c>
      <c r="AA352" s="72">
        <f>AA330*(EXP(-($E352)*(AA249))-1)</f>
        <v>0</v>
      </c>
      <c r="AB352" s="72">
        <f>AB330*(EXP(-($E352)*(AB249))-1)</f>
        <v>0</v>
      </c>
      <c r="AC352" s="72">
        <f>AC330*(EXP(-($E352)*(AC249))-1)</f>
        <v>0</v>
      </c>
      <c r="AD352" s="72">
        <f>AD330*(EXP(-($E352)*(AD249))-1)</f>
        <v>0</v>
      </c>
      <c r="AE352" s="72">
        <f>AE330*(EXP(-($E352)*(AE249))-1)</f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1357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>L331*(EXP(-($E353)*(L249))-1)</f>
        <v>0</v>
      </c>
      <c r="M353" s="72">
        <f>M331*(EXP(-($E353)*(M249))-1)</f>
        <v>0</v>
      </c>
      <c r="N353" s="72">
        <f>N331*(EXP(-($E353)*(N249))-1)</f>
        <v>0</v>
      </c>
      <c r="O353" s="72">
        <f>O331*(EXP(-($E353)*(O249))-1)</f>
        <v>0</v>
      </c>
      <c r="P353" s="72">
        <f>P331*(EXP(-($E353)*(P249))-1)</f>
        <v>0</v>
      </c>
      <c r="Q353" s="72">
        <f>Q331*(EXP(-($E353)*(Q249))-1)</f>
        <v>0</v>
      </c>
      <c r="R353" s="72">
        <f>R331*(EXP(-($E353)*(R249))-1)</f>
        <v>0</v>
      </c>
      <c r="S353" s="72">
        <f>S331*(EXP(-($E353)*(S249))-1)</f>
        <v>0</v>
      </c>
      <c r="T353" s="72">
        <f>T331*(EXP(-($E353)*(T249))-1)</f>
        <v>0</v>
      </c>
      <c r="U353" s="72">
        <f>U331*(EXP(-($E353)*(U249))-1)</f>
        <v>0</v>
      </c>
      <c r="V353" s="72">
        <f>V331*(EXP(-($E353)*(V249))-1)</f>
        <v>0</v>
      </c>
      <c r="W353" s="72">
        <f>W331*(EXP(-($E353)*(W249))-1)</f>
        <v>0</v>
      </c>
      <c r="X353" s="72">
        <f>X331*(EXP(-($E353)*(X249))-1)</f>
        <v>0</v>
      </c>
      <c r="Y353" s="72">
        <f>Y331*(EXP(-($E353)*(Y249))-1)</f>
        <v>0</v>
      </c>
      <c r="Z353" s="72">
        <f>Z331*(EXP(-($E353)*(Z249))-1)</f>
        <v>0</v>
      </c>
      <c r="AA353" s="72">
        <f>AA331*(EXP(-($E353)*(AA249))-1)</f>
        <v>0</v>
      </c>
      <c r="AB353" s="72">
        <f>AB331*(EXP(-($E353)*(AB249))-1)</f>
        <v>0</v>
      </c>
      <c r="AC353" s="72">
        <f>AC331*(EXP(-($E353)*(AC249))-1)</f>
        <v>0</v>
      </c>
      <c r="AD353" s="72">
        <f>AD331*(EXP(-($E353)*(AD249))-1)</f>
        <v>0</v>
      </c>
      <c r="AE353" s="72">
        <f>AE331*(EXP(-($E353)*(AE249))-1)</f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1408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>L332*(EXP(-($E354)*(L249))-1)</f>
        <v>0</v>
      </c>
      <c r="M354" s="72">
        <f>M332*(EXP(-($E354)*(M249))-1)</f>
        <v>0</v>
      </c>
      <c r="N354" s="72">
        <f>N332*(EXP(-($E354)*(N249))-1)</f>
        <v>0</v>
      </c>
      <c r="O354" s="72">
        <f>O332*(EXP(-($E354)*(O249))-1)</f>
        <v>0</v>
      </c>
      <c r="P354" s="72">
        <f>P332*(EXP(-($E354)*(P249))-1)</f>
        <v>0</v>
      </c>
      <c r="Q354" s="72">
        <f>Q332*(EXP(-($E354)*(Q249))-1)</f>
        <v>0</v>
      </c>
      <c r="R354" s="72">
        <f>R332*(EXP(-($E354)*(R249))-1)</f>
        <v>0</v>
      </c>
      <c r="S354" s="72">
        <f>S332*(EXP(-($E354)*(S249))-1)</f>
        <v>0</v>
      </c>
      <c r="T354" s="72">
        <f>T332*(EXP(-($E354)*(T249))-1)</f>
        <v>0</v>
      </c>
      <c r="U354" s="72">
        <f>U332*(EXP(-($E354)*(U249))-1)</f>
        <v>0</v>
      </c>
      <c r="V354" s="72">
        <f>V332*(EXP(-($E354)*(V249))-1)</f>
        <v>0</v>
      </c>
      <c r="W354" s="72">
        <f>W332*(EXP(-($E354)*(W249))-1)</f>
        <v>0</v>
      </c>
      <c r="X354" s="72">
        <f>X332*(EXP(-($E354)*(X249))-1)</f>
        <v>0</v>
      </c>
      <c r="Y354" s="72">
        <f>Y332*(EXP(-($E354)*(Y249))-1)</f>
        <v>0</v>
      </c>
      <c r="Z354" s="72">
        <f>Z332*(EXP(-($E354)*(Z249))-1)</f>
        <v>0</v>
      </c>
      <c r="AA354" s="72">
        <f>AA332*(EXP(-($E354)*(AA249))-1)</f>
        <v>0</v>
      </c>
      <c r="AB354" s="72">
        <f>AB332*(EXP(-($E354)*(AB249))-1)</f>
        <v>0</v>
      </c>
      <c r="AC354" s="72">
        <f>AC332*(EXP(-($E354)*(AC249))-1)</f>
        <v>0</v>
      </c>
      <c r="AD354" s="72">
        <f>AD332*(EXP(-($E354)*(AD249))-1)</f>
        <v>0</v>
      </c>
      <c r="AE354" s="72">
        <f>AE332*(EXP(-($E354)*(AE249))-1)</f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1409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>L333*(EXP(-($E355)*(L249))-1)</f>
        <v>0</v>
      </c>
      <c r="M355" s="72">
        <f>M333*(EXP(-($E355)*(M249))-1)</f>
        <v>0</v>
      </c>
      <c r="N355" s="72">
        <f>N333*(EXP(-($E355)*(N249))-1)</f>
        <v>0</v>
      </c>
      <c r="O355" s="72">
        <f>O333*(EXP(-($E355)*(O249))-1)</f>
        <v>0</v>
      </c>
      <c r="P355" s="72">
        <f>P333*(EXP(-($E355)*(P249))-1)</f>
        <v>0</v>
      </c>
      <c r="Q355" s="72">
        <f>Q333*(EXP(-($E355)*(Q249))-1)</f>
        <v>0</v>
      </c>
      <c r="R355" s="72">
        <f>R333*(EXP(-($E355)*(R249))-1)</f>
        <v>0</v>
      </c>
      <c r="S355" s="72">
        <f>S333*(EXP(-($E355)*(S249))-1)</f>
        <v>0</v>
      </c>
      <c r="T355" s="72">
        <f>T333*(EXP(-($E355)*(T249))-1)</f>
        <v>0</v>
      </c>
      <c r="U355" s="72">
        <f>U333*(EXP(-($E355)*(U249))-1)</f>
        <v>0</v>
      </c>
      <c r="V355" s="72">
        <f>V333*(EXP(-($E355)*(V249))-1)</f>
        <v>0</v>
      </c>
      <c r="W355" s="72">
        <f>W333*(EXP(-($E355)*(W249))-1)</f>
        <v>0</v>
      </c>
      <c r="X355" s="72">
        <f>X333*(EXP(-($E355)*(X249))-1)</f>
        <v>0</v>
      </c>
      <c r="Y355" s="72">
        <f>Y333*(EXP(-($E355)*(Y249))-1)</f>
        <v>0</v>
      </c>
      <c r="Z355" s="72">
        <f>Z333*(EXP(-($E355)*(Z249))-1)</f>
        <v>0</v>
      </c>
      <c r="AA355" s="72">
        <f>AA333*(EXP(-($E355)*(AA249))-1)</f>
        <v>0</v>
      </c>
      <c r="AB355" s="72">
        <f>AB333*(EXP(-($E355)*(AB249))-1)</f>
        <v>0</v>
      </c>
      <c r="AC355" s="72">
        <f>AC333*(EXP(-($E355)*(AC249))-1)</f>
        <v>0</v>
      </c>
      <c r="AD355" s="72">
        <f>AD333*(EXP(-($E355)*(AD249))-1)</f>
        <v>0</v>
      </c>
      <c r="AE355" s="72">
        <f>AE333*(EXP(-($E355)*(AE249))-1)</f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1410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>L334*(EXP(-($E356)*(L249))-1)</f>
        <v>0</v>
      </c>
      <c r="M356" s="72">
        <f>M334*(EXP(-($E356)*(M249))-1)</f>
        <v>0</v>
      </c>
      <c r="N356" s="72">
        <f>N334*(EXP(-($E356)*(N249))-1)</f>
        <v>0</v>
      </c>
      <c r="O356" s="72">
        <f>O334*(EXP(-($E356)*(O249))-1)</f>
        <v>0</v>
      </c>
      <c r="P356" s="72">
        <f>P334*(EXP(-($E356)*(P249))-1)</f>
        <v>0</v>
      </c>
      <c r="Q356" s="72">
        <f>Q334*(EXP(-($E356)*(Q249))-1)</f>
        <v>0</v>
      </c>
      <c r="R356" s="72">
        <f>R334*(EXP(-($E356)*(R249))-1)</f>
        <v>0</v>
      </c>
      <c r="S356" s="72">
        <f>S334*(EXP(-($E356)*(S249))-1)</f>
        <v>0</v>
      </c>
      <c r="T356" s="72">
        <f>T334*(EXP(-($E356)*(T249))-1)</f>
        <v>0</v>
      </c>
      <c r="U356" s="72">
        <f>U334*(EXP(-($E356)*(U249))-1)</f>
        <v>0</v>
      </c>
      <c r="V356" s="72">
        <f>V334*(EXP(-($E356)*(V249))-1)</f>
        <v>0</v>
      </c>
      <c r="W356" s="72">
        <f>W334*(EXP(-($E356)*(W249))-1)</f>
        <v>0</v>
      </c>
      <c r="X356" s="72">
        <f>X334*(EXP(-($E356)*(X249))-1)</f>
        <v>0</v>
      </c>
      <c r="Y356" s="72">
        <f>Y334*(EXP(-($E356)*(Y249))-1)</f>
        <v>0</v>
      </c>
      <c r="Z356" s="72">
        <f>Z334*(EXP(-($E356)*(Z249))-1)</f>
        <v>0</v>
      </c>
      <c r="AA356" s="72">
        <f>AA334*(EXP(-($E356)*(AA249))-1)</f>
        <v>0</v>
      </c>
      <c r="AB356" s="72">
        <f>AB334*(EXP(-($E356)*(AB249))-1)</f>
        <v>0</v>
      </c>
      <c r="AC356" s="72">
        <f>AC334*(EXP(-($E356)*(AC249))-1)</f>
        <v>0</v>
      </c>
      <c r="AD356" s="72">
        <f>AD334*(EXP(-($E356)*(AD249))-1)</f>
        <v>0</v>
      </c>
      <c r="AE356" s="72">
        <f>AE334*(EXP(-($E356)*(AE249))-1)</f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1383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>L335*(EXP(-($E357)*(L249))-1)</f>
        <v>0</v>
      </c>
      <c r="M357" s="72">
        <f>M335*(EXP(-($E357)*(M249))-1)</f>
        <v>0</v>
      </c>
      <c r="N357" s="72">
        <f>N335*(EXP(-($E357)*(N249))-1)</f>
        <v>0</v>
      </c>
      <c r="O357" s="72">
        <f>O335*(EXP(-($E357)*(O249))-1)</f>
        <v>0</v>
      </c>
      <c r="P357" s="72">
        <f>P335*(EXP(-($E357)*(P249))-1)</f>
        <v>0</v>
      </c>
      <c r="Q357" s="72">
        <f>Q335*(EXP(-($E357)*(Q249))-1)</f>
        <v>0</v>
      </c>
      <c r="R357" s="72">
        <f>R335*(EXP(-($E357)*(R249))-1)</f>
        <v>0</v>
      </c>
      <c r="S357" s="72">
        <f>S335*(EXP(-($E357)*(S249))-1)</f>
        <v>0</v>
      </c>
      <c r="T357" s="72">
        <f>T335*(EXP(-($E357)*(T249))-1)</f>
        <v>0</v>
      </c>
      <c r="U357" s="72">
        <f>U335*(EXP(-($E357)*(U249))-1)</f>
        <v>0</v>
      </c>
      <c r="V357" s="72">
        <f>V335*(EXP(-($E357)*(V249))-1)</f>
        <v>0</v>
      </c>
      <c r="W357" s="72">
        <f>W335*(EXP(-($E357)*(W249))-1)</f>
        <v>0</v>
      </c>
      <c r="X357" s="72">
        <f>X335*(EXP(-($E357)*(X249))-1)</f>
        <v>0</v>
      </c>
      <c r="Y357" s="72">
        <f>Y335*(EXP(-($E357)*(Y249))-1)</f>
        <v>0</v>
      </c>
      <c r="Z357" s="72">
        <f>Z335*(EXP(-($E357)*(Z249))-1)</f>
        <v>0</v>
      </c>
      <c r="AA357" s="72">
        <f>AA335*(EXP(-($E357)*(AA249))-1)</f>
        <v>0</v>
      </c>
      <c r="AB357" s="72">
        <f>AB335*(EXP(-($E357)*(AB249))-1)</f>
        <v>0</v>
      </c>
      <c r="AC357" s="72">
        <f>AC335*(EXP(-($E357)*(AC249))-1)</f>
        <v>0</v>
      </c>
      <c r="AD357" s="72">
        <f>AD335*(EXP(-($E357)*(AD249))-1)</f>
        <v>0</v>
      </c>
      <c r="AE357" s="72">
        <f>AE335*(EXP(-($E357)*(AE249))-1)</f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1411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>L336*(EXP(-($E358)*(L249))-1)</f>
        <v>0</v>
      </c>
      <c r="M358" s="72">
        <f>M336*(EXP(-($E358)*(M249))-1)</f>
        <v>0</v>
      </c>
      <c r="N358" s="72">
        <f>N336*(EXP(-($E358)*(N249))-1)</f>
        <v>0</v>
      </c>
      <c r="O358" s="72">
        <f>O336*(EXP(-($E358)*(O249))-1)</f>
        <v>0</v>
      </c>
      <c r="P358" s="72">
        <f>P336*(EXP(-($E358)*(P249))-1)</f>
        <v>0</v>
      </c>
      <c r="Q358" s="72">
        <f>Q336*(EXP(-($E358)*(Q249))-1)</f>
        <v>0</v>
      </c>
      <c r="R358" s="72">
        <f>R336*(EXP(-($E358)*(R249))-1)</f>
        <v>0</v>
      </c>
      <c r="S358" s="72">
        <f>S336*(EXP(-($E358)*(S249))-1)</f>
        <v>0</v>
      </c>
      <c r="T358" s="72">
        <f>T336*(EXP(-($E358)*(T249))-1)</f>
        <v>0</v>
      </c>
      <c r="U358" s="72">
        <f>U336*(EXP(-($E358)*(U249))-1)</f>
        <v>0</v>
      </c>
      <c r="V358" s="72">
        <f>V336*(EXP(-($E358)*(V249))-1)</f>
        <v>0</v>
      </c>
      <c r="W358" s="72">
        <f>W336*(EXP(-($E358)*(W249))-1)</f>
        <v>0</v>
      </c>
      <c r="X358" s="72">
        <f>X336*(EXP(-($E358)*(X249))-1)</f>
        <v>0</v>
      </c>
      <c r="Y358" s="72">
        <f>Y336*(EXP(-($E358)*(Y249))-1)</f>
        <v>0</v>
      </c>
      <c r="Z358" s="72">
        <f>Z336*(EXP(-($E358)*(Z249))-1)</f>
        <v>0</v>
      </c>
      <c r="AA358" s="72">
        <f>AA336*(EXP(-($E358)*(AA249))-1)</f>
        <v>0</v>
      </c>
      <c r="AB358" s="72">
        <f>AB336*(EXP(-($E358)*(AB249))-1)</f>
        <v>0</v>
      </c>
      <c r="AC358" s="72">
        <f>AC336*(EXP(-($E358)*(AC249))-1)</f>
        <v>0</v>
      </c>
      <c r="AD358" s="72">
        <f>AD336*(EXP(-($E358)*(AD249))-1)</f>
        <v>0</v>
      </c>
      <c r="AE358" s="72">
        <f>AE336*(EXP(-($E358)*(AE249))-1)</f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1397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>L337*(EXP(-($E359)*(L249))-1)</f>
        <v>0</v>
      </c>
      <c r="M359" s="72">
        <f>M337*(EXP(-($E359)*(M249))-1)</f>
        <v>0</v>
      </c>
      <c r="N359" s="72">
        <f>N337*(EXP(-($E359)*(N249))-1)</f>
        <v>0</v>
      </c>
      <c r="O359" s="72">
        <f>O337*(EXP(-($E359)*(O249))-1)</f>
        <v>0</v>
      </c>
      <c r="P359" s="72">
        <f>P337*(EXP(-($E359)*(P249))-1)</f>
        <v>0</v>
      </c>
      <c r="Q359" s="72">
        <f>Q337*(EXP(-($E359)*(Q249))-1)</f>
        <v>0</v>
      </c>
      <c r="R359" s="72">
        <f>R337*(EXP(-($E359)*(R249))-1)</f>
        <v>0</v>
      </c>
      <c r="S359" s="72">
        <f>S337*(EXP(-($E359)*(S249))-1)</f>
        <v>0</v>
      </c>
      <c r="T359" s="72">
        <f>T337*(EXP(-($E359)*(T249))-1)</f>
        <v>0</v>
      </c>
      <c r="U359" s="72">
        <f>U337*(EXP(-($E359)*(U249))-1)</f>
        <v>0</v>
      </c>
      <c r="V359" s="72">
        <f>V337*(EXP(-($E359)*(V249))-1)</f>
        <v>0</v>
      </c>
      <c r="W359" s="72">
        <f>W337*(EXP(-($E359)*(W249))-1)</f>
        <v>0</v>
      </c>
      <c r="X359" s="72">
        <f>X337*(EXP(-($E359)*(X249))-1)</f>
        <v>0</v>
      </c>
      <c r="Y359" s="72">
        <f>Y337*(EXP(-($E359)*(Y249))-1)</f>
        <v>0</v>
      </c>
      <c r="Z359" s="72">
        <f>Z337*(EXP(-($E359)*(Z249))-1)</f>
        <v>0</v>
      </c>
      <c r="AA359" s="72">
        <f>AA337*(EXP(-($E359)*(AA249))-1)</f>
        <v>0</v>
      </c>
      <c r="AB359" s="72">
        <f>AB337*(EXP(-($E359)*(AB249))-1)</f>
        <v>0</v>
      </c>
      <c r="AC359" s="72">
        <f>AC337*(EXP(-($E359)*(AC249))-1)</f>
        <v>0</v>
      </c>
      <c r="AD359" s="72">
        <f>AD337*(EXP(-($E359)*(AD249))-1)</f>
        <v>0</v>
      </c>
      <c r="AE359" s="72">
        <f>AE337*(EXP(-($E359)*(AE249))-1)</f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/>
      <c r="E360" s="72"/>
      <c r="F360" s="72"/>
      <c r="G360" s="70"/>
      <c r="H360" s="70"/>
      <c r="I360" s="72"/>
      <c r="J360" s="72"/>
      <c r="K360" s="72"/>
      <c r="L360" s="72">
        <f t="shared" ref="L360:AE360" si="153">SUM(L352:L359)</f>
        <v>0</v>
      </c>
      <c r="M360" s="72">
        <f t="shared" si="153"/>
        <v>0</v>
      </c>
      <c r="N360" s="72">
        <f t="shared" si="153"/>
        <v>0</v>
      </c>
      <c r="O360" s="72">
        <f t="shared" si="153"/>
        <v>0</v>
      </c>
      <c r="P360" s="72">
        <f t="shared" si="153"/>
        <v>0</v>
      </c>
      <c r="Q360" s="72">
        <f t="shared" si="153"/>
        <v>0</v>
      </c>
      <c r="R360" s="72">
        <f t="shared" si="153"/>
        <v>0</v>
      </c>
      <c r="S360" s="72">
        <f t="shared" si="153"/>
        <v>0</v>
      </c>
      <c r="T360" s="72">
        <f t="shared" si="153"/>
        <v>0</v>
      </c>
      <c r="U360" s="72">
        <f t="shared" si="153"/>
        <v>0</v>
      </c>
      <c r="V360" s="72">
        <f t="shared" si="153"/>
        <v>0</v>
      </c>
      <c r="W360" s="72">
        <f t="shared" si="153"/>
        <v>0</v>
      </c>
      <c r="X360" s="72">
        <f t="shared" si="153"/>
        <v>0</v>
      </c>
      <c r="Y360" s="72">
        <f t="shared" si="153"/>
        <v>0</v>
      </c>
      <c r="Z360" s="72">
        <f t="shared" si="153"/>
        <v>0</v>
      </c>
      <c r="AA360" s="72">
        <f t="shared" si="153"/>
        <v>0</v>
      </c>
      <c r="AB360" s="72">
        <f t="shared" si="153"/>
        <v>0</v>
      </c>
      <c r="AC360" s="72">
        <f t="shared" si="153"/>
        <v>0</v>
      </c>
      <c r="AD360" s="72">
        <f t="shared" si="153"/>
        <v>0</v>
      </c>
      <c r="AE360" s="72">
        <f t="shared" si="153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52"/>
      <c r="E361" s="70"/>
      <c r="F361" s="70"/>
      <c r="G361" s="70"/>
      <c r="H361" s="70"/>
      <c r="I361" s="70"/>
      <c r="J361" s="70"/>
      <c r="K361" s="72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</row>
    <row r="362" spans="1:35" x14ac:dyDescent="0.45">
      <c r="A362" s="70"/>
      <c r="B362" s="52"/>
      <c r="C362" s="73" t="s">
        <v>1491</v>
      </c>
      <c r="D362" s="73"/>
      <c r="E362" s="72" t="s">
        <v>1489</v>
      </c>
      <c r="F362" s="72" t="s">
        <v>1407</v>
      </c>
      <c r="G362" s="72" t="s">
        <v>1490</v>
      </c>
      <c r="H362" s="74"/>
      <c r="I362" s="74"/>
      <c r="J362" s="74"/>
      <c r="K362" s="74"/>
      <c r="L362" s="74">
        <f t="shared" ref="L362:AE362" si="154">L309</f>
        <v>2022</v>
      </c>
      <c r="M362" s="74">
        <f t="shared" si="154"/>
        <v>2023</v>
      </c>
      <c r="N362" s="74">
        <f t="shared" si="154"/>
        <v>2024</v>
      </c>
      <c r="O362" s="74">
        <f t="shared" si="154"/>
        <v>2025</v>
      </c>
      <c r="P362" s="74">
        <f t="shared" si="154"/>
        <v>2026</v>
      </c>
      <c r="Q362" s="74">
        <f t="shared" si="154"/>
        <v>2027</v>
      </c>
      <c r="R362" s="74">
        <f t="shared" si="154"/>
        <v>2028</v>
      </c>
      <c r="S362" s="74">
        <f t="shared" si="154"/>
        <v>2029</v>
      </c>
      <c r="T362" s="74">
        <f t="shared" si="154"/>
        <v>2030</v>
      </c>
      <c r="U362" s="74">
        <f t="shared" si="154"/>
        <v>2031</v>
      </c>
      <c r="V362" s="74">
        <f t="shared" si="154"/>
        <v>2032</v>
      </c>
      <c r="W362" s="74">
        <f t="shared" si="154"/>
        <v>2033</v>
      </c>
      <c r="X362" s="74">
        <f t="shared" si="154"/>
        <v>2034</v>
      </c>
      <c r="Y362" s="74">
        <f t="shared" si="154"/>
        <v>2035</v>
      </c>
      <c r="Z362" s="74">
        <f t="shared" si="154"/>
        <v>2036</v>
      </c>
      <c r="AA362" s="74">
        <f t="shared" si="154"/>
        <v>2037</v>
      </c>
      <c r="AB362" s="74">
        <f t="shared" si="154"/>
        <v>2038</v>
      </c>
      <c r="AC362" s="74">
        <f t="shared" si="154"/>
        <v>2039</v>
      </c>
      <c r="AD362" s="74">
        <f t="shared" si="154"/>
        <v>2040</v>
      </c>
      <c r="AE362" s="74">
        <f t="shared" si="154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82">
        <f>'Manual inputs'!E$40</f>
        <v>1.0536051565782599E-3</v>
      </c>
      <c r="F363" s="78">
        <f>'Manual inputs'!F$40</f>
        <v>0.1</v>
      </c>
      <c r="G363" s="72"/>
      <c r="H363" s="70"/>
      <c r="I363" s="70"/>
      <c r="J363" s="70"/>
      <c r="K363" s="70"/>
      <c r="L363" s="72">
        <f>L341*(EXP(-(E363)*(F310*L247+G310*L248))-1)</f>
        <v>0</v>
      </c>
      <c r="M363" s="72">
        <f>M341*(EXP(-(E363)*(F310*M247+G310*M248))-1)</f>
        <v>0</v>
      </c>
      <c r="N363" s="72">
        <f>N341*(EXP(-(E363)*(F310*N247+G310*N248))-1)</f>
        <v>0</v>
      </c>
      <c r="O363" s="72">
        <f>O341*(EXP(-(E363)*(F310*O247+G310*O248))-1)</f>
        <v>0</v>
      </c>
      <c r="P363" s="72">
        <f>P341*(EXP(-(E363)*(F310*P247+G310*P248))-1)</f>
        <v>0</v>
      </c>
      <c r="Q363" s="72">
        <f>Q341*(EXP(-(E363)*(F310*Q247+G310*Q248))-1)</f>
        <v>0</v>
      </c>
      <c r="R363" s="72">
        <f>R341*(EXP(-(E363)*(F310*R247+G310*R248))-1)</f>
        <v>0</v>
      </c>
      <c r="S363" s="72">
        <f>S341*(EXP(-(E363)*(F310*S247+G310*S248))-1)</f>
        <v>0</v>
      </c>
      <c r="T363" s="72">
        <f>T341*(EXP(-(E363)*(F310*T247+G310*T248))-1)</f>
        <v>0</v>
      </c>
      <c r="U363" s="72">
        <f>U341*(EXP(-(E363)*(F310*U247+G310*U248))-1)</f>
        <v>0</v>
      </c>
      <c r="V363" s="72">
        <f>V341*(EXP(-(E363)*(F310*V247+G310*V248))-1)</f>
        <v>0</v>
      </c>
      <c r="W363" s="72">
        <f>W341*(EXP(-(E363)*(F310*W247+G310*W248))-1)</f>
        <v>0</v>
      </c>
      <c r="X363" s="72">
        <f>X341*(EXP(-(E363)*(F310*X247+G310*X248))-1)</f>
        <v>0</v>
      </c>
      <c r="Y363" s="72">
        <f>Y341*(EXP(-(E363)*(F310*Y247+G310*Y248))-1)</f>
        <v>0</v>
      </c>
      <c r="Z363" s="72">
        <f>Z341*(EXP(-(E363)*(F310*Z247+G310*Z248))-1)</f>
        <v>0</v>
      </c>
      <c r="AA363" s="72">
        <f>AA341*(EXP(-(E363)*(F310*AA247+G310*AA248))-1)</f>
        <v>0</v>
      </c>
      <c r="AB363" s="72">
        <f>AB341*(EXP(-(E363)*(F310*AB247+G310*AB248))-1)</f>
        <v>0</v>
      </c>
      <c r="AC363" s="72">
        <f>AC341*(EXP(-(E363)*(F310*AC247+G310*AC248))-1)</f>
        <v>0</v>
      </c>
      <c r="AD363" s="72">
        <f>AD341*(EXP(-(E363)*(F310*AD247+G310*AD248))-1)</f>
        <v>0</v>
      </c>
      <c r="AE363" s="72">
        <f>AE341*(EXP(-(E363)*(F310*AE247+G310*AE248))-1)</f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1357</v>
      </c>
      <c r="E364" s="82">
        <f>'Manual inputs'!E$41</f>
        <v>2.0202707317519501E-4</v>
      </c>
      <c r="F364" s="78">
        <f>'Manual inputs'!F$41</f>
        <v>0.02</v>
      </c>
      <c r="G364" s="72"/>
      <c r="H364" s="70"/>
      <c r="I364" s="70"/>
      <c r="J364" s="70"/>
      <c r="K364" s="70"/>
      <c r="L364" s="72">
        <f>L342*(EXP(-(E364)*(F311*L247+G311*L248))-1)</f>
        <v>0</v>
      </c>
      <c r="M364" s="72">
        <f>M342*(EXP(-(E364)*(F311*M247+G311*M248))-1)</f>
        <v>0</v>
      </c>
      <c r="N364" s="72">
        <f>N342*(EXP(-(E364)*(F311*N247+G311*N248))-1)</f>
        <v>0</v>
      </c>
      <c r="O364" s="72">
        <f>O342*(EXP(-(E364)*(F311*O247+G311*O248))-1)</f>
        <v>0</v>
      </c>
      <c r="P364" s="72">
        <f>P342*(EXP(-(E364)*(F311*P247+G311*P248))-1)</f>
        <v>0</v>
      </c>
      <c r="Q364" s="72">
        <f>Q342*(EXP(-(E364)*(F311*Q247+G311*Q248))-1)</f>
        <v>0</v>
      </c>
      <c r="R364" s="72">
        <f>R342*(EXP(-(E364)*(F311*R247+G311*R248))-1)</f>
        <v>0</v>
      </c>
      <c r="S364" s="72">
        <f>S342*(EXP(-(E364)*(F311*S247+G311*S248))-1)</f>
        <v>0</v>
      </c>
      <c r="T364" s="72">
        <f>T342*(EXP(-(E364)*(F311*T247+G311*T248))-1)</f>
        <v>0</v>
      </c>
      <c r="U364" s="72">
        <f>U342*(EXP(-(E364)*(F311*U247+G311*U248))-1)</f>
        <v>0</v>
      </c>
      <c r="V364" s="72">
        <f>V342*(EXP(-(E364)*(F311*V247+G311*V248))-1)</f>
        <v>0</v>
      </c>
      <c r="W364" s="72">
        <f>W342*(EXP(-(E364)*(F311*W247+G311*W248))-1)</f>
        <v>0</v>
      </c>
      <c r="X364" s="72">
        <f>X342*(EXP(-(E364)*(F311*X247+G311*X248))-1)</f>
        <v>0</v>
      </c>
      <c r="Y364" s="72">
        <f>Y342*(EXP(-(E364)*(F311*Y247+G311*Y248))-1)</f>
        <v>0</v>
      </c>
      <c r="Z364" s="72">
        <f>Z342*(EXP(-(E364)*(F311*Z247+G311*Z248))-1)</f>
        <v>0</v>
      </c>
      <c r="AA364" s="72">
        <f>AA342*(EXP(-(E364)*(F311*AA247+G311*AA248))-1)</f>
        <v>0</v>
      </c>
      <c r="AB364" s="72">
        <f>AB342*(EXP(-(E364)*(F311*AB247+G311*AB248))-1)</f>
        <v>0</v>
      </c>
      <c r="AC364" s="72">
        <f>AC342*(EXP(-(E364)*(F311*AC247+G311*AC248))-1)</f>
        <v>0</v>
      </c>
      <c r="AD364" s="72">
        <f>AD342*(EXP(-(E364)*(F311*AD247+G311*AD248))-1)</f>
        <v>0</v>
      </c>
      <c r="AE364" s="72">
        <f>AE342*(EXP(-(E364)*(F311*AE247+G311*AE248))-1)</f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1408</v>
      </c>
      <c r="E365" s="82">
        <f>'Manual inputs'!E$42</f>
        <v>5.1293294387550598E-4</v>
      </c>
      <c r="F365" s="78">
        <f>'Manual inputs'!F$42</f>
        <v>0.05</v>
      </c>
      <c r="G365" s="72"/>
      <c r="H365" s="70"/>
      <c r="I365" s="70"/>
      <c r="J365" s="70"/>
      <c r="K365" s="70"/>
      <c r="L365" s="72">
        <f>L343*(EXP(-(E365)*(F312*L247+G312*L248))-1)</f>
        <v>0</v>
      </c>
      <c r="M365" s="72">
        <f>M343*(EXP(-(E365)*(F312*M247+G312*M248))-1)</f>
        <v>0</v>
      </c>
      <c r="N365" s="72">
        <f>N343*(EXP(-(E365)*(F312*N247+G312*N248))-1)</f>
        <v>0</v>
      </c>
      <c r="O365" s="72">
        <f>O343*(EXP(-(E365)*(F312*O247+G312*O248))-1)</f>
        <v>0</v>
      </c>
      <c r="P365" s="72">
        <f>P343*(EXP(-(E365)*(F312*P247+G312*P248))-1)</f>
        <v>0</v>
      </c>
      <c r="Q365" s="72">
        <f>Q343*(EXP(-(E365)*(F312*Q247+G312*Q248))-1)</f>
        <v>0</v>
      </c>
      <c r="R365" s="72">
        <f>R343*(EXP(-(E365)*(F312*R247+G312*R248))-1)</f>
        <v>0</v>
      </c>
      <c r="S365" s="72">
        <f>S343*(EXP(-(E365)*(F312*S247+G312*S248))-1)</f>
        <v>0</v>
      </c>
      <c r="T365" s="72">
        <f>T343*(EXP(-(E365)*(F312*T247+G312*T248))-1)</f>
        <v>0</v>
      </c>
      <c r="U365" s="72">
        <f>U343*(EXP(-(E365)*(F312*U247+G312*U248))-1)</f>
        <v>0</v>
      </c>
      <c r="V365" s="72">
        <f>V343*(EXP(-(E365)*(F312*V247+G312*V248))-1)</f>
        <v>0</v>
      </c>
      <c r="W365" s="72">
        <f>W343*(EXP(-(E365)*(F312*W247+G312*W248))-1)</f>
        <v>0</v>
      </c>
      <c r="X365" s="72">
        <f>X343*(EXP(-(E365)*(F312*X247+G312*X248))-1)</f>
        <v>0</v>
      </c>
      <c r="Y365" s="72">
        <f>Y343*(EXP(-(E365)*(F312*Y247+G312*Y248))-1)</f>
        <v>0</v>
      </c>
      <c r="Z365" s="72">
        <f>Z343*(EXP(-(E365)*(F312*Z247+G312*Z248))-1)</f>
        <v>0</v>
      </c>
      <c r="AA365" s="72">
        <f>AA343*(EXP(-(E365)*(F312*AA247+G312*AA248))-1)</f>
        <v>0</v>
      </c>
      <c r="AB365" s="72">
        <f>AB343*(EXP(-(E365)*(F312*AB247+G312*AB248))-1)</f>
        <v>0</v>
      </c>
      <c r="AC365" s="72">
        <f>AC343*(EXP(-(E365)*(F312*AC247+G312*AC248))-1)</f>
        <v>0</v>
      </c>
      <c r="AD365" s="72">
        <f>AD343*(EXP(-(E365)*(F312*AD247+G312*AD248))-1)</f>
        <v>0</v>
      </c>
      <c r="AE365" s="72">
        <f>AE343*(EXP(-(E365)*(F312*AE247+G312*AE248))-1)</f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1409</v>
      </c>
      <c r="E366" s="82">
        <f>'Manual inputs'!E$43</f>
        <v>8.3381608939051E-4</v>
      </c>
      <c r="F366" s="78">
        <f>'Manual inputs'!F$43</f>
        <v>0.08</v>
      </c>
      <c r="G366" s="72"/>
      <c r="H366" s="70"/>
      <c r="I366" s="70"/>
      <c r="J366" s="70"/>
      <c r="K366" s="70"/>
      <c r="L366" s="72">
        <f>L344*(EXP(-(E366)*(F313*L247+G313*L248))-1)</f>
        <v>0</v>
      </c>
      <c r="M366" s="72">
        <f>M344*(EXP(-(E366)*(F313*M247+G313*M248))-1)</f>
        <v>0</v>
      </c>
      <c r="N366" s="72">
        <f>N344*(EXP(-(E366)*(F313*N247+G313*N248))-1)</f>
        <v>0</v>
      </c>
      <c r="O366" s="72">
        <f>O344*(EXP(-(E366)*(F313*O247+G313*O248))-1)</f>
        <v>0</v>
      </c>
      <c r="P366" s="72">
        <f>P344*(EXP(-(E366)*(F313*P247+G313*P248))-1)</f>
        <v>0</v>
      </c>
      <c r="Q366" s="72">
        <f>Q344*(EXP(-(E366)*(F313*Q247+G313*Q248))-1)</f>
        <v>0</v>
      </c>
      <c r="R366" s="72">
        <f>R344*(EXP(-(E366)*(F313*R247+G313*R248))-1)</f>
        <v>0</v>
      </c>
      <c r="S366" s="72">
        <f>S344*(EXP(-(E366)*(F313*S247+G313*S248))-1)</f>
        <v>0</v>
      </c>
      <c r="T366" s="72">
        <f>T344*(EXP(-(E366)*(F313*T247+G313*T248))-1)</f>
        <v>0</v>
      </c>
      <c r="U366" s="72">
        <f>U344*(EXP(-(E366)*(F313*U247+G313*U248))-1)</f>
        <v>0</v>
      </c>
      <c r="V366" s="72">
        <f>V344*(EXP(-(E366)*(F313*V247+G313*V248))-1)</f>
        <v>0</v>
      </c>
      <c r="W366" s="72">
        <f>W344*(EXP(-(E366)*(F313*W247+G313*W248))-1)</f>
        <v>0</v>
      </c>
      <c r="X366" s="72">
        <f>X344*(EXP(-(E366)*(F313*X247+G313*X248))-1)</f>
        <v>0</v>
      </c>
      <c r="Y366" s="72">
        <f>Y344*(EXP(-(E366)*(F313*Y247+G313*Y248))-1)</f>
        <v>0</v>
      </c>
      <c r="Z366" s="72">
        <f>Z344*(EXP(-(E366)*(F313*Z247+G313*Z248))-1)</f>
        <v>0</v>
      </c>
      <c r="AA366" s="72">
        <f>AA344*(EXP(-(E366)*(F313*AA247+G313*AA248))-1)</f>
        <v>0</v>
      </c>
      <c r="AB366" s="72">
        <f>AB344*(EXP(-(E366)*(F313*AB247+G313*AB248))-1)</f>
        <v>0</v>
      </c>
      <c r="AC366" s="72">
        <f>AC344*(EXP(-(E366)*(F313*AC247+G313*AC248))-1)</f>
        <v>0</v>
      </c>
      <c r="AD366" s="72">
        <f>AD344*(EXP(-(E366)*(F313*AD247+G313*AD248))-1)</f>
        <v>0</v>
      </c>
      <c r="AE366" s="72">
        <f>AE344*(EXP(-(E366)*(F313*AE247+G313*AE248))-1)</f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1410</v>
      </c>
      <c r="E367" s="82">
        <f>'Manual inputs'!E$44</f>
        <v>1.98450938723838E-3</v>
      </c>
      <c r="F367" s="78">
        <f>'Manual inputs'!F$44</f>
        <v>0.18</v>
      </c>
      <c r="G367" s="72"/>
      <c r="H367" s="70"/>
      <c r="I367" s="70"/>
      <c r="J367" s="70"/>
      <c r="K367" s="70"/>
      <c r="L367" s="72">
        <f>L345*(EXP(-(E367)*(F314*L247+G314*L248))-1)</f>
        <v>0</v>
      </c>
      <c r="M367" s="72">
        <f>M345*(EXP(-(E367)*(F314*M247+G314*M248))-1)</f>
        <v>0</v>
      </c>
      <c r="N367" s="72">
        <f>N345*(EXP(-(E367)*(F314*N247+G314*N248))-1)</f>
        <v>0</v>
      </c>
      <c r="O367" s="72">
        <f>O345*(EXP(-(E367)*(F314*O247+G314*O248))-1)</f>
        <v>0</v>
      </c>
      <c r="P367" s="72">
        <f>P345*(EXP(-(E367)*(F314*P247+G314*P248))-1)</f>
        <v>0</v>
      </c>
      <c r="Q367" s="72">
        <f>Q345*(EXP(-(E367)*(F314*Q247+G314*Q248))-1)</f>
        <v>0</v>
      </c>
      <c r="R367" s="72">
        <f>R345*(EXP(-(E367)*(F314*R247+G314*R248))-1)</f>
        <v>0</v>
      </c>
      <c r="S367" s="72">
        <f>S345*(EXP(-(E367)*(F314*S247+G314*S248))-1)</f>
        <v>0</v>
      </c>
      <c r="T367" s="72">
        <f>T345*(EXP(-(E367)*(F314*T247+G314*T248))-1)</f>
        <v>0</v>
      </c>
      <c r="U367" s="72">
        <f>U345*(EXP(-(E367)*(F314*U247+G314*U248))-1)</f>
        <v>0</v>
      </c>
      <c r="V367" s="72">
        <f>V345*(EXP(-(E367)*(F314*V247+G314*V248))-1)</f>
        <v>0</v>
      </c>
      <c r="W367" s="72">
        <f>W345*(EXP(-(E367)*(F314*W247+G314*W248))-1)</f>
        <v>0</v>
      </c>
      <c r="X367" s="72">
        <f>X345*(EXP(-(E367)*(F314*X247+G314*X248))-1)</f>
        <v>0</v>
      </c>
      <c r="Y367" s="72">
        <f>Y345*(EXP(-(E367)*(F314*Y247+G314*Y248))-1)</f>
        <v>0</v>
      </c>
      <c r="Z367" s="72">
        <f>Z345*(EXP(-(E367)*(F314*Z247+G314*Z248))-1)</f>
        <v>0</v>
      </c>
      <c r="AA367" s="72">
        <f>AA345*(EXP(-(E367)*(F314*AA247+G314*AA248))-1)</f>
        <v>0</v>
      </c>
      <c r="AB367" s="72">
        <f>AB345*(EXP(-(E367)*(F314*AB247+G314*AB248))-1)</f>
        <v>0</v>
      </c>
      <c r="AC367" s="72">
        <f>AC345*(EXP(-(E367)*(F314*AC247+G314*AC248))-1)</f>
        <v>0</v>
      </c>
      <c r="AD367" s="72">
        <f>AD345*(EXP(-(E367)*(F314*AD247+G314*AD248))-1)</f>
        <v>0</v>
      </c>
      <c r="AE367" s="72">
        <f>AE345*(EXP(-(E367)*(F314*AE247+G314*AE248))-1)</f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1383</v>
      </c>
      <c r="E368" s="82">
        <f>'Manual inputs'!E$45</f>
        <v>0</v>
      </c>
      <c r="F368" s="78">
        <f>'Manual inputs'!F$45</f>
        <v>0</v>
      </c>
      <c r="G368" s="72"/>
      <c r="H368" s="70"/>
      <c r="I368" s="70"/>
      <c r="J368" s="70"/>
      <c r="K368" s="70"/>
      <c r="L368" s="72">
        <f>L346*(EXP(-(E368)*(F315*L247+G315*L248))-1)</f>
        <v>0</v>
      </c>
      <c r="M368" s="72">
        <f>M346*(EXP(-(E368)*(F315*M247+G315*M248))-1)</f>
        <v>0</v>
      </c>
      <c r="N368" s="72">
        <f>N346*(EXP(-(E368)*(F315*N247+G315*N248))-1)</f>
        <v>0</v>
      </c>
      <c r="O368" s="72">
        <f>O346*(EXP(-(E368)*(F315*O247+G315*O248))-1)</f>
        <v>0</v>
      </c>
      <c r="P368" s="72">
        <f>P346*(EXP(-(E368)*(F315*P247+G315*P248))-1)</f>
        <v>0</v>
      </c>
      <c r="Q368" s="72">
        <f>Q346*(EXP(-(E368)*(F315*Q247+G315*Q248))-1)</f>
        <v>0</v>
      </c>
      <c r="R368" s="72">
        <f>R346*(EXP(-(E368)*(F315*R247+G315*R248))-1)</f>
        <v>0</v>
      </c>
      <c r="S368" s="72">
        <f>S346*(EXP(-(E368)*(F315*S247+G315*S248))-1)</f>
        <v>0</v>
      </c>
      <c r="T368" s="72">
        <f>T346*(EXP(-(E368)*(F315*T247+G315*T248))-1)</f>
        <v>0</v>
      </c>
      <c r="U368" s="72">
        <f>U346*(EXP(-(E368)*(F315*U247+G315*U248))-1)</f>
        <v>0</v>
      </c>
      <c r="V368" s="72">
        <f>V346*(EXP(-(E368)*(F315*V247+G315*V248))-1)</f>
        <v>0</v>
      </c>
      <c r="W368" s="72">
        <f>W346*(EXP(-(E368)*(F315*W247+G315*W248))-1)</f>
        <v>0</v>
      </c>
      <c r="X368" s="72">
        <f>X346*(EXP(-(E368)*(F315*X247+G315*X248))-1)</f>
        <v>0</v>
      </c>
      <c r="Y368" s="72">
        <f>Y346*(EXP(-(E368)*(F315*Y247+G315*Y248))-1)</f>
        <v>0</v>
      </c>
      <c r="Z368" s="72">
        <f>Z346*(EXP(-(E368)*(F315*Z247+G315*Z248))-1)</f>
        <v>0</v>
      </c>
      <c r="AA368" s="72">
        <f>AA346*(EXP(-(E368)*(F315*AA247+G315*AA248))-1)</f>
        <v>0</v>
      </c>
      <c r="AB368" s="72">
        <f>AB346*(EXP(-(E368)*(F315*AB247+G315*AB248))-1)</f>
        <v>0</v>
      </c>
      <c r="AC368" s="72">
        <f>AC346*(EXP(-(E368)*(F315*AC247+G315*AC248))-1)</f>
        <v>0</v>
      </c>
      <c r="AD368" s="72">
        <f>AD346*(EXP(-(E368)*(F315*AD247+G315*AD248))-1)</f>
        <v>0</v>
      </c>
      <c r="AE368" s="72">
        <f>AE346*(EXP(-(E368)*(F315*AE247+G315*AE248))-1)</f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1411</v>
      </c>
      <c r="E369" s="82">
        <f>'Manual inputs'!E$46</f>
        <v>1.04982212449868E-2</v>
      </c>
      <c r="F369" s="78">
        <f>'Manual inputs'!F$46</f>
        <v>0.65</v>
      </c>
      <c r="G369" s="72"/>
      <c r="H369" s="70"/>
      <c r="I369" s="70"/>
      <c r="J369" s="70"/>
      <c r="K369" s="70"/>
      <c r="L369" s="72">
        <f>L347*(EXP(-(E369)*(F316*L247+G316*L248))-1)</f>
        <v>0</v>
      </c>
      <c r="M369" s="72">
        <f>M347*(EXP(-(E369)*(F316*M247+G316*M248))-1)</f>
        <v>0</v>
      </c>
      <c r="N369" s="72">
        <f>N347*(EXP(-(E369)*(F316*N247+G316*N248))-1)</f>
        <v>0</v>
      </c>
      <c r="O369" s="72">
        <f>O347*(EXP(-(E369)*(F316*O247+G316*O248))-1)</f>
        <v>0</v>
      </c>
      <c r="P369" s="72">
        <f>P347*(EXP(-(E369)*(F316*P247+G316*P248))-1)</f>
        <v>0</v>
      </c>
      <c r="Q369" s="72">
        <f>Q347*(EXP(-(E369)*(F316*Q247+G316*Q248))-1)</f>
        <v>0</v>
      </c>
      <c r="R369" s="72">
        <f>R347*(EXP(-(E369)*(F316*R247+G316*R248))-1)</f>
        <v>0</v>
      </c>
      <c r="S369" s="72">
        <f>S347*(EXP(-(E369)*(F316*S247+G316*S248))-1)</f>
        <v>0</v>
      </c>
      <c r="T369" s="72">
        <f>T347*(EXP(-(E369)*(F316*T247+G316*T248))-1)</f>
        <v>0</v>
      </c>
      <c r="U369" s="72">
        <f>U347*(EXP(-(E369)*(F316*U247+G316*U248))-1)</f>
        <v>0</v>
      </c>
      <c r="V369" s="72">
        <f>V347*(EXP(-(E369)*(F316*V247+G316*V248))-1)</f>
        <v>0</v>
      </c>
      <c r="W369" s="72">
        <f>W347*(EXP(-(E369)*(F316*W247+G316*W248))-1)</f>
        <v>0</v>
      </c>
      <c r="X369" s="72">
        <f>X347*(EXP(-(E369)*(F316*X247+G316*X248))-1)</f>
        <v>0</v>
      </c>
      <c r="Y369" s="72">
        <f>Y347*(EXP(-(E369)*(F316*Y247+G316*Y248))-1)</f>
        <v>0</v>
      </c>
      <c r="Z369" s="72">
        <f>Z347*(EXP(-(E369)*(F316*Z247+G316*Z248))-1)</f>
        <v>0</v>
      </c>
      <c r="AA369" s="72">
        <f>AA347*(EXP(-(E369)*(F316*AA247+G316*AA248))-1)</f>
        <v>0</v>
      </c>
      <c r="AB369" s="72">
        <f>AB347*(EXP(-(E369)*(F316*AB247+G316*AB248))-1)</f>
        <v>0</v>
      </c>
      <c r="AC369" s="72">
        <f>AC347*(EXP(-(E369)*(F316*AC247+G316*AC248))-1)</f>
        <v>0</v>
      </c>
      <c r="AD369" s="72">
        <f>AD347*(EXP(-(E369)*(F316*AD247+G316*AD248))-1)</f>
        <v>0</v>
      </c>
      <c r="AE369" s="72">
        <f>AE347*(EXP(-(E369)*(F316*AE247+G316*AE248))-1)</f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1397</v>
      </c>
      <c r="E370" s="82">
        <f>'Manual inputs'!E$47</f>
        <v>8.3381608939051E-4</v>
      </c>
      <c r="F370" s="78">
        <f>'Manual inputs'!F$47</f>
        <v>0.08</v>
      </c>
      <c r="G370" s="72"/>
      <c r="H370" s="72"/>
      <c r="I370" s="72"/>
      <c r="J370" s="72"/>
      <c r="K370" s="72"/>
      <c r="L370" s="72">
        <f>L348*(EXP(-(E370)*(F317*L247+G317*L248))-1)</f>
        <v>0</v>
      </c>
      <c r="M370" s="72">
        <f>M348*(EXP(-(E370)*(F317*M247+G317*M248))-1)</f>
        <v>0</v>
      </c>
      <c r="N370" s="72">
        <f>N348*(EXP(-(E370)*(F317*N247+G317*N248))-1)</f>
        <v>0</v>
      </c>
      <c r="O370" s="72">
        <f>O348*(EXP(-(E370)*(F317*O247+G317*O248))-1)</f>
        <v>0</v>
      </c>
      <c r="P370" s="72">
        <f>P348*(EXP(-(E370)*(F317*P247+G317*P248))-1)</f>
        <v>0</v>
      </c>
      <c r="Q370" s="72">
        <f>Q348*(EXP(-(E370)*(F317*Q247+G317*Q248))-1)</f>
        <v>0</v>
      </c>
      <c r="R370" s="72">
        <f>R348*(EXP(-(E370)*(F317*R247+G317*R248))-1)</f>
        <v>0</v>
      </c>
      <c r="S370" s="72">
        <f>S348*(EXP(-(E370)*(F317*S247+G317*S248))-1)</f>
        <v>0</v>
      </c>
      <c r="T370" s="72">
        <f>T348*(EXP(-(E370)*(F317*T247+G317*T248))-1)</f>
        <v>0</v>
      </c>
      <c r="U370" s="72">
        <f>U348*(EXP(-(E370)*(F317*U247+G317*U248))-1)</f>
        <v>0</v>
      </c>
      <c r="V370" s="72">
        <f>V348*(EXP(-(E370)*(F317*V247+G317*V248))-1)</f>
        <v>0</v>
      </c>
      <c r="W370" s="72">
        <f>W348*(EXP(-(E370)*(F317*W247+G317*W248))-1)</f>
        <v>0</v>
      </c>
      <c r="X370" s="72">
        <f>X348*(EXP(-(E370)*(F317*X247+G317*X248))-1)</f>
        <v>0</v>
      </c>
      <c r="Y370" s="72">
        <f>Y348*(EXP(-(E370)*(F317*Y247+G317*Y248))-1)</f>
        <v>0</v>
      </c>
      <c r="Z370" s="72">
        <f>Z348*(EXP(-(E370)*(F317*Z247+G317*Z248))-1)</f>
        <v>0</v>
      </c>
      <c r="AA370" s="72">
        <f>AA348*(EXP(-(E370)*(F317*AA247+G317*AA248))-1)</f>
        <v>0</v>
      </c>
      <c r="AB370" s="72">
        <f>AB348*(EXP(-(E370)*(F317*AB247+G317*AB248))-1)</f>
        <v>0</v>
      </c>
      <c r="AC370" s="72">
        <f>AC348*(EXP(-(E370)*(F317*AC247+G317*AC248))-1)</f>
        <v>0</v>
      </c>
      <c r="AD370" s="72">
        <f>AD348*(EXP(-(E370)*(F317*AD247+G317*AD248))-1)</f>
        <v>0</v>
      </c>
      <c r="AE370" s="72">
        <f>AE348*(EXP(-(E370)*(F317*AE247+G317*AE248))-1)</f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1492</v>
      </c>
      <c r="H371" s="87" t="str">
        <f>Settings!$B$3&amp;".mit.emr."&amp;G371&amp;"."&amp;$J$5</f>
        <v>egy.mit.emr.cbam.tot.1</v>
      </c>
      <c r="I371" s="72"/>
      <c r="J371" s="72"/>
      <c r="K371" s="72"/>
      <c r="L371" s="72">
        <f t="shared" ref="L371:AE371" si="155">SUM(L363:L370)</f>
        <v>0</v>
      </c>
      <c r="M371" s="72">
        <f t="shared" si="155"/>
        <v>0</v>
      </c>
      <c r="N371" s="72">
        <f t="shared" si="155"/>
        <v>0</v>
      </c>
      <c r="O371" s="72">
        <f t="shared" si="155"/>
        <v>0</v>
      </c>
      <c r="P371" s="72">
        <f t="shared" si="155"/>
        <v>0</v>
      </c>
      <c r="Q371" s="72">
        <f t="shared" si="155"/>
        <v>0</v>
      </c>
      <c r="R371" s="72">
        <f t="shared" si="155"/>
        <v>0</v>
      </c>
      <c r="S371" s="72">
        <f t="shared" si="155"/>
        <v>0</v>
      </c>
      <c r="T371" s="72">
        <f t="shared" si="155"/>
        <v>0</v>
      </c>
      <c r="U371" s="72">
        <f t="shared" si="155"/>
        <v>0</v>
      </c>
      <c r="V371" s="72">
        <f t="shared" si="155"/>
        <v>0</v>
      </c>
      <c r="W371" s="72">
        <f t="shared" si="155"/>
        <v>0</v>
      </c>
      <c r="X371" s="72">
        <f t="shared" si="155"/>
        <v>0</v>
      </c>
      <c r="Y371" s="72">
        <f t="shared" si="155"/>
        <v>0</v>
      </c>
      <c r="Z371" s="72">
        <f t="shared" si="155"/>
        <v>0</v>
      </c>
      <c r="AA371" s="72">
        <f t="shared" si="155"/>
        <v>0</v>
      </c>
      <c r="AB371" s="72">
        <f t="shared" si="155"/>
        <v>0</v>
      </c>
      <c r="AC371" s="72">
        <f t="shared" si="155"/>
        <v>0</v>
      </c>
      <c r="AD371" s="72">
        <f t="shared" si="155"/>
        <v>0</v>
      </c>
      <c r="AE371" s="72">
        <f t="shared" si="155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0"/>
      <c r="E372" s="70"/>
      <c r="F372" s="70"/>
      <c r="G372" s="70"/>
      <c r="H372" s="70"/>
      <c r="I372" s="70"/>
      <c r="J372" s="70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0"/>
      <c r="AG372" s="70"/>
      <c r="AH372" s="70"/>
      <c r="AI372" s="70"/>
    </row>
    <row r="373" spans="1:35" x14ac:dyDescent="0.45">
      <c r="A373" s="70"/>
      <c r="B373" s="52"/>
      <c r="C373" s="73" t="s">
        <v>1493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1494</v>
      </c>
      <c r="H374" s="87" t="str">
        <f>Settings!$B$3&amp;".mit.cpe.ind.mch."&amp;$J$5</f>
        <v>egy.mit.cpe.ind.mch.1</v>
      </c>
      <c r="I374" s="70"/>
      <c r="J374" s="70"/>
      <c r="K374" s="72"/>
      <c r="L374" s="72">
        <f t="shared" ref="L374:AE374" si="156">SUM(L334:L336)+SUM(L356:L358)</f>
        <v>3.5290636333347374</v>
      </c>
      <c r="M374" s="72">
        <f t="shared" si="156"/>
        <v>3.6067030332681016</v>
      </c>
      <c r="N374" s="72">
        <f t="shared" si="156"/>
        <v>3.6860504999999999</v>
      </c>
      <c r="O374" s="72">
        <f t="shared" si="156"/>
        <v>3.7671436109999994</v>
      </c>
      <c r="P374" s="72">
        <f t="shared" si="156"/>
        <v>3.8500207704419993</v>
      </c>
      <c r="Q374" s="72">
        <f t="shared" si="156"/>
        <v>3.9347212273917234</v>
      </c>
      <c r="R374" s="72">
        <f t="shared" si="156"/>
        <v>4.0212850943943419</v>
      </c>
      <c r="S374" s="72">
        <f t="shared" si="156"/>
        <v>4.1097533664710166</v>
      </c>
      <c r="T374" s="72">
        <f t="shared" si="156"/>
        <v>4.2001679405333787</v>
      </c>
      <c r="U374" s="72">
        <f t="shared" si="156"/>
        <v>4.292571635225114</v>
      </c>
      <c r="V374" s="72">
        <f t="shared" si="156"/>
        <v>4.3870082112000661</v>
      </c>
      <c r="W374" s="72">
        <f t="shared" si="156"/>
        <v>4.4835223918464688</v>
      </c>
      <c r="X374" s="72">
        <f t="shared" si="156"/>
        <v>4.5821598844670905</v>
      </c>
      <c r="Y374" s="72">
        <f t="shared" si="156"/>
        <v>4.6829674019253673</v>
      </c>
      <c r="Z374" s="72">
        <f t="shared" si="156"/>
        <v>4.7859926847677254</v>
      </c>
      <c r="AA374" s="72">
        <f t="shared" si="156"/>
        <v>4.8912845238326152</v>
      </c>
      <c r="AB374" s="72">
        <f t="shared" si="156"/>
        <v>4.9988927833569319</v>
      </c>
      <c r="AC374" s="72">
        <f t="shared" si="156"/>
        <v>5.1088684245907858</v>
      </c>
      <c r="AD374" s="72">
        <f t="shared" si="156"/>
        <v>5.2212635299317824</v>
      </c>
      <c r="AE374" s="72">
        <f t="shared" si="156"/>
        <v>5.336131327590282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1495</v>
      </c>
      <c r="H375" s="87" t="str">
        <f>Settings!$B$3&amp;".mit.cpe.ind.irn."&amp;$J$5</f>
        <v>egy.mit.cpe.ind.irn.1</v>
      </c>
      <c r="I375" s="70"/>
      <c r="J375" s="70"/>
      <c r="K375" s="72"/>
      <c r="L375" s="72">
        <f t="shared" ref="L375:AE375" si="157">SUM(L330:L332)+SUM(L352:L354)</f>
        <v>3.8464212577619237</v>
      </c>
      <c r="M375" s="72">
        <f t="shared" si="157"/>
        <v>4.0156637931034478</v>
      </c>
      <c r="N375" s="72">
        <f t="shared" si="157"/>
        <v>4.1923530000000007</v>
      </c>
      <c r="O375" s="72">
        <f t="shared" si="157"/>
        <v>4.3768165320000012</v>
      </c>
      <c r="P375" s="72">
        <f t="shared" si="157"/>
        <v>4.5693964594080008</v>
      </c>
      <c r="Q375" s="72">
        <f t="shared" si="157"/>
        <v>4.7704499036219534</v>
      </c>
      <c r="R375" s="72">
        <f t="shared" si="157"/>
        <v>4.9803496993813186</v>
      </c>
      <c r="S375" s="72">
        <f t="shared" si="157"/>
        <v>5.1994850861540982</v>
      </c>
      <c r="T375" s="72">
        <f t="shared" si="157"/>
        <v>5.4282624299448781</v>
      </c>
      <c r="U375" s="72">
        <f t="shared" si="157"/>
        <v>5.6671059768624525</v>
      </c>
      <c r="V375" s="72">
        <f t="shared" si="157"/>
        <v>5.9164586398444019</v>
      </c>
      <c r="W375" s="72">
        <f t="shared" si="157"/>
        <v>6.1767828199975545</v>
      </c>
      <c r="X375" s="72">
        <f t="shared" si="157"/>
        <v>6.4485612640774477</v>
      </c>
      <c r="Y375" s="72">
        <f t="shared" si="157"/>
        <v>6.7322979596968553</v>
      </c>
      <c r="Z375" s="72">
        <f t="shared" si="157"/>
        <v>7.0285190699235169</v>
      </c>
      <c r="AA375" s="72">
        <f t="shared" si="157"/>
        <v>7.3377739090001519</v>
      </c>
      <c r="AB375" s="72">
        <f t="shared" si="157"/>
        <v>7.6606359609961583</v>
      </c>
      <c r="AC375" s="72">
        <f t="shared" si="157"/>
        <v>7.9977039432799906</v>
      </c>
      <c r="AD375" s="72">
        <f t="shared" si="157"/>
        <v>8.3496029167843098</v>
      </c>
      <c r="AE375" s="72">
        <f t="shared" si="157"/>
        <v>8.7169854451228197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1496</v>
      </c>
      <c r="H376" s="87" t="str">
        <f>Settings!$B$3&amp;".mit.cpe.ind.nfm."&amp;$J$5</f>
        <v>egy.mit.cpe.ind.nfm.1</v>
      </c>
      <c r="I376" s="70"/>
      <c r="J376" s="70"/>
      <c r="K376" s="72"/>
      <c r="L376" s="72">
        <f t="shared" ref="L376:AE376" si="158">L337+L359</f>
        <v>4.2047573055412055E-2</v>
      </c>
      <c r="M376" s="72">
        <f t="shared" si="158"/>
        <v>4.4360189573459712E-2</v>
      </c>
      <c r="N376" s="72">
        <f t="shared" si="158"/>
        <v>4.6799999999999994E-2</v>
      </c>
      <c r="O376" s="72">
        <f t="shared" si="158"/>
        <v>4.9374000000000001E-2</v>
      </c>
      <c r="P376" s="72">
        <f t="shared" si="158"/>
        <v>5.2089569999999995E-2</v>
      </c>
      <c r="Q376" s="72">
        <f t="shared" si="158"/>
        <v>5.4954496349999993E-2</v>
      </c>
      <c r="R376" s="72">
        <f t="shared" si="158"/>
        <v>5.7976993649249998E-2</v>
      </c>
      <c r="S376" s="72">
        <f t="shared" si="158"/>
        <v>6.1165728299958741E-2</v>
      </c>
      <c r="T376" s="72">
        <f t="shared" si="158"/>
        <v>6.4529843356456465E-2</v>
      </c>
      <c r="U376" s="72">
        <f t="shared" si="158"/>
        <v>6.8078984741061568E-2</v>
      </c>
      <c r="V376" s="72">
        <f t="shared" si="158"/>
        <v>7.1823328901819944E-2</v>
      </c>
      <c r="W376" s="72">
        <f t="shared" si="158"/>
        <v>7.5773611991420048E-2</v>
      </c>
      <c r="X376" s="72">
        <f t="shared" si="158"/>
        <v>7.9941160650948154E-2</v>
      </c>
      <c r="Y376" s="72">
        <f t="shared" si="158"/>
        <v>8.4337924486750301E-2</v>
      </c>
      <c r="Z376" s="72">
        <f t="shared" si="158"/>
        <v>8.8976510333521566E-2</v>
      </c>
      <c r="AA376" s="72">
        <f t="shared" si="158"/>
        <v>9.3870218401865241E-2</v>
      </c>
      <c r="AB376" s="72">
        <f t="shared" si="158"/>
        <v>9.9033080413967828E-2</v>
      </c>
      <c r="AC376" s="72">
        <f t="shared" si="158"/>
        <v>0.10447989983673606</v>
      </c>
      <c r="AD376" s="72">
        <f t="shared" si="158"/>
        <v>0.11022629432775652</v>
      </c>
      <c r="AE376" s="72">
        <f t="shared" si="158"/>
        <v>0.11628874051578311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1497</v>
      </c>
      <c r="H377" s="87" t="str">
        <f>Settings!$B$3&amp;".mit.cpe.ind.mac."&amp;$J$5</f>
        <v>egy.mit.cpe.ind.mac.1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1498</v>
      </c>
      <c r="H378" s="87" t="str">
        <f>Settings!$B$3&amp;".mit.cpe.ind.cem."&amp;$J$5</f>
        <v>egy.mit.cpe.ind.cem.1</v>
      </c>
      <c r="I378" s="70"/>
      <c r="J378" s="70"/>
      <c r="K378" s="72"/>
      <c r="L378" s="72">
        <f t="shared" ref="L378:AE378" si="159">L333+L355</f>
        <v>13.508713893592759</v>
      </c>
      <c r="M378" s="72">
        <f t="shared" si="159"/>
        <v>13.954501452081319</v>
      </c>
      <c r="N378" s="72">
        <f t="shared" si="159"/>
        <v>14.414999999999999</v>
      </c>
      <c r="O378" s="72">
        <f t="shared" si="159"/>
        <v>14.890694999999997</v>
      </c>
      <c r="P378" s="72">
        <f t="shared" si="159"/>
        <v>15.382087934999998</v>
      </c>
      <c r="Q378" s="72">
        <f t="shared" si="159"/>
        <v>15.889696836854995</v>
      </c>
      <c r="R378" s="72">
        <f t="shared" si="159"/>
        <v>16.414056832471207</v>
      </c>
      <c r="S378" s="72">
        <f t="shared" si="159"/>
        <v>16.955720707942756</v>
      </c>
      <c r="T378" s="72">
        <f t="shared" si="159"/>
        <v>17.515259491304867</v>
      </c>
      <c r="U378" s="72">
        <f t="shared" si="159"/>
        <v>18.093263054517926</v>
      </c>
      <c r="V378" s="72">
        <f t="shared" si="159"/>
        <v>18.690340735317015</v>
      </c>
      <c r="W378" s="72">
        <f t="shared" si="159"/>
        <v>19.307121979582476</v>
      </c>
      <c r="X378" s="72">
        <f t="shared" si="159"/>
        <v>19.944257004908696</v>
      </c>
      <c r="Y378" s="72">
        <f t="shared" si="159"/>
        <v>20.602417486070681</v>
      </c>
      <c r="Z378" s="72">
        <f t="shared" si="159"/>
        <v>21.282297263111012</v>
      </c>
      <c r="AA378" s="72">
        <f t="shared" si="159"/>
        <v>21.984613072793675</v>
      </c>
      <c r="AB378" s="72">
        <f t="shared" si="159"/>
        <v>22.710105304195867</v>
      </c>
      <c r="AC378" s="72">
        <f t="shared" si="159"/>
        <v>23.459538779234329</v>
      </c>
      <c r="AD378" s="72">
        <f t="shared" si="159"/>
        <v>24.23370355894906</v>
      </c>
      <c r="AE378" s="72">
        <f t="shared" si="159"/>
        <v>25.033415776394378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1492</v>
      </c>
      <c r="H379" s="87" t="str">
        <f>Settings!$B$3&amp;".mit.emis.cbam.tot."&amp;$J$5</f>
        <v>egy.mit.emis.cbam.tot.1</v>
      </c>
      <c r="I379" s="72"/>
      <c r="J379" s="72"/>
      <c r="K379" s="72"/>
      <c r="L379" s="72">
        <f t="shared" ref="L379:AE379" si="160">SUM(L374:L378)</f>
        <v>20.926246357744834</v>
      </c>
      <c r="M379" s="72">
        <f t="shared" si="160"/>
        <v>21.621228468026327</v>
      </c>
      <c r="N379" s="72">
        <f t="shared" si="160"/>
        <v>22.340203500000001</v>
      </c>
      <c r="O379" s="72">
        <f t="shared" si="160"/>
        <v>23.084029142999999</v>
      </c>
      <c r="P379" s="72">
        <f t="shared" si="160"/>
        <v>23.853594734849999</v>
      </c>
      <c r="Q379" s="72">
        <f t="shared" si="160"/>
        <v>24.649822464218673</v>
      </c>
      <c r="R379" s="72">
        <f t="shared" si="160"/>
        <v>25.473668619896117</v>
      </c>
      <c r="S379" s="72">
        <f t="shared" si="160"/>
        <v>26.326124888867831</v>
      </c>
      <c r="T379" s="72">
        <f t="shared" si="160"/>
        <v>27.20821970513958</v>
      </c>
      <c r="U379" s="72">
        <f t="shared" si="160"/>
        <v>28.121019651346558</v>
      </c>
      <c r="V379" s="72">
        <f t="shared" si="160"/>
        <v>29.065630915263306</v>
      </c>
      <c r="W379" s="72">
        <f t="shared" si="160"/>
        <v>30.043200803417918</v>
      </c>
      <c r="X379" s="72">
        <f t="shared" si="160"/>
        <v>31.054919314104183</v>
      </c>
      <c r="Y379" s="72">
        <f t="shared" si="160"/>
        <v>32.102020772179657</v>
      </c>
      <c r="Z379" s="72">
        <f t="shared" si="160"/>
        <v>33.185785528135774</v>
      </c>
      <c r="AA379" s="72">
        <f t="shared" si="160"/>
        <v>34.307541724028304</v>
      </c>
      <c r="AB379" s="72">
        <f t="shared" si="160"/>
        <v>35.46866712896292</v>
      </c>
      <c r="AC379" s="72">
        <f t="shared" si="160"/>
        <v>36.670591046941837</v>
      </c>
      <c r="AD379" s="72">
        <f t="shared" si="160"/>
        <v>37.914796299992908</v>
      </c>
      <c r="AE379" s="72">
        <f t="shared" si="160"/>
        <v>39.202821289623259</v>
      </c>
      <c r="AF379" s="70"/>
      <c r="AG379" s="70"/>
      <c r="AH379" s="70"/>
      <c r="AI379" s="70"/>
    </row>
    <row r="380" spans="1:35" x14ac:dyDescent="0.45">
      <c r="A380" s="70"/>
      <c r="B380" s="52"/>
      <c r="C380" s="70"/>
      <c r="D380" s="52"/>
      <c r="E380" s="70"/>
      <c r="F380" s="70"/>
      <c r="G380" s="70"/>
      <c r="H380" s="70"/>
      <c r="I380" s="70"/>
      <c r="J380" s="70"/>
      <c r="K380" s="72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</row>
    <row r="381" spans="1:35" x14ac:dyDescent="0.45">
      <c r="A381" s="70"/>
      <c r="B381" s="52"/>
      <c r="C381" s="70"/>
      <c r="D381" s="52"/>
      <c r="E381" s="70"/>
      <c r="F381" s="70"/>
      <c r="G381" s="70"/>
      <c r="H381" s="70"/>
      <c r="I381" s="70"/>
      <c r="J381" s="70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0"/>
      <c r="AG381" s="70"/>
      <c r="AH381" s="70"/>
      <c r="AI381" s="70"/>
    </row>
    <row r="382" spans="1:35" x14ac:dyDescent="0.4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0"/>
      <c r="E383" s="70"/>
      <c r="F383" s="70"/>
      <c r="G383" s="70"/>
      <c r="H383" s="70"/>
      <c r="I383" s="70"/>
      <c r="J383" s="70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0"/>
      <c r="AG383" s="70"/>
      <c r="AH383" s="70"/>
      <c r="AI383" s="70"/>
    </row>
    <row r="384" spans="1:35" x14ac:dyDescent="0.45">
      <c r="A384" s="70"/>
      <c r="B384" s="52"/>
      <c r="C384" s="73" t="s">
        <v>1499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1494</v>
      </c>
      <c r="H385" s="87" t="str">
        <f>Settings!$B$3&amp;".mit.cpe."&amp;G385&amp;"."&amp;$J$5</f>
        <v>egy.mit.cpe.ind.mch.1</v>
      </c>
      <c r="I385" s="70"/>
      <c r="J385" s="70"/>
      <c r="K385" s="72"/>
      <c r="L385" s="72">
        <f t="shared" ref="L385:AE385" si="161">SUM(L345:L347)+SUM(L367:L369)</f>
        <v>0.55721293959505358</v>
      </c>
      <c r="M385" s="72">
        <f t="shared" si="161"/>
        <v>0.56947162426614473</v>
      </c>
      <c r="N385" s="72">
        <f t="shared" si="161"/>
        <v>0.58199999999999996</v>
      </c>
      <c r="O385" s="72">
        <f t="shared" si="161"/>
        <v>0.594804</v>
      </c>
      <c r="P385" s="72">
        <f t="shared" si="161"/>
        <v>0.60788968800000009</v>
      </c>
      <c r="Q385" s="72">
        <f t="shared" si="161"/>
        <v>0.62126326113599994</v>
      </c>
      <c r="R385" s="72">
        <f t="shared" si="161"/>
        <v>0.63493105288099194</v>
      </c>
      <c r="S385" s="72">
        <f t="shared" si="161"/>
        <v>0.64889953604437378</v>
      </c>
      <c r="T385" s="72">
        <f t="shared" si="161"/>
        <v>0.66317532583735006</v>
      </c>
      <c r="U385" s="72">
        <f t="shared" si="161"/>
        <v>0.67776518300577182</v>
      </c>
      <c r="V385" s="72">
        <f t="shared" si="161"/>
        <v>0.69267601703189885</v>
      </c>
      <c r="W385" s="72">
        <f t="shared" si="161"/>
        <v>0.70791488940660052</v>
      </c>
      <c r="X385" s="72">
        <f t="shared" si="161"/>
        <v>0.72348901697354573</v>
      </c>
      <c r="Y385" s="72">
        <f t="shared" si="161"/>
        <v>0.73940577534696372</v>
      </c>
      <c r="Z385" s="72">
        <f t="shared" si="161"/>
        <v>0.75567270240459705</v>
      </c>
      <c r="AA385" s="72">
        <f t="shared" si="161"/>
        <v>0.77229750185749824</v>
      </c>
      <c r="AB385" s="72">
        <f t="shared" si="161"/>
        <v>0.78928804689836318</v>
      </c>
      <c r="AC385" s="72">
        <f t="shared" si="161"/>
        <v>0.80665238393012717</v>
      </c>
      <c r="AD385" s="72">
        <f t="shared" si="161"/>
        <v>0.82439873637659</v>
      </c>
      <c r="AE385" s="72">
        <f t="shared" si="161"/>
        <v>0.84253550857687498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1495</v>
      </c>
      <c r="H386" s="87" t="str">
        <f>Settings!$B$3&amp;".mit.cpe."&amp;G386&amp;"."&amp;$J$5</f>
        <v>egy.mit.cpe.ind.irn.1</v>
      </c>
      <c r="I386" s="70"/>
      <c r="J386" s="70"/>
      <c r="K386" s="72"/>
      <c r="L386" s="72">
        <f t="shared" ref="L386:AE386" si="162">SUM(L341:L343)+SUM(L363:L365)</f>
        <v>0.25322587748271458</v>
      </c>
      <c r="M386" s="72">
        <f t="shared" si="162"/>
        <v>0.26436781609195403</v>
      </c>
      <c r="N386" s="72">
        <f t="shared" si="162"/>
        <v>0.27599999999999997</v>
      </c>
      <c r="O386" s="72">
        <f t="shared" si="162"/>
        <v>0.28814400000000001</v>
      </c>
      <c r="P386" s="72">
        <f t="shared" si="162"/>
        <v>0.30082233600000008</v>
      </c>
      <c r="Q386" s="72">
        <f t="shared" si="162"/>
        <v>0.31405851878400004</v>
      </c>
      <c r="R386" s="72">
        <f t="shared" si="162"/>
        <v>0.32787709361049611</v>
      </c>
      <c r="S386" s="72">
        <f t="shared" si="162"/>
        <v>0.34230368572935788</v>
      </c>
      <c r="T386" s="72">
        <f t="shared" si="162"/>
        <v>0.35736504790144968</v>
      </c>
      <c r="U386" s="72">
        <f t="shared" si="162"/>
        <v>0.37308911000911349</v>
      </c>
      <c r="V386" s="72">
        <f t="shared" si="162"/>
        <v>0.38950503084951449</v>
      </c>
      <c r="W386" s="72">
        <f t="shared" si="162"/>
        <v>0.40664325220689312</v>
      </c>
      <c r="X386" s="72">
        <f t="shared" si="162"/>
        <v>0.42453555530399645</v>
      </c>
      <c r="Y386" s="72">
        <f t="shared" si="162"/>
        <v>0.44321511973737227</v>
      </c>
      <c r="Z386" s="72">
        <f t="shared" si="162"/>
        <v>0.46271658500581669</v>
      </c>
      <c r="AA386" s="72">
        <f t="shared" si="162"/>
        <v>0.48307611474607259</v>
      </c>
      <c r="AB386" s="72">
        <f t="shared" si="162"/>
        <v>0.5043314637948999</v>
      </c>
      <c r="AC386" s="72">
        <f t="shared" si="162"/>
        <v>0.52652204820187531</v>
      </c>
      <c r="AD386" s="72">
        <f t="shared" si="162"/>
        <v>0.54968901832275785</v>
      </c>
      <c r="AE386" s="72">
        <f t="shared" si="162"/>
        <v>0.57387533512895927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1496</v>
      </c>
      <c r="H387" s="87" t="str">
        <f>Settings!$B$3&amp;".mit.cpe."&amp;G387&amp;"."&amp;$J$5</f>
        <v>egy.mit.cpe.ind.nfm.1</v>
      </c>
      <c r="I387" s="70"/>
      <c r="J387" s="70"/>
      <c r="K387" s="72"/>
      <c r="L387" s="72">
        <f t="shared" ref="L387:AE387" si="163">L348+L370</f>
        <v>0.63340895307832257</v>
      </c>
      <c r="M387" s="72">
        <f t="shared" si="163"/>
        <v>0.66824644549763035</v>
      </c>
      <c r="N387" s="72">
        <f t="shared" si="163"/>
        <v>0.70499999999999996</v>
      </c>
      <c r="O387" s="72">
        <f t="shared" si="163"/>
        <v>0.74377499999999996</v>
      </c>
      <c r="P387" s="72">
        <f t="shared" si="163"/>
        <v>0.78468262499999997</v>
      </c>
      <c r="Q387" s="72">
        <f t="shared" si="163"/>
        <v>0.82784016937499993</v>
      </c>
      <c r="R387" s="72">
        <f t="shared" si="163"/>
        <v>0.87337137869062498</v>
      </c>
      <c r="S387" s="72">
        <f t="shared" si="163"/>
        <v>0.92140680451860935</v>
      </c>
      <c r="T387" s="72">
        <f t="shared" si="163"/>
        <v>0.97208417876713282</v>
      </c>
      <c r="U387" s="72">
        <f t="shared" si="163"/>
        <v>1.025548808599325</v>
      </c>
      <c r="V387" s="72">
        <f t="shared" si="163"/>
        <v>1.0819539930722879</v>
      </c>
      <c r="W387" s="72">
        <f t="shared" si="163"/>
        <v>1.1414614626912638</v>
      </c>
      <c r="X387" s="72">
        <f t="shared" si="163"/>
        <v>1.2042418431392832</v>
      </c>
      <c r="Y387" s="72">
        <f t="shared" si="163"/>
        <v>1.2704751445119435</v>
      </c>
      <c r="Z387" s="72">
        <f t="shared" si="163"/>
        <v>1.3403512774601003</v>
      </c>
      <c r="AA387" s="72">
        <f t="shared" si="163"/>
        <v>1.4140705977204062</v>
      </c>
      <c r="AB387" s="72">
        <f t="shared" si="163"/>
        <v>1.4918444805950282</v>
      </c>
      <c r="AC387" s="72">
        <f t="shared" si="163"/>
        <v>1.5738959270277546</v>
      </c>
      <c r="AD387" s="72">
        <f t="shared" si="163"/>
        <v>1.660460203014281</v>
      </c>
      <c r="AE387" s="72">
        <f t="shared" si="163"/>
        <v>1.7517855141800662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1497</v>
      </c>
      <c r="H388" s="87" t="str">
        <f>Settings!$B$3&amp;".mit.cpe."&amp;G388&amp;"."&amp;$J$5</f>
        <v>egy.mit.cpe.ind.mac.1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1498</v>
      </c>
      <c r="H389" s="87" t="str">
        <f>Settings!$B$3&amp;".mit.cpe."&amp;G389&amp;"."&amp;$J$5</f>
        <v>egy.mit.cpe.ind.cem.1</v>
      </c>
      <c r="I389" s="70"/>
      <c r="J389" s="70"/>
      <c r="K389" s="72"/>
      <c r="L389" s="72">
        <f t="shared" ref="L389:AE389" si="164">L344+L366</f>
        <v>24.646491529759945</v>
      </c>
      <c r="M389" s="72">
        <f t="shared" si="164"/>
        <v>25.459825750242022</v>
      </c>
      <c r="N389" s="72">
        <f t="shared" si="164"/>
        <v>26.3</v>
      </c>
      <c r="O389" s="72">
        <f t="shared" si="164"/>
        <v>27.167899999999999</v>
      </c>
      <c r="P389" s="72">
        <f t="shared" si="164"/>
        <v>28.064440699999995</v>
      </c>
      <c r="Q389" s="72">
        <f t="shared" si="164"/>
        <v>28.990567243099992</v>
      </c>
      <c r="R389" s="72">
        <f t="shared" si="164"/>
        <v>29.947255962122291</v>
      </c>
      <c r="S389" s="72">
        <f t="shared" si="164"/>
        <v>30.935515408872323</v>
      </c>
      <c r="T389" s="72">
        <f t="shared" si="164"/>
        <v>31.956387417365111</v>
      </c>
      <c r="U389" s="72">
        <f t="shared" si="164"/>
        <v>33.010948202138152</v>
      </c>
      <c r="V389" s="72">
        <f t="shared" si="164"/>
        <v>34.100309492808705</v>
      </c>
      <c r="W389" s="72">
        <f t="shared" si="164"/>
        <v>35.225619706071399</v>
      </c>
      <c r="X389" s="72">
        <f t="shared" si="164"/>
        <v>36.388065156371745</v>
      </c>
      <c r="Y389" s="72">
        <f t="shared" si="164"/>
        <v>37.588871306532013</v>
      </c>
      <c r="Z389" s="72">
        <f t="shared" si="164"/>
        <v>38.829304059647569</v>
      </c>
      <c r="AA389" s="72">
        <f t="shared" si="164"/>
        <v>40.110671093615935</v>
      </c>
      <c r="AB389" s="72">
        <f t="shared" si="164"/>
        <v>41.434323239705257</v>
      </c>
      <c r="AC389" s="72">
        <f t="shared" si="164"/>
        <v>42.801655906615522</v>
      </c>
      <c r="AD389" s="72">
        <f t="shared" si="164"/>
        <v>44.214110551533835</v>
      </c>
      <c r="AE389" s="72">
        <f t="shared" si="164"/>
        <v>45.673176199734449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1492</v>
      </c>
      <c r="H390" s="87" t="str">
        <f>Settings!$B$3&amp;".mit.emis."&amp;G390&amp;"."&amp;$J$5</f>
        <v>egy.mit.emis.cbam.tot.1</v>
      </c>
      <c r="I390" s="72"/>
      <c r="J390" s="72"/>
      <c r="K390" s="72"/>
      <c r="L390" s="72">
        <f t="shared" ref="L390:AE390" si="165">SUM(L385:L389)</f>
        <v>26.090339299916035</v>
      </c>
      <c r="M390" s="72">
        <f t="shared" si="165"/>
        <v>26.961911636097749</v>
      </c>
      <c r="N390" s="72">
        <f t="shared" si="165"/>
        <v>27.863</v>
      </c>
      <c r="O390" s="72">
        <f t="shared" si="165"/>
        <v>28.794623000000001</v>
      </c>
      <c r="P390" s="72">
        <f t="shared" si="165"/>
        <v>29.757835348999997</v>
      </c>
      <c r="Q390" s="72">
        <f t="shared" si="165"/>
        <v>30.753729192394992</v>
      </c>
      <c r="R390" s="72">
        <f t="shared" si="165"/>
        <v>31.783435487304406</v>
      </c>
      <c r="S390" s="72">
        <f t="shared" si="165"/>
        <v>32.848125435164661</v>
      </c>
      <c r="T390" s="72">
        <f t="shared" si="165"/>
        <v>33.949011969871044</v>
      </c>
      <c r="U390" s="72">
        <f t="shared" si="165"/>
        <v>35.087351303752364</v>
      </c>
      <c r="V390" s="72">
        <f t="shared" si="165"/>
        <v>36.264444533762408</v>
      </c>
      <c r="W390" s="72">
        <f t="shared" si="165"/>
        <v>37.481639310376153</v>
      </c>
      <c r="X390" s="72">
        <f t="shared" si="165"/>
        <v>38.740331571788573</v>
      </c>
      <c r="Y390" s="72">
        <f t="shared" si="165"/>
        <v>40.041967346128295</v>
      </c>
      <c r="Z390" s="72">
        <f t="shared" si="165"/>
        <v>41.388044624518081</v>
      </c>
      <c r="AA390" s="72">
        <f t="shared" si="165"/>
        <v>42.780115307939909</v>
      </c>
      <c r="AB390" s="72">
        <f t="shared" si="165"/>
        <v>44.219787230993546</v>
      </c>
      <c r="AC390" s="72">
        <f t="shared" si="165"/>
        <v>45.708726265775283</v>
      </c>
      <c r="AD390" s="72">
        <f t="shared" si="165"/>
        <v>47.248658509247463</v>
      </c>
      <c r="AE390" s="72">
        <f t="shared" si="165"/>
        <v>48.841372557620346</v>
      </c>
      <c r="AF390" s="70"/>
      <c r="AG390" s="70"/>
      <c r="AH390" s="70"/>
      <c r="AI390" s="70"/>
    </row>
    <row r="391" spans="1:35" x14ac:dyDescent="0.45">
      <c r="A391" s="70"/>
      <c r="B391" s="52"/>
      <c r="C391" s="73" t="s">
        <v>1500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66">L362</f>
        <v>2022</v>
      </c>
      <c r="M391" s="74">
        <f t="shared" si="166"/>
        <v>2023</v>
      </c>
      <c r="N391" s="74">
        <f t="shared" si="166"/>
        <v>2024</v>
      </c>
      <c r="O391" s="74">
        <f t="shared" si="166"/>
        <v>2025</v>
      </c>
      <c r="P391" s="74">
        <f t="shared" si="166"/>
        <v>2026</v>
      </c>
      <c r="Q391" s="74">
        <f t="shared" si="166"/>
        <v>2027</v>
      </c>
      <c r="R391" s="74">
        <f t="shared" si="166"/>
        <v>2028</v>
      </c>
      <c r="S391" s="74">
        <f t="shared" si="166"/>
        <v>2029</v>
      </c>
      <c r="T391" s="74">
        <f t="shared" si="166"/>
        <v>2030</v>
      </c>
      <c r="U391" s="74">
        <f t="shared" si="166"/>
        <v>2031</v>
      </c>
      <c r="V391" s="74">
        <f t="shared" si="166"/>
        <v>2032</v>
      </c>
      <c r="W391" s="74">
        <f t="shared" si="166"/>
        <v>2033</v>
      </c>
      <c r="X391" s="74">
        <f t="shared" si="166"/>
        <v>2034</v>
      </c>
      <c r="Y391" s="74">
        <f t="shared" si="166"/>
        <v>2035</v>
      </c>
      <c r="Z391" s="74">
        <f t="shared" si="166"/>
        <v>2036</v>
      </c>
      <c r="AA391" s="74">
        <f t="shared" si="166"/>
        <v>2037</v>
      </c>
      <c r="AB391" s="74">
        <f t="shared" si="166"/>
        <v>2038</v>
      </c>
      <c r="AC391" s="74">
        <f t="shared" si="166"/>
        <v>2039</v>
      </c>
      <c r="AD391" s="74">
        <f t="shared" si="166"/>
        <v>2040</v>
      </c>
      <c r="AE391" s="74">
        <f t="shared" si="166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>L341*(L247*F299+L248*G299)</f>
        <v>0</v>
      </c>
      <c r="M392" s="72">
        <f>M341*(M247*F299+M248*G299)</f>
        <v>0</v>
      </c>
      <c r="N392" s="72">
        <f>N341*(N247*F299+N248*G299)</f>
        <v>0</v>
      </c>
      <c r="O392" s="72">
        <f>O341*(O247*F299+O248*G299)</f>
        <v>0</v>
      </c>
      <c r="P392" s="72">
        <f>P341*(P247*F299+P248*G299)</f>
        <v>0</v>
      </c>
      <c r="Q392" s="72">
        <f>Q341*(Q247*F299+Q248*G299)</f>
        <v>0</v>
      </c>
      <c r="R392" s="72">
        <f>R341*(R247*F299+R248*G299)</f>
        <v>0</v>
      </c>
      <c r="S392" s="72">
        <f>S341*(S247*F299+S248*G299)</f>
        <v>0</v>
      </c>
      <c r="T392" s="72">
        <f>T341*(T247*F299+T248*G299)</f>
        <v>0</v>
      </c>
      <c r="U392" s="72">
        <f>U341*(U247*F299+U248*G299)</f>
        <v>0</v>
      </c>
      <c r="V392" s="72">
        <f>V341*(V247*F299+V248*G299)</f>
        <v>0</v>
      </c>
      <c r="W392" s="72">
        <f>W341*(W247*F299+W248*G299)</f>
        <v>0</v>
      </c>
      <c r="X392" s="72">
        <f>X341*(X247*F299+X248*G299)</f>
        <v>0</v>
      </c>
      <c r="Y392" s="72">
        <f>Y341*(Y247*F299+Y248*G299)</f>
        <v>0</v>
      </c>
      <c r="Z392" s="72">
        <f>Z341*(Z247*F299+Z248*G299)</f>
        <v>0</v>
      </c>
      <c r="AA392" s="72">
        <f>AA341*(AA247*F299+AA248*G299)</f>
        <v>0</v>
      </c>
      <c r="AB392" s="72">
        <f>AB341*(AB247*F299+AB248*G299)</f>
        <v>0</v>
      </c>
      <c r="AC392" s="72">
        <f>AC341*(AC247*F299+AC248*G299)</f>
        <v>0</v>
      </c>
      <c r="AD392" s="72">
        <f>AD341*(AD247*F299+AD248*G299)</f>
        <v>0</v>
      </c>
      <c r="AE392" s="72">
        <f>AE341*(AE247*F299+AE248*G299)</f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1357</v>
      </c>
      <c r="E393" s="70"/>
      <c r="F393" s="70"/>
      <c r="G393" s="70"/>
      <c r="H393" s="70"/>
      <c r="I393" s="70"/>
      <c r="J393" s="70"/>
      <c r="K393" s="72"/>
      <c r="L393" s="72">
        <f>L342*(L247*F300+L248*G300)</f>
        <v>0</v>
      </c>
      <c r="M393" s="72">
        <f>M342*(M247*F300+M248*G300)</f>
        <v>0</v>
      </c>
      <c r="N393" s="72">
        <f>N342*(N247*F300+N248*G300)</f>
        <v>0</v>
      </c>
      <c r="O393" s="72">
        <f>O342*(O247*F300+O248*G300)</f>
        <v>0</v>
      </c>
      <c r="P393" s="72">
        <f>P342*(P247*F300+P248*G300)</f>
        <v>0</v>
      </c>
      <c r="Q393" s="72">
        <f>Q342*(Q247*F300+Q248*G300)</f>
        <v>0</v>
      </c>
      <c r="R393" s="72">
        <f>R342*(R247*F300+R248*G300)</f>
        <v>0</v>
      </c>
      <c r="S393" s="72">
        <f>S342*(S247*F300+S248*G300)</f>
        <v>0</v>
      </c>
      <c r="T393" s="72">
        <f>T342*(T247*F300+T248*G300)</f>
        <v>0</v>
      </c>
      <c r="U393" s="72">
        <f>U342*(U247*F300+U248*G300)</f>
        <v>0</v>
      </c>
      <c r="V393" s="72">
        <f>V342*(V247*F300+V248*G300)</f>
        <v>0</v>
      </c>
      <c r="W393" s="72">
        <f>W342*(W247*F300+W248*G300)</f>
        <v>0</v>
      </c>
      <c r="X393" s="72">
        <f>X342*(X247*F300+X248*G300)</f>
        <v>0</v>
      </c>
      <c r="Y393" s="72">
        <f>Y342*(Y247*F300+Y248*G300)</f>
        <v>0</v>
      </c>
      <c r="Z393" s="72">
        <f>Z342*(Z247*F300+Z248*G300)</f>
        <v>0</v>
      </c>
      <c r="AA393" s="72">
        <f>AA342*(AA247*F300+AA248*G300)</f>
        <v>0</v>
      </c>
      <c r="AB393" s="72">
        <f>AB342*(AB247*F300+AB248*G300)</f>
        <v>0</v>
      </c>
      <c r="AC393" s="72">
        <f>AC342*(AC247*F300+AC248*G300)</f>
        <v>0</v>
      </c>
      <c r="AD393" s="72">
        <f>AD342*(AD247*F300+AD248*G300)</f>
        <v>0</v>
      </c>
      <c r="AE393" s="72">
        <f>AE342*(AE247*F300+AE248*G300)</f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1363</v>
      </c>
      <c r="E394" s="70"/>
      <c r="F394" s="70"/>
      <c r="G394" s="70"/>
      <c r="H394" s="70"/>
      <c r="I394" s="70"/>
      <c r="J394" s="70"/>
      <c r="K394" s="72"/>
      <c r="L394" s="72">
        <f>L343*(L247*F301+L248*G301)</f>
        <v>0</v>
      </c>
      <c r="M394" s="72">
        <f>M343*(M247*F301+M248*G301)</f>
        <v>0</v>
      </c>
      <c r="N394" s="72">
        <f>N343*(N247*F301+N248*G301)</f>
        <v>0</v>
      </c>
      <c r="O394" s="72">
        <f>O343*(O247*F301+O248*G301)</f>
        <v>0</v>
      </c>
      <c r="P394" s="72">
        <f>P343*(P247*F301+P248*G301)</f>
        <v>0</v>
      </c>
      <c r="Q394" s="72">
        <f>Q343*(Q247*F301+Q248*G301)</f>
        <v>0</v>
      </c>
      <c r="R394" s="72">
        <f>R343*(R247*F301+R248*G301)</f>
        <v>0</v>
      </c>
      <c r="S394" s="72">
        <f>S343*(S247*F301+S248*G301)</f>
        <v>0</v>
      </c>
      <c r="T394" s="72">
        <f>T343*(T247*F301+T248*G301)</f>
        <v>0</v>
      </c>
      <c r="U394" s="72">
        <f>U343*(U247*F301+U248*G301)</f>
        <v>0</v>
      </c>
      <c r="V394" s="72">
        <f>V343*(V247*F301+V248*G301)</f>
        <v>0</v>
      </c>
      <c r="W394" s="72">
        <f>W343*(W247*F301+W248*G301)</f>
        <v>0</v>
      </c>
      <c r="X394" s="72">
        <f>X343*(X247*F301+X248*G301)</f>
        <v>0</v>
      </c>
      <c r="Y394" s="72">
        <f>Y343*(Y247*F301+Y248*G301)</f>
        <v>0</v>
      </c>
      <c r="Z394" s="72">
        <f>Z343*(Z247*F301+Z248*G301)</f>
        <v>0</v>
      </c>
      <c r="AA394" s="72">
        <f>AA343*(AA247*F301+AA248*G301)</f>
        <v>0</v>
      </c>
      <c r="AB394" s="72">
        <f>AB343*(AB247*F301+AB248*G301)</f>
        <v>0</v>
      </c>
      <c r="AC394" s="72">
        <f>AC343*(AC247*F301+AC248*G301)</f>
        <v>0</v>
      </c>
      <c r="AD394" s="72">
        <f>AD343*(AD247*F301+AD248*G301)</f>
        <v>0</v>
      </c>
      <c r="AE394" s="72">
        <f>AE343*(AE247*F301+AE248*G301)</f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1369</v>
      </c>
      <c r="E395" s="70"/>
      <c r="F395" s="70"/>
      <c r="G395" s="70"/>
      <c r="H395" s="70"/>
      <c r="I395" s="70"/>
      <c r="J395" s="70"/>
      <c r="K395" s="72"/>
      <c r="L395" s="72">
        <f>L344*(L247*F302+L248*G302)</f>
        <v>0</v>
      </c>
      <c r="M395" s="72">
        <f>M344*(M247*F302+M248*G302)</f>
        <v>0</v>
      </c>
      <c r="N395" s="72">
        <f>N344*(N247*F302+N248*G302)</f>
        <v>0</v>
      </c>
      <c r="O395" s="72">
        <f>O344*(O247*F302+O248*G302)</f>
        <v>0</v>
      </c>
      <c r="P395" s="72">
        <f>P344*(P247*F302+P248*G302)</f>
        <v>0</v>
      </c>
      <c r="Q395" s="72">
        <f>Q344*(Q247*F302+Q248*G302)</f>
        <v>0</v>
      </c>
      <c r="R395" s="72">
        <f>R344*(R247*F302+R248*G302)</f>
        <v>0</v>
      </c>
      <c r="S395" s="72">
        <f>S344*(S247*F302+S248*G302)</f>
        <v>0</v>
      </c>
      <c r="T395" s="72">
        <f>T344*(T247*F302+T248*G302)</f>
        <v>0</v>
      </c>
      <c r="U395" s="72">
        <f>U344*(U247*F302+U248*G302)</f>
        <v>0</v>
      </c>
      <c r="V395" s="72">
        <f>V344*(V247*F302+V248*G302)</f>
        <v>0</v>
      </c>
      <c r="W395" s="72">
        <f>W344*(W247*F302+W248*G302)</f>
        <v>0</v>
      </c>
      <c r="X395" s="72">
        <f>X344*(X247*F302+X248*G302)</f>
        <v>0</v>
      </c>
      <c r="Y395" s="72">
        <f>Y344*(Y247*F302+Y248*G302)</f>
        <v>0</v>
      </c>
      <c r="Z395" s="72">
        <f>Z344*(Z247*F302+Z248*G302)</f>
        <v>0</v>
      </c>
      <c r="AA395" s="72">
        <f>AA344*(AA247*F302+AA248*G302)</f>
        <v>0</v>
      </c>
      <c r="AB395" s="72">
        <f>AB344*(AB247*F302+AB248*G302)</f>
        <v>0</v>
      </c>
      <c r="AC395" s="72">
        <f>AC344*(AC247*F302+AC248*G302)</f>
        <v>0</v>
      </c>
      <c r="AD395" s="72">
        <f>AD344*(AD247*F302+AD248*G302)</f>
        <v>0</v>
      </c>
      <c r="AE395" s="72">
        <f>AE344*(AE247*F302+AE248*G302)</f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1442</v>
      </c>
      <c r="E396" s="70"/>
      <c r="F396" s="70"/>
      <c r="G396" s="70"/>
      <c r="H396" s="70"/>
      <c r="I396" s="70"/>
      <c r="J396" s="70"/>
      <c r="K396" s="72"/>
      <c r="L396" s="72">
        <f>L345*(L247*F303+L248*G303)</f>
        <v>0</v>
      </c>
      <c r="M396" s="72">
        <f>M345*(M247*F303+M248*G303)</f>
        <v>0</v>
      </c>
      <c r="N396" s="72">
        <f>N345*(N247*F303+N248*G303)</f>
        <v>0</v>
      </c>
      <c r="O396" s="72">
        <f>O345*(O247*F303+O248*G303)</f>
        <v>0</v>
      </c>
      <c r="P396" s="72">
        <f>P345*(P247*F303+P248*G303)</f>
        <v>0</v>
      </c>
      <c r="Q396" s="72">
        <f>Q345*(Q247*F303+Q248*G303)</f>
        <v>0</v>
      </c>
      <c r="R396" s="72">
        <f>R345*(R247*F303+R248*G303)</f>
        <v>0</v>
      </c>
      <c r="S396" s="72">
        <f>S345*(S247*F303+S248*G303)</f>
        <v>0</v>
      </c>
      <c r="T396" s="72">
        <f>T345*(T247*F303+T248*G303)</f>
        <v>0</v>
      </c>
      <c r="U396" s="72">
        <f>U345*(U247*F303+U248*G303)</f>
        <v>0</v>
      </c>
      <c r="V396" s="72">
        <f>V345*(V247*F303+V248*G303)</f>
        <v>0</v>
      </c>
      <c r="W396" s="72">
        <f>W345*(W247*F303+W248*G303)</f>
        <v>0</v>
      </c>
      <c r="X396" s="72">
        <f>X345*(X247*F303+X248*G303)</f>
        <v>0</v>
      </c>
      <c r="Y396" s="72">
        <f>Y345*(Y247*F303+Y248*G303)</f>
        <v>0</v>
      </c>
      <c r="Z396" s="72">
        <f>Z345*(Z247*F303+Z248*G303)</f>
        <v>0</v>
      </c>
      <c r="AA396" s="72">
        <f>AA345*(AA247*F303+AA248*G303)</f>
        <v>0</v>
      </c>
      <c r="AB396" s="72">
        <f>AB345*(AB247*F303+AB248*G303)</f>
        <v>0</v>
      </c>
      <c r="AC396" s="72">
        <f>AC345*(AC247*F303+AC248*G303)</f>
        <v>0</v>
      </c>
      <c r="AD396" s="72">
        <f>AD345*(AD247*F303+AD248*G303)</f>
        <v>0</v>
      </c>
      <c r="AE396" s="72">
        <f>AE345*(AE247*F303+AE248*G303)</f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1383</v>
      </c>
      <c r="E397" s="70"/>
      <c r="F397" s="70"/>
      <c r="G397" s="70"/>
      <c r="H397" s="70"/>
      <c r="I397" s="70"/>
      <c r="J397" s="70"/>
      <c r="K397" s="72"/>
      <c r="L397" s="72">
        <f>L346*(L247*F304+L248*G304)</f>
        <v>0</v>
      </c>
      <c r="M397" s="72">
        <f>M346*(M247*F304+M248*G304)</f>
        <v>0</v>
      </c>
      <c r="N397" s="72">
        <f>N346*(N247*F304+N248*G304)</f>
        <v>0</v>
      </c>
      <c r="O397" s="72">
        <f>O346*(O247*F304+O248*G304)</f>
        <v>0</v>
      </c>
      <c r="P397" s="72">
        <f>P346*(P247*F304+P248*G304)</f>
        <v>0</v>
      </c>
      <c r="Q397" s="72">
        <f>Q346*(Q247*F304+Q248*G304)</f>
        <v>0</v>
      </c>
      <c r="R397" s="72">
        <f>R346*(R247*F304+R248*G304)</f>
        <v>0</v>
      </c>
      <c r="S397" s="72">
        <f>S346*(S247*F304+S248*G304)</f>
        <v>0</v>
      </c>
      <c r="T397" s="72">
        <f>T346*(T247*F304+T248*G304)</f>
        <v>0</v>
      </c>
      <c r="U397" s="72">
        <f>U346*(U247*F304+U248*G304)</f>
        <v>0</v>
      </c>
      <c r="V397" s="72">
        <f>V346*(V247*F304+V248*G304)</f>
        <v>0</v>
      </c>
      <c r="W397" s="72">
        <f>W346*(W247*F304+W248*G304)</f>
        <v>0</v>
      </c>
      <c r="X397" s="72">
        <f>X346*(X247*F304+X248*G304)</f>
        <v>0</v>
      </c>
      <c r="Y397" s="72">
        <f>Y346*(Y247*F304+Y248*G304)</f>
        <v>0</v>
      </c>
      <c r="Z397" s="72">
        <f>Z346*(Z247*F304+Z248*G304)</f>
        <v>0</v>
      </c>
      <c r="AA397" s="72">
        <f>AA346*(AA247*F304+AA248*G304)</f>
        <v>0</v>
      </c>
      <c r="AB397" s="72">
        <f>AB346*(AB247*F304+AB248*G304)</f>
        <v>0</v>
      </c>
      <c r="AC397" s="72">
        <f>AC346*(AC247*F304+AC248*G304)</f>
        <v>0</v>
      </c>
      <c r="AD397" s="72">
        <f>AD346*(AD247*F304+AD248*G304)</f>
        <v>0</v>
      </c>
      <c r="AE397" s="72">
        <f>AE346*(AE247*F304+AE248*G304)</f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1390</v>
      </c>
      <c r="E398" s="70"/>
      <c r="F398" s="70"/>
      <c r="G398" s="70"/>
      <c r="H398" s="70"/>
      <c r="I398" s="70"/>
      <c r="J398" s="70"/>
      <c r="K398" s="72"/>
      <c r="L398" s="72">
        <f>L347*(L247*F305+L248*G305)</f>
        <v>0</v>
      </c>
      <c r="M398" s="72">
        <f>M347*(M247*F305+M248*G305)</f>
        <v>0</v>
      </c>
      <c r="N398" s="72">
        <f>N347*(N247*F305+N248*G305)</f>
        <v>0</v>
      </c>
      <c r="O398" s="72">
        <f>O347*(O247*F305+O248*G305)</f>
        <v>0</v>
      </c>
      <c r="P398" s="72">
        <f>P347*(P247*F305+P248*G305)</f>
        <v>0</v>
      </c>
      <c r="Q398" s="72">
        <f>Q347*(Q247*F305+Q248*G305)</f>
        <v>0</v>
      </c>
      <c r="R398" s="72">
        <f>R347*(R247*F305+R248*G305)</f>
        <v>0</v>
      </c>
      <c r="S398" s="72">
        <f>S347*(S247*F305+S248*G305)</f>
        <v>0</v>
      </c>
      <c r="T398" s="72">
        <f>T347*(T247*F305+T248*G305)</f>
        <v>0</v>
      </c>
      <c r="U398" s="72">
        <f>U347*(U247*F305+U248*G305)</f>
        <v>0</v>
      </c>
      <c r="V398" s="72">
        <f>V347*(V247*F305+V248*G305)</f>
        <v>0</v>
      </c>
      <c r="W398" s="72">
        <f>W347*(W247*F305+W248*G305)</f>
        <v>0</v>
      </c>
      <c r="X398" s="72">
        <f>X347*(X247*F305+X248*G305)</f>
        <v>0</v>
      </c>
      <c r="Y398" s="72">
        <f>Y347*(Y247*F305+Y248*G305)</f>
        <v>0</v>
      </c>
      <c r="Z398" s="72">
        <f>Z347*(Z247*F305+Z248*G305)</f>
        <v>0</v>
      </c>
      <c r="AA398" s="72">
        <f>AA347*(AA247*F305+AA248*G305)</f>
        <v>0</v>
      </c>
      <c r="AB398" s="72">
        <f>AB347*(AB247*F305+AB248*G305)</f>
        <v>0</v>
      </c>
      <c r="AC398" s="72">
        <f>AC347*(AC247*F305+AC248*G305)</f>
        <v>0</v>
      </c>
      <c r="AD398" s="72">
        <f>AD347*(AD247*F305+AD248*G305)</f>
        <v>0</v>
      </c>
      <c r="AE398" s="72">
        <f>AE347*(AE247*F305+AE248*G305)</f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1397</v>
      </c>
      <c r="E399" s="83"/>
      <c r="F399" s="84"/>
      <c r="G399" s="70"/>
      <c r="H399" s="70"/>
      <c r="I399" s="70"/>
      <c r="J399" s="70"/>
      <c r="K399" s="72"/>
      <c r="L399" s="72">
        <f>L348*(L247*F306+L248*G306)</f>
        <v>0</v>
      </c>
      <c r="M399" s="72">
        <f>M348*(M247*F306+M248*G306)</f>
        <v>0</v>
      </c>
      <c r="N399" s="72">
        <f>N348*(N247*F306+N248*G306)</f>
        <v>0</v>
      </c>
      <c r="O399" s="72">
        <f>O348*(O247*F306+O248*G306)</f>
        <v>0</v>
      </c>
      <c r="P399" s="72">
        <f>P348*(P247*F306+P248*G306)</f>
        <v>0</v>
      </c>
      <c r="Q399" s="72">
        <f>Q348*(Q247*F306+Q248*G306)</f>
        <v>0</v>
      </c>
      <c r="R399" s="72">
        <f>R348*(R247*F306+R248*G306)</f>
        <v>0</v>
      </c>
      <c r="S399" s="72">
        <f>S348*(S247*F306+S248*G306)</f>
        <v>0</v>
      </c>
      <c r="T399" s="72">
        <f>T348*(T247*F306+T248*G306)</f>
        <v>0</v>
      </c>
      <c r="U399" s="72">
        <f>U348*(U247*F306+U248*G306)</f>
        <v>0</v>
      </c>
      <c r="V399" s="72">
        <f>V348*(V247*F306+V248*G306)</f>
        <v>0</v>
      </c>
      <c r="W399" s="72">
        <f>W348*(W247*F306+W248*G306)</f>
        <v>0</v>
      </c>
      <c r="X399" s="72">
        <f>X348*(X247*F306+X248*G306)</f>
        <v>0</v>
      </c>
      <c r="Y399" s="72">
        <f>Y348*(Y247*F306+Y248*G306)</f>
        <v>0</v>
      </c>
      <c r="Z399" s="72">
        <f>Z348*(Z247*F306+Z248*G306)</f>
        <v>0</v>
      </c>
      <c r="AA399" s="72">
        <f>AA348*(AA247*F306+AA248*G306)</f>
        <v>0</v>
      </c>
      <c r="AB399" s="72">
        <f>AB348*(AB247*F306+AB248*G306)</f>
        <v>0</v>
      </c>
      <c r="AC399" s="72">
        <f>AC348*(AC247*F306+AC248*G306)</f>
        <v>0</v>
      </c>
      <c r="AD399" s="72">
        <f>AD348*(AD247*F306+AD248*G306)</f>
        <v>0</v>
      </c>
      <c r="AE399" s="72">
        <f>AE348*(AE247*F306+AE248*G306)</f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1501</v>
      </c>
      <c r="E400" s="70"/>
      <c r="F400" s="70"/>
      <c r="G400" s="70" t="s">
        <v>110</v>
      </c>
      <c r="H400" s="87" t="str">
        <f>Settings!$B$3&amp;".mit.rev.cbam."&amp;G400&amp;"."&amp;$J$5</f>
        <v>egy.mit.rev.cbam.tot.1</v>
      </c>
      <c r="I400" s="70"/>
      <c r="J400" s="70"/>
      <c r="K400" s="72"/>
      <c r="L400" s="72">
        <f t="shared" ref="L400:AE400" si="167">SUM(L392:L399)</f>
        <v>0</v>
      </c>
      <c r="M400" s="72">
        <f t="shared" si="167"/>
        <v>0</v>
      </c>
      <c r="N400" s="72">
        <f t="shared" si="167"/>
        <v>0</v>
      </c>
      <c r="O400" s="72">
        <f t="shared" si="167"/>
        <v>0</v>
      </c>
      <c r="P400" s="72">
        <f t="shared" si="167"/>
        <v>0</v>
      </c>
      <c r="Q400" s="72">
        <f t="shared" si="167"/>
        <v>0</v>
      </c>
      <c r="R400" s="72">
        <f t="shared" si="167"/>
        <v>0</v>
      </c>
      <c r="S400" s="72">
        <f t="shared" si="167"/>
        <v>0</v>
      </c>
      <c r="T400" s="72">
        <f t="shared" si="167"/>
        <v>0</v>
      </c>
      <c r="U400" s="72">
        <f t="shared" si="167"/>
        <v>0</v>
      </c>
      <c r="V400" s="72">
        <f t="shared" si="167"/>
        <v>0</v>
      </c>
      <c r="W400" s="72">
        <f t="shared" si="167"/>
        <v>0</v>
      </c>
      <c r="X400" s="72">
        <f t="shared" si="167"/>
        <v>0</v>
      </c>
      <c r="Y400" s="72">
        <f t="shared" si="167"/>
        <v>0</v>
      </c>
      <c r="Z400" s="72">
        <f t="shared" si="167"/>
        <v>0</v>
      </c>
      <c r="AA400" s="72">
        <f t="shared" si="167"/>
        <v>0</v>
      </c>
      <c r="AB400" s="72">
        <f t="shared" si="167"/>
        <v>0</v>
      </c>
      <c r="AC400" s="72">
        <f t="shared" si="167"/>
        <v>0</v>
      </c>
      <c r="AD400" s="72">
        <f t="shared" si="167"/>
        <v>0</v>
      </c>
      <c r="AE400" s="72">
        <f t="shared" si="167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168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168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168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168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168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168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168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168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168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169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169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169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169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169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169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169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169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169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170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170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170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170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170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170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170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170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170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0</v>
      </c>
      <c r="M437" s="19">
        <f>INDEX(Data_Prices!M:M,MATCH($G437,Data_Prices!$A:$A,0))</f>
        <v>0</v>
      </c>
      <c r="N437" s="19">
        <f>INDEX(Data_Prices!N:N,MATCH($G437,Data_Prices!$A:$A,0))</f>
        <v>0</v>
      </c>
      <c r="O437" s="19">
        <f>INDEX(Data_Prices!O:O,MATCH($G437,Data_Prices!$A:$A,0))</f>
        <v>0</v>
      </c>
      <c r="P437" s="19">
        <f>INDEX(Data_Prices!P:P,MATCH($G437,Data_Prices!$A:$A,0))</f>
        <v>0</v>
      </c>
      <c r="Q437" s="19">
        <f>INDEX(Data_Prices!Q:Q,MATCH($G437,Data_Prices!$A:$A,0))</f>
        <v>0</v>
      </c>
      <c r="R437" s="19">
        <f>INDEX(Data_Prices!R:R,MATCH($G437,Data_Prices!$A:$A,0))</f>
        <v>0</v>
      </c>
      <c r="S437" s="19">
        <f>INDEX(Data_Prices!S:S,MATCH($G437,Data_Prices!$A:$A,0))</f>
        <v>0</v>
      </c>
      <c r="T437" s="19">
        <f>INDEX(Data_Prices!T:T,MATCH($G437,Data_Prices!$A:$A,0))</f>
        <v>0</v>
      </c>
      <c r="U437" s="19">
        <f>INDEX(Data_Prices!U:U,MATCH($G437,Data_Prices!$A:$A,0))</f>
        <v>0</v>
      </c>
      <c r="V437" s="19">
        <f>INDEX(Data_Prices!V:V,MATCH($G437,Data_Prices!$A:$A,0))</f>
        <v>0</v>
      </c>
      <c r="W437" s="19">
        <f>INDEX(Data_Prices!W:W,MATCH($G437,Data_Prices!$A:$A,0))</f>
        <v>0</v>
      </c>
      <c r="X437" s="19">
        <f>INDEX(Data_Prices!X:X,MATCH($G437,Data_Prices!$A:$A,0))</f>
        <v>0</v>
      </c>
      <c r="Y437" s="19">
        <f>INDEX(Data_Prices!Y:Y,MATCH($G437,Data_Prices!$A:$A,0))</f>
        <v>0</v>
      </c>
      <c r="Z437" s="19">
        <f>INDEX(Data_Prices!Z:Z,MATCH($G437,Data_Prices!$A:$A,0))</f>
        <v>0</v>
      </c>
      <c r="AA437" s="19">
        <f>INDEX(Data_Prices!AA:AA,MATCH($G437,Data_Prices!$A:$A,0))</f>
        <v>0</v>
      </c>
      <c r="AB437" s="19">
        <f>INDEX(Data_Prices!AB:AB,MATCH($G437,Data_Prices!$A:$A,0))</f>
        <v>0</v>
      </c>
      <c r="AC437" s="19">
        <f>INDEX(Data_Prices!AC:AC,MATCH($G437,Data_Prices!$A:$A,0))</f>
        <v>0</v>
      </c>
      <c r="AD437" s="19">
        <f>INDEX(Data_Prices!AD:AD,MATCH($G437,Data_Prices!$A:$A,0))</f>
        <v>0</v>
      </c>
      <c r="AE437" s="19">
        <f>INDEX(Data_Prices!AE:AE,MATCH($G437,Data_Prices!$A:$A,0))</f>
        <v>0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171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171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171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171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171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171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171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171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171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172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L453" s="47">
        <f>INDEX(Data_Energy!$D$3:$U$22,MATCH($B453,Data_Energy!$C$3:$C$22,0),MATCH($C453,Data_Energy!$D$2:$U$2,0))</f>
        <v>232.65735477013101</v>
      </c>
      <c r="M453" s="24">
        <f t="shared" ref="M453:AE453" si="173">L453*(1+M$438)^($E443*M$439)*(1+M$440)*IF(L416&lt;=0,1,M416/L416)^$F443*(IF(L426&lt;=0,1,M426/L426)^$G443/(1+$H443+$I443))^(1+$F443)</f>
        <v>189.45265610688699</v>
      </c>
      <c r="N453" s="24">
        <f t="shared" si="173"/>
        <v>217.72883870914094</v>
      </c>
      <c r="O453" s="24">
        <f t="shared" si="173"/>
        <v>237.89793015048883</v>
      </c>
      <c r="P453" s="24">
        <f t="shared" si="173"/>
        <v>232.65006903124424</v>
      </c>
      <c r="Q453" s="24">
        <f t="shared" si="173"/>
        <v>218.61847136811463</v>
      </c>
      <c r="R453" s="24">
        <f t="shared" si="173"/>
        <v>210.28498690349488</v>
      </c>
      <c r="S453" s="24">
        <f t="shared" si="173"/>
        <v>203.14643963897521</v>
      </c>
      <c r="T453" s="24">
        <f t="shared" si="173"/>
        <v>196.84230886321788</v>
      </c>
      <c r="U453" s="24">
        <f t="shared" si="173"/>
        <v>191.39075749537983</v>
      </c>
      <c r="V453" s="24">
        <f t="shared" si="173"/>
        <v>186.2178811492559</v>
      </c>
      <c r="W453" s="24">
        <f t="shared" si="173"/>
        <v>181.78008799508211</v>
      </c>
      <c r="X453" s="24">
        <f t="shared" si="173"/>
        <v>177.97349187208462</v>
      </c>
      <c r="Y453" s="24">
        <f t="shared" si="173"/>
        <v>174.72635256308322</v>
      </c>
      <c r="Z453" s="24">
        <f t="shared" si="173"/>
        <v>171.99928670368777</v>
      </c>
      <c r="AA453" s="24">
        <f t="shared" si="173"/>
        <v>169.74391219112042</v>
      </c>
      <c r="AB453" s="24">
        <f t="shared" si="173"/>
        <v>167.91465652501745</v>
      </c>
      <c r="AC453" s="24">
        <f t="shared" si="173"/>
        <v>166.45600964782685</v>
      </c>
      <c r="AD453" s="24">
        <f t="shared" si="173"/>
        <v>165.32123471166477</v>
      </c>
      <c r="AE453" s="24">
        <f t="shared" si="173"/>
        <v>164.47316873515103</v>
      </c>
    </row>
    <row r="454" spans="1:35" x14ac:dyDescent="0.45">
      <c r="B454" s="14" t="s">
        <v>53</v>
      </c>
      <c r="C454" s="14" t="str">
        <f t="shared" si="172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L454" s="47">
        <f>INDEX(Data_Energy!$D$3:$U$22,MATCH($B454,Data_Energy!$C$3:$C$22,0),MATCH($C454,Data_Energy!$D$2:$U$2,0))</f>
        <v>1669.05671904213</v>
      </c>
      <c r="M454" s="24">
        <f t="shared" ref="M454:AE454" si="174">L454*(1+M$438)^($E444*M$439)*(1+M$440)*IF(L417&lt;=0,1,M417/L417)^$F444*(IF(L427&lt;=0,1,M427/L427)^$G444/(1+$H444+$I444))^(1+$F444)</f>
        <v>1431.7775208824874</v>
      </c>
      <c r="N454" s="24">
        <f t="shared" si="174"/>
        <v>1603.1180815212331</v>
      </c>
      <c r="O454" s="24">
        <f t="shared" si="174"/>
        <v>1666.4691074748598</v>
      </c>
      <c r="P454" s="24">
        <f t="shared" si="174"/>
        <v>1729.0519522219979</v>
      </c>
      <c r="Q454" s="24">
        <f t="shared" si="174"/>
        <v>1637.7863258003924</v>
      </c>
      <c r="R454" s="24">
        <f t="shared" si="174"/>
        <v>1578.6642302926864</v>
      </c>
      <c r="S454" s="24">
        <f t="shared" si="174"/>
        <v>1529.186426457856</v>
      </c>
      <c r="T454" s="24">
        <f t="shared" si="174"/>
        <v>1485.5462441642121</v>
      </c>
      <c r="U454" s="24">
        <f t="shared" si="174"/>
        <v>1450.0773513762758</v>
      </c>
      <c r="V454" s="24">
        <f t="shared" si="174"/>
        <v>1421.68890759584</v>
      </c>
      <c r="W454" s="24">
        <f t="shared" si="174"/>
        <v>1399.5811578972732</v>
      </c>
      <c r="X454" s="24">
        <f t="shared" si="174"/>
        <v>1383.0540457815339</v>
      </c>
      <c r="Y454" s="24">
        <f t="shared" si="174"/>
        <v>1371.7254363432983</v>
      </c>
      <c r="Z454" s="24">
        <f t="shared" si="174"/>
        <v>1365.5951108489835</v>
      </c>
      <c r="AA454" s="24">
        <f t="shared" si="174"/>
        <v>1364.4341895239882</v>
      </c>
      <c r="AB454" s="24">
        <f t="shared" si="174"/>
        <v>1367.9863527047892</v>
      </c>
      <c r="AC454" s="24">
        <f t="shared" si="174"/>
        <v>1375.7703000424308</v>
      </c>
      <c r="AD454" s="24">
        <f t="shared" si="174"/>
        <v>1387.3865840128042</v>
      </c>
      <c r="AE454" s="24">
        <f t="shared" si="174"/>
        <v>1402.5434936424028</v>
      </c>
    </row>
    <row r="455" spans="1:35" x14ac:dyDescent="0.45">
      <c r="B455" s="14" t="s">
        <v>55</v>
      </c>
      <c r="C455" s="14" t="str">
        <f t="shared" si="172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L455" s="47">
        <f>INDEX(Data_Energy!$D$3:$U$22,MATCH($B455,Data_Energy!$C$3:$C$22,0),MATCH($C455,Data_Energy!$D$2:$U$2,0))</f>
        <v>0</v>
      </c>
      <c r="M455" s="24">
        <f t="shared" ref="M455:AE455" si="175">L455*(1+M$438)^($E445*M$439)*(1+M$440)*IF(L418&lt;=0,1,M418/L418)^$F445*(IF(L428&lt;=0,1,M428/L428)^$G445/(1+$H445+$I445))^(1+$F445)</f>
        <v>0</v>
      </c>
      <c r="N455" s="24">
        <f t="shared" si="175"/>
        <v>0</v>
      </c>
      <c r="O455" s="24">
        <f t="shared" si="175"/>
        <v>0</v>
      </c>
      <c r="P455" s="24">
        <f t="shared" si="175"/>
        <v>0</v>
      </c>
      <c r="Q455" s="24">
        <f t="shared" si="175"/>
        <v>0</v>
      </c>
      <c r="R455" s="24">
        <f t="shared" si="175"/>
        <v>0</v>
      </c>
      <c r="S455" s="24">
        <f t="shared" si="175"/>
        <v>0</v>
      </c>
      <c r="T455" s="24">
        <f t="shared" si="175"/>
        <v>0</v>
      </c>
      <c r="U455" s="24">
        <f t="shared" si="175"/>
        <v>0</v>
      </c>
      <c r="V455" s="24">
        <f t="shared" si="175"/>
        <v>0</v>
      </c>
      <c r="W455" s="24">
        <f t="shared" si="175"/>
        <v>0</v>
      </c>
      <c r="X455" s="24">
        <f t="shared" si="175"/>
        <v>0</v>
      </c>
      <c r="Y455" s="24">
        <f t="shared" si="175"/>
        <v>0</v>
      </c>
      <c r="Z455" s="24">
        <f t="shared" si="175"/>
        <v>0</v>
      </c>
      <c r="AA455" s="24">
        <f t="shared" si="175"/>
        <v>0</v>
      </c>
      <c r="AB455" s="24">
        <f t="shared" si="175"/>
        <v>0</v>
      </c>
      <c r="AC455" s="24">
        <f t="shared" si="175"/>
        <v>0</v>
      </c>
      <c r="AD455" s="24">
        <f t="shared" si="175"/>
        <v>0</v>
      </c>
      <c r="AE455" s="24">
        <f t="shared" si="175"/>
        <v>0</v>
      </c>
    </row>
    <row r="456" spans="1:35" x14ac:dyDescent="0.45">
      <c r="B456" s="14" t="s">
        <v>58</v>
      </c>
      <c r="C456" s="14" t="str">
        <f t="shared" si="172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L456" s="47">
        <f>INDEX(Data_Energy!$D$3:$U$22,MATCH($B456,Data_Energy!$C$3:$C$22,0),MATCH($C456,Data_Energy!$D$2:$U$2,0))</f>
        <v>0</v>
      </c>
      <c r="M456" s="24">
        <f t="shared" ref="M456:AE456" si="176">L456*(1+M$438)^($E446*M$439)*(1+M$440)*IF(L419&lt;=0,1,M419/L419)^$F446*(IF(L429&lt;=0,1,M429/L429)^$G446/(1+$H446+$I446))^(1+$F446)</f>
        <v>0</v>
      </c>
      <c r="N456" s="24">
        <f t="shared" si="176"/>
        <v>0</v>
      </c>
      <c r="O456" s="24">
        <f t="shared" si="176"/>
        <v>0</v>
      </c>
      <c r="P456" s="24">
        <f t="shared" si="176"/>
        <v>0</v>
      </c>
      <c r="Q456" s="24">
        <f t="shared" si="176"/>
        <v>0</v>
      </c>
      <c r="R456" s="24">
        <f t="shared" si="176"/>
        <v>0</v>
      </c>
      <c r="S456" s="24">
        <f t="shared" si="176"/>
        <v>0</v>
      </c>
      <c r="T456" s="24">
        <f t="shared" si="176"/>
        <v>0</v>
      </c>
      <c r="U456" s="24">
        <f t="shared" si="176"/>
        <v>0</v>
      </c>
      <c r="V456" s="24">
        <f t="shared" si="176"/>
        <v>0</v>
      </c>
      <c r="W456" s="24">
        <f t="shared" si="176"/>
        <v>0</v>
      </c>
      <c r="X456" s="24">
        <f t="shared" si="176"/>
        <v>0</v>
      </c>
      <c r="Y456" s="24">
        <f t="shared" si="176"/>
        <v>0</v>
      </c>
      <c r="Z456" s="24">
        <f t="shared" si="176"/>
        <v>0</v>
      </c>
      <c r="AA456" s="24">
        <f t="shared" si="176"/>
        <v>0</v>
      </c>
      <c r="AB456" s="24">
        <f t="shared" si="176"/>
        <v>0</v>
      </c>
      <c r="AC456" s="24">
        <f t="shared" si="176"/>
        <v>0</v>
      </c>
      <c r="AD456" s="24">
        <f t="shared" si="176"/>
        <v>0</v>
      </c>
      <c r="AE456" s="24">
        <f t="shared" si="176"/>
        <v>0</v>
      </c>
    </row>
    <row r="457" spans="1:35" x14ac:dyDescent="0.45">
      <c r="B457" s="14" t="s">
        <v>60</v>
      </c>
      <c r="C457" s="14" t="str">
        <f t="shared" si="172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L457" s="47">
        <f>INDEX(Data_Energy!$D$3:$U$22,MATCH($B457,Data_Energy!$C$3:$C$22,0),MATCH($C457,Data_Energy!$D$2:$U$2,0))</f>
        <v>0</v>
      </c>
      <c r="M457" s="24">
        <f t="shared" ref="M457:AE457" si="177">L457*(1+M$438)^($E447*M$439)*(1+M$440)*IF(L420&lt;=0,1,M420/L420)^$F447*(IF(L430&lt;=0,1,M430/L430)^$G447/(1+$H447+$I447))^(1+$F447)</f>
        <v>0</v>
      </c>
      <c r="N457" s="24">
        <f t="shared" si="177"/>
        <v>0</v>
      </c>
      <c r="O457" s="24">
        <f t="shared" si="177"/>
        <v>0</v>
      </c>
      <c r="P457" s="24">
        <f t="shared" si="177"/>
        <v>0</v>
      </c>
      <c r="Q457" s="24">
        <f t="shared" si="177"/>
        <v>0</v>
      </c>
      <c r="R457" s="24">
        <f t="shared" si="177"/>
        <v>0</v>
      </c>
      <c r="S457" s="24">
        <f t="shared" si="177"/>
        <v>0</v>
      </c>
      <c r="T457" s="24">
        <f t="shared" si="177"/>
        <v>0</v>
      </c>
      <c r="U457" s="24">
        <f t="shared" si="177"/>
        <v>0</v>
      </c>
      <c r="V457" s="24">
        <f t="shared" si="177"/>
        <v>0</v>
      </c>
      <c r="W457" s="24">
        <f t="shared" si="177"/>
        <v>0</v>
      </c>
      <c r="X457" s="24">
        <f t="shared" si="177"/>
        <v>0</v>
      </c>
      <c r="Y457" s="24">
        <f t="shared" si="177"/>
        <v>0</v>
      </c>
      <c r="Z457" s="24">
        <f t="shared" si="177"/>
        <v>0</v>
      </c>
      <c r="AA457" s="24">
        <f t="shared" si="177"/>
        <v>0</v>
      </c>
      <c r="AB457" s="24">
        <f t="shared" si="177"/>
        <v>0</v>
      </c>
      <c r="AC457" s="24">
        <f t="shared" si="177"/>
        <v>0</v>
      </c>
      <c r="AD457" s="24">
        <f t="shared" si="177"/>
        <v>0</v>
      </c>
      <c r="AE457" s="24">
        <f t="shared" si="177"/>
        <v>0</v>
      </c>
    </row>
    <row r="458" spans="1:35" x14ac:dyDescent="0.45">
      <c r="B458" s="14" t="s">
        <v>62</v>
      </c>
      <c r="C458" s="14" t="str">
        <f t="shared" si="172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L458" s="47">
        <f>INDEX(Data_Energy!$D$3:$U$22,MATCH($B458,Data_Energy!$C$3:$C$22,0),MATCH($C458,Data_Energy!$D$2:$U$2,0))</f>
        <v>0</v>
      </c>
      <c r="M458" s="24">
        <f t="shared" ref="M458:AE458" si="178">L458*(1+M$438)^($E448*M$439)*(1+M$440)*IF(L421&lt;=0,1,M421/L421)^$F448*(IF(L431&lt;=0,1,M431/L431)^$G448/(1+$H448+$I448))^(1+$F448)</f>
        <v>0</v>
      </c>
      <c r="N458" s="24">
        <f t="shared" si="178"/>
        <v>0</v>
      </c>
      <c r="O458" s="24">
        <f t="shared" si="178"/>
        <v>0</v>
      </c>
      <c r="P458" s="24">
        <f t="shared" si="178"/>
        <v>0</v>
      </c>
      <c r="Q458" s="24">
        <f t="shared" si="178"/>
        <v>0</v>
      </c>
      <c r="R458" s="24">
        <f t="shared" si="178"/>
        <v>0</v>
      </c>
      <c r="S458" s="24">
        <f t="shared" si="178"/>
        <v>0</v>
      </c>
      <c r="T458" s="24">
        <f t="shared" si="178"/>
        <v>0</v>
      </c>
      <c r="U458" s="24">
        <f t="shared" si="178"/>
        <v>0</v>
      </c>
      <c r="V458" s="24">
        <f t="shared" si="178"/>
        <v>0</v>
      </c>
      <c r="W458" s="24">
        <f t="shared" si="178"/>
        <v>0</v>
      </c>
      <c r="X458" s="24">
        <f t="shared" si="178"/>
        <v>0</v>
      </c>
      <c r="Y458" s="24">
        <f t="shared" si="178"/>
        <v>0</v>
      </c>
      <c r="Z458" s="24">
        <f t="shared" si="178"/>
        <v>0</v>
      </c>
      <c r="AA458" s="24">
        <f t="shared" si="178"/>
        <v>0</v>
      </c>
      <c r="AB458" s="24">
        <f t="shared" si="178"/>
        <v>0</v>
      </c>
      <c r="AC458" s="24">
        <f t="shared" si="178"/>
        <v>0</v>
      </c>
      <c r="AD458" s="24">
        <f t="shared" si="178"/>
        <v>0</v>
      </c>
      <c r="AE458" s="24">
        <f t="shared" si="178"/>
        <v>0</v>
      </c>
    </row>
    <row r="459" spans="1:35" x14ac:dyDescent="0.45">
      <c r="B459" s="14" t="s">
        <v>64</v>
      </c>
      <c r="C459" s="14" t="str">
        <f t="shared" si="172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L459" s="47">
        <f>INDEX(Data_Energy!$D$3:$U$22,MATCH($B459,Data_Energy!$C$3:$C$22,0),MATCH($C459,Data_Energy!$D$2:$U$2,0))</f>
        <v>0</v>
      </c>
      <c r="M459" s="24">
        <f t="shared" ref="M459:AE459" si="179">L459*(1+M$438)^($E449*M$439)*(1+M$440)*IF(L422&lt;=0,1,M422/L422)^$F449*(IF(L432&lt;=0,1,M432/L432)^$G449/(1+$H449+$I449))^(1+$F449)</f>
        <v>0</v>
      </c>
      <c r="N459" s="24">
        <f t="shared" si="179"/>
        <v>0</v>
      </c>
      <c r="O459" s="24">
        <f t="shared" si="179"/>
        <v>0</v>
      </c>
      <c r="P459" s="24">
        <f t="shared" si="179"/>
        <v>0</v>
      </c>
      <c r="Q459" s="24">
        <f t="shared" si="179"/>
        <v>0</v>
      </c>
      <c r="R459" s="24">
        <f t="shared" si="179"/>
        <v>0</v>
      </c>
      <c r="S459" s="24">
        <f t="shared" si="179"/>
        <v>0</v>
      </c>
      <c r="T459" s="24">
        <f t="shared" si="179"/>
        <v>0</v>
      </c>
      <c r="U459" s="24">
        <f t="shared" si="179"/>
        <v>0</v>
      </c>
      <c r="V459" s="24">
        <f t="shared" si="179"/>
        <v>0</v>
      </c>
      <c r="W459" s="24">
        <f t="shared" si="179"/>
        <v>0</v>
      </c>
      <c r="X459" s="24">
        <f t="shared" si="179"/>
        <v>0</v>
      </c>
      <c r="Y459" s="24">
        <f t="shared" si="179"/>
        <v>0</v>
      </c>
      <c r="Z459" s="24">
        <f t="shared" si="179"/>
        <v>0</v>
      </c>
      <c r="AA459" s="24">
        <f t="shared" si="179"/>
        <v>0</v>
      </c>
      <c r="AB459" s="24">
        <f t="shared" si="179"/>
        <v>0</v>
      </c>
      <c r="AC459" s="24">
        <f t="shared" si="179"/>
        <v>0</v>
      </c>
      <c r="AD459" s="24">
        <f t="shared" si="179"/>
        <v>0</v>
      </c>
      <c r="AE459" s="24">
        <f t="shared" si="179"/>
        <v>0</v>
      </c>
    </row>
    <row r="460" spans="1:35" x14ac:dyDescent="0.45">
      <c r="B460" s="14" t="s">
        <v>67</v>
      </c>
      <c r="C460" s="14" t="str">
        <f t="shared" si="172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L460" s="47">
        <f>INDEX(Data_Energy!$D$3:$U$22,MATCH($B460,Data_Energy!$C$3:$C$22,0),MATCH($C460,Data_Energy!$D$2:$U$2,0))</f>
        <v>0</v>
      </c>
      <c r="M460" s="24">
        <f t="shared" ref="M460:AE460" si="180">L460*(1+M$438)^($E450*M$439)*(1+M$440)*IF(L423&lt;=0,1,M423/L423)^$F450*(IF(L433&lt;=0,1,M433/L433)^$G450/(1+$H450+$I450))^(1+$F450)</f>
        <v>0</v>
      </c>
      <c r="N460" s="24">
        <f t="shared" si="180"/>
        <v>0</v>
      </c>
      <c r="O460" s="24">
        <f t="shared" si="180"/>
        <v>0</v>
      </c>
      <c r="P460" s="24">
        <f t="shared" si="180"/>
        <v>0</v>
      </c>
      <c r="Q460" s="24">
        <f t="shared" si="180"/>
        <v>0</v>
      </c>
      <c r="R460" s="24">
        <f t="shared" si="180"/>
        <v>0</v>
      </c>
      <c r="S460" s="24">
        <f t="shared" si="180"/>
        <v>0</v>
      </c>
      <c r="T460" s="24">
        <f t="shared" si="180"/>
        <v>0</v>
      </c>
      <c r="U460" s="24">
        <f t="shared" si="180"/>
        <v>0</v>
      </c>
      <c r="V460" s="24">
        <f t="shared" si="180"/>
        <v>0</v>
      </c>
      <c r="W460" s="24">
        <f t="shared" si="180"/>
        <v>0</v>
      </c>
      <c r="X460" s="24">
        <f t="shared" si="180"/>
        <v>0</v>
      </c>
      <c r="Y460" s="24">
        <f t="shared" si="180"/>
        <v>0</v>
      </c>
      <c r="Z460" s="24">
        <f t="shared" si="180"/>
        <v>0</v>
      </c>
      <c r="AA460" s="24">
        <f t="shared" si="180"/>
        <v>0</v>
      </c>
      <c r="AB460" s="24">
        <f t="shared" si="180"/>
        <v>0</v>
      </c>
      <c r="AC460" s="24">
        <f t="shared" si="180"/>
        <v>0</v>
      </c>
      <c r="AD460" s="24">
        <f t="shared" si="180"/>
        <v>0</v>
      </c>
      <c r="AE460" s="24">
        <f t="shared" si="180"/>
        <v>0</v>
      </c>
    </row>
    <row r="461" spans="1:35" x14ac:dyDescent="0.45">
      <c r="B461" s="14" t="s">
        <v>69</v>
      </c>
      <c r="C461" s="14" t="str">
        <f t="shared" si="172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L461" s="47">
        <f>INDEX(Data_Energy!$D$3:$U$22,MATCH($B461,Data_Energy!$C$3:$C$22,0),MATCH($C461,Data_Energy!$D$2:$U$2,0))</f>
        <v>0</v>
      </c>
      <c r="M461" s="24">
        <f t="shared" ref="M461:AE461" si="181">L461*(1+M$438)^($E451*M$439)*(1+M$440)*IF(L424&lt;=0,1,M424/L424)^$F451*(IF(L434&lt;=0,1,M434/L434)^$G451/(1+$H451+$I451))^(1+$F451)</f>
        <v>0</v>
      </c>
      <c r="N461" s="24">
        <f t="shared" si="181"/>
        <v>0</v>
      </c>
      <c r="O461" s="24">
        <f t="shared" si="181"/>
        <v>0</v>
      </c>
      <c r="P461" s="24">
        <f t="shared" si="181"/>
        <v>0</v>
      </c>
      <c r="Q461" s="24">
        <f t="shared" si="181"/>
        <v>0</v>
      </c>
      <c r="R461" s="24">
        <f t="shared" si="181"/>
        <v>0</v>
      </c>
      <c r="S461" s="24">
        <f t="shared" si="181"/>
        <v>0</v>
      </c>
      <c r="T461" s="24">
        <f t="shared" si="181"/>
        <v>0</v>
      </c>
      <c r="U461" s="24">
        <f t="shared" si="181"/>
        <v>0</v>
      </c>
      <c r="V461" s="24">
        <f t="shared" si="181"/>
        <v>0</v>
      </c>
      <c r="W461" s="24">
        <f t="shared" si="181"/>
        <v>0</v>
      </c>
      <c r="X461" s="24">
        <f t="shared" si="181"/>
        <v>0</v>
      </c>
      <c r="Y461" s="24">
        <f t="shared" si="181"/>
        <v>0</v>
      </c>
      <c r="Z461" s="24">
        <f t="shared" si="181"/>
        <v>0</v>
      </c>
      <c r="AA461" s="24">
        <f t="shared" si="181"/>
        <v>0</v>
      </c>
      <c r="AB461" s="24">
        <f t="shared" si="181"/>
        <v>0</v>
      </c>
      <c r="AC461" s="24">
        <f t="shared" si="181"/>
        <v>0</v>
      </c>
      <c r="AD461" s="24">
        <f t="shared" si="181"/>
        <v>0</v>
      </c>
      <c r="AE461" s="24">
        <f t="shared" si="181"/>
        <v>0</v>
      </c>
    </row>
    <row r="462" spans="1:35" x14ac:dyDescent="0.45">
      <c r="B462" s="14" t="s">
        <v>110</v>
      </c>
      <c r="C462" s="14" t="str">
        <f t="shared" si="172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182">SUM(L453:L461)</f>
        <v>1901.7140738122609</v>
      </c>
      <c r="M462" s="26">
        <f t="shared" si="182"/>
        <v>1621.2301769893743</v>
      </c>
      <c r="N462" s="26">
        <f t="shared" si="182"/>
        <v>1820.8469202303741</v>
      </c>
      <c r="O462" s="26">
        <f t="shared" si="182"/>
        <v>1904.3670376253485</v>
      </c>
      <c r="P462" s="26">
        <f t="shared" si="182"/>
        <v>1961.702021253242</v>
      </c>
      <c r="Q462" s="26">
        <f t="shared" si="182"/>
        <v>1856.404797168507</v>
      </c>
      <c r="R462" s="26">
        <f t="shared" si="182"/>
        <v>1788.9492171961813</v>
      </c>
      <c r="S462" s="26">
        <f t="shared" si="182"/>
        <v>1732.3328660968311</v>
      </c>
      <c r="T462" s="26">
        <f t="shared" si="182"/>
        <v>1682.3885530274299</v>
      </c>
      <c r="U462" s="26">
        <f t="shared" si="182"/>
        <v>1641.4681088716557</v>
      </c>
      <c r="V462" s="26">
        <f t="shared" si="182"/>
        <v>1607.9067887450958</v>
      </c>
      <c r="W462" s="26">
        <f t="shared" si="182"/>
        <v>1581.3612458923553</v>
      </c>
      <c r="X462" s="26">
        <f t="shared" si="182"/>
        <v>1561.0275376536185</v>
      </c>
      <c r="Y462" s="26">
        <f t="shared" si="182"/>
        <v>1546.4517889063816</v>
      </c>
      <c r="Z462" s="26">
        <f t="shared" si="182"/>
        <v>1537.5943975526714</v>
      </c>
      <c r="AA462" s="26">
        <f t="shared" si="182"/>
        <v>1534.1781017151086</v>
      </c>
      <c r="AB462" s="26">
        <f t="shared" si="182"/>
        <v>1535.9010092298067</v>
      </c>
      <c r="AC462" s="26">
        <f t="shared" si="182"/>
        <v>1542.2263096902577</v>
      </c>
      <c r="AD462" s="26">
        <f t="shared" si="182"/>
        <v>1552.707818724469</v>
      </c>
      <c r="AE462" s="26">
        <f t="shared" si="182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183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183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183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183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183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183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183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183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183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184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184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184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184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184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184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184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184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184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185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185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185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185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185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185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185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185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185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0</v>
      </c>
      <c r="M497" s="19">
        <f>INDEX(Data_Prices!M:M,MATCH($G497,Data_Prices!$A:$A,0))</f>
        <v>0</v>
      </c>
      <c r="N497" s="19">
        <f>INDEX(Data_Prices!N:N,MATCH($G497,Data_Prices!$A:$A,0))</f>
        <v>0</v>
      </c>
      <c r="O497" s="19">
        <f>INDEX(Data_Prices!O:O,MATCH($G497,Data_Prices!$A:$A,0))</f>
        <v>0</v>
      </c>
      <c r="P497" s="19">
        <f>INDEX(Data_Prices!P:P,MATCH($G497,Data_Prices!$A:$A,0))</f>
        <v>0</v>
      </c>
      <c r="Q497" s="19">
        <f>INDEX(Data_Prices!Q:Q,MATCH($G497,Data_Prices!$A:$A,0))</f>
        <v>0</v>
      </c>
      <c r="R497" s="19">
        <f>INDEX(Data_Prices!R:R,MATCH($G497,Data_Prices!$A:$A,0))</f>
        <v>0</v>
      </c>
      <c r="S497" s="19">
        <f>INDEX(Data_Prices!S:S,MATCH($G497,Data_Prices!$A:$A,0))</f>
        <v>0</v>
      </c>
      <c r="T497" s="19">
        <f>INDEX(Data_Prices!T:T,MATCH($G497,Data_Prices!$A:$A,0))</f>
        <v>0</v>
      </c>
      <c r="U497" s="19">
        <f>INDEX(Data_Prices!U:U,MATCH($G497,Data_Prices!$A:$A,0))</f>
        <v>0</v>
      </c>
      <c r="V497" s="19">
        <f>INDEX(Data_Prices!V:V,MATCH($G497,Data_Prices!$A:$A,0))</f>
        <v>0</v>
      </c>
      <c r="W497" s="19">
        <f>INDEX(Data_Prices!W:W,MATCH($G497,Data_Prices!$A:$A,0))</f>
        <v>0</v>
      </c>
      <c r="X497" s="19">
        <f>INDEX(Data_Prices!X:X,MATCH($G497,Data_Prices!$A:$A,0))</f>
        <v>0</v>
      </c>
      <c r="Y497" s="19">
        <f>INDEX(Data_Prices!Y:Y,MATCH($G497,Data_Prices!$A:$A,0))</f>
        <v>0</v>
      </c>
      <c r="Z497" s="19">
        <f>INDEX(Data_Prices!Z:Z,MATCH($G497,Data_Prices!$A:$A,0))</f>
        <v>0</v>
      </c>
      <c r="AA497" s="19">
        <f>INDEX(Data_Prices!AA:AA,MATCH($G497,Data_Prices!$A:$A,0))</f>
        <v>0</v>
      </c>
      <c r="AB497" s="19">
        <f>INDEX(Data_Prices!AB:AB,MATCH($G497,Data_Prices!$A:$A,0))</f>
        <v>0</v>
      </c>
      <c r="AC497" s="19">
        <f>INDEX(Data_Prices!AC:AC,MATCH($G497,Data_Prices!$A:$A,0))</f>
        <v>0</v>
      </c>
      <c r="AD497" s="19">
        <f>INDEX(Data_Prices!AD:AD,MATCH($G497,Data_Prices!$A:$A,0))</f>
        <v>0</v>
      </c>
      <c r="AE497" s="19">
        <f>INDEX(Data_Prices!AE:AE,MATCH($G497,Data_Prices!$A:$A,0))</f>
        <v>0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186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186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186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186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186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186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186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186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186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187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L513" s="47">
        <f>INDEX(Data_Energy!$D$3:$U$22,MATCH($B513,Data_Energy!$C$3:$C$22,0),MATCH($C513,Data_Energy!$D$2:$U$2,0))</f>
        <v>1463.05522446279</v>
      </c>
      <c r="M513" s="24">
        <f t="shared" ref="M513:AE513" si="188">L513*(1+M$498)^($E503*M$499)*(1+M$500)*IF(L476&lt;=0,1,M476/L476)^$F503*(IF(L486&lt;=0,1,M486/L486)^$G503/(1+$H503+$I503))^(1+$F503)</f>
        <v>1191.3644362517186</v>
      </c>
      <c r="N513" s="24">
        <f t="shared" si="188"/>
        <v>1369.1779282213379</v>
      </c>
      <c r="O513" s="24">
        <f t="shared" si="188"/>
        <v>1496.0103450821184</v>
      </c>
      <c r="P513" s="24">
        <f t="shared" si="188"/>
        <v>1463.0094084242087</v>
      </c>
      <c r="Q513" s="24">
        <f t="shared" si="188"/>
        <v>1374.7723428524598</v>
      </c>
      <c r="R513" s="24">
        <f t="shared" si="188"/>
        <v>1322.3676037201524</v>
      </c>
      <c r="S513" s="24">
        <f t="shared" si="188"/>
        <v>1277.4771729802817</v>
      </c>
      <c r="T513" s="24">
        <f t="shared" si="188"/>
        <v>1237.8339324892117</v>
      </c>
      <c r="U513" s="24">
        <f t="shared" si="188"/>
        <v>1203.5520989403735</v>
      </c>
      <c r="V513" s="24">
        <f t="shared" si="188"/>
        <v>1171.0227006276741</v>
      </c>
      <c r="W513" s="24">
        <f t="shared" si="188"/>
        <v>1143.1158396315363</v>
      </c>
      <c r="X513" s="24">
        <f t="shared" si="188"/>
        <v>1119.1782325411702</v>
      </c>
      <c r="Y513" s="24">
        <f t="shared" si="188"/>
        <v>1098.7587442542565</v>
      </c>
      <c r="Z513" s="24">
        <f t="shared" si="188"/>
        <v>1081.6097142698629</v>
      </c>
      <c r="AA513" s="24">
        <f t="shared" si="188"/>
        <v>1067.4268939287992</v>
      </c>
      <c r="AB513" s="24">
        <f t="shared" si="188"/>
        <v>1055.9237026292408</v>
      </c>
      <c r="AC513" s="24">
        <f t="shared" si="188"/>
        <v>1046.7510678916517</v>
      </c>
      <c r="AD513" s="24">
        <f t="shared" si="188"/>
        <v>1039.6150871676307</v>
      </c>
      <c r="AE513" s="24">
        <f t="shared" si="188"/>
        <v>1034.2820627341093</v>
      </c>
    </row>
    <row r="514" spans="1:35" x14ac:dyDescent="0.45">
      <c r="B514" s="14" t="s">
        <v>53</v>
      </c>
      <c r="C514" s="14" t="str">
        <f t="shared" si="187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L514" s="47">
        <f>INDEX(Data_Energy!$D$3:$U$22,MATCH($B514,Data_Energy!$C$3:$C$22,0),MATCH($C514,Data_Energy!$D$2:$U$2,0))</f>
        <v>1747.39153476208</v>
      </c>
      <c r="M514" s="24">
        <f t="shared" ref="M514:AE514" si="189">L514*(1+M$498)^($E504*M$499)*(1+M$500)*IF(L477&lt;=0,1,M477/L477)^$F504*(IF(L487&lt;=0,1,M487/L487)^$G504/(1+$H504+$I504))^(1+$F504)</f>
        <v>1498.9759731403976</v>
      </c>
      <c r="N514" s="24">
        <f t="shared" si="189"/>
        <v>1678.358160579395</v>
      </c>
      <c r="O514" s="24">
        <f t="shared" si="189"/>
        <v>1744.6824773068638</v>
      </c>
      <c r="P514" s="24">
        <f t="shared" si="189"/>
        <v>1810.2025593297435</v>
      </c>
      <c r="Q514" s="24">
        <f t="shared" si="189"/>
        <v>1714.6535098550225</v>
      </c>
      <c r="R514" s="24">
        <f t="shared" si="189"/>
        <v>1652.7566024408457</v>
      </c>
      <c r="S514" s="24">
        <f t="shared" si="189"/>
        <v>1600.9566278844272</v>
      </c>
      <c r="T514" s="24">
        <f t="shared" si="189"/>
        <v>1555.2682553771401</v>
      </c>
      <c r="U514" s="24">
        <f t="shared" si="189"/>
        <v>1518.134680287737</v>
      </c>
      <c r="V514" s="24">
        <f t="shared" si="189"/>
        <v>1488.4138650625532</v>
      </c>
      <c r="W514" s="24">
        <f t="shared" si="189"/>
        <v>1465.2685194100193</v>
      </c>
      <c r="X514" s="24">
        <f t="shared" si="189"/>
        <v>1447.9657306697538</v>
      </c>
      <c r="Y514" s="24">
        <f t="shared" si="189"/>
        <v>1436.1054289752974</v>
      </c>
      <c r="Z514" s="24">
        <f t="shared" si="189"/>
        <v>1429.6873853271168</v>
      </c>
      <c r="AA514" s="24">
        <f t="shared" si="189"/>
        <v>1428.4719778022093</v>
      </c>
      <c r="AB514" s="24">
        <f t="shared" si="189"/>
        <v>1432.1908567362859</v>
      </c>
      <c r="AC514" s="24">
        <f t="shared" si="189"/>
        <v>1440.340132629459</v>
      </c>
      <c r="AD514" s="24">
        <f t="shared" si="189"/>
        <v>1452.5016104532156</v>
      </c>
      <c r="AE514" s="24">
        <f t="shared" si="189"/>
        <v>1468.3698881922217</v>
      </c>
    </row>
    <row r="515" spans="1:35" x14ac:dyDescent="0.45">
      <c r="B515" s="14" t="s">
        <v>55</v>
      </c>
      <c r="C515" s="14" t="str">
        <f t="shared" si="187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L515" s="47">
        <f>INDEX(Data_Energy!$D$3:$U$22,MATCH($B515,Data_Energy!$C$3:$C$22,0),MATCH($C515,Data_Energy!$D$2:$U$2,0))</f>
        <v>0</v>
      </c>
      <c r="M515" s="24">
        <f t="shared" ref="M515:AE515" si="190">L515*(1+M$498)^($E505*M$499)*(1+M$500)*IF(L478&lt;=0,1,M478/L478)^$F505*(IF(L488&lt;=0,1,M488/L488)^$G505/(1+$H505+$I505))^(1+$F505)</f>
        <v>0</v>
      </c>
      <c r="N515" s="24">
        <f t="shared" si="190"/>
        <v>0</v>
      </c>
      <c r="O515" s="24">
        <f t="shared" si="190"/>
        <v>0</v>
      </c>
      <c r="P515" s="24">
        <f t="shared" si="190"/>
        <v>0</v>
      </c>
      <c r="Q515" s="24">
        <f t="shared" si="190"/>
        <v>0</v>
      </c>
      <c r="R515" s="24">
        <f t="shared" si="190"/>
        <v>0</v>
      </c>
      <c r="S515" s="24">
        <f t="shared" si="190"/>
        <v>0</v>
      </c>
      <c r="T515" s="24">
        <f t="shared" si="190"/>
        <v>0</v>
      </c>
      <c r="U515" s="24">
        <f t="shared" si="190"/>
        <v>0</v>
      </c>
      <c r="V515" s="24">
        <f t="shared" si="190"/>
        <v>0</v>
      </c>
      <c r="W515" s="24">
        <f t="shared" si="190"/>
        <v>0</v>
      </c>
      <c r="X515" s="24">
        <f t="shared" si="190"/>
        <v>0</v>
      </c>
      <c r="Y515" s="24">
        <f t="shared" si="190"/>
        <v>0</v>
      </c>
      <c r="Z515" s="24">
        <f t="shared" si="190"/>
        <v>0</v>
      </c>
      <c r="AA515" s="24">
        <f t="shared" si="190"/>
        <v>0</v>
      </c>
      <c r="AB515" s="24">
        <f t="shared" si="190"/>
        <v>0</v>
      </c>
      <c r="AC515" s="24">
        <f t="shared" si="190"/>
        <v>0</v>
      </c>
      <c r="AD515" s="24">
        <f t="shared" si="190"/>
        <v>0</v>
      </c>
      <c r="AE515" s="24">
        <f t="shared" si="190"/>
        <v>0</v>
      </c>
    </row>
    <row r="516" spans="1:35" x14ac:dyDescent="0.45">
      <c r="B516" s="14" t="s">
        <v>58</v>
      </c>
      <c r="C516" s="14" t="str">
        <f t="shared" si="187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L516" s="47">
        <f>INDEX(Data_Energy!$D$3:$U$22,MATCH($B516,Data_Energy!$C$3:$C$22,0),MATCH($C516,Data_Energy!$D$2:$U$2,0))</f>
        <v>0</v>
      </c>
      <c r="M516" s="24">
        <f t="shared" ref="M516:AE516" si="191">L516*(1+M$498)^($E506*M$499)*(1+M$500)*IF(L479&lt;=0,1,M479/L479)^$F506*(IF(L489&lt;=0,1,M489/L489)^$G506/(1+$H506+$I506))^(1+$F506)</f>
        <v>0</v>
      </c>
      <c r="N516" s="24">
        <f t="shared" si="191"/>
        <v>0</v>
      </c>
      <c r="O516" s="24">
        <f t="shared" si="191"/>
        <v>0</v>
      </c>
      <c r="P516" s="24">
        <f t="shared" si="191"/>
        <v>0</v>
      </c>
      <c r="Q516" s="24">
        <f t="shared" si="191"/>
        <v>0</v>
      </c>
      <c r="R516" s="24">
        <f t="shared" si="191"/>
        <v>0</v>
      </c>
      <c r="S516" s="24">
        <f t="shared" si="191"/>
        <v>0</v>
      </c>
      <c r="T516" s="24">
        <f t="shared" si="191"/>
        <v>0</v>
      </c>
      <c r="U516" s="24">
        <f t="shared" si="191"/>
        <v>0</v>
      </c>
      <c r="V516" s="24">
        <f t="shared" si="191"/>
        <v>0</v>
      </c>
      <c r="W516" s="24">
        <f t="shared" si="191"/>
        <v>0</v>
      </c>
      <c r="X516" s="24">
        <f t="shared" si="191"/>
        <v>0</v>
      </c>
      <c r="Y516" s="24">
        <f t="shared" si="191"/>
        <v>0</v>
      </c>
      <c r="Z516" s="24">
        <f t="shared" si="191"/>
        <v>0</v>
      </c>
      <c r="AA516" s="24">
        <f t="shared" si="191"/>
        <v>0</v>
      </c>
      <c r="AB516" s="24">
        <f t="shared" si="191"/>
        <v>0</v>
      </c>
      <c r="AC516" s="24">
        <f t="shared" si="191"/>
        <v>0</v>
      </c>
      <c r="AD516" s="24">
        <f t="shared" si="191"/>
        <v>0</v>
      </c>
      <c r="AE516" s="24">
        <f t="shared" si="191"/>
        <v>0</v>
      </c>
    </row>
    <row r="517" spans="1:35" x14ac:dyDescent="0.45">
      <c r="B517" s="14" t="s">
        <v>60</v>
      </c>
      <c r="C517" s="14" t="str">
        <f t="shared" si="187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L517" s="47">
        <f>INDEX(Data_Energy!$D$3:$U$22,MATCH($B517,Data_Energy!$C$3:$C$22,0),MATCH($C517,Data_Energy!$D$2:$U$2,0))</f>
        <v>0</v>
      </c>
      <c r="M517" s="24">
        <f t="shared" ref="M517:AE517" si="192">L517*(1+M$498)^($E507*M$499)*(1+M$500)*IF(L480&lt;=0,1,M480/L480)^$F507*(IF(L490&lt;=0,1,M490/L490)^$G507/(1+$H507+$I507))^(1+$F507)</f>
        <v>0</v>
      </c>
      <c r="N517" s="24">
        <f t="shared" si="192"/>
        <v>0</v>
      </c>
      <c r="O517" s="24">
        <f t="shared" si="192"/>
        <v>0</v>
      </c>
      <c r="P517" s="24">
        <f t="shared" si="192"/>
        <v>0</v>
      </c>
      <c r="Q517" s="24">
        <f t="shared" si="192"/>
        <v>0</v>
      </c>
      <c r="R517" s="24">
        <f t="shared" si="192"/>
        <v>0</v>
      </c>
      <c r="S517" s="24">
        <f t="shared" si="192"/>
        <v>0</v>
      </c>
      <c r="T517" s="24">
        <f t="shared" si="192"/>
        <v>0</v>
      </c>
      <c r="U517" s="24">
        <f t="shared" si="192"/>
        <v>0</v>
      </c>
      <c r="V517" s="24">
        <f t="shared" si="192"/>
        <v>0</v>
      </c>
      <c r="W517" s="24">
        <f t="shared" si="192"/>
        <v>0</v>
      </c>
      <c r="X517" s="24">
        <f t="shared" si="192"/>
        <v>0</v>
      </c>
      <c r="Y517" s="24">
        <f t="shared" si="192"/>
        <v>0</v>
      </c>
      <c r="Z517" s="24">
        <f t="shared" si="192"/>
        <v>0</v>
      </c>
      <c r="AA517" s="24">
        <f t="shared" si="192"/>
        <v>0</v>
      </c>
      <c r="AB517" s="24">
        <f t="shared" si="192"/>
        <v>0</v>
      </c>
      <c r="AC517" s="24">
        <f t="shared" si="192"/>
        <v>0</v>
      </c>
      <c r="AD517" s="24">
        <f t="shared" si="192"/>
        <v>0</v>
      </c>
      <c r="AE517" s="24">
        <f t="shared" si="192"/>
        <v>0</v>
      </c>
    </row>
    <row r="518" spans="1:35" x14ac:dyDescent="0.45">
      <c r="B518" s="14" t="s">
        <v>62</v>
      </c>
      <c r="C518" s="14" t="str">
        <f t="shared" si="187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L518" s="47">
        <f>INDEX(Data_Energy!$D$3:$U$22,MATCH($B518,Data_Energy!$C$3:$C$22,0),MATCH($C518,Data_Energy!$D$2:$U$2,0))</f>
        <v>0</v>
      </c>
      <c r="M518" s="24">
        <f t="shared" ref="M518:AE518" si="193">L518*(1+M$498)^($E508*M$499)*(1+M$500)*IF(L481&lt;=0,1,M481/L481)^$F508*(IF(L491&lt;=0,1,M491/L491)^$G508/(1+$H508+$I508))^(1+$F508)</f>
        <v>0</v>
      </c>
      <c r="N518" s="24">
        <f t="shared" si="193"/>
        <v>0</v>
      </c>
      <c r="O518" s="24">
        <f t="shared" si="193"/>
        <v>0</v>
      </c>
      <c r="P518" s="24">
        <f t="shared" si="193"/>
        <v>0</v>
      </c>
      <c r="Q518" s="24">
        <f t="shared" si="193"/>
        <v>0</v>
      </c>
      <c r="R518" s="24">
        <f t="shared" si="193"/>
        <v>0</v>
      </c>
      <c r="S518" s="24">
        <f t="shared" si="193"/>
        <v>0</v>
      </c>
      <c r="T518" s="24">
        <f t="shared" si="193"/>
        <v>0</v>
      </c>
      <c r="U518" s="24">
        <f t="shared" si="193"/>
        <v>0</v>
      </c>
      <c r="V518" s="24">
        <f t="shared" si="193"/>
        <v>0</v>
      </c>
      <c r="W518" s="24">
        <f t="shared" si="193"/>
        <v>0</v>
      </c>
      <c r="X518" s="24">
        <f t="shared" si="193"/>
        <v>0</v>
      </c>
      <c r="Y518" s="24">
        <f t="shared" si="193"/>
        <v>0</v>
      </c>
      <c r="Z518" s="24">
        <f t="shared" si="193"/>
        <v>0</v>
      </c>
      <c r="AA518" s="24">
        <f t="shared" si="193"/>
        <v>0</v>
      </c>
      <c r="AB518" s="24">
        <f t="shared" si="193"/>
        <v>0</v>
      </c>
      <c r="AC518" s="24">
        <f t="shared" si="193"/>
        <v>0</v>
      </c>
      <c r="AD518" s="24">
        <f t="shared" si="193"/>
        <v>0</v>
      </c>
      <c r="AE518" s="24">
        <f t="shared" si="193"/>
        <v>0</v>
      </c>
    </row>
    <row r="519" spans="1:35" x14ac:dyDescent="0.45">
      <c r="B519" s="14" t="s">
        <v>64</v>
      </c>
      <c r="C519" s="14" t="str">
        <f t="shared" si="187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L519" s="47">
        <f>INDEX(Data_Energy!$D$3:$U$22,MATCH($B519,Data_Energy!$C$3:$C$22,0),MATCH($C519,Data_Energy!$D$2:$U$2,0))</f>
        <v>0</v>
      </c>
      <c r="M519" s="24">
        <f t="shared" ref="M519:AE519" si="194">L519*(1+M$498)^($E509*M$499)*(1+M$500)*IF(L482&lt;=0,1,M482/L482)^$F509*(IF(L492&lt;=0,1,M492/L492)^$G509/(1+$H509+$I509))^(1+$F509)</f>
        <v>0</v>
      </c>
      <c r="N519" s="24">
        <f t="shared" si="194"/>
        <v>0</v>
      </c>
      <c r="O519" s="24">
        <f t="shared" si="194"/>
        <v>0</v>
      </c>
      <c r="P519" s="24">
        <f t="shared" si="194"/>
        <v>0</v>
      </c>
      <c r="Q519" s="24">
        <f t="shared" si="194"/>
        <v>0</v>
      </c>
      <c r="R519" s="24">
        <f t="shared" si="194"/>
        <v>0</v>
      </c>
      <c r="S519" s="24">
        <f t="shared" si="194"/>
        <v>0</v>
      </c>
      <c r="T519" s="24">
        <f t="shared" si="194"/>
        <v>0</v>
      </c>
      <c r="U519" s="24">
        <f t="shared" si="194"/>
        <v>0</v>
      </c>
      <c r="V519" s="24">
        <f t="shared" si="194"/>
        <v>0</v>
      </c>
      <c r="W519" s="24">
        <f t="shared" si="194"/>
        <v>0</v>
      </c>
      <c r="X519" s="24">
        <f t="shared" si="194"/>
        <v>0</v>
      </c>
      <c r="Y519" s="24">
        <f t="shared" si="194"/>
        <v>0</v>
      </c>
      <c r="Z519" s="24">
        <f t="shared" si="194"/>
        <v>0</v>
      </c>
      <c r="AA519" s="24">
        <f t="shared" si="194"/>
        <v>0</v>
      </c>
      <c r="AB519" s="24">
        <f t="shared" si="194"/>
        <v>0</v>
      </c>
      <c r="AC519" s="24">
        <f t="shared" si="194"/>
        <v>0</v>
      </c>
      <c r="AD519" s="24">
        <f t="shared" si="194"/>
        <v>0</v>
      </c>
      <c r="AE519" s="24">
        <f t="shared" si="194"/>
        <v>0</v>
      </c>
    </row>
    <row r="520" spans="1:35" x14ac:dyDescent="0.45">
      <c r="B520" s="14" t="s">
        <v>67</v>
      </c>
      <c r="C520" s="14" t="str">
        <f t="shared" si="187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L520" s="47">
        <f>INDEX(Data_Energy!$D$3:$U$22,MATCH($B520,Data_Energy!$C$3:$C$22,0),MATCH($C520,Data_Energy!$D$2:$U$2,0))</f>
        <v>0</v>
      </c>
      <c r="M520" s="24">
        <f t="shared" ref="M520:AE520" si="195">L520*(1+M$498)^($E510*M$499)*(1+M$500)*IF(L483&lt;=0,1,M483/L483)^$F510*(IF(L493&lt;=0,1,M493/L493)^$G510/(1+$H510+$I510))^(1+$F510)</f>
        <v>0</v>
      </c>
      <c r="N520" s="24">
        <f t="shared" si="195"/>
        <v>0</v>
      </c>
      <c r="O520" s="24">
        <f t="shared" si="195"/>
        <v>0</v>
      </c>
      <c r="P520" s="24">
        <f t="shared" si="195"/>
        <v>0</v>
      </c>
      <c r="Q520" s="24">
        <f t="shared" si="195"/>
        <v>0</v>
      </c>
      <c r="R520" s="24">
        <f t="shared" si="195"/>
        <v>0</v>
      </c>
      <c r="S520" s="24">
        <f t="shared" si="195"/>
        <v>0</v>
      </c>
      <c r="T520" s="24">
        <f t="shared" si="195"/>
        <v>0</v>
      </c>
      <c r="U520" s="24">
        <f t="shared" si="195"/>
        <v>0</v>
      </c>
      <c r="V520" s="24">
        <f t="shared" si="195"/>
        <v>0</v>
      </c>
      <c r="W520" s="24">
        <f t="shared" si="195"/>
        <v>0</v>
      </c>
      <c r="X520" s="24">
        <f t="shared" si="195"/>
        <v>0</v>
      </c>
      <c r="Y520" s="24">
        <f t="shared" si="195"/>
        <v>0</v>
      </c>
      <c r="Z520" s="24">
        <f t="shared" si="195"/>
        <v>0</v>
      </c>
      <c r="AA520" s="24">
        <f t="shared" si="195"/>
        <v>0</v>
      </c>
      <c r="AB520" s="24">
        <f t="shared" si="195"/>
        <v>0</v>
      </c>
      <c r="AC520" s="24">
        <f t="shared" si="195"/>
        <v>0</v>
      </c>
      <c r="AD520" s="24">
        <f t="shared" si="195"/>
        <v>0</v>
      </c>
      <c r="AE520" s="24">
        <f t="shared" si="195"/>
        <v>0</v>
      </c>
    </row>
    <row r="521" spans="1:35" x14ac:dyDescent="0.45">
      <c r="B521" s="14" t="s">
        <v>69</v>
      </c>
      <c r="C521" s="14" t="str">
        <f t="shared" si="187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L521" s="47">
        <f>INDEX(Data_Energy!$D$3:$U$22,MATCH($B521,Data_Energy!$C$3:$C$22,0),MATCH($C521,Data_Energy!$D$2:$U$2,0))</f>
        <v>0</v>
      </c>
      <c r="M521" s="24">
        <f t="shared" ref="M521:AE521" si="196">L521*(1+M$498)^($E511*M$499)*(1+M$500)*IF(L484&lt;=0,1,M484/L484)^$F511*(IF(L494&lt;=0,1,M494/L494)^$G511/(1+$H511+$I511))^(1+$F511)</f>
        <v>0</v>
      </c>
      <c r="N521" s="24">
        <f t="shared" si="196"/>
        <v>0</v>
      </c>
      <c r="O521" s="24">
        <f t="shared" si="196"/>
        <v>0</v>
      </c>
      <c r="P521" s="24">
        <f t="shared" si="196"/>
        <v>0</v>
      </c>
      <c r="Q521" s="24">
        <f t="shared" si="196"/>
        <v>0</v>
      </c>
      <c r="R521" s="24">
        <f t="shared" si="196"/>
        <v>0</v>
      </c>
      <c r="S521" s="24">
        <f t="shared" si="196"/>
        <v>0</v>
      </c>
      <c r="T521" s="24">
        <f t="shared" si="196"/>
        <v>0</v>
      </c>
      <c r="U521" s="24">
        <f t="shared" si="196"/>
        <v>0</v>
      </c>
      <c r="V521" s="24">
        <f t="shared" si="196"/>
        <v>0</v>
      </c>
      <c r="W521" s="24">
        <f t="shared" si="196"/>
        <v>0</v>
      </c>
      <c r="X521" s="24">
        <f t="shared" si="196"/>
        <v>0</v>
      </c>
      <c r="Y521" s="24">
        <f t="shared" si="196"/>
        <v>0</v>
      </c>
      <c r="Z521" s="24">
        <f t="shared" si="196"/>
        <v>0</v>
      </c>
      <c r="AA521" s="24">
        <f t="shared" si="196"/>
        <v>0</v>
      </c>
      <c r="AB521" s="24">
        <f t="shared" si="196"/>
        <v>0</v>
      </c>
      <c r="AC521" s="24">
        <f t="shared" si="196"/>
        <v>0</v>
      </c>
      <c r="AD521" s="24">
        <f t="shared" si="196"/>
        <v>0</v>
      </c>
      <c r="AE521" s="24">
        <f t="shared" si="196"/>
        <v>0</v>
      </c>
    </row>
    <row r="522" spans="1:35" x14ac:dyDescent="0.45">
      <c r="B522" s="14" t="s">
        <v>110</v>
      </c>
      <c r="C522" s="14" t="str">
        <f t="shared" si="187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197">SUM(L513:L521)</f>
        <v>3210.4467592248702</v>
      </c>
      <c r="M522" s="26">
        <f t="shared" si="197"/>
        <v>2690.3404093921163</v>
      </c>
      <c r="N522" s="26">
        <f t="shared" si="197"/>
        <v>3047.5360888007326</v>
      </c>
      <c r="O522" s="26">
        <f t="shared" si="197"/>
        <v>3240.6928223889822</v>
      </c>
      <c r="P522" s="26">
        <f t="shared" si="197"/>
        <v>3273.2119677539522</v>
      </c>
      <c r="Q522" s="26">
        <f t="shared" si="197"/>
        <v>3089.4258527074826</v>
      </c>
      <c r="R522" s="26">
        <f t="shared" si="197"/>
        <v>2975.1242061609983</v>
      </c>
      <c r="S522" s="26">
        <f t="shared" si="197"/>
        <v>2878.4338008647092</v>
      </c>
      <c r="T522" s="26">
        <f t="shared" si="197"/>
        <v>2793.1021878663519</v>
      </c>
      <c r="U522" s="26">
        <f t="shared" si="197"/>
        <v>2721.6867792281105</v>
      </c>
      <c r="V522" s="26">
        <f t="shared" si="197"/>
        <v>2659.4365656902273</v>
      </c>
      <c r="W522" s="26">
        <f t="shared" si="197"/>
        <v>2608.3843590415554</v>
      </c>
      <c r="X522" s="26">
        <f t="shared" si="197"/>
        <v>2567.1439632109241</v>
      </c>
      <c r="Y522" s="26">
        <f t="shared" si="197"/>
        <v>2534.8641732295537</v>
      </c>
      <c r="Z522" s="26">
        <f t="shared" si="197"/>
        <v>2511.2970995969799</v>
      </c>
      <c r="AA522" s="26">
        <f t="shared" si="197"/>
        <v>2495.8988717310085</v>
      </c>
      <c r="AB522" s="26">
        <f t="shared" si="197"/>
        <v>2488.1145593655265</v>
      </c>
      <c r="AC522" s="26">
        <f t="shared" si="197"/>
        <v>2487.0912005211107</v>
      </c>
      <c r="AD522" s="26">
        <f t="shared" si="197"/>
        <v>2492.116697620846</v>
      </c>
      <c r="AE522" s="26">
        <f t="shared" si="197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198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198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198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198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198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198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198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198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198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199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199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199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199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199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199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199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199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199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200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200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200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200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200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200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200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200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200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0</v>
      </c>
      <c r="M557" s="19">
        <f>INDEX(Data_Prices!M:M,MATCH($G557,Data_Prices!$A:$A,0))</f>
        <v>0</v>
      </c>
      <c r="N557" s="19">
        <f>INDEX(Data_Prices!N:N,MATCH($G557,Data_Prices!$A:$A,0))</f>
        <v>0</v>
      </c>
      <c r="O557" s="19">
        <f>INDEX(Data_Prices!O:O,MATCH($G557,Data_Prices!$A:$A,0))</f>
        <v>0</v>
      </c>
      <c r="P557" s="19">
        <f>INDEX(Data_Prices!P:P,MATCH($G557,Data_Prices!$A:$A,0))</f>
        <v>0</v>
      </c>
      <c r="Q557" s="19">
        <f>INDEX(Data_Prices!Q:Q,MATCH($G557,Data_Prices!$A:$A,0))</f>
        <v>0</v>
      </c>
      <c r="R557" s="19">
        <f>INDEX(Data_Prices!R:R,MATCH($G557,Data_Prices!$A:$A,0))</f>
        <v>0</v>
      </c>
      <c r="S557" s="19">
        <f>INDEX(Data_Prices!S:S,MATCH($G557,Data_Prices!$A:$A,0))</f>
        <v>0</v>
      </c>
      <c r="T557" s="19">
        <f>INDEX(Data_Prices!T:T,MATCH($G557,Data_Prices!$A:$A,0))</f>
        <v>0</v>
      </c>
      <c r="U557" s="19">
        <f>INDEX(Data_Prices!U:U,MATCH($G557,Data_Prices!$A:$A,0))</f>
        <v>0</v>
      </c>
      <c r="V557" s="19">
        <f>INDEX(Data_Prices!V:V,MATCH($G557,Data_Prices!$A:$A,0))</f>
        <v>0</v>
      </c>
      <c r="W557" s="19">
        <f>INDEX(Data_Prices!W:W,MATCH($G557,Data_Prices!$A:$A,0))</f>
        <v>0</v>
      </c>
      <c r="X557" s="19">
        <f>INDEX(Data_Prices!X:X,MATCH($G557,Data_Prices!$A:$A,0))</f>
        <v>0</v>
      </c>
      <c r="Y557" s="19">
        <f>INDEX(Data_Prices!Y:Y,MATCH($G557,Data_Prices!$A:$A,0))</f>
        <v>0</v>
      </c>
      <c r="Z557" s="19">
        <f>INDEX(Data_Prices!Z:Z,MATCH($G557,Data_Prices!$A:$A,0))</f>
        <v>0</v>
      </c>
      <c r="AA557" s="19">
        <f>INDEX(Data_Prices!AA:AA,MATCH($G557,Data_Prices!$A:$A,0))</f>
        <v>0</v>
      </c>
      <c r="AB557" s="19">
        <f>INDEX(Data_Prices!AB:AB,MATCH($G557,Data_Prices!$A:$A,0))</f>
        <v>0</v>
      </c>
      <c r="AC557" s="19">
        <f>INDEX(Data_Prices!AC:AC,MATCH($G557,Data_Prices!$A:$A,0))</f>
        <v>0</v>
      </c>
      <c r="AD557" s="19">
        <f>INDEX(Data_Prices!AD:AD,MATCH($G557,Data_Prices!$A:$A,0))</f>
        <v>0</v>
      </c>
      <c r="AE557" s="19">
        <f>INDEX(Data_Prices!AE:AE,MATCH($G557,Data_Prices!$A:$A,0))</f>
        <v>0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201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201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201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201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201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201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201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201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201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202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L573" s="47">
        <f>INDEX(Data_Energy!$D$3:$U$22,MATCH($B573,Data_Energy!$C$3:$C$22,0),MATCH($C573,Data_Energy!$D$2:$U$2,0))</f>
        <v>0</v>
      </c>
      <c r="M573" s="24">
        <f t="shared" ref="M573:AE573" si="203">L573*(1+M$558)^($E563*M$559)*(1+M$560)*IF(L536&lt;=0,1,M536/L536)^$F563*(IF(L546&lt;=0,1,M546/L546)^$G563/(1+$H563+$I563))^(1+$F563)</f>
        <v>0</v>
      </c>
      <c r="N573" s="24">
        <f t="shared" si="203"/>
        <v>0</v>
      </c>
      <c r="O573" s="24">
        <f t="shared" si="203"/>
        <v>0</v>
      </c>
      <c r="P573" s="24">
        <f t="shared" si="203"/>
        <v>0</v>
      </c>
      <c r="Q573" s="24">
        <f t="shared" si="203"/>
        <v>0</v>
      </c>
      <c r="R573" s="24">
        <f t="shared" si="203"/>
        <v>0</v>
      </c>
      <c r="S573" s="24">
        <f t="shared" si="203"/>
        <v>0</v>
      </c>
      <c r="T573" s="24">
        <f t="shared" si="203"/>
        <v>0</v>
      </c>
      <c r="U573" s="24">
        <f t="shared" si="203"/>
        <v>0</v>
      </c>
      <c r="V573" s="24">
        <f t="shared" si="203"/>
        <v>0</v>
      </c>
      <c r="W573" s="24">
        <f t="shared" si="203"/>
        <v>0</v>
      </c>
      <c r="X573" s="24">
        <f t="shared" si="203"/>
        <v>0</v>
      </c>
      <c r="Y573" s="24">
        <f t="shared" si="203"/>
        <v>0</v>
      </c>
      <c r="Z573" s="24">
        <f t="shared" si="203"/>
        <v>0</v>
      </c>
      <c r="AA573" s="24">
        <f t="shared" si="203"/>
        <v>0</v>
      </c>
      <c r="AB573" s="24">
        <f t="shared" si="203"/>
        <v>0</v>
      </c>
      <c r="AC573" s="24">
        <f t="shared" si="203"/>
        <v>0</v>
      </c>
      <c r="AD573" s="24">
        <f t="shared" si="203"/>
        <v>0</v>
      </c>
      <c r="AE573" s="24">
        <f t="shared" si="203"/>
        <v>0</v>
      </c>
    </row>
    <row r="574" spans="2:31" x14ac:dyDescent="0.45">
      <c r="B574" s="14" t="s">
        <v>53</v>
      </c>
      <c r="C574" s="14" t="str">
        <f t="shared" si="202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L574" s="47">
        <f>INDEX(Data_Energy!$D$3:$U$22,MATCH($B574,Data_Energy!$C$3:$C$22,0),MATCH($C574,Data_Energy!$D$2:$U$2,0))</f>
        <v>0</v>
      </c>
      <c r="M574" s="24">
        <f t="shared" ref="M574:AE574" si="204">L574*(1+M$558)^($E564*M$559)*(1+M$560)*IF(L537&lt;=0,1,M537/L537)^$F564*(IF(L547&lt;=0,1,M547/L547)^$G564/(1+$H564+$I564))^(1+$F564)</f>
        <v>0</v>
      </c>
      <c r="N574" s="24">
        <f t="shared" si="204"/>
        <v>0</v>
      </c>
      <c r="O574" s="24">
        <f t="shared" si="204"/>
        <v>0</v>
      </c>
      <c r="P574" s="24">
        <f t="shared" si="204"/>
        <v>0</v>
      </c>
      <c r="Q574" s="24">
        <f t="shared" si="204"/>
        <v>0</v>
      </c>
      <c r="R574" s="24">
        <f t="shared" si="204"/>
        <v>0</v>
      </c>
      <c r="S574" s="24">
        <f t="shared" si="204"/>
        <v>0</v>
      </c>
      <c r="T574" s="24">
        <f t="shared" si="204"/>
        <v>0</v>
      </c>
      <c r="U574" s="24">
        <f t="shared" si="204"/>
        <v>0</v>
      </c>
      <c r="V574" s="24">
        <f t="shared" si="204"/>
        <v>0</v>
      </c>
      <c r="W574" s="24">
        <f t="shared" si="204"/>
        <v>0</v>
      </c>
      <c r="X574" s="24">
        <f t="shared" si="204"/>
        <v>0</v>
      </c>
      <c r="Y574" s="24">
        <f t="shared" si="204"/>
        <v>0</v>
      </c>
      <c r="Z574" s="24">
        <f t="shared" si="204"/>
        <v>0</v>
      </c>
      <c r="AA574" s="24">
        <f t="shared" si="204"/>
        <v>0</v>
      </c>
      <c r="AB574" s="24">
        <f t="shared" si="204"/>
        <v>0</v>
      </c>
      <c r="AC574" s="24">
        <f t="shared" si="204"/>
        <v>0</v>
      </c>
      <c r="AD574" s="24">
        <f t="shared" si="204"/>
        <v>0</v>
      </c>
      <c r="AE574" s="24">
        <f t="shared" si="204"/>
        <v>0</v>
      </c>
    </row>
    <row r="575" spans="2:31" x14ac:dyDescent="0.45">
      <c r="B575" s="14" t="s">
        <v>55</v>
      </c>
      <c r="C575" s="14" t="str">
        <f t="shared" si="202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L575" s="47">
        <f>INDEX(Data_Energy!$D$3:$U$22,MATCH($B575,Data_Energy!$C$3:$C$22,0),MATCH($C575,Data_Energy!$D$2:$U$2,0))</f>
        <v>0</v>
      </c>
      <c r="M575" s="24">
        <f t="shared" ref="M575:AE575" si="205">L575*(1+M$558)^($E565*M$559)*(1+M$560)*IF(L538&lt;=0,1,M538/L538)^$F565*(IF(L548&lt;=0,1,M548/L548)^$G565/(1+$H565+$I565))^(1+$F565)</f>
        <v>0</v>
      </c>
      <c r="N575" s="24">
        <f t="shared" si="205"/>
        <v>0</v>
      </c>
      <c r="O575" s="24">
        <f t="shared" si="205"/>
        <v>0</v>
      </c>
      <c r="P575" s="24">
        <f t="shared" si="205"/>
        <v>0</v>
      </c>
      <c r="Q575" s="24">
        <f t="shared" si="205"/>
        <v>0</v>
      </c>
      <c r="R575" s="24">
        <f t="shared" si="205"/>
        <v>0</v>
      </c>
      <c r="S575" s="24">
        <f t="shared" si="205"/>
        <v>0</v>
      </c>
      <c r="T575" s="24">
        <f t="shared" si="205"/>
        <v>0</v>
      </c>
      <c r="U575" s="24">
        <f t="shared" si="205"/>
        <v>0</v>
      </c>
      <c r="V575" s="24">
        <f t="shared" si="205"/>
        <v>0</v>
      </c>
      <c r="W575" s="24">
        <f t="shared" si="205"/>
        <v>0</v>
      </c>
      <c r="X575" s="24">
        <f t="shared" si="205"/>
        <v>0</v>
      </c>
      <c r="Y575" s="24">
        <f t="shared" si="205"/>
        <v>0</v>
      </c>
      <c r="Z575" s="24">
        <f t="shared" si="205"/>
        <v>0</v>
      </c>
      <c r="AA575" s="24">
        <f t="shared" si="205"/>
        <v>0</v>
      </c>
      <c r="AB575" s="24">
        <f t="shared" si="205"/>
        <v>0</v>
      </c>
      <c r="AC575" s="24">
        <f t="shared" si="205"/>
        <v>0</v>
      </c>
      <c r="AD575" s="24">
        <f t="shared" si="205"/>
        <v>0</v>
      </c>
      <c r="AE575" s="24">
        <f t="shared" si="205"/>
        <v>0</v>
      </c>
    </row>
    <row r="576" spans="2:31" x14ac:dyDescent="0.45">
      <c r="B576" s="14" t="s">
        <v>58</v>
      </c>
      <c r="C576" s="14" t="str">
        <f t="shared" si="202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L576" s="47">
        <f>INDEX(Data_Energy!$D$3:$U$22,MATCH($B576,Data_Energy!$C$3:$C$22,0),MATCH($C576,Data_Energy!$D$2:$U$2,0))</f>
        <v>0</v>
      </c>
      <c r="M576" s="24">
        <f t="shared" ref="M576:AE576" si="206">L576*(1+M$558)^($E566*M$559)*(1+M$560)*IF(L539&lt;=0,1,M539/L539)^$F566*(IF(L549&lt;=0,1,M549/L549)^$G566/(1+$H566+$I566))^(1+$F566)</f>
        <v>0</v>
      </c>
      <c r="N576" s="24">
        <f t="shared" si="206"/>
        <v>0</v>
      </c>
      <c r="O576" s="24">
        <f t="shared" si="206"/>
        <v>0</v>
      </c>
      <c r="P576" s="24">
        <f t="shared" si="206"/>
        <v>0</v>
      </c>
      <c r="Q576" s="24">
        <f t="shared" si="206"/>
        <v>0</v>
      </c>
      <c r="R576" s="24">
        <f t="shared" si="206"/>
        <v>0</v>
      </c>
      <c r="S576" s="24">
        <f t="shared" si="206"/>
        <v>0</v>
      </c>
      <c r="T576" s="24">
        <f t="shared" si="206"/>
        <v>0</v>
      </c>
      <c r="U576" s="24">
        <f t="shared" si="206"/>
        <v>0</v>
      </c>
      <c r="V576" s="24">
        <f t="shared" si="206"/>
        <v>0</v>
      </c>
      <c r="W576" s="24">
        <f t="shared" si="206"/>
        <v>0</v>
      </c>
      <c r="X576" s="24">
        <f t="shared" si="206"/>
        <v>0</v>
      </c>
      <c r="Y576" s="24">
        <f t="shared" si="206"/>
        <v>0</v>
      </c>
      <c r="Z576" s="24">
        <f t="shared" si="206"/>
        <v>0</v>
      </c>
      <c r="AA576" s="24">
        <f t="shared" si="206"/>
        <v>0</v>
      </c>
      <c r="AB576" s="24">
        <f t="shared" si="206"/>
        <v>0</v>
      </c>
      <c r="AC576" s="24">
        <f t="shared" si="206"/>
        <v>0</v>
      </c>
      <c r="AD576" s="24">
        <f t="shared" si="206"/>
        <v>0</v>
      </c>
      <c r="AE576" s="24">
        <f t="shared" si="206"/>
        <v>0</v>
      </c>
    </row>
    <row r="577" spans="1:35" x14ac:dyDescent="0.45">
      <c r="B577" s="14" t="s">
        <v>60</v>
      </c>
      <c r="C577" s="14" t="str">
        <f t="shared" si="202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L577" s="47">
        <f>INDEX(Data_Energy!$D$3:$U$22,MATCH($B577,Data_Energy!$C$3:$C$22,0),MATCH($C577,Data_Energy!$D$2:$U$2,0))</f>
        <v>0</v>
      </c>
      <c r="M577" s="24">
        <f t="shared" ref="M577:AE577" si="207">L577*(1+M$558)^($E567*M$559)*(1+M$560)*IF(L540&lt;=0,1,M540/L540)^$F567*(IF(L550&lt;=0,1,M550/L550)^$G567/(1+$H567+$I567))^(1+$F567)</f>
        <v>0</v>
      </c>
      <c r="N577" s="24">
        <f t="shared" si="207"/>
        <v>0</v>
      </c>
      <c r="O577" s="24">
        <f t="shared" si="207"/>
        <v>0</v>
      </c>
      <c r="P577" s="24">
        <f t="shared" si="207"/>
        <v>0</v>
      </c>
      <c r="Q577" s="24">
        <f t="shared" si="207"/>
        <v>0</v>
      </c>
      <c r="R577" s="24">
        <f t="shared" si="207"/>
        <v>0</v>
      </c>
      <c r="S577" s="24">
        <f t="shared" si="207"/>
        <v>0</v>
      </c>
      <c r="T577" s="24">
        <f t="shared" si="207"/>
        <v>0</v>
      </c>
      <c r="U577" s="24">
        <f t="shared" si="207"/>
        <v>0</v>
      </c>
      <c r="V577" s="24">
        <f t="shared" si="207"/>
        <v>0</v>
      </c>
      <c r="W577" s="24">
        <f t="shared" si="207"/>
        <v>0</v>
      </c>
      <c r="X577" s="24">
        <f t="shared" si="207"/>
        <v>0</v>
      </c>
      <c r="Y577" s="24">
        <f t="shared" si="207"/>
        <v>0</v>
      </c>
      <c r="Z577" s="24">
        <f t="shared" si="207"/>
        <v>0</v>
      </c>
      <c r="AA577" s="24">
        <f t="shared" si="207"/>
        <v>0</v>
      </c>
      <c r="AB577" s="24">
        <f t="shared" si="207"/>
        <v>0</v>
      </c>
      <c r="AC577" s="24">
        <f t="shared" si="207"/>
        <v>0</v>
      </c>
      <c r="AD577" s="24">
        <f t="shared" si="207"/>
        <v>0</v>
      </c>
      <c r="AE577" s="24">
        <f t="shared" si="207"/>
        <v>0</v>
      </c>
    </row>
    <row r="578" spans="1:35" x14ac:dyDescent="0.45">
      <c r="B578" s="14" t="s">
        <v>62</v>
      </c>
      <c r="C578" s="14" t="str">
        <f t="shared" si="202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L578" s="47">
        <f>INDEX(Data_Energy!$D$3:$U$22,MATCH($B578,Data_Energy!$C$3:$C$22,0),MATCH($C578,Data_Energy!$D$2:$U$2,0))</f>
        <v>0</v>
      </c>
      <c r="M578" s="24">
        <f t="shared" ref="M578:AE578" si="208">L578*(1+M$558)^($E568*M$559)*(1+M$560)*IF(L541&lt;=0,1,M541/L541)^$F568*(IF(L551&lt;=0,1,M551/L551)^$G568/(1+$H568+$I568))^(1+$F568)</f>
        <v>0</v>
      </c>
      <c r="N578" s="24">
        <f t="shared" si="208"/>
        <v>0</v>
      </c>
      <c r="O578" s="24">
        <f t="shared" si="208"/>
        <v>0</v>
      </c>
      <c r="P578" s="24">
        <f t="shared" si="208"/>
        <v>0</v>
      </c>
      <c r="Q578" s="24">
        <f t="shared" si="208"/>
        <v>0</v>
      </c>
      <c r="R578" s="24">
        <f t="shared" si="208"/>
        <v>0</v>
      </c>
      <c r="S578" s="24">
        <f t="shared" si="208"/>
        <v>0</v>
      </c>
      <c r="T578" s="24">
        <f t="shared" si="208"/>
        <v>0</v>
      </c>
      <c r="U578" s="24">
        <f t="shared" si="208"/>
        <v>0</v>
      </c>
      <c r="V578" s="24">
        <f t="shared" si="208"/>
        <v>0</v>
      </c>
      <c r="W578" s="24">
        <f t="shared" si="208"/>
        <v>0</v>
      </c>
      <c r="X578" s="24">
        <f t="shared" si="208"/>
        <v>0</v>
      </c>
      <c r="Y578" s="24">
        <f t="shared" si="208"/>
        <v>0</v>
      </c>
      <c r="Z578" s="24">
        <f t="shared" si="208"/>
        <v>0</v>
      </c>
      <c r="AA578" s="24">
        <f t="shared" si="208"/>
        <v>0</v>
      </c>
      <c r="AB578" s="24">
        <f t="shared" si="208"/>
        <v>0</v>
      </c>
      <c r="AC578" s="24">
        <f t="shared" si="208"/>
        <v>0</v>
      </c>
      <c r="AD578" s="24">
        <f t="shared" si="208"/>
        <v>0</v>
      </c>
      <c r="AE578" s="24">
        <f t="shared" si="208"/>
        <v>0</v>
      </c>
    </row>
    <row r="579" spans="1:35" x14ac:dyDescent="0.45">
      <c r="B579" s="14" t="s">
        <v>64</v>
      </c>
      <c r="C579" s="14" t="str">
        <f t="shared" si="202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L579" s="47">
        <f>INDEX(Data_Energy!$D$3:$U$22,MATCH($B579,Data_Energy!$C$3:$C$22,0),MATCH($C579,Data_Energy!$D$2:$U$2,0))</f>
        <v>0</v>
      </c>
      <c r="M579" s="24">
        <f t="shared" ref="M579:AE579" si="209">L579*(1+M$558)^($E569*M$559)*(1+M$560)*IF(L542&lt;=0,1,M542/L542)^$F569*(IF(L552&lt;=0,1,M552/L552)^$G569/(1+$H569+$I569))^(1+$F569)</f>
        <v>0</v>
      </c>
      <c r="N579" s="24">
        <f t="shared" si="209"/>
        <v>0</v>
      </c>
      <c r="O579" s="24">
        <f t="shared" si="209"/>
        <v>0</v>
      </c>
      <c r="P579" s="24">
        <f t="shared" si="209"/>
        <v>0</v>
      </c>
      <c r="Q579" s="24">
        <f t="shared" si="209"/>
        <v>0</v>
      </c>
      <c r="R579" s="24">
        <f t="shared" si="209"/>
        <v>0</v>
      </c>
      <c r="S579" s="24">
        <f t="shared" si="209"/>
        <v>0</v>
      </c>
      <c r="T579" s="24">
        <f t="shared" si="209"/>
        <v>0</v>
      </c>
      <c r="U579" s="24">
        <f t="shared" si="209"/>
        <v>0</v>
      </c>
      <c r="V579" s="24">
        <f t="shared" si="209"/>
        <v>0</v>
      </c>
      <c r="W579" s="24">
        <f t="shared" si="209"/>
        <v>0</v>
      </c>
      <c r="X579" s="24">
        <f t="shared" si="209"/>
        <v>0</v>
      </c>
      <c r="Y579" s="24">
        <f t="shared" si="209"/>
        <v>0</v>
      </c>
      <c r="Z579" s="24">
        <f t="shared" si="209"/>
        <v>0</v>
      </c>
      <c r="AA579" s="24">
        <f t="shared" si="209"/>
        <v>0</v>
      </c>
      <c r="AB579" s="24">
        <f t="shared" si="209"/>
        <v>0</v>
      </c>
      <c r="AC579" s="24">
        <f t="shared" si="209"/>
        <v>0</v>
      </c>
      <c r="AD579" s="24">
        <f t="shared" si="209"/>
        <v>0</v>
      </c>
      <c r="AE579" s="24">
        <f t="shared" si="209"/>
        <v>0</v>
      </c>
    </row>
    <row r="580" spans="1:35" x14ac:dyDescent="0.45">
      <c r="B580" s="14" t="s">
        <v>67</v>
      </c>
      <c r="C580" s="14" t="str">
        <f t="shared" si="202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L580" s="47">
        <f>INDEX(Data_Energy!$D$3:$U$22,MATCH($B580,Data_Energy!$C$3:$C$22,0),MATCH($C580,Data_Energy!$D$2:$U$2,0))</f>
        <v>0</v>
      </c>
      <c r="M580" s="24">
        <f t="shared" ref="M580:AE580" si="210">L580*(1+M$558)^($E570*M$559)*(1+M$560)*IF(L543&lt;=0,1,M543/L543)^$F570*(IF(L553&lt;=0,1,M553/L553)^$G570/(1+$H570+$I570))^(1+$F570)</f>
        <v>0</v>
      </c>
      <c r="N580" s="24">
        <f t="shared" si="210"/>
        <v>0</v>
      </c>
      <c r="O580" s="24">
        <f t="shared" si="210"/>
        <v>0</v>
      </c>
      <c r="P580" s="24">
        <f t="shared" si="210"/>
        <v>0</v>
      </c>
      <c r="Q580" s="24">
        <f t="shared" si="210"/>
        <v>0</v>
      </c>
      <c r="R580" s="24">
        <f t="shared" si="210"/>
        <v>0</v>
      </c>
      <c r="S580" s="24">
        <f t="shared" si="210"/>
        <v>0</v>
      </c>
      <c r="T580" s="24">
        <f t="shared" si="210"/>
        <v>0</v>
      </c>
      <c r="U580" s="24">
        <f t="shared" si="210"/>
        <v>0</v>
      </c>
      <c r="V580" s="24">
        <f t="shared" si="210"/>
        <v>0</v>
      </c>
      <c r="W580" s="24">
        <f t="shared" si="210"/>
        <v>0</v>
      </c>
      <c r="X580" s="24">
        <f t="shared" si="210"/>
        <v>0</v>
      </c>
      <c r="Y580" s="24">
        <f t="shared" si="210"/>
        <v>0</v>
      </c>
      <c r="Z580" s="24">
        <f t="shared" si="210"/>
        <v>0</v>
      </c>
      <c r="AA580" s="24">
        <f t="shared" si="210"/>
        <v>0</v>
      </c>
      <c r="AB580" s="24">
        <f t="shared" si="210"/>
        <v>0</v>
      </c>
      <c r="AC580" s="24">
        <f t="shared" si="210"/>
        <v>0</v>
      </c>
      <c r="AD580" s="24">
        <f t="shared" si="210"/>
        <v>0</v>
      </c>
      <c r="AE580" s="24">
        <f t="shared" si="210"/>
        <v>0</v>
      </c>
    </row>
    <row r="581" spans="1:35" x14ac:dyDescent="0.45">
      <c r="B581" s="14" t="s">
        <v>69</v>
      </c>
      <c r="C581" s="14" t="str">
        <f t="shared" si="202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L581" s="47">
        <f>INDEX(Data_Energy!$D$3:$U$22,MATCH($B581,Data_Energy!$C$3:$C$22,0),MATCH($C581,Data_Energy!$D$2:$U$2,0))</f>
        <v>0</v>
      </c>
      <c r="M581" s="24">
        <f t="shared" ref="M581:AE581" si="211">L581*(1+M$558)^($E571*M$559)*(1+M$560)*IF(L544&lt;=0,1,M544/L544)^$F571*(IF(L554&lt;=0,1,M554/L554)^$G571/(1+$H571+$I571))^(1+$F571)</f>
        <v>0</v>
      </c>
      <c r="N581" s="24">
        <f t="shared" si="211"/>
        <v>0</v>
      </c>
      <c r="O581" s="24">
        <f t="shared" si="211"/>
        <v>0</v>
      </c>
      <c r="P581" s="24">
        <f t="shared" si="211"/>
        <v>0</v>
      </c>
      <c r="Q581" s="24">
        <f t="shared" si="211"/>
        <v>0</v>
      </c>
      <c r="R581" s="24">
        <f t="shared" si="211"/>
        <v>0</v>
      </c>
      <c r="S581" s="24">
        <f t="shared" si="211"/>
        <v>0</v>
      </c>
      <c r="T581" s="24">
        <f t="shared" si="211"/>
        <v>0</v>
      </c>
      <c r="U581" s="24">
        <f t="shared" si="211"/>
        <v>0</v>
      </c>
      <c r="V581" s="24">
        <f t="shared" si="211"/>
        <v>0</v>
      </c>
      <c r="W581" s="24">
        <f t="shared" si="211"/>
        <v>0</v>
      </c>
      <c r="X581" s="24">
        <f t="shared" si="211"/>
        <v>0</v>
      </c>
      <c r="Y581" s="24">
        <f t="shared" si="211"/>
        <v>0</v>
      </c>
      <c r="Z581" s="24">
        <f t="shared" si="211"/>
        <v>0</v>
      </c>
      <c r="AA581" s="24">
        <f t="shared" si="211"/>
        <v>0</v>
      </c>
      <c r="AB581" s="24">
        <f t="shared" si="211"/>
        <v>0</v>
      </c>
      <c r="AC581" s="24">
        <f t="shared" si="211"/>
        <v>0</v>
      </c>
      <c r="AD581" s="24">
        <f t="shared" si="211"/>
        <v>0</v>
      </c>
      <c r="AE581" s="24">
        <f t="shared" si="211"/>
        <v>0</v>
      </c>
    </row>
    <row r="582" spans="1:35" x14ac:dyDescent="0.45">
      <c r="B582" s="14" t="s">
        <v>110</v>
      </c>
      <c r="C582" s="14" t="str">
        <f t="shared" si="202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212">SUM(L573:L581)</f>
        <v>0</v>
      </c>
      <c r="M582" s="26">
        <f t="shared" si="212"/>
        <v>0</v>
      </c>
      <c r="N582" s="26">
        <f t="shared" si="212"/>
        <v>0</v>
      </c>
      <c r="O582" s="26">
        <f t="shared" si="212"/>
        <v>0</v>
      </c>
      <c r="P582" s="26">
        <f t="shared" si="212"/>
        <v>0</v>
      </c>
      <c r="Q582" s="26">
        <f t="shared" si="212"/>
        <v>0</v>
      </c>
      <c r="R582" s="26">
        <f t="shared" si="212"/>
        <v>0</v>
      </c>
      <c r="S582" s="26">
        <f t="shared" si="212"/>
        <v>0</v>
      </c>
      <c r="T582" s="26">
        <f t="shared" si="212"/>
        <v>0</v>
      </c>
      <c r="U582" s="26">
        <f t="shared" si="212"/>
        <v>0</v>
      </c>
      <c r="V582" s="26">
        <f t="shared" si="212"/>
        <v>0</v>
      </c>
      <c r="W582" s="26">
        <f t="shared" si="212"/>
        <v>0</v>
      </c>
      <c r="X582" s="26">
        <f t="shared" si="212"/>
        <v>0</v>
      </c>
      <c r="Y582" s="26">
        <f t="shared" si="212"/>
        <v>0</v>
      </c>
      <c r="Z582" s="26">
        <f t="shared" si="212"/>
        <v>0</v>
      </c>
      <c r="AA582" s="26">
        <f t="shared" si="212"/>
        <v>0</v>
      </c>
      <c r="AB582" s="26">
        <f t="shared" si="212"/>
        <v>0</v>
      </c>
      <c r="AC582" s="26">
        <f t="shared" si="212"/>
        <v>0</v>
      </c>
      <c r="AD582" s="26">
        <f t="shared" si="212"/>
        <v>0</v>
      </c>
      <c r="AE582" s="26">
        <f t="shared" si="212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213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213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213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213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213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213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213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213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213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214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214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214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214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214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214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214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214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214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215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215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215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215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215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215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215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215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215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0</v>
      </c>
      <c r="M617" s="19">
        <f>INDEX(Data_Prices!M:M,MATCH($G617,Data_Prices!$A:$A,0))</f>
        <v>0</v>
      </c>
      <c r="N617" s="19">
        <f>INDEX(Data_Prices!N:N,MATCH($G617,Data_Prices!$A:$A,0))</f>
        <v>0</v>
      </c>
      <c r="O617" s="19">
        <f>INDEX(Data_Prices!O:O,MATCH($G617,Data_Prices!$A:$A,0))</f>
        <v>0</v>
      </c>
      <c r="P617" s="19">
        <f>INDEX(Data_Prices!P:P,MATCH($G617,Data_Prices!$A:$A,0))</f>
        <v>0</v>
      </c>
      <c r="Q617" s="19">
        <f>INDEX(Data_Prices!Q:Q,MATCH($G617,Data_Prices!$A:$A,0))</f>
        <v>0</v>
      </c>
      <c r="R617" s="19">
        <f>INDEX(Data_Prices!R:R,MATCH($G617,Data_Prices!$A:$A,0))</f>
        <v>0</v>
      </c>
      <c r="S617" s="19">
        <f>INDEX(Data_Prices!S:S,MATCH($G617,Data_Prices!$A:$A,0))</f>
        <v>0</v>
      </c>
      <c r="T617" s="19">
        <f>INDEX(Data_Prices!T:T,MATCH($G617,Data_Prices!$A:$A,0))</f>
        <v>0</v>
      </c>
      <c r="U617" s="19">
        <f>INDEX(Data_Prices!U:U,MATCH($G617,Data_Prices!$A:$A,0))</f>
        <v>0</v>
      </c>
      <c r="V617" s="19">
        <f>INDEX(Data_Prices!V:V,MATCH($G617,Data_Prices!$A:$A,0))</f>
        <v>0</v>
      </c>
      <c r="W617" s="19">
        <f>INDEX(Data_Prices!W:W,MATCH($G617,Data_Prices!$A:$A,0))</f>
        <v>0</v>
      </c>
      <c r="X617" s="19">
        <f>INDEX(Data_Prices!X:X,MATCH($G617,Data_Prices!$A:$A,0))</f>
        <v>0</v>
      </c>
      <c r="Y617" s="19">
        <f>INDEX(Data_Prices!Y:Y,MATCH($G617,Data_Prices!$A:$A,0))</f>
        <v>0</v>
      </c>
      <c r="Z617" s="19">
        <f>INDEX(Data_Prices!Z:Z,MATCH($G617,Data_Prices!$A:$A,0))</f>
        <v>0</v>
      </c>
      <c r="AA617" s="19">
        <f>INDEX(Data_Prices!AA:AA,MATCH($G617,Data_Prices!$A:$A,0))</f>
        <v>0</v>
      </c>
      <c r="AB617" s="19">
        <f>INDEX(Data_Prices!AB:AB,MATCH($G617,Data_Prices!$A:$A,0))</f>
        <v>0</v>
      </c>
      <c r="AC617" s="19">
        <f>INDEX(Data_Prices!AC:AC,MATCH($G617,Data_Prices!$A:$A,0))</f>
        <v>0</v>
      </c>
      <c r="AD617" s="19">
        <f>INDEX(Data_Prices!AD:AD,MATCH($G617,Data_Prices!$A:$A,0))</f>
        <v>0</v>
      </c>
      <c r="AE617" s="19">
        <f>INDEX(Data_Prices!AE:AE,MATCH($G617,Data_Prices!$A:$A,0))</f>
        <v>0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216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216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216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216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216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216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216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216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216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217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L633" s="47">
        <f>INDEX(Data_Energy!$D$3:$U$22,MATCH($B633,Data_Energy!$C$3:$C$22,0),MATCH($C633,Data_Energy!$D$2:$U$2,0))</f>
        <v>0</v>
      </c>
      <c r="M633" s="24">
        <f t="shared" ref="M633:AE633" si="218">L633*(1+M$618)^($E623*M$619)*(1+M$620)*IF(L596&lt;=0,1,M596/L596)^$F623*(IF(L606&lt;=0,1,M606/L606)^$G623/(1+$H623+$I623))^(1+$F623)</f>
        <v>0</v>
      </c>
      <c r="N633" s="24">
        <f t="shared" si="218"/>
        <v>0</v>
      </c>
      <c r="O633" s="24">
        <f t="shared" si="218"/>
        <v>0</v>
      </c>
      <c r="P633" s="24">
        <f t="shared" si="218"/>
        <v>0</v>
      </c>
      <c r="Q633" s="24">
        <f t="shared" si="218"/>
        <v>0</v>
      </c>
      <c r="R633" s="24">
        <f t="shared" si="218"/>
        <v>0</v>
      </c>
      <c r="S633" s="24">
        <f t="shared" si="218"/>
        <v>0</v>
      </c>
      <c r="T633" s="24">
        <f t="shared" si="218"/>
        <v>0</v>
      </c>
      <c r="U633" s="24">
        <f t="shared" si="218"/>
        <v>0</v>
      </c>
      <c r="V633" s="24">
        <f t="shared" si="218"/>
        <v>0</v>
      </c>
      <c r="W633" s="24">
        <f t="shared" si="218"/>
        <v>0</v>
      </c>
      <c r="X633" s="24">
        <f t="shared" si="218"/>
        <v>0</v>
      </c>
      <c r="Y633" s="24">
        <f t="shared" si="218"/>
        <v>0</v>
      </c>
      <c r="Z633" s="24">
        <f t="shared" si="218"/>
        <v>0</v>
      </c>
      <c r="AA633" s="24">
        <f t="shared" si="218"/>
        <v>0</v>
      </c>
      <c r="AB633" s="24">
        <f t="shared" si="218"/>
        <v>0</v>
      </c>
      <c r="AC633" s="24">
        <f t="shared" si="218"/>
        <v>0</v>
      </c>
      <c r="AD633" s="24">
        <f t="shared" si="218"/>
        <v>0</v>
      </c>
      <c r="AE633" s="24">
        <f t="shared" si="218"/>
        <v>0</v>
      </c>
    </row>
    <row r="634" spans="2:31" x14ac:dyDescent="0.45">
      <c r="B634" s="14" t="s">
        <v>53</v>
      </c>
      <c r="C634" s="14" t="str">
        <f t="shared" si="217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L634" s="47">
        <f>INDEX(Data_Energy!$D$3:$U$22,MATCH($B634,Data_Energy!$C$3:$C$22,0),MATCH($C634,Data_Energy!$D$2:$U$2,0))</f>
        <v>0</v>
      </c>
      <c r="M634" s="24">
        <f t="shared" ref="M634:AE634" si="219">L634*(1+M$618)^($E624*M$619)*(1+M$620)*IF(L597&lt;=0,1,M597/L597)^$F624*(IF(L607&lt;=0,1,M607/L607)^$G624/(1+$H624+$I624))^(1+$F624)</f>
        <v>0</v>
      </c>
      <c r="N634" s="24">
        <f t="shared" si="219"/>
        <v>0</v>
      </c>
      <c r="O634" s="24">
        <f t="shared" si="219"/>
        <v>0</v>
      </c>
      <c r="P634" s="24">
        <f t="shared" si="219"/>
        <v>0</v>
      </c>
      <c r="Q634" s="24">
        <f t="shared" si="219"/>
        <v>0</v>
      </c>
      <c r="R634" s="24">
        <f t="shared" si="219"/>
        <v>0</v>
      </c>
      <c r="S634" s="24">
        <f t="shared" si="219"/>
        <v>0</v>
      </c>
      <c r="T634" s="24">
        <f t="shared" si="219"/>
        <v>0</v>
      </c>
      <c r="U634" s="24">
        <f t="shared" si="219"/>
        <v>0</v>
      </c>
      <c r="V634" s="24">
        <f t="shared" si="219"/>
        <v>0</v>
      </c>
      <c r="W634" s="24">
        <f t="shared" si="219"/>
        <v>0</v>
      </c>
      <c r="X634" s="24">
        <f t="shared" si="219"/>
        <v>0</v>
      </c>
      <c r="Y634" s="24">
        <f t="shared" si="219"/>
        <v>0</v>
      </c>
      <c r="Z634" s="24">
        <f t="shared" si="219"/>
        <v>0</v>
      </c>
      <c r="AA634" s="24">
        <f t="shared" si="219"/>
        <v>0</v>
      </c>
      <c r="AB634" s="24">
        <f t="shared" si="219"/>
        <v>0</v>
      </c>
      <c r="AC634" s="24">
        <f t="shared" si="219"/>
        <v>0</v>
      </c>
      <c r="AD634" s="24">
        <f t="shared" si="219"/>
        <v>0</v>
      </c>
      <c r="AE634" s="24">
        <f t="shared" si="219"/>
        <v>0</v>
      </c>
    </row>
    <row r="635" spans="2:31" x14ac:dyDescent="0.45">
      <c r="B635" s="14" t="s">
        <v>55</v>
      </c>
      <c r="C635" s="14" t="str">
        <f t="shared" si="217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L635" s="47">
        <f>INDEX(Data_Energy!$D$3:$U$22,MATCH($B635,Data_Energy!$C$3:$C$22,0),MATCH($C635,Data_Energy!$D$2:$U$2,0))</f>
        <v>0</v>
      </c>
      <c r="M635" s="24">
        <f t="shared" ref="M635:AE635" si="220">L635*(1+M$618)^($E625*M$619)*(1+M$620)*IF(L598&lt;=0,1,M598/L598)^$F625*(IF(L608&lt;=0,1,M608/L608)^$G625/(1+$H625+$I625))^(1+$F625)</f>
        <v>0</v>
      </c>
      <c r="N635" s="24">
        <f t="shared" si="220"/>
        <v>0</v>
      </c>
      <c r="O635" s="24">
        <f t="shared" si="220"/>
        <v>0</v>
      </c>
      <c r="P635" s="24">
        <f t="shared" si="220"/>
        <v>0</v>
      </c>
      <c r="Q635" s="24">
        <f t="shared" si="220"/>
        <v>0</v>
      </c>
      <c r="R635" s="24">
        <f t="shared" si="220"/>
        <v>0</v>
      </c>
      <c r="S635" s="24">
        <f t="shared" si="220"/>
        <v>0</v>
      </c>
      <c r="T635" s="24">
        <f t="shared" si="220"/>
        <v>0</v>
      </c>
      <c r="U635" s="24">
        <f t="shared" si="220"/>
        <v>0</v>
      </c>
      <c r="V635" s="24">
        <f t="shared" si="220"/>
        <v>0</v>
      </c>
      <c r="W635" s="24">
        <f t="shared" si="220"/>
        <v>0</v>
      </c>
      <c r="X635" s="24">
        <f t="shared" si="220"/>
        <v>0</v>
      </c>
      <c r="Y635" s="24">
        <f t="shared" si="220"/>
        <v>0</v>
      </c>
      <c r="Z635" s="24">
        <f t="shared" si="220"/>
        <v>0</v>
      </c>
      <c r="AA635" s="24">
        <f t="shared" si="220"/>
        <v>0</v>
      </c>
      <c r="AB635" s="24">
        <f t="shared" si="220"/>
        <v>0</v>
      </c>
      <c r="AC635" s="24">
        <f t="shared" si="220"/>
        <v>0</v>
      </c>
      <c r="AD635" s="24">
        <f t="shared" si="220"/>
        <v>0</v>
      </c>
      <c r="AE635" s="24">
        <f t="shared" si="220"/>
        <v>0</v>
      </c>
    </row>
    <row r="636" spans="2:31" x14ac:dyDescent="0.45">
      <c r="B636" s="14" t="s">
        <v>58</v>
      </c>
      <c r="C636" s="14" t="str">
        <f t="shared" si="217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L636" s="47">
        <f>INDEX(Data_Energy!$D$3:$U$22,MATCH($B636,Data_Energy!$C$3:$C$22,0),MATCH($C636,Data_Energy!$D$2:$U$2,0))</f>
        <v>0</v>
      </c>
      <c r="M636" s="24">
        <f t="shared" ref="M636:AE636" si="221">L636*(1+M$618)^($E626*M$619)*(1+M$620)*IF(L599&lt;=0,1,M599/L599)^$F626*(IF(L609&lt;=0,1,M609/L609)^$G626/(1+$H626+$I626))^(1+$F626)</f>
        <v>0</v>
      </c>
      <c r="N636" s="24">
        <f t="shared" si="221"/>
        <v>0</v>
      </c>
      <c r="O636" s="24">
        <f t="shared" si="221"/>
        <v>0</v>
      </c>
      <c r="P636" s="24">
        <f t="shared" si="221"/>
        <v>0</v>
      </c>
      <c r="Q636" s="24">
        <f t="shared" si="221"/>
        <v>0</v>
      </c>
      <c r="R636" s="24">
        <f t="shared" si="221"/>
        <v>0</v>
      </c>
      <c r="S636" s="24">
        <f t="shared" si="221"/>
        <v>0</v>
      </c>
      <c r="T636" s="24">
        <f t="shared" si="221"/>
        <v>0</v>
      </c>
      <c r="U636" s="24">
        <f t="shared" si="221"/>
        <v>0</v>
      </c>
      <c r="V636" s="24">
        <f t="shared" si="221"/>
        <v>0</v>
      </c>
      <c r="W636" s="24">
        <f t="shared" si="221"/>
        <v>0</v>
      </c>
      <c r="X636" s="24">
        <f t="shared" si="221"/>
        <v>0</v>
      </c>
      <c r="Y636" s="24">
        <f t="shared" si="221"/>
        <v>0</v>
      </c>
      <c r="Z636" s="24">
        <f t="shared" si="221"/>
        <v>0</v>
      </c>
      <c r="AA636" s="24">
        <f t="shared" si="221"/>
        <v>0</v>
      </c>
      <c r="AB636" s="24">
        <f t="shared" si="221"/>
        <v>0</v>
      </c>
      <c r="AC636" s="24">
        <f t="shared" si="221"/>
        <v>0</v>
      </c>
      <c r="AD636" s="24">
        <f t="shared" si="221"/>
        <v>0</v>
      </c>
      <c r="AE636" s="24">
        <f t="shared" si="221"/>
        <v>0</v>
      </c>
    </row>
    <row r="637" spans="2:31" x14ac:dyDescent="0.45">
      <c r="B637" s="14" t="s">
        <v>60</v>
      </c>
      <c r="C637" s="14" t="str">
        <f t="shared" si="217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L637" s="47">
        <f>INDEX(Data_Energy!$D$3:$U$22,MATCH($B637,Data_Energy!$C$3:$C$22,0),MATCH($C637,Data_Energy!$D$2:$U$2,0))</f>
        <v>0</v>
      </c>
      <c r="M637" s="24">
        <f t="shared" ref="M637:AE637" si="222">L637*(1+M$618)^($E627*M$619)*(1+M$620)*IF(L600&lt;=0,1,M600/L600)^$F627*(IF(L610&lt;=0,1,M610/L610)^$G627/(1+$H627+$I627))^(1+$F627)</f>
        <v>0</v>
      </c>
      <c r="N637" s="24">
        <f t="shared" si="222"/>
        <v>0</v>
      </c>
      <c r="O637" s="24">
        <f t="shared" si="222"/>
        <v>0</v>
      </c>
      <c r="P637" s="24">
        <f t="shared" si="222"/>
        <v>0</v>
      </c>
      <c r="Q637" s="24">
        <f t="shared" si="222"/>
        <v>0</v>
      </c>
      <c r="R637" s="24">
        <f t="shared" si="222"/>
        <v>0</v>
      </c>
      <c r="S637" s="24">
        <f t="shared" si="222"/>
        <v>0</v>
      </c>
      <c r="T637" s="24">
        <f t="shared" si="222"/>
        <v>0</v>
      </c>
      <c r="U637" s="24">
        <f t="shared" si="222"/>
        <v>0</v>
      </c>
      <c r="V637" s="24">
        <f t="shared" si="222"/>
        <v>0</v>
      </c>
      <c r="W637" s="24">
        <f t="shared" si="222"/>
        <v>0</v>
      </c>
      <c r="X637" s="24">
        <f t="shared" si="222"/>
        <v>0</v>
      </c>
      <c r="Y637" s="24">
        <f t="shared" si="222"/>
        <v>0</v>
      </c>
      <c r="Z637" s="24">
        <f t="shared" si="222"/>
        <v>0</v>
      </c>
      <c r="AA637" s="24">
        <f t="shared" si="222"/>
        <v>0</v>
      </c>
      <c r="AB637" s="24">
        <f t="shared" si="222"/>
        <v>0</v>
      </c>
      <c r="AC637" s="24">
        <f t="shared" si="222"/>
        <v>0</v>
      </c>
      <c r="AD637" s="24">
        <f t="shared" si="222"/>
        <v>0</v>
      </c>
      <c r="AE637" s="24">
        <f t="shared" si="222"/>
        <v>0</v>
      </c>
    </row>
    <row r="638" spans="2:31" x14ac:dyDescent="0.45">
      <c r="B638" s="14" t="s">
        <v>62</v>
      </c>
      <c r="C638" s="14" t="str">
        <f t="shared" si="217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L638" s="47">
        <f>INDEX(Data_Energy!$D$3:$U$22,MATCH($B638,Data_Energy!$C$3:$C$22,0),MATCH($C638,Data_Energy!$D$2:$U$2,0))</f>
        <v>0</v>
      </c>
      <c r="M638" s="24">
        <f t="shared" ref="M638:AE638" si="223">L638*(1+M$618)^($E628*M$619)*(1+M$620)*IF(L601&lt;=0,1,M601/L601)^$F628*(IF(L611&lt;=0,1,M611/L611)^$G628/(1+$H628+$I628))^(1+$F628)</f>
        <v>0</v>
      </c>
      <c r="N638" s="24">
        <f t="shared" si="223"/>
        <v>0</v>
      </c>
      <c r="O638" s="24">
        <f t="shared" si="223"/>
        <v>0</v>
      </c>
      <c r="P638" s="24">
        <f t="shared" si="223"/>
        <v>0</v>
      </c>
      <c r="Q638" s="24">
        <f t="shared" si="223"/>
        <v>0</v>
      </c>
      <c r="R638" s="24">
        <f t="shared" si="223"/>
        <v>0</v>
      </c>
      <c r="S638" s="24">
        <f t="shared" si="223"/>
        <v>0</v>
      </c>
      <c r="T638" s="24">
        <f t="shared" si="223"/>
        <v>0</v>
      </c>
      <c r="U638" s="24">
        <f t="shared" si="223"/>
        <v>0</v>
      </c>
      <c r="V638" s="24">
        <f t="shared" si="223"/>
        <v>0</v>
      </c>
      <c r="W638" s="24">
        <f t="shared" si="223"/>
        <v>0</v>
      </c>
      <c r="X638" s="24">
        <f t="shared" si="223"/>
        <v>0</v>
      </c>
      <c r="Y638" s="24">
        <f t="shared" si="223"/>
        <v>0</v>
      </c>
      <c r="Z638" s="24">
        <f t="shared" si="223"/>
        <v>0</v>
      </c>
      <c r="AA638" s="24">
        <f t="shared" si="223"/>
        <v>0</v>
      </c>
      <c r="AB638" s="24">
        <f t="shared" si="223"/>
        <v>0</v>
      </c>
      <c r="AC638" s="24">
        <f t="shared" si="223"/>
        <v>0</v>
      </c>
      <c r="AD638" s="24">
        <f t="shared" si="223"/>
        <v>0</v>
      </c>
      <c r="AE638" s="24">
        <f t="shared" si="223"/>
        <v>0</v>
      </c>
    </row>
    <row r="639" spans="2:31" x14ac:dyDescent="0.45">
      <c r="B639" s="14" t="s">
        <v>64</v>
      </c>
      <c r="C639" s="14" t="str">
        <f t="shared" si="217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L639" s="47">
        <f>INDEX(Data_Energy!$D$3:$U$22,MATCH($B639,Data_Energy!$C$3:$C$22,0),MATCH($C639,Data_Energy!$D$2:$U$2,0))</f>
        <v>0</v>
      </c>
      <c r="M639" s="24">
        <f t="shared" ref="M639:AE639" si="224">L639*(1+M$618)^($E629*M$619)*(1+M$620)*IF(L602&lt;=0,1,M602/L602)^$F629*(IF(L612&lt;=0,1,M612/L612)^$G629/(1+$H629+$I629))^(1+$F629)</f>
        <v>0</v>
      </c>
      <c r="N639" s="24">
        <f t="shared" si="224"/>
        <v>0</v>
      </c>
      <c r="O639" s="24">
        <f t="shared" si="224"/>
        <v>0</v>
      </c>
      <c r="P639" s="24">
        <f t="shared" si="224"/>
        <v>0</v>
      </c>
      <c r="Q639" s="24">
        <f t="shared" si="224"/>
        <v>0</v>
      </c>
      <c r="R639" s="24">
        <f t="shared" si="224"/>
        <v>0</v>
      </c>
      <c r="S639" s="24">
        <f t="shared" si="224"/>
        <v>0</v>
      </c>
      <c r="T639" s="24">
        <f t="shared" si="224"/>
        <v>0</v>
      </c>
      <c r="U639" s="24">
        <f t="shared" si="224"/>
        <v>0</v>
      </c>
      <c r="V639" s="24">
        <f t="shared" si="224"/>
        <v>0</v>
      </c>
      <c r="W639" s="24">
        <f t="shared" si="224"/>
        <v>0</v>
      </c>
      <c r="X639" s="24">
        <f t="shared" si="224"/>
        <v>0</v>
      </c>
      <c r="Y639" s="24">
        <f t="shared" si="224"/>
        <v>0</v>
      </c>
      <c r="Z639" s="24">
        <f t="shared" si="224"/>
        <v>0</v>
      </c>
      <c r="AA639" s="24">
        <f t="shared" si="224"/>
        <v>0</v>
      </c>
      <c r="AB639" s="24">
        <f t="shared" si="224"/>
        <v>0</v>
      </c>
      <c r="AC639" s="24">
        <f t="shared" si="224"/>
        <v>0</v>
      </c>
      <c r="AD639" s="24">
        <f t="shared" si="224"/>
        <v>0</v>
      </c>
      <c r="AE639" s="24">
        <f t="shared" si="224"/>
        <v>0</v>
      </c>
    </row>
    <row r="640" spans="2:31" x14ac:dyDescent="0.45">
      <c r="B640" s="14" t="s">
        <v>67</v>
      </c>
      <c r="C640" s="14" t="str">
        <f t="shared" si="217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L640" s="47">
        <f>INDEX(Data_Energy!$D$3:$U$22,MATCH($B640,Data_Energy!$C$3:$C$22,0),MATCH($C640,Data_Energy!$D$2:$U$2,0))</f>
        <v>0</v>
      </c>
      <c r="M640" s="24">
        <f t="shared" ref="M640:AE640" si="225">L640*(1+M$618)^($E630*M$619)*(1+M$620)*IF(L603&lt;=0,1,M603/L603)^$F630*(IF(L613&lt;=0,1,M613/L613)^$G630/(1+$H630+$I630))^(1+$F630)</f>
        <v>0</v>
      </c>
      <c r="N640" s="24">
        <f t="shared" si="225"/>
        <v>0</v>
      </c>
      <c r="O640" s="24">
        <f t="shared" si="225"/>
        <v>0</v>
      </c>
      <c r="P640" s="24">
        <f t="shared" si="225"/>
        <v>0</v>
      </c>
      <c r="Q640" s="24">
        <f t="shared" si="225"/>
        <v>0</v>
      </c>
      <c r="R640" s="24">
        <f t="shared" si="225"/>
        <v>0</v>
      </c>
      <c r="S640" s="24">
        <f t="shared" si="225"/>
        <v>0</v>
      </c>
      <c r="T640" s="24">
        <f t="shared" si="225"/>
        <v>0</v>
      </c>
      <c r="U640" s="24">
        <f t="shared" si="225"/>
        <v>0</v>
      </c>
      <c r="V640" s="24">
        <f t="shared" si="225"/>
        <v>0</v>
      </c>
      <c r="W640" s="24">
        <f t="shared" si="225"/>
        <v>0</v>
      </c>
      <c r="X640" s="24">
        <f t="shared" si="225"/>
        <v>0</v>
      </c>
      <c r="Y640" s="24">
        <f t="shared" si="225"/>
        <v>0</v>
      </c>
      <c r="Z640" s="24">
        <f t="shared" si="225"/>
        <v>0</v>
      </c>
      <c r="AA640" s="24">
        <f t="shared" si="225"/>
        <v>0</v>
      </c>
      <c r="AB640" s="24">
        <f t="shared" si="225"/>
        <v>0</v>
      </c>
      <c r="AC640" s="24">
        <f t="shared" si="225"/>
        <v>0</v>
      </c>
      <c r="AD640" s="24">
        <f t="shared" si="225"/>
        <v>0</v>
      </c>
      <c r="AE640" s="24">
        <f t="shared" si="225"/>
        <v>0</v>
      </c>
    </row>
    <row r="641" spans="1:35" x14ac:dyDescent="0.45">
      <c r="B641" s="14" t="s">
        <v>69</v>
      </c>
      <c r="C641" s="14" t="str">
        <f t="shared" si="217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L641" s="47">
        <f>INDEX(Data_Energy!$D$3:$U$22,MATCH($B641,Data_Energy!$C$3:$C$22,0),MATCH($C641,Data_Energy!$D$2:$U$2,0))</f>
        <v>0</v>
      </c>
      <c r="M641" s="24">
        <f t="shared" ref="M641:AE641" si="226">L641*(1+M$618)^($E631*M$619)*(1+M$620)*IF(L604&lt;=0,1,M604/L604)^$F631*(IF(L614&lt;=0,1,M614/L614)^$G631/(1+$H631+$I631))^(1+$F631)</f>
        <v>0</v>
      </c>
      <c r="N641" s="24">
        <f t="shared" si="226"/>
        <v>0</v>
      </c>
      <c r="O641" s="24">
        <f t="shared" si="226"/>
        <v>0</v>
      </c>
      <c r="P641" s="24">
        <f t="shared" si="226"/>
        <v>0</v>
      </c>
      <c r="Q641" s="24">
        <f t="shared" si="226"/>
        <v>0</v>
      </c>
      <c r="R641" s="24">
        <f t="shared" si="226"/>
        <v>0</v>
      </c>
      <c r="S641" s="24">
        <f t="shared" si="226"/>
        <v>0</v>
      </c>
      <c r="T641" s="24">
        <f t="shared" si="226"/>
        <v>0</v>
      </c>
      <c r="U641" s="24">
        <f t="shared" si="226"/>
        <v>0</v>
      </c>
      <c r="V641" s="24">
        <f t="shared" si="226"/>
        <v>0</v>
      </c>
      <c r="W641" s="24">
        <f t="shared" si="226"/>
        <v>0</v>
      </c>
      <c r="X641" s="24">
        <f t="shared" si="226"/>
        <v>0</v>
      </c>
      <c r="Y641" s="24">
        <f t="shared" si="226"/>
        <v>0</v>
      </c>
      <c r="Z641" s="24">
        <f t="shared" si="226"/>
        <v>0</v>
      </c>
      <c r="AA641" s="24">
        <f t="shared" si="226"/>
        <v>0</v>
      </c>
      <c r="AB641" s="24">
        <f t="shared" si="226"/>
        <v>0</v>
      </c>
      <c r="AC641" s="24">
        <f t="shared" si="226"/>
        <v>0</v>
      </c>
      <c r="AD641" s="24">
        <f t="shared" si="226"/>
        <v>0</v>
      </c>
      <c r="AE641" s="24">
        <f t="shared" si="226"/>
        <v>0</v>
      </c>
    </row>
    <row r="642" spans="1:35" x14ac:dyDescent="0.45">
      <c r="B642" s="14" t="s">
        <v>110</v>
      </c>
      <c r="C642" s="14" t="str">
        <f t="shared" si="217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227">SUM(L633:L641)</f>
        <v>0</v>
      </c>
      <c r="M642" s="26">
        <f t="shared" si="227"/>
        <v>0</v>
      </c>
      <c r="N642" s="26">
        <f t="shared" si="227"/>
        <v>0</v>
      </c>
      <c r="O642" s="26">
        <f t="shared" si="227"/>
        <v>0</v>
      </c>
      <c r="P642" s="26">
        <f t="shared" si="227"/>
        <v>0</v>
      </c>
      <c r="Q642" s="26">
        <f t="shared" si="227"/>
        <v>0</v>
      </c>
      <c r="R642" s="26">
        <f t="shared" si="227"/>
        <v>0</v>
      </c>
      <c r="S642" s="26">
        <f t="shared" si="227"/>
        <v>0</v>
      </c>
      <c r="T642" s="26">
        <f t="shared" si="227"/>
        <v>0</v>
      </c>
      <c r="U642" s="26">
        <f t="shared" si="227"/>
        <v>0</v>
      </c>
      <c r="V642" s="26">
        <f t="shared" si="227"/>
        <v>0</v>
      </c>
      <c r="W642" s="26">
        <f t="shared" si="227"/>
        <v>0</v>
      </c>
      <c r="X642" s="26">
        <f t="shared" si="227"/>
        <v>0</v>
      </c>
      <c r="Y642" s="26">
        <f t="shared" si="227"/>
        <v>0</v>
      </c>
      <c r="Z642" s="26">
        <f t="shared" si="227"/>
        <v>0</v>
      </c>
      <c r="AA642" s="26">
        <f t="shared" si="227"/>
        <v>0</v>
      </c>
      <c r="AB642" s="26">
        <f t="shared" si="227"/>
        <v>0</v>
      </c>
      <c r="AC642" s="26">
        <f t="shared" si="227"/>
        <v>0</v>
      </c>
      <c r="AD642" s="26">
        <f t="shared" si="227"/>
        <v>0</v>
      </c>
      <c r="AE642" s="26">
        <f t="shared" si="227"/>
        <v>0</v>
      </c>
    </row>
    <row r="644" spans="1:35" x14ac:dyDescent="0.45">
      <c r="A644" s="11"/>
      <c r="B644" s="6" t="s">
        <v>1422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1423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228">L739</f>
        <v>2022</v>
      </c>
      <c r="M645" s="74">
        <f t="shared" si="228"/>
        <v>2023</v>
      </c>
      <c r="N645" s="74">
        <f t="shared" si="228"/>
        <v>2024</v>
      </c>
      <c r="O645" s="74">
        <f t="shared" si="228"/>
        <v>2025</v>
      </c>
      <c r="P645" s="74">
        <f t="shared" si="228"/>
        <v>2026</v>
      </c>
      <c r="Q645" s="74">
        <f t="shared" si="228"/>
        <v>2027</v>
      </c>
      <c r="R645" s="74">
        <f t="shared" si="228"/>
        <v>2028</v>
      </c>
      <c r="S645" s="74">
        <f t="shared" si="228"/>
        <v>2029</v>
      </c>
      <c r="T645" s="74">
        <f t="shared" si="228"/>
        <v>2030</v>
      </c>
      <c r="U645" s="74">
        <f t="shared" si="228"/>
        <v>2031</v>
      </c>
      <c r="V645" s="74">
        <f t="shared" si="228"/>
        <v>2032</v>
      </c>
      <c r="W645" s="74">
        <f t="shared" si="228"/>
        <v>2033</v>
      </c>
      <c r="X645" s="74">
        <f t="shared" si="228"/>
        <v>2034</v>
      </c>
      <c r="Y645" s="74">
        <f t="shared" si="228"/>
        <v>2035</v>
      </c>
      <c r="Z645" s="74">
        <f t="shared" si="228"/>
        <v>2036</v>
      </c>
      <c r="AA645" s="74">
        <f t="shared" si="228"/>
        <v>2037</v>
      </c>
      <c r="AB645" s="74">
        <f t="shared" si="228"/>
        <v>2038</v>
      </c>
      <c r="AC645" s="74">
        <f t="shared" si="228"/>
        <v>2039</v>
      </c>
      <c r="AD645" s="74">
        <f t="shared" si="228"/>
        <v>2040</v>
      </c>
      <c r="AE645" s="74">
        <f t="shared" si="228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1424</v>
      </c>
      <c r="E646" s="71" t="s">
        <v>1415</v>
      </c>
      <c r="F646" s="71" t="s">
        <v>26</v>
      </c>
      <c r="G646" s="86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1425</v>
      </c>
      <c r="E647" s="70" t="s">
        <v>1415</v>
      </c>
      <c r="F647" s="70" t="s">
        <v>26</v>
      </c>
      <c r="G647" s="87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1426</v>
      </c>
      <c r="E648" s="70" t="s">
        <v>1427</v>
      </c>
      <c r="F648" s="70" t="s">
        <v>26</v>
      </c>
      <c r="G648" s="87" t="str">
        <f>Settings!$B$3&amp;".mit.fundsp."&amp;$J$404</f>
        <v>egy.mit.fundsp.2</v>
      </c>
      <c r="H648" s="70"/>
      <c r="I648" s="70" t="s">
        <v>1870</v>
      </c>
      <c r="J648" s="70"/>
      <c r="K648" s="97"/>
      <c r="L648" s="98">
        <f>INDEX(Data_Prices!L:L,MATCH($G648,Data_Prices!$A:$A,0))</f>
        <v>0</v>
      </c>
      <c r="M648" s="98">
        <f>INDEX(Data_Prices!M:M,MATCH($G648,Data_Prices!$A:$A,0))</f>
        <v>0</v>
      </c>
      <c r="N648" s="98">
        <f>INDEX(Data_Prices!N:N,MATCH($G648,Data_Prices!$A:$A,0))</f>
        <v>0</v>
      </c>
      <c r="O648" s="98">
        <f>INDEX(Data_Prices!O:O,MATCH($G648,Data_Prices!$A:$A,0))</f>
        <v>0</v>
      </c>
      <c r="P648" s="98">
        <f>INDEX(Data_Prices!P:P,MATCH($G648,Data_Prices!$A:$A,0))</f>
        <v>0</v>
      </c>
      <c r="Q648" s="98">
        <f>INDEX(Data_Prices!Q:Q,MATCH($G648,Data_Prices!$A:$A,0))</f>
        <v>0</v>
      </c>
      <c r="R648" s="98">
        <f>INDEX(Data_Prices!R:R,MATCH($G648,Data_Prices!$A:$A,0))</f>
        <v>0</v>
      </c>
      <c r="S648" s="98">
        <f>INDEX(Data_Prices!S:S,MATCH($G648,Data_Prices!$A:$A,0))</f>
        <v>0</v>
      </c>
      <c r="T648" s="98">
        <f>INDEX(Data_Prices!T:T,MATCH($G648,Data_Prices!$A:$A,0))</f>
        <v>0</v>
      </c>
      <c r="U648" s="98">
        <f>INDEX(Data_Prices!U:U,MATCH($G648,Data_Prices!$A:$A,0))</f>
        <v>0</v>
      </c>
      <c r="V648" s="98">
        <f>INDEX(Data_Prices!V:V,MATCH($G648,Data_Prices!$A:$A,0))</f>
        <v>0</v>
      </c>
      <c r="W648" s="98">
        <f>INDEX(Data_Prices!W:W,MATCH($G648,Data_Prices!$A:$A,0))</f>
        <v>0</v>
      </c>
      <c r="X648" s="98">
        <f>INDEX(Data_Prices!X:X,MATCH($G648,Data_Prices!$A:$A,0))</f>
        <v>0</v>
      </c>
      <c r="Y648" s="98">
        <f>INDEX(Data_Prices!Y:Y,MATCH($G648,Data_Prices!$A:$A,0))</f>
        <v>0</v>
      </c>
      <c r="Z648" s="98">
        <f>INDEX(Data_Prices!Z:Z,MATCH($G648,Data_Prices!$A:$A,0))</f>
        <v>0</v>
      </c>
      <c r="AA648" s="98">
        <f>INDEX(Data_Prices!AA:AA,MATCH($G648,Data_Prices!$A:$A,0))</f>
        <v>0</v>
      </c>
      <c r="AB648" s="98">
        <f>INDEX(Data_Prices!AB:AB,MATCH($G648,Data_Prices!$A:$A,0))</f>
        <v>0</v>
      </c>
      <c r="AC648" s="98">
        <f>INDEX(Data_Prices!AC:AC,MATCH($G648,Data_Prices!$A:$A,0))</f>
        <v>0</v>
      </c>
      <c r="AD648" s="98">
        <f>INDEX(Data_Prices!AD:AD,MATCH($G648,Data_Prices!$A:$A,0))</f>
        <v>0</v>
      </c>
      <c r="AE648" s="98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1428</v>
      </c>
      <c r="E649" s="70" t="s">
        <v>1871</v>
      </c>
      <c r="F649" s="70" t="s">
        <v>26</v>
      </c>
      <c r="G649" s="87" t="str">
        <f>Settings!$B$3&amp;".mit.fundsh."&amp;$J$404</f>
        <v>egy.mit.fundsh.2</v>
      </c>
      <c r="H649" s="70"/>
      <c r="I649" s="70" t="s">
        <v>1872</v>
      </c>
      <c r="J649" s="70"/>
      <c r="K649" s="97"/>
      <c r="L649" s="97">
        <f>INDEX(Data_Prices!L:L,MATCH($G649,Data_Prices!$A:$A,0))*L799</f>
        <v>0</v>
      </c>
      <c r="M649" s="97">
        <f>INDEX(Data_Prices!M:M,MATCH($G649,Data_Prices!$A:$A,0))*M799</f>
        <v>0</v>
      </c>
      <c r="N649" s="97">
        <f>INDEX(Data_Prices!N:N,MATCH($G649,Data_Prices!$A:$A,0))*N799</f>
        <v>0</v>
      </c>
      <c r="O649" s="97">
        <f>INDEX(Data_Prices!O:O,MATCH($G649,Data_Prices!$A:$A,0))*O799</f>
        <v>0</v>
      </c>
      <c r="P649" s="97">
        <f>INDEX(Data_Prices!P:P,MATCH($G649,Data_Prices!$A:$A,0))*P799</f>
        <v>0</v>
      </c>
      <c r="Q649" s="97">
        <f>INDEX(Data_Prices!Q:Q,MATCH($G649,Data_Prices!$A:$A,0))*Q799</f>
        <v>0</v>
      </c>
      <c r="R649" s="97">
        <f>INDEX(Data_Prices!R:R,MATCH($G649,Data_Prices!$A:$A,0))*R799</f>
        <v>0</v>
      </c>
      <c r="S649" s="97">
        <f>INDEX(Data_Prices!S:S,MATCH($G649,Data_Prices!$A:$A,0))*S799</f>
        <v>0</v>
      </c>
      <c r="T649" s="97">
        <f>INDEX(Data_Prices!T:T,MATCH($G649,Data_Prices!$A:$A,0))*T799</f>
        <v>0</v>
      </c>
      <c r="U649" s="97">
        <f>INDEX(Data_Prices!U:U,MATCH($G649,Data_Prices!$A:$A,0))*U799</f>
        <v>0</v>
      </c>
      <c r="V649" s="97">
        <f>INDEX(Data_Prices!V:V,MATCH($G649,Data_Prices!$A:$A,0))*V799</f>
        <v>0</v>
      </c>
      <c r="W649" s="97">
        <f>INDEX(Data_Prices!W:W,MATCH($G649,Data_Prices!$A:$A,0))*W799</f>
        <v>0</v>
      </c>
      <c r="X649" s="97">
        <f>INDEX(Data_Prices!X:X,MATCH($G649,Data_Prices!$A:$A,0))*X799</f>
        <v>0</v>
      </c>
      <c r="Y649" s="97">
        <f>INDEX(Data_Prices!Y:Y,MATCH($G649,Data_Prices!$A:$A,0))*Y799</f>
        <v>0</v>
      </c>
      <c r="Z649" s="97">
        <f>INDEX(Data_Prices!Z:Z,MATCH($G649,Data_Prices!$A:$A,0))*Z799</f>
        <v>0</v>
      </c>
      <c r="AA649" s="97">
        <f>INDEX(Data_Prices!AA:AA,MATCH($G649,Data_Prices!$A:$A,0))*AA799</f>
        <v>0</v>
      </c>
      <c r="AB649" s="97">
        <f>INDEX(Data_Prices!AB:AB,MATCH($G649,Data_Prices!$A:$A,0))*AB799</f>
        <v>0</v>
      </c>
      <c r="AC649" s="97">
        <f>INDEX(Data_Prices!AC:AC,MATCH($G649,Data_Prices!$A:$A,0))*AC799</f>
        <v>0</v>
      </c>
      <c r="AD649" s="97">
        <f>INDEX(Data_Prices!AD:AD,MATCH($G649,Data_Prices!$A:$A,0))*AD799</f>
        <v>0</v>
      </c>
      <c r="AE649" s="97">
        <f>INDEX(Data_Prices!AE:AE,MATCH($G649,Data_Prices!$A:$A,0))*AE799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1873</v>
      </c>
      <c r="E650" s="70" t="s">
        <v>1415</v>
      </c>
      <c r="F650" s="70" t="s">
        <v>26</v>
      </c>
      <c r="G650" s="87" t="str">
        <f>Settings!$B$3&amp;".mit.obrrb."&amp;$J$404</f>
        <v>egy.mit.obrrb.2</v>
      </c>
      <c r="H650" s="70"/>
      <c r="I650" s="70" t="s">
        <v>1874</v>
      </c>
      <c r="J650" s="70"/>
      <c r="K650" s="97"/>
      <c r="L650" s="97">
        <f>INDEX(Data_Prices!L:L,MATCH($G650,Data_Prices!$A:$A,0))</f>
        <v>0</v>
      </c>
      <c r="M650" s="97">
        <f>INDEX(Data_Prices!M:M,MATCH($G650,Data_Prices!$A:$A,0))</f>
        <v>0</v>
      </c>
      <c r="N650" s="97">
        <f>INDEX(Data_Prices!N:N,MATCH($G650,Data_Prices!$A:$A,0))</f>
        <v>0</v>
      </c>
      <c r="O650" s="97">
        <f>INDEX(Data_Prices!O:O,MATCH($G650,Data_Prices!$A:$A,0))</f>
        <v>0</v>
      </c>
      <c r="P650" s="97">
        <f>INDEX(Data_Prices!P:P,MATCH($G650,Data_Prices!$A:$A,0))</f>
        <v>0</v>
      </c>
      <c r="Q650" s="97">
        <f>INDEX(Data_Prices!Q:Q,MATCH($G650,Data_Prices!$A:$A,0))</f>
        <v>0</v>
      </c>
      <c r="R650" s="97">
        <f>INDEX(Data_Prices!R:R,MATCH($G650,Data_Prices!$A:$A,0))</f>
        <v>0</v>
      </c>
      <c r="S650" s="97">
        <f>INDEX(Data_Prices!S:S,MATCH($G650,Data_Prices!$A:$A,0))</f>
        <v>0</v>
      </c>
      <c r="T650" s="97">
        <f>INDEX(Data_Prices!T:T,MATCH($G650,Data_Prices!$A:$A,0))</f>
        <v>0</v>
      </c>
      <c r="U650" s="97">
        <f>INDEX(Data_Prices!U:U,MATCH($G650,Data_Prices!$A:$A,0))</f>
        <v>0</v>
      </c>
      <c r="V650" s="97">
        <f>INDEX(Data_Prices!V:V,MATCH($G650,Data_Prices!$A:$A,0))</f>
        <v>0</v>
      </c>
      <c r="W650" s="97">
        <f>INDEX(Data_Prices!W:W,MATCH($G650,Data_Prices!$A:$A,0))</f>
        <v>0</v>
      </c>
      <c r="X650" s="97">
        <f>INDEX(Data_Prices!X:X,MATCH($G650,Data_Prices!$A:$A,0))</f>
        <v>0</v>
      </c>
      <c r="Y650" s="97">
        <f>INDEX(Data_Prices!Y:Y,MATCH($G650,Data_Prices!$A:$A,0))</f>
        <v>0</v>
      </c>
      <c r="Z650" s="97">
        <f>INDEX(Data_Prices!Z:Z,MATCH($G650,Data_Prices!$A:$A,0))</f>
        <v>0</v>
      </c>
      <c r="AA650" s="97">
        <f>INDEX(Data_Prices!AA:AA,MATCH($G650,Data_Prices!$A:$A,0))</f>
        <v>0</v>
      </c>
      <c r="AB650" s="97">
        <f>INDEX(Data_Prices!AB:AB,MATCH($G650,Data_Prices!$A:$A,0))</f>
        <v>0</v>
      </c>
      <c r="AC650" s="97">
        <f>INDEX(Data_Prices!AC:AC,MATCH($G650,Data_Prices!$A:$A,0))</f>
        <v>0</v>
      </c>
      <c r="AD650" s="97">
        <f>INDEX(Data_Prices!AD:AD,MATCH($G650,Data_Prices!$A:$A,0))</f>
        <v>0</v>
      </c>
      <c r="AE650" s="97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1429</v>
      </c>
      <c r="D651" s="73"/>
      <c r="E651" s="71" t="s">
        <v>1430</v>
      </c>
      <c r="F651" s="71" t="s">
        <v>1431</v>
      </c>
      <c r="G651" s="71" t="s">
        <v>1405</v>
      </c>
      <c r="H651" s="71" t="s">
        <v>1432</v>
      </c>
      <c r="I651" s="71" t="s">
        <v>1433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73"/>
      <c r="C657" s="73"/>
      <c r="D657" s="73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0"/>
      <c r="AH657" s="70"/>
      <c r="AI657" s="70"/>
    </row>
    <row r="658" spans="1:35" x14ac:dyDescent="0.45">
      <c r="A658" s="70"/>
      <c r="B658" s="73"/>
      <c r="C658" s="73"/>
      <c r="D658" s="73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0"/>
      <c r="AH658" s="70"/>
      <c r="AI658" s="70"/>
    </row>
    <row r="659" spans="1:35" x14ac:dyDescent="0.45">
      <c r="A659" s="70"/>
      <c r="B659" s="73"/>
      <c r="C659" s="73"/>
      <c r="D659" s="73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0"/>
      <c r="AH659" s="70"/>
      <c r="AI659" s="70"/>
    </row>
    <row r="660" spans="1:35" x14ac:dyDescent="0.45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2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1" t="s">
        <v>1331</v>
      </c>
      <c r="N662" s="91" t="s">
        <v>1332</v>
      </c>
      <c r="O662" s="70" t="s">
        <v>1333</v>
      </c>
      <c r="P662" s="91" t="s">
        <v>1334</v>
      </c>
      <c r="Q662" s="91" t="s">
        <v>1335</v>
      </c>
      <c r="R662" s="91" t="s">
        <v>1336</v>
      </c>
      <c r="S662" s="91" t="s">
        <v>1337</v>
      </c>
      <c r="T662" s="91" t="s">
        <v>1338</v>
      </c>
      <c r="U662" s="91" t="s">
        <v>1339</v>
      </c>
      <c r="V662" s="91" t="s">
        <v>1340</v>
      </c>
      <c r="W662" s="91" t="s">
        <v>1341</v>
      </c>
      <c r="X662" s="91" t="s">
        <v>1342</v>
      </c>
      <c r="Y662" s="91" t="s">
        <v>1343</v>
      </c>
      <c r="Z662" s="91" t="s">
        <v>1344</v>
      </c>
      <c r="AA662" s="91" t="s">
        <v>1345</v>
      </c>
      <c r="AB662" s="91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0.12903000000000001</v>
      </c>
      <c r="I663" s="76">
        <f>'Manual inputs'!I$30</f>
        <v>0.56100000000000005</v>
      </c>
      <c r="J663" s="76">
        <f>'Manual inputs'!J$30</f>
        <v>0.04</v>
      </c>
      <c r="K663" s="76">
        <f>'Manual inputs'!K$30</f>
        <v>0</v>
      </c>
      <c r="L663" s="76">
        <f t="shared" ref="L663:L670" si="229">SUM(H663:K663)</f>
        <v>0.73003000000000007</v>
      </c>
      <c r="M663" s="76">
        <f>'Manual inputs'!M$30</f>
        <v>0</v>
      </c>
      <c r="N663" s="76">
        <f>'Manual inputs'!N$30</f>
        <v>0.73003000000000007</v>
      </c>
      <c r="O663" s="76">
        <f>'Manual inputs'!O$30</f>
        <v>0.25</v>
      </c>
      <c r="P663" s="70">
        <f>'Manual inputs'!P$30</f>
        <v>0</v>
      </c>
      <c r="Q663" s="76">
        <f t="shared" ref="Q663:Q670" si="230">N663+O663</f>
        <v>0.98003000000000007</v>
      </c>
      <c r="R663" s="76">
        <f t="shared" ref="R663:R670" si="231">N663+O663*P663</f>
        <v>0.73003000000000007</v>
      </c>
      <c r="S663" s="77">
        <f>'Manual inputs'!S$30</f>
        <v>5</v>
      </c>
      <c r="T663" s="77">
        <f>'Manual inputs'!T$30</f>
        <v>56.1</v>
      </c>
      <c r="U663" s="77">
        <f>'Manual inputs'!U$30</f>
        <v>24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-1.27197</v>
      </c>
      <c r="AB663" s="79">
        <f>'Manual inputs'!AB$30</f>
        <v>0.24903000000000008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S1.fc: Est: Midrex heat:reductant ratio 5:24 GJ/t NG. Total EF Auth (WSA 2023 / S1.fp: Est: Midrex standard ratio; IPCC 2006 Vol2 2C1; WSA 2023. Total Auth; </v>
      </c>
      <c r="AE663" s="70" t="str">
        <f>'Manual inputs'!AE$30</f>
        <v>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1357</v>
      </c>
      <c r="E664" s="70" t="s">
        <v>1351</v>
      </c>
      <c r="F664" s="70" t="s">
        <v>1358</v>
      </c>
      <c r="G664" s="70" t="s">
        <v>1359</v>
      </c>
      <c r="H664" s="76">
        <f>'Manual inputs'!H$31</f>
        <v>0.14025000000000001</v>
      </c>
      <c r="I664" s="76">
        <f>'Manual inputs'!I$31</f>
        <v>0</v>
      </c>
      <c r="J664" s="76">
        <f>'Manual inputs'!J$31</f>
        <v>1.4999999999999999E-2</v>
      </c>
      <c r="K664" s="76">
        <f>'Manual inputs'!K$31</f>
        <v>0</v>
      </c>
      <c r="L664" s="76">
        <f t="shared" si="229"/>
        <v>0.15525</v>
      </c>
      <c r="M664" s="76">
        <f>'Manual inputs'!M$31</f>
        <v>0</v>
      </c>
      <c r="N664" s="76">
        <f>'Manual inputs'!N$31</f>
        <v>0.15525</v>
      </c>
      <c r="O664" s="76">
        <f>'Manual inputs'!O$31</f>
        <v>0.25</v>
      </c>
      <c r="P664" s="70">
        <f>'Manual inputs'!P$31</f>
        <v>0</v>
      </c>
      <c r="Q664" s="76">
        <f t="shared" si="230"/>
        <v>0.40525</v>
      </c>
      <c r="R664" s="76">
        <f t="shared" si="231"/>
        <v>0.15525</v>
      </c>
      <c r="S664" s="77">
        <f>'Manual inputs'!S$31</f>
        <v>2.5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-0.63675000000000004</v>
      </c>
      <c r="AB664" s="79">
        <f>'Manual inputs'!AB$31</f>
        <v>8.3250000000000005E-2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S1.fc: Est: IEA Egypt sector average; WSA 2023 scrap-EAF range 2-3 GJ/t. Tota / S1.fp: Auth: no reductant in scrap melting process</v>
      </c>
      <c r="AE664" s="70" t="str">
        <f>'Manual inputs'!AE$31</f>
        <v>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1363</v>
      </c>
      <c r="E665" s="70" t="s">
        <v>1351</v>
      </c>
      <c r="F665" s="70" t="s">
        <v>1364</v>
      </c>
      <c r="G665" s="70" t="s">
        <v>1365</v>
      </c>
      <c r="H665" s="76">
        <f>'Manual inputs'!H$32</f>
        <v>0.38440000000000002</v>
      </c>
      <c r="I665" s="76">
        <f>'Manual inputs'!I$32</f>
        <v>1.5376000000000001</v>
      </c>
      <c r="J665" s="76">
        <f>'Manual inputs'!J$32</f>
        <v>0.25</v>
      </c>
      <c r="K665" s="76">
        <f>'Manual inputs'!K$32</f>
        <v>0</v>
      </c>
      <c r="L665" s="76">
        <f t="shared" si="229"/>
        <v>2.1720000000000002</v>
      </c>
      <c r="M665" s="76">
        <f>'Manual inputs'!M$32</f>
        <v>0</v>
      </c>
      <c r="N665" s="76">
        <f>'Manual inputs'!N$32</f>
        <v>2.1720000000000002</v>
      </c>
      <c r="O665" s="76">
        <f>'Manual inputs'!O$32</f>
        <v>0.1875</v>
      </c>
      <c r="P665" s="70">
        <f>'Manual inputs'!P$32</f>
        <v>0</v>
      </c>
      <c r="Q665" s="76">
        <f t="shared" si="230"/>
        <v>2.3595000000000002</v>
      </c>
      <c r="R665" s="76">
        <f t="shared" si="231"/>
        <v>2.1720000000000002</v>
      </c>
      <c r="S665" s="77">
        <f>'Manual inputs'!S$32</f>
        <v>4</v>
      </c>
      <c r="T665" s="77">
        <f>'Manual inputs'!T$32</f>
        <v>96.1</v>
      </c>
      <c r="U665" s="77">
        <f>'Manual inputs'!U$32</f>
        <v>16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-0.90799999999999992</v>
      </c>
      <c r="AB665" s="79">
        <f>'Manual inputs'!AB$32</f>
        <v>0.80200000000000005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S1.fc: Prox: WSA 2023 global BF-BOF average. No Egypt-specific data (no produ / S1.fp: Prox: WSA 2023 BF standard; IPCC 2006 Vol2 2C1. Split Est within proxy</v>
      </c>
      <c r="AE665" s="70" t="str">
        <f>'Manual inputs'!AE$32</f>
        <v>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1369</v>
      </c>
      <c r="E666" s="70" t="s">
        <v>1370</v>
      </c>
      <c r="F666" s="70" t="s">
        <v>1371</v>
      </c>
      <c r="G666" s="70" t="s">
        <v>1372</v>
      </c>
      <c r="H666" s="76">
        <f>'Manual inputs'!H$33</f>
        <v>0.2883</v>
      </c>
      <c r="I666" s="76">
        <f>'Manual inputs'!I$33</f>
        <v>0</v>
      </c>
      <c r="J666" s="76">
        <f>'Manual inputs'!J$33</f>
        <v>0.52600000000000002</v>
      </c>
      <c r="K666" s="76">
        <f>'Manual inputs'!K$33</f>
        <v>0</v>
      </c>
      <c r="L666" s="76">
        <f t="shared" si="229"/>
        <v>0.81430000000000002</v>
      </c>
      <c r="M666" s="76">
        <f>'Manual inputs'!M$33</f>
        <v>0</v>
      </c>
      <c r="N666" s="76">
        <f>'Manual inputs'!N$33</f>
        <v>0.81430000000000002</v>
      </c>
      <c r="O666" s="76">
        <f>'Manual inputs'!O$33</f>
        <v>5.6250000000000001E-2</v>
      </c>
      <c r="P666" s="70">
        <f>'Manual inputs'!P$33</f>
        <v>1</v>
      </c>
      <c r="Q666" s="76">
        <f t="shared" si="230"/>
        <v>0.87055000000000005</v>
      </c>
      <c r="R666" s="76">
        <f t="shared" si="231"/>
        <v>0.87055000000000005</v>
      </c>
      <c r="S666" s="77">
        <f>'Manual inputs'!S$33</f>
        <v>3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-0.86745000000000017</v>
      </c>
      <c r="AB666" s="79">
        <f>'Manual inputs'!AB$33</f>
        <v>0.20455000000000001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S1.fc: Est: IEA Egypt cement sector; CSI/GCCA GNR Egypt 2022. Total AukCoa / S1.fp: Auth: cement production has no chemical reductant fuel</v>
      </c>
      <c r="AE666" s="70" t="str">
        <f>'Manual inputs'!AE$33</f>
        <v>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1376</v>
      </c>
      <c r="E667" s="70" t="s">
        <v>1377</v>
      </c>
      <c r="F667" s="70" t="s">
        <v>1378</v>
      </c>
      <c r="G667" s="70" t="s">
        <v>1379</v>
      </c>
      <c r="H667" s="76">
        <f>'Manual inputs'!H$34</f>
        <v>0.39269999999999999</v>
      </c>
      <c r="I667" s="76">
        <f>'Manual inputs'!I$34</f>
        <v>1.4585999999999999</v>
      </c>
      <c r="J667" s="76">
        <f>'Manual inputs'!J$34</f>
        <v>0</v>
      </c>
      <c r="K667" s="76">
        <f>'Manual inputs'!K$34</f>
        <v>0</v>
      </c>
      <c r="L667" s="76">
        <f t="shared" si="229"/>
        <v>1.8512999999999999</v>
      </c>
      <c r="M667" s="76">
        <f>'Manual inputs'!M$34</f>
        <v>0</v>
      </c>
      <c r="N667" s="76">
        <f>'Manual inputs'!N$34</f>
        <v>1.8512999999999999</v>
      </c>
      <c r="O667" s="76">
        <f>'Manual inputs'!O$34</f>
        <v>3.7499999999999999E-2</v>
      </c>
      <c r="P667" s="70">
        <f>'Manual inputs'!P$34</f>
        <v>1</v>
      </c>
      <c r="Q667" s="76">
        <f t="shared" si="230"/>
        <v>1.8888</v>
      </c>
      <c r="R667" s="76">
        <f t="shared" si="231"/>
        <v>1.8888</v>
      </c>
      <c r="S667" s="77">
        <f>'Manual inputs'!S$34</f>
        <v>7</v>
      </c>
      <c r="T667" s="77">
        <f>'Manual inputs'!T$34</f>
        <v>56.1</v>
      </c>
      <c r="U667" s="77">
        <f>'Manual inputs'!U$34</f>
        <v>26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-0.18169999999999997</v>
      </c>
      <c r="AB667" s="79">
        <f>'Manual inputs'!AB$34</f>
        <v>0.40480000000000005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S1.fc: Est: IFA/EFMA BAT Vol.1; combustion ~6-8 GJ/t NH3. Total Auth (IFA sta / S1.fp: Est: IFA/EFMA BAT Vol.1 standard SMR ~24-28 GJ/t NH3. Total Auth; comb</v>
      </c>
      <c r="AE667" s="70" t="str">
        <f>'Manual inputs'!AE$34</f>
        <v>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1383</v>
      </c>
      <c r="E668" s="70" t="s">
        <v>1384</v>
      </c>
      <c r="F668" s="70" t="s">
        <v>1385</v>
      </c>
      <c r="G668" s="70" t="s">
        <v>1386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-0.73299999999999998</v>
      </c>
      <c r="K668" s="76">
        <f>'Manual inputs'!K$35</f>
        <v>0</v>
      </c>
      <c r="L668" s="76">
        <f t="shared" si="229"/>
        <v>-0.62080000000000002</v>
      </c>
      <c r="M668" s="76">
        <f>'Manual inputs'!M$35</f>
        <v>1.0709496000000001</v>
      </c>
      <c r="N668" s="76">
        <f>'Manual inputs'!N$35</f>
        <v>0.45014960000000004</v>
      </c>
      <c r="O668" s="76">
        <f>'Manual inputs'!O$35</f>
        <v>3.7499999999999999E-2</v>
      </c>
      <c r="P668" s="70">
        <f>'Manual inputs'!P$35</f>
        <v>1</v>
      </c>
      <c r="Q668" s="76">
        <f t="shared" si="230"/>
        <v>0.48764960000000002</v>
      </c>
      <c r="R668" s="76">
        <f t="shared" si="231"/>
        <v>0.48764960000000002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-0.91625039999999991</v>
      </c>
      <c r="AB668" s="79">
        <f>'Manual inputs'!AB$35</f>
        <v>-0.41435040000000001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S1.fc: Est: IFA/EFMA; small relative to NH3 chain. ~1.5-2.5 GJ/t urea typical / S1.fp: Auth: no additional reductant/feedstock in urea synthesis itself</v>
      </c>
      <c r="AE668" s="70" t="str">
        <f>'Manual inputs'!AE$35</f>
        <v>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1390</v>
      </c>
      <c r="E669" s="70" t="s">
        <v>1391</v>
      </c>
      <c r="F669" s="70" t="s">
        <v>1392</v>
      </c>
      <c r="G669" s="70" t="s">
        <v>1393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0.97</v>
      </c>
      <c r="L669" s="76">
        <f t="shared" si="229"/>
        <v>1.0822000000000001</v>
      </c>
      <c r="M669" s="76">
        <f>'Manual inputs'!M$36</f>
        <v>0.40137</v>
      </c>
      <c r="N669" s="76">
        <f>'Manual inputs'!N$36</f>
        <v>1.4835700000000001</v>
      </c>
      <c r="O669" s="76">
        <f>'Manual inputs'!O$36</f>
        <v>4.3749999999999997E-2</v>
      </c>
      <c r="P669" s="70">
        <f>'Manual inputs'!P$36</f>
        <v>1</v>
      </c>
      <c r="Q669" s="76">
        <f t="shared" si="230"/>
        <v>1.52732</v>
      </c>
      <c r="R669" s="76">
        <f t="shared" si="231"/>
        <v>1.52732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-1.1390800000000003</v>
      </c>
      <c r="AB669" s="79">
        <f>'Manual inputs'!AB$36</f>
        <v>1.22532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S1.fc: Est: IFA/EFMA BAT Vol.3; 1.5-2.5 GJ/t AN typical. Total direct EF less / S1.fp: Auth: HNO3 and neutralisation have no reductant</v>
      </c>
      <c r="AE669" s="70" t="str">
        <f>'Manual inputs'!AE$36</f>
        <v>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1397</v>
      </c>
      <c r="E670" s="70" t="s">
        <v>1398</v>
      </c>
      <c r="F670" s="70" t="s">
        <v>1399</v>
      </c>
      <c r="G670" s="70" t="s">
        <v>1400</v>
      </c>
      <c r="H670" s="76">
        <f>'Manual inputs'!H$37</f>
        <v>0.156</v>
      </c>
      <c r="I670" s="76">
        <f>'Manual inputs'!I$37</f>
        <v>0</v>
      </c>
      <c r="J670" s="76">
        <f>'Manual inputs'!J$37</f>
        <v>1.5</v>
      </c>
      <c r="K670" s="76">
        <f>'Manual inputs'!K$37</f>
        <v>0.85</v>
      </c>
      <c r="L670" s="76">
        <f t="shared" si="229"/>
        <v>2.5059999999999998</v>
      </c>
      <c r="M670" s="76">
        <f>'Manual inputs'!M$37</f>
        <v>0</v>
      </c>
      <c r="N670" s="76">
        <f>'Manual inputs'!N$37</f>
        <v>2.5059999999999998</v>
      </c>
      <c r="O670" s="76">
        <f>'Manual inputs'!O$37</f>
        <v>6.75</v>
      </c>
      <c r="P670" s="70">
        <f>'Manual inputs'!P$37</f>
        <v>0</v>
      </c>
      <c r="Q670" s="76">
        <f t="shared" si="230"/>
        <v>9.2560000000000002</v>
      </c>
      <c r="R670" s="76">
        <f t="shared" si="231"/>
        <v>2.5059999999999998</v>
      </c>
      <c r="S670" s="77">
        <f>'Manual inputs'!S$37</f>
        <v>2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0.23999999999999932</v>
      </c>
      <c r="AB670" s="79">
        <f>'Manual inputs'!AB$37</f>
        <v>1.0829999999999997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S1.fc: Est: IAI 2023 smelter profile; 1.5-2.5 GJ/t range. Weighted EF 78 kgCO / S1.fp: Auth: Hall-Héroult is electrolytic; reduction is electrical not fuel-d</v>
      </c>
      <c r="AE670" s="70" t="str">
        <f>'Manual inputs'!AE$37</f>
        <v>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52"/>
      <c r="C671" s="52"/>
      <c r="D671" s="70"/>
      <c r="E671" s="70"/>
      <c r="F671" s="70"/>
      <c r="G671" s="70"/>
      <c r="H671" s="70"/>
      <c r="I671" s="70"/>
      <c r="J671" s="70"/>
      <c r="K671" s="72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</row>
    <row r="672" spans="1:35" x14ac:dyDescent="0.45">
      <c r="A672" s="70"/>
      <c r="B672" s="52"/>
      <c r="C672" s="52"/>
      <c r="D672" s="70"/>
      <c r="E672" s="70"/>
      <c r="F672" s="70"/>
      <c r="G672" s="70"/>
      <c r="H672" s="70"/>
      <c r="I672" s="70"/>
      <c r="J672" s="70"/>
      <c r="K672" s="72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1434</v>
      </c>
      <c r="D673" s="73"/>
      <c r="E673" s="70"/>
      <c r="F673" s="70" t="s">
        <v>1435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1436</v>
      </c>
      <c r="G674" s="70" t="s">
        <v>1437</v>
      </c>
      <c r="H674" s="70" t="s">
        <v>1438</v>
      </c>
      <c r="I674" s="70" t="s">
        <v>1439</v>
      </c>
      <c r="J674" s="71"/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1440</v>
      </c>
      <c r="F675" s="88">
        <v>5100</v>
      </c>
      <c r="G675" s="89">
        <v>4.3999999999999997E-2</v>
      </c>
      <c r="H675" s="80"/>
      <c r="I675" s="88">
        <v>580</v>
      </c>
      <c r="J675" s="71"/>
      <c r="K675" s="72"/>
      <c r="L675" s="72">
        <f t="shared" ref="L675:L682" si="232">M675/(1+G675)</f>
        <v>4679.1738230501605</v>
      </c>
      <c r="M675" s="72">
        <f t="shared" ref="M675:M682" si="233">N675/(1+G675)</f>
        <v>4885.0574712643675</v>
      </c>
      <c r="N675" s="90">
        <f>IF(UPPER(Settings!$B$3)="EGY",F675,0)</f>
        <v>5100</v>
      </c>
      <c r="O675" s="72">
        <f t="shared" ref="O675:O682" si="234">N675*(1+G675)</f>
        <v>5324.4000000000005</v>
      </c>
      <c r="P675" s="72">
        <f t="shared" ref="P675:P682" si="235">O675*(1+G675)</f>
        <v>5558.673600000001</v>
      </c>
      <c r="Q675" s="72">
        <f t="shared" ref="Q675:Q682" si="236">P675*(1+G675)</f>
        <v>5803.255238400001</v>
      </c>
      <c r="R675" s="72">
        <f t="shared" ref="R675:R682" si="237">Q675*(1+G675)</f>
        <v>6058.5984688896015</v>
      </c>
      <c r="S675" s="72">
        <f t="shared" ref="S675:S682" si="238">R675*(1+G675)</f>
        <v>6325.1768015207444</v>
      </c>
      <c r="T675" s="72">
        <f t="shared" ref="T675:T682" si="239">S675*(1+G675)</f>
        <v>6603.4845807876573</v>
      </c>
      <c r="U675" s="72">
        <f t="shared" ref="U675:U682" si="240">T675*(1+G675)</f>
        <v>6894.0379023423147</v>
      </c>
      <c r="V675" s="72">
        <f t="shared" ref="V675:V682" si="241">U675*(1+G675)</f>
        <v>7197.3755700453767</v>
      </c>
      <c r="W675" s="72">
        <f t="shared" ref="W675:W682" si="242">V675*(1+G675)</f>
        <v>7514.0600951273736</v>
      </c>
      <c r="X675" s="72">
        <f t="shared" ref="X675:X682" si="243">W675*(1+G675)</f>
        <v>7844.678739312978</v>
      </c>
      <c r="Y675" s="72">
        <f t="shared" ref="Y675:Y682" si="244">X675*(1+G675)</f>
        <v>8189.8446038427492</v>
      </c>
      <c r="Z675" s="72">
        <f t="shared" ref="Z675:Z682" si="245">Y675*(1+G675)</f>
        <v>8550.1977664118313</v>
      </c>
      <c r="AA675" s="72">
        <f t="shared" ref="AA675:AA682" si="246">Z675*(1+G675)</f>
        <v>8926.4064681339514</v>
      </c>
      <c r="AB675" s="72">
        <f t="shared" ref="AB675:AB682" si="247">AA675*(1+G675)</f>
        <v>9319.1683527318455</v>
      </c>
      <c r="AC675" s="72">
        <f t="shared" ref="AC675:AC682" si="248">AB675*(1+G675)</f>
        <v>9729.2117602520466</v>
      </c>
      <c r="AD675" s="72">
        <f t="shared" ref="AD675:AD682" si="249">AC675*(1+G675)</f>
        <v>10157.297077703137</v>
      </c>
      <c r="AE675" s="72">
        <f t="shared" ref="AE675:AE682" si="250">AD675*(1+G675)</f>
        <v>10604.218149122074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1357</v>
      </c>
      <c r="E676" s="70" t="s">
        <v>1440</v>
      </c>
      <c r="F676" s="88">
        <v>4800</v>
      </c>
      <c r="G676" s="89">
        <v>4.3999999999999997E-2</v>
      </c>
      <c r="H676" s="80"/>
      <c r="I676" s="88">
        <v>300</v>
      </c>
      <c r="J676" s="71"/>
      <c r="K676" s="72"/>
      <c r="L676" s="72">
        <f t="shared" si="232"/>
        <v>4403.9283040472101</v>
      </c>
      <c r="M676" s="72">
        <f t="shared" si="233"/>
        <v>4597.7011494252874</v>
      </c>
      <c r="N676" s="90">
        <f>IF(UPPER(Settings!$B$3)="EGY",F676,0)</f>
        <v>4800</v>
      </c>
      <c r="O676" s="72">
        <f t="shared" si="234"/>
        <v>5011.2</v>
      </c>
      <c r="P676" s="72">
        <f t="shared" si="235"/>
        <v>5231.6927999999998</v>
      </c>
      <c r="Q676" s="72">
        <f t="shared" si="236"/>
        <v>5461.8872831999997</v>
      </c>
      <c r="R676" s="72">
        <f t="shared" si="237"/>
        <v>5702.2103236608</v>
      </c>
      <c r="S676" s="72">
        <f t="shared" si="238"/>
        <v>5953.1075779018756</v>
      </c>
      <c r="T676" s="72">
        <f t="shared" si="239"/>
        <v>6215.0443113295587</v>
      </c>
      <c r="U676" s="72">
        <f t="shared" si="240"/>
        <v>6488.5062610280593</v>
      </c>
      <c r="V676" s="72">
        <f t="shared" si="241"/>
        <v>6774.0005365132938</v>
      </c>
      <c r="W676" s="72">
        <f t="shared" si="242"/>
        <v>7072.0565601198787</v>
      </c>
      <c r="X676" s="72">
        <f t="shared" si="243"/>
        <v>7383.227048765154</v>
      </c>
      <c r="Y676" s="72">
        <f t="shared" si="244"/>
        <v>7708.0890389108208</v>
      </c>
      <c r="Z676" s="72">
        <f t="shared" si="245"/>
        <v>8047.244956622897</v>
      </c>
      <c r="AA676" s="72">
        <f t="shared" si="246"/>
        <v>8401.323734714304</v>
      </c>
      <c r="AB676" s="72">
        <f t="shared" si="247"/>
        <v>8770.9819790417332</v>
      </c>
      <c r="AC676" s="72">
        <f t="shared" si="248"/>
        <v>9156.9051861195694</v>
      </c>
      <c r="AD676" s="72">
        <f t="shared" si="249"/>
        <v>9559.8090143088302</v>
      </c>
      <c r="AE676" s="72">
        <f t="shared" si="250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1363</v>
      </c>
      <c r="E677" s="70" t="s">
        <v>1440</v>
      </c>
      <c r="F677" s="88">
        <v>0</v>
      </c>
      <c r="G677" s="89">
        <v>0</v>
      </c>
      <c r="H677" s="80"/>
      <c r="I677" s="88">
        <v>0</v>
      </c>
      <c r="J677" s="71"/>
      <c r="K677" s="72"/>
      <c r="L677" s="72">
        <f t="shared" si="232"/>
        <v>0</v>
      </c>
      <c r="M677" s="72">
        <f t="shared" si="233"/>
        <v>0</v>
      </c>
      <c r="N677" s="90">
        <f>IF(UPPER(Settings!$B$3)="EGY",F677,0)</f>
        <v>0</v>
      </c>
      <c r="O677" s="72">
        <f t="shared" si="234"/>
        <v>0</v>
      </c>
      <c r="P677" s="72">
        <f t="shared" si="235"/>
        <v>0</v>
      </c>
      <c r="Q677" s="72">
        <f t="shared" si="236"/>
        <v>0</v>
      </c>
      <c r="R677" s="72">
        <f t="shared" si="237"/>
        <v>0</v>
      </c>
      <c r="S677" s="72">
        <f t="shared" si="238"/>
        <v>0</v>
      </c>
      <c r="T677" s="72">
        <f t="shared" si="239"/>
        <v>0</v>
      </c>
      <c r="U677" s="72">
        <f t="shared" si="240"/>
        <v>0</v>
      </c>
      <c r="V677" s="72">
        <f t="shared" si="241"/>
        <v>0</v>
      </c>
      <c r="W677" s="72">
        <f t="shared" si="242"/>
        <v>0</v>
      </c>
      <c r="X677" s="72">
        <f t="shared" si="243"/>
        <v>0</v>
      </c>
      <c r="Y677" s="72">
        <f t="shared" si="244"/>
        <v>0</v>
      </c>
      <c r="Z677" s="72">
        <f t="shared" si="245"/>
        <v>0</v>
      </c>
      <c r="AA677" s="72">
        <f t="shared" si="246"/>
        <v>0</v>
      </c>
      <c r="AB677" s="72">
        <f t="shared" si="247"/>
        <v>0</v>
      </c>
      <c r="AC677" s="72">
        <f t="shared" si="248"/>
        <v>0</v>
      </c>
      <c r="AD677" s="72">
        <f t="shared" si="249"/>
        <v>0</v>
      </c>
      <c r="AE677" s="72">
        <f t="shared" si="250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1369</v>
      </c>
      <c r="E678" s="70" t="s">
        <v>1441</v>
      </c>
      <c r="F678" s="88">
        <v>50000</v>
      </c>
      <c r="G678" s="89">
        <v>3.3000000000000002E-2</v>
      </c>
      <c r="H678" s="80"/>
      <c r="I678" s="88">
        <v>800</v>
      </c>
      <c r="J678" s="71"/>
      <c r="K678" s="72"/>
      <c r="L678" s="72">
        <f t="shared" si="232"/>
        <v>46856.447775209017</v>
      </c>
      <c r="M678" s="72">
        <f t="shared" si="233"/>
        <v>48402.710551790908</v>
      </c>
      <c r="N678" s="90">
        <f>IF(UPPER(Settings!$B$3)="EGY",F678,0)</f>
        <v>50000</v>
      </c>
      <c r="O678" s="72">
        <f t="shared" si="234"/>
        <v>51649.999999999993</v>
      </c>
      <c r="P678" s="72">
        <f t="shared" si="235"/>
        <v>53354.44999999999</v>
      </c>
      <c r="Q678" s="72">
        <f t="shared" si="236"/>
        <v>55115.146849999983</v>
      </c>
      <c r="R678" s="72">
        <f t="shared" si="237"/>
        <v>56933.946696049978</v>
      </c>
      <c r="S678" s="72">
        <f t="shared" si="238"/>
        <v>58812.766937019624</v>
      </c>
      <c r="T678" s="72">
        <f t="shared" si="239"/>
        <v>60753.588245941268</v>
      </c>
      <c r="U678" s="72">
        <f t="shared" si="240"/>
        <v>62758.456658057323</v>
      </c>
      <c r="V678" s="72">
        <f t="shared" si="241"/>
        <v>64829.485727773208</v>
      </c>
      <c r="W678" s="72">
        <f t="shared" si="242"/>
        <v>66968.858756789719</v>
      </c>
      <c r="X678" s="72">
        <f t="shared" si="243"/>
        <v>69178.831095763773</v>
      </c>
      <c r="Y678" s="72">
        <f t="shared" si="244"/>
        <v>71461.732521923972</v>
      </c>
      <c r="Z678" s="72">
        <f t="shared" si="245"/>
        <v>73819.969695147462</v>
      </c>
      <c r="AA678" s="72">
        <f t="shared" si="246"/>
        <v>76256.028695087327</v>
      </c>
      <c r="AB678" s="72">
        <f t="shared" si="247"/>
        <v>78772.477642025202</v>
      </c>
      <c r="AC678" s="72">
        <f t="shared" si="248"/>
        <v>81371.969404212025</v>
      </c>
      <c r="AD678" s="72">
        <f t="shared" si="249"/>
        <v>84057.244394551017</v>
      </c>
      <c r="AE678" s="72">
        <f t="shared" si="250"/>
        <v>86831.133459571196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1442</v>
      </c>
      <c r="E679" s="70" t="s">
        <v>1443</v>
      </c>
      <c r="F679" s="88">
        <v>1785</v>
      </c>
      <c r="G679" s="89">
        <v>2.1999999999999999E-2</v>
      </c>
      <c r="H679" s="80"/>
      <c r="I679" s="88">
        <v>120</v>
      </c>
      <c r="J679" s="71"/>
      <c r="K679" s="72"/>
      <c r="L679" s="72">
        <f t="shared" si="232"/>
        <v>1708.9778302013242</v>
      </c>
      <c r="M679" s="72">
        <f t="shared" si="233"/>
        <v>1746.5753424657535</v>
      </c>
      <c r="N679" s="90">
        <f>IF(UPPER(Settings!$B$3)="EGY",F679,0)</f>
        <v>1785</v>
      </c>
      <c r="O679" s="72">
        <f t="shared" si="234"/>
        <v>1824.27</v>
      </c>
      <c r="P679" s="72">
        <f t="shared" si="235"/>
        <v>1864.4039399999999</v>
      </c>
      <c r="Q679" s="72">
        <f t="shared" si="236"/>
        <v>1905.4208266799999</v>
      </c>
      <c r="R679" s="72">
        <f t="shared" si="237"/>
        <v>1947.3400848669598</v>
      </c>
      <c r="S679" s="72">
        <f t="shared" si="238"/>
        <v>1990.1815667340329</v>
      </c>
      <c r="T679" s="72">
        <f t="shared" si="239"/>
        <v>2033.9655612021818</v>
      </c>
      <c r="U679" s="72">
        <f t="shared" si="240"/>
        <v>2078.7128035486298</v>
      </c>
      <c r="V679" s="72">
        <f t="shared" si="241"/>
        <v>2124.4444852266997</v>
      </c>
      <c r="W679" s="72">
        <f t="shared" si="242"/>
        <v>2171.1822639016873</v>
      </c>
      <c r="X679" s="72">
        <f t="shared" si="243"/>
        <v>2218.9482737075245</v>
      </c>
      <c r="Y679" s="72">
        <f t="shared" si="244"/>
        <v>2267.7651357290902</v>
      </c>
      <c r="Z679" s="72">
        <f t="shared" si="245"/>
        <v>2317.6559687151303</v>
      </c>
      <c r="AA679" s="72">
        <f t="shared" si="246"/>
        <v>2368.644400026863</v>
      </c>
      <c r="AB679" s="72">
        <f t="shared" si="247"/>
        <v>2420.754576827454</v>
      </c>
      <c r="AC679" s="72">
        <f t="shared" si="248"/>
        <v>2474.0111775176579</v>
      </c>
      <c r="AD679" s="72">
        <f t="shared" si="249"/>
        <v>2528.4394234230463</v>
      </c>
      <c r="AE679" s="72">
        <f t="shared" si="250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1383</v>
      </c>
      <c r="E680" s="70" t="s">
        <v>1444</v>
      </c>
      <c r="F680" s="88">
        <v>2800</v>
      </c>
      <c r="G680" s="89">
        <v>2.1999999999999999E-2</v>
      </c>
      <c r="H680" s="80"/>
      <c r="I680" s="88">
        <v>1600</v>
      </c>
      <c r="J680" s="71"/>
      <c r="K680" s="72"/>
      <c r="L680" s="72">
        <f t="shared" si="232"/>
        <v>2680.7495375707044</v>
      </c>
      <c r="M680" s="72">
        <f t="shared" si="233"/>
        <v>2739.7260273972602</v>
      </c>
      <c r="N680" s="90">
        <f>IF(UPPER(Settings!$B$3)="EGY",F680,0)</f>
        <v>2800</v>
      </c>
      <c r="O680" s="72">
        <f t="shared" si="234"/>
        <v>2861.6</v>
      </c>
      <c r="P680" s="72">
        <f t="shared" si="235"/>
        <v>2924.5551999999998</v>
      </c>
      <c r="Q680" s="72">
        <f t="shared" si="236"/>
        <v>2988.8954143999999</v>
      </c>
      <c r="R680" s="72">
        <f t="shared" si="237"/>
        <v>3054.6511135167998</v>
      </c>
      <c r="S680" s="72">
        <f t="shared" si="238"/>
        <v>3121.8534380141696</v>
      </c>
      <c r="T680" s="72">
        <f t="shared" si="239"/>
        <v>3190.5342136504814</v>
      </c>
      <c r="U680" s="72">
        <f t="shared" si="240"/>
        <v>3260.7259663507921</v>
      </c>
      <c r="V680" s="72">
        <f t="shared" si="241"/>
        <v>3332.4619376105097</v>
      </c>
      <c r="W680" s="72">
        <f t="shared" si="242"/>
        <v>3405.7761002379411</v>
      </c>
      <c r="X680" s="72">
        <f t="shared" si="243"/>
        <v>3480.7031744431761</v>
      </c>
      <c r="Y680" s="72">
        <f t="shared" si="244"/>
        <v>3557.2786442809261</v>
      </c>
      <c r="Z680" s="72">
        <f t="shared" si="245"/>
        <v>3635.5387744551067</v>
      </c>
      <c r="AA680" s="72">
        <f t="shared" si="246"/>
        <v>3715.5206274931193</v>
      </c>
      <c r="AB680" s="72">
        <f t="shared" si="247"/>
        <v>3797.2620812979681</v>
      </c>
      <c r="AC680" s="72">
        <f t="shared" si="248"/>
        <v>3880.8018470865236</v>
      </c>
      <c r="AD680" s="72">
        <f t="shared" si="249"/>
        <v>3966.179487722427</v>
      </c>
      <c r="AE680" s="72">
        <f t="shared" si="250"/>
        <v>4053.4354364523206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1390</v>
      </c>
      <c r="E681" s="70" t="s">
        <v>1445</v>
      </c>
      <c r="F681" s="88">
        <v>600</v>
      </c>
      <c r="G681" s="89">
        <v>2.1999999999999999E-2</v>
      </c>
      <c r="H681" s="80"/>
      <c r="I681" s="88">
        <v>80</v>
      </c>
      <c r="J681" s="71"/>
      <c r="K681" s="72"/>
      <c r="L681" s="72">
        <f t="shared" si="232"/>
        <v>574.44632947943671</v>
      </c>
      <c r="M681" s="72">
        <f t="shared" si="233"/>
        <v>587.08414872798437</v>
      </c>
      <c r="N681" s="90">
        <f>IF(UPPER(Settings!$B$3)="EGY",F681,0)</f>
        <v>600</v>
      </c>
      <c r="O681" s="72">
        <f t="shared" si="234"/>
        <v>613.20000000000005</v>
      </c>
      <c r="P681" s="72">
        <f t="shared" si="235"/>
        <v>626.69040000000007</v>
      </c>
      <c r="Q681" s="72">
        <f t="shared" si="236"/>
        <v>640.47758880000004</v>
      </c>
      <c r="R681" s="72">
        <f t="shared" si="237"/>
        <v>654.56809575360001</v>
      </c>
      <c r="S681" s="72">
        <f t="shared" si="238"/>
        <v>668.96859386017923</v>
      </c>
      <c r="T681" s="72">
        <f t="shared" si="239"/>
        <v>683.68590292510316</v>
      </c>
      <c r="U681" s="72">
        <f t="shared" si="240"/>
        <v>698.72699278945549</v>
      </c>
      <c r="V681" s="72">
        <f t="shared" si="241"/>
        <v>714.09898663082356</v>
      </c>
      <c r="W681" s="72">
        <f t="shared" si="242"/>
        <v>729.80916433670166</v>
      </c>
      <c r="X681" s="72">
        <f t="shared" si="243"/>
        <v>745.86496595210906</v>
      </c>
      <c r="Y681" s="72">
        <f t="shared" si="244"/>
        <v>762.27399520305551</v>
      </c>
      <c r="Z681" s="72">
        <f t="shared" si="245"/>
        <v>779.04402309752277</v>
      </c>
      <c r="AA681" s="72">
        <f t="shared" si="246"/>
        <v>796.18299160566824</v>
      </c>
      <c r="AB681" s="72">
        <f t="shared" si="247"/>
        <v>813.69901742099296</v>
      </c>
      <c r="AC681" s="72">
        <f t="shared" si="248"/>
        <v>831.60039580425484</v>
      </c>
      <c r="AD681" s="72">
        <f t="shared" si="249"/>
        <v>849.89560451194848</v>
      </c>
      <c r="AE681" s="72">
        <f t="shared" si="250"/>
        <v>868.59330781121139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1397</v>
      </c>
      <c r="E682" s="70" t="s">
        <v>1446</v>
      </c>
      <c r="F682" s="88">
        <v>300</v>
      </c>
      <c r="G682" s="89">
        <v>5.5E-2</v>
      </c>
      <c r="H682" s="80"/>
      <c r="I682" s="88">
        <v>167</v>
      </c>
      <c r="J682" s="71"/>
      <c r="K682" s="72"/>
      <c r="L682" s="72">
        <f t="shared" si="232"/>
        <v>269.53572471417982</v>
      </c>
      <c r="M682" s="72">
        <f t="shared" si="233"/>
        <v>284.36018957345971</v>
      </c>
      <c r="N682" s="90">
        <f>IF(UPPER(Settings!$B$3)="EGY",F682,0)</f>
        <v>300</v>
      </c>
      <c r="O682" s="72">
        <f t="shared" si="234"/>
        <v>316.5</v>
      </c>
      <c r="P682" s="72">
        <f t="shared" si="235"/>
        <v>333.90749999999997</v>
      </c>
      <c r="Q682" s="72">
        <f t="shared" si="236"/>
        <v>352.27241249999997</v>
      </c>
      <c r="R682" s="72">
        <f t="shared" si="237"/>
        <v>371.64739518749997</v>
      </c>
      <c r="S682" s="72">
        <f t="shared" si="238"/>
        <v>392.08800192281245</v>
      </c>
      <c r="T682" s="72">
        <f t="shared" si="239"/>
        <v>413.65284202856714</v>
      </c>
      <c r="U682" s="72">
        <f t="shared" si="240"/>
        <v>436.40374834013829</v>
      </c>
      <c r="V682" s="72">
        <f t="shared" si="241"/>
        <v>460.40595449884586</v>
      </c>
      <c r="W682" s="72">
        <f t="shared" si="242"/>
        <v>485.72828199628236</v>
      </c>
      <c r="X682" s="72">
        <f t="shared" si="243"/>
        <v>512.44333750607791</v>
      </c>
      <c r="Y682" s="72">
        <f t="shared" si="244"/>
        <v>540.62772106891214</v>
      </c>
      <c r="Z682" s="72">
        <f t="shared" si="245"/>
        <v>570.36224572770232</v>
      </c>
      <c r="AA682" s="72">
        <f t="shared" si="246"/>
        <v>601.73216924272594</v>
      </c>
      <c r="AB682" s="72">
        <f t="shared" si="247"/>
        <v>634.82743855107583</v>
      </c>
      <c r="AC682" s="72">
        <f t="shared" si="248"/>
        <v>669.74294767138497</v>
      </c>
      <c r="AD682" s="72">
        <f t="shared" si="249"/>
        <v>706.57880979331105</v>
      </c>
      <c r="AE682" s="72">
        <f t="shared" si="250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/>
      <c r="D683" s="70"/>
      <c r="E683" s="70"/>
      <c r="F683" s="70"/>
      <c r="G683" s="70"/>
      <c r="H683" s="70"/>
      <c r="I683" s="70"/>
      <c r="J683" s="70"/>
      <c r="K683" s="72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0"/>
      <c r="E684" s="70"/>
      <c r="F684" s="70"/>
      <c r="G684" s="70"/>
      <c r="H684" s="70"/>
      <c r="I684" s="70"/>
      <c r="J684" s="70"/>
      <c r="K684" s="72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0"/>
      <c r="E685" s="70"/>
      <c r="F685" s="70"/>
      <c r="G685" s="70"/>
      <c r="H685" s="70"/>
      <c r="I685" s="70"/>
      <c r="J685" s="70"/>
      <c r="K685" s="72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</row>
    <row r="686" spans="1:35" x14ac:dyDescent="0.45">
      <c r="A686" s="70"/>
      <c r="B686" s="52"/>
      <c r="C686" s="73" t="s">
        <v>1447</v>
      </c>
      <c r="D686" s="73" t="s">
        <v>1323</v>
      </c>
      <c r="E686" s="70" t="s">
        <v>1448</v>
      </c>
      <c r="F686" s="70" t="s">
        <v>1323</v>
      </c>
      <c r="G686" s="70" t="s">
        <v>1449</v>
      </c>
      <c r="H686" s="70"/>
      <c r="I686" s="71"/>
      <c r="J686" s="71"/>
      <c r="K686" s="72"/>
      <c r="L686" s="74">
        <f t="shared" ref="L686:AE686" si="251">L673</f>
        <v>2022</v>
      </c>
      <c r="M686" s="74">
        <f t="shared" si="251"/>
        <v>2023</v>
      </c>
      <c r="N686" s="74">
        <f t="shared" si="251"/>
        <v>2024</v>
      </c>
      <c r="O686" s="74">
        <f t="shared" si="251"/>
        <v>2025</v>
      </c>
      <c r="P686" s="74">
        <f t="shared" si="251"/>
        <v>2026</v>
      </c>
      <c r="Q686" s="74">
        <f t="shared" si="251"/>
        <v>2027</v>
      </c>
      <c r="R686" s="74">
        <f t="shared" si="251"/>
        <v>2028</v>
      </c>
      <c r="S686" s="74">
        <f t="shared" si="251"/>
        <v>2029</v>
      </c>
      <c r="T686" s="74">
        <f t="shared" si="251"/>
        <v>2030</v>
      </c>
      <c r="U686" s="74">
        <f t="shared" si="251"/>
        <v>2031</v>
      </c>
      <c r="V686" s="74">
        <f t="shared" si="251"/>
        <v>2032</v>
      </c>
      <c r="W686" s="74">
        <f t="shared" si="251"/>
        <v>2033</v>
      </c>
      <c r="X686" s="74">
        <f t="shared" si="251"/>
        <v>2034</v>
      </c>
      <c r="Y686" s="74">
        <f t="shared" si="251"/>
        <v>2035</v>
      </c>
      <c r="Z686" s="74">
        <f t="shared" si="251"/>
        <v>2036</v>
      </c>
      <c r="AA686" s="74">
        <f t="shared" si="251"/>
        <v>2037</v>
      </c>
      <c r="AB686" s="74">
        <f t="shared" si="251"/>
        <v>2038</v>
      </c>
      <c r="AC686" s="74">
        <f t="shared" si="251"/>
        <v>2039</v>
      </c>
      <c r="AD686" s="74">
        <f t="shared" si="251"/>
        <v>2040</v>
      </c>
      <c r="AE686" s="74">
        <f t="shared" si="251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1450</v>
      </c>
      <c r="E687" s="87" t="s">
        <v>1451</v>
      </c>
      <c r="F687" s="70" t="s">
        <v>1452</v>
      </c>
      <c r="G687" s="85">
        <v>750</v>
      </c>
      <c r="H687" s="72"/>
      <c r="I687" s="70"/>
      <c r="J687" s="70"/>
      <c r="K687" s="72"/>
      <c r="L687" s="72">
        <f t="shared" ref="L687:L694" si="252">G687</f>
        <v>750</v>
      </c>
      <c r="M687" s="72">
        <f t="shared" ref="M687:M694" si="253">G687</f>
        <v>750</v>
      </c>
      <c r="N687" s="72">
        <f t="shared" ref="N687:N694" si="254">G687</f>
        <v>750</v>
      </c>
      <c r="O687" s="72">
        <f t="shared" ref="O687:O694" si="255">G687</f>
        <v>750</v>
      </c>
      <c r="P687" s="72">
        <f t="shared" ref="P687:P694" si="256">G687</f>
        <v>750</v>
      </c>
      <c r="Q687" s="72">
        <f t="shared" ref="Q687:Q694" si="257">G687</f>
        <v>750</v>
      </c>
      <c r="R687" s="72">
        <f t="shared" ref="R687:R694" si="258">G687</f>
        <v>750</v>
      </c>
      <c r="S687" s="72">
        <f t="shared" ref="S687:S694" si="259">G687</f>
        <v>750</v>
      </c>
      <c r="T687" s="72">
        <f t="shared" ref="T687:T694" si="260">G687</f>
        <v>750</v>
      </c>
      <c r="U687" s="72">
        <f t="shared" ref="U687:U694" si="261">G687</f>
        <v>750</v>
      </c>
      <c r="V687" s="72">
        <f t="shared" ref="V687:V694" si="262">G687</f>
        <v>750</v>
      </c>
      <c r="W687" s="72">
        <f t="shared" ref="W687:W694" si="263">G687</f>
        <v>750</v>
      </c>
      <c r="X687" s="72">
        <f t="shared" ref="X687:X694" si="264">G687</f>
        <v>750</v>
      </c>
      <c r="Y687" s="72">
        <f t="shared" ref="Y687:Y694" si="265">G687</f>
        <v>750</v>
      </c>
      <c r="Z687" s="72">
        <f t="shared" ref="Z687:Z694" si="266">G687</f>
        <v>750</v>
      </c>
      <c r="AA687" s="72">
        <f t="shared" ref="AA687:AA694" si="267">G687</f>
        <v>750</v>
      </c>
      <c r="AB687" s="72">
        <f t="shared" ref="AB687:AB694" si="268">G687</f>
        <v>750</v>
      </c>
      <c r="AC687" s="72">
        <f t="shared" ref="AC687:AC694" si="269">G687</f>
        <v>750</v>
      </c>
      <c r="AD687" s="72">
        <f t="shared" ref="AD687:AD694" si="270">G687</f>
        <v>750</v>
      </c>
      <c r="AE687" s="72">
        <f t="shared" ref="AE687:AE694" si="271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1453</v>
      </c>
      <c r="E688" s="87" t="s">
        <v>1454</v>
      </c>
      <c r="F688" s="70" t="s">
        <v>1455</v>
      </c>
      <c r="G688" s="85">
        <v>680</v>
      </c>
      <c r="H688" s="70"/>
      <c r="I688" s="70"/>
      <c r="J688" s="70"/>
      <c r="K688" s="72"/>
      <c r="L688" s="72">
        <f t="shared" si="252"/>
        <v>680</v>
      </c>
      <c r="M688" s="72">
        <f t="shared" si="253"/>
        <v>680</v>
      </c>
      <c r="N688" s="72">
        <f t="shared" si="254"/>
        <v>680</v>
      </c>
      <c r="O688" s="72">
        <f t="shared" si="255"/>
        <v>680</v>
      </c>
      <c r="P688" s="72">
        <f t="shared" si="256"/>
        <v>680</v>
      </c>
      <c r="Q688" s="72">
        <f t="shared" si="257"/>
        <v>680</v>
      </c>
      <c r="R688" s="72">
        <f t="shared" si="258"/>
        <v>680</v>
      </c>
      <c r="S688" s="72">
        <f t="shared" si="259"/>
        <v>680</v>
      </c>
      <c r="T688" s="72">
        <f t="shared" si="260"/>
        <v>680</v>
      </c>
      <c r="U688" s="72">
        <f t="shared" si="261"/>
        <v>680</v>
      </c>
      <c r="V688" s="72">
        <f t="shared" si="262"/>
        <v>680</v>
      </c>
      <c r="W688" s="72">
        <f t="shared" si="263"/>
        <v>680</v>
      </c>
      <c r="X688" s="72">
        <f t="shared" si="264"/>
        <v>680</v>
      </c>
      <c r="Y688" s="72">
        <f t="shared" si="265"/>
        <v>680</v>
      </c>
      <c r="Z688" s="72">
        <f t="shared" si="266"/>
        <v>680</v>
      </c>
      <c r="AA688" s="72">
        <f t="shared" si="267"/>
        <v>680</v>
      </c>
      <c r="AB688" s="72">
        <f t="shared" si="268"/>
        <v>680</v>
      </c>
      <c r="AC688" s="72">
        <f t="shared" si="269"/>
        <v>680</v>
      </c>
      <c r="AD688" s="72">
        <f t="shared" si="270"/>
        <v>680</v>
      </c>
      <c r="AE688" s="72">
        <f t="shared" si="271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1456</v>
      </c>
      <c r="E689" s="87" t="s">
        <v>1457</v>
      </c>
      <c r="F689" s="70" t="s">
        <v>1458</v>
      </c>
      <c r="G689" s="85">
        <v>620</v>
      </c>
      <c r="H689" s="70"/>
      <c r="I689" s="70"/>
      <c r="J689" s="70"/>
      <c r="K689" s="72"/>
      <c r="L689" s="72">
        <f t="shared" si="252"/>
        <v>620</v>
      </c>
      <c r="M689" s="72">
        <f t="shared" si="253"/>
        <v>620</v>
      </c>
      <c r="N689" s="72">
        <f t="shared" si="254"/>
        <v>620</v>
      </c>
      <c r="O689" s="72">
        <f t="shared" si="255"/>
        <v>620</v>
      </c>
      <c r="P689" s="72">
        <f t="shared" si="256"/>
        <v>620</v>
      </c>
      <c r="Q689" s="72">
        <f t="shared" si="257"/>
        <v>620</v>
      </c>
      <c r="R689" s="72">
        <f t="shared" si="258"/>
        <v>620</v>
      </c>
      <c r="S689" s="72">
        <f t="shared" si="259"/>
        <v>620</v>
      </c>
      <c r="T689" s="72">
        <f t="shared" si="260"/>
        <v>620</v>
      </c>
      <c r="U689" s="72">
        <f t="shared" si="261"/>
        <v>620</v>
      </c>
      <c r="V689" s="72">
        <f t="shared" si="262"/>
        <v>620</v>
      </c>
      <c r="W689" s="72">
        <f t="shared" si="263"/>
        <v>620</v>
      </c>
      <c r="X689" s="72">
        <f t="shared" si="264"/>
        <v>620</v>
      </c>
      <c r="Y689" s="72">
        <f t="shared" si="265"/>
        <v>620</v>
      </c>
      <c r="Z689" s="72">
        <f t="shared" si="266"/>
        <v>620</v>
      </c>
      <c r="AA689" s="72">
        <f t="shared" si="267"/>
        <v>620</v>
      </c>
      <c r="AB689" s="72">
        <f t="shared" si="268"/>
        <v>620</v>
      </c>
      <c r="AC689" s="72">
        <f t="shared" si="269"/>
        <v>620</v>
      </c>
      <c r="AD689" s="72">
        <f t="shared" si="270"/>
        <v>620</v>
      </c>
      <c r="AE689" s="72">
        <f t="shared" si="271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1459</v>
      </c>
      <c r="E690" s="87" t="s">
        <v>1460</v>
      </c>
      <c r="F690" s="70" t="s">
        <v>1461</v>
      </c>
      <c r="G690" s="85">
        <v>110</v>
      </c>
      <c r="H690" s="70"/>
      <c r="I690" s="70"/>
      <c r="J690" s="70"/>
      <c r="K690" s="72"/>
      <c r="L690" s="72">
        <f t="shared" si="252"/>
        <v>110</v>
      </c>
      <c r="M690" s="72">
        <f t="shared" si="253"/>
        <v>110</v>
      </c>
      <c r="N690" s="72">
        <f t="shared" si="254"/>
        <v>110</v>
      </c>
      <c r="O690" s="72">
        <f t="shared" si="255"/>
        <v>110</v>
      </c>
      <c r="P690" s="72">
        <f t="shared" si="256"/>
        <v>110</v>
      </c>
      <c r="Q690" s="72">
        <f t="shared" si="257"/>
        <v>110</v>
      </c>
      <c r="R690" s="72">
        <f t="shared" si="258"/>
        <v>110</v>
      </c>
      <c r="S690" s="72">
        <f t="shared" si="259"/>
        <v>110</v>
      </c>
      <c r="T690" s="72">
        <f t="shared" si="260"/>
        <v>110</v>
      </c>
      <c r="U690" s="72">
        <f t="shared" si="261"/>
        <v>110</v>
      </c>
      <c r="V690" s="72">
        <f t="shared" si="262"/>
        <v>110</v>
      </c>
      <c r="W690" s="72">
        <f t="shared" si="263"/>
        <v>110</v>
      </c>
      <c r="X690" s="72">
        <f t="shared" si="264"/>
        <v>110</v>
      </c>
      <c r="Y690" s="72">
        <f t="shared" si="265"/>
        <v>110</v>
      </c>
      <c r="Z690" s="72">
        <f t="shared" si="266"/>
        <v>110</v>
      </c>
      <c r="AA690" s="72">
        <f t="shared" si="267"/>
        <v>110</v>
      </c>
      <c r="AB690" s="72">
        <f t="shared" si="268"/>
        <v>110</v>
      </c>
      <c r="AC690" s="72">
        <f t="shared" si="269"/>
        <v>110</v>
      </c>
      <c r="AD690" s="72">
        <f t="shared" si="270"/>
        <v>110</v>
      </c>
      <c r="AE690" s="72">
        <f t="shared" si="271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1462</v>
      </c>
      <c r="E691" s="87" t="s">
        <v>1463</v>
      </c>
      <c r="F691" s="70" t="s">
        <v>1464</v>
      </c>
      <c r="G691" s="85">
        <v>450</v>
      </c>
      <c r="H691" s="70"/>
      <c r="I691" s="70"/>
      <c r="J691" s="70"/>
      <c r="K691" s="72"/>
      <c r="L691" s="72">
        <f t="shared" si="252"/>
        <v>450</v>
      </c>
      <c r="M691" s="72">
        <f t="shared" si="253"/>
        <v>450</v>
      </c>
      <c r="N691" s="72">
        <f t="shared" si="254"/>
        <v>450</v>
      </c>
      <c r="O691" s="72">
        <f t="shared" si="255"/>
        <v>450</v>
      </c>
      <c r="P691" s="72">
        <f t="shared" si="256"/>
        <v>450</v>
      </c>
      <c r="Q691" s="72">
        <f t="shared" si="257"/>
        <v>450</v>
      </c>
      <c r="R691" s="72">
        <f t="shared" si="258"/>
        <v>450</v>
      </c>
      <c r="S691" s="72">
        <f t="shared" si="259"/>
        <v>450</v>
      </c>
      <c r="T691" s="72">
        <f t="shared" si="260"/>
        <v>450</v>
      </c>
      <c r="U691" s="72">
        <f t="shared" si="261"/>
        <v>450</v>
      </c>
      <c r="V691" s="72">
        <f t="shared" si="262"/>
        <v>450</v>
      </c>
      <c r="W691" s="72">
        <f t="shared" si="263"/>
        <v>450</v>
      </c>
      <c r="X691" s="72">
        <f t="shared" si="264"/>
        <v>450</v>
      </c>
      <c r="Y691" s="72">
        <f t="shared" si="265"/>
        <v>450</v>
      </c>
      <c r="Z691" s="72">
        <f t="shared" si="266"/>
        <v>450</v>
      </c>
      <c r="AA691" s="72">
        <f t="shared" si="267"/>
        <v>450</v>
      </c>
      <c r="AB691" s="72">
        <f t="shared" si="268"/>
        <v>450</v>
      </c>
      <c r="AC691" s="72">
        <f t="shared" si="269"/>
        <v>450</v>
      </c>
      <c r="AD691" s="72">
        <f t="shared" si="270"/>
        <v>450</v>
      </c>
      <c r="AE691" s="72">
        <f t="shared" si="271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1465</v>
      </c>
      <c r="E692" s="87" t="s">
        <v>1466</v>
      </c>
      <c r="F692" s="70" t="s">
        <v>1467</v>
      </c>
      <c r="G692" s="85">
        <v>380</v>
      </c>
      <c r="H692" s="70"/>
      <c r="I692" s="70"/>
      <c r="J692" s="70"/>
      <c r="K692" s="72"/>
      <c r="L692" s="72">
        <f t="shared" si="252"/>
        <v>380</v>
      </c>
      <c r="M692" s="72">
        <f t="shared" si="253"/>
        <v>380</v>
      </c>
      <c r="N692" s="72">
        <f t="shared" si="254"/>
        <v>380</v>
      </c>
      <c r="O692" s="72">
        <f t="shared" si="255"/>
        <v>380</v>
      </c>
      <c r="P692" s="72">
        <f t="shared" si="256"/>
        <v>380</v>
      </c>
      <c r="Q692" s="72">
        <f t="shared" si="257"/>
        <v>380</v>
      </c>
      <c r="R692" s="72">
        <f t="shared" si="258"/>
        <v>380</v>
      </c>
      <c r="S692" s="72">
        <f t="shared" si="259"/>
        <v>380</v>
      </c>
      <c r="T692" s="72">
        <f t="shared" si="260"/>
        <v>380</v>
      </c>
      <c r="U692" s="72">
        <f t="shared" si="261"/>
        <v>380</v>
      </c>
      <c r="V692" s="72">
        <f t="shared" si="262"/>
        <v>380</v>
      </c>
      <c r="W692" s="72">
        <f t="shared" si="263"/>
        <v>380</v>
      </c>
      <c r="X692" s="72">
        <f t="shared" si="264"/>
        <v>380</v>
      </c>
      <c r="Y692" s="72">
        <f t="shared" si="265"/>
        <v>380</v>
      </c>
      <c r="Z692" s="72">
        <f t="shared" si="266"/>
        <v>380</v>
      </c>
      <c r="AA692" s="72">
        <f t="shared" si="267"/>
        <v>380</v>
      </c>
      <c r="AB692" s="72">
        <f t="shared" si="268"/>
        <v>380</v>
      </c>
      <c r="AC692" s="72">
        <f t="shared" si="269"/>
        <v>380</v>
      </c>
      <c r="AD692" s="72">
        <f t="shared" si="270"/>
        <v>380</v>
      </c>
      <c r="AE692" s="72">
        <f t="shared" si="271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1468</v>
      </c>
      <c r="E693" s="87" t="s">
        <v>1469</v>
      </c>
      <c r="F693" s="70" t="s">
        <v>1470</v>
      </c>
      <c r="G693" s="85">
        <v>320</v>
      </c>
      <c r="H693" s="70"/>
      <c r="I693" s="70"/>
      <c r="J693" s="70"/>
      <c r="K693" s="72"/>
      <c r="L693" s="72">
        <f t="shared" si="252"/>
        <v>320</v>
      </c>
      <c r="M693" s="72">
        <f t="shared" si="253"/>
        <v>320</v>
      </c>
      <c r="N693" s="72">
        <f t="shared" si="254"/>
        <v>320</v>
      </c>
      <c r="O693" s="72">
        <f t="shared" si="255"/>
        <v>320</v>
      </c>
      <c r="P693" s="72">
        <f t="shared" si="256"/>
        <v>320</v>
      </c>
      <c r="Q693" s="72">
        <f t="shared" si="257"/>
        <v>320</v>
      </c>
      <c r="R693" s="72">
        <f t="shared" si="258"/>
        <v>320</v>
      </c>
      <c r="S693" s="72">
        <f t="shared" si="259"/>
        <v>320</v>
      </c>
      <c r="T693" s="72">
        <f t="shared" si="260"/>
        <v>320</v>
      </c>
      <c r="U693" s="72">
        <f t="shared" si="261"/>
        <v>320</v>
      </c>
      <c r="V693" s="72">
        <f t="shared" si="262"/>
        <v>320</v>
      </c>
      <c r="W693" s="72">
        <f t="shared" si="263"/>
        <v>320</v>
      </c>
      <c r="X693" s="72">
        <f t="shared" si="264"/>
        <v>320</v>
      </c>
      <c r="Y693" s="72">
        <f t="shared" si="265"/>
        <v>320</v>
      </c>
      <c r="Z693" s="72">
        <f t="shared" si="266"/>
        <v>320</v>
      </c>
      <c r="AA693" s="72">
        <f t="shared" si="267"/>
        <v>320</v>
      </c>
      <c r="AB693" s="72">
        <f t="shared" si="268"/>
        <v>320</v>
      </c>
      <c r="AC693" s="72">
        <f t="shared" si="269"/>
        <v>320</v>
      </c>
      <c r="AD693" s="72">
        <f t="shared" si="270"/>
        <v>320</v>
      </c>
      <c r="AE693" s="72">
        <f t="shared" si="271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1471</v>
      </c>
      <c r="E694" s="87" t="s">
        <v>1472</v>
      </c>
      <c r="F694" s="70" t="s">
        <v>1473</v>
      </c>
      <c r="G694" s="85">
        <v>2400</v>
      </c>
      <c r="H694" s="70"/>
      <c r="I694" s="70"/>
      <c r="J694" s="70"/>
      <c r="K694" s="72"/>
      <c r="L694" s="72">
        <f t="shared" si="252"/>
        <v>2400</v>
      </c>
      <c r="M694" s="72">
        <f t="shared" si="253"/>
        <v>2400</v>
      </c>
      <c r="N694" s="72">
        <f t="shared" si="254"/>
        <v>2400</v>
      </c>
      <c r="O694" s="72">
        <f t="shared" si="255"/>
        <v>2400</v>
      </c>
      <c r="P694" s="72">
        <f t="shared" si="256"/>
        <v>2400</v>
      </c>
      <c r="Q694" s="72">
        <f t="shared" si="257"/>
        <v>2400</v>
      </c>
      <c r="R694" s="72">
        <f t="shared" si="258"/>
        <v>2400</v>
      </c>
      <c r="S694" s="72">
        <f t="shared" si="259"/>
        <v>2400</v>
      </c>
      <c r="T694" s="72">
        <f t="shared" si="260"/>
        <v>2400</v>
      </c>
      <c r="U694" s="72">
        <f t="shared" si="261"/>
        <v>2400</v>
      </c>
      <c r="V694" s="72">
        <f t="shared" si="262"/>
        <v>2400</v>
      </c>
      <c r="W694" s="72">
        <f t="shared" si="263"/>
        <v>2400</v>
      </c>
      <c r="X694" s="72">
        <f t="shared" si="264"/>
        <v>2400</v>
      </c>
      <c r="Y694" s="72">
        <f t="shared" si="265"/>
        <v>2400</v>
      </c>
      <c r="Z694" s="72">
        <f t="shared" si="266"/>
        <v>2400</v>
      </c>
      <c r="AA694" s="72">
        <f t="shared" si="267"/>
        <v>2400</v>
      </c>
      <c r="AB694" s="72">
        <f t="shared" si="268"/>
        <v>2400</v>
      </c>
      <c r="AC694" s="72">
        <f t="shared" si="269"/>
        <v>2400</v>
      </c>
      <c r="AD694" s="72">
        <f t="shared" si="270"/>
        <v>2400</v>
      </c>
      <c r="AE694" s="72">
        <f t="shared" si="271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/>
      <c r="D695" s="52"/>
      <c r="E695" s="70"/>
      <c r="F695" s="70"/>
      <c r="G695" s="70"/>
      <c r="H695" s="70"/>
      <c r="I695" s="70"/>
      <c r="J695" s="70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52"/>
      <c r="E696" s="70"/>
      <c r="F696" s="70"/>
      <c r="G696" s="70"/>
      <c r="H696" s="70"/>
      <c r="I696" s="70"/>
      <c r="J696" s="70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0"/>
      <c r="AG696" s="70"/>
      <c r="AH696" s="70"/>
      <c r="AI696" s="70"/>
    </row>
    <row r="697" spans="1:35" x14ac:dyDescent="0.45">
      <c r="A697" s="70"/>
      <c r="B697" s="52"/>
      <c r="C697" s="73" t="s">
        <v>1474</v>
      </c>
      <c r="D697" s="73"/>
      <c r="E697" s="72" t="str">
        <f t="shared" ref="E697:E705" si="272">F728</f>
        <v>EF Fuel CO2</v>
      </c>
      <c r="F697" s="70" t="s">
        <v>1475</v>
      </c>
      <c r="G697" s="70" t="s">
        <v>1476</v>
      </c>
      <c r="H697" s="71"/>
      <c r="I697" s="71"/>
      <c r="J697" s="71"/>
      <c r="K697" s="72"/>
      <c r="L697" s="74">
        <f t="shared" ref="L697:AE697" si="273">L645</f>
        <v>2022</v>
      </c>
      <c r="M697" s="74">
        <f t="shared" si="273"/>
        <v>2023</v>
      </c>
      <c r="N697" s="74">
        <f t="shared" si="273"/>
        <v>2024</v>
      </c>
      <c r="O697" s="74">
        <f t="shared" si="273"/>
        <v>2025</v>
      </c>
      <c r="P697" s="74">
        <f t="shared" si="273"/>
        <v>2026</v>
      </c>
      <c r="Q697" s="74">
        <f t="shared" si="273"/>
        <v>2027</v>
      </c>
      <c r="R697" s="74">
        <f t="shared" si="273"/>
        <v>2028</v>
      </c>
      <c r="S697" s="74">
        <f t="shared" si="273"/>
        <v>2029</v>
      </c>
      <c r="T697" s="74">
        <f t="shared" si="273"/>
        <v>2030</v>
      </c>
      <c r="U697" s="74">
        <f t="shared" si="273"/>
        <v>2031</v>
      </c>
      <c r="V697" s="74">
        <f t="shared" si="273"/>
        <v>2032</v>
      </c>
      <c r="W697" s="74">
        <f t="shared" si="273"/>
        <v>2033</v>
      </c>
      <c r="X697" s="74">
        <f t="shared" si="273"/>
        <v>2034</v>
      </c>
      <c r="Y697" s="74">
        <f t="shared" si="273"/>
        <v>2035</v>
      </c>
      <c r="Z697" s="74">
        <f t="shared" si="273"/>
        <v>2036</v>
      </c>
      <c r="AA697" s="74">
        <f t="shared" si="273"/>
        <v>2037</v>
      </c>
      <c r="AB697" s="74">
        <f t="shared" si="273"/>
        <v>2038</v>
      </c>
      <c r="AC697" s="74">
        <f t="shared" si="273"/>
        <v>2039</v>
      </c>
      <c r="AD697" s="74">
        <f t="shared" si="273"/>
        <v>2040</v>
      </c>
      <c r="AE697" s="74">
        <f t="shared" si="273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1450</v>
      </c>
      <c r="E698" s="72">
        <f t="shared" si="272"/>
        <v>0.69003000000000003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8.625375</v>
      </c>
      <c r="R698" s="70">
        <f>(F698*R646+G698*R647)*E698</f>
        <v>17.25075</v>
      </c>
      <c r="S698" s="70">
        <f>(F698*S646+G698*S647)*E698</f>
        <v>25.876125000000002</v>
      </c>
      <c r="T698" s="70">
        <f>(F698*T646+G698*T647)*E698</f>
        <v>34.5015</v>
      </c>
      <c r="U698" s="70">
        <f>(F698*U646+G698*U647)*E698</f>
        <v>43.126875000000005</v>
      </c>
      <c r="V698" s="70">
        <f>(F698*V646+G698*V647)*E698</f>
        <v>51.752250000000004</v>
      </c>
      <c r="W698" s="70">
        <f>(F698*W646+G698*W647)*E698</f>
        <v>60.377625000000002</v>
      </c>
      <c r="X698" s="70">
        <f>(F698*X646+G698*X647)*E698</f>
        <v>69.003</v>
      </c>
      <c r="Y698" s="70">
        <f>(F698*Y646+G698*Y647)*E698</f>
        <v>77.628375000000005</v>
      </c>
      <c r="Z698" s="70">
        <f>(F698*Z646+G698*Z647)*E698</f>
        <v>86.253750000000011</v>
      </c>
      <c r="AA698" s="70">
        <f>(F698*AA646+G698*AA647)*E698</f>
        <v>94.879125000000002</v>
      </c>
      <c r="AB698" s="70">
        <f>(F698*AB646+G698*AB647)*E698</f>
        <v>103.50450000000001</v>
      </c>
      <c r="AC698" s="70">
        <f>(F698*AC646+G698*AC647)*E698</f>
        <v>112.129875</v>
      </c>
      <c r="AD698" s="70">
        <f>(F698*AD646+G698*AD647)*E698</f>
        <v>120.75525</v>
      </c>
      <c r="AE698" s="70">
        <f>(F698*AE646+G698*AE647)*E698</f>
        <v>129.38062500000001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1453</v>
      </c>
      <c r="E699" s="72">
        <f t="shared" si="272"/>
        <v>0.14025000000000001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1.7531250000000003</v>
      </c>
      <c r="R699" s="70">
        <f>(F699*R646+G699*R647)*E699</f>
        <v>3.5062500000000005</v>
      </c>
      <c r="S699" s="70">
        <f>(F699*S646+G699*S647)*E699</f>
        <v>5.2593750000000004</v>
      </c>
      <c r="T699" s="70">
        <f>(F699*T646+G699*T647)*E699</f>
        <v>7.0125000000000011</v>
      </c>
      <c r="U699" s="70">
        <f>(F699*U646+G699*U647)*E699</f>
        <v>8.765625</v>
      </c>
      <c r="V699" s="70">
        <f>(F699*V646+G699*V647)*E699</f>
        <v>10.518750000000001</v>
      </c>
      <c r="W699" s="70">
        <f>(F699*W646+G699*W647)*E699</f>
        <v>12.271875000000001</v>
      </c>
      <c r="X699" s="70">
        <f>(F699*X646+G699*X647)*E699</f>
        <v>14.025000000000002</v>
      </c>
      <c r="Y699" s="70">
        <f>(F699*Y646+G699*Y647)*E699</f>
        <v>15.778125000000001</v>
      </c>
      <c r="Z699" s="70">
        <f>(F699*Z646+G699*Z647)*E699</f>
        <v>17.53125</v>
      </c>
      <c r="AA699" s="70">
        <f>(F699*AA646+G699*AA647)*E699</f>
        <v>19.284375000000001</v>
      </c>
      <c r="AB699" s="70">
        <f>(F699*AB646+G699*AB647)*E699</f>
        <v>21.037500000000001</v>
      </c>
      <c r="AC699" s="70">
        <f>(F699*AC646+G699*AC647)*E699</f>
        <v>22.790625000000002</v>
      </c>
      <c r="AD699" s="70">
        <f>(F699*AD646+G699*AD647)*E699</f>
        <v>24.543750000000003</v>
      </c>
      <c r="AE699" s="70">
        <f>(F699*AE646+G699*AE647)*E699</f>
        <v>26.296875000000004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1456</v>
      </c>
      <c r="E700" s="72">
        <f t="shared" si="272"/>
        <v>1.9220000000000002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24.025000000000002</v>
      </c>
      <c r="R700" s="70">
        <f>(F700*R646+G700*R647)*E700</f>
        <v>48.050000000000004</v>
      </c>
      <c r="S700" s="70">
        <f>(F700*S646+G700*S647)*E700</f>
        <v>72.075000000000003</v>
      </c>
      <c r="T700" s="70">
        <f>(F700*T646+G700*T647)*E700</f>
        <v>96.100000000000009</v>
      </c>
      <c r="U700" s="70">
        <f>(F700*U646+G700*U647)*E700</f>
        <v>120.12500000000001</v>
      </c>
      <c r="V700" s="70">
        <f>(F700*V646+G700*V647)*E700</f>
        <v>144.15</v>
      </c>
      <c r="W700" s="70">
        <f>(F700*W646+G700*W647)*E700</f>
        <v>168.17500000000001</v>
      </c>
      <c r="X700" s="70">
        <f>(F700*X646+G700*X647)*E700</f>
        <v>192.20000000000002</v>
      </c>
      <c r="Y700" s="70">
        <f>(F700*Y646+G700*Y647)*E700</f>
        <v>216.22500000000002</v>
      </c>
      <c r="Z700" s="70">
        <f>(F700*Z646+G700*Z647)*E700</f>
        <v>240.25000000000003</v>
      </c>
      <c r="AA700" s="70">
        <f>(F700*AA646+G700*AA647)*E700</f>
        <v>264.27500000000003</v>
      </c>
      <c r="AB700" s="70">
        <f>(F700*AB646+G700*AB647)*E700</f>
        <v>288.3</v>
      </c>
      <c r="AC700" s="70">
        <f>(F700*AC646+G700*AC647)*E700</f>
        <v>312.32500000000005</v>
      </c>
      <c r="AD700" s="70">
        <f>(F700*AD646+G700*AD647)*E700</f>
        <v>336.35</v>
      </c>
      <c r="AE700" s="70">
        <f>(F700*AE646+G700*AE647)*E700</f>
        <v>360.37500000000006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1459</v>
      </c>
      <c r="E701" s="72">
        <f t="shared" si="272"/>
        <v>0.2883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3.6037499999999998</v>
      </c>
      <c r="R701" s="70">
        <f>(F701*R646+G701*R647)*E701</f>
        <v>7.2074999999999996</v>
      </c>
      <c r="S701" s="70">
        <f>(F701*S646+G701*S647)*E701</f>
        <v>10.811249999999999</v>
      </c>
      <c r="T701" s="70">
        <f>(F701*T646+G701*T647)*E701</f>
        <v>14.414999999999999</v>
      </c>
      <c r="U701" s="70">
        <f>(F701*U646+G701*U647)*E701</f>
        <v>18.018750000000001</v>
      </c>
      <c r="V701" s="70">
        <f>(F701*V646+G701*V647)*E701</f>
        <v>21.622499999999999</v>
      </c>
      <c r="W701" s="70">
        <f>(F701*W646+G701*W647)*E701</f>
        <v>25.22625</v>
      </c>
      <c r="X701" s="70">
        <f>(F701*X646+G701*X647)*E701</f>
        <v>28.83</v>
      </c>
      <c r="Y701" s="70">
        <f>(F701*Y646+G701*Y647)*E701</f>
        <v>32.433750000000003</v>
      </c>
      <c r="Z701" s="70">
        <f>(F701*Z646+G701*Z647)*E701</f>
        <v>36.037500000000001</v>
      </c>
      <c r="AA701" s="70">
        <f>(F701*AA646+G701*AA647)*E701</f>
        <v>39.641249999999999</v>
      </c>
      <c r="AB701" s="70">
        <f>(F701*AB646+G701*AB647)*E701</f>
        <v>43.244999999999997</v>
      </c>
      <c r="AC701" s="70">
        <f>(F701*AC646+G701*AC647)*E701</f>
        <v>46.848750000000003</v>
      </c>
      <c r="AD701" s="70">
        <f>(F701*AD646+G701*AD647)*E701</f>
        <v>50.452500000000001</v>
      </c>
      <c r="AE701" s="70">
        <f>(F701*AE646+G701*AE647)*E701</f>
        <v>54.056249999999999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1462</v>
      </c>
      <c r="E702" s="72">
        <f t="shared" si="272"/>
        <v>1.8512999999999999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23.141249999999999</v>
      </c>
      <c r="R702" s="70">
        <f>(F702*R646+G702*R647)*E702</f>
        <v>46.282499999999999</v>
      </c>
      <c r="S702" s="70">
        <f>(F702*S646+G702*S647)*E702</f>
        <v>69.423749999999998</v>
      </c>
      <c r="T702" s="70">
        <f>(F702*T646+G702*T647)*E702</f>
        <v>92.564999999999998</v>
      </c>
      <c r="U702" s="70">
        <f>(F702*U646+G702*U647)*E702</f>
        <v>115.70625</v>
      </c>
      <c r="V702" s="70">
        <f>(F702*V646+G702*V647)*E702</f>
        <v>138.8475</v>
      </c>
      <c r="W702" s="70">
        <f>(F702*W646+G702*W647)*E702</f>
        <v>161.98874999999998</v>
      </c>
      <c r="X702" s="70">
        <f>(F702*X646+G702*X647)*E702</f>
        <v>185.13</v>
      </c>
      <c r="Y702" s="70">
        <f>(F702*Y646+G702*Y647)*E702</f>
        <v>208.27124999999998</v>
      </c>
      <c r="Z702" s="70">
        <f>(F702*Z646+G702*Z647)*E702</f>
        <v>231.41249999999999</v>
      </c>
      <c r="AA702" s="70">
        <f>(F702*AA646+G702*AA647)*E702</f>
        <v>254.55374999999998</v>
      </c>
      <c r="AB702" s="70">
        <f>(F702*AB646+G702*AB647)*E702</f>
        <v>277.69499999999999</v>
      </c>
      <c r="AC702" s="70">
        <f>(F702*AC646+G702*AC647)*E702</f>
        <v>300.83625000000001</v>
      </c>
      <c r="AD702" s="70">
        <f>(F702*AD646+G702*AD647)*E702</f>
        <v>323.97749999999996</v>
      </c>
      <c r="AE702" s="70">
        <f>(F702*AE646+G702*AE647)*E702</f>
        <v>347.11874999999998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1465</v>
      </c>
      <c r="E703" s="72">
        <f t="shared" si="272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1468</v>
      </c>
      <c r="E704" s="72">
        <f t="shared" si="272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1471</v>
      </c>
      <c r="E705" s="72">
        <f t="shared" si="272"/>
        <v>0.156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1.95</v>
      </c>
      <c r="R705" s="70">
        <f>(F705*R646+G705*R647)*E705</f>
        <v>3.9</v>
      </c>
      <c r="S705" s="70">
        <f>(F705*S646+G705*S647)*E705</f>
        <v>5.85</v>
      </c>
      <c r="T705" s="70">
        <f>(F705*T646+G705*T647)*E705</f>
        <v>7.8</v>
      </c>
      <c r="U705" s="70">
        <f>(F705*U646+G705*U647)*E705</f>
        <v>9.75</v>
      </c>
      <c r="V705" s="70">
        <f>(F705*V646+G705*V647)*E705</f>
        <v>11.7</v>
      </c>
      <c r="W705" s="70">
        <f>(F705*W646+G705*W647)*E705</f>
        <v>13.65</v>
      </c>
      <c r="X705" s="70">
        <f>(F705*X646+G705*X647)*E705</f>
        <v>15.6</v>
      </c>
      <c r="Y705" s="70">
        <f>(F705*Y646+G705*Y647)*E705</f>
        <v>17.55</v>
      </c>
      <c r="Z705" s="70">
        <f>(F705*Z646+G705*Z647)*E705</f>
        <v>19.5</v>
      </c>
      <c r="AA705" s="70">
        <f>(F705*AA646+G705*AA647)*E705</f>
        <v>21.45</v>
      </c>
      <c r="AB705" s="70">
        <f>(F705*AB646+G705*AB647)*E705</f>
        <v>23.4</v>
      </c>
      <c r="AC705" s="70">
        <f>(F705*AC646+G705*AC647)*E705</f>
        <v>25.35</v>
      </c>
      <c r="AD705" s="70">
        <f>(F705*AD646+G705*AD647)*E705</f>
        <v>27.3</v>
      </c>
      <c r="AE705" s="70">
        <f>(F705*AE646+G705*AE647)*E705</f>
        <v>29.25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0"/>
      <c r="E706" s="70"/>
      <c r="F706" s="70"/>
      <c r="G706" s="70"/>
      <c r="H706" s="70"/>
      <c r="I706" s="70"/>
      <c r="J706" s="70"/>
      <c r="K706" s="72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</row>
    <row r="707" spans="1:35" x14ac:dyDescent="0.45">
      <c r="A707" s="70"/>
      <c r="B707" s="52"/>
      <c r="C707" s="52"/>
      <c r="D707" s="70"/>
      <c r="E707" s="70"/>
      <c r="F707" s="70"/>
      <c r="G707" s="70"/>
      <c r="H707" s="70"/>
      <c r="I707" s="70"/>
      <c r="J707" s="70"/>
      <c r="K707" s="72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</row>
    <row r="708" spans="1:35" x14ac:dyDescent="0.45">
      <c r="A708" s="70"/>
      <c r="B708" s="52"/>
      <c r="C708" s="73" t="s">
        <v>1477</v>
      </c>
      <c r="D708" s="73"/>
      <c r="E708" s="72" t="str">
        <f t="shared" ref="E708:E716" si="274">G728</f>
        <v>EF, Process non-ff co2 + all non-co2</v>
      </c>
      <c r="F708" s="70" t="s">
        <v>1478</v>
      </c>
      <c r="G708" s="70" t="s">
        <v>1479</v>
      </c>
      <c r="H708" s="71"/>
      <c r="I708" s="71"/>
      <c r="J708" s="71"/>
      <c r="K708" s="72"/>
      <c r="L708" s="74">
        <f t="shared" ref="L708:AE708" si="275">L697</f>
        <v>2022</v>
      </c>
      <c r="M708" s="74">
        <f t="shared" si="275"/>
        <v>2023</v>
      </c>
      <c r="N708" s="74">
        <f t="shared" si="275"/>
        <v>2024</v>
      </c>
      <c r="O708" s="74">
        <f t="shared" si="275"/>
        <v>2025</v>
      </c>
      <c r="P708" s="74">
        <f t="shared" si="275"/>
        <v>2026</v>
      </c>
      <c r="Q708" s="74">
        <f t="shared" si="275"/>
        <v>2027</v>
      </c>
      <c r="R708" s="74">
        <f t="shared" si="275"/>
        <v>2028</v>
      </c>
      <c r="S708" s="74">
        <f t="shared" si="275"/>
        <v>2029</v>
      </c>
      <c r="T708" s="74">
        <f t="shared" si="275"/>
        <v>2030</v>
      </c>
      <c r="U708" s="74">
        <f t="shared" si="275"/>
        <v>2031</v>
      </c>
      <c r="V708" s="74">
        <f t="shared" si="275"/>
        <v>2032</v>
      </c>
      <c r="W708" s="74">
        <f t="shared" si="275"/>
        <v>2033</v>
      </c>
      <c r="X708" s="74">
        <f t="shared" si="275"/>
        <v>2034</v>
      </c>
      <c r="Y708" s="74">
        <f t="shared" si="275"/>
        <v>2035</v>
      </c>
      <c r="Z708" s="74">
        <f t="shared" si="275"/>
        <v>2036</v>
      </c>
      <c r="AA708" s="74">
        <f t="shared" si="275"/>
        <v>2037</v>
      </c>
      <c r="AB708" s="74">
        <f t="shared" si="275"/>
        <v>2038</v>
      </c>
      <c r="AC708" s="74">
        <f t="shared" si="275"/>
        <v>2039</v>
      </c>
      <c r="AD708" s="74">
        <f t="shared" si="275"/>
        <v>2040</v>
      </c>
      <c r="AE708" s="74">
        <f t="shared" si="275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1450</v>
      </c>
      <c r="E709" s="72">
        <f t="shared" si="274"/>
        <v>0.04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>(F709*L646+G709*L647)*E709</f>
        <v>0</v>
      </c>
      <c r="M709" s="81">
        <f>(F709*M646+G709*M647)*E709</f>
        <v>0</v>
      </c>
      <c r="N709" s="81">
        <f>(F709*N646+G709*N647)*E709</f>
        <v>0</v>
      </c>
      <c r="O709" s="81">
        <f>(F709*O646+G709*O647)*E709</f>
        <v>0</v>
      </c>
      <c r="P709" s="81">
        <f>(F709*P646+G709*P647)*E709</f>
        <v>0</v>
      </c>
      <c r="Q709" s="81">
        <f>(F709*Q646+G709*Q647)*E709</f>
        <v>0</v>
      </c>
      <c r="R709" s="81">
        <f>(F709*R646+G709*R647)*E709</f>
        <v>0</v>
      </c>
      <c r="S709" s="81">
        <f>(F709*S646+G709*S647)*E709</f>
        <v>0</v>
      </c>
      <c r="T709" s="81">
        <f>(F709*T646+G709*T647)*E709</f>
        <v>0</v>
      </c>
      <c r="U709" s="81">
        <f>(F709*U646+G709*U647)*E709</f>
        <v>0</v>
      </c>
      <c r="V709" s="81">
        <f>(F709*V646+G709*V647)*E709</f>
        <v>0</v>
      </c>
      <c r="W709" s="81">
        <f>(F709*W646+G709*W647)*E709</f>
        <v>0</v>
      </c>
      <c r="X709" s="81">
        <f>(F709*X646+G709*X647)*E709</f>
        <v>0</v>
      </c>
      <c r="Y709" s="81">
        <f>(F709*Y646+G709*Y647)*E709</f>
        <v>0</v>
      </c>
      <c r="Z709" s="81">
        <f>(F709*Z646+G709*Z647)*E709</f>
        <v>0</v>
      </c>
      <c r="AA709" s="81">
        <f>(F709*AA646+G709*AA647)*E709</f>
        <v>0</v>
      </c>
      <c r="AB709" s="81">
        <f>(F709*AB646+G709*AB647)*E709</f>
        <v>0</v>
      </c>
      <c r="AC709" s="81">
        <f>(F709*AC646+G709*AC647)*E709</f>
        <v>0</v>
      </c>
      <c r="AD709" s="81">
        <f>(F709*AD646+G709*AD647)*E709</f>
        <v>0</v>
      </c>
      <c r="AE709" s="81">
        <f>(F709*AE646+G709*AE647)*E709</f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1453</v>
      </c>
      <c r="E710" s="72">
        <f t="shared" si="274"/>
        <v>1.4999999999999999E-2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>(F710*L646+G710*L647)*E710</f>
        <v>0</v>
      </c>
      <c r="M710" s="81">
        <f>(F710*M646+G710*M647)*E710</f>
        <v>0</v>
      </c>
      <c r="N710" s="81">
        <f>(F710*N646+G710*N647)*E710</f>
        <v>0</v>
      </c>
      <c r="O710" s="81">
        <f>(F710*O646+G710*O647)*E710</f>
        <v>0</v>
      </c>
      <c r="P710" s="81">
        <f>(F710*P646+G710*P647)*E710</f>
        <v>0</v>
      </c>
      <c r="Q710" s="81">
        <f>(F710*Q646+G710*Q647)*E710</f>
        <v>0</v>
      </c>
      <c r="R710" s="81">
        <f>(F710*R646+G710*R647)*E710</f>
        <v>0</v>
      </c>
      <c r="S710" s="81">
        <f>(F710*S646+G710*S647)*E710</f>
        <v>0</v>
      </c>
      <c r="T710" s="81">
        <f>(F710*T646+G710*T647)*E710</f>
        <v>0</v>
      </c>
      <c r="U710" s="81">
        <f>(F710*U646+G710*U647)*E710</f>
        <v>0</v>
      </c>
      <c r="V710" s="81">
        <f>(F710*V646+G710*V647)*E710</f>
        <v>0</v>
      </c>
      <c r="W710" s="81">
        <f>(F710*W646+G710*W647)*E710</f>
        <v>0</v>
      </c>
      <c r="X710" s="81">
        <f>(F710*X646+G710*X647)*E710</f>
        <v>0</v>
      </c>
      <c r="Y710" s="81">
        <f>(F710*Y646+G710*Y647)*E710</f>
        <v>0</v>
      </c>
      <c r="Z710" s="81">
        <f>(F710*Z646+G710*Z647)*E710</f>
        <v>0</v>
      </c>
      <c r="AA710" s="81">
        <f>(F710*AA646+G710*AA647)*E710</f>
        <v>0</v>
      </c>
      <c r="AB710" s="81">
        <f>(F710*AB646+G710*AB647)*E710</f>
        <v>0</v>
      </c>
      <c r="AC710" s="81">
        <f>(F710*AC646+G710*AC647)*E710</f>
        <v>0</v>
      </c>
      <c r="AD710" s="81">
        <f>(F710*AD646+G710*AD647)*E710</f>
        <v>0</v>
      </c>
      <c r="AE710" s="81">
        <f>(F710*AE646+G710*AE647)*E710</f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1456</v>
      </c>
      <c r="E711" s="72">
        <f t="shared" si="274"/>
        <v>0.25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>(F711*L646+G711*L647)*E711</f>
        <v>0</v>
      </c>
      <c r="M711" s="81">
        <f>(F711*M646+G711*M647)*E711</f>
        <v>0</v>
      </c>
      <c r="N711" s="81">
        <f>(F711*N646+G711*N647)*E711</f>
        <v>0</v>
      </c>
      <c r="O711" s="81">
        <f>(F711*O646+G711*O647)*E711</f>
        <v>0</v>
      </c>
      <c r="P711" s="81">
        <f>(F711*P646+G711*P647)*E711</f>
        <v>0</v>
      </c>
      <c r="Q711" s="81">
        <f>(F711*Q646+G711*Q647)*E711</f>
        <v>0</v>
      </c>
      <c r="R711" s="81">
        <f>(F711*R646+G711*R647)*E711</f>
        <v>0</v>
      </c>
      <c r="S711" s="81">
        <f>(F711*S646+G711*S647)*E711</f>
        <v>0</v>
      </c>
      <c r="T711" s="81">
        <f>(F711*T646+G711*T647)*E711</f>
        <v>0</v>
      </c>
      <c r="U711" s="81">
        <f>(F711*U646+G711*U647)*E711</f>
        <v>0</v>
      </c>
      <c r="V711" s="81">
        <f>(F711*V646+G711*V647)*E711</f>
        <v>0</v>
      </c>
      <c r="W711" s="81">
        <f>(F711*W646+G711*W647)*E711</f>
        <v>0</v>
      </c>
      <c r="X711" s="81">
        <f>(F711*X646+G711*X647)*E711</f>
        <v>0</v>
      </c>
      <c r="Y711" s="81">
        <f>(F711*Y646+G711*Y647)*E711</f>
        <v>0</v>
      </c>
      <c r="Z711" s="81">
        <f>(F711*Z646+G711*Z647)*E711</f>
        <v>0</v>
      </c>
      <c r="AA711" s="81">
        <f>(F711*AA646+G711*AA647)*E711</f>
        <v>0</v>
      </c>
      <c r="AB711" s="81">
        <f>(F711*AB646+G711*AB647)*E711</f>
        <v>0</v>
      </c>
      <c r="AC711" s="81">
        <f>(F711*AC646+G711*AC647)*E711</f>
        <v>0</v>
      </c>
      <c r="AD711" s="81">
        <f>(F711*AD646+G711*AD647)*E711</f>
        <v>0</v>
      </c>
      <c r="AE711" s="81">
        <f>(F711*AE646+G711*AE647)*E711</f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1459</v>
      </c>
      <c r="E712" s="72">
        <f t="shared" si="274"/>
        <v>0.52600000000000002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>(F712*L646+G712*L647)*E712</f>
        <v>0</v>
      </c>
      <c r="M712" s="81">
        <f>(F712*M646+G712*M647)*E712</f>
        <v>0</v>
      </c>
      <c r="N712" s="81">
        <f>(F712*N646+G712*N647)*E712</f>
        <v>0</v>
      </c>
      <c r="O712" s="81">
        <f>(F712*O646+G712*O647)*E712</f>
        <v>0</v>
      </c>
      <c r="P712" s="81">
        <f>(F712*P646+G712*P647)*E712</f>
        <v>0</v>
      </c>
      <c r="Q712" s="81">
        <f>(F712*Q646+G712*Q647)*E712</f>
        <v>0</v>
      </c>
      <c r="R712" s="81">
        <f>(F712*R646+G712*R647)*E712</f>
        <v>0</v>
      </c>
      <c r="S712" s="81">
        <f>(F712*S646+G712*S647)*E712</f>
        <v>0</v>
      </c>
      <c r="T712" s="81">
        <f>(F712*T646+G712*T647)*E712</f>
        <v>0</v>
      </c>
      <c r="U712" s="81">
        <f>(F712*U646+G712*U647)*E712</f>
        <v>0</v>
      </c>
      <c r="V712" s="81">
        <f>(F712*V646+G712*V647)*E712</f>
        <v>0</v>
      </c>
      <c r="W712" s="81">
        <f>(F712*W646+G712*W647)*E712</f>
        <v>0</v>
      </c>
      <c r="X712" s="81">
        <f>(F712*X646+G712*X647)*E712</f>
        <v>0</v>
      </c>
      <c r="Y712" s="81">
        <f>(F712*Y646+G712*Y647)*E712</f>
        <v>0</v>
      </c>
      <c r="Z712" s="81">
        <f>(F712*Z646+G712*Z647)*E712</f>
        <v>0</v>
      </c>
      <c r="AA712" s="81">
        <f>(F712*AA646+G712*AA647)*E712</f>
        <v>0</v>
      </c>
      <c r="AB712" s="81">
        <f>(F712*AB646+G712*AB647)*E712</f>
        <v>0</v>
      </c>
      <c r="AC712" s="81">
        <f>(F712*AC646+G712*AC647)*E712</f>
        <v>0</v>
      </c>
      <c r="AD712" s="81">
        <f>(F712*AD646+G712*AD647)*E712</f>
        <v>0</v>
      </c>
      <c r="AE712" s="81">
        <f>(F712*AE646+G712*AE647)*E712</f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1462</v>
      </c>
      <c r="E713" s="72">
        <f t="shared" si="274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>(F713*L646+G713*L647)*E713</f>
        <v>0</v>
      </c>
      <c r="M713" s="81">
        <f>(F713*M646+G713*M647)*E713</f>
        <v>0</v>
      </c>
      <c r="N713" s="81">
        <f>(F713*N646+G713*N647)*E713</f>
        <v>0</v>
      </c>
      <c r="O713" s="81">
        <f>(F713*O646+G713*O647)*E713</f>
        <v>0</v>
      </c>
      <c r="P713" s="81">
        <f>(F713*P646+G713*P647)*E713</f>
        <v>0</v>
      </c>
      <c r="Q713" s="81">
        <f>(F713*Q646+G713*Q647)*E713</f>
        <v>0</v>
      </c>
      <c r="R713" s="81">
        <f>(F713*R646+G713*R647)*E713</f>
        <v>0</v>
      </c>
      <c r="S713" s="81">
        <f>(F713*S646+G713*S647)*E713</f>
        <v>0</v>
      </c>
      <c r="T713" s="81">
        <f>(F713*T646+G713*T647)*E713</f>
        <v>0</v>
      </c>
      <c r="U713" s="81">
        <f>(F713*U646+G713*U647)*E713</f>
        <v>0</v>
      </c>
      <c r="V713" s="81">
        <f>(F713*V646+G713*V647)*E713</f>
        <v>0</v>
      </c>
      <c r="W713" s="81">
        <f>(F713*W646+G713*W647)*E713</f>
        <v>0</v>
      </c>
      <c r="X713" s="81">
        <f>(F713*X646+G713*X647)*E713</f>
        <v>0</v>
      </c>
      <c r="Y713" s="81">
        <f>(F713*Y646+G713*Y647)*E713</f>
        <v>0</v>
      </c>
      <c r="Z713" s="81">
        <f>(F713*Z646+G713*Z647)*E713</f>
        <v>0</v>
      </c>
      <c r="AA713" s="81">
        <f>(F713*AA646+G713*AA647)*E713</f>
        <v>0</v>
      </c>
      <c r="AB713" s="81">
        <f>(F713*AB646+G713*AB647)*E713</f>
        <v>0</v>
      </c>
      <c r="AC713" s="81">
        <f>(F713*AC646+G713*AC647)*E713</f>
        <v>0</v>
      </c>
      <c r="AD713" s="81">
        <f>(F713*AD646+G713*AD647)*E713</f>
        <v>0</v>
      </c>
      <c r="AE713" s="81">
        <f>(F713*AE646+G713*AE647)*E713</f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1465</v>
      </c>
      <c r="E714" s="72">
        <f t="shared" si="274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>(F714*L646+G714*L647)*E714</f>
        <v>0</v>
      </c>
      <c r="M714" s="81">
        <f>(F714*M646+G714*M647)*E714</f>
        <v>0</v>
      </c>
      <c r="N714" s="81">
        <f>(F714*N646+G714*N647)*E714</f>
        <v>0</v>
      </c>
      <c r="O714" s="81">
        <f>(F714*O646+G714*O647)*E714</f>
        <v>0</v>
      </c>
      <c r="P714" s="81">
        <f>(F714*P646+G714*P647)*E714</f>
        <v>0</v>
      </c>
      <c r="Q714" s="81">
        <f>(F714*Q646+G714*Q647)*E714</f>
        <v>0</v>
      </c>
      <c r="R714" s="81">
        <f>(F714*R646+G714*R647)*E714</f>
        <v>0</v>
      </c>
      <c r="S714" s="81">
        <f>(F714*S646+G714*S647)*E714</f>
        <v>0</v>
      </c>
      <c r="T714" s="81">
        <f>(F714*T646+G714*T647)*E714</f>
        <v>0</v>
      </c>
      <c r="U714" s="81">
        <f>(F714*U646+G714*U647)*E714</f>
        <v>0</v>
      </c>
      <c r="V714" s="81">
        <f>(F714*V646+G714*V647)*E714</f>
        <v>0</v>
      </c>
      <c r="W714" s="81">
        <f>(F714*W646+G714*W647)*E714</f>
        <v>0</v>
      </c>
      <c r="X714" s="81">
        <f>(F714*X646+G714*X647)*E714</f>
        <v>0</v>
      </c>
      <c r="Y714" s="81">
        <f>(F714*Y646+G714*Y647)*E714</f>
        <v>0</v>
      </c>
      <c r="Z714" s="81">
        <f>(F714*Z646+G714*Z647)*E714</f>
        <v>0</v>
      </c>
      <c r="AA714" s="81">
        <f>(F714*AA646+G714*AA647)*E714</f>
        <v>0</v>
      </c>
      <c r="AB714" s="81">
        <f>(F714*AB646+G714*AB647)*E714</f>
        <v>0</v>
      </c>
      <c r="AC714" s="81">
        <f>(F714*AC646+G714*AC647)*E714</f>
        <v>0</v>
      </c>
      <c r="AD714" s="81">
        <f>(F714*AD646+G714*AD647)*E714</f>
        <v>0</v>
      </c>
      <c r="AE714" s="81">
        <f>(F714*AE646+G714*AE647)*E714</f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1468</v>
      </c>
      <c r="E715" s="72">
        <f t="shared" si="274"/>
        <v>0.97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>(F715*L646+G715*L647)*E715</f>
        <v>0</v>
      </c>
      <c r="M715" s="81">
        <f>(F715*M646+G715*M647)*E715</f>
        <v>0</v>
      </c>
      <c r="N715" s="81">
        <f>(F715*N646+G715*N647)*E715</f>
        <v>0</v>
      </c>
      <c r="O715" s="81">
        <f>(F715*O646+G715*O647)*E715</f>
        <v>0</v>
      </c>
      <c r="P715" s="81">
        <f>(F715*P646+G715*P647)*E715</f>
        <v>0</v>
      </c>
      <c r="Q715" s="81">
        <f>(F715*Q646+G715*Q647)*E715</f>
        <v>0</v>
      </c>
      <c r="R715" s="81">
        <f>(F715*R646+G715*R647)*E715</f>
        <v>0</v>
      </c>
      <c r="S715" s="81">
        <f>(F715*S646+G715*S647)*E715</f>
        <v>0</v>
      </c>
      <c r="T715" s="81">
        <f>(F715*T646+G715*T647)*E715</f>
        <v>0</v>
      </c>
      <c r="U715" s="81">
        <f>(F715*U646+G715*U647)*E715</f>
        <v>0</v>
      </c>
      <c r="V715" s="81">
        <f>(F715*V646+G715*V647)*E715</f>
        <v>0</v>
      </c>
      <c r="W715" s="81">
        <f>(F715*W646+G715*W647)*E715</f>
        <v>0</v>
      </c>
      <c r="X715" s="81">
        <f>(F715*X646+G715*X647)*E715</f>
        <v>0</v>
      </c>
      <c r="Y715" s="81">
        <f>(F715*Y646+G715*Y647)*E715</f>
        <v>0</v>
      </c>
      <c r="Z715" s="81">
        <f>(F715*Z646+G715*Z647)*E715</f>
        <v>0</v>
      </c>
      <c r="AA715" s="81">
        <f>(F715*AA646+G715*AA647)*E715</f>
        <v>0</v>
      </c>
      <c r="AB715" s="81">
        <f>(F715*AB646+G715*AB647)*E715</f>
        <v>0</v>
      </c>
      <c r="AC715" s="81">
        <f>(F715*AC646+G715*AC647)*E715</f>
        <v>0</v>
      </c>
      <c r="AD715" s="81">
        <f>(F715*AD646+G715*AD647)*E715</f>
        <v>0</v>
      </c>
      <c r="AE715" s="81">
        <f>(F715*AE646+G715*AE647)*E715</f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1471</v>
      </c>
      <c r="E716" s="72">
        <f t="shared" si="274"/>
        <v>2.35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>(F716*L646+G716*L647)*E716</f>
        <v>0</v>
      </c>
      <c r="M716" s="81">
        <f>(F716*M646+G716*M647)*E716</f>
        <v>0</v>
      </c>
      <c r="N716" s="81">
        <f>(F716*N646+G716*N647)*E716</f>
        <v>0</v>
      </c>
      <c r="O716" s="81">
        <f>(F716*O646+G716*O647)*E716</f>
        <v>0</v>
      </c>
      <c r="P716" s="81">
        <f>(F716*P646+G716*P647)*E716</f>
        <v>0</v>
      </c>
      <c r="Q716" s="81">
        <f>(F716*Q646+G716*Q647)*E716</f>
        <v>0</v>
      </c>
      <c r="R716" s="81">
        <f>(F716*R646+G716*R647)*E716</f>
        <v>0</v>
      </c>
      <c r="S716" s="81">
        <f>(F716*S646+G716*S647)*E716</f>
        <v>0</v>
      </c>
      <c r="T716" s="81">
        <f>(F716*T646+G716*T647)*E716</f>
        <v>0</v>
      </c>
      <c r="U716" s="81">
        <f>(F716*U646+G716*U647)*E716</f>
        <v>0</v>
      </c>
      <c r="V716" s="81">
        <f>(F716*V646+G716*V647)*E716</f>
        <v>0</v>
      </c>
      <c r="W716" s="81">
        <f>(F716*W646+G716*W647)*E716</f>
        <v>0</v>
      </c>
      <c r="X716" s="81">
        <f>(F716*X646+G716*X647)*E716</f>
        <v>0</v>
      </c>
      <c r="Y716" s="81">
        <f>(F716*Y646+G716*Y647)*E716</f>
        <v>0</v>
      </c>
      <c r="Z716" s="81">
        <f>(F716*Z646+G716*Z647)*E716</f>
        <v>0</v>
      </c>
      <c r="AA716" s="81">
        <f>(F716*AA646+G716*AA647)*E716</f>
        <v>0</v>
      </c>
      <c r="AB716" s="81">
        <f>(F716*AB646+G716*AB647)*E716</f>
        <v>0</v>
      </c>
      <c r="AC716" s="81">
        <f>(F716*AC646+G716*AC647)*E716</f>
        <v>0</v>
      </c>
      <c r="AD716" s="81">
        <f>(F716*AD646+G716*AD647)*E716</f>
        <v>0</v>
      </c>
      <c r="AE716" s="81">
        <f>(F716*AE646+G716*AE647)*E716</f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52"/>
      <c r="E717" s="70"/>
      <c r="F717" s="70"/>
      <c r="G717" s="70"/>
      <c r="H717" s="70"/>
      <c r="I717" s="70"/>
      <c r="J717" s="70"/>
      <c r="K717" s="72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</row>
    <row r="718" spans="1:35" x14ac:dyDescent="0.45">
      <c r="A718" s="70"/>
      <c r="B718" s="52"/>
      <c r="C718" s="73" t="s">
        <v>1480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276">L708</f>
        <v>2022</v>
      </c>
      <c r="M718" s="74">
        <f t="shared" si="276"/>
        <v>2023</v>
      </c>
      <c r="N718" s="74">
        <f t="shared" si="276"/>
        <v>2024</v>
      </c>
      <c r="O718" s="74">
        <f t="shared" si="276"/>
        <v>2025</v>
      </c>
      <c r="P718" s="74">
        <f t="shared" si="276"/>
        <v>2026</v>
      </c>
      <c r="Q718" s="74">
        <f t="shared" si="276"/>
        <v>2027</v>
      </c>
      <c r="R718" s="74">
        <f t="shared" si="276"/>
        <v>2028</v>
      </c>
      <c r="S718" s="74">
        <f t="shared" si="276"/>
        <v>2029</v>
      </c>
      <c r="T718" s="74">
        <f t="shared" si="276"/>
        <v>2030</v>
      </c>
      <c r="U718" s="74">
        <f t="shared" si="276"/>
        <v>2031</v>
      </c>
      <c r="V718" s="74">
        <f t="shared" si="276"/>
        <v>2032</v>
      </c>
      <c r="W718" s="74">
        <f t="shared" si="276"/>
        <v>2033</v>
      </c>
      <c r="X718" s="74">
        <f t="shared" si="276"/>
        <v>2034</v>
      </c>
      <c r="Y718" s="74">
        <f t="shared" si="276"/>
        <v>2035</v>
      </c>
      <c r="Z718" s="74">
        <f t="shared" si="276"/>
        <v>2036</v>
      </c>
      <c r="AA718" s="74">
        <f t="shared" si="276"/>
        <v>2037</v>
      </c>
      <c r="AB718" s="74">
        <f t="shared" si="276"/>
        <v>2038</v>
      </c>
      <c r="AC718" s="74">
        <f t="shared" si="276"/>
        <v>2039</v>
      </c>
      <c r="AD718" s="74">
        <f t="shared" si="276"/>
        <v>2040</v>
      </c>
      <c r="AE718" s="74">
        <f t="shared" si="276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1450</v>
      </c>
      <c r="E719" s="70"/>
      <c r="F719" s="70"/>
      <c r="G719" s="70"/>
      <c r="H719" s="70"/>
      <c r="I719" s="70"/>
      <c r="J719" s="70"/>
      <c r="K719" s="72"/>
      <c r="L719" s="78">
        <f t="shared" ref="L719:AE719" si="277">(L709+L698)/L687</f>
        <v>0</v>
      </c>
      <c r="M719" s="78">
        <f t="shared" si="277"/>
        <v>0</v>
      </c>
      <c r="N719" s="78">
        <f t="shared" si="277"/>
        <v>0</v>
      </c>
      <c r="O719" s="78">
        <f t="shared" si="277"/>
        <v>0</v>
      </c>
      <c r="P719" s="78">
        <f t="shared" si="277"/>
        <v>0</v>
      </c>
      <c r="Q719" s="78">
        <f t="shared" si="277"/>
        <v>1.15005E-2</v>
      </c>
      <c r="R719" s="78">
        <f t="shared" si="277"/>
        <v>2.3001000000000001E-2</v>
      </c>
      <c r="S719" s="78">
        <f t="shared" si="277"/>
        <v>3.4501500000000004E-2</v>
      </c>
      <c r="T719" s="78">
        <f t="shared" si="277"/>
        <v>4.6002000000000001E-2</v>
      </c>
      <c r="U719" s="78">
        <f t="shared" si="277"/>
        <v>5.7502500000000005E-2</v>
      </c>
      <c r="V719" s="78">
        <f t="shared" si="277"/>
        <v>6.9003000000000009E-2</v>
      </c>
      <c r="W719" s="78">
        <f t="shared" si="277"/>
        <v>8.0503500000000006E-2</v>
      </c>
      <c r="X719" s="78">
        <f t="shared" si="277"/>
        <v>9.2004000000000002E-2</v>
      </c>
      <c r="Y719" s="78">
        <f t="shared" si="277"/>
        <v>0.10350450000000001</v>
      </c>
      <c r="Z719" s="78">
        <f t="shared" si="277"/>
        <v>0.11500500000000001</v>
      </c>
      <c r="AA719" s="78">
        <f t="shared" si="277"/>
        <v>0.12650549999999999</v>
      </c>
      <c r="AB719" s="78">
        <f t="shared" si="277"/>
        <v>0.13800600000000002</v>
      </c>
      <c r="AC719" s="78">
        <f t="shared" si="277"/>
        <v>0.14950649999999999</v>
      </c>
      <c r="AD719" s="78">
        <f t="shared" si="277"/>
        <v>0.16100700000000001</v>
      </c>
      <c r="AE719" s="78">
        <f t="shared" si="277"/>
        <v>0.17250750000000001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1453</v>
      </c>
      <c r="E720" s="70"/>
      <c r="F720" s="70"/>
      <c r="G720" s="70"/>
      <c r="H720" s="70"/>
      <c r="I720" s="70"/>
      <c r="J720" s="70"/>
      <c r="K720" s="72"/>
      <c r="L720" s="78">
        <f t="shared" ref="L720:AE720" si="278">(L710+L699)/L688</f>
        <v>0</v>
      </c>
      <c r="M720" s="78">
        <f t="shared" si="278"/>
        <v>0</v>
      </c>
      <c r="N720" s="78">
        <f t="shared" si="278"/>
        <v>0</v>
      </c>
      <c r="O720" s="78">
        <f t="shared" si="278"/>
        <v>0</v>
      </c>
      <c r="P720" s="78">
        <f t="shared" si="278"/>
        <v>0</v>
      </c>
      <c r="Q720" s="78">
        <f t="shared" si="278"/>
        <v>2.5781250000000006E-3</v>
      </c>
      <c r="R720" s="78">
        <f t="shared" si="278"/>
        <v>5.1562500000000011E-3</v>
      </c>
      <c r="S720" s="78">
        <f t="shared" si="278"/>
        <v>7.7343750000000008E-3</v>
      </c>
      <c r="T720" s="78">
        <f t="shared" si="278"/>
        <v>1.0312500000000002E-2</v>
      </c>
      <c r="U720" s="78">
        <f t="shared" si="278"/>
        <v>1.2890624999999999E-2</v>
      </c>
      <c r="V720" s="78">
        <f t="shared" si="278"/>
        <v>1.5468750000000002E-2</v>
      </c>
      <c r="W720" s="78">
        <f t="shared" si="278"/>
        <v>1.8046875E-2</v>
      </c>
      <c r="X720" s="78">
        <f t="shared" si="278"/>
        <v>2.0625000000000004E-2</v>
      </c>
      <c r="Y720" s="78">
        <f t="shared" si="278"/>
        <v>2.3203125000000002E-2</v>
      </c>
      <c r="Z720" s="78">
        <f t="shared" si="278"/>
        <v>2.5781249999999999E-2</v>
      </c>
      <c r="AA720" s="78">
        <f t="shared" si="278"/>
        <v>2.8359375000000003E-2</v>
      </c>
      <c r="AB720" s="78">
        <f t="shared" si="278"/>
        <v>3.0937500000000003E-2</v>
      </c>
      <c r="AC720" s="78">
        <f t="shared" si="278"/>
        <v>3.3515625E-2</v>
      </c>
      <c r="AD720" s="78">
        <f t="shared" si="278"/>
        <v>3.6093750000000001E-2</v>
      </c>
      <c r="AE720" s="78">
        <f t="shared" si="278"/>
        <v>3.8671875000000008E-2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1456</v>
      </c>
      <c r="E721" s="70"/>
      <c r="F721" s="70"/>
      <c r="G721" s="70"/>
      <c r="H721" s="70"/>
      <c r="I721" s="70"/>
      <c r="J721" s="70"/>
      <c r="K721" s="72"/>
      <c r="L721" s="78">
        <f t="shared" ref="L721:AE721" si="279">(L711+L700)/L689</f>
        <v>0</v>
      </c>
      <c r="M721" s="78">
        <f t="shared" si="279"/>
        <v>0</v>
      </c>
      <c r="N721" s="78">
        <f t="shared" si="279"/>
        <v>0</v>
      </c>
      <c r="O721" s="78">
        <f t="shared" si="279"/>
        <v>0</v>
      </c>
      <c r="P721" s="78">
        <f t="shared" si="279"/>
        <v>0</v>
      </c>
      <c r="Q721" s="78">
        <f t="shared" si="279"/>
        <v>3.8750000000000007E-2</v>
      </c>
      <c r="R721" s="78">
        <f t="shared" si="279"/>
        <v>7.7500000000000013E-2</v>
      </c>
      <c r="S721" s="78">
        <f t="shared" si="279"/>
        <v>0.11625000000000001</v>
      </c>
      <c r="T721" s="78">
        <f t="shared" si="279"/>
        <v>0.15500000000000003</v>
      </c>
      <c r="U721" s="78">
        <f t="shared" si="279"/>
        <v>0.19375000000000003</v>
      </c>
      <c r="V721" s="78">
        <f t="shared" si="279"/>
        <v>0.23250000000000001</v>
      </c>
      <c r="W721" s="78">
        <f t="shared" si="279"/>
        <v>0.27124999999999999</v>
      </c>
      <c r="X721" s="78">
        <f t="shared" si="279"/>
        <v>0.31000000000000005</v>
      </c>
      <c r="Y721" s="78">
        <f t="shared" si="279"/>
        <v>0.34875000000000006</v>
      </c>
      <c r="Z721" s="78">
        <f t="shared" si="279"/>
        <v>0.38750000000000007</v>
      </c>
      <c r="AA721" s="78">
        <f t="shared" si="279"/>
        <v>0.42625000000000007</v>
      </c>
      <c r="AB721" s="78">
        <f t="shared" si="279"/>
        <v>0.46500000000000002</v>
      </c>
      <c r="AC721" s="78">
        <f t="shared" si="279"/>
        <v>0.50375000000000003</v>
      </c>
      <c r="AD721" s="78">
        <f t="shared" si="279"/>
        <v>0.54249999999999998</v>
      </c>
      <c r="AE721" s="78">
        <f t="shared" si="279"/>
        <v>0.58125000000000004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1459</v>
      </c>
      <c r="E722" s="70"/>
      <c r="F722" s="70"/>
      <c r="G722" s="70"/>
      <c r="H722" s="70"/>
      <c r="I722" s="70"/>
      <c r="J722" s="70"/>
      <c r="K722" s="72"/>
      <c r="L722" s="78">
        <f t="shared" ref="L722:AE722" si="280">(L712+L701)/L690</f>
        <v>0</v>
      </c>
      <c r="M722" s="78">
        <f t="shared" si="280"/>
        <v>0</v>
      </c>
      <c r="N722" s="78">
        <f t="shared" si="280"/>
        <v>0</v>
      </c>
      <c r="O722" s="78">
        <f t="shared" si="280"/>
        <v>0</v>
      </c>
      <c r="P722" s="78">
        <f t="shared" si="280"/>
        <v>0</v>
      </c>
      <c r="Q722" s="78">
        <f t="shared" si="280"/>
        <v>3.2761363636363637E-2</v>
      </c>
      <c r="R722" s="78">
        <f t="shared" si="280"/>
        <v>6.5522727272727274E-2</v>
      </c>
      <c r="S722" s="78">
        <f t="shared" si="280"/>
        <v>9.8284090909090904E-2</v>
      </c>
      <c r="T722" s="78">
        <f t="shared" si="280"/>
        <v>0.13104545454545455</v>
      </c>
      <c r="U722" s="78">
        <f t="shared" si="280"/>
        <v>0.16380681818181819</v>
      </c>
      <c r="V722" s="78">
        <f t="shared" si="280"/>
        <v>0.19656818181818181</v>
      </c>
      <c r="W722" s="78">
        <f t="shared" si="280"/>
        <v>0.22932954545454545</v>
      </c>
      <c r="X722" s="78">
        <f t="shared" si="280"/>
        <v>0.2620909090909091</v>
      </c>
      <c r="Y722" s="78">
        <f t="shared" si="280"/>
        <v>0.29485227272727277</v>
      </c>
      <c r="Z722" s="78">
        <f t="shared" si="280"/>
        <v>0.32761363636363638</v>
      </c>
      <c r="AA722" s="78">
        <f t="shared" si="280"/>
        <v>0.360375</v>
      </c>
      <c r="AB722" s="78">
        <f t="shared" si="280"/>
        <v>0.39313636363636362</v>
      </c>
      <c r="AC722" s="78">
        <f t="shared" si="280"/>
        <v>0.42589772727272729</v>
      </c>
      <c r="AD722" s="78">
        <f t="shared" si="280"/>
        <v>0.45865909090909091</v>
      </c>
      <c r="AE722" s="78">
        <f t="shared" si="280"/>
        <v>0.49142045454545452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1462</v>
      </c>
      <c r="E723" s="70"/>
      <c r="F723" s="70"/>
      <c r="G723" s="70"/>
      <c r="H723" s="70"/>
      <c r="I723" s="70"/>
      <c r="J723" s="70"/>
      <c r="K723" s="72"/>
      <c r="L723" s="78">
        <f t="shared" ref="L723:AE723" si="281">(L713+L702)/L691</f>
        <v>0</v>
      </c>
      <c r="M723" s="78">
        <f t="shared" si="281"/>
        <v>0</v>
      </c>
      <c r="N723" s="78">
        <f t="shared" si="281"/>
        <v>0</v>
      </c>
      <c r="O723" s="78">
        <f t="shared" si="281"/>
        <v>0</v>
      </c>
      <c r="P723" s="78">
        <f t="shared" si="281"/>
        <v>0</v>
      </c>
      <c r="Q723" s="78">
        <f t="shared" si="281"/>
        <v>5.1424999999999998E-2</v>
      </c>
      <c r="R723" s="78">
        <f t="shared" si="281"/>
        <v>0.10285</v>
      </c>
      <c r="S723" s="78">
        <f t="shared" si="281"/>
        <v>0.154275</v>
      </c>
      <c r="T723" s="78">
        <f t="shared" si="281"/>
        <v>0.20569999999999999</v>
      </c>
      <c r="U723" s="78">
        <f t="shared" si="281"/>
        <v>0.25712499999999999</v>
      </c>
      <c r="V723" s="78">
        <f t="shared" si="281"/>
        <v>0.30854999999999999</v>
      </c>
      <c r="W723" s="78">
        <f t="shared" si="281"/>
        <v>0.35997499999999993</v>
      </c>
      <c r="X723" s="78">
        <f t="shared" si="281"/>
        <v>0.41139999999999999</v>
      </c>
      <c r="Y723" s="78">
        <f t="shared" si="281"/>
        <v>0.46282499999999993</v>
      </c>
      <c r="Z723" s="78">
        <f t="shared" si="281"/>
        <v>0.51424999999999998</v>
      </c>
      <c r="AA723" s="78">
        <f t="shared" si="281"/>
        <v>0.56567499999999993</v>
      </c>
      <c r="AB723" s="78">
        <f t="shared" si="281"/>
        <v>0.61709999999999998</v>
      </c>
      <c r="AC723" s="78">
        <f t="shared" si="281"/>
        <v>0.66852500000000004</v>
      </c>
      <c r="AD723" s="78">
        <f t="shared" si="281"/>
        <v>0.71994999999999987</v>
      </c>
      <c r="AE723" s="78">
        <f t="shared" si="281"/>
        <v>0.77137499999999992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1465</v>
      </c>
      <c r="E724" s="70"/>
      <c r="F724" s="70"/>
      <c r="G724" s="70"/>
      <c r="H724" s="70"/>
      <c r="I724" s="70"/>
      <c r="J724" s="70"/>
      <c r="K724" s="72"/>
      <c r="L724" s="78">
        <f t="shared" ref="L724:AE724" si="282">(L714+L703)/L692</f>
        <v>0</v>
      </c>
      <c r="M724" s="78">
        <f t="shared" si="282"/>
        <v>0</v>
      </c>
      <c r="N724" s="78">
        <f t="shared" si="282"/>
        <v>0</v>
      </c>
      <c r="O724" s="78">
        <f t="shared" si="282"/>
        <v>0</v>
      </c>
      <c r="P724" s="78">
        <f t="shared" si="282"/>
        <v>0</v>
      </c>
      <c r="Q724" s="78">
        <f t="shared" si="282"/>
        <v>3.6907894736842102E-3</v>
      </c>
      <c r="R724" s="78">
        <f t="shared" si="282"/>
        <v>7.3815789473684204E-3</v>
      </c>
      <c r="S724" s="78">
        <f t="shared" si="282"/>
        <v>1.1072368421052631E-2</v>
      </c>
      <c r="T724" s="78">
        <f t="shared" si="282"/>
        <v>1.4763157894736841E-2</v>
      </c>
      <c r="U724" s="78">
        <f t="shared" si="282"/>
        <v>1.8453947368421052E-2</v>
      </c>
      <c r="V724" s="78">
        <f t="shared" si="282"/>
        <v>2.2144736842105262E-2</v>
      </c>
      <c r="W724" s="78">
        <f t="shared" si="282"/>
        <v>2.5835526315789472E-2</v>
      </c>
      <c r="X724" s="78">
        <f t="shared" si="282"/>
        <v>2.9526315789473682E-2</v>
      </c>
      <c r="Y724" s="78">
        <f t="shared" si="282"/>
        <v>3.3217105263157888E-2</v>
      </c>
      <c r="Z724" s="78">
        <f t="shared" si="282"/>
        <v>3.6907894736842105E-2</v>
      </c>
      <c r="AA724" s="78">
        <f t="shared" si="282"/>
        <v>4.0598684210526315E-2</v>
      </c>
      <c r="AB724" s="78">
        <f t="shared" si="282"/>
        <v>4.4289473684210524E-2</v>
      </c>
      <c r="AC724" s="78">
        <f t="shared" si="282"/>
        <v>4.7980263157894734E-2</v>
      </c>
      <c r="AD724" s="78">
        <f t="shared" si="282"/>
        <v>5.1671052631578944E-2</v>
      </c>
      <c r="AE724" s="78">
        <f t="shared" si="282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1468</v>
      </c>
      <c r="E725" s="70"/>
      <c r="F725" s="70"/>
      <c r="G725" s="70"/>
      <c r="H725" s="70"/>
      <c r="I725" s="70"/>
      <c r="J725" s="70"/>
      <c r="K725" s="72"/>
      <c r="L725" s="78">
        <f t="shared" ref="L725:AE725" si="283">(L715+L704)/L693</f>
        <v>0</v>
      </c>
      <c r="M725" s="78">
        <f t="shared" si="283"/>
        <v>0</v>
      </c>
      <c r="N725" s="78">
        <f t="shared" si="283"/>
        <v>0</v>
      </c>
      <c r="O725" s="78">
        <f t="shared" si="283"/>
        <v>0</v>
      </c>
      <c r="P725" s="78">
        <f t="shared" si="283"/>
        <v>0</v>
      </c>
      <c r="Q725" s="78">
        <f t="shared" si="283"/>
        <v>4.3828124999999996E-3</v>
      </c>
      <c r="R725" s="78">
        <f t="shared" si="283"/>
        <v>8.7656249999999991E-3</v>
      </c>
      <c r="S725" s="78">
        <f t="shared" si="283"/>
        <v>1.3148437499999999E-2</v>
      </c>
      <c r="T725" s="78">
        <f t="shared" si="283"/>
        <v>1.7531249999999998E-2</v>
      </c>
      <c r="U725" s="78">
        <f t="shared" si="283"/>
        <v>2.1914062499999998E-2</v>
      </c>
      <c r="V725" s="78">
        <f t="shared" si="283"/>
        <v>2.6296874999999997E-2</v>
      </c>
      <c r="W725" s="78">
        <f t="shared" si="283"/>
        <v>3.0679687499999997E-2</v>
      </c>
      <c r="X725" s="78">
        <f t="shared" si="283"/>
        <v>3.5062499999999996E-2</v>
      </c>
      <c r="Y725" s="78">
        <f t="shared" si="283"/>
        <v>3.9445312499999996E-2</v>
      </c>
      <c r="Z725" s="78">
        <f t="shared" si="283"/>
        <v>4.3828124999999996E-2</v>
      </c>
      <c r="AA725" s="78">
        <f t="shared" si="283"/>
        <v>4.8210937499999995E-2</v>
      </c>
      <c r="AB725" s="78">
        <f t="shared" si="283"/>
        <v>5.2593749999999995E-2</v>
      </c>
      <c r="AC725" s="78">
        <f t="shared" si="283"/>
        <v>5.6976562499999994E-2</v>
      </c>
      <c r="AD725" s="78">
        <f t="shared" si="283"/>
        <v>6.1359374999999994E-2</v>
      </c>
      <c r="AE725" s="78">
        <f t="shared" si="283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1471</v>
      </c>
      <c r="E726" s="70"/>
      <c r="F726" s="70"/>
      <c r="G726" s="70"/>
      <c r="H726" s="70"/>
      <c r="I726" s="70"/>
      <c r="J726" s="70"/>
      <c r="K726" s="72"/>
      <c r="L726" s="78">
        <f t="shared" ref="L726:AE726" si="284">(L716+L705)/L694</f>
        <v>0</v>
      </c>
      <c r="M726" s="78">
        <f t="shared" si="284"/>
        <v>0</v>
      </c>
      <c r="N726" s="78">
        <f t="shared" si="284"/>
        <v>0</v>
      </c>
      <c r="O726" s="78">
        <f t="shared" si="284"/>
        <v>0</v>
      </c>
      <c r="P726" s="78">
        <f t="shared" si="284"/>
        <v>0</v>
      </c>
      <c r="Q726" s="78">
        <f t="shared" si="284"/>
        <v>8.1249999999999996E-4</v>
      </c>
      <c r="R726" s="78">
        <f t="shared" si="284"/>
        <v>1.6249999999999999E-3</v>
      </c>
      <c r="S726" s="78">
        <f t="shared" si="284"/>
        <v>2.4375E-3</v>
      </c>
      <c r="T726" s="78">
        <f t="shared" si="284"/>
        <v>3.2499999999999999E-3</v>
      </c>
      <c r="U726" s="78">
        <f t="shared" si="284"/>
        <v>4.0625000000000001E-3</v>
      </c>
      <c r="V726" s="78">
        <f t="shared" si="284"/>
        <v>4.875E-3</v>
      </c>
      <c r="W726" s="78">
        <f t="shared" si="284"/>
        <v>5.6874999999999998E-3</v>
      </c>
      <c r="X726" s="78">
        <f t="shared" si="284"/>
        <v>6.4999999999999997E-3</v>
      </c>
      <c r="Y726" s="78">
        <f t="shared" si="284"/>
        <v>7.3125000000000004E-3</v>
      </c>
      <c r="Z726" s="78">
        <f t="shared" si="284"/>
        <v>8.1250000000000003E-3</v>
      </c>
      <c r="AA726" s="78">
        <f t="shared" si="284"/>
        <v>8.9374999999999993E-3</v>
      </c>
      <c r="AB726" s="78">
        <f t="shared" si="284"/>
        <v>9.75E-3</v>
      </c>
      <c r="AC726" s="78">
        <f t="shared" si="284"/>
        <v>1.0562500000000001E-2</v>
      </c>
      <c r="AD726" s="78">
        <f t="shared" si="284"/>
        <v>1.1375E-2</v>
      </c>
      <c r="AE726" s="78">
        <f t="shared" si="284"/>
        <v>1.21875E-2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52"/>
      <c r="E727" s="70"/>
      <c r="F727" s="70"/>
      <c r="G727" s="70"/>
      <c r="H727" s="70"/>
      <c r="I727" s="70"/>
      <c r="J727" s="70"/>
      <c r="K727" s="72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</row>
    <row r="728" spans="1:35" x14ac:dyDescent="0.45">
      <c r="A728" s="71"/>
      <c r="B728" s="52"/>
      <c r="C728" s="73" t="s">
        <v>1481</v>
      </c>
      <c r="D728" s="73"/>
      <c r="E728" s="70"/>
      <c r="F728" s="72" t="s">
        <v>1482</v>
      </c>
      <c r="G728" s="72" t="s">
        <v>1483</v>
      </c>
      <c r="H728" s="72" t="s">
        <v>1484</v>
      </c>
      <c r="I728" s="72"/>
      <c r="J728" s="72"/>
      <c r="K728" s="72"/>
      <c r="L728" s="74">
        <f t="shared" ref="L728:AE728" si="285">L739</f>
        <v>2022</v>
      </c>
      <c r="M728" s="74">
        <f t="shared" si="285"/>
        <v>2023</v>
      </c>
      <c r="N728" s="74">
        <f t="shared" si="285"/>
        <v>2024</v>
      </c>
      <c r="O728" s="74">
        <f t="shared" si="285"/>
        <v>2025</v>
      </c>
      <c r="P728" s="74">
        <f t="shared" si="285"/>
        <v>2026</v>
      </c>
      <c r="Q728" s="74">
        <f t="shared" si="285"/>
        <v>2027</v>
      </c>
      <c r="R728" s="74">
        <f t="shared" si="285"/>
        <v>2028</v>
      </c>
      <c r="S728" s="74">
        <f t="shared" si="285"/>
        <v>2029</v>
      </c>
      <c r="T728" s="74">
        <f t="shared" si="285"/>
        <v>2030</v>
      </c>
      <c r="U728" s="74">
        <f t="shared" si="285"/>
        <v>2031</v>
      </c>
      <c r="V728" s="74">
        <f t="shared" si="285"/>
        <v>2032</v>
      </c>
      <c r="W728" s="74">
        <f t="shared" si="285"/>
        <v>2033</v>
      </c>
      <c r="X728" s="74">
        <f t="shared" si="285"/>
        <v>2034</v>
      </c>
      <c r="Y728" s="74">
        <f t="shared" si="285"/>
        <v>2035</v>
      </c>
      <c r="Z728" s="74">
        <f t="shared" si="285"/>
        <v>2036</v>
      </c>
      <c r="AA728" s="74">
        <f t="shared" si="285"/>
        <v>2037</v>
      </c>
      <c r="AB728" s="74">
        <f t="shared" si="285"/>
        <v>2038</v>
      </c>
      <c r="AC728" s="74">
        <f t="shared" si="285"/>
        <v>2039</v>
      </c>
      <c r="AD728" s="74">
        <f t="shared" si="285"/>
        <v>2040</v>
      </c>
      <c r="AE728" s="74">
        <f t="shared" si="285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1485</v>
      </c>
      <c r="F729" s="72">
        <f t="shared" ref="F729:F736" si="286">H663+I663</f>
        <v>0.69003000000000003</v>
      </c>
      <c r="G729" s="72">
        <f t="shared" ref="G729:G736" si="287">MAX(J663+K663,0)</f>
        <v>0.04</v>
      </c>
      <c r="H729" s="72">
        <f t="shared" ref="H729:H736" si="288">G729/F729</f>
        <v>5.7968494123443903E-2</v>
      </c>
      <c r="I729" s="70"/>
      <c r="J729" s="70"/>
      <c r="K729" s="72"/>
      <c r="L729" s="72">
        <f t="shared" ref="L729:AE729" si="289">L675*$F729/1000</f>
        <v>3.2287703131193024</v>
      </c>
      <c r="M729" s="72">
        <f t="shared" si="289"/>
        <v>3.3708362068965516</v>
      </c>
      <c r="N729" s="72">
        <f t="shared" si="289"/>
        <v>3.5191530000000002</v>
      </c>
      <c r="O729" s="72">
        <f t="shared" si="289"/>
        <v>3.6739957320000007</v>
      </c>
      <c r="P729" s="72">
        <f t="shared" si="289"/>
        <v>3.8356515442080008</v>
      </c>
      <c r="Q729" s="72">
        <f t="shared" si="289"/>
        <v>4.0044202121531534</v>
      </c>
      <c r="R729" s="72">
        <f t="shared" si="289"/>
        <v>4.1806147014878912</v>
      </c>
      <c r="S729" s="72">
        <f t="shared" si="289"/>
        <v>4.3645617483533599</v>
      </c>
      <c r="T729" s="72">
        <f t="shared" si="289"/>
        <v>4.556602465280907</v>
      </c>
      <c r="U729" s="72">
        <f t="shared" si="289"/>
        <v>4.7570929737532675</v>
      </c>
      <c r="V729" s="72">
        <f t="shared" si="289"/>
        <v>4.9664050645984119</v>
      </c>
      <c r="W729" s="72">
        <f t="shared" si="289"/>
        <v>5.1849268874407413</v>
      </c>
      <c r="X729" s="72">
        <f t="shared" si="289"/>
        <v>5.4130636704881345</v>
      </c>
      <c r="Y729" s="72">
        <f t="shared" si="289"/>
        <v>5.6512384719896129</v>
      </c>
      <c r="Z729" s="72">
        <f t="shared" si="289"/>
        <v>5.8998929647571554</v>
      </c>
      <c r="AA729" s="72">
        <f t="shared" si="289"/>
        <v>6.1594882552064707</v>
      </c>
      <c r="AB729" s="72">
        <f t="shared" si="289"/>
        <v>6.4305057384355555</v>
      </c>
      <c r="AC729" s="72">
        <f t="shared" si="289"/>
        <v>6.7134479909267206</v>
      </c>
      <c r="AD729" s="72">
        <f t="shared" si="289"/>
        <v>7.0088397025274967</v>
      </c>
      <c r="AE729" s="72">
        <f t="shared" si="289"/>
        <v>7.3172286494387055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1357</v>
      </c>
      <c r="E730" s="71" t="s">
        <v>1485</v>
      </c>
      <c r="F730" s="72">
        <f t="shared" si="286"/>
        <v>0.14025000000000001</v>
      </c>
      <c r="G730" s="72">
        <f t="shared" si="287"/>
        <v>1.4999999999999999E-2</v>
      </c>
      <c r="H730" s="72">
        <f t="shared" si="288"/>
        <v>0.10695187165775399</v>
      </c>
      <c r="I730" s="70"/>
      <c r="J730" s="70"/>
      <c r="K730" s="72"/>
      <c r="L730" s="72">
        <f t="shared" ref="L730:AE730" si="290">L676*$F730/1000</f>
        <v>0.61765094464262127</v>
      </c>
      <c r="M730" s="72">
        <f t="shared" si="290"/>
        <v>0.64482758620689662</v>
      </c>
      <c r="N730" s="72">
        <f t="shared" si="290"/>
        <v>0.67320000000000002</v>
      </c>
      <c r="O730" s="72">
        <f t="shared" si="290"/>
        <v>0.70282080000000002</v>
      </c>
      <c r="P730" s="72">
        <f t="shared" si="290"/>
        <v>0.73374491520000007</v>
      </c>
      <c r="Q730" s="72">
        <f t="shared" si="290"/>
        <v>0.76602969146880007</v>
      </c>
      <c r="R730" s="72">
        <f t="shared" si="290"/>
        <v>0.79973499789342728</v>
      </c>
      <c r="S730" s="72">
        <f t="shared" si="290"/>
        <v>0.83492333780073813</v>
      </c>
      <c r="T730" s="72">
        <f t="shared" si="290"/>
        <v>0.87165996466397067</v>
      </c>
      <c r="U730" s="72">
        <f t="shared" si="290"/>
        <v>0.91001300310918543</v>
      </c>
      <c r="V730" s="72">
        <f t="shared" si="290"/>
        <v>0.95005357524598955</v>
      </c>
      <c r="W730" s="72">
        <f t="shared" si="290"/>
        <v>0.99185593255681304</v>
      </c>
      <c r="X730" s="72">
        <f t="shared" si="290"/>
        <v>1.0354975935893131</v>
      </c>
      <c r="Y730" s="72">
        <f t="shared" si="290"/>
        <v>1.0810594877072426</v>
      </c>
      <c r="Z730" s="72">
        <f t="shared" si="290"/>
        <v>1.1286261051663613</v>
      </c>
      <c r="AA730" s="72">
        <f t="shared" si="290"/>
        <v>1.1782856537936812</v>
      </c>
      <c r="AB730" s="72">
        <f t="shared" si="290"/>
        <v>1.2301302225606032</v>
      </c>
      <c r="AC730" s="72">
        <f t="shared" si="290"/>
        <v>1.2842559523532697</v>
      </c>
      <c r="AD730" s="72">
        <f t="shared" si="290"/>
        <v>1.3407632142568136</v>
      </c>
      <c r="AE730" s="72">
        <f t="shared" si="290"/>
        <v>1.3997567956841135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1363</v>
      </c>
      <c r="E731" s="71" t="s">
        <v>1485</v>
      </c>
      <c r="F731" s="72">
        <f t="shared" si="286"/>
        <v>1.9220000000000002</v>
      </c>
      <c r="G731" s="72">
        <f t="shared" si="287"/>
        <v>0.25</v>
      </c>
      <c r="H731" s="72">
        <f t="shared" si="288"/>
        <v>0.13007284079084286</v>
      </c>
      <c r="I731" s="70"/>
      <c r="J731" s="70"/>
      <c r="K731" s="72"/>
      <c r="L731" s="72">
        <f t="shared" ref="L731:AE731" si="291">L677*$F731/1000</f>
        <v>0</v>
      </c>
      <c r="M731" s="72">
        <f t="shared" si="291"/>
        <v>0</v>
      </c>
      <c r="N731" s="72">
        <f t="shared" si="291"/>
        <v>0</v>
      </c>
      <c r="O731" s="72">
        <f t="shared" si="291"/>
        <v>0</v>
      </c>
      <c r="P731" s="72">
        <f t="shared" si="291"/>
        <v>0</v>
      </c>
      <c r="Q731" s="72">
        <f t="shared" si="291"/>
        <v>0</v>
      </c>
      <c r="R731" s="72">
        <f t="shared" si="291"/>
        <v>0</v>
      </c>
      <c r="S731" s="72">
        <f t="shared" si="291"/>
        <v>0</v>
      </c>
      <c r="T731" s="72">
        <f t="shared" si="291"/>
        <v>0</v>
      </c>
      <c r="U731" s="72">
        <f t="shared" si="291"/>
        <v>0</v>
      </c>
      <c r="V731" s="72">
        <f t="shared" si="291"/>
        <v>0</v>
      </c>
      <c r="W731" s="72">
        <f t="shared" si="291"/>
        <v>0</v>
      </c>
      <c r="X731" s="72">
        <f t="shared" si="291"/>
        <v>0</v>
      </c>
      <c r="Y731" s="72">
        <f t="shared" si="291"/>
        <v>0</v>
      </c>
      <c r="Z731" s="72">
        <f t="shared" si="291"/>
        <v>0</v>
      </c>
      <c r="AA731" s="72">
        <f t="shared" si="291"/>
        <v>0</v>
      </c>
      <c r="AB731" s="72">
        <f t="shared" si="291"/>
        <v>0</v>
      </c>
      <c r="AC731" s="72">
        <f t="shared" si="291"/>
        <v>0</v>
      </c>
      <c r="AD731" s="72">
        <f t="shared" si="291"/>
        <v>0</v>
      </c>
      <c r="AE731" s="72">
        <f t="shared" si="291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1369</v>
      </c>
      <c r="E732" s="71" t="s">
        <v>1485</v>
      </c>
      <c r="F732" s="72">
        <f t="shared" si="286"/>
        <v>0.2883</v>
      </c>
      <c r="G732" s="72">
        <f t="shared" si="287"/>
        <v>0.52600000000000002</v>
      </c>
      <c r="H732" s="72">
        <f t="shared" si="288"/>
        <v>1.8244883801595562</v>
      </c>
      <c r="I732" s="70"/>
      <c r="J732" s="70"/>
      <c r="K732" s="72"/>
      <c r="L732" s="72">
        <f t="shared" ref="L732:AE732" si="292">L678*$F732/1000</f>
        <v>13.508713893592759</v>
      </c>
      <c r="M732" s="72">
        <f t="shared" si="292"/>
        <v>13.954501452081319</v>
      </c>
      <c r="N732" s="72">
        <f t="shared" si="292"/>
        <v>14.414999999999999</v>
      </c>
      <c r="O732" s="72">
        <f t="shared" si="292"/>
        <v>14.890694999999997</v>
      </c>
      <c r="P732" s="72">
        <f t="shared" si="292"/>
        <v>15.382087934999998</v>
      </c>
      <c r="Q732" s="72">
        <f t="shared" si="292"/>
        <v>15.889696836854995</v>
      </c>
      <c r="R732" s="72">
        <f t="shared" si="292"/>
        <v>16.414056832471207</v>
      </c>
      <c r="S732" s="72">
        <f t="shared" si="292"/>
        <v>16.955720707942756</v>
      </c>
      <c r="T732" s="72">
        <f t="shared" si="292"/>
        <v>17.515259491304867</v>
      </c>
      <c r="U732" s="72">
        <f t="shared" si="292"/>
        <v>18.093263054517926</v>
      </c>
      <c r="V732" s="72">
        <f t="shared" si="292"/>
        <v>18.690340735317015</v>
      </c>
      <c r="W732" s="72">
        <f t="shared" si="292"/>
        <v>19.307121979582476</v>
      </c>
      <c r="X732" s="72">
        <f t="shared" si="292"/>
        <v>19.944257004908696</v>
      </c>
      <c r="Y732" s="72">
        <f t="shared" si="292"/>
        <v>20.602417486070681</v>
      </c>
      <c r="Z732" s="72">
        <f t="shared" si="292"/>
        <v>21.282297263111012</v>
      </c>
      <c r="AA732" s="72">
        <f t="shared" si="292"/>
        <v>21.984613072793675</v>
      </c>
      <c r="AB732" s="72">
        <f t="shared" si="292"/>
        <v>22.710105304195867</v>
      </c>
      <c r="AC732" s="72">
        <f t="shared" si="292"/>
        <v>23.459538779234329</v>
      </c>
      <c r="AD732" s="72">
        <f t="shared" si="292"/>
        <v>24.23370355894906</v>
      </c>
      <c r="AE732" s="72">
        <f t="shared" si="292"/>
        <v>25.033415776394378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1442</v>
      </c>
      <c r="E733" s="71" t="s">
        <v>1485</v>
      </c>
      <c r="F733" s="72">
        <f t="shared" si="286"/>
        <v>1.8512999999999999</v>
      </c>
      <c r="G733" s="72">
        <f t="shared" si="287"/>
        <v>0</v>
      </c>
      <c r="H733" s="72">
        <f t="shared" si="288"/>
        <v>0</v>
      </c>
      <c r="I733" s="70"/>
      <c r="J733" s="70"/>
      <c r="K733" s="72"/>
      <c r="L733" s="72">
        <f t="shared" ref="L733:AE733" si="293">L679*$F733/1000</f>
        <v>3.1638306570517116</v>
      </c>
      <c r="M733" s="72">
        <f t="shared" si="293"/>
        <v>3.2334349315068494</v>
      </c>
      <c r="N733" s="72">
        <f t="shared" si="293"/>
        <v>3.3045704999999996</v>
      </c>
      <c r="O733" s="72">
        <f t="shared" si="293"/>
        <v>3.3772710509999997</v>
      </c>
      <c r="P733" s="72">
        <f t="shared" si="293"/>
        <v>3.4515710141219995</v>
      </c>
      <c r="Q733" s="72">
        <f t="shared" si="293"/>
        <v>3.5275055764326835</v>
      </c>
      <c r="R733" s="72">
        <f t="shared" si="293"/>
        <v>3.6051106991142028</v>
      </c>
      <c r="S733" s="72">
        <f t="shared" si="293"/>
        <v>3.6844231344947151</v>
      </c>
      <c r="T733" s="72">
        <f t="shared" si="293"/>
        <v>3.7654804434535989</v>
      </c>
      <c r="U733" s="72">
        <f t="shared" si="293"/>
        <v>3.8483210132095782</v>
      </c>
      <c r="V733" s="72">
        <f t="shared" si="293"/>
        <v>3.932984075500189</v>
      </c>
      <c r="W733" s="72">
        <f t="shared" si="293"/>
        <v>4.0195097251611935</v>
      </c>
      <c r="X733" s="72">
        <f t="shared" si="293"/>
        <v>4.1079389391147396</v>
      </c>
      <c r="Y733" s="72">
        <f t="shared" si="293"/>
        <v>4.1983135957752644</v>
      </c>
      <c r="Z733" s="72">
        <f t="shared" si="293"/>
        <v>4.2906764948823204</v>
      </c>
      <c r="AA733" s="72">
        <f t="shared" si="293"/>
        <v>4.385071377769731</v>
      </c>
      <c r="AB733" s="72">
        <f t="shared" si="293"/>
        <v>4.4815429480806648</v>
      </c>
      <c r="AC733" s="72">
        <f t="shared" si="293"/>
        <v>4.5801368929384401</v>
      </c>
      <c r="AD733" s="72">
        <f t="shared" si="293"/>
        <v>4.680899904583085</v>
      </c>
      <c r="AE733" s="72">
        <f t="shared" si="293"/>
        <v>4.7838797024839135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1383</v>
      </c>
      <c r="E734" s="71" t="s">
        <v>1485</v>
      </c>
      <c r="F734" s="72">
        <f t="shared" si="286"/>
        <v>0.11219999999999999</v>
      </c>
      <c r="G734" s="72">
        <f t="shared" si="287"/>
        <v>0</v>
      </c>
      <c r="H734" s="72">
        <f t="shared" si="288"/>
        <v>0</v>
      </c>
      <c r="I734" s="70"/>
      <c r="J734" s="70"/>
      <c r="K734" s="72"/>
      <c r="L734" s="72">
        <f t="shared" ref="L734:AE734" si="294">L680*$F734/1000</f>
        <v>0.30078009811543305</v>
      </c>
      <c r="M734" s="72">
        <f t="shared" si="294"/>
        <v>0.30739726027397257</v>
      </c>
      <c r="N734" s="72">
        <f t="shared" si="294"/>
        <v>0.31415999999999999</v>
      </c>
      <c r="O734" s="72">
        <f t="shared" si="294"/>
        <v>0.32107151999999994</v>
      </c>
      <c r="P734" s="72">
        <f t="shared" si="294"/>
        <v>0.32813509343999991</v>
      </c>
      <c r="Q734" s="72">
        <f t="shared" si="294"/>
        <v>0.33535406549567992</v>
      </c>
      <c r="R734" s="72">
        <f t="shared" si="294"/>
        <v>0.34273185493658492</v>
      </c>
      <c r="S734" s="72">
        <f t="shared" si="294"/>
        <v>0.35027195574518982</v>
      </c>
      <c r="T734" s="72">
        <f t="shared" si="294"/>
        <v>0.35797793877158396</v>
      </c>
      <c r="U734" s="72">
        <f t="shared" si="294"/>
        <v>0.36585345342455883</v>
      </c>
      <c r="V734" s="72">
        <f t="shared" si="294"/>
        <v>0.37390222939989914</v>
      </c>
      <c r="W734" s="72">
        <f t="shared" si="294"/>
        <v>0.38212807844669699</v>
      </c>
      <c r="X734" s="72">
        <f t="shared" si="294"/>
        <v>0.39053489617252435</v>
      </c>
      <c r="Y734" s="72">
        <f t="shared" si="294"/>
        <v>0.39912666388831991</v>
      </c>
      <c r="Z734" s="72">
        <f t="shared" si="294"/>
        <v>0.40790745049386296</v>
      </c>
      <c r="AA734" s="72">
        <f t="shared" si="294"/>
        <v>0.41688141440472792</v>
      </c>
      <c r="AB734" s="72">
        <f t="shared" si="294"/>
        <v>0.42605280552163199</v>
      </c>
      <c r="AC734" s="72">
        <f t="shared" si="294"/>
        <v>0.43542596724310795</v>
      </c>
      <c r="AD734" s="72">
        <f t="shared" si="294"/>
        <v>0.44500533852245627</v>
      </c>
      <c r="AE734" s="72">
        <f t="shared" si="294"/>
        <v>0.45479545596995036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1390</v>
      </c>
      <c r="E735" s="71" t="s">
        <v>1485</v>
      </c>
      <c r="F735" s="72">
        <f t="shared" si="286"/>
        <v>0.11219999999999999</v>
      </c>
      <c r="G735" s="72">
        <f t="shared" si="287"/>
        <v>0.97</v>
      </c>
      <c r="H735" s="72">
        <f t="shared" si="288"/>
        <v>8.6452762923351152</v>
      </c>
      <c r="I735" s="70"/>
      <c r="J735" s="70"/>
      <c r="K735" s="72"/>
      <c r="L735" s="72">
        <f t="shared" ref="L735:AE735" si="295">L681*$F735/1000</f>
        <v>6.4452878167592806E-2</v>
      </c>
      <c r="M735" s="72">
        <f t="shared" si="295"/>
        <v>6.5870841487279841E-2</v>
      </c>
      <c r="N735" s="72">
        <f t="shared" si="295"/>
        <v>6.7319999999999991E-2</v>
      </c>
      <c r="O735" s="72">
        <f t="shared" si="295"/>
        <v>6.8801039999999994E-2</v>
      </c>
      <c r="P735" s="72">
        <f t="shared" si="295"/>
        <v>7.0314662880000003E-2</v>
      </c>
      <c r="Q735" s="72">
        <f t="shared" si="295"/>
        <v>7.1861585463359995E-2</v>
      </c>
      <c r="R735" s="72">
        <f t="shared" si="295"/>
        <v>7.3442540343553922E-2</v>
      </c>
      <c r="S735" s="72">
        <f t="shared" si="295"/>
        <v>7.5058276231112109E-2</v>
      </c>
      <c r="T735" s="72">
        <f t="shared" si="295"/>
        <v>7.6709558308196577E-2</v>
      </c>
      <c r="U735" s="72">
        <f t="shared" si="295"/>
        <v>7.8397168590976909E-2</v>
      </c>
      <c r="V735" s="72">
        <f t="shared" si="295"/>
        <v>8.012190629997841E-2</v>
      </c>
      <c r="W735" s="72">
        <f t="shared" si="295"/>
        <v>8.1884588238577916E-2</v>
      </c>
      <c r="X735" s="72">
        <f t="shared" si="295"/>
        <v>8.3686049179826624E-2</v>
      </c>
      <c r="Y735" s="72">
        <f t="shared" si="295"/>
        <v>8.5527142261782832E-2</v>
      </c>
      <c r="Z735" s="72">
        <f t="shared" si="295"/>
        <v>8.7408739391542062E-2</v>
      </c>
      <c r="AA735" s="72">
        <f t="shared" si="295"/>
        <v>8.9331731658155972E-2</v>
      </c>
      <c r="AB735" s="72">
        <f t="shared" si="295"/>
        <v>9.1297029754635398E-2</v>
      </c>
      <c r="AC735" s="72">
        <f t="shared" si="295"/>
        <v>9.3305564409237388E-2</v>
      </c>
      <c r="AD735" s="72">
        <f t="shared" si="295"/>
        <v>9.5358286826240618E-2</v>
      </c>
      <c r="AE735" s="72">
        <f t="shared" si="295"/>
        <v>9.7456169136417914E-2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1397</v>
      </c>
      <c r="E736" s="71" t="s">
        <v>1485</v>
      </c>
      <c r="F736" s="72">
        <f t="shared" si="286"/>
        <v>0.156</v>
      </c>
      <c r="G736" s="72">
        <f t="shared" si="287"/>
        <v>2.35</v>
      </c>
      <c r="H736" s="72">
        <f t="shared" si="288"/>
        <v>15.064102564102564</v>
      </c>
      <c r="I736" s="70"/>
      <c r="J736" s="70"/>
      <c r="K736" s="72"/>
      <c r="L736" s="72">
        <f t="shared" ref="L736:AE736" si="296">L682*$F736/1000</f>
        <v>4.2047573055412055E-2</v>
      </c>
      <c r="M736" s="72">
        <f t="shared" si="296"/>
        <v>4.4360189573459712E-2</v>
      </c>
      <c r="N736" s="72">
        <f t="shared" si="296"/>
        <v>4.6799999999999994E-2</v>
      </c>
      <c r="O736" s="72">
        <f t="shared" si="296"/>
        <v>4.9374000000000001E-2</v>
      </c>
      <c r="P736" s="72">
        <f t="shared" si="296"/>
        <v>5.2089569999999995E-2</v>
      </c>
      <c r="Q736" s="72">
        <f t="shared" si="296"/>
        <v>5.4954496349999993E-2</v>
      </c>
      <c r="R736" s="72">
        <f t="shared" si="296"/>
        <v>5.7976993649249998E-2</v>
      </c>
      <c r="S736" s="72">
        <f t="shared" si="296"/>
        <v>6.1165728299958741E-2</v>
      </c>
      <c r="T736" s="72">
        <f t="shared" si="296"/>
        <v>6.4529843356456465E-2</v>
      </c>
      <c r="U736" s="72">
        <f t="shared" si="296"/>
        <v>6.8078984741061568E-2</v>
      </c>
      <c r="V736" s="72">
        <f t="shared" si="296"/>
        <v>7.1823328901819944E-2</v>
      </c>
      <c r="W736" s="72">
        <f t="shared" si="296"/>
        <v>7.5773611991420048E-2</v>
      </c>
      <c r="X736" s="72">
        <f t="shared" si="296"/>
        <v>7.9941160650948154E-2</v>
      </c>
      <c r="Y736" s="72">
        <f t="shared" si="296"/>
        <v>8.4337924486750301E-2</v>
      </c>
      <c r="Z736" s="72">
        <f t="shared" si="296"/>
        <v>8.8976510333521566E-2</v>
      </c>
      <c r="AA736" s="72">
        <f t="shared" si="296"/>
        <v>9.3870218401865241E-2</v>
      </c>
      <c r="AB736" s="72">
        <f t="shared" si="296"/>
        <v>9.9033080413967828E-2</v>
      </c>
      <c r="AC736" s="72">
        <f t="shared" si="296"/>
        <v>0.10447989983673606</v>
      </c>
      <c r="AD736" s="72">
        <f t="shared" si="296"/>
        <v>0.11022629432775652</v>
      </c>
      <c r="AE736" s="72">
        <f t="shared" si="296"/>
        <v>0.11628874051578311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1486</v>
      </c>
      <c r="E737" s="70"/>
      <c r="F737" s="70"/>
      <c r="G737" s="70"/>
      <c r="H737" s="70"/>
      <c r="I737" s="70"/>
      <c r="J737" s="70"/>
      <c r="K737" s="72"/>
      <c r="L737" s="72">
        <f t="shared" ref="L737:AE737" si="297">SUM(L729:L736)</f>
        <v>20.926246357744834</v>
      </c>
      <c r="M737" s="72">
        <f t="shared" si="297"/>
        <v>21.621228468026327</v>
      </c>
      <c r="N737" s="72">
        <f t="shared" si="297"/>
        <v>22.340203500000001</v>
      </c>
      <c r="O737" s="72">
        <f t="shared" si="297"/>
        <v>23.084029143000002</v>
      </c>
      <c r="P737" s="72">
        <f t="shared" si="297"/>
        <v>23.853594734849999</v>
      </c>
      <c r="Q737" s="72">
        <f t="shared" si="297"/>
        <v>24.649822464218669</v>
      </c>
      <c r="R737" s="72">
        <f t="shared" si="297"/>
        <v>25.473668619896113</v>
      </c>
      <c r="S737" s="72">
        <f t="shared" si="297"/>
        <v>26.326124888867827</v>
      </c>
      <c r="T737" s="72">
        <f t="shared" si="297"/>
        <v>27.20821970513958</v>
      </c>
      <c r="U737" s="72">
        <f t="shared" si="297"/>
        <v>28.121019651346554</v>
      </c>
      <c r="V737" s="72">
        <f t="shared" si="297"/>
        <v>29.065630915263306</v>
      </c>
      <c r="W737" s="72">
        <f t="shared" si="297"/>
        <v>30.043200803417918</v>
      </c>
      <c r="X737" s="72">
        <f t="shared" si="297"/>
        <v>31.054919314104183</v>
      </c>
      <c r="Y737" s="72">
        <f t="shared" si="297"/>
        <v>32.102020772179657</v>
      </c>
      <c r="Z737" s="72">
        <f t="shared" si="297"/>
        <v>33.185785528135781</v>
      </c>
      <c r="AA737" s="72">
        <f t="shared" si="297"/>
        <v>34.307541724028312</v>
      </c>
      <c r="AB737" s="72">
        <f t="shared" si="297"/>
        <v>35.468667128962927</v>
      </c>
      <c r="AC737" s="72">
        <f t="shared" si="297"/>
        <v>36.67059104694183</v>
      </c>
      <c r="AD737" s="72">
        <f t="shared" si="297"/>
        <v>37.914796299992908</v>
      </c>
      <c r="AE737" s="72">
        <f t="shared" si="297"/>
        <v>39.202821289623259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70"/>
      <c r="E738" s="70"/>
      <c r="F738" s="70"/>
      <c r="G738" s="70"/>
      <c r="H738" s="70"/>
      <c r="I738" s="70"/>
      <c r="J738" s="70"/>
      <c r="K738" s="72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</row>
    <row r="739" spans="1:35" x14ac:dyDescent="0.45">
      <c r="A739" s="71"/>
      <c r="B739" s="52"/>
      <c r="C739" s="73" t="s">
        <v>1487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298">L673</f>
        <v>2022</v>
      </c>
      <c r="M739" s="74">
        <f t="shared" si="298"/>
        <v>2023</v>
      </c>
      <c r="N739" s="74">
        <f t="shared" si="298"/>
        <v>2024</v>
      </c>
      <c r="O739" s="74">
        <f t="shared" si="298"/>
        <v>2025</v>
      </c>
      <c r="P739" s="74">
        <f t="shared" si="298"/>
        <v>2026</v>
      </c>
      <c r="Q739" s="74">
        <f t="shared" si="298"/>
        <v>2027</v>
      </c>
      <c r="R739" s="74">
        <f t="shared" si="298"/>
        <v>2028</v>
      </c>
      <c r="S739" s="74">
        <f t="shared" si="298"/>
        <v>2029</v>
      </c>
      <c r="T739" s="74">
        <f t="shared" si="298"/>
        <v>2030</v>
      </c>
      <c r="U739" s="74">
        <f t="shared" si="298"/>
        <v>2031</v>
      </c>
      <c r="V739" s="74">
        <f t="shared" si="298"/>
        <v>2032</v>
      </c>
      <c r="W739" s="74">
        <f t="shared" si="298"/>
        <v>2033</v>
      </c>
      <c r="X739" s="74">
        <f t="shared" si="298"/>
        <v>2034</v>
      </c>
      <c r="Y739" s="74">
        <f t="shared" si="298"/>
        <v>2035</v>
      </c>
      <c r="Z739" s="74">
        <f t="shared" si="298"/>
        <v>2036</v>
      </c>
      <c r="AA739" s="74">
        <f t="shared" si="298"/>
        <v>2037</v>
      </c>
      <c r="AB739" s="74">
        <f t="shared" si="298"/>
        <v>2038</v>
      </c>
      <c r="AC739" s="74">
        <f t="shared" si="298"/>
        <v>2039</v>
      </c>
      <c r="AD739" s="74">
        <f t="shared" si="298"/>
        <v>2040</v>
      </c>
      <c r="AE739" s="74">
        <f t="shared" si="298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1485</v>
      </c>
      <c r="F740" s="70"/>
      <c r="G740" s="70"/>
      <c r="H740" s="70"/>
      <c r="I740" s="70"/>
      <c r="J740" s="70"/>
      <c r="K740" s="72"/>
      <c r="L740" s="72">
        <f t="shared" ref="L740:L747" si="299">L675*G729/1000</f>
        <v>0.18716695292200644</v>
      </c>
      <c r="M740" s="72">
        <f t="shared" ref="M740:M747" si="300">M675*G729/1000</f>
        <v>0.1954022988505747</v>
      </c>
      <c r="N740" s="72">
        <f t="shared" ref="N740:N747" si="301">N675*G729/1000</f>
        <v>0.20399999999999999</v>
      </c>
      <c r="O740" s="72">
        <f t="shared" ref="O740:O747" si="302">O675*G729/1000</f>
        <v>0.21297600000000003</v>
      </c>
      <c r="P740" s="72">
        <f t="shared" ref="P740:P747" si="303">P675*G729/1000</f>
        <v>0.22234694400000005</v>
      </c>
      <c r="Q740" s="72">
        <f t="shared" ref="Q740:Q747" si="304">Q675*G729/1000</f>
        <v>0.23213020953600005</v>
      </c>
      <c r="R740" s="72">
        <f t="shared" ref="R740:R747" si="305">R675*G729/1000</f>
        <v>0.24234393875558408</v>
      </c>
      <c r="S740" s="72">
        <f t="shared" ref="S740:S747" si="306">S675*G729/1000</f>
        <v>0.25300707206082979</v>
      </c>
      <c r="T740" s="72">
        <f t="shared" ref="T740:T747" si="307">T675*G729/1000</f>
        <v>0.26413938323150632</v>
      </c>
      <c r="U740" s="72">
        <f t="shared" ref="U740:U747" si="308">U675*G729/1000</f>
        <v>0.27576151609369259</v>
      </c>
      <c r="V740" s="72">
        <f t="shared" ref="V740:V747" si="309">V675*G729/1000</f>
        <v>0.28789502280181506</v>
      </c>
      <c r="W740" s="72">
        <f t="shared" ref="W740:W747" si="310">W675*G729/1000</f>
        <v>0.30056240380509497</v>
      </c>
      <c r="X740" s="72">
        <f t="shared" ref="X740:X747" si="311">X675*G729/1000</f>
        <v>0.31378714957251913</v>
      </c>
      <c r="Y740" s="72">
        <f t="shared" ref="Y740:Y747" si="312">Y675*G729/1000</f>
        <v>0.32759378415370999</v>
      </c>
      <c r="Z740" s="72">
        <f t="shared" ref="Z740:Z747" si="313">Z675*G729/1000</f>
        <v>0.34200791065647324</v>
      </c>
      <c r="AA740" s="72">
        <f t="shared" ref="AA740:AA747" si="314">AA675*G729/1000</f>
        <v>0.35705625872535807</v>
      </c>
      <c r="AB740" s="72">
        <f t="shared" ref="AB740:AB747" si="315">AB675*G729/1000</f>
        <v>0.37276673410927386</v>
      </c>
      <c r="AC740" s="72">
        <f t="shared" ref="AC740:AC747" si="316">AC675*G729/1000</f>
        <v>0.38916847041008185</v>
      </c>
      <c r="AD740" s="72">
        <f t="shared" ref="AD740:AD747" si="317">AD675*G729/1000</f>
        <v>0.40629188310812547</v>
      </c>
      <c r="AE740" s="72">
        <f t="shared" ref="AE740:AE747" si="318">AE675*G729/1000</f>
        <v>0.42416872596488298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1357</v>
      </c>
      <c r="E741" s="71" t="s">
        <v>1485</v>
      </c>
      <c r="F741" s="70"/>
      <c r="G741" s="70"/>
      <c r="H741" s="70"/>
      <c r="I741" s="70"/>
      <c r="J741" s="70"/>
      <c r="K741" s="72"/>
      <c r="L741" s="72">
        <f t="shared" si="299"/>
        <v>6.6058924560708152E-2</v>
      </c>
      <c r="M741" s="72">
        <f t="shared" si="300"/>
        <v>6.8965517241379309E-2</v>
      </c>
      <c r="N741" s="72">
        <f t="shared" si="301"/>
        <v>7.1999999999999995E-2</v>
      </c>
      <c r="O741" s="72">
        <f t="shared" si="302"/>
        <v>7.5167999999999999E-2</v>
      </c>
      <c r="P741" s="72">
        <f t="shared" si="303"/>
        <v>7.8475392000000005E-2</v>
      </c>
      <c r="Q741" s="72">
        <f t="shared" si="304"/>
        <v>8.1928309247999986E-2</v>
      </c>
      <c r="R741" s="72">
        <f t="shared" si="305"/>
        <v>8.5533154854912002E-2</v>
      </c>
      <c r="S741" s="72">
        <f t="shared" si="306"/>
        <v>8.9296613668528119E-2</v>
      </c>
      <c r="T741" s="72">
        <f t="shared" si="307"/>
        <v>9.3225664669943364E-2</v>
      </c>
      <c r="U741" s="72">
        <f t="shared" si="308"/>
        <v>9.7327593915420896E-2</v>
      </c>
      <c r="V741" s="72">
        <f t="shared" si="309"/>
        <v>0.10161000804769942</v>
      </c>
      <c r="W741" s="72">
        <f t="shared" si="310"/>
        <v>0.10608084840179818</v>
      </c>
      <c r="X741" s="72">
        <f t="shared" si="311"/>
        <v>0.1107484057314773</v>
      </c>
      <c r="Y741" s="72">
        <f t="shared" si="312"/>
        <v>0.1156213355836623</v>
      </c>
      <c r="Z741" s="72">
        <f t="shared" si="313"/>
        <v>0.12070867434934346</v>
      </c>
      <c r="AA741" s="72">
        <f t="shared" si="314"/>
        <v>0.12601985602071455</v>
      </c>
      <c r="AB741" s="72">
        <f t="shared" si="315"/>
        <v>0.13156472968562599</v>
      </c>
      <c r="AC741" s="72">
        <f t="shared" si="316"/>
        <v>0.13735357779179352</v>
      </c>
      <c r="AD741" s="72">
        <f t="shared" si="317"/>
        <v>0.14339713521463243</v>
      </c>
      <c r="AE741" s="72">
        <f t="shared" si="318"/>
        <v>0.1497066091640763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1363</v>
      </c>
      <c r="E742" s="71" t="s">
        <v>1485</v>
      </c>
      <c r="F742" s="70"/>
      <c r="G742" s="70"/>
      <c r="H742" s="70"/>
      <c r="I742" s="70"/>
      <c r="J742" s="70"/>
      <c r="K742" s="72"/>
      <c r="L742" s="72">
        <f t="shared" si="299"/>
        <v>0</v>
      </c>
      <c r="M742" s="72">
        <f t="shared" si="300"/>
        <v>0</v>
      </c>
      <c r="N742" s="72">
        <f t="shared" si="301"/>
        <v>0</v>
      </c>
      <c r="O742" s="72">
        <f t="shared" si="302"/>
        <v>0</v>
      </c>
      <c r="P742" s="72">
        <f t="shared" si="303"/>
        <v>0</v>
      </c>
      <c r="Q742" s="72">
        <f t="shared" si="304"/>
        <v>0</v>
      </c>
      <c r="R742" s="72">
        <f t="shared" si="305"/>
        <v>0</v>
      </c>
      <c r="S742" s="72">
        <f t="shared" si="306"/>
        <v>0</v>
      </c>
      <c r="T742" s="72">
        <f t="shared" si="307"/>
        <v>0</v>
      </c>
      <c r="U742" s="72">
        <f t="shared" si="308"/>
        <v>0</v>
      </c>
      <c r="V742" s="72">
        <f t="shared" si="309"/>
        <v>0</v>
      </c>
      <c r="W742" s="72">
        <f t="shared" si="310"/>
        <v>0</v>
      </c>
      <c r="X742" s="72">
        <f t="shared" si="311"/>
        <v>0</v>
      </c>
      <c r="Y742" s="72">
        <f t="shared" si="312"/>
        <v>0</v>
      </c>
      <c r="Z742" s="72">
        <f t="shared" si="313"/>
        <v>0</v>
      </c>
      <c r="AA742" s="72">
        <f t="shared" si="314"/>
        <v>0</v>
      </c>
      <c r="AB742" s="72">
        <f t="shared" si="315"/>
        <v>0</v>
      </c>
      <c r="AC742" s="72">
        <f t="shared" si="316"/>
        <v>0</v>
      </c>
      <c r="AD742" s="72">
        <f t="shared" si="317"/>
        <v>0</v>
      </c>
      <c r="AE742" s="72">
        <f t="shared" si="318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1369</v>
      </c>
      <c r="E743" s="71" t="s">
        <v>1485</v>
      </c>
      <c r="F743" s="70"/>
      <c r="G743" s="70"/>
      <c r="H743" s="70"/>
      <c r="I743" s="70"/>
      <c r="J743" s="70"/>
      <c r="K743" s="72"/>
      <c r="L743" s="72">
        <f t="shared" si="299"/>
        <v>24.646491529759945</v>
      </c>
      <c r="M743" s="72">
        <f t="shared" si="300"/>
        <v>25.459825750242022</v>
      </c>
      <c r="N743" s="72">
        <f t="shared" si="301"/>
        <v>26.3</v>
      </c>
      <c r="O743" s="72">
        <f t="shared" si="302"/>
        <v>27.167899999999999</v>
      </c>
      <c r="P743" s="72">
        <f t="shared" si="303"/>
        <v>28.064440699999995</v>
      </c>
      <c r="Q743" s="72">
        <f t="shared" si="304"/>
        <v>28.990567243099992</v>
      </c>
      <c r="R743" s="72">
        <f t="shared" si="305"/>
        <v>29.947255962122291</v>
      </c>
      <c r="S743" s="72">
        <f t="shared" si="306"/>
        <v>30.935515408872323</v>
      </c>
      <c r="T743" s="72">
        <f t="shared" si="307"/>
        <v>31.956387417365111</v>
      </c>
      <c r="U743" s="72">
        <f t="shared" si="308"/>
        <v>33.010948202138152</v>
      </c>
      <c r="V743" s="72">
        <f t="shared" si="309"/>
        <v>34.100309492808705</v>
      </c>
      <c r="W743" s="72">
        <f t="shared" si="310"/>
        <v>35.225619706071399</v>
      </c>
      <c r="X743" s="72">
        <f t="shared" si="311"/>
        <v>36.388065156371745</v>
      </c>
      <c r="Y743" s="72">
        <f t="shared" si="312"/>
        <v>37.588871306532013</v>
      </c>
      <c r="Z743" s="72">
        <f t="shared" si="313"/>
        <v>38.829304059647569</v>
      </c>
      <c r="AA743" s="72">
        <f t="shared" si="314"/>
        <v>40.110671093615935</v>
      </c>
      <c r="AB743" s="72">
        <f t="shared" si="315"/>
        <v>41.434323239705257</v>
      </c>
      <c r="AC743" s="72">
        <f t="shared" si="316"/>
        <v>42.801655906615522</v>
      </c>
      <c r="AD743" s="72">
        <f t="shared" si="317"/>
        <v>44.214110551533835</v>
      </c>
      <c r="AE743" s="72">
        <f t="shared" si="318"/>
        <v>45.673176199734449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1442</v>
      </c>
      <c r="E744" s="71" t="s">
        <v>1485</v>
      </c>
      <c r="F744" s="70"/>
      <c r="G744" s="70"/>
      <c r="H744" s="70"/>
      <c r="I744" s="70"/>
      <c r="J744" s="70"/>
      <c r="K744" s="72"/>
      <c r="L744" s="72">
        <f t="shared" si="299"/>
        <v>0</v>
      </c>
      <c r="M744" s="72">
        <f t="shared" si="300"/>
        <v>0</v>
      </c>
      <c r="N744" s="72">
        <f t="shared" si="301"/>
        <v>0</v>
      </c>
      <c r="O744" s="72">
        <f t="shared" si="302"/>
        <v>0</v>
      </c>
      <c r="P744" s="72">
        <f t="shared" si="303"/>
        <v>0</v>
      </c>
      <c r="Q744" s="72">
        <f t="shared" si="304"/>
        <v>0</v>
      </c>
      <c r="R744" s="72">
        <f t="shared" si="305"/>
        <v>0</v>
      </c>
      <c r="S744" s="72">
        <f t="shared" si="306"/>
        <v>0</v>
      </c>
      <c r="T744" s="72">
        <f t="shared" si="307"/>
        <v>0</v>
      </c>
      <c r="U744" s="72">
        <f t="shared" si="308"/>
        <v>0</v>
      </c>
      <c r="V744" s="72">
        <f t="shared" si="309"/>
        <v>0</v>
      </c>
      <c r="W744" s="72">
        <f t="shared" si="310"/>
        <v>0</v>
      </c>
      <c r="X744" s="72">
        <f t="shared" si="311"/>
        <v>0</v>
      </c>
      <c r="Y744" s="72">
        <f t="shared" si="312"/>
        <v>0</v>
      </c>
      <c r="Z744" s="72">
        <f t="shared" si="313"/>
        <v>0</v>
      </c>
      <c r="AA744" s="72">
        <f t="shared" si="314"/>
        <v>0</v>
      </c>
      <c r="AB744" s="72">
        <f t="shared" si="315"/>
        <v>0</v>
      </c>
      <c r="AC744" s="72">
        <f t="shared" si="316"/>
        <v>0</v>
      </c>
      <c r="AD744" s="72">
        <f t="shared" si="317"/>
        <v>0</v>
      </c>
      <c r="AE744" s="72">
        <f t="shared" si="318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1383</v>
      </c>
      <c r="E745" s="71" t="s">
        <v>1485</v>
      </c>
      <c r="F745" s="70"/>
      <c r="G745" s="70"/>
      <c r="H745" s="70"/>
      <c r="I745" s="70"/>
      <c r="J745" s="70"/>
      <c r="K745" s="72"/>
      <c r="L745" s="72">
        <f t="shared" si="299"/>
        <v>0</v>
      </c>
      <c r="M745" s="72">
        <f t="shared" si="300"/>
        <v>0</v>
      </c>
      <c r="N745" s="72">
        <f t="shared" si="301"/>
        <v>0</v>
      </c>
      <c r="O745" s="72">
        <f t="shared" si="302"/>
        <v>0</v>
      </c>
      <c r="P745" s="72">
        <f t="shared" si="303"/>
        <v>0</v>
      </c>
      <c r="Q745" s="72">
        <f t="shared" si="304"/>
        <v>0</v>
      </c>
      <c r="R745" s="72">
        <f t="shared" si="305"/>
        <v>0</v>
      </c>
      <c r="S745" s="72">
        <f t="shared" si="306"/>
        <v>0</v>
      </c>
      <c r="T745" s="72">
        <f t="shared" si="307"/>
        <v>0</v>
      </c>
      <c r="U745" s="72">
        <f t="shared" si="308"/>
        <v>0</v>
      </c>
      <c r="V745" s="72">
        <f t="shared" si="309"/>
        <v>0</v>
      </c>
      <c r="W745" s="72">
        <f t="shared" si="310"/>
        <v>0</v>
      </c>
      <c r="X745" s="72">
        <f t="shared" si="311"/>
        <v>0</v>
      </c>
      <c r="Y745" s="72">
        <f t="shared" si="312"/>
        <v>0</v>
      </c>
      <c r="Z745" s="72">
        <f t="shared" si="313"/>
        <v>0</v>
      </c>
      <c r="AA745" s="72">
        <f t="shared" si="314"/>
        <v>0</v>
      </c>
      <c r="AB745" s="72">
        <f t="shared" si="315"/>
        <v>0</v>
      </c>
      <c r="AC745" s="72">
        <f t="shared" si="316"/>
        <v>0</v>
      </c>
      <c r="AD745" s="72">
        <f t="shared" si="317"/>
        <v>0</v>
      </c>
      <c r="AE745" s="72">
        <f t="shared" si="318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1390</v>
      </c>
      <c r="E746" s="71" t="s">
        <v>1485</v>
      </c>
      <c r="F746" s="70"/>
      <c r="G746" s="70"/>
      <c r="H746" s="70"/>
      <c r="I746" s="70"/>
      <c r="J746" s="70"/>
      <c r="K746" s="72"/>
      <c r="L746" s="72">
        <f t="shared" si="299"/>
        <v>0.55721293959505358</v>
      </c>
      <c r="M746" s="72">
        <f t="shared" si="300"/>
        <v>0.56947162426614473</v>
      </c>
      <c r="N746" s="72">
        <f t="shared" si="301"/>
        <v>0.58199999999999996</v>
      </c>
      <c r="O746" s="72">
        <f t="shared" si="302"/>
        <v>0.594804</v>
      </c>
      <c r="P746" s="72">
        <f t="shared" si="303"/>
        <v>0.60788968800000009</v>
      </c>
      <c r="Q746" s="72">
        <f t="shared" si="304"/>
        <v>0.62126326113599994</v>
      </c>
      <c r="R746" s="72">
        <f t="shared" si="305"/>
        <v>0.63493105288099194</v>
      </c>
      <c r="S746" s="72">
        <f t="shared" si="306"/>
        <v>0.64889953604437378</v>
      </c>
      <c r="T746" s="72">
        <f t="shared" si="307"/>
        <v>0.66317532583735006</v>
      </c>
      <c r="U746" s="72">
        <f t="shared" si="308"/>
        <v>0.67776518300577182</v>
      </c>
      <c r="V746" s="72">
        <f t="shared" si="309"/>
        <v>0.69267601703189885</v>
      </c>
      <c r="W746" s="72">
        <f t="shared" si="310"/>
        <v>0.70791488940660052</v>
      </c>
      <c r="X746" s="72">
        <f t="shared" si="311"/>
        <v>0.72348901697354573</v>
      </c>
      <c r="Y746" s="72">
        <f t="shared" si="312"/>
        <v>0.73940577534696372</v>
      </c>
      <c r="Z746" s="72">
        <f t="shared" si="313"/>
        <v>0.75567270240459705</v>
      </c>
      <c r="AA746" s="72">
        <f t="shared" si="314"/>
        <v>0.77229750185749824</v>
      </c>
      <c r="AB746" s="72">
        <f t="shared" si="315"/>
        <v>0.78928804689836318</v>
      </c>
      <c r="AC746" s="72">
        <f t="shared" si="316"/>
        <v>0.80665238393012717</v>
      </c>
      <c r="AD746" s="72">
        <f t="shared" si="317"/>
        <v>0.82439873637659</v>
      </c>
      <c r="AE746" s="72">
        <f t="shared" si="318"/>
        <v>0.84253550857687498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1397</v>
      </c>
      <c r="E747" s="71" t="s">
        <v>1485</v>
      </c>
      <c r="F747" s="70"/>
      <c r="G747" s="70"/>
      <c r="H747" s="70"/>
      <c r="I747" s="70"/>
      <c r="J747" s="70"/>
      <c r="K747" s="72"/>
      <c r="L747" s="72">
        <f t="shared" si="299"/>
        <v>0.63340895307832257</v>
      </c>
      <c r="M747" s="72">
        <f t="shared" si="300"/>
        <v>0.66824644549763035</v>
      </c>
      <c r="N747" s="72">
        <f t="shared" si="301"/>
        <v>0.70499999999999996</v>
      </c>
      <c r="O747" s="72">
        <f t="shared" si="302"/>
        <v>0.74377499999999996</v>
      </c>
      <c r="P747" s="72">
        <f t="shared" si="303"/>
        <v>0.78468262499999997</v>
      </c>
      <c r="Q747" s="72">
        <f t="shared" si="304"/>
        <v>0.82784016937499993</v>
      </c>
      <c r="R747" s="72">
        <f t="shared" si="305"/>
        <v>0.87337137869062498</v>
      </c>
      <c r="S747" s="72">
        <f t="shared" si="306"/>
        <v>0.92140680451860935</v>
      </c>
      <c r="T747" s="72">
        <f t="shared" si="307"/>
        <v>0.97208417876713282</v>
      </c>
      <c r="U747" s="72">
        <f t="shared" si="308"/>
        <v>1.025548808599325</v>
      </c>
      <c r="V747" s="72">
        <f t="shared" si="309"/>
        <v>1.0819539930722879</v>
      </c>
      <c r="W747" s="72">
        <f t="shared" si="310"/>
        <v>1.1414614626912638</v>
      </c>
      <c r="X747" s="72">
        <f t="shared" si="311"/>
        <v>1.2042418431392832</v>
      </c>
      <c r="Y747" s="72">
        <f t="shared" si="312"/>
        <v>1.2704751445119435</v>
      </c>
      <c r="Z747" s="72">
        <f t="shared" si="313"/>
        <v>1.3403512774601003</v>
      </c>
      <c r="AA747" s="72">
        <f t="shared" si="314"/>
        <v>1.4140705977204062</v>
      </c>
      <c r="AB747" s="72">
        <f t="shared" si="315"/>
        <v>1.4918444805950282</v>
      </c>
      <c r="AC747" s="72">
        <f t="shared" si="316"/>
        <v>1.5738959270277546</v>
      </c>
      <c r="AD747" s="72">
        <f t="shared" si="317"/>
        <v>1.660460203014281</v>
      </c>
      <c r="AE747" s="72">
        <f t="shared" si="318"/>
        <v>1.7517855141800662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1486</v>
      </c>
      <c r="E748" s="70"/>
      <c r="F748" s="70"/>
      <c r="G748" s="70"/>
      <c r="H748" s="70"/>
      <c r="I748" s="70"/>
      <c r="J748" s="70"/>
      <c r="K748" s="72"/>
      <c r="L748" s="72">
        <f t="shared" ref="L748:AE748" si="319">SUM(L740:L747)</f>
        <v>26.090339299916039</v>
      </c>
      <c r="M748" s="72">
        <f t="shared" si="319"/>
        <v>26.961911636097753</v>
      </c>
      <c r="N748" s="72">
        <f t="shared" si="319"/>
        <v>27.863</v>
      </c>
      <c r="O748" s="72">
        <f t="shared" si="319"/>
        <v>28.794622999999998</v>
      </c>
      <c r="P748" s="72">
        <f t="shared" si="319"/>
        <v>29.757835348999993</v>
      </c>
      <c r="Q748" s="72">
        <f t="shared" si="319"/>
        <v>30.753729192394996</v>
      </c>
      <c r="R748" s="72">
        <f t="shared" si="319"/>
        <v>31.783435487304406</v>
      </c>
      <c r="S748" s="72">
        <f t="shared" si="319"/>
        <v>32.848125435164668</v>
      </c>
      <c r="T748" s="72">
        <f t="shared" si="319"/>
        <v>33.949011969871044</v>
      </c>
      <c r="U748" s="72">
        <f t="shared" si="319"/>
        <v>35.087351303752364</v>
      </c>
      <c r="V748" s="72">
        <f t="shared" si="319"/>
        <v>36.264444533762408</v>
      </c>
      <c r="W748" s="72">
        <f t="shared" si="319"/>
        <v>37.481639310376153</v>
      </c>
      <c r="X748" s="72">
        <f t="shared" si="319"/>
        <v>38.740331571788573</v>
      </c>
      <c r="Y748" s="72">
        <f t="shared" si="319"/>
        <v>40.041967346128295</v>
      </c>
      <c r="Z748" s="72">
        <f t="shared" si="319"/>
        <v>41.388044624518081</v>
      </c>
      <c r="AA748" s="72">
        <f t="shared" si="319"/>
        <v>42.780115307939909</v>
      </c>
      <c r="AB748" s="72">
        <f t="shared" si="319"/>
        <v>44.219787230993546</v>
      </c>
      <c r="AC748" s="72">
        <f t="shared" si="319"/>
        <v>45.708726265775283</v>
      </c>
      <c r="AD748" s="72">
        <f t="shared" si="319"/>
        <v>47.248658509247463</v>
      </c>
      <c r="AE748" s="72">
        <f t="shared" si="319"/>
        <v>48.841372557620346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/>
      <c r="E749" s="70"/>
      <c r="F749" s="70"/>
      <c r="G749" s="70"/>
      <c r="H749" s="70"/>
      <c r="I749" s="70"/>
      <c r="J749" s="70"/>
      <c r="K749" s="72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</row>
    <row r="750" spans="1:35" x14ac:dyDescent="0.45">
      <c r="A750" s="70"/>
      <c r="B750" s="52"/>
      <c r="C750" s="73" t="s">
        <v>1488</v>
      </c>
      <c r="D750" s="73"/>
      <c r="E750" s="72" t="s">
        <v>1489</v>
      </c>
      <c r="F750" s="72" t="s">
        <v>1407</v>
      </c>
      <c r="G750" s="72" t="s">
        <v>1490</v>
      </c>
      <c r="H750" s="74"/>
      <c r="I750" s="74"/>
      <c r="J750" s="74"/>
      <c r="K750" s="74"/>
      <c r="L750" s="74">
        <f t="shared" ref="L750:AE750" si="320">L697</f>
        <v>2022</v>
      </c>
      <c r="M750" s="74">
        <f t="shared" si="320"/>
        <v>2023</v>
      </c>
      <c r="N750" s="74">
        <f t="shared" si="320"/>
        <v>2024</v>
      </c>
      <c r="O750" s="74">
        <f t="shared" si="320"/>
        <v>2025</v>
      </c>
      <c r="P750" s="74">
        <f t="shared" si="320"/>
        <v>2026</v>
      </c>
      <c r="Q750" s="74">
        <f t="shared" si="320"/>
        <v>2027</v>
      </c>
      <c r="R750" s="74">
        <f t="shared" si="320"/>
        <v>2028</v>
      </c>
      <c r="S750" s="74">
        <f t="shared" si="320"/>
        <v>2029</v>
      </c>
      <c r="T750" s="74">
        <f t="shared" si="320"/>
        <v>2030</v>
      </c>
      <c r="U750" s="74">
        <f t="shared" si="320"/>
        <v>2031</v>
      </c>
      <c r="V750" s="74">
        <f t="shared" si="320"/>
        <v>2032</v>
      </c>
      <c r="W750" s="74">
        <f t="shared" si="320"/>
        <v>2033</v>
      </c>
      <c r="X750" s="74">
        <f t="shared" si="320"/>
        <v>2034</v>
      </c>
      <c r="Y750" s="74">
        <f t="shared" si="320"/>
        <v>2035</v>
      </c>
      <c r="Z750" s="74">
        <f t="shared" si="320"/>
        <v>2036</v>
      </c>
      <c r="AA750" s="74">
        <f t="shared" si="320"/>
        <v>2037</v>
      </c>
      <c r="AB750" s="74">
        <f t="shared" si="320"/>
        <v>2038</v>
      </c>
      <c r="AC750" s="74">
        <f t="shared" si="320"/>
        <v>2039</v>
      </c>
      <c r="AD750" s="74">
        <f t="shared" si="320"/>
        <v>2040</v>
      </c>
      <c r="AE750" s="74">
        <f t="shared" si="320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>L729*(EXP(-($E751)*(L648))-1)</f>
        <v>0</v>
      </c>
      <c r="M751" s="72">
        <f>M729*(EXP(-($E751)*(M648))-1)</f>
        <v>0</v>
      </c>
      <c r="N751" s="72">
        <f>N729*(EXP(-($E751)*(N648))-1)</f>
        <v>0</v>
      </c>
      <c r="O751" s="72">
        <f>O729*(EXP(-($E751)*(O648))-1)</f>
        <v>0</v>
      </c>
      <c r="P751" s="72">
        <f>P729*(EXP(-($E751)*(P648))-1)</f>
        <v>0</v>
      </c>
      <c r="Q751" s="72">
        <f>Q729*(EXP(-($E751)*(Q648))-1)</f>
        <v>0</v>
      </c>
      <c r="R751" s="72">
        <f>R729*(EXP(-($E751)*(R648))-1)</f>
        <v>0</v>
      </c>
      <c r="S751" s="72">
        <f>S729*(EXP(-($E751)*(S648))-1)</f>
        <v>0</v>
      </c>
      <c r="T751" s="72">
        <f>T729*(EXP(-($E751)*(T648))-1)</f>
        <v>0</v>
      </c>
      <c r="U751" s="72">
        <f>U729*(EXP(-($E751)*(U648))-1)</f>
        <v>0</v>
      </c>
      <c r="V751" s="72">
        <f>V729*(EXP(-($E751)*(V648))-1)</f>
        <v>0</v>
      </c>
      <c r="W751" s="72">
        <f>W729*(EXP(-($E751)*(W648))-1)</f>
        <v>0</v>
      </c>
      <c r="X751" s="72">
        <f>X729*(EXP(-($E751)*(X648))-1)</f>
        <v>0</v>
      </c>
      <c r="Y751" s="72">
        <f>Y729*(EXP(-($E751)*(Y648))-1)</f>
        <v>0</v>
      </c>
      <c r="Z751" s="72">
        <f>Z729*(EXP(-($E751)*(Z648))-1)</f>
        <v>0</v>
      </c>
      <c r="AA751" s="72">
        <f>AA729*(EXP(-($E751)*(AA648))-1)</f>
        <v>0</v>
      </c>
      <c r="AB751" s="72">
        <f>AB729*(EXP(-($E751)*(AB648))-1)</f>
        <v>0</v>
      </c>
      <c r="AC751" s="72">
        <f>AC729*(EXP(-($E751)*(AC648))-1)</f>
        <v>0</v>
      </c>
      <c r="AD751" s="72">
        <f>AD729*(EXP(-($E751)*(AD648))-1)</f>
        <v>0</v>
      </c>
      <c r="AE751" s="72">
        <f>AE729*(EXP(-($E751)*(AE648))-1)</f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1357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>L730*(EXP(-($E752)*(L648))-1)</f>
        <v>0</v>
      </c>
      <c r="M752" s="72">
        <f>M730*(EXP(-($E752)*(M648))-1)</f>
        <v>0</v>
      </c>
      <c r="N752" s="72">
        <f>N730*(EXP(-($E752)*(N648))-1)</f>
        <v>0</v>
      </c>
      <c r="O752" s="72">
        <f>O730*(EXP(-($E752)*(O648))-1)</f>
        <v>0</v>
      </c>
      <c r="P752" s="72">
        <f>P730*(EXP(-($E752)*(P648))-1)</f>
        <v>0</v>
      </c>
      <c r="Q752" s="72">
        <f>Q730*(EXP(-($E752)*(Q648))-1)</f>
        <v>0</v>
      </c>
      <c r="R752" s="72">
        <f>R730*(EXP(-($E752)*(R648))-1)</f>
        <v>0</v>
      </c>
      <c r="S752" s="72">
        <f>S730*(EXP(-($E752)*(S648))-1)</f>
        <v>0</v>
      </c>
      <c r="T752" s="72">
        <f>T730*(EXP(-($E752)*(T648))-1)</f>
        <v>0</v>
      </c>
      <c r="U752" s="72">
        <f>U730*(EXP(-($E752)*(U648))-1)</f>
        <v>0</v>
      </c>
      <c r="V752" s="72">
        <f>V730*(EXP(-($E752)*(V648))-1)</f>
        <v>0</v>
      </c>
      <c r="W752" s="72">
        <f>W730*(EXP(-($E752)*(W648))-1)</f>
        <v>0</v>
      </c>
      <c r="X752" s="72">
        <f>X730*(EXP(-($E752)*(X648))-1)</f>
        <v>0</v>
      </c>
      <c r="Y752" s="72">
        <f>Y730*(EXP(-($E752)*(Y648))-1)</f>
        <v>0</v>
      </c>
      <c r="Z752" s="72">
        <f>Z730*(EXP(-($E752)*(Z648))-1)</f>
        <v>0</v>
      </c>
      <c r="AA752" s="72">
        <f>AA730*(EXP(-($E752)*(AA648))-1)</f>
        <v>0</v>
      </c>
      <c r="AB752" s="72">
        <f>AB730*(EXP(-($E752)*(AB648))-1)</f>
        <v>0</v>
      </c>
      <c r="AC752" s="72">
        <f>AC730*(EXP(-($E752)*(AC648))-1)</f>
        <v>0</v>
      </c>
      <c r="AD752" s="72">
        <f>AD730*(EXP(-($E752)*(AD648))-1)</f>
        <v>0</v>
      </c>
      <c r="AE752" s="72">
        <f>AE730*(EXP(-($E752)*(AE648))-1)</f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1408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>L731*(EXP(-($E753)*(L648))-1)</f>
        <v>0</v>
      </c>
      <c r="M753" s="72">
        <f>M731*(EXP(-($E753)*(M648))-1)</f>
        <v>0</v>
      </c>
      <c r="N753" s="72">
        <f>N731*(EXP(-($E753)*(N648))-1)</f>
        <v>0</v>
      </c>
      <c r="O753" s="72">
        <f>O731*(EXP(-($E753)*(O648))-1)</f>
        <v>0</v>
      </c>
      <c r="P753" s="72">
        <f>P731*(EXP(-($E753)*(P648))-1)</f>
        <v>0</v>
      </c>
      <c r="Q753" s="72">
        <f>Q731*(EXP(-($E753)*(Q648))-1)</f>
        <v>0</v>
      </c>
      <c r="R753" s="72">
        <f>R731*(EXP(-($E753)*(R648))-1)</f>
        <v>0</v>
      </c>
      <c r="S753" s="72">
        <f>S731*(EXP(-($E753)*(S648))-1)</f>
        <v>0</v>
      </c>
      <c r="T753" s="72">
        <f>T731*(EXP(-($E753)*(T648))-1)</f>
        <v>0</v>
      </c>
      <c r="U753" s="72">
        <f>U731*(EXP(-($E753)*(U648))-1)</f>
        <v>0</v>
      </c>
      <c r="V753" s="72">
        <f>V731*(EXP(-($E753)*(V648))-1)</f>
        <v>0</v>
      </c>
      <c r="W753" s="72">
        <f>W731*(EXP(-($E753)*(W648))-1)</f>
        <v>0</v>
      </c>
      <c r="X753" s="72">
        <f>X731*(EXP(-($E753)*(X648))-1)</f>
        <v>0</v>
      </c>
      <c r="Y753" s="72">
        <f>Y731*(EXP(-($E753)*(Y648))-1)</f>
        <v>0</v>
      </c>
      <c r="Z753" s="72">
        <f>Z731*(EXP(-($E753)*(Z648))-1)</f>
        <v>0</v>
      </c>
      <c r="AA753" s="72">
        <f>AA731*(EXP(-($E753)*(AA648))-1)</f>
        <v>0</v>
      </c>
      <c r="AB753" s="72">
        <f>AB731*(EXP(-($E753)*(AB648))-1)</f>
        <v>0</v>
      </c>
      <c r="AC753" s="72">
        <f>AC731*(EXP(-($E753)*(AC648))-1)</f>
        <v>0</v>
      </c>
      <c r="AD753" s="72">
        <f>AD731*(EXP(-($E753)*(AD648))-1)</f>
        <v>0</v>
      </c>
      <c r="AE753" s="72">
        <f>AE731*(EXP(-($E753)*(AE648))-1)</f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1409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>L732*(EXP(-($E754)*(L648))-1)</f>
        <v>0</v>
      </c>
      <c r="M754" s="72">
        <f>M732*(EXP(-($E754)*(M648))-1)</f>
        <v>0</v>
      </c>
      <c r="N754" s="72">
        <f>N732*(EXP(-($E754)*(N648))-1)</f>
        <v>0</v>
      </c>
      <c r="O754" s="72">
        <f>O732*(EXP(-($E754)*(O648))-1)</f>
        <v>0</v>
      </c>
      <c r="P754" s="72">
        <f>P732*(EXP(-($E754)*(P648))-1)</f>
        <v>0</v>
      </c>
      <c r="Q754" s="72">
        <f>Q732*(EXP(-($E754)*(Q648))-1)</f>
        <v>0</v>
      </c>
      <c r="R754" s="72">
        <f>R732*(EXP(-($E754)*(R648))-1)</f>
        <v>0</v>
      </c>
      <c r="S754" s="72">
        <f>S732*(EXP(-($E754)*(S648))-1)</f>
        <v>0</v>
      </c>
      <c r="T754" s="72">
        <f>T732*(EXP(-($E754)*(T648))-1)</f>
        <v>0</v>
      </c>
      <c r="U754" s="72">
        <f>U732*(EXP(-($E754)*(U648))-1)</f>
        <v>0</v>
      </c>
      <c r="V754" s="72">
        <f>V732*(EXP(-($E754)*(V648))-1)</f>
        <v>0</v>
      </c>
      <c r="W754" s="72">
        <f>W732*(EXP(-($E754)*(W648))-1)</f>
        <v>0</v>
      </c>
      <c r="X754" s="72">
        <f>X732*(EXP(-($E754)*(X648))-1)</f>
        <v>0</v>
      </c>
      <c r="Y754" s="72">
        <f>Y732*(EXP(-($E754)*(Y648))-1)</f>
        <v>0</v>
      </c>
      <c r="Z754" s="72">
        <f>Z732*(EXP(-($E754)*(Z648))-1)</f>
        <v>0</v>
      </c>
      <c r="AA754" s="72">
        <f>AA732*(EXP(-($E754)*(AA648))-1)</f>
        <v>0</v>
      </c>
      <c r="AB754" s="72">
        <f>AB732*(EXP(-($E754)*(AB648))-1)</f>
        <v>0</v>
      </c>
      <c r="AC754" s="72">
        <f>AC732*(EXP(-($E754)*(AC648))-1)</f>
        <v>0</v>
      </c>
      <c r="AD754" s="72">
        <f>AD732*(EXP(-($E754)*(AD648))-1)</f>
        <v>0</v>
      </c>
      <c r="AE754" s="72">
        <f>AE732*(EXP(-($E754)*(AE648))-1)</f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1410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>L733*(EXP(-($E755)*(L648))-1)</f>
        <v>0</v>
      </c>
      <c r="M755" s="72">
        <f>M733*(EXP(-($E755)*(M648))-1)</f>
        <v>0</v>
      </c>
      <c r="N755" s="72">
        <f>N733*(EXP(-($E755)*(N648))-1)</f>
        <v>0</v>
      </c>
      <c r="O755" s="72">
        <f>O733*(EXP(-($E755)*(O648))-1)</f>
        <v>0</v>
      </c>
      <c r="P755" s="72">
        <f>P733*(EXP(-($E755)*(P648))-1)</f>
        <v>0</v>
      </c>
      <c r="Q755" s="72">
        <f>Q733*(EXP(-($E755)*(Q648))-1)</f>
        <v>0</v>
      </c>
      <c r="R755" s="72">
        <f>R733*(EXP(-($E755)*(R648))-1)</f>
        <v>0</v>
      </c>
      <c r="S755" s="72">
        <f>S733*(EXP(-($E755)*(S648))-1)</f>
        <v>0</v>
      </c>
      <c r="T755" s="72">
        <f>T733*(EXP(-($E755)*(T648))-1)</f>
        <v>0</v>
      </c>
      <c r="U755" s="72">
        <f>U733*(EXP(-($E755)*(U648))-1)</f>
        <v>0</v>
      </c>
      <c r="V755" s="72">
        <f>V733*(EXP(-($E755)*(V648))-1)</f>
        <v>0</v>
      </c>
      <c r="W755" s="72">
        <f>W733*(EXP(-($E755)*(W648))-1)</f>
        <v>0</v>
      </c>
      <c r="X755" s="72">
        <f>X733*(EXP(-($E755)*(X648))-1)</f>
        <v>0</v>
      </c>
      <c r="Y755" s="72">
        <f>Y733*(EXP(-($E755)*(Y648))-1)</f>
        <v>0</v>
      </c>
      <c r="Z755" s="72">
        <f>Z733*(EXP(-($E755)*(Z648))-1)</f>
        <v>0</v>
      </c>
      <c r="AA755" s="72">
        <f>AA733*(EXP(-($E755)*(AA648))-1)</f>
        <v>0</v>
      </c>
      <c r="AB755" s="72">
        <f>AB733*(EXP(-($E755)*(AB648))-1)</f>
        <v>0</v>
      </c>
      <c r="AC755" s="72">
        <f>AC733*(EXP(-($E755)*(AC648))-1)</f>
        <v>0</v>
      </c>
      <c r="AD755" s="72">
        <f>AD733*(EXP(-($E755)*(AD648))-1)</f>
        <v>0</v>
      </c>
      <c r="AE755" s="72">
        <f>AE733*(EXP(-($E755)*(AE648))-1)</f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1383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>L734*(EXP(-($E756)*(L648))-1)</f>
        <v>0</v>
      </c>
      <c r="M756" s="72">
        <f>M734*(EXP(-($E756)*(M648))-1)</f>
        <v>0</v>
      </c>
      <c r="N756" s="72">
        <f>N734*(EXP(-($E756)*(N648))-1)</f>
        <v>0</v>
      </c>
      <c r="O756" s="72">
        <f>O734*(EXP(-($E756)*(O648))-1)</f>
        <v>0</v>
      </c>
      <c r="P756" s="72">
        <f>P734*(EXP(-($E756)*(P648))-1)</f>
        <v>0</v>
      </c>
      <c r="Q756" s="72">
        <f>Q734*(EXP(-($E756)*(Q648))-1)</f>
        <v>0</v>
      </c>
      <c r="R756" s="72">
        <f>R734*(EXP(-($E756)*(R648))-1)</f>
        <v>0</v>
      </c>
      <c r="S756" s="72">
        <f>S734*(EXP(-($E756)*(S648))-1)</f>
        <v>0</v>
      </c>
      <c r="T756" s="72">
        <f>T734*(EXP(-($E756)*(T648))-1)</f>
        <v>0</v>
      </c>
      <c r="U756" s="72">
        <f>U734*(EXP(-($E756)*(U648))-1)</f>
        <v>0</v>
      </c>
      <c r="V756" s="72">
        <f>V734*(EXP(-($E756)*(V648))-1)</f>
        <v>0</v>
      </c>
      <c r="W756" s="72">
        <f>W734*(EXP(-($E756)*(W648))-1)</f>
        <v>0</v>
      </c>
      <c r="X756" s="72">
        <f>X734*(EXP(-($E756)*(X648))-1)</f>
        <v>0</v>
      </c>
      <c r="Y756" s="72">
        <f>Y734*(EXP(-($E756)*(Y648))-1)</f>
        <v>0</v>
      </c>
      <c r="Z756" s="72">
        <f>Z734*(EXP(-($E756)*(Z648))-1)</f>
        <v>0</v>
      </c>
      <c r="AA756" s="72">
        <f>AA734*(EXP(-($E756)*(AA648))-1)</f>
        <v>0</v>
      </c>
      <c r="AB756" s="72">
        <f>AB734*(EXP(-($E756)*(AB648))-1)</f>
        <v>0</v>
      </c>
      <c r="AC756" s="72">
        <f>AC734*(EXP(-($E756)*(AC648))-1)</f>
        <v>0</v>
      </c>
      <c r="AD756" s="72">
        <f>AD734*(EXP(-($E756)*(AD648))-1)</f>
        <v>0</v>
      </c>
      <c r="AE756" s="72">
        <f>AE734*(EXP(-($E756)*(AE648))-1)</f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1411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>L735*(EXP(-($E757)*(L648))-1)</f>
        <v>0</v>
      </c>
      <c r="M757" s="72">
        <f>M735*(EXP(-($E757)*(M648))-1)</f>
        <v>0</v>
      </c>
      <c r="N757" s="72">
        <f>N735*(EXP(-($E757)*(N648))-1)</f>
        <v>0</v>
      </c>
      <c r="O757" s="72">
        <f>O735*(EXP(-($E757)*(O648))-1)</f>
        <v>0</v>
      </c>
      <c r="P757" s="72">
        <f>P735*(EXP(-($E757)*(P648))-1)</f>
        <v>0</v>
      </c>
      <c r="Q757" s="72">
        <f>Q735*(EXP(-($E757)*(Q648))-1)</f>
        <v>0</v>
      </c>
      <c r="R757" s="72">
        <f>R735*(EXP(-($E757)*(R648))-1)</f>
        <v>0</v>
      </c>
      <c r="S757" s="72">
        <f>S735*(EXP(-($E757)*(S648))-1)</f>
        <v>0</v>
      </c>
      <c r="T757" s="72">
        <f>T735*(EXP(-($E757)*(T648))-1)</f>
        <v>0</v>
      </c>
      <c r="U757" s="72">
        <f>U735*(EXP(-($E757)*(U648))-1)</f>
        <v>0</v>
      </c>
      <c r="V757" s="72">
        <f>V735*(EXP(-($E757)*(V648))-1)</f>
        <v>0</v>
      </c>
      <c r="W757" s="72">
        <f>W735*(EXP(-($E757)*(W648))-1)</f>
        <v>0</v>
      </c>
      <c r="X757" s="72">
        <f>X735*(EXP(-($E757)*(X648))-1)</f>
        <v>0</v>
      </c>
      <c r="Y757" s="72">
        <f>Y735*(EXP(-($E757)*(Y648))-1)</f>
        <v>0</v>
      </c>
      <c r="Z757" s="72">
        <f>Z735*(EXP(-($E757)*(Z648))-1)</f>
        <v>0</v>
      </c>
      <c r="AA757" s="72">
        <f>AA735*(EXP(-($E757)*(AA648))-1)</f>
        <v>0</v>
      </c>
      <c r="AB757" s="72">
        <f>AB735*(EXP(-($E757)*(AB648))-1)</f>
        <v>0</v>
      </c>
      <c r="AC757" s="72">
        <f>AC735*(EXP(-($E757)*(AC648))-1)</f>
        <v>0</v>
      </c>
      <c r="AD757" s="72">
        <f>AD735*(EXP(-($E757)*(AD648))-1)</f>
        <v>0</v>
      </c>
      <c r="AE757" s="72">
        <f>AE735*(EXP(-($E757)*(AE648))-1)</f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1397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>L736*(EXP(-($E758)*(L648))-1)</f>
        <v>0</v>
      </c>
      <c r="M758" s="72">
        <f>M736*(EXP(-($E758)*(M648))-1)</f>
        <v>0</v>
      </c>
      <c r="N758" s="72">
        <f>N736*(EXP(-($E758)*(N648))-1)</f>
        <v>0</v>
      </c>
      <c r="O758" s="72">
        <f>O736*(EXP(-($E758)*(O648))-1)</f>
        <v>0</v>
      </c>
      <c r="P758" s="72">
        <f>P736*(EXP(-($E758)*(P648))-1)</f>
        <v>0</v>
      </c>
      <c r="Q758" s="72">
        <f>Q736*(EXP(-($E758)*(Q648))-1)</f>
        <v>0</v>
      </c>
      <c r="R758" s="72">
        <f>R736*(EXP(-($E758)*(R648))-1)</f>
        <v>0</v>
      </c>
      <c r="S758" s="72">
        <f>S736*(EXP(-($E758)*(S648))-1)</f>
        <v>0</v>
      </c>
      <c r="T758" s="72">
        <f>T736*(EXP(-($E758)*(T648))-1)</f>
        <v>0</v>
      </c>
      <c r="U758" s="72">
        <f>U736*(EXP(-($E758)*(U648))-1)</f>
        <v>0</v>
      </c>
      <c r="V758" s="72">
        <f>V736*(EXP(-($E758)*(V648))-1)</f>
        <v>0</v>
      </c>
      <c r="W758" s="72">
        <f>W736*(EXP(-($E758)*(W648))-1)</f>
        <v>0</v>
      </c>
      <c r="X758" s="72">
        <f>X736*(EXP(-($E758)*(X648))-1)</f>
        <v>0</v>
      </c>
      <c r="Y758" s="72">
        <f>Y736*(EXP(-($E758)*(Y648))-1)</f>
        <v>0</v>
      </c>
      <c r="Z758" s="72">
        <f>Z736*(EXP(-($E758)*(Z648))-1)</f>
        <v>0</v>
      </c>
      <c r="AA758" s="72">
        <f>AA736*(EXP(-($E758)*(AA648))-1)</f>
        <v>0</v>
      </c>
      <c r="AB758" s="72">
        <f>AB736*(EXP(-($E758)*(AB648))-1)</f>
        <v>0</v>
      </c>
      <c r="AC758" s="72">
        <f>AC736*(EXP(-($E758)*(AC648))-1)</f>
        <v>0</v>
      </c>
      <c r="AD758" s="72">
        <f>AD736*(EXP(-($E758)*(AD648))-1)</f>
        <v>0</v>
      </c>
      <c r="AE758" s="72">
        <f>AE736*(EXP(-($E758)*(AE648))-1)</f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/>
      <c r="E759" s="72"/>
      <c r="F759" s="72"/>
      <c r="G759" s="70"/>
      <c r="H759" s="70"/>
      <c r="I759" s="72"/>
      <c r="J759" s="72"/>
      <c r="K759" s="72"/>
      <c r="L759" s="72">
        <f t="shared" ref="L759:AE759" si="321">SUM(L751:L758)</f>
        <v>0</v>
      </c>
      <c r="M759" s="72">
        <f t="shared" si="321"/>
        <v>0</v>
      </c>
      <c r="N759" s="72">
        <f t="shared" si="321"/>
        <v>0</v>
      </c>
      <c r="O759" s="72">
        <f t="shared" si="321"/>
        <v>0</v>
      </c>
      <c r="P759" s="72">
        <f t="shared" si="321"/>
        <v>0</v>
      </c>
      <c r="Q759" s="72">
        <f t="shared" si="321"/>
        <v>0</v>
      </c>
      <c r="R759" s="72">
        <f t="shared" si="321"/>
        <v>0</v>
      </c>
      <c r="S759" s="72">
        <f t="shared" si="321"/>
        <v>0</v>
      </c>
      <c r="T759" s="72">
        <f t="shared" si="321"/>
        <v>0</v>
      </c>
      <c r="U759" s="72">
        <f t="shared" si="321"/>
        <v>0</v>
      </c>
      <c r="V759" s="72">
        <f t="shared" si="321"/>
        <v>0</v>
      </c>
      <c r="W759" s="72">
        <f t="shared" si="321"/>
        <v>0</v>
      </c>
      <c r="X759" s="72">
        <f t="shared" si="321"/>
        <v>0</v>
      </c>
      <c r="Y759" s="72">
        <f t="shared" si="321"/>
        <v>0</v>
      </c>
      <c r="Z759" s="72">
        <f t="shared" si="321"/>
        <v>0</v>
      </c>
      <c r="AA759" s="72">
        <f t="shared" si="321"/>
        <v>0</v>
      </c>
      <c r="AB759" s="72">
        <f t="shared" si="321"/>
        <v>0</v>
      </c>
      <c r="AC759" s="72">
        <f t="shared" si="321"/>
        <v>0</v>
      </c>
      <c r="AD759" s="72">
        <f t="shared" si="321"/>
        <v>0</v>
      </c>
      <c r="AE759" s="72">
        <f t="shared" si="321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52"/>
      <c r="E760" s="70"/>
      <c r="F760" s="70"/>
      <c r="G760" s="70"/>
      <c r="H760" s="70"/>
      <c r="I760" s="70"/>
      <c r="J760" s="70"/>
      <c r="K760" s="72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</row>
    <row r="761" spans="1:35" x14ac:dyDescent="0.45">
      <c r="A761" s="70"/>
      <c r="B761" s="52"/>
      <c r="C761" s="73" t="s">
        <v>1491</v>
      </c>
      <c r="D761" s="73"/>
      <c r="E761" s="72" t="s">
        <v>1489</v>
      </c>
      <c r="F761" s="72" t="s">
        <v>1407</v>
      </c>
      <c r="G761" s="72" t="s">
        <v>1490</v>
      </c>
      <c r="H761" s="74"/>
      <c r="I761" s="74"/>
      <c r="J761" s="74"/>
      <c r="K761" s="74"/>
      <c r="L761" s="74">
        <f t="shared" ref="L761:AE761" si="322">L708</f>
        <v>2022</v>
      </c>
      <c r="M761" s="74">
        <f t="shared" si="322"/>
        <v>2023</v>
      </c>
      <c r="N761" s="74">
        <f t="shared" si="322"/>
        <v>2024</v>
      </c>
      <c r="O761" s="74">
        <f t="shared" si="322"/>
        <v>2025</v>
      </c>
      <c r="P761" s="74">
        <f t="shared" si="322"/>
        <v>2026</v>
      </c>
      <c r="Q761" s="74">
        <f t="shared" si="322"/>
        <v>2027</v>
      </c>
      <c r="R761" s="74">
        <f t="shared" si="322"/>
        <v>2028</v>
      </c>
      <c r="S761" s="74">
        <f t="shared" si="322"/>
        <v>2029</v>
      </c>
      <c r="T761" s="74">
        <f t="shared" si="322"/>
        <v>2030</v>
      </c>
      <c r="U761" s="74">
        <f t="shared" si="322"/>
        <v>2031</v>
      </c>
      <c r="V761" s="74">
        <f t="shared" si="322"/>
        <v>2032</v>
      </c>
      <c r="W761" s="74">
        <f t="shared" si="322"/>
        <v>2033</v>
      </c>
      <c r="X761" s="74">
        <f t="shared" si="322"/>
        <v>2034</v>
      </c>
      <c r="Y761" s="74">
        <f t="shared" si="322"/>
        <v>2035</v>
      </c>
      <c r="Z761" s="74">
        <f t="shared" si="322"/>
        <v>2036</v>
      </c>
      <c r="AA761" s="74">
        <f t="shared" si="322"/>
        <v>2037</v>
      </c>
      <c r="AB761" s="74">
        <f t="shared" si="322"/>
        <v>2038</v>
      </c>
      <c r="AC761" s="74">
        <f t="shared" si="322"/>
        <v>2039</v>
      </c>
      <c r="AD761" s="74">
        <f t="shared" si="322"/>
        <v>2040</v>
      </c>
      <c r="AE761" s="74">
        <f t="shared" si="322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82">
        <f>'Manual inputs'!E$40</f>
        <v>1.0536051565782599E-3</v>
      </c>
      <c r="F762" s="78">
        <f>'Manual inputs'!F$40</f>
        <v>0.1</v>
      </c>
      <c r="G762" s="72"/>
      <c r="H762" s="70"/>
      <c r="I762" s="70"/>
      <c r="J762" s="70"/>
      <c r="K762" s="70"/>
      <c r="L762" s="72">
        <f>L740*(EXP(-(E762)*(F709*L646+G709*L647))-1)</f>
        <v>0</v>
      </c>
      <c r="M762" s="72">
        <f>M740*(EXP(-(E762)*(F709*M646+G709*M647))-1)</f>
        <v>0</v>
      </c>
      <c r="N762" s="72">
        <f>N740*(EXP(-(E762)*(F709*N646+G709*N647))-1)</f>
        <v>0</v>
      </c>
      <c r="O762" s="72">
        <f>O740*(EXP(-(E762)*(F709*O646+G709*O647))-1)</f>
        <v>0</v>
      </c>
      <c r="P762" s="72">
        <f>P740*(EXP(-(E762)*(F709*P646+G709*P647))-1)</f>
        <v>0</v>
      </c>
      <c r="Q762" s="72">
        <f>Q740*(EXP(-(E762)*(F709*Q646+G709*Q647))-1)</f>
        <v>0</v>
      </c>
      <c r="R762" s="72">
        <f>R740*(EXP(-(E762)*(F709*R646+G709*R647))-1)</f>
        <v>0</v>
      </c>
      <c r="S762" s="72">
        <f>S740*(EXP(-(E762)*(F709*S646+G709*S647))-1)</f>
        <v>0</v>
      </c>
      <c r="T762" s="72">
        <f>T740*(EXP(-(E762)*(F709*T646+G709*T647))-1)</f>
        <v>0</v>
      </c>
      <c r="U762" s="72">
        <f>U740*(EXP(-(E762)*(F709*U646+G709*U647))-1)</f>
        <v>0</v>
      </c>
      <c r="V762" s="72">
        <f>V740*(EXP(-(E762)*(F709*V646+G709*V647))-1)</f>
        <v>0</v>
      </c>
      <c r="W762" s="72">
        <f>W740*(EXP(-(E762)*(F709*W646+G709*W647))-1)</f>
        <v>0</v>
      </c>
      <c r="X762" s="72">
        <f>X740*(EXP(-(E762)*(F709*X646+G709*X647))-1)</f>
        <v>0</v>
      </c>
      <c r="Y762" s="72">
        <f>Y740*(EXP(-(E762)*(F709*Y646+G709*Y647))-1)</f>
        <v>0</v>
      </c>
      <c r="Z762" s="72">
        <f>Z740*(EXP(-(E762)*(F709*Z646+G709*Z647))-1)</f>
        <v>0</v>
      </c>
      <c r="AA762" s="72">
        <f>AA740*(EXP(-(E762)*(F709*AA646+G709*AA647))-1)</f>
        <v>0</v>
      </c>
      <c r="AB762" s="72">
        <f>AB740*(EXP(-(E762)*(F709*AB646+G709*AB647))-1)</f>
        <v>0</v>
      </c>
      <c r="AC762" s="72">
        <f>AC740*(EXP(-(E762)*(F709*AC646+G709*AC647))-1)</f>
        <v>0</v>
      </c>
      <c r="AD762" s="72">
        <f>AD740*(EXP(-(E762)*(F709*AD646+G709*AD647))-1)</f>
        <v>0</v>
      </c>
      <c r="AE762" s="72">
        <f>AE740*(EXP(-(E762)*(F709*AE646+G709*AE647))-1)</f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1357</v>
      </c>
      <c r="E763" s="82">
        <f>'Manual inputs'!E$41</f>
        <v>2.0202707317519501E-4</v>
      </c>
      <c r="F763" s="78">
        <f>'Manual inputs'!F$41</f>
        <v>0.02</v>
      </c>
      <c r="G763" s="72"/>
      <c r="H763" s="70"/>
      <c r="I763" s="70"/>
      <c r="J763" s="70"/>
      <c r="K763" s="70"/>
      <c r="L763" s="72">
        <f>L741*(EXP(-(E763)*(F710*L646+G710*L647))-1)</f>
        <v>0</v>
      </c>
      <c r="M763" s="72">
        <f>M741*(EXP(-(E763)*(F710*M646+G710*M647))-1)</f>
        <v>0</v>
      </c>
      <c r="N763" s="72">
        <f>N741*(EXP(-(E763)*(F710*N646+G710*N647))-1)</f>
        <v>0</v>
      </c>
      <c r="O763" s="72">
        <f>O741*(EXP(-(E763)*(F710*O646+G710*O647))-1)</f>
        <v>0</v>
      </c>
      <c r="P763" s="72">
        <f>P741*(EXP(-(E763)*(F710*P646+G710*P647))-1)</f>
        <v>0</v>
      </c>
      <c r="Q763" s="72">
        <f>Q741*(EXP(-(E763)*(F710*Q646+G710*Q647))-1)</f>
        <v>0</v>
      </c>
      <c r="R763" s="72">
        <f>R741*(EXP(-(E763)*(F710*R646+G710*R647))-1)</f>
        <v>0</v>
      </c>
      <c r="S763" s="72">
        <f>S741*(EXP(-(E763)*(F710*S646+G710*S647))-1)</f>
        <v>0</v>
      </c>
      <c r="T763" s="72">
        <f>T741*(EXP(-(E763)*(F710*T646+G710*T647))-1)</f>
        <v>0</v>
      </c>
      <c r="U763" s="72">
        <f>U741*(EXP(-(E763)*(F710*U646+G710*U647))-1)</f>
        <v>0</v>
      </c>
      <c r="V763" s="72">
        <f>V741*(EXP(-(E763)*(F710*V646+G710*V647))-1)</f>
        <v>0</v>
      </c>
      <c r="W763" s="72">
        <f>W741*(EXP(-(E763)*(F710*W646+G710*W647))-1)</f>
        <v>0</v>
      </c>
      <c r="X763" s="72">
        <f>X741*(EXP(-(E763)*(F710*X646+G710*X647))-1)</f>
        <v>0</v>
      </c>
      <c r="Y763" s="72">
        <f>Y741*(EXP(-(E763)*(F710*Y646+G710*Y647))-1)</f>
        <v>0</v>
      </c>
      <c r="Z763" s="72">
        <f>Z741*(EXP(-(E763)*(F710*Z646+G710*Z647))-1)</f>
        <v>0</v>
      </c>
      <c r="AA763" s="72">
        <f>AA741*(EXP(-(E763)*(F710*AA646+G710*AA647))-1)</f>
        <v>0</v>
      </c>
      <c r="AB763" s="72">
        <f>AB741*(EXP(-(E763)*(F710*AB646+G710*AB647))-1)</f>
        <v>0</v>
      </c>
      <c r="AC763" s="72">
        <f>AC741*(EXP(-(E763)*(F710*AC646+G710*AC647))-1)</f>
        <v>0</v>
      </c>
      <c r="AD763" s="72">
        <f>AD741*(EXP(-(E763)*(F710*AD646+G710*AD647))-1)</f>
        <v>0</v>
      </c>
      <c r="AE763" s="72">
        <f>AE741*(EXP(-(E763)*(F710*AE646+G710*AE647))-1)</f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1408</v>
      </c>
      <c r="E764" s="82">
        <f>'Manual inputs'!E$42</f>
        <v>5.1293294387550598E-4</v>
      </c>
      <c r="F764" s="78">
        <f>'Manual inputs'!F$42</f>
        <v>0.05</v>
      </c>
      <c r="G764" s="72"/>
      <c r="H764" s="70"/>
      <c r="I764" s="70"/>
      <c r="J764" s="70"/>
      <c r="K764" s="70"/>
      <c r="L764" s="72">
        <f>L742*(EXP(-(E764)*(F711*L646+G711*L647))-1)</f>
        <v>0</v>
      </c>
      <c r="M764" s="72">
        <f>M742*(EXP(-(E764)*(F711*M646+G711*M647))-1)</f>
        <v>0</v>
      </c>
      <c r="N764" s="72">
        <f>N742*(EXP(-(E764)*(F711*N646+G711*N647))-1)</f>
        <v>0</v>
      </c>
      <c r="O764" s="72">
        <f>O742*(EXP(-(E764)*(F711*O646+G711*O647))-1)</f>
        <v>0</v>
      </c>
      <c r="P764" s="72">
        <f>P742*(EXP(-(E764)*(F711*P646+G711*P647))-1)</f>
        <v>0</v>
      </c>
      <c r="Q764" s="72">
        <f>Q742*(EXP(-(E764)*(F711*Q646+G711*Q647))-1)</f>
        <v>0</v>
      </c>
      <c r="R764" s="72">
        <f>R742*(EXP(-(E764)*(F711*R646+G711*R647))-1)</f>
        <v>0</v>
      </c>
      <c r="S764" s="72">
        <f>S742*(EXP(-(E764)*(F711*S646+G711*S647))-1)</f>
        <v>0</v>
      </c>
      <c r="T764" s="72">
        <f>T742*(EXP(-(E764)*(F711*T646+G711*T647))-1)</f>
        <v>0</v>
      </c>
      <c r="U764" s="72">
        <f>U742*(EXP(-(E764)*(F711*U646+G711*U647))-1)</f>
        <v>0</v>
      </c>
      <c r="V764" s="72">
        <f>V742*(EXP(-(E764)*(F711*V646+G711*V647))-1)</f>
        <v>0</v>
      </c>
      <c r="W764" s="72">
        <f>W742*(EXP(-(E764)*(F711*W646+G711*W647))-1)</f>
        <v>0</v>
      </c>
      <c r="X764" s="72">
        <f>X742*(EXP(-(E764)*(F711*X646+G711*X647))-1)</f>
        <v>0</v>
      </c>
      <c r="Y764" s="72">
        <f>Y742*(EXP(-(E764)*(F711*Y646+G711*Y647))-1)</f>
        <v>0</v>
      </c>
      <c r="Z764" s="72">
        <f>Z742*(EXP(-(E764)*(F711*Z646+G711*Z647))-1)</f>
        <v>0</v>
      </c>
      <c r="AA764" s="72">
        <f>AA742*(EXP(-(E764)*(F711*AA646+G711*AA647))-1)</f>
        <v>0</v>
      </c>
      <c r="AB764" s="72">
        <f>AB742*(EXP(-(E764)*(F711*AB646+G711*AB647))-1)</f>
        <v>0</v>
      </c>
      <c r="AC764" s="72">
        <f>AC742*(EXP(-(E764)*(F711*AC646+G711*AC647))-1)</f>
        <v>0</v>
      </c>
      <c r="AD764" s="72">
        <f>AD742*(EXP(-(E764)*(F711*AD646+G711*AD647))-1)</f>
        <v>0</v>
      </c>
      <c r="AE764" s="72">
        <f>AE742*(EXP(-(E764)*(F711*AE646+G711*AE647))-1)</f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1409</v>
      </c>
      <c r="E765" s="82">
        <f>'Manual inputs'!E$43</f>
        <v>8.3381608939051E-4</v>
      </c>
      <c r="F765" s="78">
        <f>'Manual inputs'!F$43</f>
        <v>0.08</v>
      </c>
      <c r="G765" s="72"/>
      <c r="H765" s="70"/>
      <c r="I765" s="70"/>
      <c r="J765" s="70"/>
      <c r="K765" s="70"/>
      <c r="L765" s="72">
        <f>L743*(EXP(-(E765)*(F712*L646+G712*L647))-1)</f>
        <v>0</v>
      </c>
      <c r="M765" s="72">
        <f>M743*(EXP(-(E765)*(F712*M646+G712*M647))-1)</f>
        <v>0</v>
      </c>
      <c r="N765" s="72">
        <f>N743*(EXP(-(E765)*(F712*N646+G712*N647))-1)</f>
        <v>0</v>
      </c>
      <c r="O765" s="72">
        <f>O743*(EXP(-(E765)*(F712*O646+G712*O647))-1)</f>
        <v>0</v>
      </c>
      <c r="P765" s="72">
        <f>P743*(EXP(-(E765)*(F712*P646+G712*P647))-1)</f>
        <v>0</v>
      </c>
      <c r="Q765" s="72">
        <f>Q743*(EXP(-(E765)*(F712*Q646+G712*Q647))-1)</f>
        <v>0</v>
      </c>
      <c r="R765" s="72">
        <f>R743*(EXP(-(E765)*(F712*R646+G712*R647))-1)</f>
        <v>0</v>
      </c>
      <c r="S765" s="72">
        <f>S743*(EXP(-(E765)*(F712*S646+G712*S647))-1)</f>
        <v>0</v>
      </c>
      <c r="T765" s="72">
        <f>T743*(EXP(-(E765)*(F712*T646+G712*T647))-1)</f>
        <v>0</v>
      </c>
      <c r="U765" s="72">
        <f>U743*(EXP(-(E765)*(F712*U646+G712*U647))-1)</f>
        <v>0</v>
      </c>
      <c r="V765" s="72">
        <f>V743*(EXP(-(E765)*(F712*V646+G712*V647))-1)</f>
        <v>0</v>
      </c>
      <c r="W765" s="72">
        <f>W743*(EXP(-(E765)*(F712*W646+G712*W647))-1)</f>
        <v>0</v>
      </c>
      <c r="X765" s="72">
        <f>X743*(EXP(-(E765)*(F712*X646+G712*X647))-1)</f>
        <v>0</v>
      </c>
      <c r="Y765" s="72">
        <f>Y743*(EXP(-(E765)*(F712*Y646+G712*Y647))-1)</f>
        <v>0</v>
      </c>
      <c r="Z765" s="72">
        <f>Z743*(EXP(-(E765)*(F712*Z646+G712*Z647))-1)</f>
        <v>0</v>
      </c>
      <c r="AA765" s="72">
        <f>AA743*(EXP(-(E765)*(F712*AA646+G712*AA647))-1)</f>
        <v>0</v>
      </c>
      <c r="AB765" s="72">
        <f>AB743*(EXP(-(E765)*(F712*AB646+G712*AB647))-1)</f>
        <v>0</v>
      </c>
      <c r="AC765" s="72">
        <f>AC743*(EXP(-(E765)*(F712*AC646+G712*AC647))-1)</f>
        <v>0</v>
      </c>
      <c r="AD765" s="72">
        <f>AD743*(EXP(-(E765)*(F712*AD646+G712*AD647))-1)</f>
        <v>0</v>
      </c>
      <c r="AE765" s="72">
        <f>AE743*(EXP(-(E765)*(F712*AE646+G712*AE647))-1)</f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1410</v>
      </c>
      <c r="E766" s="82">
        <f>'Manual inputs'!E$44</f>
        <v>1.98450938723838E-3</v>
      </c>
      <c r="F766" s="78">
        <f>'Manual inputs'!F$44</f>
        <v>0.18</v>
      </c>
      <c r="G766" s="72"/>
      <c r="H766" s="70"/>
      <c r="I766" s="70"/>
      <c r="J766" s="70"/>
      <c r="K766" s="70"/>
      <c r="L766" s="72">
        <f>L744*(EXP(-(E766)*(F713*L646+G713*L647))-1)</f>
        <v>0</v>
      </c>
      <c r="M766" s="72">
        <f>M744*(EXP(-(E766)*(F713*M646+G713*M647))-1)</f>
        <v>0</v>
      </c>
      <c r="N766" s="72">
        <f>N744*(EXP(-(E766)*(F713*N646+G713*N647))-1)</f>
        <v>0</v>
      </c>
      <c r="O766" s="72">
        <f>O744*(EXP(-(E766)*(F713*O646+G713*O647))-1)</f>
        <v>0</v>
      </c>
      <c r="P766" s="72">
        <f>P744*(EXP(-(E766)*(F713*P646+G713*P647))-1)</f>
        <v>0</v>
      </c>
      <c r="Q766" s="72">
        <f>Q744*(EXP(-(E766)*(F713*Q646+G713*Q647))-1)</f>
        <v>0</v>
      </c>
      <c r="R766" s="72">
        <f>R744*(EXP(-(E766)*(F713*R646+G713*R647))-1)</f>
        <v>0</v>
      </c>
      <c r="S766" s="72">
        <f>S744*(EXP(-(E766)*(F713*S646+G713*S647))-1)</f>
        <v>0</v>
      </c>
      <c r="T766" s="72">
        <f>T744*(EXP(-(E766)*(F713*T646+G713*T647))-1)</f>
        <v>0</v>
      </c>
      <c r="U766" s="72">
        <f>U744*(EXP(-(E766)*(F713*U646+G713*U647))-1)</f>
        <v>0</v>
      </c>
      <c r="V766" s="72">
        <f>V744*(EXP(-(E766)*(F713*V646+G713*V647))-1)</f>
        <v>0</v>
      </c>
      <c r="W766" s="72">
        <f>W744*(EXP(-(E766)*(F713*W646+G713*W647))-1)</f>
        <v>0</v>
      </c>
      <c r="X766" s="72">
        <f>X744*(EXP(-(E766)*(F713*X646+G713*X647))-1)</f>
        <v>0</v>
      </c>
      <c r="Y766" s="72">
        <f>Y744*(EXP(-(E766)*(F713*Y646+G713*Y647))-1)</f>
        <v>0</v>
      </c>
      <c r="Z766" s="72">
        <f>Z744*(EXP(-(E766)*(F713*Z646+G713*Z647))-1)</f>
        <v>0</v>
      </c>
      <c r="AA766" s="72">
        <f>AA744*(EXP(-(E766)*(F713*AA646+G713*AA647))-1)</f>
        <v>0</v>
      </c>
      <c r="AB766" s="72">
        <f>AB744*(EXP(-(E766)*(F713*AB646+G713*AB647))-1)</f>
        <v>0</v>
      </c>
      <c r="AC766" s="72">
        <f>AC744*(EXP(-(E766)*(F713*AC646+G713*AC647))-1)</f>
        <v>0</v>
      </c>
      <c r="AD766" s="72">
        <f>AD744*(EXP(-(E766)*(F713*AD646+G713*AD647))-1)</f>
        <v>0</v>
      </c>
      <c r="AE766" s="72">
        <f>AE744*(EXP(-(E766)*(F713*AE646+G713*AE647))-1)</f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1383</v>
      </c>
      <c r="E767" s="82">
        <f>'Manual inputs'!E$45</f>
        <v>0</v>
      </c>
      <c r="F767" s="78">
        <f>'Manual inputs'!F$45</f>
        <v>0</v>
      </c>
      <c r="G767" s="72"/>
      <c r="H767" s="70"/>
      <c r="I767" s="70"/>
      <c r="J767" s="70"/>
      <c r="K767" s="70"/>
      <c r="L767" s="72">
        <f>L745*(EXP(-(E767)*(F714*L646+G714*L647))-1)</f>
        <v>0</v>
      </c>
      <c r="M767" s="72">
        <f>M745*(EXP(-(E767)*(F714*M646+G714*M647))-1)</f>
        <v>0</v>
      </c>
      <c r="N767" s="72">
        <f>N745*(EXP(-(E767)*(F714*N646+G714*N647))-1)</f>
        <v>0</v>
      </c>
      <c r="O767" s="72">
        <f>O745*(EXP(-(E767)*(F714*O646+G714*O647))-1)</f>
        <v>0</v>
      </c>
      <c r="P767" s="72">
        <f>P745*(EXP(-(E767)*(F714*P646+G714*P647))-1)</f>
        <v>0</v>
      </c>
      <c r="Q767" s="72">
        <f>Q745*(EXP(-(E767)*(F714*Q646+G714*Q647))-1)</f>
        <v>0</v>
      </c>
      <c r="R767" s="72">
        <f>R745*(EXP(-(E767)*(F714*R646+G714*R647))-1)</f>
        <v>0</v>
      </c>
      <c r="S767" s="72">
        <f>S745*(EXP(-(E767)*(F714*S646+G714*S647))-1)</f>
        <v>0</v>
      </c>
      <c r="T767" s="72">
        <f>T745*(EXP(-(E767)*(F714*T646+G714*T647))-1)</f>
        <v>0</v>
      </c>
      <c r="U767" s="72">
        <f>U745*(EXP(-(E767)*(F714*U646+G714*U647))-1)</f>
        <v>0</v>
      </c>
      <c r="V767" s="72">
        <f>V745*(EXP(-(E767)*(F714*V646+G714*V647))-1)</f>
        <v>0</v>
      </c>
      <c r="W767" s="72">
        <f>W745*(EXP(-(E767)*(F714*W646+G714*W647))-1)</f>
        <v>0</v>
      </c>
      <c r="X767" s="72">
        <f>X745*(EXP(-(E767)*(F714*X646+G714*X647))-1)</f>
        <v>0</v>
      </c>
      <c r="Y767" s="72">
        <f>Y745*(EXP(-(E767)*(F714*Y646+G714*Y647))-1)</f>
        <v>0</v>
      </c>
      <c r="Z767" s="72">
        <f>Z745*(EXP(-(E767)*(F714*Z646+G714*Z647))-1)</f>
        <v>0</v>
      </c>
      <c r="AA767" s="72">
        <f>AA745*(EXP(-(E767)*(F714*AA646+G714*AA647))-1)</f>
        <v>0</v>
      </c>
      <c r="AB767" s="72">
        <f>AB745*(EXP(-(E767)*(F714*AB646+G714*AB647))-1)</f>
        <v>0</v>
      </c>
      <c r="AC767" s="72">
        <f>AC745*(EXP(-(E767)*(F714*AC646+G714*AC647))-1)</f>
        <v>0</v>
      </c>
      <c r="AD767" s="72">
        <f>AD745*(EXP(-(E767)*(F714*AD646+G714*AD647))-1)</f>
        <v>0</v>
      </c>
      <c r="AE767" s="72">
        <f>AE745*(EXP(-(E767)*(F714*AE646+G714*AE647))-1)</f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1411</v>
      </c>
      <c r="E768" s="82">
        <f>'Manual inputs'!E$46</f>
        <v>1.04982212449868E-2</v>
      </c>
      <c r="F768" s="78">
        <f>'Manual inputs'!F$46</f>
        <v>0.65</v>
      </c>
      <c r="G768" s="72"/>
      <c r="H768" s="70"/>
      <c r="I768" s="70"/>
      <c r="J768" s="70"/>
      <c r="K768" s="70"/>
      <c r="L768" s="72">
        <f>L746*(EXP(-(E768)*(F715*L646+G715*L647))-1)</f>
        <v>0</v>
      </c>
      <c r="M768" s="72">
        <f>M746*(EXP(-(E768)*(F715*M646+G715*M647))-1)</f>
        <v>0</v>
      </c>
      <c r="N768" s="72">
        <f>N746*(EXP(-(E768)*(F715*N646+G715*N647))-1)</f>
        <v>0</v>
      </c>
      <c r="O768" s="72">
        <f>O746*(EXP(-(E768)*(F715*O646+G715*O647))-1)</f>
        <v>0</v>
      </c>
      <c r="P768" s="72">
        <f>P746*(EXP(-(E768)*(F715*P646+G715*P647))-1)</f>
        <v>0</v>
      </c>
      <c r="Q768" s="72">
        <f>Q746*(EXP(-(E768)*(F715*Q646+G715*Q647))-1)</f>
        <v>0</v>
      </c>
      <c r="R768" s="72">
        <f>R746*(EXP(-(E768)*(F715*R646+G715*R647))-1)</f>
        <v>0</v>
      </c>
      <c r="S768" s="72">
        <f>S746*(EXP(-(E768)*(F715*S646+G715*S647))-1)</f>
        <v>0</v>
      </c>
      <c r="T768" s="72">
        <f>T746*(EXP(-(E768)*(F715*T646+G715*T647))-1)</f>
        <v>0</v>
      </c>
      <c r="U768" s="72">
        <f>U746*(EXP(-(E768)*(F715*U646+G715*U647))-1)</f>
        <v>0</v>
      </c>
      <c r="V768" s="72">
        <f>V746*(EXP(-(E768)*(F715*V646+G715*V647))-1)</f>
        <v>0</v>
      </c>
      <c r="W768" s="72">
        <f>W746*(EXP(-(E768)*(F715*W646+G715*W647))-1)</f>
        <v>0</v>
      </c>
      <c r="X768" s="72">
        <f>X746*(EXP(-(E768)*(F715*X646+G715*X647))-1)</f>
        <v>0</v>
      </c>
      <c r="Y768" s="72">
        <f>Y746*(EXP(-(E768)*(F715*Y646+G715*Y647))-1)</f>
        <v>0</v>
      </c>
      <c r="Z768" s="72">
        <f>Z746*(EXP(-(E768)*(F715*Z646+G715*Z647))-1)</f>
        <v>0</v>
      </c>
      <c r="AA768" s="72">
        <f>AA746*(EXP(-(E768)*(F715*AA646+G715*AA647))-1)</f>
        <v>0</v>
      </c>
      <c r="AB768" s="72">
        <f>AB746*(EXP(-(E768)*(F715*AB646+G715*AB647))-1)</f>
        <v>0</v>
      </c>
      <c r="AC768" s="72">
        <f>AC746*(EXP(-(E768)*(F715*AC646+G715*AC647))-1)</f>
        <v>0</v>
      </c>
      <c r="AD768" s="72">
        <f>AD746*(EXP(-(E768)*(F715*AD646+G715*AD647))-1)</f>
        <v>0</v>
      </c>
      <c r="AE768" s="72">
        <f>AE746*(EXP(-(E768)*(F715*AE646+G715*AE647))-1)</f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1397</v>
      </c>
      <c r="E769" s="82">
        <f>'Manual inputs'!E$47</f>
        <v>8.3381608939051E-4</v>
      </c>
      <c r="F769" s="78">
        <f>'Manual inputs'!F$47</f>
        <v>0.08</v>
      </c>
      <c r="G769" s="72"/>
      <c r="H769" s="72"/>
      <c r="I769" s="72"/>
      <c r="J769" s="72"/>
      <c r="K769" s="72"/>
      <c r="L769" s="72">
        <f>L747*(EXP(-(E769)*(F716*L646+G716*L647))-1)</f>
        <v>0</v>
      </c>
      <c r="M769" s="72">
        <f>M747*(EXP(-(E769)*(F716*M646+G716*M647))-1)</f>
        <v>0</v>
      </c>
      <c r="N769" s="72">
        <f>N747*(EXP(-(E769)*(F716*N646+G716*N647))-1)</f>
        <v>0</v>
      </c>
      <c r="O769" s="72">
        <f>O747*(EXP(-(E769)*(F716*O646+G716*O647))-1)</f>
        <v>0</v>
      </c>
      <c r="P769" s="72">
        <f>P747*(EXP(-(E769)*(F716*P646+G716*P647))-1)</f>
        <v>0</v>
      </c>
      <c r="Q769" s="72">
        <f>Q747*(EXP(-(E769)*(F716*Q646+G716*Q647))-1)</f>
        <v>0</v>
      </c>
      <c r="R769" s="72">
        <f>R747*(EXP(-(E769)*(F716*R646+G716*R647))-1)</f>
        <v>0</v>
      </c>
      <c r="S769" s="72">
        <f>S747*(EXP(-(E769)*(F716*S646+G716*S647))-1)</f>
        <v>0</v>
      </c>
      <c r="T769" s="72">
        <f>T747*(EXP(-(E769)*(F716*T646+G716*T647))-1)</f>
        <v>0</v>
      </c>
      <c r="U769" s="72">
        <f>U747*(EXP(-(E769)*(F716*U646+G716*U647))-1)</f>
        <v>0</v>
      </c>
      <c r="V769" s="72">
        <f>V747*(EXP(-(E769)*(F716*V646+G716*V647))-1)</f>
        <v>0</v>
      </c>
      <c r="W769" s="72">
        <f>W747*(EXP(-(E769)*(F716*W646+G716*W647))-1)</f>
        <v>0</v>
      </c>
      <c r="X769" s="72">
        <f>X747*(EXP(-(E769)*(F716*X646+G716*X647))-1)</f>
        <v>0</v>
      </c>
      <c r="Y769" s="72">
        <f>Y747*(EXP(-(E769)*(F716*Y646+G716*Y647))-1)</f>
        <v>0</v>
      </c>
      <c r="Z769" s="72">
        <f>Z747*(EXP(-(E769)*(F716*Z646+G716*Z647))-1)</f>
        <v>0</v>
      </c>
      <c r="AA769" s="72">
        <f>AA747*(EXP(-(E769)*(F716*AA646+G716*AA647))-1)</f>
        <v>0</v>
      </c>
      <c r="AB769" s="72">
        <f>AB747*(EXP(-(E769)*(F716*AB646+G716*AB647))-1)</f>
        <v>0</v>
      </c>
      <c r="AC769" s="72">
        <f>AC747*(EXP(-(E769)*(F716*AC646+G716*AC647))-1)</f>
        <v>0</v>
      </c>
      <c r="AD769" s="72">
        <f>AD747*(EXP(-(E769)*(F716*AD646+G716*AD647))-1)</f>
        <v>0</v>
      </c>
      <c r="AE769" s="72">
        <f>AE747*(EXP(-(E769)*(F716*AE646+G716*AE647))-1)</f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1492</v>
      </c>
      <c r="H770" s="87" t="str">
        <f>Settings!$B$3&amp;".mit.emr."&amp;G770&amp;"."&amp;$J$404</f>
        <v>egy.mit.emr.cbam.tot.2</v>
      </c>
      <c r="I770" s="72"/>
      <c r="J770" s="72"/>
      <c r="K770" s="72"/>
      <c r="L770" s="72">
        <f t="shared" ref="L770:AE770" si="323">SUM(L762:L769)</f>
        <v>0</v>
      </c>
      <c r="M770" s="72">
        <f t="shared" si="323"/>
        <v>0</v>
      </c>
      <c r="N770" s="72">
        <f t="shared" si="323"/>
        <v>0</v>
      </c>
      <c r="O770" s="72">
        <f t="shared" si="323"/>
        <v>0</v>
      </c>
      <c r="P770" s="72">
        <f t="shared" si="323"/>
        <v>0</v>
      </c>
      <c r="Q770" s="72">
        <f t="shared" si="323"/>
        <v>0</v>
      </c>
      <c r="R770" s="72">
        <f t="shared" si="323"/>
        <v>0</v>
      </c>
      <c r="S770" s="72">
        <f t="shared" si="323"/>
        <v>0</v>
      </c>
      <c r="T770" s="72">
        <f t="shared" si="323"/>
        <v>0</v>
      </c>
      <c r="U770" s="72">
        <f t="shared" si="323"/>
        <v>0</v>
      </c>
      <c r="V770" s="72">
        <f t="shared" si="323"/>
        <v>0</v>
      </c>
      <c r="W770" s="72">
        <f t="shared" si="323"/>
        <v>0</v>
      </c>
      <c r="X770" s="72">
        <f t="shared" si="323"/>
        <v>0</v>
      </c>
      <c r="Y770" s="72">
        <f t="shared" si="323"/>
        <v>0</v>
      </c>
      <c r="Z770" s="72">
        <f t="shared" si="323"/>
        <v>0</v>
      </c>
      <c r="AA770" s="72">
        <f t="shared" si="323"/>
        <v>0</v>
      </c>
      <c r="AB770" s="72">
        <f t="shared" si="323"/>
        <v>0</v>
      </c>
      <c r="AC770" s="72">
        <f t="shared" si="323"/>
        <v>0</v>
      </c>
      <c r="AD770" s="72">
        <f t="shared" si="323"/>
        <v>0</v>
      </c>
      <c r="AE770" s="72">
        <f t="shared" si="323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0"/>
      <c r="E771" s="70"/>
      <c r="F771" s="70"/>
      <c r="G771" s="70"/>
      <c r="H771" s="70"/>
      <c r="I771" s="70"/>
      <c r="J771" s="70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0"/>
      <c r="AG771" s="70"/>
      <c r="AH771" s="70"/>
      <c r="AI771" s="70"/>
    </row>
    <row r="772" spans="1:35" x14ac:dyDescent="0.45">
      <c r="A772" s="70"/>
      <c r="B772" s="52"/>
      <c r="C772" s="73" t="s">
        <v>1493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1494</v>
      </c>
      <c r="H773" s="87" t="str">
        <f>Settings!$B$3&amp;".mit.cpe.ind.mch."&amp;$J$404</f>
        <v>egy.mit.cpe.ind.mch.2</v>
      </c>
      <c r="I773" s="70"/>
      <c r="J773" s="70"/>
      <c r="K773" s="72"/>
      <c r="L773" s="72">
        <f t="shared" ref="L773:AE773" si="324">SUM(L733:L735)+SUM(L755:L757)</f>
        <v>3.5290636333347374</v>
      </c>
      <c r="M773" s="72">
        <f t="shared" si="324"/>
        <v>3.6067030332681016</v>
      </c>
      <c r="N773" s="72">
        <f t="shared" si="324"/>
        <v>3.6860504999999999</v>
      </c>
      <c r="O773" s="72">
        <f t="shared" si="324"/>
        <v>3.7671436109999994</v>
      </c>
      <c r="P773" s="72">
        <f t="shared" si="324"/>
        <v>3.8500207704419993</v>
      </c>
      <c r="Q773" s="72">
        <f t="shared" si="324"/>
        <v>3.9347212273917234</v>
      </c>
      <c r="R773" s="72">
        <f t="shared" si="324"/>
        <v>4.0212850943943419</v>
      </c>
      <c r="S773" s="72">
        <f t="shared" si="324"/>
        <v>4.1097533664710166</v>
      </c>
      <c r="T773" s="72">
        <f t="shared" si="324"/>
        <v>4.2001679405333787</v>
      </c>
      <c r="U773" s="72">
        <f t="shared" si="324"/>
        <v>4.292571635225114</v>
      </c>
      <c r="V773" s="72">
        <f t="shared" si="324"/>
        <v>4.3870082112000661</v>
      </c>
      <c r="W773" s="72">
        <f t="shared" si="324"/>
        <v>4.4835223918464688</v>
      </c>
      <c r="X773" s="72">
        <f t="shared" si="324"/>
        <v>4.5821598844670905</v>
      </c>
      <c r="Y773" s="72">
        <f t="shared" si="324"/>
        <v>4.6829674019253673</v>
      </c>
      <c r="Z773" s="72">
        <f t="shared" si="324"/>
        <v>4.7859926847677254</v>
      </c>
      <c r="AA773" s="72">
        <f t="shared" si="324"/>
        <v>4.8912845238326152</v>
      </c>
      <c r="AB773" s="72">
        <f t="shared" si="324"/>
        <v>4.9988927833569319</v>
      </c>
      <c r="AC773" s="72">
        <f t="shared" si="324"/>
        <v>5.1088684245907858</v>
      </c>
      <c r="AD773" s="72">
        <f t="shared" si="324"/>
        <v>5.2212635299317824</v>
      </c>
      <c r="AE773" s="72">
        <f t="shared" si="324"/>
        <v>5.336131327590282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1495</v>
      </c>
      <c r="H774" s="87" t="str">
        <f>Settings!$B$3&amp;".mit.cpe.ind.irn."&amp;$J$404</f>
        <v>egy.mit.cpe.ind.irn.2</v>
      </c>
      <c r="I774" s="70"/>
      <c r="J774" s="70"/>
      <c r="K774" s="72"/>
      <c r="L774" s="72">
        <f t="shared" ref="L774:AE774" si="325">SUM(L729:L731)+SUM(L751:L753)</f>
        <v>3.8464212577619237</v>
      </c>
      <c r="M774" s="72">
        <f t="shared" si="325"/>
        <v>4.0156637931034478</v>
      </c>
      <c r="N774" s="72">
        <f t="shared" si="325"/>
        <v>4.1923530000000007</v>
      </c>
      <c r="O774" s="72">
        <f t="shared" si="325"/>
        <v>4.3768165320000012</v>
      </c>
      <c r="P774" s="72">
        <f t="shared" si="325"/>
        <v>4.5693964594080008</v>
      </c>
      <c r="Q774" s="72">
        <f t="shared" si="325"/>
        <v>4.7704499036219534</v>
      </c>
      <c r="R774" s="72">
        <f t="shared" si="325"/>
        <v>4.9803496993813186</v>
      </c>
      <c r="S774" s="72">
        <f t="shared" si="325"/>
        <v>5.1994850861540982</v>
      </c>
      <c r="T774" s="72">
        <f t="shared" si="325"/>
        <v>5.4282624299448781</v>
      </c>
      <c r="U774" s="72">
        <f t="shared" si="325"/>
        <v>5.6671059768624525</v>
      </c>
      <c r="V774" s="72">
        <f t="shared" si="325"/>
        <v>5.9164586398444019</v>
      </c>
      <c r="W774" s="72">
        <f t="shared" si="325"/>
        <v>6.1767828199975545</v>
      </c>
      <c r="X774" s="72">
        <f t="shared" si="325"/>
        <v>6.4485612640774477</v>
      </c>
      <c r="Y774" s="72">
        <f t="shared" si="325"/>
        <v>6.7322979596968553</v>
      </c>
      <c r="Z774" s="72">
        <f t="shared" si="325"/>
        <v>7.0285190699235169</v>
      </c>
      <c r="AA774" s="72">
        <f t="shared" si="325"/>
        <v>7.3377739090001519</v>
      </c>
      <c r="AB774" s="72">
        <f t="shared" si="325"/>
        <v>7.6606359609961583</v>
      </c>
      <c r="AC774" s="72">
        <f t="shared" si="325"/>
        <v>7.9977039432799906</v>
      </c>
      <c r="AD774" s="72">
        <f t="shared" si="325"/>
        <v>8.3496029167843098</v>
      </c>
      <c r="AE774" s="72">
        <f t="shared" si="325"/>
        <v>8.7169854451228197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1496</v>
      </c>
      <c r="H775" s="87" t="str">
        <f>Settings!$B$3&amp;".mit.cpe.ind.nfm."&amp;$J$404</f>
        <v>egy.mit.cpe.ind.nfm.2</v>
      </c>
      <c r="I775" s="70"/>
      <c r="J775" s="70"/>
      <c r="K775" s="72"/>
      <c r="L775" s="72">
        <f t="shared" ref="L775:AE775" si="326">L736+L758</f>
        <v>4.2047573055412055E-2</v>
      </c>
      <c r="M775" s="72">
        <f t="shared" si="326"/>
        <v>4.4360189573459712E-2</v>
      </c>
      <c r="N775" s="72">
        <f t="shared" si="326"/>
        <v>4.6799999999999994E-2</v>
      </c>
      <c r="O775" s="72">
        <f t="shared" si="326"/>
        <v>4.9374000000000001E-2</v>
      </c>
      <c r="P775" s="72">
        <f t="shared" si="326"/>
        <v>5.2089569999999995E-2</v>
      </c>
      <c r="Q775" s="72">
        <f t="shared" si="326"/>
        <v>5.4954496349999993E-2</v>
      </c>
      <c r="R775" s="72">
        <f t="shared" si="326"/>
        <v>5.7976993649249998E-2</v>
      </c>
      <c r="S775" s="72">
        <f t="shared" si="326"/>
        <v>6.1165728299958741E-2</v>
      </c>
      <c r="T775" s="72">
        <f t="shared" si="326"/>
        <v>6.4529843356456465E-2</v>
      </c>
      <c r="U775" s="72">
        <f t="shared" si="326"/>
        <v>6.8078984741061568E-2</v>
      </c>
      <c r="V775" s="72">
        <f t="shared" si="326"/>
        <v>7.1823328901819944E-2</v>
      </c>
      <c r="W775" s="72">
        <f t="shared" si="326"/>
        <v>7.5773611991420048E-2</v>
      </c>
      <c r="X775" s="72">
        <f t="shared" si="326"/>
        <v>7.9941160650948154E-2</v>
      </c>
      <c r="Y775" s="72">
        <f t="shared" si="326"/>
        <v>8.4337924486750301E-2</v>
      </c>
      <c r="Z775" s="72">
        <f t="shared" si="326"/>
        <v>8.8976510333521566E-2</v>
      </c>
      <c r="AA775" s="72">
        <f t="shared" si="326"/>
        <v>9.3870218401865241E-2</v>
      </c>
      <c r="AB775" s="72">
        <f t="shared" si="326"/>
        <v>9.9033080413967828E-2</v>
      </c>
      <c r="AC775" s="72">
        <f t="shared" si="326"/>
        <v>0.10447989983673606</v>
      </c>
      <c r="AD775" s="72">
        <f t="shared" si="326"/>
        <v>0.11022629432775652</v>
      </c>
      <c r="AE775" s="72">
        <f t="shared" si="326"/>
        <v>0.11628874051578311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1497</v>
      </c>
      <c r="H776" s="87" t="str">
        <f>Settings!$B$3&amp;".mit.cpe.ind.mac."&amp;$J$404</f>
        <v>egy.mit.cpe.ind.mac.2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1498</v>
      </c>
      <c r="H777" s="87" t="str">
        <f>Settings!$B$3&amp;".mit.cpe.ind.cem."&amp;$J$404</f>
        <v>egy.mit.cpe.ind.cem.2</v>
      </c>
      <c r="I777" s="70"/>
      <c r="J777" s="70"/>
      <c r="K777" s="72"/>
      <c r="L777" s="72">
        <f t="shared" ref="L777:AE777" si="327">L732+L754</f>
        <v>13.508713893592759</v>
      </c>
      <c r="M777" s="72">
        <f t="shared" si="327"/>
        <v>13.954501452081319</v>
      </c>
      <c r="N777" s="72">
        <f t="shared" si="327"/>
        <v>14.414999999999999</v>
      </c>
      <c r="O777" s="72">
        <f t="shared" si="327"/>
        <v>14.890694999999997</v>
      </c>
      <c r="P777" s="72">
        <f t="shared" si="327"/>
        <v>15.382087934999998</v>
      </c>
      <c r="Q777" s="72">
        <f t="shared" si="327"/>
        <v>15.889696836854995</v>
      </c>
      <c r="R777" s="72">
        <f t="shared" si="327"/>
        <v>16.414056832471207</v>
      </c>
      <c r="S777" s="72">
        <f t="shared" si="327"/>
        <v>16.955720707942756</v>
      </c>
      <c r="T777" s="72">
        <f t="shared" si="327"/>
        <v>17.515259491304867</v>
      </c>
      <c r="U777" s="72">
        <f t="shared" si="327"/>
        <v>18.093263054517926</v>
      </c>
      <c r="V777" s="72">
        <f t="shared" si="327"/>
        <v>18.690340735317015</v>
      </c>
      <c r="W777" s="72">
        <f t="shared" si="327"/>
        <v>19.307121979582476</v>
      </c>
      <c r="X777" s="72">
        <f t="shared" si="327"/>
        <v>19.944257004908696</v>
      </c>
      <c r="Y777" s="72">
        <f t="shared" si="327"/>
        <v>20.602417486070681</v>
      </c>
      <c r="Z777" s="72">
        <f t="shared" si="327"/>
        <v>21.282297263111012</v>
      </c>
      <c r="AA777" s="72">
        <f t="shared" si="327"/>
        <v>21.984613072793675</v>
      </c>
      <c r="AB777" s="72">
        <f t="shared" si="327"/>
        <v>22.710105304195867</v>
      </c>
      <c r="AC777" s="72">
        <f t="shared" si="327"/>
        <v>23.459538779234329</v>
      </c>
      <c r="AD777" s="72">
        <f t="shared" si="327"/>
        <v>24.23370355894906</v>
      </c>
      <c r="AE777" s="72">
        <f t="shared" si="327"/>
        <v>25.033415776394378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1492</v>
      </c>
      <c r="H778" s="87" t="str">
        <f>Settings!$B$3&amp;".mit.emis.cbam.tot."&amp;$J$404</f>
        <v>egy.mit.emis.cbam.tot.2</v>
      </c>
      <c r="I778" s="72"/>
      <c r="J778" s="72"/>
      <c r="K778" s="72"/>
      <c r="L778" s="72">
        <f t="shared" ref="L778:AE778" si="328">SUM(L773:L777)</f>
        <v>20.926246357744834</v>
      </c>
      <c r="M778" s="72">
        <f t="shared" si="328"/>
        <v>21.621228468026327</v>
      </c>
      <c r="N778" s="72">
        <f t="shared" si="328"/>
        <v>22.340203500000001</v>
      </c>
      <c r="O778" s="72">
        <f t="shared" si="328"/>
        <v>23.084029142999999</v>
      </c>
      <c r="P778" s="72">
        <f t="shared" si="328"/>
        <v>23.853594734849999</v>
      </c>
      <c r="Q778" s="72">
        <f t="shared" si="328"/>
        <v>24.649822464218673</v>
      </c>
      <c r="R778" s="72">
        <f t="shared" si="328"/>
        <v>25.473668619896117</v>
      </c>
      <c r="S778" s="72">
        <f t="shared" si="328"/>
        <v>26.326124888867831</v>
      </c>
      <c r="T778" s="72">
        <f t="shared" si="328"/>
        <v>27.20821970513958</v>
      </c>
      <c r="U778" s="72">
        <f t="shared" si="328"/>
        <v>28.121019651346558</v>
      </c>
      <c r="V778" s="72">
        <f t="shared" si="328"/>
        <v>29.065630915263306</v>
      </c>
      <c r="W778" s="72">
        <f t="shared" si="328"/>
        <v>30.043200803417918</v>
      </c>
      <c r="X778" s="72">
        <f t="shared" si="328"/>
        <v>31.054919314104183</v>
      </c>
      <c r="Y778" s="72">
        <f t="shared" si="328"/>
        <v>32.102020772179657</v>
      </c>
      <c r="Z778" s="72">
        <f t="shared" si="328"/>
        <v>33.185785528135774</v>
      </c>
      <c r="AA778" s="72">
        <f t="shared" si="328"/>
        <v>34.307541724028304</v>
      </c>
      <c r="AB778" s="72">
        <f t="shared" si="328"/>
        <v>35.46866712896292</v>
      </c>
      <c r="AC778" s="72">
        <f t="shared" si="328"/>
        <v>36.670591046941837</v>
      </c>
      <c r="AD778" s="72">
        <f t="shared" si="328"/>
        <v>37.914796299992908</v>
      </c>
      <c r="AE778" s="72">
        <f t="shared" si="328"/>
        <v>39.202821289623259</v>
      </c>
      <c r="AF778" s="70"/>
      <c r="AG778" s="70"/>
      <c r="AH778" s="70"/>
      <c r="AI778" s="70"/>
    </row>
    <row r="779" spans="1:35" x14ac:dyDescent="0.45">
      <c r="A779" s="70"/>
      <c r="B779" s="52"/>
      <c r="C779" s="70"/>
      <c r="D779" s="52"/>
      <c r="E779" s="70"/>
      <c r="F779" s="70"/>
      <c r="G779" s="70"/>
      <c r="H779" s="70"/>
      <c r="I779" s="70"/>
      <c r="J779" s="70"/>
      <c r="K779" s="72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  <c r="AH779" s="70"/>
      <c r="AI779" s="70"/>
    </row>
    <row r="780" spans="1:35" x14ac:dyDescent="0.45">
      <c r="A780" s="70"/>
      <c r="B780" s="52"/>
      <c r="C780" s="70"/>
      <c r="D780" s="52"/>
      <c r="E780" s="70"/>
      <c r="F780" s="70"/>
      <c r="G780" s="70"/>
      <c r="H780" s="70"/>
      <c r="I780" s="70"/>
      <c r="J780" s="70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0"/>
      <c r="AG780" s="70"/>
      <c r="AH780" s="70"/>
      <c r="AI780" s="70"/>
    </row>
    <row r="781" spans="1:35" x14ac:dyDescent="0.45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0"/>
      <c r="E782" s="70"/>
      <c r="F782" s="70"/>
      <c r="G782" s="70"/>
      <c r="H782" s="70"/>
      <c r="I782" s="70"/>
      <c r="J782" s="70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0"/>
      <c r="AG782" s="70"/>
      <c r="AH782" s="70"/>
      <c r="AI782" s="70"/>
    </row>
    <row r="783" spans="1:35" x14ac:dyDescent="0.45">
      <c r="A783" s="70"/>
      <c r="B783" s="52"/>
      <c r="C783" s="73" t="s">
        <v>1499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1494</v>
      </c>
      <c r="H784" s="87" t="str">
        <f>Settings!$B$3&amp;".mit.cpe."&amp;G784&amp;"."&amp;$J$404</f>
        <v>egy.mit.cpe.ind.mch.2</v>
      </c>
      <c r="I784" s="70"/>
      <c r="J784" s="70"/>
      <c r="K784" s="72"/>
      <c r="L784" s="72">
        <f t="shared" ref="L784:AE784" si="329">SUM(L744:L746)+SUM(L766:L768)</f>
        <v>0.55721293959505358</v>
      </c>
      <c r="M784" s="72">
        <f t="shared" si="329"/>
        <v>0.56947162426614473</v>
      </c>
      <c r="N784" s="72">
        <f t="shared" si="329"/>
        <v>0.58199999999999996</v>
      </c>
      <c r="O784" s="72">
        <f t="shared" si="329"/>
        <v>0.594804</v>
      </c>
      <c r="P784" s="72">
        <f t="shared" si="329"/>
        <v>0.60788968800000009</v>
      </c>
      <c r="Q784" s="72">
        <f t="shared" si="329"/>
        <v>0.62126326113599994</v>
      </c>
      <c r="R784" s="72">
        <f t="shared" si="329"/>
        <v>0.63493105288099194</v>
      </c>
      <c r="S784" s="72">
        <f t="shared" si="329"/>
        <v>0.64889953604437378</v>
      </c>
      <c r="T784" s="72">
        <f t="shared" si="329"/>
        <v>0.66317532583735006</v>
      </c>
      <c r="U784" s="72">
        <f t="shared" si="329"/>
        <v>0.67776518300577182</v>
      </c>
      <c r="V784" s="72">
        <f t="shared" si="329"/>
        <v>0.69267601703189885</v>
      </c>
      <c r="W784" s="72">
        <f t="shared" si="329"/>
        <v>0.70791488940660052</v>
      </c>
      <c r="X784" s="72">
        <f t="shared" si="329"/>
        <v>0.72348901697354573</v>
      </c>
      <c r="Y784" s="72">
        <f t="shared" si="329"/>
        <v>0.73940577534696372</v>
      </c>
      <c r="Z784" s="72">
        <f t="shared" si="329"/>
        <v>0.75567270240459705</v>
      </c>
      <c r="AA784" s="72">
        <f t="shared" si="329"/>
        <v>0.77229750185749824</v>
      </c>
      <c r="AB784" s="72">
        <f t="shared" si="329"/>
        <v>0.78928804689836318</v>
      </c>
      <c r="AC784" s="72">
        <f t="shared" si="329"/>
        <v>0.80665238393012717</v>
      </c>
      <c r="AD784" s="72">
        <f t="shared" si="329"/>
        <v>0.82439873637659</v>
      </c>
      <c r="AE784" s="72">
        <f t="shared" si="329"/>
        <v>0.84253550857687498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1495</v>
      </c>
      <c r="H785" s="87" t="str">
        <f>Settings!$B$3&amp;".mit.cpe."&amp;G785&amp;"."&amp;$J$404</f>
        <v>egy.mit.cpe.ind.irn.2</v>
      </c>
      <c r="I785" s="70"/>
      <c r="J785" s="70"/>
      <c r="K785" s="72"/>
      <c r="L785" s="72">
        <f t="shared" ref="L785:AE785" si="330">SUM(L740:L742)+SUM(L762:L764)</f>
        <v>0.25322587748271458</v>
      </c>
      <c r="M785" s="72">
        <f t="shared" si="330"/>
        <v>0.26436781609195403</v>
      </c>
      <c r="N785" s="72">
        <f t="shared" si="330"/>
        <v>0.27599999999999997</v>
      </c>
      <c r="O785" s="72">
        <f t="shared" si="330"/>
        <v>0.28814400000000001</v>
      </c>
      <c r="P785" s="72">
        <f t="shared" si="330"/>
        <v>0.30082233600000008</v>
      </c>
      <c r="Q785" s="72">
        <f t="shared" si="330"/>
        <v>0.31405851878400004</v>
      </c>
      <c r="R785" s="72">
        <f t="shared" si="330"/>
        <v>0.32787709361049611</v>
      </c>
      <c r="S785" s="72">
        <f t="shared" si="330"/>
        <v>0.34230368572935788</v>
      </c>
      <c r="T785" s="72">
        <f t="shared" si="330"/>
        <v>0.35736504790144968</v>
      </c>
      <c r="U785" s="72">
        <f t="shared" si="330"/>
        <v>0.37308911000911349</v>
      </c>
      <c r="V785" s="72">
        <f t="shared" si="330"/>
        <v>0.38950503084951449</v>
      </c>
      <c r="W785" s="72">
        <f t="shared" si="330"/>
        <v>0.40664325220689312</v>
      </c>
      <c r="X785" s="72">
        <f t="shared" si="330"/>
        <v>0.42453555530399645</v>
      </c>
      <c r="Y785" s="72">
        <f t="shared" si="330"/>
        <v>0.44321511973737227</v>
      </c>
      <c r="Z785" s="72">
        <f t="shared" si="330"/>
        <v>0.46271658500581669</v>
      </c>
      <c r="AA785" s="72">
        <f t="shared" si="330"/>
        <v>0.48307611474607259</v>
      </c>
      <c r="AB785" s="72">
        <f t="shared" si="330"/>
        <v>0.5043314637948999</v>
      </c>
      <c r="AC785" s="72">
        <f t="shared" si="330"/>
        <v>0.52652204820187531</v>
      </c>
      <c r="AD785" s="72">
        <f t="shared" si="330"/>
        <v>0.54968901832275785</v>
      </c>
      <c r="AE785" s="72">
        <f t="shared" si="330"/>
        <v>0.57387533512895927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1496</v>
      </c>
      <c r="H786" s="87" t="str">
        <f>Settings!$B$3&amp;".mit.cpe."&amp;G786&amp;"."&amp;$J$404</f>
        <v>egy.mit.cpe.ind.nfm.2</v>
      </c>
      <c r="I786" s="70"/>
      <c r="J786" s="70"/>
      <c r="K786" s="72"/>
      <c r="L786" s="72">
        <f t="shared" ref="L786:AE786" si="331">L747+L769</f>
        <v>0.63340895307832257</v>
      </c>
      <c r="M786" s="72">
        <f t="shared" si="331"/>
        <v>0.66824644549763035</v>
      </c>
      <c r="N786" s="72">
        <f t="shared" si="331"/>
        <v>0.70499999999999996</v>
      </c>
      <c r="O786" s="72">
        <f t="shared" si="331"/>
        <v>0.74377499999999996</v>
      </c>
      <c r="P786" s="72">
        <f t="shared" si="331"/>
        <v>0.78468262499999997</v>
      </c>
      <c r="Q786" s="72">
        <f t="shared" si="331"/>
        <v>0.82784016937499993</v>
      </c>
      <c r="R786" s="72">
        <f t="shared" si="331"/>
        <v>0.87337137869062498</v>
      </c>
      <c r="S786" s="72">
        <f t="shared" si="331"/>
        <v>0.92140680451860935</v>
      </c>
      <c r="T786" s="72">
        <f t="shared" si="331"/>
        <v>0.97208417876713282</v>
      </c>
      <c r="U786" s="72">
        <f t="shared" si="331"/>
        <v>1.025548808599325</v>
      </c>
      <c r="V786" s="72">
        <f t="shared" si="331"/>
        <v>1.0819539930722879</v>
      </c>
      <c r="W786" s="72">
        <f t="shared" si="331"/>
        <v>1.1414614626912638</v>
      </c>
      <c r="X786" s="72">
        <f t="shared" si="331"/>
        <v>1.2042418431392832</v>
      </c>
      <c r="Y786" s="72">
        <f t="shared" si="331"/>
        <v>1.2704751445119435</v>
      </c>
      <c r="Z786" s="72">
        <f t="shared" si="331"/>
        <v>1.3403512774601003</v>
      </c>
      <c r="AA786" s="72">
        <f t="shared" si="331"/>
        <v>1.4140705977204062</v>
      </c>
      <c r="AB786" s="72">
        <f t="shared" si="331"/>
        <v>1.4918444805950282</v>
      </c>
      <c r="AC786" s="72">
        <f t="shared" si="331"/>
        <v>1.5738959270277546</v>
      </c>
      <c r="AD786" s="72">
        <f t="shared" si="331"/>
        <v>1.660460203014281</v>
      </c>
      <c r="AE786" s="72">
        <f t="shared" si="331"/>
        <v>1.7517855141800662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1497</v>
      </c>
      <c r="H787" s="87" t="str">
        <f>Settings!$B$3&amp;".mit.cpe."&amp;G787&amp;"."&amp;$J$404</f>
        <v>egy.mit.cpe.ind.mac.2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1498</v>
      </c>
      <c r="H788" s="87" t="str">
        <f>Settings!$B$3&amp;".mit.cpe."&amp;G788&amp;"."&amp;$J$404</f>
        <v>egy.mit.cpe.ind.cem.2</v>
      </c>
      <c r="I788" s="70"/>
      <c r="J788" s="70"/>
      <c r="K788" s="72"/>
      <c r="L788" s="72">
        <f t="shared" ref="L788:AE788" si="332">L743+L765</f>
        <v>24.646491529759945</v>
      </c>
      <c r="M788" s="72">
        <f t="shared" si="332"/>
        <v>25.459825750242022</v>
      </c>
      <c r="N788" s="72">
        <f t="shared" si="332"/>
        <v>26.3</v>
      </c>
      <c r="O788" s="72">
        <f t="shared" si="332"/>
        <v>27.167899999999999</v>
      </c>
      <c r="P788" s="72">
        <f t="shared" si="332"/>
        <v>28.064440699999995</v>
      </c>
      <c r="Q788" s="72">
        <f t="shared" si="332"/>
        <v>28.990567243099992</v>
      </c>
      <c r="R788" s="72">
        <f t="shared" si="332"/>
        <v>29.947255962122291</v>
      </c>
      <c r="S788" s="72">
        <f t="shared" si="332"/>
        <v>30.935515408872323</v>
      </c>
      <c r="T788" s="72">
        <f t="shared" si="332"/>
        <v>31.956387417365111</v>
      </c>
      <c r="U788" s="72">
        <f t="shared" si="332"/>
        <v>33.010948202138152</v>
      </c>
      <c r="V788" s="72">
        <f t="shared" si="332"/>
        <v>34.100309492808705</v>
      </c>
      <c r="W788" s="72">
        <f t="shared" si="332"/>
        <v>35.225619706071399</v>
      </c>
      <c r="X788" s="72">
        <f t="shared" si="332"/>
        <v>36.388065156371745</v>
      </c>
      <c r="Y788" s="72">
        <f t="shared" si="332"/>
        <v>37.588871306532013</v>
      </c>
      <c r="Z788" s="72">
        <f t="shared" si="332"/>
        <v>38.829304059647569</v>
      </c>
      <c r="AA788" s="72">
        <f t="shared" si="332"/>
        <v>40.110671093615935</v>
      </c>
      <c r="AB788" s="72">
        <f t="shared" si="332"/>
        <v>41.434323239705257</v>
      </c>
      <c r="AC788" s="72">
        <f t="shared" si="332"/>
        <v>42.801655906615522</v>
      </c>
      <c r="AD788" s="72">
        <f t="shared" si="332"/>
        <v>44.214110551533835</v>
      </c>
      <c r="AE788" s="72">
        <f t="shared" si="332"/>
        <v>45.673176199734449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1492</v>
      </c>
      <c r="H789" s="87" t="str">
        <f>Settings!$B$3&amp;".mit.emis."&amp;G789&amp;"."&amp;$J$404</f>
        <v>egy.mit.emis.cbam.tot.2</v>
      </c>
      <c r="I789" s="72"/>
      <c r="J789" s="72"/>
      <c r="K789" s="72"/>
      <c r="L789" s="72">
        <f t="shared" ref="L789:AE789" si="333">SUM(L784:L788)</f>
        <v>26.090339299916035</v>
      </c>
      <c r="M789" s="72">
        <f t="shared" si="333"/>
        <v>26.961911636097749</v>
      </c>
      <c r="N789" s="72">
        <f t="shared" si="333"/>
        <v>27.863</v>
      </c>
      <c r="O789" s="72">
        <f t="shared" si="333"/>
        <v>28.794623000000001</v>
      </c>
      <c r="P789" s="72">
        <f t="shared" si="333"/>
        <v>29.757835348999997</v>
      </c>
      <c r="Q789" s="72">
        <f t="shared" si="333"/>
        <v>30.753729192394992</v>
      </c>
      <c r="R789" s="72">
        <f t="shared" si="333"/>
        <v>31.783435487304406</v>
      </c>
      <c r="S789" s="72">
        <f t="shared" si="333"/>
        <v>32.848125435164661</v>
      </c>
      <c r="T789" s="72">
        <f t="shared" si="333"/>
        <v>33.949011969871044</v>
      </c>
      <c r="U789" s="72">
        <f t="shared" si="333"/>
        <v>35.087351303752364</v>
      </c>
      <c r="V789" s="72">
        <f t="shared" si="333"/>
        <v>36.264444533762408</v>
      </c>
      <c r="W789" s="72">
        <f t="shared" si="333"/>
        <v>37.481639310376153</v>
      </c>
      <c r="X789" s="72">
        <f t="shared" si="333"/>
        <v>38.740331571788573</v>
      </c>
      <c r="Y789" s="72">
        <f t="shared" si="333"/>
        <v>40.041967346128295</v>
      </c>
      <c r="Z789" s="72">
        <f t="shared" si="333"/>
        <v>41.388044624518081</v>
      </c>
      <c r="AA789" s="72">
        <f t="shared" si="333"/>
        <v>42.780115307939909</v>
      </c>
      <c r="AB789" s="72">
        <f t="shared" si="333"/>
        <v>44.219787230993546</v>
      </c>
      <c r="AC789" s="72">
        <f t="shared" si="333"/>
        <v>45.708726265775283</v>
      </c>
      <c r="AD789" s="72">
        <f t="shared" si="333"/>
        <v>47.248658509247463</v>
      </c>
      <c r="AE789" s="72">
        <f t="shared" si="333"/>
        <v>48.841372557620346</v>
      </c>
      <c r="AF789" s="70"/>
      <c r="AG789" s="70"/>
      <c r="AH789" s="70"/>
      <c r="AI789" s="70"/>
    </row>
    <row r="790" spans="1:35" x14ac:dyDescent="0.45">
      <c r="A790" s="70"/>
      <c r="B790" s="52"/>
      <c r="C790" s="73" t="s">
        <v>1500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34">L761</f>
        <v>2022</v>
      </c>
      <c r="M790" s="74">
        <f t="shared" si="334"/>
        <v>2023</v>
      </c>
      <c r="N790" s="74">
        <f t="shared" si="334"/>
        <v>2024</v>
      </c>
      <c r="O790" s="74">
        <f t="shared" si="334"/>
        <v>2025</v>
      </c>
      <c r="P790" s="74">
        <f t="shared" si="334"/>
        <v>2026</v>
      </c>
      <c r="Q790" s="74">
        <f t="shared" si="334"/>
        <v>2027</v>
      </c>
      <c r="R790" s="74">
        <f t="shared" si="334"/>
        <v>2028</v>
      </c>
      <c r="S790" s="74">
        <f t="shared" si="334"/>
        <v>2029</v>
      </c>
      <c r="T790" s="74">
        <f t="shared" si="334"/>
        <v>2030</v>
      </c>
      <c r="U790" s="74">
        <f t="shared" si="334"/>
        <v>2031</v>
      </c>
      <c r="V790" s="74">
        <f t="shared" si="334"/>
        <v>2032</v>
      </c>
      <c r="W790" s="74">
        <f t="shared" si="334"/>
        <v>2033</v>
      </c>
      <c r="X790" s="74">
        <f t="shared" si="334"/>
        <v>2034</v>
      </c>
      <c r="Y790" s="74">
        <f t="shared" si="334"/>
        <v>2035</v>
      </c>
      <c r="Z790" s="74">
        <f t="shared" si="334"/>
        <v>2036</v>
      </c>
      <c r="AA790" s="74">
        <f t="shared" si="334"/>
        <v>2037</v>
      </c>
      <c r="AB790" s="74">
        <f t="shared" si="334"/>
        <v>2038</v>
      </c>
      <c r="AC790" s="74">
        <f t="shared" si="334"/>
        <v>2039</v>
      </c>
      <c r="AD790" s="74">
        <f t="shared" si="334"/>
        <v>2040</v>
      </c>
      <c r="AE790" s="74">
        <f t="shared" si="334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>L740*(L646*F698+L647*G698)</f>
        <v>0</v>
      </c>
      <c r="M791" s="72">
        <f>M740*(M646*F698+M647*G698)</f>
        <v>0</v>
      </c>
      <c r="N791" s="72">
        <f>N740*(N646*F698+N647*G698)</f>
        <v>0</v>
      </c>
      <c r="O791" s="72">
        <f>O740*(O646*F698+O647*G698)</f>
        <v>0</v>
      </c>
      <c r="P791" s="72">
        <f>P740*(P646*F698+P647*G698)</f>
        <v>0</v>
      </c>
      <c r="Q791" s="72">
        <f>Q740*(Q646*F698+Q647*G698)</f>
        <v>2.9016276192000006</v>
      </c>
      <c r="R791" s="72">
        <f>R740*(R646*F698+R647*G698)</f>
        <v>6.0585984688896017</v>
      </c>
      <c r="S791" s="72">
        <f>S740*(S646*F698+S647*G698)</f>
        <v>9.4877652022811176</v>
      </c>
      <c r="T791" s="72">
        <f>T740*(T646*F698+T647*G698)</f>
        <v>13.206969161575316</v>
      </c>
      <c r="U791" s="72">
        <f>U740*(U646*F698+U647*G698)</f>
        <v>17.235094755855787</v>
      </c>
      <c r="V791" s="72">
        <f>V740*(V646*F698+V647*G698)</f>
        <v>21.592126710136128</v>
      </c>
      <c r="W791" s="72">
        <f>W740*(W646*F698+W647*G698)</f>
        <v>26.299210332945808</v>
      </c>
      <c r="X791" s="72">
        <f>X740*(X646*F698+X647*G698)</f>
        <v>31.378714957251912</v>
      </c>
      <c r="Y791" s="72">
        <f>Y740*(Y646*F698+Y647*G698)</f>
        <v>36.854300717292375</v>
      </c>
      <c r="Z791" s="72">
        <f>Z740*(Z646*F698+Z647*G698)</f>
        <v>42.750988832059157</v>
      </c>
      <c r="AA791" s="72">
        <f>AA740*(AA646*F698+AA647*G698)</f>
        <v>49.095235574736733</v>
      </c>
      <c r="AB791" s="72">
        <f>AB740*(AB646*F698+AB647*G698)</f>
        <v>55.91501011639108</v>
      </c>
      <c r="AC791" s="72">
        <f>AC740*(AC646*F698+AC647*G698)</f>
        <v>63.239876441638302</v>
      </c>
      <c r="AD791" s="72">
        <f>AD740*(AD646*F698+AD647*G698)</f>
        <v>71.101079543921955</v>
      </c>
      <c r="AE791" s="72">
        <f>AE740*(AE646*F698+AE647*G698)</f>
        <v>79.531636118415562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1357</v>
      </c>
      <c r="E792" s="70"/>
      <c r="F792" s="70"/>
      <c r="G792" s="70"/>
      <c r="H792" s="70"/>
      <c r="I792" s="70"/>
      <c r="J792" s="70"/>
      <c r="K792" s="72"/>
      <c r="L792" s="72">
        <f>L741*(L646*F699+L647*G699)</f>
        <v>0</v>
      </c>
      <c r="M792" s="72">
        <f>M741*(M646*F699+M647*G699)</f>
        <v>0</v>
      </c>
      <c r="N792" s="72">
        <f>N741*(N646*F699+N647*G699)</f>
        <v>0</v>
      </c>
      <c r="O792" s="72">
        <f>O741*(O646*F699+O647*G699)</f>
        <v>0</v>
      </c>
      <c r="P792" s="72">
        <f>P741*(P646*F699+P647*G699)</f>
        <v>0</v>
      </c>
      <c r="Q792" s="72">
        <f>Q741*(Q646*F699+Q647*G699)</f>
        <v>1.0241038655999999</v>
      </c>
      <c r="R792" s="72">
        <f>R741*(R646*F699+R647*G699)</f>
        <v>2.1383288713728001</v>
      </c>
      <c r="S792" s="72">
        <f>S741*(S646*F699+S647*G699)</f>
        <v>3.3486230125698047</v>
      </c>
      <c r="T792" s="72">
        <f>T741*(T646*F699+T647*G699)</f>
        <v>4.6612832334971683</v>
      </c>
      <c r="U792" s="72">
        <f>U741*(U646*F699+U647*G699)</f>
        <v>6.0829746197138057</v>
      </c>
      <c r="V792" s="72">
        <f>V741*(V646*F699+V647*G699)</f>
        <v>7.6207506035774566</v>
      </c>
      <c r="W792" s="72">
        <f>W741*(W646*F699+W647*G699)</f>
        <v>9.2820742351573404</v>
      </c>
      <c r="X792" s="72">
        <f>X741*(X646*F699+X647*G699)</f>
        <v>11.07484057314773</v>
      </c>
      <c r="Y792" s="72">
        <f>Y741*(Y646*F699+Y647*G699)</f>
        <v>13.007400253162009</v>
      </c>
      <c r="Z792" s="72">
        <f>Z741*(Z646*F699+Z647*G699)</f>
        <v>15.088584293667932</v>
      </c>
      <c r="AA792" s="72">
        <f>AA741*(AA646*F699+AA647*G699)</f>
        <v>17.327730202848251</v>
      </c>
      <c r="AB792" s="72">
        <f>AB741*(AB646*F699+AB647*G699)</f>
        <v>19.734709452843898</v>
      </c>
      <c r="AC792" s="72">
        <f>AC741*(AC646*F699+AC647*G699)</f>
        <v>22.319956391166446</v>
      </c>
      <c r="AD792" s="72">
        <f>AD741*(AD646*F699+AD647*G699)</f>
        <v>25.094498662560675</v>
      </c>
      <c r="AE792" s="72">
        <f>AE741*(AE646*F699+AE647*G699)</f>
        <v>28.069989218264308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1363</v>
      </c>
      <c r="E793" s="70"/>
      <c r="F793" s="70"/>
      <c r="G793" s="70"/>
      <c r="H793" s="70"/>
      <c r="I793" s="70"/>
      <c r="J793" s="70"/>
      <c r="K793" s="72"/>
      <c r="L793" s="72">
        <f>L742*(L646*F700+L647*G700)</f>
        <v>0</v>
      </c>
      <c r="M793" s="72">
        <f>M742*(M646*F700+M647*G700)</f>
        <v>0</v>
      </c>
      <c r="N793" s="72">
        <f>N742*(N646*F700+N647*G700)</f>
        <v>0</v>
      </c>
      <c r="O793" s="72">
        <f>O742*(O646*F700+O647*G700)</f>
        <v>0</v>
      </c>
      <c r="P793" s="72">
        <f>P742*(P646*F700+P647*G700)</f>
        <v>0</v>
      </c>
      <c r="Q793" s="72">
        <f>Q742*(Q646*F700+Q647*G700)</f>
        <v>0</v>
      </c>
      <c r="R793" s="72">
        <f>R742*(R646*F700+R647*G700)</f>
        <v>0</v>
      </c>
      <c r="S793" s="72">
        <f>S742*(S646*F700+S647*G700)</f>
        <v>0</v>
      </c>
      <c r="T793" s="72">
        <f>T742*(T646*F700+T647*G700)</f>
        <v>0</v>
      </c>
      <c r="U793" s="72">
        <f>U742*(U646*F700+U647*G700)</f>
        <v>0</v>
      </c>
      <c r="V793" s="72">
        <f>V742*(V646*F700+V647*G700)</f>
        <v>0</v>
      </c>
      <c r="W793" s="72">
        <f>W742*(W646*F700+W647*G700)</f>
        <v>0</v>
      </c>
      <c r="X793" s="72">
        <f>X742*(X646*F700+X647*G700)</f>
        <v>0</v>
      </c>
      <c r="Y793" s="72">
        <f>Y742*(Y646*F700+Y647*G700)</f>
        <v>0</v>
      </c>
      <c r="Z793" s="72">
        <f>Z742*(Z646*F700+Z647*G700)</f>
        <v>0</v>
      </c>
      <c r="AA793" s="72">
        <f>AA742*(AA646*F700+AA647*G700)</f>
        <v>0</v>
      </c>
      <c r="AB793" s="72">
        <f>AB742*(AB646*F700+AB647*G700)</f>
        <v>0</v>
      </c>
      <c r="AC793" s="72">
        <f>AC742*(AC646*F700+AC647*G700)</f>
        <v>0</v>
      </c>
      <c r="AD793" s="72">
        <f>AD742*(AD646*F700+AD647*G700)</f>
        <v>0</v>
      </c>
      <c r="AE793" s="72">
        <f>AE742*(AE646*F700+AE647*G700)</f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1369</v>
      </c>
      <c r="E794" s="70"/>
      <c r="F794" s="70"/>
      <c r="G794" s="70"/>
      <c r="H794" s="70"/>
      <c r="I794" s="70"/>
      <c r="J794" s="70"/>
      <c r="K794" s="72"/>
      <c r="L794" s="72">
        <f>L743*(L646*F701+L647*G701)</f>
        <v>0</v>
      </c>
      <c r="M794" s="72">
        <f>M743*(M646*F701+M647*G701)</f>
        <v>0</v>
      </c>
      <c r="N794" s="72">
        <f>N743*(N646*F701+N647*G701)</f>
        <v>0</v>
      </c>
      <c r="O794" s="72">
        <f>O743*(O646*F701+O647*G701)</f>
        <v>0</v>
      </c>
      <c r="P794" s="72">
        <f>P743*(P646*F701+P647*G701)</f>
        <v>0</v>
      </c>
      <c r="Q794" s="72">
        <f>Q743*(Q646*F701+Q647*G701)</f>
        <v>362.38209053874988</v>
      </c>
      <c r="R794" s="72">
        <f>R743*(R646*F701+R647*G701)</f>
        <v>748.68139905305725</v>
      </c>
      <c r="S794" s="72">
        <f>S743*(S646*F701+S647*G701)</f>
        <v>1160.0818278327122</v>
      </c>
      <c r="T794" s="72">
        <f>T743*(T646*F701+T647*G701)</f>
        <v>1597.8193708682556</v>
      </c>
      <c r="U794" s="72">
        <f>U743*(U646*F701+U647*G701)</f>
        <v>2063.1842626336347</v>
      </c>
      <c r="V794" s="72">
        <f>V743*(V646*F701+V647*G701)</f>
        <v>2557.523211960653</v>
      </c>
      <c r="W794" s="72">
        <f>W743*(W646*F701+W647*G701)</f>
        <v>3082.2417242812476</v>
      </c>
      <c r="X794" s="72">
        <f>X743*(X646*F701+X647*G701)</f>
        <v>3638.8065156371745</v>
      </c>
      <c r="Y794" s="72">
        <f>Y743*(Y646*F701+Y647*G701)</f>
        <v>4228.7480219848512</v>
      </c>
      <c r="Z794" s="72">
        <f>Z743*(Z646*F701+Z647*G701)</f>
        <v>4853.6630074559462</v>
      </c>
      <c r="AA794" s="72">
        <f>AA743*(AA646*F701+AA647*G701)</f>
        <v>5515.2172753721907</v>
      </c>
      <c r="AB794" s="72">
        <f>AB743*(AB646*F701+AB647*G701)</f>
        <v>6215.1484859557886</v>
      </c>
      <c r="AC794" s="72">
        <f>AC743*(AC646*F701+AC647*G701)</f>
        <v>6955.2690848250222</v>
      </c>
      <c r="AD794" s="72">
        <f>AD743*(AD646*F701+AD647*G701)</f>
        <v>7737.4693465184209</v>
      </c>
      <c r="AE794" s="72">
        <f>AE743*(AE646*F701+AE647*G701)</f>
        <v>8563.72053745021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1442</v>
      </c>
      <c r="E795" s="70"/>
      <c r="F795" s="70"/>
      <c r="G795" s="70"/>
      <c r="H795" s="70"/>
      <c r="I795" s="70"/>
      <c r="J795" s="70"/>
      <c r="K795" s="72"/>
      <c r="L795" s="72">
        <f>L744*(L646*F702+L647*G702)</f>
        <v>0</v>
      </c>
      <c r="M795" s="72">
        <f>M744*(M646*F702+M647*G702)</f>
        <v>0</v>
      </c>
      <c r="N795" s="72">
        <f>N744*(N646*F702+N647*G702)</f>
        <v>0</v>
      </c>
      <c r="O795" s="72">
        <f>O744*(O646*F702+O647*G702)</f>
        <v>0</v>
      </c>
      <c r="P795" s="72">
        <f>P744*(P646*F702+P647*G702)</f>
        <v>0</v>
      </c>
      <c r="Q795" s="72">
        <f>Q744*(Q646*F702+Q647*G702)</f>
        <v>0</v>
      </c>
      <c r="R795" s="72">
        <f>R744*(R646*F702+R647*G702)</f>
        <v>0</v>
      </c>
      <c r="S795" s="72">
        <f>S744*(S646*F702+S647*G702)</f>
        <v>0</v>
      </c>
      <c r="T795" s="72">
        <f>T744*(T646*F702+T647*G702)</f>
        <v>0</v>
      </c>
      <c r="U795" s="72">
        <f>U744*(U646*F702+U647*G702)</f>
        <v>0</v>
      </c>
      <c r="V795" s="72">
        <f>V744*(V646*F702+V647*G702)</f>
        <v>0</v>
      </c>
      <c r="W795" s="72">
        <f>W744*(W646*F702+W647*G702)</f>
        <v>0</v>
      </c>
      <c r="X795" s="72">
        <f>X744*(X646*F702+X647*G702)</f>
        <v>0</v>
      </c>
      <c r="Y795" s="72">
        <f>Y744*(Y646*F702+Y647*G702)</f>
        <v>0</v>
      </c>
      <c r="Z795" s="72">
        <f>Z744*(Z646*F702+Z647*G702)</f>
        <v>0</v>
      </c>
      <c r="AA795" s="72">
        <f>AA744*(AA646*F702+AA647*G702)</f>
        <v>0</v>
      </c>
      <c r="AB795" s="72">
        <f>AB744*(AB646*F702+AB647*G702)</f>
        <v>0</v>
      </c>
      <c r="AC795" s="72">
        <f>AC744*(AC646*F702+AC647*G702)</f>
        <v>0</v>
      </c>
      <c r="AD795" s="72">
        <f>AD744*(AD646*F702+AD647*G702)</f>
        <v>0</v>
      </c>
      <c r="AE795" s="72">
        <f>AE744*(AE646*F702+AE647*G702)</f>
        <v>0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1383</v>
      </c>
      <c r="E796" s="70"/>
      <c r="F796" s="70"/>
      <c r="G796" s="70"/>
      <c r="H796" s="70"/>
      <c r="I796" s="70"/>
      <c r="J796" s="70"/>
      <c r="K796" s="72"/>
      <c r="L796" s="72">
        <f>L745*(L646*F703+L647*G703)</f>
        <v>0</v>
      </c>
      <c r="M796" s="72">
        <f>M745*(M646*F703+M647*G703)</f>
        <v>0</v>
      </c>
      <c r="N796" s="72">
        <f>N745*(N646*F703+N647*G703)</f>
        <v>0</v>
      </c>
      <c r="O796" s="72">
        <f>O745*(O646*F703+O647*G703)</f>
        <v>0</v>
      </c>
      <c r="P796" s="72">
        <f>P745*(P646*F703+P647*G703)</f>
        <v>0</v>
      </c>
      <c r="Q796" s="72">
        <f>Q745*(Q646*F703+Q647*G703)</f>
        <v>0</v>
      </c>
      <c r="R796" s="72">
        <f>R745*(R646*F703+R647*G703)</f>
        <v>0</v>
      </c>
      <c r="S796" s="72">
        <f>S745*(S646*F703+S647*G703)</f>
        <v>0</v>
      </c>
      <c r="T796" s="72">
        <f>T745*(T646*F703+T647*G703)</f>
        <v>0</v>
      </c>
      <c r="U796" s="72">
        <f>U745*(U646*F703+U647*G703)</f>
        <v>0</v>
      </c>
      <c r="V796" s="72">
        <f>V745*(V646*F703+V647*G703)</f>
        <v>0</v>
      </c>
      <c r="W796" s="72">
        <f>W745*(W646*F703+W647*G703)</f>
        <v>0</v>
      </c>
      <c r="X796" s="72">
        <f>X745*(X646*F703+X647*G703)</f>
        <v>0</v>
      </c>
      <c r="Y796" s="72">
        <f>Y745*(Y646*F703+Y647*G703)</f>
        <v>0</v>
      </c>
      <c r="Z796" s="72">
        <f>Z745*(Z646*F703+Z647*G703)</f>
        <v>0</v>
      </c>
      <c r="AA796" s="72">
        <f>AA745*(AA646*F703+AA647*G703)</f>
        <v>0</v>
      </c>
      <c r="AB796" s="72">
        <f>AB745*(AB646*F703+AB647*G703)</f>
        <v>0</v>
      </c>
      <c r="AC796" s="72">
        <f>AC745*(AC646*F703+AC647*G703)</f>
        <v>0</v>
      </c>
      <c r="AD796" s="72">
        <f>AD745*(AD646*F703+AD647*G703)</f>
        <v>0</v>
      </c>
      <c r="AE796" s="72">
        <f>AE745*(AE646*F703+AE647*G703)</f>
        <v>0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1390</v>
      </c>
      <c r="E797" s="70"/>
      <c r="F797" s="70"/>
      <c r="G797" s="70"/>
      <c r="H797" s="70"/>
      <c r="I797" s="70"/>
      <c r="J797" s="70"/>
      <c r="K797" s="72"/>
      <c r="L797" s="72">
        <f>L746*(L646*F704+L647*G704)</f>
        <v>0</v>
      </c>
      <c r="M797" s="72">
        <f>M746*(M646*F704+M647*G704)</f>
        <v>0</v>
      </c>
      <c r="N797" s="72">
        <f>N746*(N646*F704+N647*G704)</f>
        <v>0</v>
      </c>
      <c r="O797" s="72">
        <f>O746*(O646*F704+O647*G704)</f>
        <v>0</v>
      </c>
      <c r="P797" s="72">
        <f>P746*(P646*F704+P647*G704)</f>
        <v>0</v>
      </c>
      <c r="Q797" s="72">
        <f>Q746*(Q646*F704+Q647*G704)</f>
        <v>7.7657907641999993</v>
      </c>
      <c r="R797" s="72">
        <f>R746*(R646*F704+R647*G704)</f>
        <v>15.873276322024799</v>
      </c>
      <c r="S797" s="72">
        <f>S746*(S646*F704+S647*G704)</f>
        <v>24.333732601664018</v>
      </c>
      <c r="T797" s="72">
        <f>T746*(T646*F704+T647*G704)</f>
        <v>33.158766291867501</v>
      </c>
      <c r="U797" s="72">
        <f>U746*(U646*F704+U647*G704)</f>
        <v>42.360323937860741</v>
      </c>
      <c r="V797" s="72">
        <f>V746*(V646*F704+V647*G704)</f>
        <v>51.950701277392412</v>
      </c>
      <c r="W797" s="72">
        <f>W746*(W646*F704+W647*G704)</f>
        <v>61.942552823077548</v>
      </c>
      <c r="X797" s="72">
        <f>X746*(X646*F704+X647*G704)</f>
        <v>72.348901697354577</v>
      </c>
      <c r="Y797" s="72">
        <f>Y746*(Y646*F704+Y647*G704)</f>
        <v>83.183149726533415</v>
      </c>
      <c r="Z797" s="72">
        <f>Z746*(Z646*F704+Z647*G704)</f>
        <v>94.459087800574636</v>
      </c>
      <c r="AA797" s="72">
        <f>AA746*(AA646*F704+AA647*G704)</f>
        <v>106.19090650540601</v>
      </c>
      <c r="AB797" s="72">
        <f>AB746*(AB646*F704+AB647*G704)</f>
        <v>118.39320703475448</v>
      </c>
      <c r="AC797" s="72">
        <f>AC746*(AC646*F704+AC647*G704)</f>
        <v>131.08101238864566</v>
      </c>
      <c r="AD797" s="72">
        <f>AD746*(AD646*F704+AD647*G704)</f>
        <v>144.26977886590325</v>
      </c>
      <c r="AE797" s="72">
        <f>AE746*(AE646*F704+AE647*G704)</f>
        <v>157.97540785816406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1397</v>
      </c>
      <c r="E798" s="83"/>
      <c r="F798" s="84"/>
      <c r="G798" s="70"/>
      <c r="H798" s="70"/>
      <c r="I798" s="70"/>
      <c r="J798" s="70"/>
      <c r="K798" s="72"/>
      <c r="L798" s="72">
        <f>L747*(L646*F705+L647*G705)</f>
        <v>0</v>
      </c>
      <c r="M798" s="72">
        <f>M747*(M646*F705+M647*G705)</f>
        <v>0</v>
      </c>
      <c r="N798" s="72">
        <f>N747*(N646*F705+N647*G705)</f>
        <v>0</v>
      </c>
      <c r="O798" s="72">
        <f>O747*(O646*F705+O647*G705)</f>
        <v>0</v>
      </c>
      <c r="P798" s="72">
        <f>P747*(P646*F705+P647*G705)</f>
        <v>0</v>
      </c>
      <c r="Q798" s="72">
        <f>Q747*(Q646*F705+Q647*G705)</f>
        <v>10.3480021171875</v>
      </c>
      <c r="R798" s="72">
        <f>R747*(R646*F705+R647*G705)</f>
        <v>21.834284467265626</v>
      </c>
      <c r="S798" s="72">
        <f>S747*(S646*F705+S647*G705)</f>
        <v>34.552755169447849</v>
      </c>
      <c r="T798" s="72">
        <f>T747*(T646*F705+T647*G705)</f>
        <v>48.604208938356642</v>
      </c>
      <c r="U798" s="72">
        <f>U747*(U646*F705+U647*G705)</f>
        <v>64.09680053745781</v>
      </c>
      <c r="V798" s="72">
        <f>V747*(V646*F705+V647*G705)</f>
        <v>81.146549480421598</v>
      </c>
      <c r="W798" s="72">
        <f>W747*(W646*F705+W647*G705)</f>
        <v>99.877877985485583</v>
      </c>
      <c r="X798" s="72">
        <f>X747*(X646*F705+X647*G705)</f>
        <v>120.42418431392832</v>
      </c>
      <c r="Y798" s="72">
        <f>Y747*(Y646*F705+Y647*G705)</f>
        <v>142.92845375759364</v>
      </c>
      <c r="Z798" s="72">
        <f>Z747*(Z646*F705+Z647*G705)</f>
        <v>167.54390968251255</v>
      </c>
      <c r="AA798" s="72">
        <f>AA747*(AA646*F705+AA647*G705)</f>
        <v>194.43470718655587</v>
      </c>
      <c r="AB798" s="72">
        <f>AB747*(AB646*F705+AB647*G705)</f>
        <v>223.77667208925422</v>
      </c>
      <c r="AC798" s="72">
        <f>AC747*(AC646*F705+AC647*G705)</f>
        <v>255.75808814201011</v>
      </c>
      <c r="AD798" s="72">
        <f>AD747*(AD646*F705+AD647*G705)</f>
        <v>290.58053552749919</v>
      </c>
      <c r="AE798" s="72">
        <f>AE747*(AE646*F705+AE647*G705)</f>
        <v>328.4597839087624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1501</v>
      </c>
      <c r="E799" s="70"/>
      <c r="F799" s="70"/>
      <c r="G799" s="70" t="s">
        <v>110</v>
      </c>
      <c r="H799" s="87" t="str">
        <f>Settings!$B$3&amp;".mit.rev.cbam."&amp;G799&amp;"."&amp;$J$404</f>
        <v>egy.mit.rev.cbam.tot.2</v>
      </c>
      <c r="I799" s="70"/>
      <c r="J799" s="70"/>
      <c r="K799" s="72"/>
      <c r="L799" s="72">
        <f t="shared" ref="L799:AE799" si="335">SUM(L791:L798)</f>
        <v>0</v>
      </c>
      <c r="M799" s="72">
        <f t="shared" si="335"/>
        <v>0</v>
      </c>
      <c r="N799" s="72">
        <f t="shared" si="335"/>
        <v>0</v>
      </c>
      <c r="O799" s="72">
        <f t="shared" si="335"/>
        <v>0</v>
      </c>
      <c r="P799" s="72">
        <f t="shared" si="335"/>
        <v>0</v>
      </c>
      <c r="Q799" s="72">
        <f t="shared" si="335"/>
        <v>384.42161490493737</v>
      </c>
      <c r="R799" s="72">
        <f t="shared" si="335"/>
        <v>794.58588718261012</v>
      </c>
      <c r="S799" s="72">
        <f t="shared" si="335"/>
        <v>1231.8047038186751</v>
      </c>
      <c r="T799" s="72">
        <f t="shared" si="335"/>
        <v>1697.4505984935522</v>
      </c>
      <c r="U799" s="72">
        <f t="shared" si="335"/>
        <v>2192.9594564845229</v>
      </c>
      <c r="V799" s="72">
        <f t="shared" si="335"/>
        <v>2719.8333400321808</v>
      </c>
      <c r="W799" s="72">
        <f t="shared" si="335"/>
        <v>3279.6434396579139</v>
      </c>
      <c r="X799" s="72">
        <f t="shared" si="335"/>
        <v>3874.033157178857</v>
      </c>
      <c r="Y799" s="72">
        <f t="shared" si="335"/>
        <v>4504.7213264394322</v>
      </c>
      <c r="Z799" s="72">
        <f t="shared" si="335"/>
        <v>5173.5055780647599</v>
      </c>
      <c r="AA799" s="72">
        <f t="shared" si="335"/>
        <v>5882.2658548417376</v>
      </c>
      <c r="AB799" s="72">
        <f t="shared" si="335"/>
        <v>6632.9680846490319</v>
      </c>
      <c r="AC799" s="72">
        <f t="shared" si="335"/>
        <v>7427.6680181884831</v>
      </c>
      <c r="AD799" s="72">
        <f t="shared" si="335"/>
        <v>8268.5152391183055</v>
      </c>
      <c r="AE799" s="72">
        <f t="shared" si="335"/>
        <v>9157.7573545538162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39" t="s">
        <v>465</v>
      </c>
      <c r="C225" s="39" t="s">
        <v>141</v>
      </c>
      <c r="D225" s="39"/>
      <c r="E225" s="39"/>
      <c r="F225" s="39" t="s">
        <v>466</v>
      </c>
      <c r="G225" s="39" t="s">
        <v>466</v>
      </c>
      <c r="H225" s="39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39" t="s">
        <v>497</v>
      </c>
      <c r="C238" s="39" t="s">
        <v>141</v>
      </c>
      <c r="D238" s="39"/>
      <c r="E238" s="39"/>
      <c r="F238" s="39" t="s">
        <v>424</v>
      </c>
      <c r="G238" s="39" t="s">
        <v>424</v>
      </c>
      <c r="H238" s="39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1853</v>
      </c>
      <c r="H64" s="5" t="s">
        <v>1854</v>
      </c>
      <c r="I64" s="28" t="s">
        <v>1023</v>
      </c>
      <c r="J64" t="s">
        <v>1727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1853</v>
      </c>
      <c r="H66" s="5" t="s">
        <v>1855</v>
      </c>
      <c r="I66" s="28" t="s">
        <v>1025</v>
      </c>
      <c r="J66" t="s">
        <v>1727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1853</v>
      </c>
      <c r="H68" s="5" t="s">
        <v>1856</v>
      </c>
      <c r="I68" s="28" t="s">
        <v>1029</v>
      </c>
      <c r="J68" t="s">
        <v>1727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1853</v>
      </c>
      <c r="H70" s="5" t="s">
        <v>1857</v>
      </c>
      <c r="I70" s="28" t="s">
        <v>1033</v>
      </c>
      <c r="J70" t="s">
        <v>1727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1853</v>
      </c>
      <c r="H72" s="5" t="s">
        <v>1858</v>
      </c>
      <c r="I72" s="28" t="s">
        <v>1037</v>
      </c>
      <c r="J72" t="s">
        <v>1727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1853</v>
      </c>
      <c r="H74" s="5" t="s">
        <v>1859</v>
      </c>
      <c r="I74" s="28" t="s">
        <v>1041</v>
      </c>
      <c r="J74" t="s">
        <v>1727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1853</v>
      </c>
      <c r="H76" s="5" t="s">
        <v>1860</v>
      </c>
      <c r="I76" s="28" t="s">
        <v>1045</v>
      </c>
      <c r="J76" t="s">
        <v>1727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1853</v>
      </c>
      <c r="H78" s="5" t="s">
        <v>1861</v>
      </c>
      <c r="I78" s="28" t="s">
        <v>1049</v>
      </c>
      <c r="J78" t="s">
        <v>1727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1853</v>
      </c>
      <c r="H80" s="5" t="s">
        <v>1862</v>
      </c>
      <c r="I80" s="28" t="s">
        <v>1053</v>
      </c>
      <c r="J80" t="s">
        <v>1727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971</v>
      </c>
      <c r="H81" s="5">
        <v>8710</v>
      </c>
      <c r="I81" s="28" t="s">
        <v>1054</v>
      </c>
      <c r="K81" s="18"/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971</v>
      </c>
      <c r="H82" s="5">
        <v>8713</v>
      </c>
      <c r="I82" s="28" t="s">
        <v>1055</v>
      </c>
      <c r="K82" s="18"/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971</v>
      </c>
      <c r="H83" s="5">
        <v>8714</v>
      </c>
      <c r="I83" s="28" t="s">
        <v>1057</v>
      </c>
      <c r="K83" s="18"/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971</v>
      </c>
      <c r="H84" s="5">
        <v>8715</v>
      </c>
      <c r="I84" s="28" t="s">
        <v>1059</v>
      </c>
      <c r="K84" s="18"/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971</v>
      </c>
      <c r="H85" s="5">
        <v>8716</v>
      </c>
      <c r="I85" s="28" t="s">
        <v>1061</v>
      </c>
      <c r="K85" s="18"/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971</v>
      </c>
      <c r="H86" s="5">
        <v>8717</v>
      </c>
      <c r="I86" s="28" t="s">
        <v>1063</v>
      </c>
      <c r="K86" s="18"/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971</v>
      </c>
      <c r="H87" s="5">
        <v>8718</v>
      </c>
      <c r="I87" s="28" t="s">
        <v>1065</v>
      </c>
      <c r="K87" s="18"/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971</v>
      </c>
      <c r="H88" s="5">
        <v>8719</v>
      </c>
      <c r="I88" s="28" t="s">
        <v>1067</v>
      </c>
      <c r="K88" s="18"/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986</v>
      </c>
      <c r="H89" s="5" t="s">
        <v>77</v>
      </c>
      <c r="I89" s="28" t="s">
        <v>77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81</v>
      </c>
      <c r="H115" s="5">
        <v>8742</v>
      </c>
      <c r="I115" s="28" t="s">
        <v>1094</v>
      </c>
      <c r="K115" s="19"/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81</v>
      </c>
      <c r="H116" s="5">
        <v>8743</v>
      </c>
      <c r="I116" s="28" t="s">
        <v>1095</v>
      </c>
      <c r="K116" s="19"/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81</v>
      </c>
      <c r="H117" s="5">
        <v>8744</v>
      </c>
      <c r="I117" s="28" t="s">
        <v>1096</v>
      </c>
      <c r="K117" s="19"/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81</v>
      </c>
      <c r="H119" s="5">
        <v>8746</v>
      </c>
      <c r="I119" s="28" t="s">
        <v>1098</v>
      </c>
      <c r="K119" s="19"/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1412</v>
      </c>
      <c r="B124" s="5" t="s">
        <v>77</v>
      </c>
      <c r="C124" s="5" t="s">
        <v>1413</v>
      </c>
      <c r="D124" s="5" t="s">
        <v>1414</v>
      </c>
      <c r="E124" s="5">
        <v>1</v>
      </c>
      <c r="F124" s="5" t="s">
        <v>1415</v>
      </c>
      <c r="G124" s="5" t="s">
        <v>1416</v>
      </c>
      <c r="H124" s="5">
        <v>2251</v>
      </c>
      <c r="I124" s="28" t="s">
        <v>1412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1417</v>
      </c>
      <c r="B125" s="5" t="s">
        <v>77</v>
      </c>
      <c r="C125" s="5" t="s">
        <v>1413</v>
      </c>
      <c r="D125" s="5" t="s">
        <v>1418</v>
      </c>
      <c r="E125" s="5">
        <v>1</v>
      </c>
      <c r="F125" s="5" t="s">
        <v>1415</v>
      </c>
      <c r="G125" s="5" t="s">
        <v>1419</v>
      </c>
      <c r="H125" s="5">
        <v>2252</v>
      </c>
      <c r="I125" s="28" t="s">
        <v>1417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1420</v>
      </c>
      <c r="B126" s="5" t="s">
        <v>77</v>
      </c>
      <c r="C126" s="5" t="s">
        <v>1413</v>
      </c>
      <c r="D126" s="5" t="s">
        <v>1414</v>
      </c>
      <c r="E126" s="5">
        <v>2</v>
      </c>
      <c r="F126" s="5" t="s">
        <v>1415</v>
      </c>
      <c r="G126" s="5" t="s">
        <v>1849</v>
      </c>
      <c r="H126" s="5" t="s">
        <v>1850</v>
      </c>
      <c r="I126" s="28" t="s">
        <v>1420</v>
      </c>
      <c r="J126" t="s">
        <v>1727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1421</v>
      </c>
      <c r="B127" s="5" t="s">
        <v>77</v>
      </c>
      <c r="C127" s="5" t="s">
        <v>1413</v>
      </c>
      <c r="D127" s="5" t="s">
        <v>1418</v>
      </c>
      <c r="E127" s="5">
        <v>2</v>
      </c>
      <c r="F127" s="5" t="s">
        <v>1415</v>
      </c>
      <c r="G127" s="5" t="s">
        <v>1851</v>
      </c>
      <c r="H127" s="5" t="s">
        <v>1852</v>
      </c>
      <c r="I127" s="28" t="s">
        <v>1421</v>
      </c>
      <c r="J127" t="s">
        <v>1727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1863</v>
      </c>
      <c r="B128" s="5" t="s">
        <v>77</v>
      </c>
      <c r="C128" s="5" t="s">
        <v>1413</v>
      </c>
      <c r="D128" s="5" t="s">
        <v>1794</v>
      </c>
      <c r="E128" s="5">
        <v>1</v>
      </c>
      <c r="F128" s="5" t="s">
        <v>1415</v>
      </c>
      <c r="G128" s="5" t="s">
        <v>1795</v>
      </c>
      <c r="H128" s="5" t="s">
        <v>1864</v>
      </c>
      <c r="I128" s="28" t="s">
        <v>1863</v>
      </c>
      <c r="J128" t="s">
        <v>1727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1865</v>
      </c>
      <c r="B129" s="5" t="s">
        <v>77</v>
      </c>
      <c r="C129" s="5" t="s">
        <v>1413</v>
      </c>
      <c r="D129" s="5" t="s">
        <v>1798</v>
      </c>
      <c r="E129" s="5">
        <v>1</v>
      </c>
      <c r="F129" s="5" t="s">
        <v>79</v>
      </c>
      <c r="G129" s="5" t="s">
        <v>1799</v>
      </c>
      <c r="H129" s="5" t="s">
        <v>1864</v>
      </c>
      <c r="I129" s="28" t="s">
        <v>1865</v>
      </c>
      <c r="J129" t="s">
        <v>1727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1866</v>
      </c>
      <c r="B130" s="5" t="s">
        <v>77</v>
      </c>
      <c r="C130" s="5" t="s">
        <v>1413</v>
      </c>
      <c r="D130" s="5" t="s">
        <v>1802</v>
      </c>
      <c r="E130" s="5">
        <v>1</v>
      </c>
      <c r="F130" s="5" t="s">
        <v>79</v>
      </c>
      <c r="G130" s="5" t="s">
        <v>1803</v>
      </c>
      <c r="H130" s="5" t="s">
        <v>1864</v>
      </c>
      <c r="I130" s="28" t="s">
        <v>1866</v>
      </c>
      <c r="J130" t="s">
        <v>1727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1867</v>
      </c>
      <c r="B131" s="5" t="s">
        <v>77</v>
      </c>
      <c r="C131" s="5" t="s">
        <v>1413</v>
      </c>
      <c r="D131" s="5" t="s">
        <v>1807</v>
      </c>
      <c r="E131" s="5">
        <v>1</v>
      </c>
      <c r="F131" s="5" t="s">
        <v>1415</v>
      </c>
      <c r="G131" s="5" t="s">
        <v>1808</v>
      </c>
      <c r="H131" s="5" t="s">
        <v>1864</v>
      </c>
      <c r="I131" s="28" t="s">
        <v>1867</v>
      </c>
      <c r="J131" t="s">
        <v>1727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1868</v>
      </c>
      <c r="B132" s="5" t="s">
        <v>77</v>
      </c>
      <c r="C132" s="5" t="s">
        <v>1413</v>
      </c>
      <c r="D132" s="5" t="s">
        <v>1811</v>
      </c>
      <c r="E132" s="5">
        <v>1</v>
      </c>
      <c r="F132" s="5" t="s">
        <v>79</v>
      </c>
      <c r="G132" s="5" t="s">
        <v>1812</v>
      </c>
      <c r="H132" s="5" t="s">
        <v>1864</v>
      </c>
      <c r="I132" s="28" t="s">
        <v>1868</v>
      </c>
      <c r="J132" t="s">
        <v>1727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1869</v>
      </c>
      <c r="B133" s="5" t="s">
        <v>77</v>
      </c>
      <c r="C133" s="5" t="s">
        <v>1413</v>
      </c>
      <c r="D133" s="5" t="s">
        <v>1816</v>
      </c>
      <c r="E133" s="5">
        <v>1</v>
      </c>
      <c r="F133" s="5" t="s">
        <v>1415</v>
      </c>
      <c r="G133" s="5" t="s">
        <v>1817</v>
      </c>
      <c r="H133" s="5" t="s">
        <v>1864</v>
      </c>
      <c r="I133" s="28" t="s">
        <v>1869</v>
      </c>
      <c r="J133" t="s">
        <v>1727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1796</v>
      </c>
      <c r="B134" s="5" t="s">
        <v>77</v>
      </c>
      <c r="C134" s="5" t="s">
        <v>1413</v>
      </c>
      <c r="D134" s="5" t="s">
        <v>1794</v>
      </c>
      <c r="E134" s="5">
        <v>2</v>
      </c>
      <c r="F134" s="5" t="s">
        <v>1415</v>
      </c>
      <c r="G134" s="5" t="s">
        <v>1795</v>
      </c>
      <c r="H134" s="5" t="s">
        <v>1790</v>
      </c>
      <c r="I134" s="28" t="s">
        <v>1796</v>
      </c>
      <c r="J134" t="s">
        <v>1727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1800</v>
      </c>
      <c r="B135" s="5" t="s">
        <v>77</v>
      </c>
      <c r="C135" s="5" t="s">
        <v>1413</v>
      </c>
      <c r="D135" s="5" t="s">
        <v>1798</v>
      </c>
      <c r="E135" s="5">
        <v>2</v>
      </c>
      <c r="F135" s="5" t="s">
        <v>79</v>
      </c>
      <c r="G135" s="5" t="s">
        <v>1799</v>
      </c>
      <c r="H135" s="5" t="s">
        <v>1790</v>
      </c>
      <c r="I135" s="28" t="s">
        <v>1800</v>
      </c>
      <c r="J135" t="s">
        <v>1727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1805</v>
      </c>
      <c r="B136" s="5" t="s">
        <v>77</v>
      </c>
      <c r="C136" s="5" t="s">
        <v>1413</v>
      </c>
      <c r="D136" s="5" t="s">
        <v>1802</v>
      </c>
      <c r="E136" s="5">
        <v>2</v>
      </c>
      <c r="F136" s="5" t="s">
        <v>79</v>
      </c>
      <c r="G136" s="5" t="s">
        <v>1803</v>
      </c>
      <c r="H136" s="5" t="s">
        <v>1790</v>
      </c>
      <c r="I136" s="28" t="s">
        <v>1805</v>
      </c>
      <c r="J136" t="s">
        <v>1727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1809</v>
      </c>
      <c r="B137" s="5" t="s">
        <v>77</v>
      </c>
      <c r="C137" s="5" t="s">
        <v>1413</v>
      </c>
      <c r="D137" s="5" t="s">
        <v>1807</v>
      </c>
      <c r="E137" s="5">
        <v>2</v>
      </c>
      <c r="F137" s="5" t="s">
        <v>1415</v>
      </c>
      <c r="G137" s="5" t="s">
        <v>1808</v>
      </c>
      <c r="H137" s="5" t="s">
        <v>1790</v>
      </c>
      <c r="I137" s="28" t="s">
        <v>1809</v>
      </c>
      <c r="J137" t="s">
        <v>1727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1814</v>
      </c>
      <c r="B138" s="5" t="s">
        <v>77</v>
      </c>
      <c r="C138" s="5" t="s">
        <v>1413</v>
      </c>
      <c r="D138" s="5" t="s">
        <v>1811</v>
      </c>
      <c r="E138" s="5">
        <v>2</v>
      </c>
      <c r="F138" s="5" t="s">
        <v>79</v>
      </c>
      <c r="G138" s="5" t="s">
        <v>1812</v>
      </c>
      <c r="H138" s="5" t="s">
        <v>1790</v>
      </c>
      <c r="I138" s="28" t="s">
        <v>1814</v>
      </c>
      <c r="J138" t="s">
        <v>1727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1819</v>
      </c>
      <c r="B139" s="5" t="s">
        <v>77</v>
      </c>
      <c r="C139" s="5" t="s">
        <v>1413</v>
      </c>
      <c r="D139" s="5" t="s">
        <v>1816</v>
      </c>
      <c r="E139" s="5">
        <v>2</v>
      </c>
      <c r="F139" s="5" t="s">
        <v>1415</v>
      </c>
      <c r="G139" s="5" t="s">
        <v>1817</v>
      </c>
      <c r="H139" s="5" t="s">
        <v>1790</v>
      </c>
      <c r="I139" s="28" t="s">
        <v>1819</v>
      </c>
      <c r="J139" t="s">
        <v>1727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425"/>
  <sheetViews>
    <sheetView zoomScaleNormal="100" workbookViewId="0">
      <pane xSplit="5" ySplit="5" topLeftCell="F1368" activePane="bottomRight" state="frozen"/>
      <selection pane="topRight" activeCell="F1" sqref="F1"/>
      <selection pane="bottomLeft" activeCell="A6" sqref="A6"/>
      <selection pane="bottomRight" activeCell="A1382" sqref="A1382:XFD1382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1502</v>
      </c>
    </row>
    <row r="584" spans="1:35" x14ac:dyDescent="0.45">
      <c r="A584" t="s">
        <v>1712</v>
      </c>
      <c r="D584" s="92">
        <f>SUMPRODUCT(MAX((I587:I1378="same")    *F587:F1378))</f>
        <v>7.1054273576010019E-15</v>
      </c>
    </row>
    <row r="585" spans="1:35" x14ac:dyDescent="0.45">
      <c r="A585" t="s">
        <v>1713</v>
      </c>
      <c r="D585" s="92">
        <f>SUMPRODUCT(MAX((I587:I1378="changed")*F587:F1378))</f>
        <v>9157.7573545538162</v>
      </c>
    </row>
    <row r="586" spans="1:35" x14ac:dyDescent="0.45">
      <c r="A586" s="50" t="s">
        <v>1503</v>
      </c>
      <c r="B586" s="50" t="s">
        <v>1504</v>
      </c>
      <c r="C586" s="50" t="s">
        <v>1505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1506</v>
      </c>
      <c r="J586" s="50" t="s">
        <v>1507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1508</v>
      </c>
      <c r="B587" t="s">
        <v>1423</v>
      </c>
      <c r="C587" t="s">
        <v>1424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1508</v>
      </c>
      <c r="B588" t="s">
        <v>1423</v>
      </c>
      <c r="C588" t="s">
        <v>1424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1508</v>
      </c>
      <c r="B589" t="s">
        <v>1423</v>
      </c>
      <c r="C589" t="s">
        <v>1424</v>
      </c>
      <c r="D589">
        <v>1</v>
      </c>
      <c r="E589" t="s">
        <v>1161</v>
      </c>
      <c r="F589">
        <f>MAX(MAX(L589:AE589),-MIN(L589:AE589))</f>
        <v>0</v>
      </c>
      <c r="I589" t="s">
        <v>1509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1510</v>
      </c>
      <c r="B591" t="s">
        <v>1423</v>
      </c>
      <c r="C591" t="s">
        <v>1425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1510</v>
      </c>
      <c r="B592" t="s">
        <v>1423</v>
      </c>
      <c r="C592" t="s">
        <v>1425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1510</v>
      </c>
      <c r="B593" t="s">
        <v>1423</v>
      </c>
      <c r="C593" t="s">
        <v>1425</v>
      </c>
      <c r="D593">
        <v>1</v>
      </c>
      <c r="E593" t="s">
        <v>1161</v>
      </c>
      <c r="F593">
        <f>MAX(MAX(L593:AE593),-MIN(L593:AE593))</f>
        <v>0</v>
      </c>
      <c r="I593" t="s">
        <v>1509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1511</v>
      </c>
      <c r="B595" t="s">
        <v>1434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1511</v>
      </c>
      <c r="B596" t="s">
        <v>1434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6058.5984688896015</v>
      </c>
      <c r="S596">
        <f>IF(ISBLANK(Mitigation_Industry!S276),"",Mitigation_Industry!S276)</f>
        <v>6325.1768015207444</v>
      </c>
      <c r="T596">
        <f>IF(ISBLANK(Mitigation_Industry!T276),"",Mitigation_Industry!T276)</f>
        <v>6603.4845807876573</v>
      </c>
      <c r="U596">
        <f>IF(ISBLANK(Mitigation_Industry!U276),"",Mitigation_Industry!U276)</f>
        <v>6894.0379023423147</v>
      </c>
      <c r="V596">
        <f>IF(ISBLANK(Mitigation_Industry!V276),"",Mitigation_Industry!V276)</f>
        <v>7197.3755700453767</v>
      </c>
      <c r="W596">
        <f>IF(ISBLANK(Mitigation_Industry!W276),"",Mitigation_Industry!W276)</f>
        <v>7514.0600951273736</v>
      </c>
      <c r="X596">
        <f>IF(ISBLANK(Mitigation_Industry!X276),"",Mitigation_Industry!X276)</f>
        <v>7844.678739312978</v>
      </c>
      <c r="Y596">
        <f>IF(ISBLANK(Mitigation_Industry!Y276),"",Mitigation_Industry!Y276)</f>
        <v>8189.8446038427492</v>
      </c>
      <c r="Z596">
        <f>IF(ISBLANK(Mitigation_Industry!Z276),"",Mitigation_Industry!Z276)</f>
        <v>8550.1977664118313</v>
      </c>
      <c r="AA596">
        <f>IF(ISBLANK(Mitigation_Industry!AA276),"",Mitigation_Industry!AA276)</f>
        <v>8926.4064681339514</v>
      </c>
      <c r="AB596">
        <f>IF(ISBLANK(Mitigation_Industry!AB276),"",Mitigation_Industry!AB276)</f>
        <v>9319.1683527318455</v>
      </c>
      <c r="AC596">
        <f>IF(ISBLANK(Mitigation_Industry!AC276),"",Mitigation_Industry!AC276)</f>
        <v>9729.2117602520466</v>
      </c>
      <c r="AD596">
        <f>IF(ISBLANK(Mitigation_Industry!AD276),"",Mitigation_Industry!AD276)</f>
        <v>10157.297077703137</v>
      </c>
      <c r="AE596">
        <f>IF(ISBLANK(Mitigation_Industry!AE276),"",Mitigation_Industry!AE276)</f>
        <v>10604.218149122074</v>
      </c>
    </row>
    <row r="597" spans="1:31" x14ac:dyDescent="0.45">
      <c r="A597" t="s">
        <v>1511</v>
      </c>
      <c r="B597" t="s">
        <v>1434</v>
      </c>
      <c r="C597" t="s">
        <v>1350</v>
      </c>
      <c r="D597">
        <v>1</v>
      </c>
      <c r="E597" t="s">
        <v>1161</v>
      </c>
      <c r="F597">
        <f>MAX(MAX(L597:AE597),-MIN(L597:AE597))</f>
        <v>0</v>
      </c>
      <c r="I597" t="s">
        <v>1509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0</v>
      </c>
      <c r="Q597">
        <f t="shared" si="146"/>
        <v>0</v>
      </c>
      <c r="R597">
        <f t="shared" si="146"/>
        <v>0</v>
      </c>
      <c r="S597">
        <f t="shared" si="146"/>
        <v>0</v>
      </c>
      <c r="T597">
        <f t="shared" si="146"/>
        <v>0</v>
      </c>
      <c r="U597">
        <f t="shared" si="146"/>
        <v>0</v>
      </c>
      <c r="V597">
        <f t="shared" si="146"/>
        <v>0</v>
      </c>
      <c r="W597">
        <f t="shared" si="146"/>
        <v>0</v>
      </c>
      <c r="X597">
        <f t="shared" si="146"/>
        <v>0</v>
      </c>
      <c r="Y597">
        <f t="shared" si="146"/>
        <v>0</v>
      </c>
      <c r="Z597">
        <f t="shared" si="146"/>
        <v>0</v>
      </c>
      <c r="AA597">
        <f t="shared" si="146"/>
        <v>0</v>
      </c>
      <c r="AB597">
        <f t="shared" si="146"/>
        <v>0</v>
      </c>
      <c r="AC597">
        <f t="shared" si="146"/>
        <v>0</v>
      </c>
      <c r="AD597">
        <f t="shared" si="146"/>
        <v>0</v>
      </c>
      <c r="AE597">
        <f t="shared" si="146"/>
        <v>0</v>
      </c>
    </row>
    <row r="599" spans="1:31" x14ac:dyDescent="0.45">
      <c r="A599" t="s">
        <v>1512</v>
      </c>
      <c r="B599" t="s">
        <v>1434</v>
      </c>
      <c r="C599" t="s">
        <v>1357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1512</v>
      </c>
      <c r="B600" t="s">
        <v>1434</v>
      </c>
      <c r="C600" t="s">
        <v>1357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5461.8872831999997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6488.5062610280593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7072.0565601198787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7708.0890389108208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8770.9819790417332</v>
      </c>
      <c r="AC600">
        <f>IF(ISBLANK(Mitigation_Industry!AC277),"",Mitigation_Industry!AC277)</f>
        <v>9156.9051861195694</v>
      </c>
      <c r="AD600">
        <f>IF(ISBLANK(Mitigation_Industry!AD277),"",Mitigation_Industry!AD277)</f>
        <v>9559.8090143088302</v>
      </c>
      <c r="AE600">
        <f>IF(ISBLANK(Mitigation_Industry!AE277),"",Mitigation_Industry!AE277)</f>
        <v>9980.4406109384199</v>
      </c>
    </row>
    <row r="601" spans="1:31" x14ac:dyDescent="0.45">
      <c r="A601" t="s">
        <v>1512</v>
      </c>
      <c r="B601" t="s">
        <v>1434</v>
      </c>
      <c r="C601" t="s">
        <v>1357</v>
      </c>
      <c r="D601">
        <v>1</v>
      </c>
      <c r="E601" t="s">
        <v>1161</v>
      </c>
      <c r="F601">
        <f>MAX(MAX(L601:AE601),-MIN(L601:AE601))</f>
        <v>0</v>
      </c>
      <c r="I601" t="s">
        <v>1509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0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0</v>
      </c>
      <c r="V601">
        <f t="shared" si="147"/>
        <v>0</v>
      </c>
      <c r="W601">
        <f t="shared" si="147"/>
        <v>0</v>
      </c>
      <c r="X601">
        <f t="shared" si="147"/>
        <v>0</v>
      </c>
      <c r="Y601">
        <f t="shared" si="147"/>
        <v>0</v>
      </c>
      <c r="Z601">
        <f t="shared" si="147"/>
        <v>0</v>
      </c>
      <c r="AA601">
        <f t="shared" si="147"/>
        <v>0</v>
      </c>
      <c r="AB601">
        <f t="shared" si="147"/>
        <v>0</v>
      </c>
      <c r="AC601">
        <f t="shared" si="147"/>
        <v>0</v>
      </c>
      <c r="AD601">
        <f t="shared" si="147"/>
        <v>0</v>
      </c>
      <c r="AE601">
        <f t="shared" si="147"/>
        <v>0</v>
      </c>
    </row>
    <row r="603" spans="1:31" x14ac:dyDescent="0.45">
      <c r="A603" t="s">
        <v>1513</v>
      </c>
      <c r="B603" t="s">
        <v>1434</v>
      </c>
      <c r="C603" t="s">
        <v>1363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1513</v>
      </c>
      <c r="B604" t="s">
        <v>1434</v>
      </c>
      <c r="C604" t="s">
        <v>1363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1513</v>
      </c>
      <c r="B605" t="s">
        <v>1434</v>
      </c>
      <c r="C605" t="s">
        <v>1363</v>
      </c>
      <c r="D605">
        <v>1</v>
      </c>
      <c r="E605" t="s">
        <v>1161</v>
      </c>
      <c r="F605">
        <f>MAX(MAX(L605:AE605),-MIN(L605:AE605))</f>
        <v>0</v>
      </c>
      <c r="I605" t="s">
        <v>1509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1514</v>
      </c>
      <c r="B607" t="s">
        <v>1434</v>
      </c>
      <c r="C607" t="s">
        <v>1369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1514</v>
      </c>
      <c r="B608" t="s">
        <v>1434</v>
      </c>
      <c r="C608" t="s">
        <v>1369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60753.588245941268</v>
      </c>
      <c r="U608">
        <f>IF(ISBLANK(Mitigation_Industry!U279),"",Mitigation_Industry!U279)</f>
        <v>62758.456658057323</v>
      </c>
      <c r="V608">
        <f>IF(ISBLANK(Mitigation_Industry!V279),"",Mitigation_Industry!V279)</f>
        <v>64829.485727773208</v>
      </c>
      <c r="W608">
        <f>IF(ISBLANK(Mitigation_Industry!W279),"",Mitigation_Industry!W279)</f>
        <v>66968.858756789719</v>
      </c>
      <c r="X608">
        <f>IF(ISBLANK(Mitigation_Industry!X279),"",Mitigation_Industry!X279)</f>
        <v>69178.831095763773</v>
      </c>
      <c r="Y608">
        <f>IF(ISBLANK(Mitigation_Industry!Y279),"",Mitigation_Industry!Y279)</f>
        <v>71461.732521923972</v>
      </c>
      <c r="Z608">
        <f>IF(ISBLANK(Mitigation_Industry!Z279),"",Mitigation_Industry!Z279)</f>
        <v>73819.969695147462</v>
      </c>
      <c r="AA608">
        <f>IF(ISBLANK(Mitigation_Industry!AA279),"",Mitigation_Industry!AA279)</f>
        <v>76256.028695087327</v>
      </c>
      <c r="AB608">
        <f>IF(ISBLANK(Mitigation_Industry!AB279),"",Mitigation_Industry!AB279)</f>
        <v>78772.477642025202</v>
      </c>
      <c r="AC608">
        <f>IF(ISBLANK(Mitigation_Industry!AC279),"",Mitigation_Industry!AC279)</f>
        <v>81371.969404212025</v>
      </c>
      <c r="AD608">
        <f>IF(ISBLANK(Mitigation_Industry!AD279),"",Mitigation_Industry!AD279)</f>
        <v>84057.244394551017</v>
      </c>
      <c r="AE608">
        <f>IF(ISBLANK(Mitigation_Industry!AE279),"",Mitigation_Industry!AE279)</f>
        <v>86831.133459571196</v>
      </c>
    </row>
    <row r="609" spans="1:31" x14ac:dyDescent="0.45">
      <c r="A609" t="s">
        <v>1514</v>
      </c>
      <c r="B609" t="s">
        <v>1434</v>
      </c>
      <c r="C609" t="s">
        <v>1369</v>
      </c>
      <c r="D609">
        <v>1</v>
      </c>
      <c r="E609" t="s">
        <v>1161</v>
      </c>
      <c r="F609">
        <f>MAX(MAX(L609:AE609),-MIN(L609:AE609))</f>
        <v>0</v>
      </c>
      <c r="I609" t="s">
        <v>1509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0</v>
      </c>
      <c r="U609">
        <f t="shared" si="149"/>
        <v>0</v>
      </c>
      <c r="V609">
        <f t="shared" si="149"/>
        <v>0</v>
      </c>
      <c r="W609">
        <f t="shared" si="149"/>
        <v>0</v>
      </c>
      <c r="X609">
        <f t="shared" si="149"/>
        <v>0</v>
      </c>
      <c r="Y609">
        <f t="shared" si="149"/>
        <v>0</v>
      </c>
      <c r="Z609">
        <f t="shared" si="149"/>
        <v>0</v>
      </c>
      <c r="AA609">
        <f t="shared" si="149"/>
        <v>0</v>
      </c>
      <c r="AB609">
        <f t="shared" si="149"/>
        <v>0</v>
      </c>
      <c r="AC609">
        <f t="shared" si="149"/>
        <v>0</v>
      </c>
      <c r="AD609">
        <f t="shared" si="149"/>
        <v>0</v>
      </c>
      <c r="AE609">
        <f t="shared" si="149"/>
        <v>0</v>
      </c>
    </row>
    <row r="611" spans="1:31" x14ac:dyDescent="0.45">
      <c r="A611" t="s">
        <v>1515</v>
      </c>
      <c r="B611" t="s">
        <v>1434</v>
      </c>
      <c r="C611" t="s">
        <v>1442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1515</v>
      </c>
      <c r="B612" t="s">
        <v>1434</v>
      </c>
      <c r="C612" t="s">
        <v>1442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1905.4208266799999</v>
      </c>
      <c r="R612">
        <f>IF(ISBLANK(Mitigation_Industry!R280),"",Mitigation_Industry!R280)</f>
        <v>1947.3400848669598</v>
      </c>
      <c r="S612">
        <f>IF(ISBLANK(Mitigation_Industry!S280),"",Mitigation_Industry!S280)</f>
        <v>1990.1815667340329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2124.4444852266997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2420.754576827454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1515</v>
      </c>
      <c r="B613" t="s">
        <v>1434</v>
      </c>
      <c r="C613" t="s">
        <v>1442</v>
      </c>
      <c r="D613">
        <v>1</v>
      </c>
      <c r="E613" t="s">
        <v>1161</v>
      </c>
      <c r="F613">
        <f>MAX(MAX(L613:AE613),-MIN(L613:AE613))</f>
        <v>0</v>
      </c>
      <c r="I613" t="s">
        <v>1509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0</v>
      </c>
      <c r="R613">
        <f t="shared" si="150"/>
        <v>0</v>
      </c>
      <c r="S613">
        <f t="shared" si="150"/>
        <v>0</v>
      </c>
      <c r="T613">
        <f t="shared" si="150"/>
        <v>0</v>
      </c>
      <c r="U613">
        <f t="shared" si="150"/>
        <v>0</v>
      </c>
      <c r="V613">
        <f t="shared" si="150"/>
        <v>0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0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1516</v>
      </c>
      <c r="B615" t="s">
        <v>1434</v>
      </c>
      <c r="C615" t="s">
        <v>1383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1516</v>
      </c>
      <c r="B616" t="s">
        <v>1434</v>
      </c>
      <c r="C616" t="s">
        <v>1383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3054.6511135167998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3190.5342136504814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3405.7761002379411</v>
      </c>
      <c r="X616">
        <f>IF(ISBLANK(Mitigation_Industry!X281),"",Mitigation_Industry!X281)</f>
        <v>3480.7031744431761</v>
      </c>
      <c r="Y616">
        <f>IF(ISBLANK(Mitigation_Industry!Y281),"",Mitigation_Industry!Y281)</f>
        <v>3557.2786442809261</v>
      </c>
      <c r="Z616">
        <f>IF(ISBLANK(Mitigation_Industry!Z281),"",Mitigation_Industry!Z281)</f>
        <v>3635.5387744551067</v>
      </c>
      <c r="AA616">
        <f>IF(ISBLANK(Mitigation_Industry!AA281),"",Mitigation_Industry!AA281)</f>
        <v>3715.5206274931193</v>
      </c>
      <c r="AB616">
        <f>IF(ISBLANK(Mitigation_Industry!AB281),"",Mitigation_Industry!AB281)</f>
        <v>3797.2620812979681</v>
      </c>
      <c r="AC616">
        <f>IF(ISBLANK(Mitigation_Industry!AC281),"",Mitigation_Industry!AC281)</f>
        <v>3880.8018470865236</v>
      </c>
      <c r="AD616">
        <f>IF(ISBLANK(Mitigation_Industry!AD281),"",Mitigation_Industry!AD281)</f>
        <v>3966.179487722427</v>
      </c>
      <c r="AE616">
        <f>IF(ISBLANK(Mitigation_Industry!AE281),"",Mitigation_Industry!AE281)</f>
        <v>4053.4354364523206</v>
      </c>
    </row>
    <row r="617" spans="1:31" x14ac:dyDescent="0.45">
      <c r="A617" t="s">
        <v>1516</v>
      </c>
      <c r="B617" t="s">
        <v>1434</v>
      </c>
      <c r="C617" t="s">
        <v>1383</v>
      </c>
      <c r="D617">
        <v>1</v>
      </c>
      <c r="E617" t="s">
        <v>1161</v>
      </c>
      <c r="F617">
        <f>MAX(MAX(L617:AE617),-MIN(L617:AE617))</f>
        <v>0</v>
      </c>
      <c r="I617" t="s">
        <v>1509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0</v>
      </c>
      <c r="S617">
        <f t="shared" si="151"/>
        <v>0</v>
      </c>
      <c r="T617">
        <f t="shared" si="151"/>
        <v>0</v>
      </c>
      <c r="U617">
        <f t="shared" si="151"/>
        <v>0</v>
      </c>
      <c r="V617">
        <f t="shared" si="151"/>
        <v>0</v>
      </c>
      <c r="W617">
        <f t="shared" si="151"/>
        <v>0</v>
      </c>
      <c r="X617">
        <f t="shared" si="151"/>
        <v>0</v>
      </c>
      <c r="Y617">
        <f t="shared" si="151"/>
        <v>0</v>
      </c>
      <c r="Z617">
        <f t="shared" si="151"/>
        <v>0</v>
      </c>
      <c r="AA617">
        <f t="shared" si="151"/>
        <v>0</v>
      </c>
      <c r="AB617">
        <f t="shared" si="151"/>
        <v>0</v>
      </c>
      <c r="AC617">
        <f t="shared" si="151"/>
        <v>0</v>
      </c>
      <c r="AD617">
        <f t="shared" si="151"/>
        <v>0</v>
      </c>
      <c r="AE617">
        <f t="shared" si="151"/>
        <v>0</v>
      </c>
    </row>
    <row r="619" spans="1:31" x14ac:dyDescent="0.45">
      <c r="A619" t="s">
        <v>1517</v>
      </c>
      <c r="B619" t="s">
        <v>1434</v>
      </c>
      <c r="C619" t="s">
        <v>1390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1517</v>
      </c>
      <c r="B620" t="s">
        <v>1434</v>
      </c>
      <c r="C620" t="s">
        <v>1390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626.69040000000007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683.68590292510316</v>
      </c>
      <c r="U620">
        <f>IF(ISBLANK(Mitigation_Industry!U282),"",Mitigation_Industry!U282)</f>
        <v>698.72699278945549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729.80916433670166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813.69901742099296</v>
      </c>
      <c r="AC620">
        <f>IF(ISBLANK(Mitigation_Industry!AC282),"",Mitigation_Industry!AC282)</f>
        <v>831.60039580425484</v>
      </c>
      <c r="AD620">
        <f>IF(ISBLANK(Mitigation_Industry!AD282),"",Mitigation_Industry!AD282)</f>
        <v>849.89560451194848</v>
      </c>
      <c r="AE620">
        <f>IF(ISBLANK(Mitigation_Industry!AE282),"",Mitigation_Industry!AE282)</f>
        <v>868.59330781121139</v>
      </c>
    </row>
    <row r="621" spans="1:31" x14ac:dyDescent="0.45">
      <c r="A621" t="s">
        <v>1517</v>
      </c>
      <c r="B621" t="s">
        <v>1434</v>
      </c>
      <c r="C621" t="s">
        <v>1390</v>
      </c>
      <c r="D621">
        <v>1</v>
      </c>
      <c r="E621" t="s">
        <v>1161</v>
      </c>
      <c r="F621">
        <f>MAX(MAX(L621:AE621),-MIN(L621:AE621))</f>
        <v>0</v>
      </c>
      <c r="I621" t="s">
        <v>1509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0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0</v>
      </c>
      <c r="U621">
        <f t="shared" si="152"/>
        <v>0</v>
      </c>
      <c r="V621">
        <f t="shared" si="152"/>
        <v>0</v>
      </c>
      <c r="W621">
        <f t="shared" si="152"/>
        <v>0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0</v>
      </c>
      <c r="AC621">
        <f t="shared" si="152"/>
        <v>0</v>
      </c>
      <c r="AD621">
        <f t="shared" si="152"/>
        <v>0</v>
      </c>
      <c r="AE621">
        <f t="shared" si="152"/>
        <v>0</v>
      </c>
    </row>
    <row r="623" spans="1:31" x14ac:dyDescent="0.45">
      <c r="A623" t="s">
        <v>1518</v>
      </c>
      <c r="B623" t="s">
        <v>1434</v>
      </c>
      <c r="C623" t="s">
        <v>1397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1518</v>
      </c>
      <c r="B624" t="s">
        <v>1434</v>
      </c>
      <c r="C624" t="s">
        <v>1397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352.27241249999997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392.08800192281245</v>
      </c>
      <c r="T624">
        <f>IF(ISBLANK(Mitigation_Industry!T283),"",Mitigation_Industry!T283)</f>
        <v>413.65284202856714</v>
      </c>
      <c r="U624">
        <f>IF(ISBLANK(Mitigation_Industry!U283),"",Mitigation_Industry!U283)</f>
        <v>436.40374834013829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601.73216924272594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669.74294767138497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1518</v>
      </c>
      <c r="B625" t="s">
        <v>1434</v>
      </c>
      <c r="C625" t="s">
        <v>1397</v>
      </c>
      <c r="D625">
        <v>1</v>
      </c>
      <c r="E625" t="s">
        <v>1161</v>
      </c>
      <c r="F625">
        <f>MAX(MAX(L625:AE625),-MIN(L625:AE625))</f>
        <v>0</v>
      </c>
      <c r="I625" t="s">
        <v>1509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0</v>
      </c>
      <c r="R625">
        <f t="shared" si="153"/>
        <v>0</v>
      </c>
      <c r="S625">
        <f t="shared" si="153"/>
        <v>0</v>
      </c>
      <c r="T625">
        <f t="shared" si="153"/>
        <v>0</v>
      </c>
      <c r="U625">
        <f t="shared" si="153"/>
        <v>0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0</v>
      </c>
      <c r="AB625">
        <f t="shared" si="153"/>
        <v>0</v>
      </c>
      <c r="AC625">
        <f t="shared" si="153"/>
        <v>0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1519</v>
      </c>
      <c r="B627" t="s">
        <v>1447</v>
      </c>
      <c r="C627" t="s">
        <v>1450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1519</v>
      </c>
      <c r="B628" t="s">
        <v>1447</v>
      </c>
      <c r="C628" t="s">
        <v>1450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1519</v>
      </c>
      <c r="B629" t="s">
        <v>1447</v>
      </c>
      <c r="C629" t="s">
        <v>1450</v>
      </c>
      <c r="D629">
        <v>1</v>
      </c>
      <c r="E629" t="s">
        <v>1161</v>
      </c>
      <c r="F629">
        <f>MAX(MAX(L629:AE629),-MIN(L629:AE629))</f>
        <v>0</v>
      </c>
      <c r="I629" t="s">
        <v>1509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1520</v>
      </c>
      <c r="B631" t="s">
        <v>1447</v>
      </c>
      <c r="C631" t="s">
        <v>1453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1520</v>
      </c>
      <c r="B632" t="s">
        <v>1447</v>
      </c>
      <c r="C632" t="s">
        <v>1453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1520</v>
      </c>
      <c r="B633" t="s">
        <v>1447</v>
      </c>
      <c r="C633" t="s">
        <v>1453</v>
      </c>
      <c r="D633">
        <v>1</v>
      </c>
      <c r="E633" t="s">
        <v>1161</v>
      </c>
      <c r="F633">
        <f>MAX(MAX(L633:AE633),-MIN(L633:AE633))</f>
        <v>0</v>
      </c>
      <c r="I633" t="s">
        <v>1509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1521</v>
      </c>
      <c r="B635" t="s">
        <v>1447</v>
      </c>
      <c r="C635" t="s">
        <v>1456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1521</v>
      </c>
      <c r="B636" t="s">
        <v>1447</v>
      </c>
      <c r="C636" t="s">
        <v>1456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1521</v>
      </c>
      <c r="B637" t="s">
        <v>1447</v>
      </c>
      <c r="C637" t="s">
        <v>1456</v>
      </c>
      <c r="D637">
        <v>1</v>
      </c>
      <c r="E637" t="s">
        <v>1161</v>
      </c>
      <c r="F637">
        <f>MAX(MAX(L637:AE637),-MIN(L637:AE637))</f>
        <v>0</v>
      </c>
      <c r="I637" t="s">
        <v>1509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1522</v>
      </c>
      <c r="B639" t="s">
        <v>1447</v>
      </c>
      <c r="C639" t="s">
        <v>1459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1522</v>
      </c>
      <c r="B640" t="s">
        <v>1447</v>
      </c>
      <c r="C640" t="s">
        <v>1459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1522</v>
      </c>
      <c r="B641" t="s">
        <v>1447</v>
      </c>
      <c r="C641" t="s">
        <v>1459</v>
      </c>
      <c r="D641">
        <v>1</v>
      </c>
      <c r="E641" t="s">
        <v>1161</v>
      </c>
      <c r="F641">
        <f>MAX(MAX(L641:AE641),-MIN(L641:AE641))</f>
        <v>0</v>
      </c>
      <c r="I641" t="s">
        <v>1509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1523</v>
      </c>
      <c r="B643" t="s">
        <v>1447</v>
      </c>
      <c r="C643" t="s">
        <v>1462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1523</v>
      </c>
      <c r="B644" t="s">
        <v>1447</v>
      </c>
      <c r="C644" t="s">
        <v>1462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1523</v>
      </c>
      <c r="B645" t="s">
        <v>1447</v>
      </c>
      <c r="C645" t="s">
        <v>1462</v>
      </c>
      <c r="D645">
        <v>1</v>
      </c>
      <c r="E645" t="s">
        <v>1161</v>
      </c>
      <c r="F645">
        <f>MAX(MAX(L645:AE645),-MIN(L645:AE645))</f>
        <v>0</v>
      </c>
      <c r="I645" t="s">
        <v>1509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1524</v>
      </c>
      <c r="B647" t="s">
        <v>1447</v>
      </c>
      <c r="C647" t="s">
        <v>1465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1524</v>
      </c>
      <c r="B648" t="s">
        <v>1447</v>
      </c>
      <c r="C648" t="s">
        <v>1465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1524</v>
      </c>
      <c r="B649" t="s">
        <v>1447</v>
      </c>
      <c r="C649" t="s">
        <v>1465</v>
      </c>
      <c r="D649">
        <v>1</v>
      </c>
      <c r="E649" t="s">
        <v>1161</v>
      </c>
      <c r="F649">
        <f>MAX(MAX(L649:AE649),-MIN(L649:AE649))</f>
        <v>0</v>
      </c>
      <c r="I649" t="s">
        <v>1509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1525</v>
      </c>
      <c r="B651" t="s">
        <v>1447</v>
      </c>
      <c r="C651" t="s">
        <v>1468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1525</v>
      </c>
      <c r="B652" t="s">
        <v>1447</v>
      </c>
      <c r="C652" t="s">
        <v>1468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1525</v>
      </c>
      <c r="B653" t="s">
        <v>1447</v>
      </c>
      <c r="C653" t="s">
        <v>1468</v>
      </c>
      <c r="D653">
        <v>1</v>
      </c>
      <c r="E653" t="s">
        <v>1161</v>
      </c>
      <c r="F653">
        <f>MAX(MAX(L653:AE653),-MIN(L653:AE653))</f>
        <v>0</v>
      </c>
      <c r="I653" t="s">
        <v>1509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1526</v>
      </c>
      <c r="B655" t="s">
        <v>1447</v>
      </c>
      <c r="C655" t="s">
        <v>1471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1526</v>
      </c>
      <c r="B656" t="s">
        <v>1447</v>
      </c>
      <c r="C656" t="s">
        <v>1471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1526</v>
      </c>
      <c r="B657" t="s">
        <v>1447</v>
      </c>
      <c r="C657" t="s">
        <v>1471</v>
      </c>
      <c r="D657">
        <v>1</v>
      </c>
      <c r="E657" t="s">
        <v>1161</v>
      </c>
      <c r="F657">
        <f>MAX(MAX(L657:AE657),-MIN(L657:AE657))</f>
        <v>0</v>
      </c>
      <c r="I657" t="s">
        <v>1509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1527</v>
      </c>
      <c r="B659" t="s">
        <v>1474</v>
      </c>
      <c r="C659" t="s">
        <v>1450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1527</v>
      </c>
      <c r="B660" t="s">
        <v>1474</v>
      </c>
      <c r="C660" t="s">
        <v>1450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1527</v>
      </c>
      <c r="B661" t="s">
        <v>1474</v>
      </c>
      <c r="C661" t="s">
        <v>1450</v>
      </c>
      <c r="D661">
        <v>1</v>
      </c>
      <c r="E661" t="s">
        <v>1161</v>
      </c>
      <c r="F661">
        <f>MAX(MAX(L661:AE661),-MIN(L661:AE661))</f>
        <v>0</v>
      </c>
      <c r="I661" t="s">
        <v>1509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1528</v>
      </c>
      <c r="B663" t="s">
        <v>1474</v>
      </c>
      <c r="C663" t="s">
        <v>1453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1528</v>
      </c>
      <c r="B664" t="s">
        <v>1474</v>
      </c>
      <c r="C664" t="s">
        <v>1453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1528</v>
      </c>
      <c r="B665" t="s">
        <v>1474</v>
      </c>
      <c r="C665" t="s">
        <v>1453</v>
      </c>
      <c r="D665">
        <v>1</v>
      </c>
      <c r="E665" t="s">
        <v>1161</v>
      </c>
      <c r="F665">
        <f>MAX(MAX(L665:AE665),-MIN(L665:AE665))</f>
        <v>0</v>
      </c>
      <c r="I665" t="s">
        <v>1509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1529</v>
      </c>
      <c r="B667" t="s">
        <v>1474</v>
      </c>
      <c r="C667" t="s">
        <v>1456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1529</v>
      </c>
      <c r="B668" t="s">
        <v>1474</v>
      </c>
      <c r="C668" t="s">
        <v>1456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1529</v>
      </c>
      <c r="B669" t="s">
        <v>1474</v>
      </c>
      <c r="C669" t="s">
        <v>1456</v>
      </c>
      <c r="D669">
        <v>1</v>
      </c>
      <c r="E669" t="s">
        <v>1161</v>
      </c>
      <c r="F669">
        <f>MAX(MAX(L669:AE669),-MIN(L669:AE669))</f>
        <v>0</v>
      </c>
      <c r="I669" t="s">
        <v>1509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1530</v>
      </c>
      <c r="B671" t="s">
        <v>1474</v>
      </c>
      <c r="C671" t="s">
        <v>1459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1530</v>
      </c>
      <c r="B672" t="s">
        <v>1474</v>
      </c>
      <c r="C672" t="s">
        <v>1459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1530</v>
      </c>
      <c r="B673" t="s">
        <v>1474</v>
      </c>
      <c r="C673" t="s">
        <v>1459</v>
      </c>
      <c r="D673">
        <v>1</v>
      </c>
      <c r="E673" t="s">
        <v>1161</v>
      </c>
      <c r="F673">
        <f>MAX(MAX(L673:AE673),-MIN(L673:AE673))</f>
        <v>0</v>
      </c>
      <c r="I673" t="s">
        <v>1509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1531</v>
      </c>
      <c r="B675" t="s">
        <v>1474</v>
      </c>
      <c r="C675" t="s">
        <v>1462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1531</v>
      </c>
      <c r="B676" t="s">
        <v>1474</v>
      </c>
      <c r="C676" t="s">
        <v>1462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1531</v>
      </c>
      <c r="B677" t="s">
        <v>1474</v>
      </c>
      <c r="C677" t="s">
        <v>1462</v>
      </c>
      <c r="D677">
        <v>1</v>
      </c>
      <c r="E677" t="s">
        <v>1161</v>
      </c>
      <c r="F677">
        <f>MAX(MAX(L677:AE677),-MIN(L677:AE677))</f>
        <v>0</v>
      </c>
      <c r="I677" t="s">
        <v>1509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1532</v>
      </c>
      <c r="B679" t="s">
        <v>1474</v>
      </c>
      <c r="C679" t="s">
        <v>1465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1532</v>
      </c>
      <c r="B680" t="s">
        <v>1474</v>
      </c>
      <c r="C680" t="s">
        <v>1465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1532</v>
      </c>
      <c r="B681" t="s">
        <v>1474</v>
      </c>
      <c r="C681" t="s">
        <v>1465</v>
      </c>
      <c r="D681">
        <v>1</v>
      </c>
      <c r="E681" t="s">
        <v>1161</v>
      </c>
      <c r="F681">
        <f>MAX(MAX(L681:AE681),-MIN(L681:AE681))</f>
        <v>0</v>
      </c>
      <c r="I681" t="s">
        <v>1509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1533</v>
      </c>
      <c r="B683" t="s">
        <v>1474</v>
      </c>
      <c r="C683" t="s">
        <v>1468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1533</v>
      </c>
      <c r="B684" t="s">
        <v>1474</v>
      </c>
      <c r="C684" t="s">
        <v>1468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1533</v>
      </c>
      <c r="B685" t="s">
        <v>1474</v>
      </c>
      <c r="C685" t="s">
        <v>1468</v>
      </c>
      <c r="D685">
        <v>1</v>
      </c>
      <c r="E685" t="s">
        <v>1161</v>
      </c>
      <c r="F685">
        <f>MAX(MAX(L685:AE685),-MIN(L685:AE685))</f>
        <v>0</v>
      </c>
      <c r="I685" t="s">
        <v>1509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1534</v>
      </c>
      <c r="B687" t="s">
        <v>1474</v>
      </c>
      <c r="C687" t="s">
        <v>1471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1534</v>
      </c>
      <c r="B688" t="s">
        <v>1474</v>
      </c>
      <c r="C688" t="s">
        <v>1471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1534</v>
      </c>
      <c r="B689" t="s">
        <v>1474</v>
      </c>
      <c r="C689" t="s">
        <v>1471</v>
      </c>
      <c r="D689">
        <v>1</v>
      </c>
      <c r="E689" t="s">
        <v>1161</v>
      </c>
      <c r="F689">
        <f>MAX(MAX(L689:AE689),-MIN(L689:AE689))</f>
        <v>0</v>
      </c>
      <c r="I689" t="s">
        <v>1509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1535</v>
      </c>
      <c r="B691" t="s">
        <v>1477</v>
      </c>
      <c r="C691" t="s">
        <v>1450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1535</v>
      </c>
      <c r="B692" t="s">
        <v>1477</v>
      </c>
      <c r="C692" t="s">
        <v>1450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1535</v>
      </c>
      <c r="B693" t="s">
        <v>1477</v>
      </c>
      <c r="C693" t="s">
        <v>1450</v>
      </c>
      <c r="D693">
        <v>1</v>
      </c>
      <c r="E693" t="s">
        <v>1161</v>
      </c>
      <c r="F693">
        <f>MAX(MAX(L693:AE693),-MIN(L693:AE693))</f>
        <v>0</v>
      </c>
      <c r="I693" t="s">
        <v>1509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1536</v>
      </c>
      <c r="B695" t="s">
        <v>1477</v>
      </c>
      <c r="C695" t="s">
        <v>1453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1536</v>
      </c>
      <c r="B696" t="s">
        <v>1477</v>
      </c>
      <c r="C696" t="s">
        <v>1453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1536</v>
      </c>
      <c r="B697" t="s">
        <v>1477</v>
      </c>
      <c r="C697" t="s">
        <v>1453</v>
      </c>
      <c r="D697">
        <v>1</v>
      </c>
      <c r="E697" t="s">
        <v>1161</v>
      </c>
      <c r="F697">
        <f>MAX(MAX(L697:AE697),-MIN(L697:AE697))</f>
        <v>0</v>
      </c>
      <c r="I697" t="s">
        <v>1509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1537</v>
      </c>
      <c r="B699" t="s">
        <v>1477</v>
      </c>
      <c r="C699" t="s">
        <v>1456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1537</v>
      </c>
      <c r="B700" t="s">
        <v>1477</v>
      </c>
      <c r="C700" t="s">
        <v>1456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1537</v>
      </c>
      <c r="B701" t="s">
        <v>1477</v>
      </c>
      <c r="C701" t="s">
        <v>1456</v>
      </c>
      <c r="D701">
        <v>1</v>
      </c>
      <c r="E701" t="s">
        <v>1161</v>
      </c>
      <c r="F701">
        <f>MAX(MAX(L701:AE701),-MIN(L701:AE701))</f>
        <v>0</v>
      </c>
      <c r="I701" t="s">
        <v>1509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1538</v>
      </c>
      <c r="B703" t="s">
        <v>1477</v>
      </c>
      <c r="C703" t="s">
        <v>1459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1538</v>
      </c>
      <c r="B704" t="s">
        <v>1477</v>
      </c>
      <c r="C704" t="s">
        <v>1459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1538</v>
      </c>
      <c r="B705" t="s">
        <v>1477</v>
      </c>
      <c r="C705" t="s">
        <v>1459</v>
      </c>
      <c r="D705">
        <v>1</v>
      </c>
      <c r="E705" t="s">
        <v>1161</v>
      </c>
      <c r="F705">
        <f>MAX(MAX(L705:AE705),-MIN(L705:AE705))</f>
        <v>0</v>
      </c>
      <c r="I705" t="s">
        <v>1509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1539</v>
      </c>
      <c r="B707" t="s">
        <v>1477</v>
      </c>
      <c r="C707" t="s">
        <v>1462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1539</v>
      </c>
      <c r="B708" t="s">
        <v>1477</v>
      </c>
      <c r="C708" t="s">
        <v>1462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1539</v>
      </c>
      <c r="B709" t="s">
        <v>1477</v>
      </c>
      <c r="C709" t="s">
        <v>1462</v>
      </c>
      <c r="D709">
        <v>1</v>
      </c>
      <c r="E709" t="s">
        <v>1161</v>
      </c>
      <c r="F709">
        <f>MAX(MAX(L709:AE709),-MIN(L709:AE709))</f>
        <v>0</v>
      </c>
      <c r="I709" t="s">
        <v>1509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1540</v>
      </c>
      <c r="B711" t="s">
        <v>1477</v>
      </c>
      <c r="C711" t="s">
        <v>1465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1540</v>
      </c>
      <c r="B712" t="s">
        <v>1477</v>
      </c>
      <c r="C712" t="s">
        <v>1465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1540</v>
      </c>
      <c r="B713" t="s">
        <v>1477</v>
      </c>
      <c r="C713" t="s">
        <v>1465</v>
      </c>
      <c r="D713">
        <v>1</v>
      </c>
      <c r="E713" t="s">
        <v>1161</v>
      </c>
      <c r="F713">
        <f>MAX(MAX(L713:AE713),-MIN(L713:AE713))</f>
        <v>0</v>
      </c>
      <c r="I713" t="s">
        <v>1509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1541</v>
      </c>
      <c r="B715" t="s">
        <v>1477</v>
      </c>
      <c r="C715" t="s">
        <v>1468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1541</v>
      </c>
      <c r="B716" t="s">
        <v>1477</v>
      </c>
      <c r="C716" t="s">
        <v>1468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1541</v>
      </c>
      <c r="B717" t="s">
        <v>1477</v>
      </c>
      <c r="C717" t="s">
        <v>1468</v>
      </c>
      <c r="D717">
        <v>1</v>
      </c>
      <c r="E717" t="s">
        <v>1161</v>
      </c>
      <c r="F717">
        <f>MAX(MAX(L717:AE717),-MIN(L717:AE717))</f>
        <v>0</v>
      </c>
      <c r="I717" t="s">
        <v>1509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1542</v>
      </c>
      <c r="B719" t="s">
        <v>1477</v>
      </c>
      <c r="C719" t="s">
        <v>1471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1542</v>
      </c>
      <c r="B720" t="s">
        <v>1477</v>
      </c>
      <c r="C720" t="s">
        <v>1471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1542</v>
      </c>
      <c r="B721" t="s">
        <v>1477</v>
      </c>
      <c r="C721" t="s">
        <v>1471</v>
      </c>
      <c r="D721">
        <v>1</v>
      </c>
      <c r="E721" t="s">
        <v>1161</v>
      </c>
      <c r="F721">
        <f>MAX(MAX(L721:AE721),-MIN(L721:AE721))</f>
        <v>0</v>
      </c>
      <c r="I721" t="s">
        <v>1509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1543</v>
      </c>
      <c r="B723" t="s">
        <v>1480</v>
      </c>
      <c r="C723" t="s">
        <v>1450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1543</v>
      </c>
      <c r="B724" t="s">
        <v>1480</v>
      </c>
      <c r="C724" t="s">
        <v>1450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1543</v>
      </c>
      <c r="B725" t="s">
        <v>1480</v>
      </c>
      <c r="C725" t="s">
        <v>1450</v>
      </c>
      <c r="D725">
        <v>1</v>
      </c>
      <c r="E725" t="s">
        <v>1161</v>
      </c>
      <c r="F725">
        <f>MAX(MAX(L725:AE725),-MIN(L725:AE725))</f>
        <v>0</v>
      </c>
      <c r="I725" t="s">
        <v>1509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1544</v>
      </c>
      <c r="B727" t="s">
        <v>1480</v>
      </c>
      <c r="C727" t="s">
        <v>1453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1544</v>
      </c>
      <c r="B728" t="s">
        <v>1480</v>
      </c>
      <c r="C728" t="s">
        <v>1453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1544</v>
      </c>
      <c r="B729" t="s">
        <v>1480</v>
      </c>
      <c r="C729" t="s">
        <v>1453</v>
      </c>
      <c r="D729">
        <v>1</v>
      </c>
      <c r="E729" t="s">
        <v>1161</v>
      </c>
      <c r="F729">
        <f>MAX(MAX(L729:AE729),-MIN(L729:AE729))</f>
        <v>0</v>
      </c>
      <c r="I729" t="s">
        <v>1509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1545</v>
      </c>
      <c r="B731" t="s">
        <v>1480</v>
      </c>
      <c r="C731" t="s">
        <v>1456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1545</v>
      </c>
      <c r="B732" t="s">
        <v>1480</v>
      </c>
      <c r="C732" t="s">
        <v>1456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1545</v>
      </c>
      <c r="B733" t="s">
        <v>1480</v>
      </c>
      <c r="C733" t="s">
        <v>1456</v>
      </c>
      <c r="D733">
        <v>1</v>
      </c>
      <c r="E733" t="s">
        <v>1161</v>
      </c>
      <c r="F733">
        <f>MAX(MAX(L733:AE733),-MIN(L733:AE733))</f>
        <v>0</v>
      </c>
      <c r="I733" t="s">
        <v>1509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1546</v>
      </c>
      <c r="B735" t="s">
        <v>1480</v>
      </c>
      <c r="C735" t="s">
        <v>1459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1546</v>
      </c>
      <c r="B736" t="s">
        <v>1480</v>
      </c>
      <c r="C736" t="s">
        <v>1459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1546</v>
      </c>
      <c r="B737" t="s">
        <v>1480</v>
      </c>
      <c r="C737" t="s">
        <v>1459</v>
      </c>
      <c r="D737">
        <v>1</v>
      </c>
      <c r="E737" t="s">
        <v>1161</v>
      </c>
      <c r="F737">
        <f>MAX(MAX(L737:AE737),-MIN(L737:AE737))</f>
        <v>0</v>
      </c>
      <c r="I737" t="s">
        <v>1509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1547</v>
      </c>
      <c r="B739" t="s">
        <v>1480</v>
      </c>
      <c r="C739" t="s">
        <v>1462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1547</v>
      </c>
      <c r="B740" t="s">
        <v>1480</v>
      </c>
      <c r="C740" t="s">
        <v>1462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1547</v>
      </c>
      <c r="B741" t="s">
        <v>1480</v>
      </c>
      <c r="C741" t="s">
        <v>1462</v>
      </c>
      <c r="D741">
        <v>1</v>
      </c>
      <c r="E741" t="s">
        <v>1161</v>
      </c>
      <c r="F741">
        <f>MAX(MAX(L741:AE741),-MIN(L741:AE741))</f>
        <v>0</v>
      </c>
      <c r="I741" t="s">
        <v>1509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1548</v>
      </c>
      <c r="B743" t="s">
        <v>1480</v>
      </c>
      <c r="C743" t="s">
        <v>1465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1548</v>
      </c>
      <c r="B744" t="s">
        <v>1480</v>
      </c>
      <c r="C744" t="s">
        <v>1465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1548</v>
      </c>
      <c r="B745" t="s">
        <v>1480</v>
      </c>
      <c r="C745" t="s">
        <v>1465</v>
      </c>
      <c r="D745">
        <v>1</v>
      </c>
      <c r="E745" t="s">
        <v>1161</v>
      </c>
      <c r="F745">
        <f>MAX(MAX(L745:AE745),-MIN(L745:AE745))</f>
        <v>0</v>
      </c>
      <c r="I745" t="s">
        <v>1509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1549</v>
      </c>
      <c r="B747" t="s">
        <v>1480</v>
      </c>
      <c r="C747" t="s">
        <v>1468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1549</v>
      </c>
      <c r="B748" t="s">
        <v>1480</v>
      </c>
      <c r="C748" t="s">
        <v>1468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1549</v>
      </c>
      <c r="B749" t="s">
        <v>1480</v>
      </c>
      <c r="C749" t="s">
        <v>1468</v>
      </c>
      <c r="D749">
        <v>1</v>
      </c>
      <c r="E749" t="s">
        <v>1161</v>
      </c>
      <c r="F749">
        <f>MAX(MAX(L749:AE749),-MIN(L749:AE749))</f>
        <v>0</v>
      </c>
      <c r="I749" t="s">
        <v>1509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1550</v>
      </c>
      <c r="B751" t="s">
        <v>1480</v>
      </c>
      <c r="C751" t="s">
        <v>1471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1550</v>
      </c>
      <c r="B752" t="s">
        <v>1480</v>
      </c>
      <c r="C752" t="s">
        <v>1471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1550</v>
      </c>
      <c r="B753" t="s">
        <v>1480</v>
      </c>
      <c r="C753" t="s">
        <v>1471</v>
      </c>
      <c r="D753">
        <v>1</v>
      </c>
      <c r="E753" t="s">
        <v>1161</v>
      </c>
      <c r="F753">
        <f>MAX(MAX(L753:AE753),-MIN(L753:AE753))</f>
        <v>0</v>
      </c>
      <c r="I753" t="s">
        <v>1509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1551</v>
      </c>
      <c r="B755" t="s">
        <v>1481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1551</v>
      </c>
      <c r="B756" t="s">
        <v>1481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3.2287703131193024</v>
      </c>
      <c r="M756">
        <f>IF(ISBLANK(Mitigation_Industry!M330),"",Mitigation_Industry!M330)</f>
        <v>3.3708362068965516</v>
      </c>
      <c r="N756">
        <f>IF(ISBLANK(Mitigation_Industry!N330),"",Mitigation_Industry!N330)</f>
        <v>3.5191530000000002</v>
      </c>
      <c r="O756">
        <f>IF(ISBLANK(Mitigation_Industry!O330),"",Mitigation_Industry!O330)</f>
        <v>3.6739957320000007</v>
      </c>
      <c r="P756">
        <f>IF(ISBLANK(Mitigation_Industry!P330),"",Mitigation_Industry!P330)</f>
        <v>3.8356515442080008</v>
      </c>
      <c r="Q756">
        <f>IF(ISBLANK(Mitigation_Industry!Q330),"",Mitigation_Industry!Q330)</f>
        <v>4.0044202121531534</v>
      </c>
      <c r="R756">
        <f>IF(ISBLANK(Mitigation_Industry!R330),"",Mitigation_Industry!R330)</f>
        <v>4.1806147014878912</v>
      </c>
      <c r="S756">
        <f>IF(ISBLANK(Mitigation_Industry!S330),"",Mitigation_Industry!S330)</f>
        <v>4.3645617483533599</v>
      </c>
      <c r="T756">
        <f>IF(ISBLANK(Mitigation_Industry!T330),"",Mitigation_Industry!T330)</f>
        <v>4.556602465280907</v>
      </c>
      <c r="U756">
        <f>IF(ISBLANK(Mitigation_Industry!U330),"",Mitigation_Industry!U330)</f>
        <v>4.7570929737532675</v>
      </c>
      <c r="V756">
        <f>IF(ISBLANK(Mitigation_Industry!V330),"",Mitigation_Industry!V330)</f>
        <v>4.9664050645984119</v>
      </c>
      <c r="W756">
        <f>IF(ISBLANK(Mitigation_Industry!W330),"",Mitigation_Industry!W330)</f>
        <v>5.1849268874407413</v>
      </c>
      <c r="X756">
        <f>IF(ISBLANK(Mitigation_Industry!X330),"",Mitigation_Industry!X330)</f>
        <v>5.4130636704881345</v>
      </c>
      <c r="Y756">
        <f>IF(ISBLANK(Mitigation_Industry!Y330),"",Mitigation_Industry!Y330)</f>
        <v>5.6512384719896129</v>
      </c>
      <c r="Z756">
        <f>IF(ISBLANK(Mitigation_Industry!Z330),"",Mitigation_Industry!Z330)</f>
        <v>5.8998929647571554</v>
      </c>
      <c r="AA756">
        <f>IF(ISBLANK(Mitigation_Industry!AA330),"",Mitigation_Industry!AA330)</f>
        <v>6.1594882552064707</v>
      </c>
      <c r="AB756">
        <f>IF(ISBLANK(Mitigation_Industry!AB330),"",Mitigation_Industry!AB330)</f>
        <v>6.4305057384355555</v>
      </c>
      <c r="AC756">
        <f>IF(ISBLANK(Mitigation_Industry!AC330),"",Mitigation_Industry!AC330)</f>
        <v>6.7134479909267206</v>
      </c>
      <c r="AD756">
        <f>IF(ISBLANK(Mitigation_Industry!AD330),"",Mitigation_Industry!AD330)</f>
        <v>7.0088397025274967</v>
      </c>
      <c r="AE756">
        <f>IF(ISBLANK(Mitigation_Industry!AE330),"",Mitigation_Industry!AE330)</f>
        <v>7.3172286494387055</v>
      </c>
    </row>
    <row r="757" spans="1:31" x14ac:dyDescent="0.45">
      <c r="A757" t="s">
        <v>1551</v>
      </c>
      <c r="B757" t="s">
        <v>1481</v>
      </c>
      <c r="C757" t="s">
        <v>1350</v>
      </c>
      <c r="D757">
        <v>1</v>
      </c>
      <c r="E757" t="s">
        <v>1161</v>
      </c>
      <c r="F757">
        <f>MAX(MAX(L757:AE757),-MIN(L757:AE757))</f>
        <v>0</v>
      </c>
      <c r="I757" t="s">
        <v>1509</v>
      </c>
      <c r="K757">
        <f t="shared" ref="K757:AE757" si="186">IF(ISNUMBER(K755),IF(ISNUMBER(K756),K756-K755,999999),0)</f>
        <v>0</v>
      </c>
      <c r="L757">
        <f t="shared" si="186"/>
        <v>0</v>
      </c>
      <c r="M757">
        <f t="shared" si="186"/>
        <v>0</v>
      </c>
      <c r="N757">
        <f t="shared" si="186"/>
        <v>0</v>
      </c>
      <c r="O757">
        <f t="shared" si="186"/>
        <v>0</v>
      </c>
      <c r="P757">
        <f t="shared" si="186"/>
        <v>0</v>
      </c>
      <c r="Q757">
        <f t="shared" si="186"/>
        <v>0</v>
      </c>
      <c r="R757">
        <f t="shared" si="186"/>
        <v>0</v>
      </c>
      <c r="S757">
        <f t="shared" si="186"/>
        <v>0</v>
      </c>
      <c r="T757">
        <f t="shared" si="186"/>
        <v>0</v>
      </c>
      <c r="U757">
        <f t="shared" si="186"/>
        <v>0</v>
      </c>
      <c r="V757">
        <f t="shared" si="186"/>
        <v>0</v>
      </c>
      <c r="W757">
        <f t="shared" si="186"/>
        <v>0</v>
      </c>
      <c r="X757">
        <f t="shared" si="186"/>
        <v>0</v>
      </c>
      <c r="Y757">
        <f t="shared" si="186"/>
        <v>0</v>
      </c>
      <c r="Z757">
        <f t="shared" si="186"/>
        <v>0</v>
      </c>
      <c r="AA757">
        <f t="shared" si="186"/>
        <v>0</v>
      </c>
      <c r="AB757">
        <f t="shared" si="186"/>
        <v>0</v>
      </c>
      <c r="AC757">
        <f t="shared" si="186"/>
        <v>0</v>
      </c>
      <c r="AD757">
        <f t="shared" si="186"/>
        <v>0</v>
      </c>
      <c r="AE757">
        <f t="shared" si="186"/>
        <v>0</v>
      </c>
    </row>
    <row r="759" spans="1:31" x14ac:dyDescent="0.45">
      <c r="A759" t="s">
        <v>1552</v>
      </c>
      <c r="B759" t="s">
        <v>1481</v>
      </c>
      <c r="C759" t="s">
        <v>1357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1552</v>
      </c>
      <c r="B760" t="s">
        <v>1481</v>
      </c>
      <c r="C760" t="s">
        <v>1357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0.61765094464262127</v>
      </c>
      <c r="M760">
        <f>IF(ISBLANK(Mitigation_Industry!M331),"",Mitigation_Industry!M331)</f>
        <v>0.64482758620689662</v>
      </c>
      <c r="N760">
        <f>IF(ISBLANK(Mitigation_Industry!N331),"",Mitigation_Industry!N331)</f>
        <v>0.67320000000000002</v>
      </c>
      <c r="O760">
        <f>IF(ISBLANK(Mitigation_Industry!O331),"",Mitigation_Industry!O331)</f>
        <v>0.70282080000000002</v>
      </c>
      <c r="P760">
        <f>IF(ISBLANK(Mitigation_Industry!P331),"",Mitigation_Industry!P331)</f>
        <v>0.73374491520000007</v>
      </c>
      <c r="Q760">
        <f>IF(ISBLANK(Mitigation_Industry!Q331),"",Mitigation_Industry!Q331)</f>
        <v>0.76602969146880007</v>
      </c>
      <c r="R760">
        <f>IF(ISBLANK(Mitigation_Industry!R331),"",Mitigation_Industry!R331)</f>
        <v>0.79973499789342728</v>
      </c>
      <c r="S760">
        <f>IF(ISBLANK(Mitigation_Industry!S331),"",Mitigation_Industry!S331)</f>
        <v>0.83492333780073813</v>
      </c>
      <c r="T760">
        <f>IF(ISBLANK(Mitigation_Industry!T331),"",Mitigation_Industry!T331)</f>
        <v>0.87165996466397067</v>
      </c>
      <c r="U760">
        <f>IF(ISBLANK(Mitigation_Industry!U331),"",Mitigation_Industry!U331)</f>
        <v>0.91001300310918543</v>
      </c>
      <c r="V760">
        <f>IF(ISBLANK(Mitigation_Industry!V331),"",Mitigation_Industry!V331)</f>
        <v>0.95005357524598955</v>
      </c>
      <c r="W760">
        <f>IF(ISBLANK(Mitigation_Industry!W331),"",Mitigation_Industry!W331)</f>
        <v>0.99185593255681304</v>
      </c>
      <c r="X760">
        <f>IF(ISBLANK(Mitigation_Industry!X331),"",Mitigation_Industry!X331)</f>
        <v>1.0354975935893131</v>
      </c>
      <c r="Y760">
        <f>IF(ISBLANK(Mitigation_Industry!Y331),"",Mitigation_Industry!Y331)</f>
        <v>1.0810594877072426</v>
      </c>
      <c r="Z760">
        <f>IF(ISBLANK(Mitigation_Industry!Z331),"",Mitigation_Industry!Z331)</f>
        <v>1.1286261051663613</v>
      </c>
      <c r="AA760">
        <f>IF(ISBLANK(Mitigation_Industry!AA331),"",Mitigation_Industry!AA331)</f>
        <v>1.1782856537936812</v>
      </c>
      <c r="AB760">
        <f>IF(ISBLANK(Mitigation_Industry!AB331),"",Mitigation_Industry!AB331)</f>
        <v>1.2301302225606032</v>
      </c>
      <c r="AC760">
        <f>IF(ISBLANK(Mitigation_Industry!AC331),"",Mitigation_Industry!AC331)</f>
        <v>1.2842559523532697</v>
      </c>
      <c r="AD760">
        <f>IF(ISBLANK(Mitigation_Industry!AD331),"",Mitigation_Industry!AD331)</f>
        <v>1.3407632142568136</v>
      </c>
      <c r="AE760">
        <f>IF(ISBLANK(Mitigation_Industry!AE331),"",Mitigation_Industry!AE331)</f>
        <v>1.3997567956841135</v>
      </c>
    </row>
    <row r="761" spans="1:31" x14ac:dyDescent="0.45">
      <c r="A761" t="s">
        <v>1552</v>
      </c>
      <c r="B761" t="s">
        <v>1481</v>
      </c>
      <c r="C761" t="s">
        <v>1357</v>
      </c>
      <c r="D761">
        <v>1</v>
      </c>
      <c r="E761" t="s">
        <v>1161</v>
      </c>
      <c r="F761">
        <f>MAX(MAX(L761:AE761),-MIN(L761:AE761))</f>
        <v>0</v>
      </c>
      <c r="I761" t="s">
        <v>1509</v>
      </c>
      <c r="K761">
        <f t="shared" ref="K761:AE761" si="187">IF(ISNUMBER(K759),IF(ISNUMBER(K760),K760-K759,999999),0)</f>
        <v>0</v>
      </c>
      <c r="L761">
        <f t="shared" si="187"/>
        <v>0</v>
      </c>
      <c r="M761">
        <f t="shared" si="187"/>
        <v>0</v>
      </c>
      <c r="N761">
        <f t="shared" si="187"/>
        <v>0</v>
      </c>
      <c r="O761">
        <f t="shared" si="187"/>
        <v>0</v>
      </c>
      <c r="P761">
        <f t="shared" si="187"/>
        <v>0</v>
      </c>
      <c r="Q761">
        <f t="shared" si="187"/>
        <v>0</v>
      </c>
      <c r="R761">
        <f t="shared" si="187"/>
        <v>0</v>
      </c>
      <c r="S761">
        <f t="shared" si="187"/>
        <v>0</v>
      </c>
      <c r="T761">
        <f t="shared" si="187"/>
        <v>0</v>
      </c>
      <c r="U761">
        <f t="shared" si="187"/>
        <v>0</v>
      </c>
      <c r="V761">
        <f t="shared" si="187"/>
        <v>0</v>
      </c>
      <c r="W761">
        <f t="shared" si="187"/>
        <v>0</v>
      </c>
      <c r="X761">
        <f t="shared" si="187"/>
        <v>0</v>
      </c>
      <c r="Y761">
        <f t="shared" si="187"/>
        <v>0</v>
      </c>
      <c r="Z761">
        <f t="shared" si="187"/>
        <v>0</v>
      </c>
      <c r="AA761">
        <f t="shared" si="187"/>
        <v>0</v>
      </c>
      <c r="AB761">
        <f t="shared" si="187"/>
        <v>0</v>
      </c>
      <c r="AC761">
        <f t="shared" si="187"/>
        <v>0</v>
      </c>
      <c r="AD761">
        <f t="shared" si="187"/>
        <v>0</v>
      </c>
      <c r="AE761">
        <f t="shared" si="187"/>
        <v>0</v>
      </c>
    </row>
    <row r="763" spans="1:31" x14ac:dyDescent="0.45">
      <c r="A763" t="s">
        <v>1553</v>
      </c>
      <c r="B763" t="s">
        <v>1481</v>
      </c>
      <c r="C763" t="s">
        <v>1363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1553</v>
      </c>
      <c r="B764" t="s">
        <v>1481</v>
      </c>
      <c r="C764" t="s">
        <v>1363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1553</v>
      </c>
      <c r="B765" t="s">
        <v>1481</v>
      </c>
      <c r="C765" t="s">
        <v>1363</v>
      </c>
      <c r="D765">
        <v>1</v>
      </c>
      <c r="E765" t="s">
        <v>1161</v>
      </c>
      <c r="F765">
        <f>MAX(MAX(L765:AE765),-MIN(L765:AE765))</f>
        <v>0</v>
      </c>
      <c r="I765" t="s">
        <v>1509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1554</v>
      </c>
      <c r="B767" t="s">
        <v>1481</v>
      </c>
      <c r="C767" t="s">
        <v>1369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1554</v>
      </c>
      <c r="B768" t="s">
        <v>1481</v>
      </c>
      <c r="C768" t="s">
        <v>1369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13.508713893592759</v>
      </c>
      <c r="M768">
        <f>IF(ISBLANK(Mitigation_Industry!M333),"",Mitigation_Industry!M333)</f>
        <v>13.954501452081319</v>
      </c>
      <c r="N768">
        <f>IF(ISBLANK(Mitigation_Industry!N333),"",Mitigation_Industry!N333)</f>
        <v>14.414999999999999</v>
      </c>
      <c r="O768">
        <f>IF(ISBLANK(Mitigation_Industry!O333),"",Mitigation_Industry!O333)</f>
        <v>14.890694999999997</v>
      </c>
      <c r="P768">
        <f>IF(ISBLANK(Mitigation_Industry!P333),"",Mitigation_Industry!P333)</f>
        <v>15.382087934999998</v>
      </c>
      <c r="Q768">
        <f>IF(ISBLANK(Mitigation_Industry!Q333),"",Mitigation_Industry!Q333)</f>
        <v>15.889696836854995</v>
      </c>
      <c r="R768">
        <f>IF(ISBLANK(Mitigation_Industry!R333),"",Mitigation_Industry!R333)</f>
        <v>16.414056832471207</v>
      </c>
      <c r="S768">
        <f>IF(ISBLANK(Mitigation_Industry!S333),"",Mitigation_Industry!S333)</f>
        <v>16.955720707942756</v>
      </c>
      <c r="T768">
        <f>IF(ISBLANK(Mitigation_Industry!T333),"",Mitigation_Industry!T333)</f>
        <v>17.515259491304867</v>
      </c>
      <c r="U768">
        <f>IF(ISBLANK(Mitigation_Industry!U333),"",Mitigation_Industry!U333)</f>
        <v>18.093263054517926</v>
      </c>
      <c r="V768">
        <f>IF(ISBLANK(Mitigation_Industry!V333),"",Mitigation_Industry!V333)</f>
        <v>18.690340735317015</v>
      </c>
      <c r="W768">
        <f>IF(ISBLANK(Mitigation_Industry!W333),"",Mitigation_Industry!W333)</f>
        <v>19.307121979582476</v>
      </c>
      <c r="X768">
        <f>IF(ISBLANK(Mitigation_Industry!X333),"",Mitigation_Industry!X333)</f>
        <v>19.944257004908696</v>
      </c>
      <c r="Y768">
        <f>IF(ISBLANK(Mitigation_Industry!Y333),"",Mitigation_Industry!Y333)</f>
        <v>20.602417486070681</v>
      </c>
      <c r="Z768">
        <f>IF(ISBLANK(Mitigation_Industry!Z333),"",Mitigation_Industry!Z333)</f>
        <v>21.282297263111012</v>
      </c>
      <c r="AA768">
        <f>IF(ISBLANK(Mitigation_Industry!AA333),"",Mitigation_Industry!AA333)</f>
        <v>21.984613072793675</v>
      </c>
      <c r="AB768">
        <f>IF(ISBLANK(Mitigation_Industry!AB333),"",Mitigation_Industry!AB333)</f>
        <v>22.710105304195867</v>
      </c>
      <c r="AC768">
        <f>IF(ISBLANK(Mitigation_Industry!AC333),"",Mitigation_Industry!AC333)</f>
        <v>23.459538779234329</v>
      </c>
      <c r="AD768">
        <f>IF(ISBLANK(Mitigation_Industry!AD333),"",Mitigation_Industry!AD333)</f>
        <v>24.23370355894906</v>
      </c>
      <c r="AE768">
        <f>IF(ISBLANK(Mitigation_Industry!AE333),"",Mitigation_Industry!AE333)</f>
        <v>25.033415776394378</v>
      </c>
    </row>
    <row r="769" spans="1:31" x14ac:dyDescent="0.45">
      <c r="A769" t="s">
        <v>1554</v>
      </c>
      <c r="B769" t="s">
        <v>1481</v>
      </c>
      <c r="C769" t="s">
        <v>1369</v>
      </c>
      <c r="D769">
        <v>1</v>
      </c>
      <c r="E769" t="s">
        <v>1161</v>
      </c>
      <c r="F769">
        <f>MAX(MAX(L769:AE769),-MIN(L769:AE769))</f>
        <v>7.1054273576010019E-15</v>
      </c>
      <c r="I769" t="s">
        <v>1509</v>
      </c>
      <c r="K769">
        <f t="shared" ref="K769:AE769" si="189">IF(ISNUMBER(K767),IF(ISNUMBER(K768),K768-K767,999999),0)</f>
        <v>0</v>
      </c>
      <c r="L769">
        <f t="shared" si="189"/>
        <v>1.7763568394002505E-15</v>
      </c>
      <c r="M769">
        <f t="shared" si="189"/>
        <v>1.7763568394002505E-15</v>
      </c>
      <c r="N769">
        <f t="shared" si="189"/>
        <v>3.5527136788005009E-15</v>
      </c>
      <c r="O769">
        <f t="shared" si="189"/>
        <v>3.5527136788005009E-15</v>
      </c>
      <c r="P769">
        <f t="shared" si="189"/>
        <v>3.5527136788005009E-15</v>
      </c>
      <c r="Q769">
        <f t="shared" si="189"/>
        <v>3.5527136788005009E-15</v>
      </c>
      <c r="R769">
        <f t="shared" si="189"/>
        <v>3.5527136788005009E-15</v>
      </c>
      <c r="S769">
        <f t="shared" si="189"/>
        <v>3.5527136788005009E-15</v>
      </c>
      <c r="T769">
        <f t="shared" si="189"/>
        <v>3.5527136788005009E-15</v>
      </c>
      <c r="U769">
        <f t="shared" si="189"/>
        <v>3.5527136788005009E-15</v>
      </c>
      <c r="V769">
        <f t="shared" si="189"/>
        <v>3.5527136788005009E-15</v>
      </c>
      <c r="W769">
        <f t="shared" si="189"/>
        <v>3.5527136788005009E-15</v>
      </c>
      <c r="X769">
        <f t="shared" si="189"/>
        <v>3.5527136788005009E-15</v>
      </c>
      <c r="Y769">
        <f t="shared" si="189"/>
        <v>3.5527136788005009E-15</v>
      </c>
      <c r="Z769">
        <f t="shared" si="189"/>
        <v>3.5527136788005009E-15</v>
      </c>
      <c r="AA769">
        <f t="shared" si="189"/>
        <v>3.5527136788005009E-15</v>
      </c>
      <c r="AB769">
        <f t="shared" si="189"/>
        <v>3.5527136788005009E-15</v>
      </c>
      <c r="AC769">
        <f t="shared" si="189"/>
        <v>7.1054273576010019E-15</v>
      </c>
      <c r="AD769">
        <f t="shared" si="189"/>
        <v>3.5527136788005009E-15</v>
      </c>
      <c r="AE769">
        <f t="shared" si="189"/>
        <v>7.1054273576010019E-15</v>
      </c>
    </row>
    <row r="771" spans="1:31" x14ac:dyDescent="0.45">
      <c r="A771" t="s">
        <v>1555</v>
      </c>
      <c r="B771" t="s">
        <v>1481</v>
      </c>
      <c r="C771" t="s">
        <v>1442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1555</v>
      </c>
      <c r="B772" t="s">
        <v>1481</v>
      </c>
      <c r="C772" t="s">
        <v>1442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3.1638306570517116</v>
      </c>
      <c r="M772">
        <f>IF(ISBLANK(Mitigation_Industry!M334),"",Mitigation_Industry!M334)</f>
        <v>3.2334349315068494</v>
      </c>
      <c r="N772">
        <f>IF(ISBLANK(Mitigation_Industry!N334),"",Mitigation_Industry!N334)</f>
        <v>3.3045704999999996</v>
      </c>
      <c r="O772">
        <f>IF(ISBLANK(Mitigation_Industry!O334),"",Mitigation_Industry!O334)</f>
        <v>3.3772710509999997</v>
      </c>
      <c r="P772">
        <f>IF(ISBLANK(Mitigation_Industry!P334),"",Mitigation_Industry!P334)</f>
        <v>3.4515710141219995</v>
      </c>
      <c r="Q772">
        <f>IF(ISBLANK(Mitigation_Industry!Q334),"",Mitigation_Industry!Q334)</f>
        <v>3.5275055764326835</v>
      </c>
      <c r="R772">
        <f>IF(ISBLANK(Mitigation_Industry!R334),"",Mitigation_Industry!R334)</f>
        <v>3.6051106991142028</v>
      </c>
      <c r="S772">
        <f>IF(ISBLANK(Mitigation_Industry!S334),"",Mitigation_Industry!S334)</f>
        <v>3.6844231344947151</v>
      </c>
      <c r="T772">
        <f>IF(ISBLANK(Mitigation_Industry!T334),"",Mitigation_Industry!T334)</f>
        <v>3.7654804434535989</v>
      </c>
      <c r="U772">
        <f>IF(ISBLANK(Mitigation_Industry!U334),"",Mitigation_Industry!U334)</f>
        <v>3.8483210132095782</v>
      </c>
      <c r="V772">
        <f>IF(ISBLANK(Mitigation_Industry!V334),"",Mitigation_Industry!V334)</f>
        <v>3.932984075500189</v>
      </c>
      <c r="W772">
        <f>IF(ISBLANK(Mitigation_Industry!W334),"",Mitigation_Industry!W334)</f>
        <v>4.0195097251611935</v>
      </c>
      <c r="X772">
        <f>IF(ISBLANK(Mitigation_Industry!X334),"",Mitigation_Industry!X334)</f>
        <v>4.1079389391147396</v>
      </c>
      <c r="Y772">
        <f>IF(ISBLANK(Mitigation_Industry!Y334),"",Mitigation_Industry!Y334)</f>
        <v>4.1983135957752644</v>
      </c>
      <c r="Z772">
        <f>IF(ISBLANK(Mitigation_Industry!Z334),"",Mitigation_Industry!Z334)</f>
        <v>4.2906764948823204</v>
      </c>
      <c r="AA772">
        <f>IF(ISBLANK(Mitigation_Industry!AA334),"",Mitigation_Industry!AA334)</f>
        <v>4.385071377769731</v>
      </c>
      <c r="AB772">
        <f>IF(ISBLANK(Mitigation_Industry!AB334),"",Mitigation_Industry!AB334)</f>
        <v>4.4815429480806648</v>
      </c>
      <c r="AC772">
        <f>IF(ISBLANK(Mitigation_Industry!AC334),"",Mitigation_Industry!AC334)</f>
        <v>4.5801368929384401</v>
      </c>
      <c r="AD772">
        <f>IF(ISBLANK(Mitigation_Industry!AD334),"",Mitigation_Industry!AD334)</f>
        <v>4.680899904583085</v>
      </c>
      <c r="AE772">
        <f>IF(ISBLANK(Mitigation_Industry!AE334),"",Mitigation_Industry!AE334)</f>
        <v>4.7838797024839135</v>
      </c>
    </row>
    <row r="773" spans="1:31" x14ac:dyDescent="0.45">
      <c r="A773" t="s">
        <v>1555</v>
      </c>
      <c r="B773" t="s">
        <v>1481</v>
      </c>
      <c r="C773" t="s">
        <v>1442</v>
      </c>
      <c r="D773">
        <v>1</v>
      </c>
      <c r="E773" t="s">
        <v>1161</v>
      </c>
      <c r="F773">
        <f>MAX(MAX(L773:AE773),-MIN(L773:AE773))</f>
        <v>8.8817841970012523E-16</v>
      </c>
      <c r="I773" t="s">
        <v>1509</v>
      </c>
      <c r="K773">
        <f t="shared" ref="K773:AE773" si="190">IF(ISNUMBER(K771),IF(ISNUMBER(K772),K772-K771,999999),0)</f>
        <v>0</v>
      </c>
      <c r="L773">
        <f t="shared" si="190"/>
        <v>0</v>
      </c>
      <c r="M773">
        <f t="shared" si="190"/>
        <v>-4.4408920985006262E-16</v>
      </c>
      <c r="N773">
        <f t="shared" si="190"/>
        <v>-4.4408920985006262E-16</v>
      </c>
      <c r="O773">
        <f t="shared" si="190"/>
        <v>-4.4408920985006262E-16</v>
      </c>
      <c r="P773">
        <f t="shared" si="190"/>
        <v>-4.4408920985006262E-16</v>
      </c>
      <c r="Q773">
        <f t="shared" si="190"/>
        <v>-4.4408920985006262E-16</v>
      </c>
      <c r="R773">
        <f t="shared" si="190"/>
        <v>-4.4408920985006262E-16</v>
      </c>
      <c r="S773">
        <f t="shared" si="190"/>
        <v>-4.4408920985006262E-16</v>
      </c>
      <c r="T773">
        <f t="shared" si="190"/>
        <v>-4.4408920985006262E-16</v>
      </c>
      <c r="U773">
        <f t="shared" si="190"/>
        <v>-4.4408920985006262E-16</v>
      </c>
      <c r="V773">
        <f t="shared" si="190"/>
        <v>-4.4408920985006262E-16</v>
      </c>
      <c r="W773">
        <f t="shared" si="190"/>
        <v>-8.8817841970012523E-16</v>
      </c>
      <c r="X773">
        <f t="shared" si="190"/>
        <v>-8.8817841970012523E-16</v>
      </c>
      <c r="Y773">
        <f t="shared" si="190"/>
        <v>0</v>
      </c>
      <c r="Z773">
        <f t="shared" si="190"/>
        <v>-8.8817841970012523E-16</v>
      </c>
      <c r="AA773">
        <f t="shared" si="190"/>
        <v>-8.8817841970012523E-16</v>
      </c>
      <c r="AB773">
        <f t="shared" si="190"/>
        <v>-8.8817841970012523E-16</v>
      </c>
      <c r="AC773">
        <f t="shared" si="190"/>
        <v>-8.8817841970012523E-16</v>
      </c>
      <c r="AD773">
        <f t="shared" si="190"/>
        <v>-8.8817841970012523E-16</v>
      </c>
      <c r="AE773">
        <f t="shared" si="190"/>
        <v>-8.8817841970012523E-16</v>
      </c>
    </row>
    <row r="775" spans="1:31" x14ac:dyDescent="0.45">
      <c r="A775" t="s">
        <v>1556</v>
      </c>
      <c r="B775" t="s">
        <v>1481</v>
      </c>
      <c r="C775" t="s">
        <v>1383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1556</v>
      </c>
      <c r="B776" t="s">
        <v>1481</v>
      </c>
      <c r="C776" t="s">
        <v>1383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0.34273185493658492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0.35797793877158396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0.38212807844669699</v>
      </c>
      <c r="X776">
        <f>IF(ISBLANK(Mitigation_Industry!X335),"",Mitigation_Industry!X335)</f>
        <v>0.39053489617252435</v>
      </c>
      <c r="Y776">
        <f>IF(ISBLANK(Mitigation_Industry!Y335),"",Mitigation_Industry!Y335)</f>
        <v>0.39912666388831991</v>
      </c>
      <c r="Z776">
        <f>IF(ISBLANK(Mitigation_Industry!Z335),"",Mitigation_Industry!Z335)</f>
        <v>0.40790745049386296</v>
      </c>
      <c r="AA776">
        <f>IF(ISBLANK(Mitigation_Industry!AA335),"",Mitigation_Industry!AA335)</f>
        <v>0.41688141440472792</v>
      </c>
      <c r="AB776">
        <f>IF(ISBLANK(Mitigation_Industry!AB335),"",Mitigation_Industry!AB335)</f>
        <v>0.42605280552163199</v>
      </c>
      <c r="AC776">
        <f>IF(ISBLANK(Mitigation_Industry!AC335),"",Mitigation_Industry!AC335)</f>
        <v>0.43542596724310795</v>
      </c>
      <c r="AD776">
        <f>IF(ISBLANK(Mitigation_Industry!AD335),"",Mitigation_Industry!AD335)</f>
        <v>0.44500533852245627</v>
      </c>
      <c r="AE776">
        <f>IF(ISBLANK(Mitigation_Industry!AE335),"",Mitigation_Industry!AE335)</f>
        <v>0.45479545596995036</v>
      </c>
    </row>
    <row r="777" spans="1:31" x14ac:dyDescent="0.45">
      <c r="A777" t="s">
        <v>1556</v>
      </c>
      <c r="B777" t="s">
        <v>1481</v>
      </c>
      <c r="C777" t="s">
        <v>1383</v>
      </c>
      <c r="D777">
        <v>1</v>
      </c>
      <c r="E777" t="s">
        <v>1161</v>
      </c>
      <c r="F777">
        <f>MAX(MAX(L777:AE777),-MIN(L777:AE777))</f>
        <v>1.1102230246251565E-16</v>
      </c>
      <c r="I777" t="s">
        <v>1509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-5.5511151231257827E-17</v>
      </c>
      <c r="S777">
        <f t="shared" si="191"/>
        <v>-5.5511151231257827E-17</v>
      </c>
      <c r="T777">
        <f t="shared" si="191"/>
        <v>-5.5511151231257827E-17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-5.5511151231257827E-17</v>
      </c>
      <c r="X777">
        <f t="shared" si="191"/>
        <v>-5.5511151231257827E-17</v>
      </c>
      <c r="Y777">
        <f t="shared" si="191"/>
        <v>0</v>
      </c>
      <c r="Z777">
        <f t="shared" si="191"/>
        <v>-5.5511151231257827E-17</v>
      </c>
      <c r="AA777">
        <f t="shared" si="191"/>
        <v>-5.5511151231257827E-17</v>
      </c>
      <c r="AB777">
        <f t="shared" si="191"/>
        <v>-5.5511151231257827E-17</v>
      </c>
      <c r="AC777">
        <f t="shared" si="191"/>
        <v>-5.5511151231257827E-17</v>
      </c>
      <c r="AD777">
        <f t="shared" si="191"/>
        <v>-5.5511151231257827E-17</v>
      </c>
      <c r="AE777">
        <f t="shared" si="191"/>
        <v>-5.5511151231257827E-17</v>
      </c>
    </row>
    <row r="779" spans="1:31" x14ac:dyDescent="0.45">
      <c r="A779" t="s">
        <v>1557</v>
      </c>
      <c r="B779" t="s">
        <v>1481</v>
      </c>
      <c r="C779" t="s">
        <v>1390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1557</v>
      </c>
      <c r="B780" t="s">
        <v>1481</v>
      </c>
      <c r="C780" t="s">
        <v>1390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7.0314662880000003E-2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7.6709558308196577E-2</v>
      </c>
      <c r="U780">
        <f>IF(ISBLANK(Mitigation_Industry!U336),"",Mitigation_Industry!U336)</f>
        <v>7.8397168590976909E-2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8.1884588238577916E-2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9.1297029754635398E-2</v>
      </c>
      <c r="AC780">
        <f>IF(ISBLANK(Mitigation_Industry!AC336),"",Mitigation_Industry!AC336)</f>
        <v>9.3305564409237388E-2</v>
      </c>
      <c r="AD780">
        <f>IF(ISBLANK(Mitigation_Industry!AD336),"",Mitigation_Industry!AD336)</f>
        <v>9.5358286826240618E-2</v>
      </c>
      <c r="AE780">
        <f>IF(ISBLANK(Mitigation_Industry!AE336),"",Mitigation_Industry!AE336)</f>
        <v>9.7456169136417914E-2</v>
      </c>
    </row>
    <row r="781" spans="1:31" x14ac:dyDescent="0.45">
      <c r="A781" t="s">
        <v>1557</v>
      </c>
      <c r="B781" t="s">
        <v>1481</v>
      </c>
      <c r="C781" t="s">
        <v>1390</v>
      </c>
      <c r="D781">
        <v>1</v>
      </c>
      <c r="E781" t="s">
        <v>1161</v>
      </c>
      <c r="F781">
        <f>MAX(MAX(L781:AE781),-MIN(L781:AE781))</f>
        <v>1.3877787807814457E-17</v>
      </c>
      <c r="I781" t="s">
        <v>1509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-1.3877787807814457E-17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0</v>
      </c>
      <c r="U781">
        <f t="shared" si="192"/>
        <v>-1.3877787807814457E-17</v>
      </c>
      <c r="V781">
        <f t="shared" si="192"/>
        <v>0</v>
      </c>
      <c r="W781">
        <f t="shared" si="192"/>
        <v>-1.3877787807814457E-17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-1.3877787807814457E-17</v>
      </c>
      <c r="AC781">
        <f t="shared" si="192"/>
        <v>-1.3877787807814457E-17</v>
      </c>
      <c r="AD781">
        <f t="shared" si="192"/>
        <v>-1.3877787807814457E-17</v>
      </c>
      <c r="AE781">
        <f t="shared" si="192"/>
        <v>-1.3877787807814457E-17</v>
      </c>
    </row>
    <row r="783" spans="1:31" x14ac:dyDescent="0.45">
      <c r="A783" t="s">
        <v>1558</v>
      </c>
      <c r="B783" t="s">
        <v>1481</v>
      </c>
      <c r="C783" t="s">
        <v>1397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1558</v>
      </c>
      <c r="B784" t="s">
        <v>1481</v>
      </c>
      <c r="C784" t="s">
        <v>1397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4.2047573055412055E-2</v>
      </c>
      <c r="M784">
        <f>IF(ISBLANK(Mitigation_Industry!M337),"",Mitigation_Industry!M337)</f>
        <v>4.4360189573459712E-2</v>
      </c>
      <c r="N784">
        <f>IF(ISBLANK(Mitigation_Industry!N337),"",Mitigation_Industry!N337)</f>
        <v>4.6799999999999994E-2</v>
      </c>
      <c r="O784">
        <f>IF(ISBLANK(Mitigation_Industry!O337),"",Mitigation_Industry!O337)</f>
        <v>4.9374000000000001E-2</v>
      </c>
      <c r="P784">
        <f>IF(ISBLANK(Mitigation_Industry!P337),"",Mitigation_Industry!P337)</f>
        <v>5.2089569999999995E-2</v>
      </c>
      <c r="Q784">
        <f>IF(ISBLANK(Mitigation_Industry!Q337),"",Mitigation_Industry!Q337)</f>
        <v>5.4954496349999993E-2</v>
      </c>
      <c r="R784">
        <f>IF(ISBLANK(Mitigation_Industry!R337),"",Mitigation_Industry!R337)</f>
        <v>5.7976993649249998E-2</v>
      </c>
      <c r="S784">
        <f>IF(ISBLANK(Mitigation_Industry!S337),"",Mitigation_Industry!S337)</f>
        <v>6.1165728299958741E-2</v>
      </c>
      <c r="T784">
        <f>IF(ISBLANK(Mitigation_Industry!T337),"",Mitigation_Industry!T337)</f>
        <v>6.4529843356456465E-2</v>
      </c>
      <c r="U784">
        <f>IF(ISBLANK(Mitigation_Industry!U337),"",Mitigation_Industry!U337)</f>
        <v>6.8078984741061568E-2</v>
      </c>
      <c r="V784">
        <f>IF(ISBLANK(Mitigation_Industry!V337),"",Mitigation_Industry!V337)</f>
        <v>7.1823328901819944E-2</v>
      </c>
      <c r="W784">
        <f>IF(ISBLANK(Mitigation_Industry!W337),"",Mitigation_Industry!W337)</f>
        <v>7.5773611991420048E-2</v>
      </c>
      <c r="X784">
        <f>IF(ISBLANK(Mitigation_Industry!X337),"",Mitigation_Industry!X337)</f>
        <v>7.9941160650948154E-2</v>
      </c>
      <c r="Y784">
        <f>IF(ISBLANK(Mitigation_Industry!Y337),"",Mitigation_Industry!Y337)</f>
        <v>8.4337924486750301E-2</v>
      </c>
      <c r="Z784">
        <f>IF(ISBLANK(Mitigation_Industry!Z337),"",Mitigation_Industry!Z337)</f>
        <v>8.8976510333521566E-2</v>
      </c>
      <c r="AA784">
        <f>IF(ISBLANK(Mitigation_Industry!AA337),"",Mitigation_Industry!AA337)</f>
        <v>9.3870218401865241E-2</v>
      </c>
      <c r="AB784">
        <f>IF(ISBLANK(Mitigation_Industry!AB337),"",Mitigation_Industry!AB337)</f>
        <v>9.9033080413967828E-2</v>
      </c>
      <c r="AC784">
        <f>IF(ISBLANK(Mitigation_Industry!AC337),"",Mitigation_Industry!AC337)</f>
        <v>0.10447989983673606</v>
      </c>
      <c r="AD784">
        <f>IF(ISBLANK(Mitigation_Industry!AD337),"",Mitigation_Industry!AD337)</f>
        <v>0.11022629432775652</v>
      </c>
      <c r="AE784">
        <f>IF(ISBLANK(Mitigation_Industry!AE337),"",Mitigation_Industry!AE337)</f>
        <v>0.11628874051578311</v>
      </c>
    </row>
    <row r="785" spans="1:31" x14ac:dyDescent="0.45">
      <c r="A785" t="s">
        <v>1558</v>
      </c>
      <c r="B785" t="s">
        <v>1481</v>
      </c>
      <c r="C785" t="s">
        <v>1397</v>
      </c>
      <c r="D785">
        <v>1</v>
      </c>
      <c r="E785" t="s">
        <v>1161</v>
      </c>
      <c r="F785">
        <f>MAX(MAX(L785:AE785),-MIN(L785:AE785))</f>
        <v>0</v>
      </c>
      <c r="I785" t="s">
        <v>1509</v>
      </c>
      <c r="K785">
        <f t="shared" ref="K785:AE785" si="193">IF(ISNUMBER(K783),IF(ISNUMBER(K784),K784-K783,999999),0)</f>
        <v>0</v>
      </c>
      <c r="L785">
        <f t="shared" si="193"/>
        <v>0</v>
      </c>
      <c r="M785">
        <f t="shared" si="193"/>
        <v>0</v>
      </c>
      <c r="N785">
        <f t="shared" si="193"/>
        <v>0</v>
      </c>
      <c r="O785">
        <f t="shared" si="193"/>
        <v>0</v>
      </c>
      <c r="P785">
        <f t="shared" si="193"/>
        <v>0</v>
      </c>
      <c r="Q785">
        <f t="shared" si="193"/>
        <v>0</v>
      </c>
      <c r="R785">
        <f t="shared" si="193"/>
        <v>0</v>
      </c>
      <c r="S785">
        <f t="shared" si="193"/>
        <v>0</v>
      </c>
      <c r="T785">
        <f t="shared" si="193"/>
        <v>0</v>
      </c>
      <c r="U785">
        <f t="shared" si="193"/>
        <v>0</v>
      </c>
      <c r="V785">
        <f t="shared" si="193"/>
        <v>0</v>
      </c>
      <c r="W785">
        <f t="shared" si="193"/>
        <v>0</v>
      </c>
      <c r="X785">
        <f t="shared" si="193"/>
        <v>0</v>
      </c>
      <c r="Y785">
        <f t="shared" si="193"/>
        <v>0</v>
      </c>
      <c r="Z785">
        <f t="shared" si="193"/>
        <v>0</v>
      </c>
      <c r="AA785">
        <f t="shared" si="193"/>
        <v>0</v>
      </c>
      <c r="AB785">
        <f t="shared" si="193"/>
        <v>0</v>
      </c>
      <c r="AC785">
        <f t="shared" si="193"/>
        <v>0</v>
      </c>
      <c r="AD785">
        <f t="shared" si="193"/>
        <v>0</v>
      </c>
      <c r="AE785">
        <f t="shared" si="193"/>
        <v>0</v>
      </c>
    </row>
    <row r="787" spans="1:31" x14ac:dyDescent="0.45">
      <c r="A787" t="s">
        <v>1559</v>
      </c>
      <c r="B787" t="s">
        <v>1481</v>
      </c>
      <c r="C787" t="s">
        <v>1486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1559</v>
      </c>
      <c r="B788" t="s">
        <v>1481</v>
      </c>
      <c r="C788" t="s">
        <v>1486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20.926246357744834</v>
      </c>
      <c r="M788">
        <f>IF(ISBLANK(Mitigation_Industry!M338),"",Mitigation_Industry!M338)</f>
        <v>21.621228468026327</v>
      </c>
      <c r="N788">
        <f>IF(ISBLANK(Mitigation_Industry!N338),"",Mitigation_Industry!N338)</f>
        <v>22.340203500000001</v>
      </c>
      <c r="O788">
        <f>IF(ISBLANK(Mitigation_Industry!O338),"",Mitigation_Industry!O338)</f>
        <v>23.084029143000002</v>
      </c>
      <c r="P788">
        <f>IF(ISBLANK(Mitigation_Industry!P338),"",Mitigation_Industry!P338)</f>
        <v>23.853594734849999</v>
      </c>
      <c r="Q788">
        <f>IF(ISBLANK(Mitigation_Industry!Q338),"",Mitigation_Industry!Q338)</f>
        <v>24.649822464218669</v>
      </c>
      <c r="R788">
        <f>IF(ISBLANK(Mitigation_Industry!R338),"",Mitigation_Industry!R338)</f>
        <v>25.473668619896113</v>
      </c>
      <c r="S788">
        <f>IF(ISBLANK(Mitigation_Industry!S338),"",Mitigation_Industry!S338)</f>
        <v>26.326124888867827</v>
      </c>
      <c r="T788">
        <f>IF(ISBLANK(Mitigation_Industry!T338),"",Mitigation_Industry!T338)</f>
        <v>27.20821970513958</v>
      </c>
      <c r="U788">
        <f>IF(ISBLANK(Mitigation_Industry!U338),"",Mitigation_Industry!U338)</f>
        <v>28.121019651346554</v>
      </c>
      <c r="V788">
        <f>IF(ISBLANK(Mitigation_Industry!V338),"",Mitigation_Industry!V338)</f>
        <v>29.065630915263306</v>
      </c>
      <c r="W788">
        <f>IF(ISBLANK(Mitigation_Industry!W338),"",Mitigation_Industry!W338)</f>
        <v>30.043200803417918</v>
      </c>
      <c r="X788">
        <f>IF(ISBLANK(Mitigation_Industry!X338),"",Mitigation_Industry!X338)</f>
        <v>31.054919314104183</v>
      </c>
      <c r="Y788">
        <f>IF(ISBLANK(Mitigation_Industry!Y338),"",Mitigation_Industry!Y338)</f>
        <v>32.102020772179657</v>
      </c>
      <c r="Z788">
        <f>IF(ISBLANK(Mitigation_Industry!Z338),"",Mitigation_Industry!Z338)</f>
        <v>33.185785528135781</v>
      </c>
      <c r="AA788">
        <f>IF(ISBLANK(Mitigation_Industry!AA338),"",Mitigation_Industry!AA338)</f>
        <v>34.307541724028312</v>
      </c>
      <c r="AB788">
        <f>IF(ISBLANK(Mitigation_Industry!AB338),"",Mitigation_Industry!AB338)</f>
        <v>35.468667128962927</v>
      </c>
      <c r="AC788">
        <f>IF(ISBLANK(Mitigation_Industry!AC338),"",Mitigation_Industry!AC338)</f>
        <v>36.67059104694183</v>
      </c>
      <c r="AD788">
        <f>IF(ISBLANK(Mitigation_Industry!AD338),"",Mitigation_Industry!AD338)</f>
        <v>37.914796299992908</v>
      </c>
      <c r="AE788">
        <f>IF(ISBLANK(Mitigation_Industry!AE338),"",Mitigation_Industry!AE338)</f>
        <v>39.202821289623259</v>
      </c>
    </row>
    <row r="789" spans="1:31" x14ac:dyDescent="0.45">
      <c r="A789" t="s">
        <v>1559</v>
      </c>
      <c r="B789" t="s">
        <v>1481</v>
      </c>
      <c r="C789" t="s">
        <v>1486</v>
      </c>
      <c r="D789">
        <v>1</v>
      </c>
      <c r="E789" t="s">
        <v>1161</v>
      </c>
      <c r="F789">
        <f>MAX(MAX(L789:AE789),-MIN(L789:AE789))</f>
        <v>7.1054273576010019E-15</v>
      </c>
      <c r="I789" t="s">
        <v>1509</v>
      </c>
      <c r="K789">
        <f t="shared" ref="K789:AE789" si="194">IF(ISNUMBER(K787),IF(ISNUMBER(K788),K788-K787,999999),0)</f>
        <v>0</v>
      </c>
      <c r="L789">
        <f t="shared" si="194"/>
        <v>3.5527136788005009E-15</v>
      </c>
      <c r="M789">
        <f t="shared" si="194"/>
        <v>0</v>
      </c>
      <c r="N789">
        <f t="shared" si="194"/>
        <v>3.5527136788005009E-15</v>
      </c>
      <c r="O789">
        <f t="shared" si="194"/>
        <v>7.1054273576010019E-15</v>
      </c>
      <c r="P789">
        <f t="shared" si="194"/>
        <v>3.5527136788005009E-15</v>
      </c>
      <c r="Q789">
        <f t="shared" si="194"/>
        <v>0</v>
      </c>
      <c r="R789">
        <f t="shared" si="194"/>
        <v>3.5527136788005009E-15</v>
      </c>
      <c r="S789">
        <f t="shared" si="194"/>
        <v>3.5527136788005009E-15</v>
      </c>
      <c r="T789">
        <f t="shared" si="194"/>
        <v>7.1054273576010019E-15</v>
      </c>
      <c r="U789">
        <f t="shared" si="194"/>
        <v>3.5527136788005009E-15</v>
      </c>
      <c r="V789">
        <f t="shared" si="194"/>
        <v>0</v>
      </c>
      <c r="W789">
        <f t="shared" si="194"/>
        <v>0</v>
      </c>
      <c r="X789">
        <f t="shared" si="194"/>
        <v>3.5527136788005009E-15</v>
      </c>
      <c r="Y789">
        <f t="shared" si="194"/>
        <v>0</v>
      </c>
      <c r="Z789">
        <f t="shared" si="194"/>
        <v>7.1054273576010019E-15</v>
      </c>
      <c r="AA789">
        <f t="shared" si="194"/>
        <v>7.1054273576010019E-15</v>
      </c>
      <c r="AB789">
        <f t="shared" si="194"/>
        <v>0</v>
      </c>
      <c r="AC789">
        <f t="shared" si="194"/>
        <v>7.1054273576010019E-15</v>
      </c>
      <c r="AD789">
        <f t="shared" si="194"/>
        <v>0</v>
      </c>
      <c r="AE789">
        <f t="shared" si="194"/>
        <v>0</v>
      </c>
    </row>
    <row r="791" spans="1:31" x14ac:dyDescent="0.45">
      <c r="A791" t="s">
        <v>1560</v>
      </c>
      <c r="B791" t="s">
        <v>1487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1560</v>
      </c>
      <c r="B792" t="s">
        <v>1487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0.18716695292200644</v>
      </c>
      <c r="M792">
        <f>IF(ISBLANK(Mitigation_Industry!M341),"",Mitigation_Industry!M341)</f>
        <v>0.1954022988505747</v>
      </c>
      <c r="N792">
        <f>IF(ISBLANK(Mitigation_Industry!N341),"",Mitigation_Industry!N341)</f>
        <v>0.20399999999999999</v>
      </c>
      <c r="O792">
        <f>IF(ISBLANK(Mitigation_Industry!O341),"",Mitigation_Industry!O341)</f>
        <v>0.21297600000000003</v>
      </c>
      <c r="P792">
        <f>IF(ISBLANK(Mitigation_Industry!P341),"",Mitigation_Industry!P341)</f>
        <v>0.22234694400000005</v>
      </c>
      <c r="Q792">
        <f>IF(ISBLANK(Mitigation_Industry!Q341),"",Mitigation_Industry!Q341)</f>
        <v>0.23213020953600005</v>
      </c>
      <c r="R792">
        <f>IF(ISBLANK(Mitigation_Industry!R341),"",Mitigation_Industry!R341)</f>
        <v>0.24234393875558408</v>
      </c>
      <c r="S792">
        <f>IF(ISBLANK(Mitigation_Industry!S341),"",Mitigation_Industry!S341)</f>
        <v>0.25300707206082979</v>
      </c>
      <c r="T792">
        <f>IF(ISBLANK(Mitigation_Industry!T341),"",Mitigation_Industry!T341)</f>
        <v>0.26413938323150632</v>
      </c>
      <c r="U792">
        <f>IF(ISBLANK(Mitigation_Industry!U341),"",Mitigation_Industry!U341)</f>
        <v>0.27576151609369259</v>
      </c>
      <c r="V792">
        <f>IF(ISBLANK(Mitigation_Industry!V341),"",Mitigation_Industry!V341)</f>
        <v>0.28789502280181506</v>
      </c>
      <c r="W792">
        <f>IF(ISBLANK(Mitigation_Industry!W341),"",Mitigation_Industry!W341)</f>
        <v>0.30056240380509497</v>
      </c>
      <c r="X792">
        <f>IF(ISBLANK(Mitigation_Industry!X341),"",Mitigation_Industry!X341)</f>
        <v>0.31378714957251913</v>
      </c>
      <c r="Y792">
        <f>IF(ISBLANK(Mitigation_Industry!Y341),"",Mitigation_Industry!Y341)</f>
        <v>0.32759378415370999</v>
      </c>
      <c r="Z792">
        <f>IF(ISBLANK(Mitigation_Industry!Z341),"",Mitigation_Industry!Z341)</f>
        <v>0.34200791065647324</v>
      </c>
      <c r="AA792">
        <f>IF(ISBLANK(Mitigation_Industry!AA341),"",Mitigation_Industry!AA341)</f>
        <v>0.35705625872535807</v>
      </c>
      <c r="AB792">
        <f>IF(ISBLANK(Mitigation_Industry!AB341),"",Mitigation_Industry!AB341)</f>
        <v>0.37276673410927386</v>
      </c>
      <c r="AC792">
        <f>IF(ISBLANK(Mitigation_Industry!AC341),"",Mitigation_Industry!AC341)</f>
        <v>0.38916847041008185</v>
      </c>
      <c r="AD792">
        <f>IF(ISBLANK(Mitigation_Industry!AD341),"",Mitigation_Industry!AD341)</f>
        <v>0.40629188310812547</v>
      </c>
      <c r="AE792">
        <f>IF(ISBLANK(Mitigation_Industry!AE341),"",Mitigation_Industry!AE341)</f>
        <v>0.42416872596488298</v>
      </c>
    </row>
    <row r="793" spans="1:31" x14ac:dyDescent="0.45">
      <c r="A793" t="s">
        <v>1560</v>
      </c>
      <c r="B793" t="s">
        <v>1487</v>
      </c>
      <c r="C793" t="s">
        <v>1350</v>
      </c>
      <c r="D793">
        <v>1</v>
      </c>
      <c r="E793" t="s">
        <v>1161</v>
      </c>
      <c r="F793">
        <f>MAX(MAX(L793:AE793),-MIN(L793:AE793))</f>
        <v>0</v>
      </c>
      <c r="I793" t="s">
        <v>1509</v>
      </c>
      <c r="K793">
        <f t="shared" ref="K793:AE793" si="195">IF(ISNUMBER(K791),IF(ISNUMBER(K792),K792-K791,999999),0)</f>
        <v>0</v>
      </c>
      <c r="L793">
        <f t="shared" si="195"/>
        <v>0</v>
      </c>
      <c r="M793">
        <f t="shared" si="195"/>
        <v>0</v>
      </c>
      <c r="N793">
        <f t="shared" si="195"/>
        <v>0</v>
      </c>
      <c r="O793">
        <f t="shared" si="195"/>
        <v>0</v>
      </c>
      <c r="P793">
        <f t="shared" si="195"/>
        <v>0</v>
      </c>
      <c r="Q793">
        <f t="shared" si="195"/>
        <v>0</v>
      </c>
      <c r="R793">
        <f t="shared" si="195"/>
        <v>0</v>
      </c>
      <c r="S793">
        <f t="shared" si="195"/>
        <v>0</v>
      </c>
      <c r="T793">
        <f t="shared" si="195"/>
        <v>0</v>
      </c>
      <c r="U793">
        <f t="shared" si="195"/>
        <v>0</v>
      </c>
      <c r="V793">
        <f t="shared" si="195"/>
        <v>0</v>
      </c>
      <c r="W793">
        <f t="shared" si="195"/>
        <v>0</v>
      </c>
      <c r="X793">
        <f t="shared" si="195"/>
        <v>0</v>
      </c>
      <c r="Y793">
        <f t="shared" si="195"/>
        <v>0</v>
      </c>
      <c r="Z793">
        <f t="shared" si="195"/>
        <v>0</v>
      </c>
      <c r="AA793">
        <f t="shared" si="195"/>
        <v>0</v>
      </c>
      <c r="AB793">
        <f t="shared" si="195"/>
        <v>0</v>
      </c>
      <c r="AC793">
        <f t="shared" si="195"/>
        <v>0</v>
      </c>
      <c r="AD793">
        <f t="shared" si="195"/>
        <v>0</v>
      </c>
      <c r="AE793">
        <f t="shared" si="195"/>
        <v>0</v>
      </c>
    </row>
    <row r="795" spans="1:31" x14ac:dyDescent="0.45">
      <c r="A795" t="s">
        <v>1561</v>
      </c>
      <c r="B795" t="s">
        <v>1487</v>
      </c>
      <c r="C795" t="s">
        <v>1357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1561</v>
      </c>
      <c r="B796" t="s">
        <v>1487</v>
      </c>
      <c r="C796" t="s">
        <v>1357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6.6058924560708152E-2</v>
      </c>
      <c r="M796">
        <f>IF(ISBLANK(Mitigation_Industry!M342),"",Mitigation_Industry!M342)</f>
        <v>6.8965517241379309E-2</v>
      </c>
      <c r="N796">
        <f>IF(ISBLANK(Mitigation_Industry!N342),"",Mitigation_Industry!N342)</f>
        <v>7.1999999999999995E-2</v>
      </c>
      <c r="O796">
        <f>IF(ISBLANK(Mitigation_Industry!O342),"",Mitigation_Industry!O342)</f>
        <v>7.5167999999999999E-2</v>
      </c>
      <c r="P796">
        <f>IF(ISBLANK(Mitigation_Industry!P342),"",Mitigation_Industry!P342)</f>
        <v>7.8475392000000005E-2</v>
      </c>
      <c r="Q796">
        <f>IF(ISBLANK(Mitigation_Industry!Q342),"",Mitigation_Industry!Q342)</f>
        <v>8.1928309247999986E-2</v>
      </c>
      <c r="R796">
        <f>IF(ISBLANK(Mitigation_Industry!R342),"",Mitigation_Industry!R342)</f>
        <v>8.5533154854912002E-2</v>
      </c>
      <c r="S796">
        <f>IF(ISBLANK(Mitigation_Industry!S342),"",Mitigation_Industry!S342)</f>
        <v>8.9296613668528119E-2</v>
      </c>
      <c r="T796">
        <f>IF(ISBLANK(Mitigation_Industry!T342),"",Mitigation_Industry!T342)</f>
        <v>9.3225664669943364E-2</v>
      </c>
      <c r="U796">
        <f>IF(ISBLANK(Mitigation_Industry!U342),"",Mitigation_Industry!U342)</f>
        <v>9.7327593915420896E-2</v>
      </c>
      <c r="V796">
        <f>IF(ISBLANK(Mitigation_Industry!V342),"",Mitigation_Industry!V342)</f>
        <v>0.10161000804769942</v>
      </c>
      <c r="W796">
        <f>IF(ISBLANK(Mitigation_Industry!W342),"",Mitigation_Industry!W342)</f>
        <v>0.10608084840179818</v>
      </c>
      <c r="X796">
        <f>IF(ISBLANK(Mitigation_Industry!X342),"",Mitigation_Industry!X342)</f>
        <v>0.1107484057314773</v>
      </c>
      <c r="Y796">
        <f>IF(ISBLANK(Mitigation_Industry!Y342),"",Mitigation_Industry!Y342)</f>
        <v>0.1156213355836623</v>
      </c>
      <c r="Z796">
        <f>IF(ISBLANK(Mitigation_Industry!Z342),"",Mitigation_Industry!Z342)</f>
        <v>0.12070867434934346</v>
      </c>
      <c r="AA796">
        <f>IF(ISBLANK(Mitigation_Industry!AA342),"",Mitigation_Industry!AA342)</f>
        <v>0.12601985602071455</v>
      </c>
      <c r="AB796">
        <f>IF(ISBLANK(Mitigation_Industry!AB342),"",Mitigation_Industry!AB342)</f>
        <v>0.13156472968562599</v>
      </c>
      <c r="AC796">
        <f>IF(ISBLANK(Mitigation_Industry!AC342),"",Mitigation_Industry!AC342)</f>
        <v>0.13735357779179352</v>
      </c>
      <c r="AD796">
        <f>IF(ISBLANK(Mitigation_Industry!AD342),"",Mitigation_Industry!AD342)</f>
        <v>0.14339713521463243</v>
      </c>
      <c r="AE796">
        <f>IF(ISBLANK(Mitigation_Industry!AE342),"",Mitigation_Industry!AE342)</f>
        <v>0.1497066091640763</v>
      </c>
    </row>
    <row r="797" spans="1:31" x14ac:dyDescent="0.45">
      <c r="A797" t="s">
        <v>1561</v>
      </c>
      <c r="B797" t="s">
        <v>1487</v>
      </c>
      <c r="C797" t="s">
        <v>1357</v>
      </c>
      <c r="D797">
        <v>1</v>
      </c>
      <c r="E797" t="s">
        <v>1161</v>
      </c>
      <c r="F797">
        <f>MAX(MAX(L797:AE797),-MIN(L797:AE797))</f>
        <v>0</v>
      </c>
      <c r="I797" t="s">
        <v>1509</v>
      </c>
      <c r="K797">
        <f t="shared" ref="K797:AE797" si="196">IF(ISNUMBER(K795),IF(ISNUMBER(K796),K796-K795,999999),0)</f>
        <v>0</v>
      </c>
      <c r="L797">
        <f t="shared" si="196"/>
        <v>0</v>
      </c>
      <c r="M797">
        <f t="shared" si="196"/>
        <v>0</v>
      </c>
      <c r="N797">
        <f t="shared" si="196"/>
        <v>0</v>
      </c>
      <c r="O797">
        <f t="shared" si="196"/>
        <v>0</v>
      </c>
      <c r="P797">
        <f t="shared" si="196"/>
        <v>0</v>
      </c>
      <c r="Q797">
        <f t="shared" si="196"/>
        <v>0</v>
      </c>
      <c r="R797">
        <f t="shared" si="196"/>
        <v>0</v>
      </c>
      <c r="S797">
        <f t="shared" si="196"/>
        <v>0</v>
      </c>
      <c r="T797">
        <f t="shared" si="196"/>
        <v>0</v>
      </c>
      <c r="U797">
        <f t="shared" si="196"/>
        <v>0</v>
      </c>
      <c r="V797">
        <f t="shared" si="196"/>
        <v>0</v>
      </c>
      <c r="W797">
        <f t="shared" si="196"/>
        <v>0</v>
      </c>
      <c r="X797">
        <f t="shared" si="196"/>
        <v>0</v>
      </c>
      <c r="Y797">
        <f t="shared" si="196"/>
        <v>0</v>
      </c>
      <c r="Z797">
        <f t="shared" si="196"/>
        <v>0</v>
      </c>
      <c r="AA797">
        <f t="shared" si="196"/>
        <v>0</v>
      </c>
      <c r="AB797">
        <f t="shared" si="196"/>
        <v>0</v>
      </c>
      <c r="AC797">
        <f t="shared" si="196"/>
        <v>0</v>
      </c>
      <c r="AD797">
        <f t="shared" si="196"/>
        <v>0</v>
      </c>
      <c r="AE797">
        <f t="shared" si="196"/>
        <v>0</v>
      </c>
    </row>
    <row r="799" spans="1:31" x14ac:dyDescent="0.45">
      <c r="A799" t="s">
        <v>1562</v>
      </c>
      <c r="B799" t="s">
        <v>1487</v>
      </c>
      <c r="C799" t="s">
        <v>1363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1562</v>
      </c>
      <c r="B800" t="s">
        <v>1487</v>
      </c>
      <c r="C800" t="s">
        <v>1363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1562</v>
      </c>
      <c r="B801" t="s">
        <v>1487</v>
      </c>
      <c r="C801" t="s">
        <v>1363</v>
      </c>
      <c r="D801">
        <v>1</v>
      </c>
      <c r="E801" t="s">
        <v>1161</v>
      </c>
      <c r="F801">
        <f>MAX(MAX(L801:AE801),-MIN(L801:AE801))</f>
        <v>0</v>
      </c>
      <c r="I801" t="s">
        <v>1509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1563</v>
      </c>
      <c r="B803" t="s">
        <v>1487</v>
      </c>
      <c r="C803" t="s">
        <v>1369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1563</v>
      </c>
      <c r="B804" t="s">
        <v>1487</v>
      </c>
      <c r="C804" t="s">
        <v>1369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24.646491529759945</v>
      </c>
      <c r="M804">
        <f>IF(ISBLANK(Mitigation_Industry!M344),"",Mitigation_Industry!M344)</f>
        <v>25.459825750242022</v>
      </c>
      <c r="N804">
        <f>IF(ISBLANK(Mitigation_Industry!N344),"",Mitigation_Industry!N344)</f>
        <v>26.3</v>
      </c>
      <c r="O804">
        <f>IF(ISBLANK(Mitigation_Industry!O344),"",Mitigation_Industry!O344)</f>
        <v>27.167899999999999</v>
      </c>
      <c r="P804">
        <f>IF(ISBLANK(Mitigation_Industry!P344),"",Mitigation_Industry!P344)</f>
        <v>28.064440699999995</v>
      </c>
      <c r="Q804">
        <f>IF(ISBLANK(Mitigation_Industry!Q344),"",Mitigation_Industry!Q344)</f>
        <v>28.990567243099992</v>
      </c>
      <c r="R804">
        <f>IF(ISBLANK(Mitigation_Industry!R344),"",Mitigation_Industry!R344)</f>
        <v>29.947255962122291</v>
      </c>
      <c r="S804">
        <f>IF(ISBLANK(Mitigation_Industry!S344),"",Mitigation_Industry!S344)</f>
        <v>30.935515408872323</v>
      </c>
      <c r="T804">
        <f>IF(ISBLANK(Mitigation_Industry!T344),"",Mitigation_Industry!T344)</f>
        <v>31.956387417365111</v>
      </c>
      <c r="U804">
        <f>IF(ISBLANK(Mitigation_Industry!U344),"",Mitigation_Industry!U344)</f>
        <v>33.010948202138152</v>
      </c>
      <c r="V804">
        <f>IF(ISBLANK(Mitigation_Industry!V344),"",Mitigation_Industry!V344)</f>
        <v>34.100309492808705</v>
      </c>
      <c r="W804">
        <f>IF(ISBLANK(Mitigation_Industry!W344),"",Mitigation_Industry!W344)</f>
        <v>35.225619706071399</v>
      </c>
      <c r="X804">
        <f>IF(ISBLANK(Mitigation_Industry!X344),"",Mitigation_Industry!X344)</f>
        <v>36.388065156371745</v>
      </c>
      <c r="Y804">
        <f>IF(ISBLANK(Mitigation_Industry!Y344),"",Mitigation_Industry!Y344)</f>
        <v>37.588871306532013</v>
      </c>
      <c r="Z804">
        <f>IF(ISBLANK(Mitigation_Industry!Z344),"",Mitigation_Industry!Z344)</f>
        <v>38.829304059647569</v>
      </c>
      <c r="AA804">
        <f>IF(ISBLANK(Mitigation_Industry!AA344),"",Mitigation_Industry!AA344)</f>
        <v>40.110671093615935</v>
      </c>
      <c r="AB804">
        <f>IF(ISBLANK(Mitigation_Industry!AB344),"",Mitigation_Industry!AB344)</f>
        <v>41.434323239705257</v>
      </c>
      <c r="AC804">
        <f>IF(ISBLANK(Mitigation_Industry!AC344),"",Mitigation_Industry!AC344)</f>
        <v>42.801655906615522</v>
      </c>
      <c r="AD804">
        <f>IF(ISBLANK(Mitigation_Industry!AD344),"",Mitigation_Industry!AD344)</f>
        <v>44.214110551533835</v>
      </c>
      <c r="AE804">
        <f>IF(ISBLANK(Mitigation_Industry!AE344),"",Mitigation_Industry!AE344)</f>
        <v>45.673176199734449</v>
      </c>
    </row>
    <row r="805" spans="1:31" x14ac:dyDescent="0.45">
      <c r="A805" t="s">
        <v>1563</v>
      </c>
      <c r="B805" t="s">
        <v>1487</v>
      </c>
      <c r="C805" t="s">
        <v>1369</v>
      </c>
      <c r="D805">
        <v>1</v>
      </c>
      <c r="E805" t="s">
        <v>1161</v>
      </c>
      <c r="F805">
        <f>MAX(MAX(L805:AE805),-MIN(L805:AE805))</f>
        <v>0</v>
      </c>
      <c r="I805" t="s">
        <v>1509</v>
      </c>
      <c r="K805">
        <f t="shared" ref="K805:AE805" si="198">IF(ISNUMBER(K803),IF(ISNUMBER(K804),K804-K803,999999),0)</f>
        <v>0</v>
      </c>
      <c r="L805">
        <f t="shared" si="198"/>
        <v>0</v>
      </c>
      <c r="M805">
        <f t="shared" si="198"/>
        <v>0</v>
      </c>
      <c r="N805">
        <f t="shared" si="198"/>
        <v>0</v>
      </c>
      <c r="O805">
        <f t="shared" si="198"/>
        <v>0</v>
      </c>
      <c r="P805">
        <f t="shared" si="198"/>
        <v>0</v>
      </c>
      <c r="Q805">
        <f t="shared" si="198"/>
        <v>0</v>
      </c>
      <c r="R805">
        <f t="shared" si="198"/>
        <v>0</v>
      </c>
      <c r="S805">
        <f t="shared" si="198"/>
        <v>0</v>
      </c>
      <c r="T805">
        <f t="shared" si="198"/>
        <v>0</v>
      </c>
      <c r="U805">
        <f t="shared" si="198"/>
        <v>0</v>
      </c>
      <c r="V805">
        <f t="shared" si="198"/>
        <v>0</v>
      </c>
      <c r="W805">
        <f t="shared" si="198"/>
        <v>0</v>
      </c>
      <c r="X805">
        <f t="shared" si="198"/>
        <v>0</v>
      </c>
      <c r="Y805">
        <f t="shared" si="198"/>
        <v>0</v>
      </c>
      <c r="Z805">
        <f t="shared" si="198"/>
        <v>0</v>
      </c>
      <c r="AA805">
        <f t="shared" si="198"/>
        <v>0</v>
      </c>
      <c r="AB805">
        <f t="shared" si="198"/>
        <v>0</v>
      </c>
      <c r="AC805">
        <f t="shared" si="198"/>
        <v>0</v>
      </c>
      <c r="AD805">
        <f t="shared" si="198"/>
        <v>0</v>
      </c>
      <c r="AE805">
        <f t="shared" si="198"/>
        <v>0</v>
      </c>
    </row>
    <row r="807" spans="1:31" x14ac:dyDescent="0.45">
      <c r="A807" t="s">
        <v>1564</v>
      </c>
      <c r="B807" t="s">
        <v>1487</v>
      </c>
      <c r="C807" t="s">
        <v>1442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1564</v>
      </c>
      <c r="B808" t="s">
        <v>1487</v>
      </c>
      <c r="C808" t="s">
        <v>1442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1564</v>
      </c>
      <c r="B809" t="s">
        <v>1487</v>
      </c>
      <c r="C809" t="s">
        <v>1442</v>
      </c>
      <c r="D809">
        <v>1</v>
      </c>
      <c r="E809" t="s">
        <v>1161</v>
      </c>
      <c r="F809">
        <f>MAX(MAX(L809:AE809),-MIN(L809:AE809))</f>
        <v>0</v>
      </c>
      <c r="I809" t="s">
        <v>1509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1565</v>
      </c>
      <c r="B811" t="s">
        <v>1487</v>
      </c>
      <c r="C811" t="s">
        <v>1383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1565</v>
      </c>
      <c r="B812" t="s">
        <v>1487</v>
      </c>
      <c r="C812" t="s">
        <v>1383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1565</v>
      </c>
      <c r="B813" t="s">
        <v>1487</v>
      </c>
      <c r="C813" t="s">
        <v>1383</v>
      </c>
      <c r="D813">
        <v>1</v>
      </c>
      <c r="E813" t="s">
        <v>1161</v>
      </c>
      <c r="F813">
        <f>MAX(MAX(L813:AE813),-MIN(L813:AE813))</f>
        <v>0</v>
      </c>
      <c r="I813" t="s">
        <v>1509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1566</v>
      </c>
      <c r="B815" t="s">
        <v>1487</v>
      </c>
      <c r="C815" t="s">
        <v>1390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1566</v>
      </c>
      <c r="B816" t="s">
        <v>1487</v>
      </c>
      <c r="C816" t="s">
        <v>1390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0.55721293959505358</v>
      </c>
      <c r="M816">
        <f>IF(ISBLANK(Mitigation_Industry!M347),"",Mitigation_Industry!M347)</f>
        <v>0.56947162426614473</v>
      </c>
      <c r="N816">
        <f>IF(ISBLANK(Mitigation_Industry!N347),"",Mitigation_Industry!N347)</f>
        <v>0.58199999999999996</v>
      </c>
      <c r="O816">
        <f>IF(ISBLANK(Mitigation_Industry!O347),"",Mitigation_Industry!O347)</f>
        <v>0.594804</v>
      </c>
      <c r="P816">
        <f>IF(ISBLANK(Mitigation_Industry!P347),"",Mitigation_Industry!P347)</f>
        <v>0.60788968800000009</v>
      </c>
      <c r="Q816">
        <f>IF(ISBLANK(Mitigation_Industry!Q347),"",Mitigation_Industry!Q347)</f>
        <v>0.62126326113599994</v>
      </c>
      <c r="R816">
        <f>IF(ISBLANK(Mitigation_Industry!R347),"",Mitigation_Industry!R347)</f>
        <v>0.63493105288099194</v>
      </c>
      <c r="S816">
        <f>IF(ISBLANK(Mitigation_Industry!S347),"",Mitigation_Industry!S347)</f>
        <v>0.64889953604437378</v>
      </c>
      <c r="T816">
        <f>IF(ISBLANK(Mitigation_Industry!T347),"",Mitigation_Industry!T347)</f>
        <v>0.66317532583735006</v>
      </c>
      <c r="U816">
        <f>IF(ISBLANK(Mitigation_Industry!U347),"",Mitigation_Industry!U347)</f>
        <v>0.67776518300577182</v>
      </c>
      <c r="V816">
        <f>IF(ISBLANK(Mitigation_Industry!V347),"",Mitigation_Industry!V347)</f>
        <v>0.69267601703189885</v>
      </c>
      <c r="W816">
        <f>IF(ISBLANK(Mitigation_Industry!W347),"",Mitigation_Industry!W347)</f>
        <v>0.70791488940660052</v>
      </c>
      <c r="X816">
        <f>IF(ISBLANK(Mitigation_Industry!X347),"",Mitigation_Industry!X347)</f>
        <v>0.72348901697354573</v>
      </c>
      <c r="Y816">
        <f>IF(ISBLANK(Mitigation_Industry!Y347),"",Mitigation_Industry!Y347)</f>
        <v>0.73940577534696372</v>
      </c>
      <c r="Z816">
        <f>IF(ISBLANK(Mitigation_Industry!Z347),"",Mitigation_Industry!Z347)</f>
        <v>0.75567270240459705</v>
      </c>
      <c r="AA816">
        <f>IF(ISBLANK(Mitigation_Industry!AA347),"",Mitigation_Industry!AA347)</f>
        <v>0.77229750185749824</v>
      </c>
      <c r="AB816">
        <f>IF(ISBLANK(Mitigation_Industry!AB347),"",Mitigation_Industry!AB347)</f>
        <v>0.78928804689836318</v>
      </c>
      <c r="AC816">
        <f>IF(ISBLANK(Mitigation_Industry!AC347),"",Mitigation_Industry!AC347)</f>
        <v>0.80665238393012717</v>
      </c>
      <c r="AD816">
        <f>IF(ISBLANK(Mitigation_Industry!AD347),"",Mitigation_Industry!AD347)</f>
        <v>0.82439873637659</v>
      </c>
      <c r="AE816">
        <f>IF(ISBLANK(Mitigation_Industry!AE347),"",Mitigation_Industry!AE347)</f>
        <v>0.84253550857687498</v>
      </c>
    </row>
    <row r="817" spans="1:31" x14ac:dyDescent="0.45">
      <c r="A817" t="s">
        <v>1566</v>
      </c>
      <c r="B817" t="s">
        <v>1487</v>
      </c>
      <c r="C817" t="s">
        <v>1390</v>
      </c>
      <c r="D817">
        <v>1</v>
      </c>
      <c r="E817" t="s">
        <v>1161</v>
      </c>
      <c r="F817">
        <f>MAX(MAX(L817:AE817),-MIN(L817:AE817))</f>
        <v>0</v>
      </c>
      <c r="I817" t="s">
        <v>1509</v>
      </c>
      <c r="K817">
        <f t="shared" ref="K817:AE817" si="201">IF(ISNUMBER(K815),IF(ISNUMBER(K816),K816-K815,999999),0)</f>
        <v>0</v>
      </c>
      <c r="L817">
        <f t="shared" si="201"/>
        <v>0</v>
      </c>
      <c r="M817">
        <f t="shared" si="201"/>
        <v>0</v>
      </c>
      <c r="N817">
        <f t="shared" si="201"/>
        <v>0</v>
      </c>
      <c r="O817">
        <f t="shared" si="201"/>
        <v>0</v>
      </c>
      <c r="P817">
        <f t="shared" si="201"/>
        <v>0</v>
      </c>
      <c r="Q817">
        <f t="shared" si="201"/>
        <v>0</v>
      </c>
      <c r="R817">
        <f t="shared" si="201"/>
        <v>0</v>
      </c>
      <c r="S817">
        <f t="shared" si="201"/>
        <v>0</v>
      </c>
      <c r="T817">
        <f t="shared" si="201"/>
        <v>0</v>
      </c>
      <c r="U817">
        <f t="shared" si="201"/>
        <v>0</v>
      </c>
      <c r="V817">
        <f t="shared" si="201"/>
        <v>0</v>
      </c>
      <c r="W817">
        <f t="shared" si="201"/>
        <v>0</v>
      </c>
      <c r="X817">
        <f t="shared" si="201"/>
        <v>0</v>
      </c>
      <c r="Y817">
        <f t="shared" si="201"/>
        <v>0</v>
      </c>
      <c r="Z817">
        <f t="shared" si="201"/>
        <v>0</v>
      </c>
      <c r="AA817">
        <f t="shared" si="201"/>
        <v>0</v>
      </c>
      <c r="AB817">
        <f t="shared" si="201"/>
        <v>0</v>
      </c>
      <c r="AC817">
        <f t="shared" si="201"/>
        <v>0</v>
      </c>
      <c r="AD817">
        <f t="shared" si="201"/>
        <v>0</v>
      </c>
      <c r="AE817">
        <f t="shared" si="201"/>
        <v>0</v>
      </c>
    </row>
    <row r="819" spans="1:31" x14ac:dyDescent="0.45">
      <c r="A819" t="s">
        <v>1567</v>
      </c>
      <c r="B819" t="s">
        <v>1487</v>
      </c>
      <c r="C819" t="s">
        <v>1397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1567</v>
      </c>
      <c r="B820" t="s">
        <v>1487</v>
      </c>
      <c r="C820" t="s">
        <v>1397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0.63340895307832257</v>
      </c>
      <c r="M820">
        <f>IF(ISBLANK(Mitigation_Industry!M348),"",Mitigation_Industry!M348)</f>
        <v>0.66824644549763035</v>
      </c>
      <c r="N820">
        <f>IF(ISBLANK(Mitigation_Industry!N348),"",Mitigation_Industry!N348)</f>
        <v>0.70499999999999996</v>
      </c>
      <c r="O820">
        <f>IF(ISBLANK(Mitigation_Industry!O348),"",Mitigation_Industry!O348)</f>
        <v>0.74377499999999996</v>
      </c>
      <c r="P820">
        <f>IF(ISBLANK(Mitigation_Industry!P348),"",Mitigation_Industry!P348)</f>
        <v>0.78468262499999997</v>
      </c>
      <c r="Q820">
        <f>IF(ISBLANK(Mitigation_Industry!Q348),"",Mitigation_Industry!Q348)</f>
        <v>0.82784016937499993</v>
      </c>
      <c r="R820">
        <f>IF(ISBLANK(Mitigation_Industry!R348),"",Mitigation_Industry!R348)</f>
        <v>0.87337137869062498</v>
      </c>
      <c r="S820">
        <f>IF(ISBLANK(Mitigation_Industry!S348),"",Mitigation_Industry!S348)</f>
        <v>0.92140680451860935</v>
      </c>
      <c r="T820">
        <f>IF(ISBLANK(Mitigation_Industry!T348),"",Mitigation_Industry!T348)</f>
        <v>0.97208417876713282</v>
      </c>
      <c r="U820">
        <f>IF(ISBLANK(Mitigation_Industry!U348),"",Mitigation_Industry!U348)</f>
        <v>1.025548808599325</v>
      </c>
      <c r="V820">
        <f>IF(ISBLANK(Mitigation_Industry!V348),"",Mitigation_Industry!V348)</f>
        <v>1.0819539930722879</v>
      </c>
      <c r="W820">
        <f>IF(ISBLANK(Mitigation_Industry!W348),"",Mitigation_Industry!W348)</f>
        <v>1.1414614626912638</v>
      </c>
      <c r="X820">
        <f>IF(ISBLANK(Mitigation_Industry!X348),"",Mitigation_Industry!X348)</f>
        <v>1.2042418431392832</v>
      </c>
      <c r="Y820">
        <f>IF(ISBLANK(Mitigation_Industry!Y348),"",Mitigation_Industry!Y348)</f>
        <v>1.2704751445119435</v>
      </c>
      <c r="Z820">
        <f>IF(ISBLANK(Mitigation_Industry!Z348),"",Mitigation_Industry!Z348)</f>
        <v>1.3403512774601003</v>
      </c>
      <c r="AA820">
        <f>IF(ISBLANK(Mitigation_Industry!AA348),"",Mitigation_Industry!AA348)</f>
        <v>1.4140705977204062</v>
      </c>
      <c r="AB820">
        <f>IF(ISBLANK(Mitigation_Industry!AB348),"",Mitigation_Industry!AB348)</f>
        <v>1.4918444805950282</v>
      </c>
      <c r="AC820">
        <f>IF(ISBLANK(Mitigation_Industry!AC348),"",Mitigation_Industry!AC348)</f>
        <v>1.5738959270277546</v>
      </c>
      <c r="AD820">
        <f>IF(ISBLANK(Mitigation_Industry!AD348),"",Mitigation_Industry!AD348)</f>
        <v>1.660460203014281</v>
      </c>
      <c r="AE820">
        <f>IF(ISBLANK(Mitigation_Industry!AE348),"",Mitigation_Industry!AE348)</f>
        <v>1.7517855141800662</v>
      </c>
    </row>
    <row r="821" spans="1:31" x14ac:dyDescent="0.45">
      <c r="A821" t="s">
        <v>1567</v>
      </c>
      <c r="B821" t="s">
        <v>1487</v>
      </c>
      <c r="C821" t="s">
        <v>1397</v>
      </c>
      <c r="D821">
        <v>1</v>
      </c>
      <c r="E821" t="s">
        <v>1161</v>
      </c>
      <c r="F821">
        <f>MAX(MAX(L821:AE821),-MIN(L821:AE821))</f>
        <v>0</v>
      </c>
      <c r="I821" t="s">
        <v>1509</v>
      </c>
      <c r="K821">
        <f t="shared" ref="K821:AE821" si="202">IF(ISNUMBER(K819),IF(ISNUMBER(K820),K820-K819,999999),0)</f>
        <v>0</v>
      </c>
      <c r="L821">
        <f t="shared" si="202"/>
        <v>0</v>
      </c>
      <c r="M821">
        <f t="shared" si="202"/>
        <v>0</v>
      </c>
      <c r="N821">
        <f t="shared" si="202"/>
        <v>0</v>
      </c>
      <c r="O821">
        <f t="shared" si="202"/>
        <v>0</v>
      </c>
      <c r="P821">
        <f t="shared" si="202"/>
        <v>0</v>
      </c>
      <c r="Q821">
        <f t="shared" si="202"/>
        <v>0</v>
      </c>
      <c r="R821">
        <f t="shared" si="202"/>
        <v>0</v>
      </c>
      <c r="S821">
        <f t="shared" si="202"/>
        <v>0</v>
      </c>
      <c r="T821">
        <f t="shared" si="202"/>
        <v>0</v>
      </c>
      <c r="U821">
        <f t="shared" si="202"/>
        <v>0</v>
      </c>
      <c r="V821">
        <f t="shared" si="202"/>
        <v>0</v>
      </c>
      <c r="W821">
        <f t="shared" si="202"/>
        <v>0</v>
      </c>
      <c r="X821">
        <f t="shared" si="202"/>
        <v>0</v>
      </c>
      <c r="Y821">
        <f t="shared" si="202"/>
        <v>0</v>
      </c>
      <c r="Z821">
        <f t="shared" si="202"/>
        <v>0</v>
      </c>
      <c r="AA821">
        <f t="shared" si="202"/>
        <v>0</v>
      </c>
      <c r="AB821">
        <f t="shared" si="202"/>
        <v>0</v>
      </c>
      <c r="AC821">
        <f t="shared" si="202"/>
        <v>0</v>
      </c>
      <c r="AD821">
        <f t="shared" si="202"/>
        <v>0</v>
      </c>
      <c r="AE821">
        <f t="shared" si="202"/>
        <v>0</v>
      </c>
    </row>
    <row r="823" spans="1:31" x14ac:dyDescent="0.45">
      <c r="A823" t="s">
        <v>1568</v>
      </c>
      <c r="B823" t="s">
        <v>1487</v>
      </c>
      <c r="C823" t="s">
        <v>1486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1568</v>
      </c>
      <c r="B824" t="s">
        <v>1487</v>
      </c>
      <c r="C824" t="s">
        <v>1486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26.090339299916039</v>
      </c>
      <c r="M824">
        <f>IF(ISBLANK(Mitigation_Industry!M349),"",Mitigation_Industry!M349)</f>
        <v>26.961911636097753</v>
      </c>
      <c r="N824">
        <f>IF(ISBLANK(Mitigation_Industry!N349),"",Mitigation_Industry!N349)</f>
        <v>27.863</v>
      </c>
      <c r="O824">
        <f>IF(ISBLANK(Mitigation_Industry!O349),"",Mitigation_Industry!O349)</f>
        <v>28.794622999999998</v>
      </c>
      <c r="P824">
        <f>IF(ISBLANK(Mitigation_Industry!P349),"",Mitigation_Industry!P349)</f>
        <v>29.757835348999993</v>
      </c>
      <c r="Q824">
        <f>IF(ISBLANK(Mitigation_Industry!Q349),"",Mitigation_Industry!Q349)</f>
        <v>30.753729192394996</v>
      </c>
      <c r="R824">
        <f>IF(ISBLANK(Mitigation_Industry!R349),"",Mitigation_Industry!R349)</f>
        <v>31.783435487304406</v>
      </c>
      <c r="S824">
        <f>IF(ISBLANK(Mitigation_Industry!S349),"",Mitigation_Industry!S349)</f>
        <v>32.848125435164668</v>
      </c>
      <c r="T824">
        <f>IF(ISBLANK(Mitigation_Industry!T349),"",Mitigation_Industry!T349)</f>
        <v>33.949011969871044</v>
      </c>
      <c r="U824">
        <f>IF(ISBLANK(Mitigation_Industry!U349),"",Mitigation_Industry!U349)</f>
        <v>35.087351303752364</v>
      </c>
      <c r="V824">
        <f>IF(ISBLANK(Mitigation_Industry!V349),"",Mitigation_Industry!V349)</f>
        <v>36.264444533762408</v>
      </c>
      <c r="W824">
        <f>IF(ISBLANK(Mitigation_Industry!W349),"",Mitigation_Industry!W349)</f>
        <v>37.481639310376153</v>
      </c>
      <c r="X824">
        <f>IF(ISBLANK(Mitigation_Industry!X349),"",Mitigation_Industry!X349)</f>
        <v>38.740331571788573</v>
      </c>
      <c r="Y824">
        <f>IF(ISBLANK(Mitigation_Industry!Y349),"",Mitigation_Industry!Y349)</f>
        <v>40.041967346128295</v>
      </c>
      <c r="Z824">
        <f>IF(ISBLANK(Mitigation_Industry!Z349),"",Mitigation_Industry!Z349)</f>
        <v>41.388044624518081</v>
      </c>
      <c r="AA824">
        <f>IF(ISBLANK(Mitigation_Industry!AA349),"",Mitigation_Industry!AA349)</f>
        <v>42.780115307939909</v>
      </c>
      <c r="AB824">
        <f>IF(ISBLANK(Mitigation_Industry!AB349),"",Mitigation_Industry!AB349)</f>
        <v>44.219787230993546</v>
      </c>
      <c r="AC824">
        <f>IF(ISBLANK(Mitigation_Industry!AC349),"",Mitigation_Industry!AC349)</f>
        <v>45.708726265775283</v>
      </c>
      <c r="AD824">
        <f>IF(ISBLANK(Mitigation_Industry!AD349),"",Mitigation_Industry!AD349)</f>
        <v>47.248658509247463</v>
      </c>
      <c r="AE824">
        <f>IF(ISBLANK(Mitigation_Industry!AE349),"",Mitigation_Industry!AE349)</f>
        <v>48.841372557620346</v>
      </c>
    </row>
    <row r="825" spans="1:31" x14ac:dyDescent="0.45">
      <c r="A825" t="s">
        <v>1568</v>
      </c>
      <c r="B825" t="s">
        <v>1487</v>
      </c>
      <c r="C825" t="s">
        <v>1486</v>
      </c>
      <c r="D825">
        <v>1</v>
      </c>
      <c r="E825" t="s">
        <v>1161</v>
      </c>
      <c r="F825">
        <f>MAX(MAX(L825:AE825),-MIN(L825:AE825))</f>
        <v>0</v>
      </c>
      <c r="I825" t="s">
        <v>1509</v>
      </c>
      <c r="K825">
        <f t="shared" ref="K825:AE825" si="203">IF(ISNUMBER(K823),IF(ISNUMBER(K824),K824-K823,999999),0)</f>
        <v>0</v>
      </c>
      <c r="L825">
        <f t="shared" si="203"/>
        <v>0</v>
      </c>
      <c r="M825">
        <f t="shared" si="203"/>
        <v>0</v>
      </c>
      <c r="N825">
        <f t="shared" si="203"/>
        <v>0</v>
      </c>
      <c r="O825">
        <f t="shared" si="203"/>
        <v>0</v>
      </c>
      <c r="P825">
        <f t="shared" si="203"/>
        <v>0</v>
      </c>
      <c r="Q825">
        <f t="shared" si="203"/>
        <v>0</v>
      </c>
      <c r="R825">
        <f t="shared" si="203"/>
        <v>0</v>
      </c>
      <c r="S825">
        <f t="shared" si="203"/>
        <v>0</v>
      </c>
      <c r="T825">
        <f t="shared" si="203"/>
        <v>0</v>
      </c>
      <c r="U825">
        <f t="shared" si="203"/>
        <v>0</v>
      </c>
      <c r="V825">
        <f t="shared" si="203"/>
        <v>0</v>
      </c>
      <c r="W825">
        <f t="shared" si="203"/>
        <v>0</v>
      </c>
      <c r="X825">
        <f t="shared" si="203"/>
        <v>0</v>
      </c>
      <c r="Y825">
        <f t="shared" si="203"/>
        <v>0</v>
      </c>
      <c r="Z825">
        <f t="shared" si="203"/>
        <v>0</v>
      </c>
      <c r="AA825">
        <f t="shared" si="203"/>
        <v>0</v>
      </c>
      <c r="AB825">
        <f t="shared" si="203"/>
        <v>0</v>
      </c>
      <c r="AC825">
        <f t="shared" si="203"/>
        <v>0</v>
      </c>
      <c r="AD825">
        <f t="shared" si="203"/>
        <v>0</v>
      </c>
      <c r="AE825">
        <f t="shared" si="203"/>
        <v>0</v>
      </c>
    </row>
    <row r="827" spans="1:31" x14ac:dyDescent="0.45">
      <c r="A827" t="s">
        <v>1569</v>
      </c>
      <c r="B827" t="s">
        <v>1488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1569</v>
      </c>
      <c r="B828" t="s">
        <v>1488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1569</v>
      </c>
      <c r="B829" t="s">
        <v>1488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1509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1570</v>
      </c>
      <c r="B831" t="s">
        <v>1488</v>
      </c>
      <c r="C831" t="s">
        <v>1357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1570</v>
      </c>
      <c r="B832" t="s">
        <v>1488</v>
      </c>
      <c r="C832" t="s">
        <v>1357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1570</v>
      </c>
      <c r="B833" t="s">
        <v>1488</v>
      </c>
      <c r="C833" t="s">
        <v>1357</v>
      </c>
      <c r="D833">
        <v>1</v>
      </c>
      <c r="E833" t="s">
        <v>1161</v>
      </c>
      <c r="F833">
        <f>MAX(MAX(L833:AE833),-MIN(L833:AE833))</f>
        <v>0</v>
      </c>
      <c r="I833" t="s">
        <v>1509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1571</v>
      </c>
      <c r="B835" t="s">
        <v>1488</v>
      </c>
      <c r="C835" t="s">
        <v>1408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1571</v>
      </c>
      <c r="B836" t="s">
        <v>1488</v>
      </c>
      <c r="C836" t="s">
        <v>1408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1571</v>
      </c>
      <c r="B837" t="s">
        <v>1488</v>
      </c>
      <c r="C837" t="s">
        <v>1408</v>
      </c>
      <c r="D837">
        <v>1</v>
      </c>
      <c r="E837" t="s">
        <v>1161</v>
      </c>
      <c r="F837">
        <f>MAX(MAX(L837:AE837),-MIN(L837:AE837))</f>
        <v>0</v>
      </c>
      <c r="I837" t="s">
        <v>1509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1572</v>
      </c>
      <c r="B839" t="s">
        <v>1488</v>
      </c>
      <c r="C839" t="s">
        <v>1409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1572</v>
      </c>
      <c r="B840" t="s">
        <v>1488</v>
      </c>
      <c r="C840" t="s">
        <v>1409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1572</v>
      </c>
      <c r="B841" t="s">
        <v>1488</v>
      </c>
      <c r="C841" t="s">
        <v>1409</v>
      </c>
      <c r="D841">
        <v>1</v>
      </c>
      <c r="E841" t="s">
        <v>1161</v>
      </c>
      <c r="F841">
        <f>MAX(MAX(L841:AE841),-MIN(L841:AE841))</f>
        <v>0</v>
      </c>
      <c r="I841" t="s">
        <v>1509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1573</v>
      </c>
      <c r="B843" t="s">
        <v>1488</v>
      </c>
      <c r="C843" t="s">
        <v>1410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1573</v>
      </c>
      <c r="B844" t="s">
        <v>1488</v>
      </c>
      <c r="C844" t="s">
        <v>1410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1573</v>
      </c>
      <c r="B845" t="s">
        <v>1488</v>
      </c>
      <c r="C845" t="s">
        <v>1410</v>
      </c>
      <c r="D845">
        <v>1</v>
      </c>
      <c r="E845" t="s">
        <v>1161</v>
      </c>
      <c r="F845">
        <f>MAX(MAX(L845:AE845),-MIN(L845:AE845))</f>
        <v>0</v>
      </c>
      <c r="I845" t="s">
        <v>1509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1574</v>
      </c>
      <c r="B847" t="s">
        <v>1488</v>
      </c>
      <c r="C847" t="s">
        <v>1383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1574</v>
      </c>
      <c r="B848" t="s">
        <v>1488</v>
      </c>
      <c r="C848" t="s">
        <v>1383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1574</v>
      </c>
      <c r="B849" t="s">
        <v>1488</v>
      </c>
      <c r="C849" t="s">
        <v>1383</v>
      </c>
      <c r="D849">
        <v>1</v>
      </c>
      <c r="E849" t="s">
        <v>1161</v>
      </c>
      <c r="F849">
        <f>MAX(MAX(L849:AE849),-MIN(L849:AE849))</f>
        <v>0</v>
      </c>
      <c r="I849" t="s">
        <v>1509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1575</v>
      </c>
      <c r="B851" t="s">
        <v>1488</v>
      </c>
      <c r="C851" t="s">
        <v>1411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1575</v>
      </c>
      <c r="B852" t="s">
        <v>1488</v>
      </c>
      <c r="C852" t="s">
        <v>1411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1575</v>
      </c>
      <c r="B853" t="s">
        <v>1488</v>
      </c>
      <c r="C853" t="s">
        <v>1411</v>
      </c>
      <c r="D853">
        <v>1</v>
      </c>
      <c r="E853" t="s">
        <v>1161</v>
      </c>
      <c r="F853">
        <f>MAX(MAX(L853:AE853),-MIN(L853:AE853))</f>
        <v>0</v>
      </c>
      <c r="I853" t="s">
        <v>1509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1576</v>
      </c>
      <c r="B855" t="s">
        <v>1488</v>
      </c>
      <c r="C855" t="s">
        <v>1397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1576</v>
      </c>
      <c r="B856" t="s">
        <v>1488</v>
      </c>
      <c r="C856" t="s">
        <v>1397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1576</v>
      </c>
      <c r="B857" t="s">
        <v>1488</v>
      </c>
      <c r="C857" t="s">
        <v>1397</v>
      </c>
      <c r="D857">
        <v>1</v>
      </c>
      <c r="E857" t="s">
        <v>1161</v>
      </c>
      <c r="F857">
        <f>MAX(MAX(L857:AE857),-MIN(L857:AE857))</f>
        <v>0</v>
      </c>
      <c r="I857" t="s">
        <v>1509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1577</v>
      </c>
      <c r="B859" t="s">
        <v>1488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1577</v>
      </c>
      <c r="B860" t="s">
        <v>1488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1577</v>
      </c>
      <c r="B861" t="s">
        <v>1488</v>
      </c>
      <c r="D861">
        <v>1</v>
      </c>
      <c r="E861" t="s">
        <v>1161</v>
      </c>
      <c r="F861">
        <f>MAX(MAX(L861:AE861),-MIN(L861:AE861))</f>
        <v>0</v>
      </c>
      <c r="I861" t="s">
        <v>1509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1578</v>
      </c>
      <c r="B863" t="s">
        <v>1491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1578</v>
      </c>
      <c r="B864" t="s">
        <v>1491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1578</v>
      </c>
      <c r="B865" t="s">
        <v>1491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1509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1579</v>
      </c>
      <c r="B867" t="s">
        <v>1491</v>
      </c>
      <c r="C867" t="s">
        <v>1357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1579</v>
      </c>
      <c r="B868" t="s">
        <v>1491</v>
      </c>
      <c r="C868" t="s">
        <v>1357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1579</v>
      </c>
      <c r="B869" t="s">
        <v>1491</v>
      </c>
      <c r="C869" t="s">
        <v>1357</v>
      </c>
      <c r="D869">
        <v>1</v>
      </c>
      <c r="E869" t="s">
        <v>1161</v>
      </c>
      <c r="F869">
        <f>MAX(MAX(L869:AE869),-MIN(L869:AE869))</f>
        <v>0</v>
      </c>
      <c r="I869" t="s">
        <v>1509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1580</v>
      </c>
      <c r="B871" t="s">
        <v>1491</v>
      </c>
      <c r="C871" t="s">
        <v>1408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1580</v>
      </c>
      <c r="B872" t="s">
        <v>1491</v>
      </c>
      <c r="C872" t="s">
        <v>1408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1580</v>
      </c>
      <c r="B873" t="s">
        <v>1491</v>
      </c>
      <c r="C873" t="s">
        <v>1408</v>
      </c>
      <c r="D873">
        <v>1</v>
      </c>
      <c r="E873" t="s">
        <v>1161</v>
      </c>
      <c r="F873">
        <f>MAX(MAX(L873:AE873),-MIN(L873:AE873))</f>
        <v>0</v>
      </c>
      <c r="I873" t="s">
        <v>1509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1581</v>
      </c>
      <c r="B875" t="s">
        <v>1491</v>
      </c>
      <c r="C875" t="s">
        <v>1409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1581</v>
      </c>
      <c r="B876" t="s">
        <v>1491</v>
      </c>
      <c r="C876" t="s">
        <v>1409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1581</v>
      </c>
      <c r="B877" t="s">
        <v>1491</v>
      </c>
      <c r="C877" t="s">
        <v>1409</v>
      </c>
      <c r="D877">
        <v>1</v>
      </c>
      <c r="E877" t="s">
        <v>1161</v>
      </c>
      <c r="F877">
        <f>MAX(MAX(L877:AE877),-MIN(L877:AE877))</f>
        <v>0</v>
      </c>
      <c r="I877" t="s">
        <v>1509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1582</v>
      </c>
      <c r="B879" t="s">
        <v>1491</v>
      </c>
      <c r="C879" t="s">
        <v>1410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1582</v>
      </c>
      <c r="B880" t="s">
        <v>1491</v>
      </c>
      <c r="C880" t="s">
        <v>1410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1582</v>
      </c>
      <c r="B881" t="s">
        <v>1491</v>
      </c>
      <c r="C881" t="s">
        <v>1410</v>
      </c>
      <c r="D881">
        <v>1</v>
      </c>
      <c r="E881" t="s">
        <v>1161</v>
      </c>
      <c r="F881">
        <f>MAX(MAX(L881:AE881),-MIN(L881:AE881))</f>
        <v>0</v>
      </c>
      <c r="I881" t="s">
        <v>1509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1583</v>
      </c>
      <c r="B883" t="s">
        <v>1491</v>
      </c>
      <c r="C883" t="s">
        <v>1383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1583</v>
      </c>
      <c r="B884" t="s">
        <v>1491</v>
      </c>
      <c r="C884" t="s">
        <v>1383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1583</v>
      </c>
      <c r="B885" t="s">
        <v>1491</v>
      </c>
      <c r="C885" t="s">
        <v>1383</v>
      </c>
      <c r="D885">
        <v>1</v>
      </c>
      <c r="E885" t="s">
        <v>1161</v>
      </c>
      <c r="F885">
        <f>MAX(MAX(L885:AE885),-MIN(L885:AE885))</f>
        <v>0</v>
      </c>
      <c r="I885" t="s">
        <v>1509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1584</v>
      </c>
      <c r="B887" t="s">
        <v>1491</v>
      </c>
      <c r="C887" t="s">
        <v>1411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1584</v>
      </c>
      <c r="B888" t="s">
        <v>1491</v>
      </c>
      <c r="C888" t="s">
        <v>1411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1584</v>
      </c>
      <c r="B889" t="s">
        <v>1491</v>
      </c>
      <c r="C889" t="s">
        <v>1411</v>
      </c>
      <c r="D889">
        <v>1</v>
      </c>
      <c r="E889" t="s">
        <v>1161</v>
      </c>
      <c r="F889">
        <f>MAX(MAX(L889:AE889),-MIN(L889:AE889))</f>
        <v>0</v>
      </c>
      <c r="I889" t="s">
        <v>1509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1585</v>
      </c>
      <c r="B891" t="s">
        <v>1491</v>
      </c>
      <c r="C891" t="s">
        <v>1397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1585</v>
      </c>
      <c r="B892" t="s">
        <v>1491</v>
      </c>
      <c r="C892" t="s">
        <v>1397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1585</v>
      </c>
      <c r="B893" t="s">
        <v>1491</v>
      </c>
      <c r="C893" t="s">
        <v>1397</v>
      </c>
      <c r="D893">
        <v>1</v>
      </c>
      <c r="E893" t="s">
        <v>1161</v>
      </c>
      <c r="F893">
        <f>MAX(MAX(L893:AE893),-MIN(L893:AE893))</f>
        <v>0</v>
      </c>
      <c r="I893" t="s">
        <v>1509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1586</v>
      </c>
      <c r="B895" t="s">
        <v>1491</v>
      </c>
      <c r="C895" t="s">
        <v>1492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1586</v>
      </c>
      <c r="B896" t="s">
        <v>1491</v>
      </c>
      <c r="C896" t="s">
        <v>1492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1586</v>
      </c>
      <c r="B897" t="s">
        <v>1491</v>
      </c>
      <c r="C897" t="s">
        <v>1492</v>
      </c>
      <c r="D897">
        <v>1</v>
      </c>
      <c r="E897" t="s">
        <v>1161</v>
      </c>
      <c r="F897">
        <f>MAX(MAX(L897:AE897),-MIN(L897:AE897))</f>
        <v>0</v>
      </c>
      <c r="I897" t="s">
        <v>1509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1587</v>
      </c>
      <c r="B899" t="s">
        <v>1493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1587</v>
      </c>
      <c r="B900" t="s">
        <v>1493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3.5290636333347374</v>
      </c>
      <c r="M900">
        <f>IF(ISBLANK(Mitigation_Industry!M374),"",Mitigation_Industry!M374)</f>
        <v>3.6067030332681016</v>
      </c>
      <c r="N900">
        <f>IF(ISBLANK(Mitigation_Industry!N374),"",Mitigation_Industry!N374)</f>
        <v>3.6860504999999999</v>
      </c>
      <c r="O900">
        <f>IF(ISBLANK(Mitigation_Industry!O374),"",Mitigation_Industry!O374)</f>
        <v>3.7671436109999994</v>
      </c>
      <c r="P900">
        <f>IF(ISBLANK(Mitigation_Industry!P374),"",Mitigation_Industry!P374)</f>
        <v>3.8500207704419993</v>
      </c>
      <c r="Q900">
        <f>IF(ISBLANK(Mitigation_Industry!Q374),"",Mitigation_Industry!Q374)</f>
        <v>3.9347212273917234</v>
      </c>
      <c r="R900">
        <f>IF(ISBLANK(Mitigation_Industry!R374),"",Mitigation_Industry!R374)</f>
        <v>4.0212850943943419</v>
      </c>
      <c r="S900">
        <f>IF(ISBLANK(Mitigation_Industry!S374),"",Mitigation_Industry!S374)</f>
        <v>4.1097533664710166</v>
      </c>
      <c r="T900">
        <f>IF(ISBLANK(Mitigation_Industry!T374),"",Mitigation_Industry!T374)</f>
        <v>4.2001679405333787</v>
      </c>
      <c r="U900">
        <f>IF(ISBLANK(Mitigation_Industry!U374),"",Mitigation_Industry!U374)</f>
        <v>4.292571635225114</v>
      </c>
      <c r="V900">
        <f>IF(ISBLANK(Mitigation_Industry!V374),"",Mitigation_Industry!V374)</f>
        <v>4.3870082112000661</v>
      </c>
      <c r="W900">
        <f>IF(ISBLANK(Mitigation_Industry!W374),"",Mitigation_Industry!W374)</f>
        <v>4.4835223918464688</v>
      </c>
      <c r="X900">
        <f>IF(ISBLANK(Mitigation_Industry!X374),"",Mitigation_Industry!X374)</f>
        <v>4.5821598844670905</v>
      </c>
      <c r="Y900">
        <f>IF(ISBLANK(Mitigation_Industry!Y374),"",Mitigation_Industry!Y374)</f>
        <v>4.6829674019253673</v>
      </c>
      <c r="Z900">
        <f>IF(ISBLANK(Mitigation_Industry!Z374),"",Mitigation_Industry!Z374)</f>
        <v>4.7859926847677254</v>
      </c>
      <c r="AA900">
        <f>IF(ISBLANK(Mitigation_Industry!AA374),"",Mitigation_Industry!AA374)</f>
        <v>4.8912845238326152</v>
      </c>
      <c r="AB900">
        <f>IF(ISBLANK(Mitigation_Industry!AB374),"",Mitigation_Industry!AB374)</f>
        <v>4.9988927833569319</v>
      </c>
      <c r="AC900">
        <f>IF(ISBLANK(Mitigation_Industry!AC374),"",Mitigation_Industry!AC374)</f>
        <v>5.1088684245907858</v>
      </c>
      <c r="AD900">
        <f>IF(ISBLANK(Mitigation_Industry!AD374),"",Mitigation_Industry!AD374)</f>
        <v>5.2212635299317824</v>
      </c>
      <c r="AE900">
        <f>IF(ISBLANK(Mitigation_Industry!AE374),"",Mitigation_Industry!AE374)</f>
        <v>5.336131327590282</v>
      </c>
    </row>
    <row r="901" spans="1:31" x14ac:dyDescent="0.45">
      <c r="A901" t="s">
        <v>1587</v>
      </c>
      <c r="B901" t="s">
        <v>1493</v>
      </c>
      <c r="C901" t="s">
        <v>283</v>
      </c>
      <c r="D901">
        <v>1</v>
      </c>
      <c r="E901" t="s">
        <v>1161</v>
      </c>
      <c r="F901">
        <f>MAX(MAX(L901:AE901),-MIN(L901:AE901))</f>
        <v>4.4935958190134073</v>
      </c>
      <c r="I901" t="s">
        <v>1588</v>
      </c>
      <c r="J901" t="s">
        <v>1589</v>
      </c>
      <c r="K901">
        <f t="shared" ref="K901:AE901" si="222">IF(ISNUMBER(K899),IF(ISNUMBER(K900),K900-K899,999999),0)</f>
        <v>0</v>
      </c>
      <c r="L901">
        <f t="shared" si="222"/>
        <v>0</v>
      </c>
      <c r="M901">
        <f t="shared" si="222"/>
        <v>3.037231409001957</v>
      </c>
      <c r="N901">
        <f t="shared" si="222"/>
        <v>3.1040505</v>
      </c>
      <c r="O901">
        <f t="shared" si="222"/>
        <v>3.1723396109999995</v>
      </c>
      <c r="P901">
        <f t="shared" si="222"/>
        <v>3.2421310824419991</v>
      </c>
      <c r="Q901">
        <f t="shared" si="222"/>
        <v>3.3134579662557235</v>
      </c>
      <c r="R901">
        <f t="shared" si="222"/>
        <v>3.38635404151335</v>
      </c>
      <c r="S901">
        <f t="shared" si="222"/>
        <v>3.4608538304266427</v>
      </c>
      <c r="T901">
        <f t="shared" si="222"/>
        <v>3.5369926146960289</v>
      </c>
      <c r="U901">
        <f t="shared" si="222"/>
        <v>3.6148064522193422</v>
      </c>
      <c r="V901">
        <f t="shared" si="222"/>
        <v>3.694332194168167</v>
      </c>
      <c r="W901">
        <f t="shared" si="222"/>
        <v>3.7756075024398683</v>
      </c>
      <c r="X901">
        <f t="shared" si="222"/>
        <v>3.8586708674935446</v>
      </c>
      <c r="Y901">
        <f t="shared" si="222"/>
        <v>3.9435616265784037</v>
      </c>
      <c r="Z901">
        <f t="shared" si="222"/>
        <v>4.0303199823631282</v>
      </c>
      <c r="AA901">
        <f t="shared" si="222"/>
        <v>4.1189870219751175</v>
      </c>
      <c r="AB901">
        <f t="shared" si="222"/>
        <v>4.2096047364585685</v>
      </c>
      <c r="AC901">
        <f t="shared" si="222"/>
        <v>4.3022160406606584</v>
      </c>
      <c r="AD901">
        <f t="shared" si="222"/>
        <v>4.3968647935551921</v>
      </c>
      <c r="AE901">
        <f t="shared" si="222"/>
        <v>4.4935958190134073</v>
      </c>
    </row>
    <row r="903" spans="1:31" x14ac:dyDescent="0.45">
      <c r="A903" t="s">
        <v>1590</v>
      </c>
      <c r="B903" t="s">
        <v>1493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1590</v>
      </c>
      <c r="B904" t="s">
        <v>1493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3.8464212577619237</v>
      </c>
      <c r="M904">
        <f>IF(ISBLANK(Mitigation_Industry!M375),"",Mitigation_Industry!M375)</f>
        <v>4.0156637931034478</v>
      </c>
      <c r="N904">
        <f>IF(ISBLANK(Mitigation_Industry!N375),"",Mitigation_Industry!N375)</f>
        <v>4.1923530000000007</v>
      </c>
      <c r="O904">
        <f>IF(ISBLANK(Mitigation_Industry!O375),"",Mitigation_Industry!O375)</f>
        <v>4.3768165320000012</v>
      </c>
      <c r="P904">
        <f>IF(ISBLANK(Mitigation_Industry!P375),"",Mitigation_Industry!P375)</f>
        <v>4.5693964594080008</v>
      </c>
      <c r="Q904">
        <f>IF(ISBLANK(Mitigation_Industry!Q375),"",Mitigation_Industry!Q375)</f>
        <v>4.7704499036219534</v>
      </c>
      <c r="R904">
        <f>IF(ISBLANK(Mitigation_Industry!R375),"",Mitigation_Industry!R375)</f>
        <v>4.9803496993813186</v>
      </c>
      <c r="S904">
        <f>IF(ISBLANK(Mitigation_Industry!S375),"",Mitigation_Industry!S375)</f>
        <v>5.1994850861540982</v>
      </c>
      <c r="T904">
        <f>IF(ISBLANK(Mitigation_Industry!T375),"",Mitigation_Industry!T375)</f>
        <v>5.4282624299448781</v>
      </c>
      <c r="U904">
        <f>IF(ISBLANK(Mitigation_Industry!U375),"",Mitigation_Industry!U375)</f>
        <v>5.6671059768624525</v>
      </c>
      <c r="V904">
        <f>IF(ISBLANK(Mitigation_Industry!V375),"",Mitigation_Industry!V375)</f>
        <v>5.9164586398444019</v>
      </c>
      <c r="W904">
        <f>IF(ISBLANK(Mitigation_Industry!W375),"",Mitigation_Industry!W375)</f>
        <v>6.1767828199975545</v>
      </c>
      <c r="X904">
        <f>IF(ISBLANK(Mitigation_Industry!X375),"",Mitigation_Industry!X375)</f>
        <v>6.4485612640774477</v>
      </c>
      <c r="Y904">
        <f>IF(ISBLANK(Mitigation_Industry!Y375),"",Mitigation_Industry!Y375)</f>
        <v>6.7322979596968553</v>
      </c>
      <c r="Z904">
        <f>IF(ISBLANK(Mitigation_Industry!Z375),"",Mitigation_Industry!Z375)</f>
        <v>7.0285190699235169</v>
      </c>
      <c r="AA904">
        <f>IF(ISBLANK(Mitigation_Industry!AA375),"",Mitigation_Industry!AA375)</f>
        <v>7.3377739090001519</v>
      </c>
      <c r="AB904">
        <f>IF(ISBLANK(Mitigation_Industry!AB375),"",Mitigation_Industry!AB375)</f>
        <v>7.6606359609961583</v>
      </c>
      <c r="AC904">
        <f>IF(ISBLANK(Mitigation_Industry!AC375),"",Mitigation_Industry!AC375)</f>
        <v>7.9977039432799906</v>
      </c>
      <c r="AD904">
        <f>IF(ISBLANK(Mitigation_Industry!AD375),"",Mitigation_Industry!AD375)</f>
        <v>8.3496029167843098</v>
      </c>
      <c r="AE904">
        <f>IF(ISBLANK(Mitigation_Industry!AE375),"",Mitigation_Industry!AE375)</f>
        <v>8.7169854451228197</v>
      </c>
    </row>
    <row r="905" spans="1:31" x14ac:dyDescent="0.45">
      <c r="A905" t="s">
        <v>1590</v>
      </c>
      <c r="B905" t="s">
        <v>1493</v>
      </c>
      <c r="C905" t="s">
        <v>284</v>
      </c>
      <c r="D905">
        <v>1</v>
      </c>
      <c r="E905" t="s">
        <v>1161</v>
      </c>
      <c r="F905">
        <f>MAX(MAX(L905:AE905),-MIN(L905:AE905))</f>
        <v>8.1431101099938612</v>
      </c>
      <c r="I905" t="s">
        <v>1588</v>
      </c>
      <c r="J905" t="s">
        <v>1589</v>
      </c>
      <c r="K905">
        <f t="shared" ref="K905:AE905" si="223">IF(ISNUMBER(K903),IF(ISNUMBER(K904),K904-K903,999999),0)</f>
        <v>0</v>
      </c>
      <c r="L905">
        <f t="shared" si="223"/>
        <v>0</v>
      </c>
      <c r="M905">
        <f t="shared" si="223"/>
        <v>3.7512959770114938</v>
      </c>
      <c r="N905">
        <f t="shared" si="223"/>
        <v>3.9163530000000009</v>
      </c>
      <c r="O905">
        <f t="shared" si="223"/>
        <v>4.0886725320000012</v>
      </c>
      <c r="P905">
        <f t="shared" si="223"/>
        <v>4.2685741234080004</v>
      </c>
      <c r="Q905">
        <f t="shared" si="223"/>
        <v>4.4563913848379535</v>
      </c>
      <c r="R905">
        <f t="shared" si="223"/>
        <v>4.6524726057708223</v>
      </c>
      <c r="S905">
        <f t="shared" si="223"/>
        <v>4.8571814004247402</v>
      </c>
      <c r="T905">
        <f t="shared" si="223"/>
        <v>5.0708973820434284</v>
      </c>
      <c r="U905">
        <f t="shared" si="223"/>
        <v>5.2940168668533394</v>
      </c>
      <c r="V905">
        <f t="shared" si="223"/>
        <v>5.5269536089948872</v>
      </c>
      <c r="W905">
        <f t="shared" si="223"/>
        <v>5.7701395677906611</v>
      </c>
      <c r="X905">
        <f t="shared" si="223"/>
        <v>6.0240257087734514</v>
      </c>
      <c r="Y905">
        <f t="shared" si="223"/>
        <v>6.2890828399594829</v>
      </c>
      <c r="Z905">
        <f t="shared" si="223"/>
        <v>6.5658024849177004</v>
      </c>
      <c r="AA905">
        <f t="shared" si="223"/>
        <v>6.8546977942540792</v>
      </c>
      <c r="AB905">
        <f t="shared" si="223"/>
        <v>7.1563044972012584</v>
      </c>
      <c r="AC905">
        <f t="shared" si="223"/>
        <v>7.4711818950781153</v>
      </c>
      <c r="AD905">
        <f t="shared" si="223"/>
        <v>7.7999138984615524</v>
      </c>
      <c r="AE905">
        <f t="shared" si="223"/>
        <v>8.1431101099938612</v>
      </c>
    </row>
    <row r="907" spans="1:31" x14ac:dyDescent="0.45">
      <c r="A907" t="s">
        <v>1591</v>
      </c>
      <c r="B907" t="s">
        <v>1493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1591</v>
      </c>
      <c r="B908" t="s">
        <v>1493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4.2047573055412055E-2</v>
      </c>
      <c r="M908">
        <f>IF(ISBLANK(Mitigation_Industry!M376),"",Mitigation_Industry!M376)</f>
        <v>4.4360189573459712E-2</v>
      </c>
      <c r="N908">
        <f>IF(ISBLANK(Mitigation_Industry!N376),"",Mitigation_Industry!N376)</f>
        <v>4.6799999999999994E-2</v>
      </c>
      <c r="O908">
        <f>IF(ISBLANK(Mitigation_Industry!O376),"",Mitigation_Industry!O376)</f>
        <v>4.9374000000000001E-2</v>
      </c>
      <c r="P908">
        <f>IF(ISBLANK(Mitigation_Industry!P376),"",Mitigation_Industry!P376)</f>
        <v>5.2089569999999995E-2</v>
      </c>
      <c r="Q908">
        <f>IF(ISBLANK(Mitigation_Industry!Q376),"",Mitigation_Industry!Q376)</f>
        <v>5.4954496349999993E-2</v>
      </c>
      <c r="R908">
        <f>IF(ISBLANK(Mitigation_Industry!R376),"",Mitigation_Industry!R376)</f>
        <v>5.7976993649249998E-2</v>
      </c>
      <c r="S908">
        <f>IF(ISBLANK(Mitigation_Industry!S376),"",Mitigation_Industry!S376)</f>
        <v>6.1165728299958741E-2</v>
      </c>
      <c r="T908">
        <f>IF(ISBLANK(Mitigation_Industry!T376),"",Mitigation_Industry!T376)</f>
        <v>6.4529843356456465E-2</v>
      </c>
      <c r="U908">
        <f>IF(ISBLANK(Mitigation_Industry!U376),"",Mitigation_Industry!U376)</f>
        <v>6.8078984741061568E-2</v>
      </c>
      <c r="V908">
        <f>IF(ISBLANK(Mitigation_Industry!V376),"",Mitigation_Industry!V376)</f>
        <v>7.1823328901819944E-2</v>
      </c>
      <c r="W908">
        <f>IF(ISBLANK(Mitigation_Industry!W376),"",Mitigation_Industry!W376)</f>
        <v>7.5773611991420048E-2</v>
      </c>
      <c r="X908">
        <f>IF(ISBLANK(Mitigation_Industry!X376),"",Mitigation_Industry!X376)</f>
        <v>7.9941160650948154E-2</v>
      </c>
      <c r="Y908">
        <f>IF(ISBLANK(Mitigation_Industry!Y376),"",Mitigation_Industry!Y376)</f>
        <v>8.4337924486750301E-2</v>
      </c>
      <c r="Z908">
        <f>IF(ISBLANK(Mitigation_Industry!Z376),"",Mitigation_Industry!Z376)</f>
        <v>8.8976510333521566E-2</v>
      </c>
      <c r="AA908">
        <f>IF(ISBLANK(Mitigation_Industry!AA376),"",Mitigation_Industry!AA376)</f>
        <v>9.3870218401865241E-2</v>
      </c>
      <c r="AB908">
        <f>IF(ISBLANK(Mitigation_Industry!AB376),"",Mitigation_Industry!AB376)</f>
        <v>9.9033080413967828E-2</v>
      </c>
      <c r="AC908">
        <f>IF(ISBLANK(Mitigation_Industry!AC376),"",Mitigation_Industry!AC376)</f>
        <v>0.10447989983673606</v>
      </c>
      <c r="AD908">
        <f>IF(ISBLANK(Mitigation_Industry!AD376),"",Mitigation_Industry!AD376)</f>
        <v>0.11022629432775652</v>
      </c>
      <c r="AE908">
        <f>IF(ISBLANK(Mitigation_Industry!AE376),"",Mitigation_Industry!AE376)</f>
        <v>0.11628874051578311</v>
      </c>
    </row>
    <row r="909" spans="1:31" x14ac:dyDescent="0.45">
      <c r="A909" t="s">
        <v>1591</v>
      </c>
      <c r="B909" t="s">
        <v>1493</v>
      </c>
      <c r="C909" t="s">
        <v>285</v>
      </c>
      <c r="D909">
        <v>1</v>
      </c>
      <c r="E909" t="s">
        <v>1161</v>
      </c>
      <c r="F909">
        <f>MAX(MAX(L909:AE909),-MIN(L909:AE909))</f>
        <v>1.6354967736642831</v>
      </c>
      <c r="I909" t="s">
        <v>1588</v>
      </c>
      <c r="J909" t="s">
        <v>1589</v>
      </c>
      <c r="K909">
        <f t="shared" ref="K909:AE909" si="224">IF(ISNUMBER(K907),IF(ISNUMBER(K908),K908-K907,999999),0)</f>
        <v>0</v>
      </c>
      <c r="L909">
        <f t="shared" si="224"/>
        <v>0</v>
      </c>
      <c r="M909">
        <f t="shared" si="224"/>
        <v>-0.62388625592417069</v>
      </c>
      <c r="N909">
        <f t="shared" si="224"/>
        <v>-0.65820000000000001</v>
      </c>
      <c r="O909">
        <f t="shared" si="224"/>
        <v>-0.69440099999999993</v>
      </c>
      <c r="P909">
        <f t="shared" si="224"/>
        <v>-0.73259305499999994</v>
      </c>
      <c r="Q909">
        <f t="shared" si="224"/>
        <v>-0.772885673025</v>
      </c>
      <c r="R909">
        <f t="shared" si="224"/>
        <v>-0.81539438504137496</v>
      </c>
      <c r="S909">
        <f t="shared" si="224"/>
        <v>-0.86024107621865065</v>
      </c>
      <c r="T909">
        <f t="shared" si="224"/>
        <v>-0.90755433541067632</v>
      </c>
      <c r="U909">
        <f t="shared" si="224"/>
        <v>-0.9574698238582634</v>
      </c>
      <c r="V909">
        <f t="shared" si="224"/>
        <v>-1.0101306641704679</v>
      </c>
      <c r="W909">
        <f t="shared" si="224"/>
        <v>-1.0656878506998437</v>
      </c>
      <c r="X909">
        <f t="shared" si="224"/>
        <v>-1.124300682488335</v>
      </c>
      <c r="Y909">
        <f t="shared" si="224"/>
        <v>-1.1861372200251932</v>
      </c>
      <c r="Z909">
        <f t="shared" si="224"/>
        <v>-1.2513747671265787</v>
      </c>
      <c r="AA909">
        <f t="shared" si="224"/>
        <v>-1.3202003793185411</v>
      </c>
      <c r="AB909">
        <f t="shared" si="224"/>
        <v>-1.3928114001810603</v>
      </c>
      <c r="AC909">
        <f t="shared" si="224"/>
        <v>-1.4694160271910186</v>
      </c>
      <c r="AD909">
        <f t="shared" si="224"/>
        <v>-1.5502339086865244</v>
      </c>
      <c r="AE909">
        <f t="shared" si="224"/>
        <v>-1.6354967736642831</v>
      </c>
    </row>
    <row r="911" spans="1:31" x14ac:dyDescent="0.45">
      <c r="A911" t="s">
        <v>1592</v>
      </c>
      <c r="B911" t="s">
        <v>1493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1592</v>
      </c>
      <c r="B912" t="s">
        <v>1493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1592</v>
      </c>
      <c r="B913" t="s">
        <v>1493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1588</v>
      </c>
      <c r="J913" t="s">
        <v>1589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1593</v>
      </c>
      <c r="B915" t="s">
        <v>1493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1593</v>
      </c>
      <c r="B916" t="s">
        <v>1493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13.508713893592759</v>
      </c>
      <c r="M916">
        <f>IF(ISBLANK(Mitigation_Industry!M378),"",Mitigation_Industry!M378)</f>
        <v>13.954501452081319</v>
      </c>
      <c r="N916">
        <f>IF(ISBLANK(Mitigation_Industry!N378),"",Mitigation_Industry!N378)</f>
        <v>14.414999999999999</v>
      </c>
      <c r="O916">
        <f>IF(ISBLANK(Mitigation_Industry!O378),"",Mitigation_Industry!O378)</f>
        <v>14.890694999999997</v>
      </c>
      <c r="P916">
        <f>IF(ISBLANK(Mitigation_Industry!P378),"",Mitigation_Industry!P378)</f>
        <v>15.382087934999998</v>
      </c>
      <c r="Q916">
        <f>IF(ISBLANK(Mitigation_Industry!Q378),"",Mitigation_Industry!Q378)</f>
        <v>15.889696836854995</v>
      </c>
      <c r="R916">
        <f>IF(ISBLANK(Mitigation_Industry!R378),"",Mitigation_Industry!R378)</f>
        <v>16.414056832471207</v>
      </c>
      <c r="S916">
        <f>IF(ISBLANK(Mitigation_Industry!S378),"",Mitigation_Industry!S378)</f>
        <v>16.955720707942756</v>
      </c>
      <c r="T916">
        <f>IF(ISBLANK(Mitigation_Industry!T378),"",Mitigation_Industry!T378)</f>
        <v>17.515259491304867</v>
      </c>
      <c r="U916">
        <f>IF(ISBLANK(Mitigation_Industry!U378),"",Mitigation_Industry!U378)</f>
        <v>18.093263054517926</v>
      </c>
      <c r="V916">
        <f>IF(ISBLANK(Mitigation_Industry!V378),"",Mitigation_Industry!V378)</f>
        <v>18.690340735317015</v>
      </c>
      <c r="W916">
        <f>IF(ISBLANK(Mitigation_Industry!W378),"",Mitigation_Industry!W378)</f>
        <v>19.307121979582476</v>
      </c>
      <c r="X916">
        <f>IF(ISBLANK(Mitigation_Industry!X378),"",Mitigation_Industry!X378)</f>
        <v>19.944257004908696</v>
      </c>
      <c r="Y916">
        <f>IF(ISBLANK(Mitigation_Industry!Y378),"",Mitigation_Industry!Y378)</f>
        <v>20.602417486070681</v>
      </c>
      <c r="Z916">
        <f>IF(ISBLANK(Mitigation_Industry!Z378),"",Mitigation_Industry!Z378)</f>
        <v>21.282297263111012</v>
      </c>
      <c r="AA916">
        <f>IF(ISBLANK(Mitigation_Industry!AA378),"",Mitigation_Industry!AA378)</f>
        <v>21.984613072793675</v>
      </c>
      <c r="AB916">
        <f>IF(ISBLANK(Mitigation_Industry!AB378),"",Mitigation_Industry!AB378)</f>
        <v>22.710105304195867</v>
      </c>
      <c r="AC916">
        <f>IF(ISBLANK(Mitigation_Industry!AC378),"",Mitigation_Industry!AC378)</f>
        <v>23.459538779234329</v>
      </c>
      <c r="AD916">
        <f>IF(ISBLANK(Mitigation_Industry!AD378),"",Mitigation_Industry!AD378)</f>
        <v>24.23370355894906</v>
      </c>
      <c r="AE916">
        <f>IF(ISBLANK(Mitigation_Industry!AE378),"",Mitigation_Industry!AE378)</f>
        <v>25.033415776394378</v>
      </c>
    </row>
    <row r="917" spans="1:31" x14ac:dyDescent="0.45">
      <c r="A917" t="s">
        <v>1593</v>
      </c>
      <c r="B917" t="s">
        <v>1493</v>
      </c>
      <c r="C917" t="s">
        <v>287</v>
      </c>
      <c r="D917">
        <v>1</v>
      </c>
      <c r="E917" t="s">
        <v>1161</v>
      </c>
      <c r="F917">
        <f>MAX(MAX(L917:AE917),-MIN(L917:AE917))</f>
        <v>20.639760423340071</v>
      </c>
      <c r="I917" t="s">
        <v>1588</v>
      </c>
      <c r="J917" t="s">
        <v>1589</v>
      </c>
      <c r="K917">
        <f t="shared" ref="K917:AE917" si="226">IF(ISNUMBER(K915),IF(ISNUMBER(K916),K916-K915,999999),0)</f>
        <v>0</v>
      </c>
      <c r="L917">
        <f t="shared" si="226"/>
        <v>1.7763568394002505E-15</v>
      </c>
      <c r="M917">
        <f t="shared" si="226"/>
        <v>-11.505324298160703</v>
      </c>
      <c r="N917">
        <f t="shared" si="226"/>
        <v>-11.885000000000002</v>
      </c>
      <c r="O917">
        <f t="shared" si="226"/>
        <v>-12.277205000000002</v>
      </c>
      <c r="P917">
        <f t="shared" si="226"/>
        <v>-12.682352764999997</v>
      </c>
      <c r="Q917">
        <f t="shared" si="226"/>
        <v>-13.100870406244997</v>
      </c>
      <c r="R917">
        <f t="shared" si="226"/>
        <v>-13.533199129651084</v>
      </c>
      <c r="S917">
        <f t="shared" si="226"/>
        <v>-13.979794700929567</v>
      </c>
      <c r="T917">
        <f t="shared" si="226"/>
        <v>-14.441127926060243</v>
      </c>
      <c r="U917">
        <f t="shared" si="226"/>
        <v>-14.917685147620226</v>
      </c>
      <c r="V917">
        <f t="shared" si="226"/>
        <v>-15.40996875749169</v>
      </c>
      <c r="W917">
        <f t="shared" si="226"/>
        <v>-15.918497726488923</v>
      </c>
      <c r="X917">
        <f t="shared" si="226"/>
        <v>-16.443808151463049</v>
      </c>
      <c r="Y917">
        <f t="shared" si="226"/>
        <v>-16.986453820461332</v>
      </c>
      <c r="Z917">
        <f t="shared" si="226"/>
        <v>-17.547006796536557</v>
      </c>
      <c r="AA917">
        <f t="shared" si="226"/>
        <v>-18.12605802082226</v>
      </c>
      <c r="AB917">
        <f t="shared" si="226"/>
        <v>-18.72421793550939</v>
      </c>
      <c r="AC917">
        <f t="shared" si="226"/>
        <v>-19.342117127381194</v>
      </c>
      <c r="AD917">
        <f t="shared" si="226"/>
        <v>-19.980406992584776</v>
      </c>
      <c r="AE917">
        <f t="shared" si="226"/>
        <v>-20.639760423340071</v>
      </c>
    </row>
    <row r="919" spans="1:31" x14ac:dyDescent="0.45">
      <c r="A919" t="s">
        <v>1594</v>
      </c>
      <c r="B919" t="s">
        <v>1493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1594</v>
      </c>
      <c r="B920" t="s">
        <v>1493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20.926246357744834</v>
      </c>
      <c r="M920">
        <f>IF(ISBLANK(Mitigation_Industry!M379),"",Mitigation_Industry!M379)</f>
        <v>21.621228468026327</v>
      </c>
      <c r="N920">
        <f>IF(ISBLANK(Mitigation_Industry!N379),"",Mitigation_Industry!N379)</f>
        <v>22.340203500000001</v>
      </c>
      <c r="O920">
        <f>IF(ISBLANK(Mitigation_Industry!O379),"",Mitigation_Industry!O379)</f>
        <v>23.084029142999999</v>
      </c>
      <c r="P920">
        <f>IF(ISBLANK(Mitigation_Industry!P379),"",Mitigation_Industry!P379)</f>
        <v>23.853594734849999</v>
      </c>
      <c r="Q920">
        <f>IF(ISBLANK(Mitigation_Industry!Q379),"",Mitigation_Industry!Q379)</f>
        <v>24.649822464218673</v>
      </c>
      <c r="R920">
        <f>IF(ISBLANK(Mitigation_Industry!R379),"",Mitigation_Industry!R379)</f>
        <v>25.473668619896117</v>
      </c>
      <c r="S920">
        <f>IF(ISBLANK(Mitigation_Industry!S379),"",Mitigation_Industry!S379)</f>
        <v>26.326124888867831</v>
      </c>
      <c r="T920">
        <f>IF(ISBLANK(Mitigation_Industry!T379),"",Mitigation_Industry!T379)</f>
        <v>27.20821970513958</v>
      </c>
      <c r="U920">
        <f>IF(ISBLANK(Mitigation_Industry!U379),"",Mitigation_Industry!U379)</f>
        <v>28.121019651346558</v>
      </c>
      <c r="V920">
        <f>IF(ISBLANK(Mitigation_Industry!V379),"",Mitigation_Industry!V379)</f>
        <v>29.065630915263306</v>
      </c>
      <c r="W920">
        <f>IF(ISBLANK(Mitigation_Industry!W379),"",Mitigation_Industry!W379)</f>
        <v>30.043200803417918</v>
      </c>
      <c r="X920">
        <f>IF(ISBLANK(Mitigation_Industry!X379),"",Mitigation_Industry!X379)</f>
        <v>31.054919314104183</v>
      </c>
      <c r="Y920">
        <f>IF(ISBLANK(Mitigation_Industry!Y379),"",Mitigation_Industry!Y379)</f>
        <v>32.102020772179657</v>
      </c>
      <c r="Z920">
        <f>IF(ISBLANK(Mitigation_Industry!Z379),"",Mitigation_Industry!Z379)</f>
        <v>33.185785528135774</v>
      </c>
      <c r="AA920">
        <f>IF(ISBLANK(Mitigation_Industry!AA379),"",Mitigation_Industry!AA379)</f>
        <v>34.307541724028304</v>
      </c>
      <c r="AB920">
        <f>IF(ISBLANK(Mitigation_Industry!AB379),"",Mitigation_Industry!AB379)</f>
        <v>35.46866712896292</v>
      </c>
      <c r="AC920">
        <f>IF(ISBLANK(Mitigation_Industry!AC379),"",Mitigation_Industry!AC379)</f>
        <v>36.670591046941837</v>
      </c>
      <c r="AD920">
        <f>IF(ISBLANK(Mitigation_Industry!AD379),"",Mitigation_Industry!AD379)</f>
        <v>37.914796299992908</v>
      </c>
      <c r="AE920">
        <f>IF(ISBLANK(Mitigation_Industry!AE379),"",Mitigation_Industry!AE379)</f>
        <v>39.202821289623259</v>
      </c>
    </row>
    <row r="921" spans="1:31" x14ac:dyDescent="0.45">
      <c r="A921" t="s">
        <v>1594</v>
      </c>
      <c r="B921" t="s">
        <v>1493</v>
      </c>
      <c r="C921" t="s">
        <v>111</v>
      </c>
      <c r="D921">
        <v>1</v>
      </c>
      <c r="E921" t="s">
        <v>1161</v>
      </c>
      <c r="F921">
        <f>MAX(MAX(L921:AE921),-MIN(L921:AE921))</f>
        <v>9.6385512679970873</v>
      </c>
      <c r="I921" t="s">
        <v>1588</v>
      </c>
      <c r="J921" t="s">
        <v>1589</v>
      </c>
      <c r="K921">
        <f t="shared" ref="K921:AE921" si="227">IF(ISNUMBER(K919),IF(ISNUMBER(K920),K920-K919,999999),0)</f>
        <v>0</v>
      </c>
      <c r="L921">
        <f t="shared" si="227"/>
        <v>3.5527136788005009E-15</v>
      </c>
      <c r="M921">
        <f t="shared" si="227"/>
        <v>-5.340683168071422</v>
      </c>
      <c r="N921">
        <f t="shared" si="227"/>
        <v>-5.5227964999999983</v>
      </c>
      <c r="O921">
        <f t="shared" si="227"/>
        <v>-5.7105938570000028</v>
      </c>
      <c r="P921">
        <f t="shared" si="227"/>
        <v>-5.9042406141499981</v>
      </c>
      <c r="Q921">
        <f t="shared" si="227"/>
        <v>-6.1039067281763195</v>
      </c>
      <c r="R921">
        <f t="shared" si="227"/>
        <v>-6.309766867408289</v>
      </c>
      <c r="S921">
        <f t="shared" si="227"/>
        <v>-6.5220005462968302</v>
      </c>
      <c r="T921">
        <f t="shared" si="227"/>
        <v>-6.7407922647314642</v>
      </c>
      <c r="U921">
        <f t="shared" si="227"/>
        <v>-6.9663316524058061</v>
      </c>
      <c r="V921">
        <f t="shared" si="227"/>
        <v>-7.1988136184991021</v>
      </c>
      <c r="W921">
        <f t="shared" si="227"/>
        <v>-7.4384385069582351</v>
      </c>
      <c r="X921">
        <f t="shared" si="227"/>
        <v>-7.6854122576843906</v>
      </c>
      <c r="Y921">
        <f t="shared" si="227"/>
        <v>-7.9399465739486388</v>
      </c>
      <c r="Z921">
        <f t="shared" si="227"/>
        <v>-8.2022590963823063</v>
      </c>
      <c r="AA921">
        <f t="shared" si="227"/>
        <v>-8.4725735839116041</v>
      </c>
      <c r="AB921">
        <f t="shared" si="227"/>
        <v>-8.751120102030626</v>
      </c>
      <c r="AC921">
        <f t="shared" si="227"/>
        <v>-9.0381352188334461</v>
      </c>
      <c r="AD921">
        <f t="shared" si="227"/>
        <v>-9.3338622092545549</v>
      </c>
      <c r="AE921">
        <f t="shared" si="227"/>
        <v>-9.6385512679970873</v>
      </c>
    </row>
    <row r="923" spans="1:31" x14ac:dyDescent="0.45">
      <c r="A923" t="s">
        <v>1595</v>
      </c>
      <c r="B923" t="s">
        <v>1499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1595</v>
      </c>
      <c r="B924" t="s">
        <v>1499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0.55721293959505358</v>
      </c>
      <c r="M924">
        <f>IF(ISBLANK(Mitigation_Industry!M385),"",Mitigation_Industry!M385)</f>
        <v>0.56947162426614473</v>
      </c>
      <c r="N924">
        <f>IF(ISBLANK(Mitigation_Industry!N385),"",Mitigation_Industry!N385)</f>
        <v>0.58199999999999996</v>
      </c>
      <c r="O924">
        <f>IF(ISBLANK(Mitigation_Industry!O385),"",Mitigation_Industry!O385)</f>
        <v>0.594804</v>
      </c>
      <c r="P924">
        <f>IF(ISBLANK(Mitigation_Industry!P385),"",Mitigation_Industry!P385)</f>
        <v>0.60788968800000009</v>
      </c>
      <c r="Q924">
        <f>IF(ISBLANK(Mitigation_Industry!Q385),"",Mitigation_Industry!Q385)</f>
        <v>0.62126326113599994</v>
      </c>
      <c r="R924">
        <f>IF(ISBLANK(Mitigation_Industry!R385),"",Mitigation_Industry!R385)</f>
        <v>0.63493105288099194</v>
      </c>
      <c r="S924">
        <f>IF(ISBLANK(Mitigation_Industry!S385),"",Mitigation_Industry!S385)</f>
        <v>0.64889953604437378</v>
      </c>
      <c r="T924">
        <f>IF(ISBLANK(Mitigation_Industry!T385),"",Mitigation_Industry!T385)</f>
        <v>0.66317532583735006</v>
      </c>
      <c r="U924">
        <f>IF(ISBLANK(Mitigation_Industry!U385),"",Mitigation_Industry!U385)</f>
        <v>0.67776518300577182</v>
      </c>
      <c r="V924">
        <f>IF(ISBLANK(Mitigation_Industry!V385),"",Mitigation_Industry!V385)</f>
        <v>0.69267601703189885</v>
      </c>
      <c r="W924">
        <f>IF(ISBLANK(Mitigation_Industry!W385),"",Mitigation_Industry!W385)</f>
        <v>0.70791488940660052</v>
      </c>
      <c r="X924">
        <f>IF(ISBLANK(Mitigation_Industry!X385),"",Mitigation_Industry!X385)</f>
        <v>0.72348901697354573</v>
      </c>
      <c r="Y924">
        <f>IF(ISBLANK(Mitigation_Industry!Y385),"",Mitigation_Industry!Y385)</f>
        <v>0.73940577534696372</v>
      </c>
      <c r="Z924">
        <f>IF(ISBLANK(Mitigation_Industry!Z385),"",Mitigation_Industry!Z385)</f>
        <v>0.75567270240459705</v>
      </c>
      <c r="AA924">
        <f>IF(ISBLANK(Mitigation_Industry!AA385),"",Mitigation_Industry!AA385)</f>
        <v>0.77229750185749824</v>
      </c>
      <c r="AB924">
        <f>IF(ISBLANK(Mitigation_Industry!AB385),"",Mitigation_Industry!AB385)</f>
        <v>0.78928804689836318</v>
      </c>
      <c r="AC924">
        <f>IF(ISBLANK(Mitigation_Industry!AC385),"",Mitigation_Industry!AC385)</f>
        <v>0.80665238393012717</v>
      </c>
      <c r="AD924">
        <f>IF(ISBLANK(Mitigation_Industry!AD385),"",Mitigation_Industry!AD385)</f>
        <v>0.82439873637659</v>
      </c>
      <c r="AE924">
        <f>IF(ISBLANK(Mitigation_Industry!AE385),"",Mitigation_Industry!AE385)</f>
        <v>0.84253550857687498</v>
      </c>
    </row>
    <row r="925" spans="1:31" x14ac:dyDescent="0.45">
      <c r="A925" t="s">
        <v>1595</v>
      </c>
      <c r="B925" t="s">
        <v>1499</v>
      </c>
      <c r="C925" t="s">
        <v>283</v>
      </c>
      <c r="D925">
        <v>1</v>
      </c>
      <c r="E925" t="s">
        <v>1161</v>
      </c>
      <c r="F925">
        <f>MAX(MAX(L925:AE925),-MIN(L925:AE925))</f>
        <v>0</v>
      </c>
      <c r="I925" t="s">
        <v>1509</v>
      </c>
      <c r="K925">
        <f t="shared" ref="K925:AE925" si="228">IF(ISNUMBER(K923),IF(ISNUMBER(K924),K924-K923,999999),0)</f>
        <v>0</v>
      </c>
      <c r="L925">
        <f t="shared" si="228"/>
        <v>0</v>
      </c>
      <c r="M925">
        <f t="shared" si="228"/>
        <v>0</v>
      </c>
      <c r="N925">
        <f t="shared" si="228"/>
        <v>0</v>
      </c>
      <c r="O925">
        <f t="shared" si="228"/>
        <v>0</v>
      </c>
      <c r="P925">
        <f t="shared" si="228"/>
        <v>0</v>
      </c>
      <c r="Q925">
        <f t="shared" si="228"/>
        <v>0</v>
      </c>
      <c r="R925">
        <f t="shared" si="228"/>
        <v>0</v>
      </c>
      <c r="S925">
        <f t="shared" si="228"/>
        <v>0</v>
      </c>
      <c r="T925">
        <f t="shared" si="228"/>
        <v>0</v>
      </c>
      <c r="U925">
        <f t="shared" si="228"/>
        <v>0</v>
      </c>
      <c r="V925">
        <f t="shared" si="228"/>
        <v>0</v>
      </c>
      <c r="W925">
        <f t="shared" si="228"/>
        <v>0</v>
      </c>
      <c r="X925">
        <f t="shared" si="228"/>
        <v>0</v>
      </c>
      <c r="Y925">
        <f t="shared" si="228"/>
        <v>0</v>
      </c>
      <c r="Z925">
        <f t="shared" si="228"/>
        <v>0</v>
      </c>
      <c r="AA925">
        <f t="shared" si="228"/>
        <v>0</v>
      </c>
      <c r="AB925">
        <f t="shared" si="228"/>
        <v>0</v>
      </c>
      <c r="AC925">
        <f t="shared" si="228"/>
        <v>0</v>
      </c>
      <c r="AD925">
        <f t="shared" si="228"/>
        <v>0</v>
      </c>
      <c r="AE925">
        <f t="shared" si="228"/>
        <v>0</v>
      </c>
    </row>
    <row r="927" spans="1:31" x14ac:dyDescent="0.45">
      <c r="A927" t="s">
        <v>1596</v>
      </c>
      <c r="B927" t="s">
        <v>1499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1596</v>
      </c>
      <c r="B928" t="s">
        <v>1499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0.25322587748271458</v>
      </c>
      <c r="M928">
        <f>IF(ISBLANK(Mitigation_Industry!M386),"",Mitigation_Industry!M386)</f>
        <v>0.26436781609195403</v>
      </c>
      <c r="N928">
        <f>IF(ISBLANK(Mitigation_Industry!N386),"",Mitigation_Industry!N386)</f>
        <v>0.27599999999999997</v>
      </c>
      <c r="O928">
        <f>IF(ISBLANK(Mitigation_Industry!O386),"",Mitigation_Industry!O386)</f>
        <v>0.28814400000000001</v>
      </c>
      <c r="P928">
        <f>IF(ISBLANK(Mitigation_Industry!P386),"",Mitigation_Industry!P386)</f>
        <v>0.30082233600000008</v>
      </c>
      <c r="Q928">
        <f>IF(ISBLANK(Mitigation_Industry!Q386),"",Mitigation_Industry!Q386)</f>
        <v>0.31405851878400004</v>
      </c>
      <c r="R928">
        <f>IF(ISBLANK(Mitigation_Industry!R386),"",Mitigation_Industry!R386)</f>
        <v>0.32787709361049611</v>
      </c>
      <c r="S928">
        <f>IF(ISBLANK(Mitigation_Industry!S386),"",Mitigation_Industry!S386)</f>
        <v>0.34230368572935788</v>
      </c>
      <c r="T928">
        <f>IF(ISBLANK(Mitigation_Industry!T386),"",Mitigation_Industry!T386)</f>
        <v>0.35736504790144968</v>
      </c>
      <c r="U928">
        <f>IF(ISBLANK(Mitigation_Industry!U386),"",Mitigation_Industry!U386)</f>
        <v>0.37308911000911349</v>
      </c>
      <c r="V928">
        <f>IF(ISBLANK(Mitigation_Industry!V386),"",Mitigation_Industry!V386)</f>
        <v>0.38950503084951449</v>
      </c>
      <c r="W928">
        <f>IF(ISBLANK(Mitigation_Industry!W386),"",Mitigation_Industry!W386)</f>
        <v>0.40664325220689312</v>
      </c>
      <c r="X928">
        <f>IF(ISBLANK(Mitigation_Industry!X386),"",Mitigation_Industry!X386)</f>
        <v>0.42453555530399645</v>
      </c>
      <c r="Y928">
        <f>IF(ISBLANK(Mitigation_Industry!Y386),"",Mitigation_Industry!Y386)</f>
        <v>0.44321511973737227</v>
      </c>
      <c r="Z928">
        <f>IF(ISBLANK(Mitigation_Industry!Z386),"",Mitigation_Industry!Z386)</f>
        <v>0.46271658500581669</v>
      </c>
      <c r="AA928">
        <f>IF(ISBLANK(Mitigation_Industry!AA386),"",Mitigation_Industry!AA386)</f>
        <v>0.48307611474607259</v>
      </c>
      <c r="AB928">
        <f>IF(ISBLANK(Mitigation_Industry!AB386),"",Mitigation_Industry!AB386)</f>
        <v>0.5043314637948999</v>
      </c>
      <c r="AC928">
        <f>IF(ISBLANK(Mitigation_Industry!AC386),"",Mitigation_Industry!AC386)</f>
        <v>0.52652204820187531</v>
      </c>
      <c r="AD928">
        <f>IF(ISBLANK(Mitigation_Industry!AD386),"",Mitigation_Industry!AD386)</f>
        <v>0.54968901832275785</v>
      </c>
      <c r="AE928">
        <f>IF(ISBLANK(Mitigation_Industry!AE386),"",Mitigation_Industry!AE386)</f>
        <v>0.57387533512895927</v>
      </c>
    </row>
    <row r="929" spans="1:31" x14ac:dyDescent="0.45">
      <c r="A929" t="s">
        <v>1596</v>
      </c>
      <c r="B929" t="s">
        <v>1499</v>
      </c>
      <c r="C929" t="s">
        <v>284</v>
      </c>
      <c r="D929">
        <v>1</v>
      </c>
      <c r="E929" t="s">
        <v>1161</v>
      </c>
      <c r="F929">
        <f>MAX(MAX(L929:AE929),-MIN(L929:AE929))</f>
        <v>0</v>
      </c>
      <c r="I929" t="s">
        <v>1509</v>
      </c>
      <c r="K929">
        <f t="shared" ref="K929:AE929" si="229">IF(ISNUMBER(K927),IF(ISNUMBER(K928),K928-K927,999999),0)</f>
        <v>0</v>
      </c>
      <c r="L929">
        <f t="shared" si="229"/>
        <v>0</v>
      </c>
      <c r="M929">
        <f t="shared" si="229"/>
        <v>0</v>
      </c>
      <c r="N929">
        <f t="shared" si="229"/>
        <v>0</v>
      </c>
      <c r="O929">
        <f t="shared" si="229"/>
        <v>0</v>
      </c>
      <c r="P929">
        <f t="shared" si="229"/>
        <v>0</v>
      </c>
      <c r="Q929">
        <f t="shared" si="229"/>
        <v>0</v>
      </c>
      <c r="R929">
        <f t="shared" si="229"/>
        <v>0</v>
      </c>
      <c r="S929">
        <f t="shared" si="229"/>
        <v>0</v>
      </c>
      <c r="T929">
        <f t="shared" si="229"/>
        <v>0</v>
      </c>
      <c r="U929">
        <f t="shared" si="229"/>
        <v>0</v>
      </c>
      <c r="V929">
        <f t="shared" si="229"/>
        <v>0</v>
      </c>
      <c r="W929">
        <f t="shared" si="229"/>
        <v>0</v>
      </c>
      <c r="X929">
        <f t="shared" si="229"/>
        <v>0</v>
      </c>
      <c r="Y929">
        <f t="shared" si="229"/>
        <v>0</v>
      </c>
      <c r="Z929">
        <f t="shared" si="229"/>
        <v>0</v>
      </c>
      <c r="AA929">
        <f t="shared" si="229"/>
        <v>0</v>
      </c>
      <c r="AB929">
        <f t="shared" si="229"/>
        <v>0</v>
      </c>
      <c r="AC929">
        <f t="shared" si="229"/>
        <v>0</v>
      </c>
      <c r="AD929">
        <f t="shared" si="229"/>
        <v>0</v>
      </c>
      <c r="AE929">
        <f t="shared" si="229"/>
        <v>0</v>
      </c>
    </row>
    <row r="931" spans="1:31" x14ac:dyDescent="0.45">
      <c r="A931" t="s">
        <v>1597</v>
      </c>
      <c r="B931" t="s">
        <v>1499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1597</v>
      </c>
      <c r="B932" t="s">
        <v>1499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0.63340895307832257</v>
      </c>
      <c r="M932">
        <f>IF(ISBLANK(Mitigation_Industry!M387),"",Mitigation_Industry!M387)</f>
        <v>0.66824644549763035</v>
      </c>
      <c r="N932">
        <f>IF(ISBLANK(Mitigation_Industry!N387),"",Mitigation_Industry!N387)</f>
        <v>0.70499999999999996</v>
      </c>
      <c r="O932">
        <f>IF(ISBLANK(Mitigation_Industry!O387),"",Mitigation_Industry!O387)</f>
        <v>0.74377499999999996</v>
      </c>
      <c r="P932">
        <f>IF(ISBLANK(Mitigation_Industry!P387),"",Mitigation_Industry!P387)</f>
        <v>0.78468262499999997</v>
      </c>
      <c r="Q932">
        <f>IF(ISBLANK(Mitigation_Industry!Q387),"",Mitigation_Industry!Q387)</f>
        <v>0.82784016937499993</v>
      </c>
      <c r="R932">
        <f>IF(ISBLANK(Mitigation_Industry!R387),"",Mitigation_Industry!R387)</f>
        <v>0.87337137869062498</v>
      </c>
      <c r="S932">
        <f>IF(ISBLANK(Mitigation_Industry!S387),"",Mitigation_Industry!S387)</f>
        <v>0.92140680451860935</v>
      </c>
      <c r="T932">
        <f>IF(ISBLANK(Mitigation_Industry!T387),"",Mitigation_Industry!T387)</f>
        <v>0.97208417876713282</v>
      </c>
      <c r="U932">
        <f>IF(ISBLANK(Mitigation_Industry!U387),"",Mitigation_Industry!U387)</f>
        <v>1.025548808599325</v>
      </c>
      <c r="V932">
        <f>IF(ISBLANK(Mitigation_Industry!V387),"",Mitigation_Industry!V387)</f>
        <v>1.0819539930722879</v>
      </c>
      <c r="W932">
        <f>IF(ISBLANK(Mitigation_Industry!W387),"",Mitigation_Industry!W387)</f>
        <v>1.1414614626912638</v>
      </c>
      <c r="X932">
        <f>IF(ISBLANK(Mitigation_Industry!X387),"",Mitigation_Industry!X387)</f>
        <v>1.2042418431392832</v>
      </c>
      <c r="Y932">
        <f>IF(ISBLANK(Mitigation_Industry!Y387),"",Mitigation_Industry!Y387)</f>
        <v>1.2704751445119435</v>
      </c>
      <c r="Z932">
        <f>IF(ISBLANK(Mitigation_Industry!Z387),"",Mitigation_Industry!Z387)</f>
        <v>1.3403512774601003</v>
      </c>
      <c r="AA932">
        <f>IF(ISBLANK(Mitigation_Industry!AA387),"",Mitigation_Industry!AA387)</f>
        <v>1.4140705977204062</v>
      </c>
      <c r="AB932">
        <f>IF(ISBLANK(Mitigation_Industry!AB387),"",Mitigation_Industry!AB387)</f>
        <v>1.4918444805950282</v>
      </c>
      <c r="AC932">
        <f>IF(ISBLANK(Mitigation_Industry!AC387),"",Mitigation_Industry!AC387)</f>
        <v>1.5738959270277546</v>
      </c>
      <c r="AD932">
        <f>IF(ISBLANK(Mitigation_Industry!AD387),"",Mitigation_Industry!AD387)</f>
        <v>1.660460203014281</v>
      </c>
      <c r="AE932">
        <f>IF(ISBLANK(Mitigation_Industry!AE387),"",Mitigation_Industry!AE387)</f>
        <v>1.7517855141800662</v>
      </c>
    </row>
    <row r="933" spans="1:31" x14ac:dyDescent="0.45">
      <c r="A933" t="s">
        <v>1597</v>
      </c>
      <c r="B933" t="s">
        <v>1499</v>
      </c>
      <c r="C933" t="s">
        <v>285</v>
      </c>
      <c r="D933">
        <v>1</v>
      </c>
      <c r="E933" t="s">
        <v>1161</v>
      </c>
      <c r="F933">
        <f>MAX(MAX(L933:AE933),-MIN(L933:AE933))</f>
        <v>0</v>
      </c>
      <c r="I933" t="s">
        <v>1509</v>
      </c>
      <c r="K933">
        <f t="shared" ref="K933:AE933" si="230">IF(ISNUMBER(K931),IF(ISNUMBER(K932),K932-K931,999999),0)</f>
        <v>0</v>
      </c>
      <c r="L933">
        <f t="shared" si="230"/>
        <v>0</v>
      </c>
      <c r="M933">
        <f t="shared" si="230"/>
        <v>0</v>
      </c>
      <c r="N933">
        <f t="shared" si="230"/>
        <v>0</v>
      </c>
      <c r="O933">
        <f t="shared" si="230"/>
        <v>0</v>
      </c>
      <c r="P933">
        <f t="shared" si="230"/>
        <v>0</v>
      </c>
      <c r="Q933">
        <f t="shared" si="230"/>
        <v>0</v>
      </c>
      <c r="R933">
        <f t="shared" si="230"/>
        <v>0</v>
      </c>
      <c r="S933">
        <f t="shared" si="230"/>
        <v>0</v>
      </c>
      <c r="T933">
        <f t="shared" si="230"/>
        <v>0</v>
      </c>
      <c r="U933">
        <f t="shared" si="230"/>
        <v>0</v>
      </c>
      <c r="V933">
        <f t="shared" si="230"/>
        <v>0</v>
      </c>
      <c r="W933">
        <f t="shared" si="230"/>
        <v>0</v>
      </c>
      <c r="X933">
        <f t="shared" si="230"/>
        <v>0</v>
      </c>
      <c r="Y933">
        <f t="shared" si="230"/>
        <v>0</v>
      </c>
      <c r="Z933">
        <f t="shared" si="230"/>
        <v>0</v>
      </c>
      <c r="AA933">
        <f t="shared" si="230"/>
        <v>0</v>
      </c>
      <c r="AB933">
        <f t="shared" si="230"/>
        <v>0</v>
      </c>
      <c r="AC933">
        <f t="shared" si="230"/>
        <v>0</v>
      </c>
      <c r="AD933">
        <f t="shared" si="230"/>
        <v>0</v>
      </c>
      <c r="AE933">
        <f t="shared" si="230"/>
        <v>0</v>
      </c>
    </row>
    <row r="935" spans="1:31" x14ac:dyDescent="0.45">
      <c r="A935" t="s">
        <v>1598</v>
      </c>
      <c r="B935" t="s">
        <v>1499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1598</v>
      </c>
      <c r="B936" t="s">
        <v>1499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1598</v>
      </c>
      <c r="B937" t="s">
        <v>1499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1509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1599</v>
      </c>
      <c r="B939" t="s">
        <v>1499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1599</v>
      </c>
      <c r="B940" t="s">
        <v>1499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24.646491529759945</v>
      </c>
      <c r="M940">
        <f>IF(ISBLANK(Mitigation_Industry!M389),"",Mitigation_Industry!M389)</f>
        <v>25.459825750242022</v>
      </c>
      <c r="N940">
        <f>IF(ISBLANK(Mitigation_Industry!N389),"",Mitigation_Industry!N389)</f>
        <v>26.3</v>
      </c>
      <c r="O940">
        <f>IF(ISBLANK(Mitigation_Industry!O389),"",Mitigation_Industry!O389)</f>
        <v>27.167899999999999</v>
      </c>
      <c r="P940">
        <f>IF(ISBLANK(Mitigation_Industry!P389),"",Mitigation_Industry!P389)</f>
        <v>28.064440699999995</v>
      </c>
      <c r="Q940">
        <f>IF(ISBLANK(Mitigation_Industry!Q389),"",Mitigation_Industry!Q389)</f>
        <v>28.990567243099992</v>
      </c>
      <c r="R940">
        <f>IF(ISBLANK(Mitigation_Industry!R389),"",Mitigation_Industry!R389)</f>
        <v>29.947255962122291</v>
      </c>
      <c r="S940">
        <f>IF(ISBLANK(Mitigation_Industry!S389),"",Mitigation_Industry!S389)</f>
        <v>30.935515408872323</v>
      </c>
      <c r="T940">
        <f>IF(ISBLANK(Mitigation_Industry!T389),"",Mitigation_Industry!T389)</f>
        <v>31.956387417365111</v>
      </c>
      <c r="U940">
        <f>IF(ISBLANK(Mitigation_Industry!U389),"",Mitigation_Industry!U389)</f>
        <v>33.010948202138152</v>
      </c>
      <c r="V940">
        <f>IF(ISBLANK(Mitigation_Industry!V389),"",Mitigation_Industry!V389)</f>
        <v>34.100309492808705</v>
      </c>
      <c r="W940">
        <f>IF(ISBLANK(Mitigation_Industry!W389),"",Mitigation_Industry!W389)</f>
        <v>35.225619706071399</v>
      </c>
      <c r="X940">
        <f>IF(ISBLANK(Mitigation_Industry!X389),"",Mitigation_Industry!X389)</f>
        <v>36.388065156371745</v>
      </c>
      <c r="Y940">
        <f>IF(ISBLANK(Mitigation_Industry!Y389),"",Mitigation_Industry!Y389)</f>
        <v>37.588871306532013</v>
      </c>
      <c r="Z940">
        <f>IF(ISBLANK(Mitigation_Industry!Z389),"",Mitigation_Industry!Z389)</f>
        <v>38.829304059647569</v>
      </c>
      <c r="AA940">
        <f>IF(ISBLANK(Mitigation_Industry!AA389),"",Mitigation_Industry!AA389)</f>
        <v>40.110671093615935</v>
      </c>
      <c r="AB940">
        <f>IF(ISBLANK(Mitigation_Industry!AB389),"",Mitigation_Industry!AB389)</f>
        <v>41.434323239705257</v>
      </c>
      <c r="AC940">
        <f>IF(ISBLANK(Mitigation_Industry!AC389),"",Mitigation_Industry!AC389)</f>
        <v>42.801655906615522</v>
      </c>
      <c r="AD940">
        <f>IF(ISBLANK(Mitigation_Industry!AD389),"",Mitigation_Industry!AD389)</f>
        <v>44.214110551533835</v>
      </c>
      <c r="AE940">
        <f>IF(ISBLANK(Mitigation_Industry!AE389),"",Mitigation_Industry!AE389)</f>
        <v>45.673176199734449</v>
      </c>
    </row>
    <row r="941" spans="1:31" x14ac:dyDescent="0.45">
      <c r="A941" t="s">
        <v>1599</v>
      </c>
      <c r="B941" t="s">
        <v>1499</v>
      </c>
      <c r="C941" t="s">
        <v>287</v>
      </c>
      <c r="D941">
        <v>1</v>
      </c>
      <c r="E941" t="s">
        <v>1161</v>
      </c>
      <c r="F941">
        <f>MAX(MAX(L941:AE941),-MIN(L941:AE941))</f>
        <v>0</v>
      </c>
      <c r="I941" t="s">
        <v>1509</v>
      </c>
      <c r="K941">
        <f t="shared" ref="K941:AE941" si="232">IF(ISNUMBER(K939),IF(ISNUMBER(K940),K940-K939,999999),0)</f>
        <v>0</v>
      </c>
      <c r="L941">
        <f t="shared" si="232"/>
        <v>0</v>
      </c>
      <c r="M941">
        <f t="shared" si="232"/>
        <v>0</v>
      </c>
      <c r="N941">
        <f t="shared" si="232"/>
        <v>0</v>
      </c>
      <c r="O941">
        <f t="shared" si="232"/>
        <v>0</v>
      </c>
      <c r="P941">
        <f t="shared" si="232"/>
        <v>0</v>
      </c>
      <c r="Q941">
        <f t="shared" si="232"/>
        <v>0</v>
      </c>
      <c r="R941">
        <f t="shared" si="232"/>
        <v>0</v>
      </c>
      <c r="S941">
        <f t="shared" si="232"/>
        <v>0</v>
      </c>
      <c r="T941">
        <f t="shared" si="232"/>
        <v>0</v>
      </c>
      <c r="U941">
        <f t="shared" si="232"/>
        <v>0</v>
      </c>
      <c r="V941">
        <f t="shared" si="232"/>
        <v>0</v>
      </c>
      <c r="W941">
        <f t="shared" si="232"/>
        <v>0</v>
      </c>
      <c r="X941">
        <f t="shared" si="232"/>
        <v>0</v>
      </c>
      <c r="Y941">
        <f t="shared" si="232"/>
        <v>0</v>
      </c>
      <c r="Z941">
        <f t="shared" si="232"/>
        <v>0</v>
      </c>
      <c r="AA941">
        <f t="shared" si="232"/>
        <v>0</v>
      </c>
      <c r="AB941">
        <f t="shared" si="232"/>
        <v>0</v>
      </c>
      <c r="AC941">
        <f t="shared" si="232"/>
        <v>0</v>
      </c>
      <c r="AD941">
        <f t="shared" si="232"/>
        <v>0</v>
      </c>
      <c r="AE941">
        <f t="shared" si="232"/>
        <v>0</v>
      </c>
    </row>
    <row r="943" spans="1:31" x14ac:dyDescent="0.45">
      <c r="A943" t="s">
        <v>1600</v>
      </c>
      <c r="B943" t="s">
        <v>1499</v>
      </c>
      <c r="C943" t="s">
        <v>111</v>
      </c>
      <c r="D943">
        <v>1</v>
      </c>
      <c r="E943" t="s">
        <v>1159</v>
      </c>
    </row>
    <row r="944" spans="1:31" x14ac:dyDescent="0.45">
      <c r="A944" t="s">
        <v>1600</v>
      </c>
      <c r="B944" t="s">
        <v>1499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26.090339299916035</v>
      </c>
      <c r="M944">
        <f>IF(ISBLANK(Mitigation_Industry!M390),"",Mitigation_Industry!M390)</f>
        <v>26.961911636097749</v>
      </c>
      <c r="N944">
        <f>IF(ISBLANK(Mitigation_Industry!N390),"",Mitigation_Industry!N390)</f>
        <v>27.863</v>
      </c>
      <c r="O944">
        <f>IF(ISBLANK(Mitigation_Industry!O390),"",Mitigation_Industry!O390)</f>
        <v>28.794623000000001</v>
      </c>
      <c r="P944">
        <f>IF(ISBLANK(Mitigation_Industry!P390),"",Mitigation_Industry!P390)</f>
        <v>29.757835348999997</v>
      </c>
      <c r="Q944">
        <f>IF(ISBLANK(Mitigation_Industry!Q390),"",Mitigation_Industry!Q390)</f>
        <v>30.753729192394992</v>
      </c>
      <c r="R944">
        <f>IF(ISBLANK(Mitigation_Industry!R390),"",Mitigation_Industry!R390)</f>
        <v>31.783435487304406</v>
      </c>
      <c r="S944">
        <f>IF(ISBLANK(Mitigation_Industry!S390),"",Mitigation_Industry!S390)</f>
        <v>32.848125435164661</v>
      </c>
      <c r="T944">
        <f>IF(ISBLANK(Mitigation_Industry!T390),"",Mitigation_Industry!T390)</f>
        <v>33.949011969871044</v>
      </c>
      <c r="U944">
        <f>IF(ISBLANK(Mitigation_Industry!U390),"",Mitigation_Industry!U390)</f>
        <v>35.087351303752364</v>
      </c>
      <c r="V944">
        <f>IF(ISBLANK(Mitigation_Industry!V390),"",Mitigation_Industry!V390)</f>
        <v>36.264444533762408</v>
      </c>
      <c r="W944">
        <f>IF(ISBLANK(Mitigation_Industry!W390),"",Mitigation_Industry!W390)</f>
        <v>37.481639310376153</v>
      </c>
      <c r="X944">
        <f>IF(ISBLANK(Mitigation_Industry!X390),"",Mitigation_Industry!X390)</f>
        <v>38.740331571788573</v>
      </c>
      <c r="Y944">
        <f>IF(ISBLANK(Mitigation_Industry!Y390),"",Mitigation_Industry!Y390)</f>
        <v>40.041967346128295</v>
      </c>
      <c r="Z944">
        <f>IF(ISBLANK(Mitigation_Industry!Z390),"",Mitigation_Industry!Z390)</f>
        <v>41.388044624518081</v>
      </c>
      <c r="AA944">
        <f>IF(ISBLANK(Mitigation_Industry!AA390),"",Mitigation_Industry!AA390)</f>
        <v>42.780115307939909</v>
      </c>
      <c r="AB944">
        <f>IF(ISBLANK(Mitigation_Industry!AB390),"",Mitigation_Industry!AB390)</f>
        <v>44.219787230993546</v>
      </c>
      <c r="AC944">
        <f>IF(ISBLANK(Mitigation_Industry!AC390),"",Mitigation_Industry!AC390)</f>
        <v>45.708726265775283</v>
      </c>
      <c r="AD944">
        <f>IF(ISBLANK(Mitigation_Industry!AD390),"",Mitigation_Industry!AD390)</f>
        <v>47.248658509247463</v>
      </c>
      <c r="AE944">
        <f>IF(ISBLANK(Mitigation_Industry!AE390),"",Mitigation_Industry!AE390)</f>
        <v>48.841372557620346</v>
      </c>
    </row>
    <row r="945" spans="1:31" x14ac:dyDescent="0.45">
      <c r="A945" t="s">
        <v>1600</v>
      </c>
      <c r="B945" t="s">
        <v>1499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1509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1601</v>
      </c>
      <c r="B947" t="s">
        <v>1500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1601</v>
      </c>
      <c r="B948" t="s">
        <v>1500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1601</v>
      </c>
      <c r="B949" t="s">
        <v>1500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1509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1602</v>
      </c>
      <c r="B951" t="s">
        <v>1500</v>
      </c>
      <c r="C951" t="s">
        <v>1357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1602</v>
      </c>
      <c r="B952" t="s">
        <v>1500</v>
      </c>
      <c r="C952" t="s">
        <v>1357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1602</v>
      </c>
      <c r="B953" t="s">
        <v>1500</v>
      </c>
      <c r="C953" t="s">
        <v>1357</v>
      </c>
      <c r="D953">
        <v>1</v>
      </c>
      <c r="E953" t="s">
        <v>1161</v>
      </c>
      <c r="F953">
        <f>MAX(MAX(L953:AE953),-MIN(L953:AE953))</f>
        <v>0</v>
      </c>
      <c r="I953" t="s">
        <v>1509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1603</v>
      </c>
      <c r="B955" t="s">
        <v>1500</v>
      </c>
      <c r="C955" t="s">
        <v>1363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1603</v>
      </c>
      <c r="B956" t="s">
        <v>1500</v>
      </c>
      <c r="C956" t="s">
        <v>1363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1603</v>
      </c>
      <c r="B957" t="s">
        <v>1500</v>
      </c>
      <c r="C957" t="s">
        <v>1363</v>
      </c>
      <c r="D957">
        <v>1</v>
      </c>
      <c r="E957" t="s">
        <v>1161</v>
      </c>
      <c r="F957">
        <f>MAX(MAX(L957:AE957),-MIN(L957:AE957))</f>
        <v>0</v>
      </c>
      <c r="I957" t="s">
        <v>1509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1604</v>
      </c>
      <c r="B959" t="s">
        <v>1500</v>
      </c>
      <c r="C959" t="s">
        <v>1369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1604</v>
      </c>
      <c r="B960" t="s">
        <v>1500</v>
      </c>
      <c r="C960" t="s">
        <v>1369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1604</v>
      </c>
      <c r="B961" t="s">
        <v>1500</v>
      </c>
      <c r="C961" t="s">
        <v>1369</v>
      </c>
      <c r="D961">
        <v>1</v>
      </c>
      <c r="E961" t="s">
        <v>1161</v>
      </c>
      <c r="F961">
        <f>MAX(MAX(L961:AE961),-MIN(L961:AE961))</f>
        <v>0</v>
      </c>
      <c r="I961" t="s">
        <v>1509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1605</v>
      </c>
      <c r="B963" t="s">
        <v>1500</v>
      </c>
      <c r="C963" t="s">
        <v>1442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1605</v>
      </c>
      <c r="B964" t="s">
        <v>1500</v>
      </c>
      <c r="C964" t="s">
        <v>1442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1605</v>
      </c>
      <c r="B965" t="s">
        <v>1500</v>
      </c>
      <c r="C965" t="s">
        <v>1442</v>
      </c>
      <c r="D965">
        <v>1</v>
      </c>
      <c r="E965" t="s">
        <v>1161</v>
      </c>
      <c r="F965">
        <f>MAX(MAX(L965:AE965),-MIN(L965:AE965))</f>
        <v>0</v>
      </c>
      <c r="I965" t="s">
        <v>1509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1606</v>
      </c>
      <c r="B967" t="s">
        <v>1500</v>
      </c>
      <c r="C967" t="s">
        <v>1383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1606</v>
      </c>
      <c r="B968" t="s">
        <v>1500</v>
      </c>
      <c r="C968" t="s">
        <v>1383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1606</v>
      </c>
      <c r="B969" t="s">
        <v>1500</v>
      </c>
      <c r="C969" t="s">
        <v>1383</v>
      </c>
      <c r="D969">
        <v>1</v>
      </c>
      <c r="E969" t="s">
        <v>1161</v>
      </c>
      <c r="F969">
        <f>MAX(MAX(L969:AE969),-MIN(L969:AE969))</f>
        <v>0</v>
      </c>
      <c r="I969" t="s">
        <v>1509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1607</v>
      </c>
      <c r="B971" t="s">
        <v>1500</v>
      </c>
      <c r="C971" t="s">
        <v>1390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1607</v>
      </c>
      <c r="B972" t="s">
        <v>1500</v>
      </c>
      <c r="C972" t="s">
        <v>1390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1607</v>
      </c>
      <c r="B973" t="s">
        <v>1500</v>
      </c>
      <c r="C973" t="s">
        <v>1390</v>
      </c>
      <c r="D973">
        <v>1</v>
      </c>
      <c r="E973" t="s">
        <v>1161</v>
      </c>
      <c r="F973">
        <f>MAX(MAX(L973:AE973),-MIN(L973:AE973))</f>
        <v>0</v>
      </c>
      <c r="I973" t="s">
        <v>1509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1608</v>
      </c>
      <c r="B975" t="s">
        <v>1500</v>
      </c>
      <c r="C975" t="s">
        <v>1397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1608</v>
      </c>
      <c r="B976" t="s">
        <v>1500</v>
      </c>
      <c r="C976" t="s">
        <v>1397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1608</v>
      </c>
      <c r="B977" t="s">
        <v>1500</v>
      </c>
      <c r="C977" t="s">
        <v>1397</v>
      </c>
      <c r="D977">
        <v>1</v>
      </c>
      <c r="E977" t="s">
        <v>1161</v>
      </c>
      <c r="F977">
        <f>MAX(MAX(L977:AE977),-MIN(L977:AE977))</f>
        <v>0</v>
      </c>
      <c r="I977" t="s">
        <v>1509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1609</v>
      </c>
      <c r="B979" t="s">
        <v>1500</v>
      </c>
      <c r="C979" t="s">
        <v>1501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1609</v>
      </c>
      <c r="B980" t="s">
        <v>1500</v>
      </c>
      <c r="C980" t="s">
        <v>1501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1609</v>
      </c>
      <c r="B981" t="s">
        <v>1500</v>
      </c>
      <c r="C981" t="s">
        <v>1501</v>
      </c>
      <c r="D981">
        <v>1</v>
      </c>
      <c r="E981" t="s">
        <v>1161</v>
      </c>
      <c r="F981">
        <f>MAX(MAX(L981:AE981),-MIN(L981:AE981))</f>
        <v>0</v>
      </c>
      <c r="I981" t="s">
        <v>1509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1610</v>
      </c>
      <c r="B983" t="s">
        <v>1423</v>
      </c>
      <c r="C983" t="s">
        <v>1424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1610</v>
      </c>
      <c r="B984" t="s">
        <v>1423</v>
      </c>
      <c r="C984" t="s">
        <v>1424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1610</v>
      </c>
      <c r="B985" t="s">
        <v>1423</v>
      </c>
      <c r="C985" t="s">
        <v>1424</v>
      </c>
      <c r="D985">
        <v>2</v>
      </c>
      <c r="E985" t="s">
        <v>1161</v>
      </c>
      <c r="F985">
        <f>MAX(MAX(L985:AE985),-MIN(L985:AE985))</f>
        <v>187.5</v>
      </c>
      <c r="I985" t="s">
        <v>1588</v>
      </c>
      <c r="J985" t="s">
        <v>1611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1612</v>
      </c>
      <c r="B987" t="s">
        <v>1423</v>
      </c>
      <c r="C987" t="s">
        <v>1425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1612</v>
      </c>
      <c r="B988" t="s">
        <v>1423</v>
      </c>
      <c r="C988" t="s">
        <v>1425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1612</v>
      </c>
      <c r="B989" t="s">
        <v>1423</v>
      </c>
      <c r="C989" t="s">
        <v>1425</v>
      </c>
      <c r="D989">
        <v>2</v>
      </c>
      <c r="E989" t="s">
        <v>1161</v>
      </c>
      <c r="F989">
        <f>MAX(MAX(L989:AE989),-MIN(L989:AE989))</f>
        <v>0</v>
      </c>
      <c r="I989" t="s">
        <v>1509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1613</v>
      </c>
      <c r="B991" t="s">
        <v>1434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1613</v>
      </c>
      <c r="B992" t="s">
        <v>1434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6058.5984688896015</v>
      </c>
      <c r="S992">
        <f>IF(ISBLANK(Mitigation_Industry!S675),"",Mitigation_Industry!S675)</f>
        <v>6325.1768015207444</v>
      </c>
      <c r="T992">
        <f>IF(ISBLANK(Mitigation_Industry!T675),"",Mitigation_Industry!T675)</f>
        <v>6603.4845807876573</v>
      </c>
      <c r="U992">
        <f>IF(ISBLANK(Mitigation_Industry!U675),"",Mitigation_Industry!U675)</f>
        <v>6894.0379023423147</v>
      </c>
      <c r="V992">
        <f>IF(ISBLANK(Mitigation_Industry!V675),"",Mitigation_Industry!V675)</f>
        <v>7197.3755700453767</v>
      </c>
      <c r="W992">
        <f>IF(ISBLANK(Mitigation_Industry!W675),"",Mitigation_Industry!W675)</f>
        <v>7514.0600951273736</v>
      </c>
      <c r="X992">
        <f>IF(ISBLANK(Mitigation_Industry!X675),"",Mitigation_Industry!X675)</f>
        <v>7844.678739312978</v>
      </c>
      <c r="Y992">
        <f>IF(ISBLANK(Mitigation_Industry!Y675),"",Mitigation_Industry!Y675)</f>
        <v>8189.8446038427492</v>
      </c>
      <c r="Z992">
        <f>IF(ISBLANK(Mitigation_Industry!Z675),"",Mitigation_Industry!Z675)</f>
        <v>8550.1977664118313</v>
      </c>
      <c r="AA992">
        <f>IF(ISBLANK(Mitigation_Industry!AA675),"",Mitigation_Industry!AA675)</f>
        <v>8926.4064681339514</v>
      </c>
      <c r="AB992">
        <f>IF(ISBLANK(Mitigation_Industry!AB675),"",Mitigation_Industry!AB675)</f>
        <v>9319.1683527318455</v>
      </c>
      <c r="AC992">
        <f>IF(ISBLANK(Mitigation_Industry!AC675),"",Mitigation_Industry!AC675)</f>
        <v>9729.2117602520466</v>
      </c>
      <c r="AD992">
        <f>IF(ISBLANK(Mitigation_Industry!AD675),"",Mitigation_Industry!AD675)</f>
        <v>10157.297077703137</v>
      </c>
      <c r="AE992">
        <f>IF(ISBLANK(Mitigation_Industry!AE675),"",Mitigation_Industry!AE675)</f>
        <v>10604.218149122074</v>
      </c>
    </row>
    <row r="993" spans="1:31" x14ac:dyDescent="0.45">
      <c r="A993" t="s">
        <v>1613</v>
      </c>
      <c r="B993" t="s">
        <v>1434</v>
      </c>
      <c r="C993" t="s">
        <v>1350</v>
      </c>
      <c r="D993">
        <v>2</v>
      </c>
      <c r="E993" t="s">
        <v>1161</v>
      </c>
      <c r="F993">
        <f>MAX(MAX(L993:AE993),-MIN(L993:AE993))</f>
        <v>0</v>
      </c>
      <c r="I993" t="s">
        <v>1509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0</v>
      </c>
      <c r="Q993">
        <f t="shared" si="245"/>
        <v>0</v>
      </c>
      <c r="R993">
        <f t="shared" si="245"/>
        <v>0</v>
      </c>
      <c r="S993">
        <f t="shared" si="245"/>
        <v>0</v>
      </c>
      <c r="T993">
        <f t="shared" si="245"/>
        <v>0</v>
      </c>
      <c r="U993">
        <f t="shared" si="245"/>
        <v>0</v>
      </c>
      <c r="V993">
        <f t="shared" si="245"/>
        <v>0</v>
      </c>
      <c r="W993">
        <f t="shared" si="245"/>
        <v>0</v>
      </c>
      <c r="X993">
        <f t="shared" si="245"/>
        <v>0</v>
      </c>
      <c r="Y993">
        <f t="shared" si="245"/>
        <v>0</v>
      </c>
      <c r="Z993">
        <f t="shared" si="245"/>
        <v>0</v>
      </c>
      <c r="AA993">
        <f t="shared" si="245"/>
        <v>0</v>
      </c>
      <c r="AB993">
        <f t="shared" si="245"/>
        <v>0</v>
      </c>
      <c r="AC993">
        <f t="shared" si="245"/>
        <v>0</v>
      </c>
      <c r="AD993">
        <f t="shared" si="245"/>
        <v>0</v>
      </c>
      <c r="AE993">
        <f t="shared" si="245"/>
        <v>0</v>
      </c>
    </row>
    <row r="995" spans="1:31" x14ac:dyDescent="0.45">
      <c r="A995" t="s">
        <v>1614</v>
      </c>
      <c r="B995" t="s">
        <v>1434</v>
      </c>
      <c r="C995" t="s">
        <v>1357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1614</v>
      </c>
      <c r="B996" t="s">
        <v>1434</v>
      </c>
      <c r="C996" t="s">
        <v>1357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5461.8872831999997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6488.5062610280593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7072.0565601198787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7708.0890389108208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8770.9819790417332</v>
      </c>
      <c r="AC996">
        <f>IF(ISBLANK(Mitigation_Industry!AC676),"",Mitigation_Industry!AC676)</f>
        <v>9156.9051861195694</v>
      </c>
      <c r="AD996">
        <f>IF(ISBLANK(Mitigation_Industry!AD676),"",Mitigation_Industry!AD676)</f>
        <v>9559.8090143088302</v>
      </c>
      <c r="AE996">
        <f>IF(ISBLANK(Mitigation_Industry!AE676),"",Mitigation_Industry!AE676)</f>
        <v>9980.4406109384199</v>
      </c>
    </row>
    <row r="997" spans="1:31" x14ac:dyDescent="0.45">
      <c r="A997" t="s">
        <v>1614</v>
      </c>
      <c r="B997" t="s">
        <v>1434</v>
      </c>
      <c r="C997" t="s">
        <v>1357</v>
      </c>
      <c r="D997">
        <v>2</v>
      </c>
      <c r="E997" t="s">
        <v>1161</v>
      </c>
      <c r="F997">
        <f>MAX(MAX(L997:AE997),-MIN(L997:AE997))</f>
        <v>0</v>
      </c>
      <c r="I997" t="s">
        <v>1509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0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0</v>
      </c>
      <c r="V997">
        <f t="shared" si="246"/>
        <v>0</v>
      </c>
      <c r="W997">
        <f t="shared" si="246"/>
        <v>0</v>
      </c>
      <c r="X997">
        <f t="shared" si="246"/>
        <v>0</v>
      </c>
      <c r="Y997">
        <f t="shared" si="246"/>
        <v>0</v>
      </c>
      <c r="Z997">
        <f t="shared" si="246"/>
        <v>0</v>
      </c>
      <c r="AA997">
        <f t="shared" si="246"/>
        <v>0</v>
      </c>
      <c r="AB997">
        <f t="shared" si="246"/>
        <v>0</v>
      </c>
      <c r="AC997">
        <f t="shared" si="246"/>
        <v>0</v>
      </c>
      <c r="AD997">
        <f t="shared" si="246"/>
        <v>0</v>
      </c>
      <c r="AE997">
        <f t="shared" si="246"/>
        <v>0</v>
      </c>
    </row>
    <row r="999" spans="1:31" x14ac:dyDescent="0.45">
      <c r="A999" t="s">
        <v>1615</v>
      </c>
      <c r="B999" t="s">
        <v>1434</v>
      </c>
      <c r="C999" t="s">
        <v>1363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1615</v>
      </c>
      <c r="B1000" t="s">
        <v>1434</v>
      </c>
      <c r="C1000" t="s">
        <v>1363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1615</v>
      </c>
      <c r="B1001" t="s">
        <v>1434</v>
      </c>
      <c r="C1001" t="s">
        <v>1363</v>
      </c>
      <c r="D1001">
        <v>2</v>
      </c>
      <c r="E1001" t="s">
        <v>1161</v>
      </c>
      <c r="F1001">
        <f>MAX(MAX(L1001:AE1001),-MIN(L1001:AE1001))</f>
        <v>0</v>
      </c>
      <c r="I1001" t="s">
        <v>1509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1616</v>
      </c>
      <c r="B1003" t="s">
        <v>1434</v>
      </c>
      <c r="C1003" t="s">
        <v>1369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1616</v>
      </c>
      <c r="B1004" t="s">
        <v>1434</v>
      </c>
      <c r="C1004" t="s">
        <v>1369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60753.588245941268</v>
      </c>
      <c r="U1004">
        <f>IF(ISBLANK(Mitigation_Industry!U678),"",Mitigation_Industry!U678)</f>
        <v>62758.456658057323</v>
      </c>
      <c r="V1004">
        <f>IF(ISBLANK(Mitigation_Industry!V678),"",Mitigation_Industry!V678)</f>
        <v>64829.485727773208</v>
      </c>
      <c r="W1004">
        <f>IF(ISBLANK(Mitigation_Industry!W678),"",Mitigation_Industry!W678)</f>
        <v>66968.858756789719</v>
      </c>
      <c r="X1004">
        <f>IF(ISBLANK(Mitigation_Industry!X678),"",Mitigation_Industry!X678)</f>
        <v>69178.831095763773</v>
      </c>
      <c r="Y1004">
        <f>IF(ISBLANK(Mitigation_Industry!Y678),"",Mitigation_Industry!Y678)</f>
        <v>71461.732521923972</v>
      </c>
      <c r="Z1004">
        <f>IF(ISBLANK(Mitigation_Industry!Z678),"",Mitigation_Industry!Z678)</f>
        <v>73819.969695147462</v>
      </c>
      <c r="AA1004">
        <f>IF(ISBLANK(Mitigation_Industry!AA678),"",Mitigation_Industry!AA678)</f>
        <v>76256.028695087327</v>
      </c>
      <c r="AB1004">
        <f>IF(ISBLANK(Mitigation_Industry!AB678),"",Mitigation_Industry!AB678)</f>
        <v>78772.477642025202</v>
      </c>
      <c r="AC1004">
        <f>IF(ISBLANK(Mitigation_Industry!AC678),"",Mitigation_Industry!AC678)</f>
        <v>81371.969404212025</v>
      </c>
      <c r="AD1004">
        <f>IF(ISBLANK(Mitigation_Industry!AD678),"",Mitigation_Industry!AD678)</f>
        <v>84057.244394551017</v>
      </c>
      <c r="AE1004">
        <f>IF(ISBLANK(Mitigation_Industry!AE678),"",Mitigation_Industry!AE678)</f>
        <v>86831.133459571196</v>
      </c>
    </row>
    <row r="1005" spans="1:31" x14ac:dyDescent="0.45">
      <c r="A1005" t="s">
        <v>1616</v>
      </c>
      <c r="B1005" t="s">
        <v>1434</v>
      </c>
      <c r="C1005" t="s">
        <v>1369</v>
      </c>
      <c r="D1005">
        <v>2</v>
      </c>
      <c r="E1005" t="s">
        <v>1161</v>
      </c>
      <c r="F1005">
        <f>MAX(MAX(L1005:AE1005),-MIN(L1005:AE1005))</f>
        <v>0</v>
      </c>
      <c r="I1005" t="s">
        <v>1509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0</v>
      </c>
      <c r="U1005">
        <f t="shared" si="248"/>
        <v>0</v>
      </c>
      <c r="V1005">
        <f t="shared" si="248"/>
        <v>0</v>
      </c>
      <c r="W1005">
        <f t="shared" si="248"/>
        <v>0</v>
      </c>
      <c r="X1005">
        <f t="shared" si="248"/>
        <v>0</v>
      </c>
      <c r="Y1005">
        <f t="shared" si="248"/>
        <v>0</v>
      </c>
      <c r="Z1005">
        <f t="shared" si="248"/>
        <v>0</v>
      </c>
      <c r="AA1005">
        <f t="shared" si="248"/>
        <v>0</v>
      </c>
      <c r="AB1005">
        <f t="shared" si="248"/>
        <v>0</v>
      </c>
      <c r="AC1005">
        <f t="shared" si="248"/>
        <v>0</v>
      </c>
      <c r="AD1005">
        <f t="shared" si="248"/>
        <v>0</v>
      </c>
      <c r="AE1005">
        <f t="shared" si="248"/>
        <v>0</v>
      </c>
    </row>
    <row r="1007" spans="1:31" x14ac:dyDescent="0.45">
      <c r="A1007" t="s">
        <v>1617</v>
      </c>
      <c r="B1007" t="s">
        <v>1434</v>
      </c>
      <c r="C1007" t="s">
        <v>1442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1617</v>
      </c>
      <c r="B1008" t="s">
        <v>1434</v>
      </c>
      <c r="C1008" t="s">
        <v>1442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1905.4208266799999</v>
      </c>
      <c r="R1008">
        <f>IF(ISBLANK(Mitigation_Industry!R679),"",Mitigation_Industry!R679)</f>
        <v>1947.3400848669598</v>
      </c>
      <c r="S1008">
        <f>IF(ISBLANK(Mitigation_Industry!S679),"",Mitigation_Industry!S679)</f>
        <v>1990.1815667340329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2124.4444852266997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2420.754576827454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1617</v>
      </c>
      <c r="B1009" t="s">
        <v>1434</v>
      </c>
      <c r="C1009" t="s">
        <v>1442</v>
      </c>
      <c r="D1009">
        <v>2</v>
      </c>
      <c r="E1009" t="s">
        <v>1161</v>
      </c>
      <c r="F1009">
        <f>MAX(MAX(L1009:AE1009),-MIN(L1009:AE1009))</f>
        <v>0</v>
      </c>
      <c r="I1009" t="s">
        <v>1509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0</v>
      </c>
      <c r="R1009">
        <f t="shared" si="249"/>
        <v>0</v>
      </c>
      <c r="S1009">
        <f t="shared" si="249"/>
        <v>0</v>
      </c>
      <c r="T1009">
        <f t="shared" si="249"/>
        <v>0</v>
      </c>
      <c r="U1009">
        <f t="shared" si="249"/>
        <v>0</v>
      </c>
      <c r="V1009">
        <f t="shared" si="249"/>
        <v>0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0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1618</v>
      </c>
      <c r="B1011" t="s">
        <v>1434</v>
      </c>
      <c r="C1011" t="s">
        <v>1383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1618</v>
      </c>
      <c r="B1012" t="s">
        <v>1434</v>
      </c>
      <c r="C1012" t="s">
        <v>1383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3054.6511135167998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3190.5342136504814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3405.7761002379411</v>
      </c>
      <c r="X1012">
        <f>IF(ISBLANK(Mitigation_Industry!X680),"",Mitigation_Industry!X680)</f>
        <v>3480.7031744431761</v>
      </c>
      <c r="Y1012">
        <f>IF(ISBLANK(Mitigation_Industry!Y680),"",Mitigation_Industry!Y680)</f>
        <v>3557.2786442809261</v>
      </c>
      <c r="Z1012">
        <f>IF(ISBLANK(Mitigation_Industry!Z680),"",Mitigation_Industry!Z680)</f>
        <v>3635.5387744551067</v>
      </c>
      <c r="AA1012">
        <f>IF(ISBLANK(Mitigation_Industry!AA680),"",Mitigation_Industry!AA680)</f>
        <v>3715.5206274931193</v>
      </c>
      <c r="AB1012">
        <f>IF(ISBLANK(Mitigation_Industry!AB680),"",Mitigation_Industry!AB680)</f>
        <v>3797.2620812979681</v>
      </c>
      <c r="AC1012">
        <f>IF(ISBLANK(Mitigation_Industry!AC680),"",Mitigation_Industry!AC680)</f>
        <v>3880.8018470865236</v>
      </c>
      <c r="AD1012">
        <f>IF(ISBLANK(Mitigation_Industry!AD680),"",Mitigation_Industry!AD680)</f>
        <v>3966.179487722427</v>
      </c>
      <c r="AE1012">
        <f>IF(ISBLANK(Mitigation_Industry!AE680),"",Mitigation_Industry!AE680)</f>
        <v>4053.4354364523206</v>
      </c>
    </row>
    <row r="1013" spans="1:31" x14ac:dyDescent="0.45">
      <c r="A1013" t="s">
        <v>1618</v>
      </c>
      <c r="B1013" t="s">
        <v>1434</v>
      </c>
      <c r="C1013" t="s">
        <v>1383</v>
      </c>
      <c r="D1013">
        <v>2</v>
      </c>
      <c r="E1013" t="s">
        <v>1161</v>
      </c>
      <c r="F1013">
        <f>MAX(MAX(L1013:AE1013),-MIN(L1013:AE1013))</f>
        <v>0</v>
      </c>
      <c r="I1013" t="s">
        <v>1509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0</v>
      </c>
      <c r="S1013">
        <f t="shared" si="250"/>
        <v>0</v>
      </c>
      <c r="T1013">
        <f t="shared" si="250"/>
        <v>0</v>
      </c>
      <c r="U1013">
        <f t="shared" si="250"/>
        <v>0</v>
      </c>
      <c r="V1013">
        <f t="shared" si="250"/>
        <v>0</v>
      </c>
      <c r="W1013">
        <f t="shared" si="250"/>
        <v>0</v>
      </c>
      <c r="X1013">
        <f t="shared" si="250"/>
        <v>0</v>
      </c>
      <c r="Y1013">
        <f t="shared" si="250"/>
        <v>0</v>
      </c>
      <c r="Z1013">
        <f t="shared" si="250"/>
        <v>0</v>
      </c>
      <c r="AA1013">
        <f t="shared" si="250"/>
        <v>0</v>
      </c>
      <c r="AB1013">
        <f t="shared" si="250"/>
        <v>0</v>
      </c>
      <c r="AC1013">
        <f t="shared" si="250"/>
        <v>0</v>
      </c>
      <c r="AD1013">
        <f t="shared" si="250"/>
        <v>0</v>
      </c>
      <c r="AE1013">
        <f t="shared" si="250"/>
        <v>0</v>
      </c>
    </row>
    <row r="1015" spans="1:31" x14ac:dyDescent="0.45">
      <c r="A1015" t="s">
        <v>1619</v>
      </c>
      <c r="B1015" t="s">
        <v>1434</v>
      </c>
      <c r="C1015" t="s">
        <v>1390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1619</v>
      </c>
      <c r="B1016" t="s">
        <v>1434</v>
      </c>
      <c r="C1016" t="s">
        <v>1390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626.69040000000007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683.68590292510316</v>
      </c>
      <c r="U1016">
        <f>IF(ISBLANK(Mitigation_Industry!U681),"",Mitigation_Industry!U681)</f>
        <v>698.72699278945549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729.80916433670166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813.69901742099296</v>
      </c>
      <c r="AC1016">
        <f>IF(ISBLANK(Mitigation_Industry!AC681),"",Mitigation_Industry!AC681)</f>
        <v>831.60039580425484</v>
      </c>
      <c r="AD1016">
        <f>IF(ISBLANK(Mitigation_Industry!AD681),"",Mitigation_Industry!AD681)</f>
        <v>849.89560451194848</v>
      </c>
      <c r="AE1016">
        <f>IF(ISBLANK(Mitigation_Industry!AE681),"",Mitigation_Industry!AE681)</f>
        <v>868.59330781121139</v>
      </c>
    </row>
    <row r="1017" spans="1:31" x14ac:dyDescent="0.45">
      <c r="A1017" t="s">
        <v>1619</v>
      </c>
      <c r="B1017" t="s">
        <v>1434</v>
      </c>
      <c r="C1017" t="s">
        <v>1390</v>
      </c>
      <c r="D1017">
        <v>2</v>
      </c>
      <c r="E1017" t="s">
        <v>1161</v>
      </c>
      <c r="F1017">
        <f>MAX(MAX(L1017:AE1017),-MIN(L1017:AE1017))</f>
        <v>0</v>
      </c>
      <c r="I1017" t="s">
        <v>1509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0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0</v>
      </c>
      <c r="U1017">
        <f t="shared" si="251"/>
        <v>0</v>
      </c>
      <c r="V1017">
        <f t="shared" si="251"/>
        <v>0</v>
      </c>
      <c r="W1017">
        <f t="shared" si="251"/>
        <v>0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0</v>
      </c>
      <c r="AC1017">
        <f t="shared" si="251"/>
        <v>0</v>
      </c>
      <c r="AD1017">
        <f t="shared" si="251"/>
        <v>0</v>
      </c>
      <c r="AE1017">
        <f t="shared" si="251"/>
        <v>0</v>
      </c>
    </row>
    <row r="1019" spans="1:31" x14ac:dyDescent="0.45">
      <c r="A1019" t="s">
        <v>1620</v>
      </c>
      <c r="B1019" t="s">
        <v>1434</v>
      </c>
      <c r="C1019" t="s">
        <v>1397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1620</v>
      </c>
      <c r="B1020" t="s">
        <v>1434</v>
      </c>
      <c r="C1020" t="s">
        <v>1397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352.27241249999997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392.08800192281245</v>
      </c>
      <c r="T1020">
        <f>IF(ISBLANK(Mitigation_Industry!T682),"",Mitigation_Industry!T682)</f>
        <v>413.65284202856714</v>
      </c>
      <c r="U1020">
        <f>IF(ISBLANK(Mitigation_Industry!U682),"",Mitigation_Industry!U682)</f>
        <v>436.40374834013829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601.73216924272594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669.74294767138497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1620</v>
      </c>
      <c r="B1021" t="s">
        <v>1434</v>
      </c>
      <c r="C1021" t="s">
        <v>1397</v>
      </c>
      <c r="D1021">
        <v>2</v>
      </c>
      <c r="E1021" t="s">
        <v>1161</v>
      </c>
      <c r="F1021">
        <f>MAX(MAX(L1021:AE1021),-MIN(L1021:AE1021))</f>
        <v>0</v>
      </c>
      <c r="I1021" t="s">
        <v>1509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0</v>
      </c>
      <c r="R1021">
        <f t="shared" si="252"/>
        <v>0</v>
      </c>
      <c r="S1021">
        <f t="shared" si="252"/>
        <v>0</v>
      </c>
      <c r="T1021">
        <f t="shared" si="252"/>
        <v>0</v>
      </c>
      <c r="U1021">
        <f t="shared" si="252"/>
        <v>0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0</v>
      </c>
      <c r="AB1021">
        <f t="shared" si="252"/>
        <v>0</v>
      </c>
      <c r="AC1021">
        <f t="shared" si="252"/>
        <v>0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1621</v>
      </c>
      <c r="B1023" t="s">
        <v>1447</v>
      </c>
      <c r="C1023" t="s">
        <v>1450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1621</v>
      </c>
      <c r="B1024" t="s">
        <v>1447</v>
      </c>
      <c r="C1024" t="s">
        <v>1450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1621</v>
      </c>
      <c r="B1025" t="s">
        <v>1447</v>
      </c>
      <c r="C1025" t="s">
        <v>1450</v>
      </c>
      <c r="D1025">
        <v>2</v>
      </c>
      <c r="E1025" t="s">
        <v>1161</v>
      </c>
      <c r="F1025">
        <f>MAX(MAX(L1025:AE1025),-MIN(L1025:AE1025))</f>
        <v>0</v>
      </c>
      <c r="I1025" t="s">
        <v>1509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1622</v>
      </c>
      <c r="B1027" t="s">
        <v>1447</v>
      </c>
      <c r="C1027" t="s">
        <v>1453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1622</v>
      </c>
      <c r="B1028" t="s">
        <v>1447</v>
      </c>
      <c r="C1028" t="s">
        <v>1453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1622</v>
      </c>
      <c r="B1029" t="s">
        <v>1447</v>
      </c>
      <c r="C1029" t="s">
        <v>1453</v>
      </c>
      <c r="D1029">
        <v>2</v>
      </c>
      <c r="E1029" t="s">
        <v>1161</v>
      </c>
      <c r="F1029">
        <f>MAX(MAX(L1029:AE1029),-MIN(L1029:AE1029))</f>
        <v>0</v>
      </c>
      <c r="I1029" t="s">
        <v>1509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1623</v>
      </c>
      <c r="B1031" t="s">
        <v>1447</v>
      </c>
      <c r="C1031" t="s">
        <v>1456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1623</v>
      </c>
      <c r="B1032" t="s">
        <v>1447</v>
      </c>
      <c r="C1032" t="s">
        <v>1456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1623</v>
      </c>
      <c r="B1033" t="s">
        <v>1447</v>
      </c>
      <c r="C1033" t="s">
        <v>1456</v>
      </c>
      <c r="D1033">
        <v>2</v>
      </c>
      <c r="E1033" t="s">
        <v>1161</v>
      </c>
      <c r="F1033">
        <f>MAX(MAX(L1033:AE1033),-MIN(L1033:AE1033))</f>
        <v>0</v>
      </c>
      <c r="I1033" t="s">
        <v>1509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1624</v>
      </c>
      <c r="B1035" t="s">
        <v>1447</v>
      </c>
      <c r="C1035" t="s">
        <v>1459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1624</v>
      </c>
      <c r="B1036" t="s">
        <v>1447</v>
      </c>
      <c r="C1036" t="s">
        <v>1459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1624</v>
      </c>
      <c r="B1037" t="s">
        <v>1447</v>
      </c>
      <c r="C1037" t="s">
        <v>1459</v>
      </c>
      <c r="D1037">
        <v>2</v>
      </c>
      <c r="E1037" t="s">
        <v>1161</v>
      </c>
      <c r="F1037">
        <f>MAX(MAX(L1037:AE1037),-MIN(L1037:AE1037))</f>
        <v>0</v>
      </c>
      <c r="I1037" t="s">
        <v>1509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1625</v>
      </c>
      <c r="B1039" t="s">
        <v>1447</v>
      </c>
      <c r="C1039" t="s">
        <v>1462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1625</v>
      </c>
      <c r="B1040" t="s">
        <v>1447</v>
      </c>
      <c r="C1040" t="s">
        <v>1462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1625</v>
      </c>
      <c r="B1041" t="s">
        <v>1447</v>
      </c>
      <c r="C1041" t="s">
        <v>1462</v>
      </c>
      <c r="D1041">
        <v>2</v>
      </c>
      <c r="E1041" t="s">
        <v>1161</v>
      </c>
      <c r="F1041">
        <f>MAX(MAX(L1041:AE1041),-MIN(L1041:AE1041))</f>
        <v>0</v>
      </c>
      <c r="I1041" t="s">
        <v>1509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1626</v>
      </c>
      <c r="B1043" t="s">
        <v>1447</v>
      </c>
      <c r="C1043" t="s">
        <v>1465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1626</v>
      </c>
      <c r="B1044" t="s">
        <v>1447</v>
      </c>
      <c r="C1044" t="s">
        <v>1465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1626</v>
      </c>
      <c r="B1045" t="s">
        <v>1447</v>
      </c>
      <c r="C1045" t="s">
        <v>1465</v>
      </c>
      <c r="D1045">
        <v>2</v>
      </c>
      <c r="E1045" t="s">
        <v>1161</v>
      </c>
      <c r="F1045">
        <f>MAX(MAX(L1045:AE1045),-MIN(L1045:AE1045))</f>
        <v>0</v>
      </c>
      <c r="I1045" t="s">
        <v>1509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1627</v>
      </c>
      <c r="B1047" t="s">
        <v>1447</v>
      </c>
      <c r="C1047" t="s">
        <v>1468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1627</v>
      </c>
      <c r="B1048" t="s">
        <v>1447</v>
      </c>
      <c r="C1048" t="s">
        <v>1468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1627</v>
      </c>
      <c r="B1049" t="s">
        <v>1447</v>
      </c>
      <c r="C1049" t="s">
        <v>1468</v>
      </c>
      <c r="D1049">
        <v>2</v>
      </c>
      <c r="E1049" t="s">
        <v>1161</v>
      </c>
      <c r="F1049">
        <f>MAX(MAX(L1049:AE1049),-MIN(L1049:AE1049))</f>
        <v>0</v>
      </c>
      <c r="I1049" t="s">
        <v>1509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1628</v>
      </c>
      <c r="B1051" t="s">
        <v>1447</v>
      </c>
      <c r="C1051" t="s">
        <v>1471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1628</v>
      </c>
      <c r="B1052" t="s">
        <v>1447</v>
      </c>
      <c r="C1052" t="s">
        <v>1471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1628</v>
      </c>
      <c r="B1053" t="s">
        <v>1447</v>
      </c>
      <c r="C1053" t="s">
        <v>1471</v>
      </c>
      <c r="D1053">
        <v>2</v>
      </c>
      <c r="E1053" t="s">
        <v>1161</v>
      </c>
      <c r="F1053">
        <f>MAX(MAX(L1053:AE1053),-MIN(L1053:AE1053))</f>
        <v>0</v>
      </c>
      <c r="I1053" t="s">
        <v>1509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1629</v>
      </c>
      <c r="B1055" t="s">
        <v>1474</v>
      </c>
      <c r="C1055" t="s">
        <v>1450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1629</v>
      </c>
      <c r="B1056" t="s">
        <v>1474</v>
      </c>
      <c r="C1056" t="s">
        <v>1450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8.625375</v>
      </c>
      <c r="R1056">
        <f>IF(ISBLANK(Mitigation_Industry!R698),"",Mitigation_Industry!R698)</f>
        <v>17.25075</v>
      </c>
      <c r="S1056">
        <f>IF(ISBLANK(Mitigation_Industry!S698),"",Mitigation_Industry!S698)</f>
        <v>25.876125000000002</v>
      </c>
      <c r="T1056">
        <f>IF(ISBLANK(Mitigation_Industry!T698),"",Mitigation_Industry!T698)</f>
        <v>34.5015</v>
      </c>
      <c r="U1056">
        <f>IF(ISBLANK(Mitigation_Industry!U698),"",Mitigation_Industry!U698)</f>
        <v>43.126875000000005</v>
      </c>
      <c r="V1056">
        <f>IF(ISBLANK(Mitigation_Industry!V698),"",Mitigation_Industry!V698)</f>
        <v>51.752250000000004</v>
      </c>
      <c r="W1056">
        <f>IF(ISBLANK(Mitigation_Industry!W698),"",Mitigation_Industry!W698)</f>
        <v>60.377625000000002</v>
      </c>
      <c r="X1056">
        <f>IF(ISBLANK(Mitigation_Industry!X698),"",Mitigation_Industry!X698)</f>
        <v>69.003</v>
      </c>
      <c r="Y1056">
        <f>IF(ISBLANK(Mitigation_Industry!Y698),"",Mitigation_Industry!Y698)</f>
        <v>77.628375000000005</v>
      </c>
      <c r="Z1056">
        <f>IF(ISBLANK(Mitigation_Industry!Z698),"",Mitigation_Industry!Z698)</f>
        <v>86.253750000000011</v>
      </c>
      <c r="AA1056">
        <f>IF(ISBLANK(Mitigation_Industry!AA698),"",Mitigation_Industry!AA698)</f>
        <v>94.879125000000002</v>
      </c>
      <c r="AB1056">
        <f>IF(ISBLANK(Mitigation_Industry!AB698),"",Mitigation_Industry!AB698)</f>
        <v>103.50450000000001</v>
      </c>
      <c r="AC1056">
        <f>IF(ISBLANK(Mitigation_Industry!AC698),"",Mitigation_Industry!AC698)</f>
        <v>112.129875</v>
      </c>
      <c r="AD1056">
        <f>IF(ISBLANK(Mitigation_Industry!AD698),"",Mitigation_Industry!AD698)</f>
        <v>120.75525</v>
      </c>
      <c r="AE1056">
        <f>IF(ISBLANK(Mitigation_Industry!AE698),"",Mitigation_Industry!AE698)</f>
        <v>129.38062500000001</v>
      </c>
    </row>
    <row r="1057" spans="1:31" x14ac:dyDescent="0.45">
      <c r="A1057" t="s">
        <v>1629</v>
      </c>
      <c r="B1057" t="s">
        <v>1474</v>
      </c>
      <c r="C1057" t="s">
        <v>1450</v>
      </c>
      <c r="D1057">
        <v>2</v>
      </c>
      <c r="E1057" t="s">
        <v>1161</v>
      </c>
      <c r="F1057">
        <f>MAX(MAX(L1057:AE1057),-MIN(L1057:AE1057))</f>
        <v>129.38062500000001</v>
      </c>
      <c r="I1057" t="s">
        <v>1588</v>
      </c>
      <c r="J1057" t="s">
        <v>1630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8.625375</v>
      </c>
      <c r="R1057">
        <f t="shared" si="261"/>
        <v>17.25075</v>
      </c>
      <c r="S1057">
        <f t="shared" si="261"/>
        <v>25.876125000000002</v>
      </c>
      <c r="T1057">
        <f t="shared" si="261"/>
        <v>34.5015</v>
      </c>
      <c r="U1057">
        <f t="shared" si="261"/>
        <v>43.126875000000005</v>
      </c>
      <c r="V1057">
        <f t="shared" si="261"/>
        <v>51.752250000000004</v>
      </c>
      <c r="W1057">
        <f t="shared" si="261"/>
        <v>60.377625000000002</v>
      </c>
      <c r="X1057">
        <f t="shared" si="261"/>
        <v>69.003</v>
      </c>
      <c r="Y1057">
        <f t="shared" si="261"/>
        <v>77.628375000000005</v>
      </c>
      <c r="Z1057">
        <f t="shared" si="261"/>
        <v>86.253750000000011</v>
      </c>
      <c r="AA1057">
        <f t="shared" si="261"/>
        <v>94.879125000000002</v>
      </c>
      <c r="AB1057">
        <f t="shared" si="261"/>
        <v>103.50450000000001</v>
      </c>
      <c r="AC1057">
        <f t="shared" si="261"/>
        <v>112.129875</v>
      </c>
      <c r="AD1057">
        <f t="shared" si="261"/>
        <v>120.75525</v>
      </c>
      <c r="AE1057">
        <f t="shared" si="261"/>
        <v>129.38062500000001</v>
      </c>
    </row>
    <row r="1059" spans="1:31" x14ac:dyDescent="0.45">
      <c r="A1059" t="s">
        <v>1631</v>
      </c>
      <c r="B1059" t="s">
        <v>1474</v>
      </c>
      <c r="C1059" t="s">
        <v>1453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1631</v>
      </c>
      <c r="B1060" t="s">
        <v>1474</v>
      </c>
      <c r="C1060" t="s">
        <v>1453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1.7531250000000003</v>
      </c>
      <c r="R1060">
        <f>IF(ISBLANK(Mitigation_Industry!R699),"",Mitigation_Industry!R699)</f>
        <v>3.5062500000000005</v>
      </c>
      <c r="S1060">
        <f>IF(ISBLANK(Mitigation_Industry!S699),"",Mitigation_Industry!S699)</f>
        <v>5.2593750000000004</v>
      </c>
      <c r="T1060">
        <f>IF(ISBLANK(Mitigation_Industry!T699),"",Mitigation_Industry!T699)</f>
        <v>7.0125000000000011</v>
      </c>
      <c r="U1060">
        <f>IF(ISBLANK(Mitigation_Industry!U699),"",Mitigation_Industry!U699)</f>
        <v>8.765625</v>
      </c>
      <c r="V1060">
        <f>IF(ISBLANK(Mitigation_Industry!V699),"",Mitigation_Industry!V699)</f>
        <v>10.518750000000001</v>
      </c>
      <c r="W1060">
        <f>IF(ISBLANK(Mitigation_Industry!W699),"",Mitigation_Industry!W699)</f>
        <v>12.271875000000001</v>
      </c>
      <c r="X1060">
        <f>IF(ISBLANK(Mitigation_Industry!X699),"",Mitigation_Industry!X699)</f>
        <v>14.025000000000002</v>
      </c>
      <c r="Y1060">
        <f>IF(ISBLANK(Mitigation_Industry!Y699),"",Mitigation_Industry!Y699)</f>
        <v>15.778125000000001</v>
      </c>
      <c r="Z1060">
        <f>IF(ISBLANK(Mitigation_Industry!Z699),"",Mitigation_Industry!Z699)</f>
        <v>17.53125</v>
      </c>
      <c r="AA1060">
        <f>IF(ISBLANK(Mitigation_Industry!AA699),"",Mitigation_Industry!AA699)</f>
        <v>19.284375000000001</v>
      </c>
      <c r="AB1060">
        <f>IF(ISBLANK(Mitigation_Industry!AB699),"",Mitigation_Industry!AB699)</f>
        <v>21.037500000000001</v>
      </c>
      <c r="AC1060">
        <f>IF(ISBLANK(Mitigation_Industry!AC699),"",Mitigation_Industry!AC699)</f>
        <v>22.790625000000002</v>
      </c>
      <c r="AD1060">
        <f>IF(ISBLANK(Mitigation_Industry!AD699),"",Mitigation_Industry!AD699)</f>
        <v>24.543750000000003</v>
      </c>
      <c r="AE1060">
        <f>IF(ISBLANK(Mitigation_Industry!AE699),"",Mitigation_Industry!AE699)</f>
        <v>26.296875000000004</v>
      </c>
    </row>
    <row r="1061" spans="1:31" x14ac:dyDescent="0.45">
      <c r="A1061" t="s">
        <v>1631</v>
      </c>
      <c r="B1061" t="s">
        <v>1474</v>
      </c>
      <c r="C1061" t="s">
        <v>1453</v>
      </c>
      <c r="D1061">
        <v>2</v>
      </c>
      <c r="E1061" t="s">
        <v>1161</v>
      </c>
      <c r="F1061">
        <f>MAX(MAX(L1061:AE1061),-MIN(L1061:AE1061))</f>
        <v>26.296875000000004</v>
      </c>
      <c r="I1061" t="s">
        <v>1588</v>
      </c>
      <c r="J1061" t="s">
        <v>1630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1.7531250000000003</v>
      </c>
      <c r="R1061">
        <f t="shared" si="262"/>
        <v>3.5062500000000005</v>
      </c>
      <c r="S1061">
        <f t="shared" si="262"/>
        <v>5.2593750000000004</v>
      </c>
      <c r="T1061">
        <f t="shared" si="262"/>
        <v>7.0125000000000011</v>
      </c>
      <c r="U1061">
        <f t="shared" si="262"/>
        <v>8.765625</v>
      </c>
      <c r="V1061">
        <f t="shared" si="262"/>
        <v>10.518750000000001</v>
      </c>
      <c r="W1061">
        <f t="shared" si="262"/>
        <v>12.271875000000001</v>
      </c>
      <c r="X1061">
        <f t="shared" si="262"/>
        <v>14.025000000000002</v>
      </c>
      <c r="Y1061">
        <f t="shared" si="262"/>
        <v>15.778125000000001</v>
      </c>
      <c r="Z1061">
        <f t="shared" si="262"/>
        <v>17.53125</v>
      </c>
      <c r="AA1061">
        <f t="shared" si="262"/>
        <v>19.284375000000001</v>
      </c>
      <c r="AB1061">
        <f t="shared" si="262"/>
        <v>21.037500000000001</v>
      </c>
      <c r="AC1061">
        <f t="shared" si="262"/>
        <v>22.790625000000002</v>
      </c>
      <c r="AD1061">
        <f t="shared" si="262"/>
        <v>24.543750000000003</v>
      </c>
      <c r="AE1061">
        <f t="shared" si="262"/>
        <v>26.296875000000004</v>
      </c>
    </row>
    <row r="1063" spans="1:31" x14ac:dyDescent="0.45">
      <c r="A1063" t="s">
        <v>1632</v>
      </c>
      <c r="B1063" t="s">
        <v>1474</v>
      </c>
      <c r="C1063" t="s">
        <v>1456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1632</v>
      </c>
      <c r="B1064" t="s">
        <v>1474</v>
      </c>
      <c r="C1064" t="s">
        <v>1456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24.025000000000002</v>
      </c>
      <c r="R1064">
        <f>IF(ISBLANK(Mitigation_Industry!R700),"",Mitigation_Industry!R700)</f>
        <v>48.050000000000004</v>
      </c>
      <c r="S1064">
        <f>IF(ISBLANK(Mitigation_Industry!S700),"",Mitigation_Industry!S700)</f>
        <v>72.075000000000003</v>
      </c>
      <c r="T1064">
        <f>IF(ISBLANK(Mitigation_Industry!T700),"",Mitigation_Industry!T700)</f>
        <v>96.100000000000009</v>
      </c>
      <c r="U1064">
        <f>IF(ISBLANK(Mitigation_Industry!U700),"",Mitigation_Industry!U700)</f>
        <v>120.12500000000001</v>
      </c>
      <c r="V1064">
        <f>IF(ISBLANK(Mitigation_Industry!V700),"",Mitigation_Industry!V700)</f>
        <v>144.15</v>
      </c>
      <c r="W1064">
        <f>IF(ISBLANK(Mitigation_Industry!W700),"",Mitigation_Industry!W700)</f>
        <v>168.17500000000001</v>
      </c>
      <c r="X1064">
        <f>IF(ISBLANK(Mitigation_Industry!X700),"",Mitigation_Industry!X700)</f>
        <v>192.20000000000002</v>
      </c>
      <c r="Y1064">
        <f>IF(ISBLANK(Mitigation_Industry!Y700),"",Mitigation_Industry!Y700)</f>
        <v>216.22500000000002</v>
      </c>
      <c r="Z1064">
        <f>IF(ISBLANK(Mitigation_Industry!Z700),"",Mitigation_Industry!Z700)</f>
        <v>240.25000000000003</v>
      </c>
      <c r="AA1064">
        <f>IF(ISBLANK(Mitigation_Industry!AA700),"",Mitigation_Industry!AA700)</f>
        <v>264.27500000000003</v>
      </c>
      <c r="AB1064">
        <f>IF(ISBLANK(Mitigation_Industry!AB700),"",Mitigation_Industry!AB700)</f>
        <v>288.3</v>
      </c>
      <c r="AC1064">
        <f>IF(ISBLANK(Mitigation_Industry!AC700),"",Mitigation_Industry!AC700)</f>
        <v>312.32500000000005</v>
      </c>
      <c r="AD1064">
        <f>IF(ISBLANK(Mitigation_Industry!AD700),"",Mitigation_Industry!AD700)</f>
        <v>336.35</v>
      </c>
      <c r="AE1064">
        <f>IF(ISBLANK(Mitigation_Industry!AE700),"",Mitigation_Industry!AE700)</f>
        <v>360.37500000000006</v>
      </c>
    </row>
    <row r="1065" spans="1:31" x14ac:dyDescent="0.45">
      <c r="A1065" t="s">
        <v>1632</v>
      </c>
      <c r="B1065" t="s">
        <v>1474</v>
      </c>
      <c r="C1065" t="s">
        <v>1456</v>
      </c>
      <c r="D1065">
        <v>2</v>
      </c>
      <c r="E1065" t="s">
        <v>1161</v>
      </c>
      <c r="F1065">
        <f>MAX(MAX(L1065:AE1065),-MIN(L1065:AE1065))</f>
        <v>360.37500000000006</v>
      </c>
      <c r="I1065" t="s">
        <v>1588</v>
      </c>
      <c r="J1065" t="s">
        <v>1630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24.025000000000002</v>
      </c>
      <c r="R1065">
        <f t="shared" si="263"/>
        <v>48.050000000000004</v>
      </c>
      <c r="S1065">
        <f t="shared" si="263"/>
        <v>72.075000000000003</v>
      </c>
      <c r="T1065">
        <f t="shared" si="263"/>
        <v>96.100000000000009</v>
      </c>
      <c r="U1065">
        <f t="shared" si="263"/>
        <v>120.12500000000001</v>
      </c>
      <c r="V1065">
        <f t="shared" si="263"/>
        <v>144.15</v>
      </c>
      <c r="W1065">
        <f t="shared" si="263"/>
        <v>168.17500000000001</v>
      </c>
      <c r="X1065">
        <f t="shared" si="263"/>
        <v>192.20000000000002</v>
      </c>
      <c r="Y1065">
        <f t="shared" si="263"/>
        <v>216.22500000000002</v>
      </c>
      <c r="Z1065">
        <f t="shared" si="263"/>
        <v>240.25000000000003</v>
      </c>
      <c r="AA1065">
        <f t="shared" si="263"/>
        <v>264.27500000000003</v>
      </c>
      <c r="AB1065">
        <f t="shared" si="263"/>
        <v>288.3</v>
      </c>
      <c r="AC1065">
        <f t="shared" si="263"/>
        <v>312.32500000000005</v>
      </c>
      <c r="AD1065">
        <f t="shared" si="263"/>
        <v>336.35</v>
      </c>
      <c r="AE1065">
        <f t="shared" si="263"/>
        <v>360.37500000000006</v>
      </c>
    </row>
    <row r="1067" spans="1:31" x14ac:dyDescent="0.45">
      <c r="A1067" t="s">
        <v>1633</v>
      </c>
      <c r="B1067" t="s">
        <v>1474</v>
      </c>
      <c r="C1067" t="s">
        <v>1459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1633</v>
      </c>
      <c r="B1068" t="s">
        <v>1474</v>
      </c>
      <c r="C1068" t="s">
        <v>1459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3.6037499999999998</v>
      </c>
      <c r="R1068">
        <f>IF(ISBLANK(Mitigation_Industry!R701),"",Mitigation_Industry!R701)</f>
        <v>7.2074999999999996</v>
      </c>
      <c r="S1068">
        <f>IF(ISBLANK(Mitigation_Industry!S701),"",Mitigation_Industry!S701)</f>
        <v>10.811249999999999</v>
      </c>
      <c r="T1068">
        <f>IF(ISBLANK(Mitigation_Industry!T701),"",Mitigation_Industry!T701)</f>
        <v>14.414999999999999</v>
      </c>
      <c r="U1068">
        <f>IF(ISBLANK(Mitigation_Industry!U701),"",Mitigation_Industry!U701)</f>
        <v>18.018750000000001</v>
      </c>
      <c r="V1068">
        <f>IF(ISBLANK(Mitigation_Industry!V701),"",Mitigation_Industry!V701)</f>
        <v>21.622499999999999</v>
      </c>
      <c r="W1068">
        <f>IF(ISBLANK(Mitigation_Industry!W701),"",Mitigation_Industry!W701)</f>
        <v>25.22625</v>
      </c>
      <c r="X1068">
        <f>IF(ISBLANK(Mitigation_Industry!X701),"",Mitigation_Industry!X701)</f>
        <v>28.83</v>
      </c>
      <c r="Y1068">
        <f>IF(ISBLANK(Mitigation_Industry!Y701),"",Mitigation_Industry!Y701)</f>
        <v>32.433750000000003</v>
      </c>
      <c r="Z1068">
        <f>IF(ISBLANK(Mitigation_Industry!Z701),"",Mitigation_Industry!Z701)</f>
        <v>36.037500000000001</v>
      </c>
      <c r="AA1068">
        <f>IF(ISBLANK(Mitigation_Industry!AA701),"",Mitigation_Industry!AA701)</f>
        <v>39.641249999999999</v>
      </c>
      <c r="AB1068">
        <f>IF(ISBLANK(Mitigation_Industry!AB701),"",Mitigation_Industry!AB701)</f>
        <v>43.244999999999997</v>
      </c>
      <c r="AC1068">
        <f>IF(ISBLANK(Mitigation_Industry!AC701),"",Mitigation_Industry!AC701)</f>
        <v>46.848750000000003</v>
      </c>
      <c r="AD1068">
        <f>IF(ISBLANK(Mitigation_Industry!AD701),"",Mitigation_Industry!AD701)</f>
        <v>50.452500000000001</v>
      </c>
      <c r="AE1068">
        <f>IF(ISBLANK(Mitigation_Industry!AE701),"",Mitigation_Industry!AE701)</f>
        <v>54.056249999999999</v>
      </c>
    </row>
    <row r="1069" spans="1:31" x14ac:dyDescent="0.45">
      <c r="A1069" t="s">
        <v>1633</v>
      </c>
      <c r="B1069" t="s">
        <v>1474</v>
      </c>
      <c r="C1069" t="s">
        <v>1459</v>
      </c>
      <c r="D1069">
        <v>2</v>
      </c>
      <c r="E1069" t="s">
        <v>1161</v>
      </c>
      <c r="F1069">
        <f>MAX(MAX(L1069:AE1069),-MIN(L1069:AE1069))</f>
        <v>54.056249999999999</v>
      </c>
      <c r="I1069" t="s">
        <v>1588</v>
      </c>
      <c r="J1069" t="s">
        <v>1630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3.6037499999999998</v>
      </c>
      <c r="R1069">
        <f t="shared" si="264"/>
        <v>7.2074999999999996</v>
      </c>
      <c r="S1069">
        <f t="shared" si="264"/>
        <v>10.811249999999999</v>
      </c>
      <c r="T1069">
        <f t="shared" si="264"/>
        <v>14.414999999999999</v>
      </c>
      <c r="U1069">
        <f t="shared" si="264"/>
        <v>18.018750000000001</v>
      </c>
      <c r="V1069">
        <f t="shared" si="264"/>
        <v>21.622499999999999</v>
      </c>
      <c r="W1069">
        <f t="shared" si="264"/>
        <v>25.22625</v>
      </c>
      <c r="X1069">
        <f t="shared" si="264"/>
        <v>28.83</v>
      </c>
      <c r="Y1069">
        <f t="shared" si="264"/>
        <v>32.433750000000003</v>
      </c>
      <c r="Z1069">
        <f t="shared" si="264"/>
        <v>36.037500000000001</v>
      </c>
      <c r="AA1069">
        <f t="shared" si="264"/>
        <v>39.641249999999999</v>
      </c>
      <c r="AB1069">
        <f t="shared" si="264"/>
        <v>43.244999999999997</v>
      </c>
      <c r="AC1069">
        <f t="shared" si="264"/>
        <v>46.848750000000003</v>
      </c>
      <c r="AD1069">
        <f t="shared" si="264"/>
        <v>50.452500000000001</v>
      </c>
      <c r="AE1069">
        <f t="shared" si="264"/>
        <v>54.056249999999999</v>
      </c>
    </row>
    <row r="1071" spans="1:31" x14ac:dyDescent="0.45">
      <c r="A1071" t="s">
        <v>1634</v>
      </c>
      <c r="B1071" t="s">
        <v>1474</v>
      </c>
      <c r="C1071" t="s">
        <v>1462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1634</v>
      </c>
      <c r="B1072" t="s">
        <v>1474</v>
      </c>
      <c r="C1072" t="s">
        <v>1462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23.141249999999999</v>
      </c>
      <c r="R1072">
        <f>IF(ISBLANK(Mitigation_Industry!R702),"",Mitigation_Industry!R702)</f>
        <v>46.282499999999999</v>
      </c>
      <c r="S1072">
        <f>IF(ISBLANK(Mitigation_Industry!S702),"",Mitigation_Industry!S702)</f>
        <v>69.423749999999998</v>
      </c>
      <c r="T1072">
        <f>IF(ISBLANK(Mitigation_Industry!T702),"",Mitigation_Industry!T702)</f>
        <v>92.564999999999998</v>
      </c>
      <c r="U1072">
        <f>IF(ISBLANK(Mitigation_Industry!U702),"",Mitigation_Industry!U702)</f>
        <v>115.70625</v>
      </c>
      <c r="V1072">
        <f>IF(ISBLANK(Mitigation_Industry!V702),"",Mitigation_Industry!V702)</f>
        <v>138.8475</v>
      </c>
      <c r="W1072">
        <f>IF(ISBLANK(Mitigation_Industry!W702),"",Mitigation_Industry!W702)</f>
        <v>161.98874999999998</v>
      </c>
      <c r="X1072">
        <f>IF(ISBLANK(Mitigation_Industry!X702),"",Mitigation_Industry!X702)</f>
        <v>185.13</v>
      </c>
      <c r="Y1072">
        <f>IF(ISBLANK(Mitigation_Industry!Y702),"",Mitigation_Industry!Y702)</f>
        <v>208.27124999999998</v>
      </c>
      <c r="Z1072">
        <f>IF(ISBLANK(Mitigation_Industry!Z702),"",Mitigation_Industry!Z702)</f>
        <v>231.41249999999999</v>
      </c>
      <c r="AA1072">
        <f>IF(ISBLANK(Mitigation_Industry!AA702),"",Mitigation_Industry!AA702)</f>
        <v>254.55374999999998</v>
      </c>
      <c r="AB1072">
        <f>IF(ISBLANK(Mitigation_Industry!AB702),"",Mitigation_Industry!AB702)</f>
        <v>277.69499999999999</v>
      </c>
      <c r="AC1072">
        <f>IF(ISBLANK(Mitigation_Industry!AC702),"",Mitigation_Industry!AC702)</f>
        <v>300.83625000000001</v>
      </c>
      <c r="AD1072">
        <f>IF(ISBLANK(Mitigation_Industry!AD702),"",Mitigation_Industry!AD702)</f>
        <v>323.97749999999996</v>
      </c>
      <c r="AE1072">
        <f>IF(ISBLANK(Mitigation_Industry!AE702),"",Mitigation_Industry!AE702)</f>
        <v>347.11874999999998</v>
      </c>
    </row>
    <row r="1073" spans="1:31" x14ac:dyDescent="0.45">
      <c r="A1073" t="s">
        <v>1634</v>
      </c>
      <c r="B1073" t="s">
        <v>1474</v>
      </c>
      <c r="C1073" t="s">
        <v>1462</v>
      </c>
      <c r="D1073">
        <v>2</v>
      </c>
      <c r="E1073" t="s">
        <v>1161</v>
      </c>
      <c r="F1073">
        <f>MAX(MAX(L1073:AE1073),-MIN(L1073:AE1073))</f>
        <v>347.11874999999998</v>
      </c>
      <c r="I1073" t="s">
        <v>1588</v>
      </c>
      <c r="J1073" t="s">
        <v>1630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23.141249999999999</v>
      </c>
      <c r="R1073">
        <f t="shared" si="265"/>
        <v>46.282499999999999</v>
      </c>
      <c r="S1073">
        <f t="shared" si="265"/>
        <v>69.423749999999998</v>
      </c>
      <c r="T1073">
        <f t="shared" si="265"/>
        <v>92.564999999999998</v>
      </c>
      <c r="U1073">
        <f t="shared" si="265"/>
        <v>115.70625</v>
      </c>
      <c r="V1073">
        <f t="shared" si="265"/>
        <v>138.8475</v>
      </c>
      <c r="W1073">
        <f t="shared" si="265"/>
        <v>161.98874999999998</v>
      </c>
      <c r="X1073">
        <f t="shared" si="265"/>
        <v>185.13</v>
      </c>
      <c r="Y1073">
        <f t="shared" si="265"/>
        <v>208.27124999999998</v>
      </c>
      <c r="Z1073">
        <f t="shared" si="265"/>
        <v>231.41249999999999</v>
      </c>
      <c r="AA1073">
        <f t="shared" si="265"/>
        <v>254.55374999999998</v>
      </c>
      <c r="AB1073">
        <f t="shared" si="265"/>
        <v>277.69499999999999</v>
      </c>
      <c r="AC1073">
        <f t="shared" si="265"/>
        <v>300.83625000000001</v>
      </c>
      <c r="AD1073">
        <f t="shared" si="265"/>
        <v>323.97749999999996</v>
      </c>
      <c r="AE1073">
        <f t="shared" si="265"/>
        <v>347.11874999999998</v>
      </c>
    </row>
    <row r="1075" spans="1:31" x14ac:dyDescent="0.45">
      <c r="A1075" t="s">
        <v>1635</v>
      </c>
      <c r="B1075" t="s">
        <v>1474</v>
      </c>
      <c r="C1075" t="s">
        <v>1465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1635</v>
      </c>
      <c r="B1076" t="s">
        <v>1474</v>
      </c>
      <c r="C1076" t="s">
        <v>1465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1635</v>
      </c>
      <c r="B1077" t="s">
        <v>1474</v>
      </c>
      <c r="C1077" t="s">
        <v>1465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1588</v>
      </c>
      <c r="J1077" t="s">
        <v>1630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1636</v>
      </c>
      <c r="B1079" t="s">
        <v>1474</v>
      </c>
      <c r="C1079" t="s">
        <v>1468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1636</v>
      </c>
      <c r="B1080" t="s">
        <v>1474</v>
      </c>
      <c r="C1080" t="s">
        <v>1468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1636</v>
      </c>
      <c r="B1081" t="s">
        <v>1474</v>
      </c>
      <c r="C1081" t="s">
        <v>1468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1588</v>
      </c>
      <c r="J1081" t="s">
        <v>1630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1637</v>
      </c>
      <c r="B1083" t="s">
        <v>1474</v>
      </c>
      <c r="C1083" t="s">
        <v>1471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1637</v>
      </c>
      <c r="B1084" t="s">
        <v>1474</v>
      </c>
      <c r="C1084" t="s">
        <v>1471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1.95</v>
      </c>
      <c r="R1084">
        <f>IF(ISBLANK(Mitigation_Industry!R705),"",Mitigation_Industry!R705)</f>
        <v>3.9</v>
      </c>
      <c r="S1084">
        <f>IF(ISBLANK(Mitigation_Industry!S705),"",Mitigation_Industry!S705)</f>
        <v>5.85</v>
      </c>
      <c r="T1084">
        <f>IF(ISBLANK(Mitigation_Industry!T705),"",Mitigation_Industry!T705)</f>
        <v>7.8</v>
      </c>
      <c r="U1084">
        <f>IF(ISBLANK(Mitigation_Industry!U705),"",Mitigation_Industry!U705)</f>
        <v>9.75</v>
      </c>
      <c r="V1084">
        <f>IF(ISBLANK(Mitigation_Industry!V705),"",Mitigation_Industry!V705)</f>
        <v>11.7</v>
      </c>
      <c r="W1084">
        <f>IF(ISBLANK(Mitigation_Industry!W705),"",Mitigation_Industry!W705)</f>
        <v>13.65</v>
      </c>
      <c r="X1084">
        <f>IF(ISBLANK(Mitigation_Industry!X705),"",Mitigation_Industry!X705)</f>
        <v>15.6</v>
      </c>
      <c r="Y1084">
        <f>IF(ISBLANK(Mitigation_Industry!Y705),"",Mitigation_Industry!Y705)</f>
        <v>17.55</v>
      </c>
      <c r="Z1084">
        <f>IF(ISBLANK(Mitigation_Industry!Z705),"",Mitigation_Industry!Z705)</f>
        <v>19.5</v>
      </c>
      <c r="AA1084">
        <f>IF(ISBLANK(Mitigation_Industry!AA705),"",Mitigation_Industry!AA705)</f>
        <v>21.45</v>
      </c>
      <c r="AB1084">
        <f>IF(ISBLANK(Mitigation_Industry!AB705),"",Mitigation_Industry!AB705)</f>
        <v>23.4</v>
      </c>
      <c r="AC1084">
        <f>IF(ISBLANK(Mitigation_Industry!AC705),"",Mitigation_Industry!AC705)</f>
        <v>25.35</v>
      </c>
      <c r="AD1084">
        <f>IF(ISBLANK(Mitigation_Industry!AD705),"",Mitigation_Industry!AD705)</f>
        <v>27.3</v>
      </c>
      <c r="AE1084">
        <f>IF(ISBLANK(Mitigation_Industry!AE705),"",Mitigation_Industry!AE705)</f>
        <v>29.25</v>
      </c>
    </row>
    <row r="1085" spans="1:31" x14ac:dyDescent="0.45">
      <c r="A1085" t="s">
        <v>1637</v>
      </c>
      <c r="B1085" t="s">
        <v>1474</v>
      </c>
      <c r="C1085" t="s">
        <v>1471</v>
      </c>
      <c r="D1085">
        <v>2</v>
      </c>
      <c r="E1085" t="s">
        <v>1161</v>
      </c>
      <c r="F1085">
        <f>MAX(MAX(L1085:AE1085),-MIN(L1085:AE1085))</f>
        <v>29.25</v>
      </c>
      <c r="I1085" t="s">
        <v>1588</v>
      </c>
      <c r="J1085" t="s">
        <v>1630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1.95</v>
      </c>
      <c r="R1085">
        <f t="shared" si="268"/>
        <v>3.9</v>
      </c>
      <c r="S1085">
        <f t="shared" si="268"/>
        <v>5.85</v>
      </c>
      <c r="T1085">
        <f t="shared" si="268"/>
        <v>7.8</v>
      </c>
      <c r="U1085">
        <f t="shared" si="268"/>
        <v>9.75</v>
      </c>
      <c r="V1085">
        <f t="shared" si="268"/>
        <v>11.7</v>
      </c>
      <c r="W1085">
        <f t="shared" si="268"/>
        <v>13.65</v>
      </c>
      <c r="X1085">
        <f t="shared" si="268"/>
        <v>15.6</v>
      </c>
      <c r="Y1085">
        <f t="shared" si="268"/>
        <v>17.55</v>
      </c>
      <c r="Z1085">
        <f t="shared" si="268"/>
        <v>19.5</v>
      </c>
      <c r="AA1085">
        <f t="shared" si="268"/>
        <v>21.45</v>
      </c>
      <c r="AB1085">
        <f t="shared" si="268"/>
        <v>23.4</v>
      </c>
      <c r="AC1085">
        <f t="shared" si="268"/>
        <v>25.35</v>
      </c>
      <c r="AD1085">
        <f t="shared" si="268"/>
        <v>27.3</v>
      </c>
      <c r="AE1085">
        <f t="shared" si="268"/>
        <v>29.25</v>
      </c>
    </row>
    <row r="1087" spans="1:31" x14ac:dyDescent="0.45">
      <c r="A1087" t="s">
        <v>1638</v>
      </c>
      <c r="B1087" t="s">
        <v>1477</v>
      </c>
      <c r="C1087" t="s">
        <v>1450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1638</v>
      </c>
      <c r="B1088" t="s">
        <v>1477</v>
      </c>
      <c r="C1088" t="s">
        <v>1450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1638</v>
      </c>
      <c r="B1089" t="s">
        <v>1477</v>
      </c>
      <c r="C1089" t="s">
        <v>1450</v>
      </c>
      <c r="D1089">
        <v>2</v>
      </c>
      <c r="E1089" t="s">
        <v>1161</v>
      </c>
      <c r="F1089">
        <f>MAX(MAX(L1089:AE1089),-MIN(L1089:AE1089))</f>
        <v>0</v>
      </c>
      <c r="I1089" t="s">
        <v>1509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1639</v>
      </c>
      <c r="B1091" t="s">
        <v>1477</v>
      </c>
      <c r="C1091" t="s">
        <v>1453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1639</v>
      </c>
      <c r="B1092" t="s">
        <v>1477</v>
      </c>
      <c r="C1092" t="s">
        <v>1453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1639</v>
      </c>
      <c r="B1093" t="s">
        <v>1477</v>
      </c>
      <c r="C1093" t="s">
        <v>1453</v>
      </c>
      <c r="D1093">
        <v>2</v>
      </c>
      <c r="E1093" t="s">
        <v>1161</v>
      </c>
      <c r="F1093">
        <f>MAX(MAX(L1093:AE1093),-MIN(L1093:AE1093))</f>
        <v>0</v>
      </c>
      <c r="I1093" t="s">
        <v>1509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1640</v>
      </c>
      <c r="B1095" t="s">
        <v>1477</v>
      </c>
      <c r="C1095" t="s">
        <v>1456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1640</v>
      </c>
      <c r="B1096" t="s">
        <v>1477</v>
      </c>
      <c r="C1096" t="s">
        <v>1456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1640</v>
      </c>
      <c r="B1097" t="s">
        <v>1477</v>
      </c>
      <c r="C1097" t="s">
        <v>1456</v>
      </c>
      <c r="D1097">
        <v>2</v>
      </c>
      <c r="E1097" t="s">
        <v>1161</v>
      </c>
      <c r="F1097">
        <f>MAX(MAX(L1097:AE1097),-MIN(L1097:AE1097))</f>
        <v>0</v>
      </c>
      <c r="I1097" t="s">
        <v>1509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1641</v>
      </c>
      <c r="B1099" t="s">
        <v>1477</v>
      </c>
      <c r="C1099" t="s">
        <v>1459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1641</v>
      </c>
      <c r="B1100" t="s">
        <v>1477</v>
      </c>
      <c r="C1100" t="s">
        <v>1459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1641</v>
      </c>
      <c r="B1101" t="s">
        <v>1477</v>
      </c>
      <c r="C1101" t="s">
        <v>1459</v>
      </c>
      <c r="D1101">
        <v>2</v>
      </c>
      <c r="E1101" t="s">
        <v>1161</v>
      </c>
      <c r="F1101">
        <f>MAX(MAX(L1101:AE1101),-MIN(L1101:AE1101))</f>
        <v>0</v>
      </c>
      <c r="I1101" t="s">
        <v>1509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1642</v>
      </c>
      <c r="B1103" t="s">
        <v>1477</v>
      </c>
      <c r="C1103" t="s">
        <v>1462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1642</v>
      </c>
      <c r="B1104" t="s">
        <v>1477</v>
      </c>
      <c r="C1104" t="s">
        <v>1462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1642</v>
      </c>
      <c r="B1105" t="s">
        <v>1477</v>
      </c>
      <c r="C1105" t="s">
        <v>1462</v>
      </c>
      <c r="D1105">
        <v>2</v>
      </c>
      <c r="E1105" t="s">
        <v>1161</v>
      </c>
      <c r="F1105">
        <f>MAX(MAX(L1105:AE1105),-MIN(L1105:AE1105))</f>
        <v>0</v>
      </c>
      <c r="I1105" t="s">
        <v>1509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1643</v>
      </c>
      <c r="B1107" t="s">
        <v>1477</v>
      </c>
      <c r="C1107" t="s">
        <v>1465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1643</v>
      </c>
      <c r="B1108" t="s">
        <v>1477</v>
      </c>
      <c r="C1108" t="s">
        <v>1465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1643</v>
      </c>
      <c r="B1109" t="s">
        <v>1477</v>
      </c>
      <c r="C1109" t="s">
        <v>1465</v>
      </c>
      <c r="D1109">
        <v>2</v>
      </c>
      <c r="E1109" t="s">
        <v>1161</v>
      </c>
      <c r="F1109">
        <f>MAX(MAX(L1109:AE1109),-MIN(L1109:AE1109))</f>
        <v>0</v>
      </c>
      <c r="I1109" t="s">
        <v>1509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1644</v>
      </c>
      <c r="B1111" t="s">
        <v>1477</v>
      </c>
      <c r="C1111" t="s">
        <v>1468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1644</v>
      </c>
      <c r="B1112" t="s">
        <v>1477</v>
      </c>
      <c r="C1112" t="s">
        <v>1468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1644</v>
      </c>
      <c r="B1113" t="s">
        <v>1477</v>
      </c>
      <c r="C1113" t="s">
        <v>1468</v>
      </c>
      <c r="D1113">
        <v>2</v>
      </c>
      <c r="E1113" t="s">
        <v>1161</v>
      </c>
      <c r="F1113">
        <f>MAX(MAX(L1113:AE1113),-MIN(L1113:AE1113))</f>
        <v>0</v>
      </c>
      <c r="I1113" t="s">
        <v>1509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1645</v>
      </c>
      <c r="B1115" t="s">
        <v>1477</v>
      </c>
      <c r="C1115" t="s">
        <v>1471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1645</v>
      </c>
      <c r="B1116" t="s">
        <v>1477</v>
      </c>
      <c r="C1116" t="s">
        <v>1471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1645</v>
      </c>
      <c r="B1117" t="s">
        <v>1477</v>
      </c>
      <c r="C1117" t="s">
        <v>1471</v>
      </c>
      <c r="D1117">
        <v>2</v>
      </c>
      <c r="E1117" t="s">
        <v>1161</v>
      </c>
      <c r="F1117">
        <f>MAX(MAX(L1117:AE1117),-MIN(L1117:AE1117))</f>
        <v>0</v>
      </c>
      <c r="I1117" t="s">
        <v>1509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1646</v>
      </c>
      <c r="B1119" t="s">
        <v>1480</v>
      </c>
      <c r="C1119" t="s">
        <v>1450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1646</v>
      </c>
      <c r="B1120" t="s">
        <v>1480</v>
      </c>
      <c r="C1120" t="s">
        <v>1450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1.15005E-2</v>
      </c>
      <c r="R1120">
        <f>IF(ISBLANK(Mitigation_Industry!R719),"",Mitigation_Industry!R719)</f>
        <v>2.3001000000000001E-2</v>
      </c>
      <c r="S1120">
        <f>IF(ISBLANK(Mitigation_Industry!S719),"",Mitigation_Industry!S719)</f>
        <v>3.4501500000000004E-2</v>
      </c>
      <c r="T1120">
        <f>IF(ISBLANK(Mitigation_Industry!T719),"",Mitigation_Industry!T719)</f>
        <v>4.6002000000000001E-2</v>
      </c>
      <c r="U1120">
        <f>IF(ISBLANK(Mitigation_Industry!U719),"",Mitigation_Industry!U719)</f>
        <v>5.7502500000000005E-2</v>
      </c>
      <c r="V1120">
        <f>IF(ISBLANK(Mitigation_Industry!V719),"",Mitigation_Industry!V719)</f>
        <v>6.9003000000000009E-2</v>
      </c>
      <c r="W1120">
        <f>IF(ISBLANK(Mitigation_Industry!W719),"",Mitigation_Industry!W719)</f>
        <v>8.0503500000000006E-2</v>
      </c>
      <c r="X1120">
        <f>IF(ISBLANK(Mitigation_Industry!X719),"",Mitigation_Industry!X719)</f>
        <v>9.2004000000000002E-2</v>
      </c>
      <c r="Y1120">
        <f>IF(ISBLANK(Mitigation_Industry!Y719),"",Mitigation_Industry!Y719)</f>
        <v>0.10350450000000001</v>
      </c>
      <c r="Z1120">
        <f>IF(ISBLANK(Mitigation_Industry!Z719),"",Mitigation_Industry!Z719)</f>
        <v>0.11500500000000001</v>
      </c>
      <c r="AA1120">
        <f>IF(ISBLANK(Mitigation_Industry!AA719),"",Mitigation_Industry!AA719)</f>
        <v>0.12650549999999999</v>
      </c>
      <c r="AB1120">
        <f>IF(ISBLANK(Mitigation_Industry!AB719),"",Mitigation_Industry!AB719)</f>
        <v>0.13800600000000002</v>
      </c>
      <c r="AC1120">
        <f>IF(ISBLANK(Mitigation_Industry!AC719),"",Mitigation_Industry!AC719)</f>
        <v>0.14950649999999999</v>
      </c>
      <c r="AD1120">
        <f>IF(ISBLANK(Mitigation_Industry!AD719),"",Mitigation_Industry!AD719)</f>
        <v>0.16100700000000001</v>
      </c>
      <c r="AE1120">
        <f>IF(ISBLANK(Mitigation_Industry!AE719),"",Mitigation_Industry!AE719)</f>
        <v>0.17250750000000001</v>
      </c>
    </row>
    <row r="1121" spans="1:31" x14ac:dyDescent="0.45">
      <c r="A1121" t="s">
        <v>1646</v>
      </c>
      <c r="B1121" t="s">
        <v>1480</v>
      </c>
      <c r="C1121" t="s">
        <v>1450</v>
      </c>
      <c r="D1121">
        <v>2</v>
      </c>
      <c r="E1121" t="s">
        <v>1161</v>
      </c>
      <c r="F1121">
        <f>MAX(MAX(L1121:AE1121),-MIN(L1121:AE1121))</f>
        <v>0.17250750000000001</v>
      </c>
      <c r="I1121" t="s">
        <v>1588</v>
      </c>
      <c r="J1121" t="s">
        <v>1630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1.15005E-2</v>
      </c>
      <c r="R1121">
        <f t="shared" si="277"/>
        <v>2.3001000000000001E-2</v>
      </c>
      <c r="S1121">
        <f t="shared" si="277"/>
        <v>3.4501500000000004E-2</v>
      </c>
      <c r="T1121">
        <f t="shared" si="277"/>
        <v>4.6002000000000001E-2</v>
      </c>
      <c r="U1121">
        <f t="shared" si="277"/>
        <v>5.7502500000000005E-2</v>
      </c>
      <c r="V1121">
        <f t="shared" si="277"/>
        <v>6.9003000000000009E-2</v>
      </c>
      <c r="W1121">
        <f t="shared" si="277"/>
        <v>8.0503500000000006E-2</v>
      </c>
      <c r="X1121">
        <f t="shared" si="277"/>
        <v>9.2004000000000002E-2</v>
      </c>
      <c r="Y1121">
        <f t="shared" si="277"/>
        <v>0.10350450000000001</v>
      </c>
      <c r="Z1121">
        <f t="shared" si="277"/>
        <v>0.11500500000000001</v>
      </c>
      <c r="AA1121">
        <f t="shared" si="277"/>
        <v>0.12650549999999999</v>
      </c>
      <c r="AB1121">
        <f t="shared" si="277"/>
        <v>0.13800600000000002</v>
      </c>
      <c r="AC1121">
        <f t="shared" si="277"/>
        <v>0.14950649999999999</v>
      </c>
      <c r="AD1121">
        <f t="shared" si="277"/>
        <v>0.16100700000000001</v>
      </c>
      <c r="AE1121">
        <f t="shared" si="277"/>
        <v>0.17250750000000001</v>
      </c>
    </row>
    <row r="1123" spans="1:31" x14ac:dyDescent="0.45">
      <c r="A1123" t="s">
        <v>1647</v>
      </c>
      <c r="B1123" t="s">
        <v>1480</v>
      </c>
      <c r="C1123" t="s">
        <v>1453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1647</v>
      </c>
      <c r="B1124" t="s">
        <v>1480</v>
      </c>
      <c r="C1124" t="s">
        <v>1453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2.5781250000000006E-3</v>
      </c>
      <c r="R1124">
        <f>IF(ISBLANK(Mitigation_Industry!R720),"",Mitigation_Industry!R720)</f>
        <v>5.1562500000000011E-3</v>
      </c>
      <c r="S1124">
        <f>IF(ISBLANK(Mitigation_Industry!S720),"",Mitigation_Industry!S720)</f>
        <v>7.7343750000000008E-3</v>
      </c>
      <c r="T1124">
        <f>IF(ISBLANK(Mitigation_Industry!T720),"",Mitigation_Industry!T720)</f>
        <v>1.0312500000000002E-2</v>
      </c>
      <c r="U1124">
        <f>IF(ISBLANK(Mitigation_Industry!U720),"",Mitigation_Industry!U720)</f>
        <v>1.2890624999999999E-2</v>
      </c>
      <c r="V1124">
        <f>IF(ISBLANK(Mitigation_Industry!V720),"",Mitigation_Industry!V720)</f>
        <v>1.5468750000000002E-2</v>
      </c>
      <c r="W1124">
        <f>IF(ISBLANK(Mitigation_Industry!W720),"",Mitigation_Industry!W720)</f>
        <v>1.8046875E-2</v>
      </c>
      <c r="X1124">
        <f>IF(ISBLANK(Mitigation_Industry!X720),"",Mitigation_Industry!X720)</f>
        <v>2.0625000000000004E-2</v>
      </c>
      <c r="Y1124">
        <f>IF(ISBLANK(Mitigation_Industry!Y720),"",Mitigation_Industry!Y720)</f>
        <v>2.3203125000000002E-2</v>
      </c>
      <c r="Z1124">
        <f>IF(ISBLANK(Mitigation_Industry!Z720),"",Mitigation_Industry!Z720)</f>
        <v>2.5781249999999999E-2</v>
      </c>
      <c r="AA1124">
        <f>IF(ISBLANK(Mitigation_Industry!AA720),"",Mitigation_Industry!AA720)</f>
        <v>2.8359375000000003E-2</v>
      </c>
      <c r="AB1124">
        <f>IF(ISBLANK(Mitigation_Industry!AB720),"",Mitigation_Industry!AB720)</f>
        <v>3.0937500000000003E-2</v>
      </c>
      <c r="AC1124">
        <f>IF(ISBLANK(Mitigation_Industry!AC720),"",Mitigation_Industry!AC720)</f>
        <v>3.3515625E-2</v>
      </c>
      <c r="AD1124">
        <f>IF(ISBLANK(Mitigation_Industry!AD720),"",Mitigation_Industry!AD720)</f>
        <v>3.6093750000000001E-2</v>
      </c>
      <c r="AE1124">
        <f>IF(ISBLANK(Mitigation_Industry!AE720),"",Mitigation_Industry!AE720)</f>
        <v>3.8671875000000008E-2</v>
      </c>
    </row>
    <row r="1125" spans="1:31" x14ac:dyDescent="0.45">
      <c r="A1125" t="s">
        <v>1647</v>
      </c>
      <c r="B1125" t="s">
        <v>1480</v>
      </c>
      <c r="C1125" t="s">
        <v>1453</v>
      </c>
      <c r="D1125">
        <v>2</v>
      </c>
      <c r="E1125" t="s">
        <v>1161</v>
      </c>
      <c r="F1125">
        <f>MAX(MAX(L1125:AE1125),-MIN(L1125:AE1125))</f>
        <v>3.8671875000000008E-2</v>
      </c>
      <c r="I1125" t="s">
        <v>1588</v>
      </c>
      <c r="J1125" t="s">
        <v>1630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2.5781250000000006E-3</v>
      </c>
      <c r="R1125">
        <f t="shared" si="278"/>
        <v>5.1562500000000011E-3</v>
      </c>
      <c r="S1125">
        <f t="shared" si="278"/>
        <v>7.7343750000000008E-3</v>
      </c>
      <c r="T1125">
        <f t="shared" si="278"/>
        <v>1.0312500000000002E-2</v>
      </c>
      <c r="U1125">
        <f t="shared" si="278"/>
        <v>1.2890624999999999E-2</v>
      </c>
      <c r="V1125">
        <f t="shared" si="278"/>
        <v>1.5468750000000002E-2</v>
      </c>
      <c r="W1125">
        <f t="shared" si="278"/>
        <v>1.8046875E-2</v>
      </c>
      <c r="X1125">
        <f t="shared" si="278"/>
        <v>2.0625000000000004E-2</v>
      </c>
      <c r="Y1125">
        <f t="shared" si="278"/>
        <v>2.3203125000000002E-2</v>
      </c>
      <c r="Z1125">
        <f t="shared" si="278"/>
        <v>2.5781249999999999E-2</v>
      </c>
      <c r="AA1125">
        <f t="shared" si="278"/>
        <v>2.8359375000000003E-2</v>
      </c>
      <c r="AB1125">
        <f t="shared" si="278"/>
        <v>3.0937500000000003E-2</v>
      </c>
      <c r="AC1125">
        <f t="shared" si="278"/>
        <v>3.3515625E-2</v>
      </c>
      <c r="AD1125">
        <f t="shared" si="278"/>
        <v>3.6093750000000001E-2</v>
      </c>
      <c r="AE1125">
        <f t="shared" si="278"/>
        <v>3.8671875000000008E-2</v>
      </c>
    </row>
    <row r="1127" spans="1:31" x14ac:dyDescent="0.45">
      <c r="A1127" t="s">
        <v>1648</v>
      </c>
      <c r="B1127" t="s">
        <v>1480</v>
      </c>
      <c r="C1127" t="s">
        <v>1456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1648</v>
      </c>
      <c r="B1128" t="s">
        <v>1480</v>
      </c>
      <c r="C1128" t="s">
        <v>1456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3.8750000000000007E-2</v>
      </c>
      <c r="R1128">
        <f>IF(ISBLANK(Mitigation_Industry!R721),"",Mitigation_Industry!R721)</f>
        <v>7.7500000000000013E-2</v>
      </c>
      <c r="S1128">
        <f>IF(ISBLANK(Mitigation_Industry!S721),"",Mitigation_Industry!S721)</f>
        <v>0.11625000000000001</v>
      </c>
      <c r="T1128">
        <f>IF(ISBLANK(Mitigation_Industry!T721),"",Mitigation_Industry!T721)</f>
        <v>0.15500000000000003</v>
      </c>
      <c r="U1128">
        <f>IF(ISBLANK(Mitigation_Industry!U721),"",Mitigation_Industry!U721)</f>
        <v>0.19375000000000003</v>
      </c>
      <c r="V1128">
        <f>IF(ISBLANK(Mitigation_Industry!V721),"",Mitigation_Industry!V721)</f>
        <v>0.23250000000000001</v>
      </c>
      <c r="W1128">
        <f>IF(ISBLANK(Mitigation_Industry!W721),"",Mitigation_Industry!W721)</f>
        <v>0.27124999999999999</v>
      </c>
      <c r="X1128">
        <f>IF(ISBLANK(Mitigation_Industry!X721),"",Mitigation_Industry!X721)</f>
        <v>0.31000000000000005</v>
      </c>
      <c r="Y1128">
        <f>IF(ISBLANK(Mitigation_Industry!Y721),"",Mitigation_Industry!Y721)</f>
        <v>0.34875000000000006</v>
      </c>
      <c r="Z1128">
        <f>IF(ISBLANK(Mitigation_Industry!Z721),"",Mitigation_Industry!Z721)</f>
        <v>0.38750000000000007</v>
      </c>
      <c r="AA1128">
        <f>IF(ISBLANK(Mitigation_Industry!AA721),"",Mitigation_Industry!AA721)</f>
        <v>0.42625000000000007</v>
      </c>
      <c r="AB1128">
        <f>IF(ISBLANK(Mitigation_Industry!AB721),"",Mitigation_Industry!AB721)</f>
        <v>0.46500000000000002</v>
      </c>
      <c r="AC1128">
        <f>IF(ISBLANK(Mitigation_Industry!AC721),"",Mitigation_Industry!AC721)</f>
        <v>0.50375000000000003</v>
      </c>
      <c r="AD1128">
        <f>IF(ISBLANK(Mitigation_Industry!AD721),"",Mitigation_Industry!AD721)</f>
        <v>0.54249999999999998</v>
      </c>
      <c r="AE1128">
        <f>IF(ISBLANK(Mitigation_Industry!AE721),"",Mitigation_Industry!AE721)</f>
        <v>0.58125000000000004</v>
      </c>
    </row>
    <row r="1129" spans="1:31" x14ac:dyDescent="0.45">
      <c r="A1129" t="s">
        <v>1648</v>
      </c>
      <c r="B1129" t="s">
        <v>1480</v>
      </c>
      <c r="C1129" t="s">
        <v>1456</v>
      </c>
      <c r="D1129">
        <v>2</v>
      </c>
      <c r="E1129" t="s">
        <v>1161</v>
      </c>
      <c r="F1129">
        <f>MAX(MAX(L1129:AE1129),-MIN(L1129:AE1129))</f>
        <v>0.58125000000000004</v>
      </c>
      <c r="I1129" t="s">
        <v>1588</v>
      </c>
      <c r="J1129" t="s">
        <v>1630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3.8750000000000007E-2</v>
      </c>
      <c r="R1129">
        <f t="shared" si="279"/>
        <v>7.7500000000000013E-2</v>
      </c>
      <c r="S1129">
        <f t="shared" si="279"/>
        <v>0.11625000000000001</v>
      </c>
      <c r="T1129">
        <f t="shared" si="279"/>
        <v>0.15500000000000003</v>
      </c>
      <c r="U1129">
        <f t="shared" si="279"/>
        <v>0.19375000000000003</v>
      </c>
      <c r="V1129">
        <f t="shared" si="279"/>
        <v>0.23250000000000001</v>
      </c>
      <c r="W1129">
        <f t="shared" si="279"/>
        <v>0.27124999999999999</v>
      </c>
      <c r="X1129">
        <f t="shared" si="279"/>
        <v>0.31000000000000005</v>
      </c>
      <c r="Y1129">
        <f t="shared" si="279"/>
        <v>0.34875000000000006</v>
      </c>
      <c r="Z1129">
        <f t="shared" si="279"/>
        <v>0.38750000000000007</v>
      </c>
      <c r="AA1129">
        <f t="shared" si="279"/>
        <v>0.42625000000000007</v>
      </c>
      <c r="AB1129">
        <f t="shared" si="279"/>
        <v>0.46500000000000002</v>
      </c>
      <c r="AC1129">
        <f t="shared" si="279"/>
        <v>0.50375000000000003</v>
      </c>
      <c r="AD1129">
        <f t="shared" si="279"/>
        <v>0.54249999999999998</v>
      </c>
      <c r="AE1129">
        <f t="shared" si="279"/>
        <v>0.58125000000000004</v>
      </c>
    </row>
    <row r="1131" spans="1:31" x14ac:dyDescent="0.45">
      <c r="A1131" t="s">
        <v>1649</v>
      </c>
      <c r="B1131" t="s">
        <v>1480</v>
      </c>
      <c r="C1131" t="s">
        <v>1459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1649</v>
      </c>
      <c r="B1132" t="s">
        <v>1480</v>
      </c>
      <c r="C1132" t="s">
        <v>1459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3.2761363636363637E-2</v>
      </c>
      <c r="R1132">
        <f>IF(ISBLANK(Mitigation_Industry!R722),"",Mitigation_Industry!R722)</f>
        <v>6.5522727272727274E-2</v>
      </c>
      <c r="S1132">
        <f>IF(ISBLANK(Mitigation_Industry!S722),"",Mitigation_Industry!S722)</f>
        <v>9.8284090909090904E-2</v>
      </c>
      <c r="T1132">
        <f>IF(ISBLANK(Mitigation_Industry!T722),"",Mitigation_Industry!T722)</f>
        <v>0.13104545454545455</v>
      </c>
      <c r="U1132">
        <f>IF(ISBLANK(Mitigation_Industry!U722),"",Mitigation_Industry!U722)</f>
        <v>0.16380681818181819</v>
      </c>
      <c r="V1132">
        <f>IF(ISBLANK(Mitigation_Industry!V722),"",Mitigation_Industry!V722)</f>
        <v>0.19656818181818181</v>
      </c>
      <c r="W1132">
        <f>IF(ISBLANK(Mitigation_Industry!W722),"",Mitigation_Industry!W722)</f>
        <v>0.22932954545454545</v>
      </c>
      <c r="X1132">
        <f>IF(ISBLANK(Mitigation_Industry!X722),"",Mitigation_Industry!X722)</f>
        <v>0.2620909090909091</v>
      </c>
      <c r="Y1132">
        <f>IF(ISBLANK(Mitigation_Industry!Y722),"",Mitigation_Industry!Y722)</f>
        <v>0.29485227272727277</v>
      </c>
      <c r="Z1132">
        <f>IF(ISBLANK(Mitigation_Industry!Z722),"",Mitigation_Industry!Z722)</f>
        <v>0.32761363636363638</v>
      </c>
      <c r="AA1132">
        <f>IF(ISBLANK(Mitigation_Industry!AA722),"",Mitigation_Industry!AA722)</f>
        <v>0.360375</v>
      </c>
      <c r="AB1132">
        <f>IF(ISBLANK(Mitigation_Industry!AB722),"",Mitigation_Industry!AB722)</f>
        <v>0.39313636363636362</v>
      </c>
      <c r="AC1132">
        <f>IF(ISBLANK(Mitigation_Industry!AC722),"",Mitigation_Industry!AC722)</f>
        <v>0.42589772727272729</v>
      </c>
      <c r="AD1132">
        <f>IF(ISBLANK(Mitigation_Industry!AD722),"",Mitigation_Industry!AD722)</f>
        <v>0.45865909090909091</v>
      </c>
      <c r="AE1132">
        <f>IF(ISBLANK(Mitigation_Industry!AE722),"",Mitigation_Industry!AE722)</f>
        <v>0.49142045454545452</v>
      </c>
    </row>
    <row r="1133" spans="1:31" x14ac:dyDescent="0.45">
      <c r="A1133" t="s">
        <v>1649</v>
      </c>
      <c r="B1133" t="s">
        <v>1480</v>
      </c>
      <c r="C1133" t="s">
        <v>1459</v>
      </c>
      <c r="D1133">
        <v>2</v>
      </c>
      <c r="E1133" t="s">
        <v>1161</v>
      </c>
      <c r="F1133">
        <f>MAX(MAX(L1133:AE1133),-MIN(L1133:AE1133))</f>
        <v>0.49142045454545452</v>
      </c>
      <c r="I1133" t="s">
        <v>1588</v>
      </c>
      <c r="J1133" t="s">
        <v>1630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3.2761363636363637E-2</v>
      </c>
      <c r="R1133">
        <f t="shared" si="280"/>
        <v>6.5522727272727274E-2</v>
      </c>
      <c r="S1133">
        <f t="shared" si="280"/>
        <v>9.8284090909090904E-2</v>
      </c>
      <c r="T1133">
        <f t="shared" si="280"/>
        <v>0.13104545454545455</v>
      </c>
      <c r="U1133">
        <f t="shared" si="280"/>
        <v>0.16380681818181819</v>
      </c>
      <c r="V1133">
        <f t="shared" si="280"/>
        <v>0.19656818181818181</v>
      </c>
      <c r="W1133">
        <f t="shared" si="280"/>
        <v>0.22932954545454545</v>
      </c>
      <c r="X1133">
        <f t="shared" si="280"/>
        <v>0.2620909090909091</v>
      </c>
      <c r="Y1133">
        <f t="shared" si="280"/>
        <v>0.29485227272727277</v>
      </c>
      <c r="Z1133">
        <f t="shared" si="280"/>
        <v>0.32761363636363638</v>
      </c>
      <c r="AA1133">
        <f t="shared" si="280"/>
        <v>0.360375</v>
      </c>
      <c r="AB1133">
        <f t="shared" si="280"/>
        <v>0.39313636363636362</v>
      </c>
      <c r="AC1133">
        <f t="shared" si="280"/>
        <v>0.42589772727272729</v>
      </c>
      <c r="AD1133">
        <f t="shared" si="280"/>
        <v>0.45865909090909091</v>
      </c>
      <c r="AE1133">
        <f t="shared" si="280"/>
        <v>0.49142045454545452</v>
      </c>
    </row>
    <row r="1135" spans="1:31" x14ac:dyDescent="0.45">
      <c r="A1135" t="s">
        <v>1650</v>
      </c>
      <c r="B1135" t="s">
        <v>1480</v>
      </c>
      <c r="C1135" t="s">
        <v>1462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1650</v>
      </c>
      <c r="B1136" t="s">
        <v>1480</v>
      </c>
      <c r="C1136" t="s">
        <v>1462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5.1424999999999998E-2</v>
      </c>
      <c r="R1136">
        <f>IF(ISBLANK(Mitigation_Industry!R723),"",Mitigation_Industry!R723)</f>
        <v>0.10285</v>
      </c>
      <c r="S1136">
        <f>IF(ISBLANK(Mitigation_Industry!S723),"",Mitigation_Industry!S723)</f>
        <v>0.154275</v>
      </c>
      <c r="T1136">
        <f>IF(ISBLANK(Mitigation_Industry!T723),"",Mitigation_Industry!T723)</f>
        <v>0.20569999999999999</v>
      </c>
      <c r="U1136">
        <f>IF(ISBLANK(Mitigation_Industry!U723),"",Mitigation_Industry!U723)</f>
        <v>0.25712499999999999</v>
      </c>
      <c r="V1136">
        <f>IF(ISBLANK(Mitigation_Industry!V723),"",Mitigation_Industry!V723)</f>
        <v>0.30854999999999999</v>
      </c>
      <c r="W1136">
        <f>IF(ISBLANK(Mitigation_Industry!W723),"",Mitigation_Industry!W723)</f>
        <v>0.35997499999999993</v>
      </c>
      <c r="X1136">
        <f>IF(ISBLANK(Mitigation_Industry!X723),"",Mitigation_Industry!X723)</f>
        <v>0.41139999999999999</v>
      </c>
      <c r="Y1136">
        <f>IF(ISBLANK(Mitigation_Industry!Y723),"",Mitigation_Industry!Y723)</f>
        <v>0.46282499999999993</v>
      </c>
      <c r="Z1136">
        <f>IF(ISBLANK(Mitigation_Industry!Z723),"",Mitigation_Industry!Z723)</f>
        <v>0.51424999999999998</v>
      </c>
      <c r="AA1136">
        <f>IF(ISBLANK(Mitigation_Industry!AA723),"",Mitigation_Industry!AA723)</f>
        <v>0.56567499999999993</v>
      </c>
      <c r="AB1136">
        <f>IF(ISBLANK(Mitigation_Industry!AB723),"",Mitigation_Industry!AB723)</f>
        <v>0.61709999999999998</v>
      </c>
      <c r="AC1136">
        <f>IF(ISBLANK(Mitigation_Industry!AC723),"",Mitigation_Industry!AC723)</f>
        <v>0.66852500000000004</v>
      </c>
      <c r="AD1136">
        <f>IF(ISBLANK(Mitigation_Industry!AD723),"",Mitigation_Industry!AD723)</f>
        <v>0.71994999999999987</v>
      </c>
      <c r="AE1136">
        <f>IF(ISBLANK(Mitigation_Industry!AE723),"",Mitigation_Industry!AE723)</f>
        <v>0.77137499999999992</v>
      </c>
    </row>
    <row r="1137" spans="1:31" x14ac:dyDescent="0.45">
      <c r="A1137" t="s">
        <v>1650</v>
      </c>
      <c r="B1137" t="s">
        <v>1480</v>
      </c>
      <c r="C1137" t="s">
        <v>1462</v>
      </c>
      <c r="D1137">
        <v>2</v>
      </c>
      <c r="E1137" t="s">
        <v>1161</v>
      </c>
      <c r="F1137">
        <f>MAX(MAX(L1137:AE1137),-MIN(L1137:AE1137))</f>
        <v>0.77137499999999992</v>
      </c>
      <c r="I1137" t="s">
        <v>1588</v>
      </c>
      <c r="J1137" t="s">
        <v>1630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5.1424999999999998E-2</v>
      </c>
      <c r="R1137">
        <f t="shared" si="281"/>
        <v>0.10285</v>
      </c>
      <c r="S1137">
        <f t="shared" si="281"/>
        <v>0.154275</v>
      </c>
      <c r="T1137">
        <f t="shared" si="281"/>
        <v>0.20569999999999999</v>
      </c>
      <c r="U1137">
        <f t="shared" si="281"/>
        <v>0.25712499999999999</v>
      </c>
      <c r="V1137">
        <f t="shared" si="281"/>
        <v>0.30854999999999999</v>
      </c>
      <c r="W1137">
        <f t="shared" si="281"/>
        <v>0.35997499999999993</v>
      </c>
      <c r="X1137">
        <f t="shared" si="281"/>
        <v>0.41139999999999999</v>
      </c>
      <c r="Y1137">
        <f t="shared" si="281"/>
        <v>0.46282499999999993</v>
      </c>
      <c r="Z1137">
        <f t="shared" si="281"/>
        <v>0.51424999999999998</v>
      </c>
      <c r="AA1137">
        <f t="shared" si="281"/>
        <v>0.56567499999999993</v>
      </c>
      <c r="AB1137">
        <f t="shared" si="281"/>
        <v>0.61709999999999998</v>
      </c>
      <c r="AC1137">
        <f t="shared" si="281"/>
        <v>0.66852500000000004</v>
      </c>
      <c r="AD1137">
        <f t="shared" si="281"/>
        <v>0.71994999999999987</v>
      </c>
      <c r="AE1137">
        <f t="shared" si="281"/>
        <v>0.77137499999999992</v>
      </c>
    </row>
    <row r="1139" spans="1:31" x14ac:dyDescent="0.45">
      <c r="A1139" t="s">
        <v>1651</v>
      </c>
      <c r="B1139" t="s">
        <v>1480</v>
      </c>
      <c r="C1139" t="s">
        <v>1465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1651</v>
      </c>
      <c r="B1140" t="s">
        <v>1480</v>
      </c>
      <c r="C1140" t="s">
        <v>1465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1651</v>
      </c>
      <c r="B1141" t="s">
        <v>1480</v>
      </c>
      <c r="C1141" t="s">
        <v>1465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1588</v>
      </c>
      <c r="J1141" t="s">
        <v>1630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1652</v>
      </c>
      <c r="B1143" t="s">
        <v>1480</v>
      </c>
      <c r="C1143" t="s">
        <v>1468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1652</v>
      </c>
      <c r="B1144" t="s">
        <v>1480</v>
      </c>
      <c r="C1144" t="s">
        <v>1468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1652</v>
      </c>
      <c r="B1145" t="s">
        <v>1480</v>
      </c>
      <c r="C1145" t="s">
        <v>1468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1588</v>
      </c>
      <c r="J1145" t="s">
        <v>1630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1653</v>
      </c>
      <c r="B1147" t="s">
        <v>1480</v>
      </c>
      <c r="C1147" t="s">
        <v>1471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1653</v>
      </c>
      <c r="B1148" t="s">
        <v>1480</v>
      </c>
      <c r="C1148" t="s">
        <v>1471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8.1249999999999996E-4</v>
      </c>
      <c r="R1148">
        <f>IF(ISBLANK(Mitigation_Industry!R726),"",Mitigation_Industry!R726)</f>
        <v>1.6249999999999999E-3</v>
      </c>
      <c r="S1148">
        <f>IF(ISBLANK(Mitigation_Industry!S726),"",Mitigation_Industry!S726)</f>
        <v>2.4375E-3</v>
      </c>
      <c r="T1148">
        <f>IF(ISBLANK(Mitigation_Industry!T726),"",Mitigation_Industry!T726)</f>
        <v>3.2499999999999999E-3</v>
      </c>
      <c r="U1148">
        <f>IF(ISBLANK(Mitigation_Industry!U726),"",Mitigation_Industry!U726)</f>
        <v>4.0625000000000001E-3</v>
      </c>
      <c r="V1148">
        <f>IF(ISBLANK(Mitigation_Industry!V726),"",Mitigation_Industry!V726)</f>
        <v>4.875E-3</v>
      </c>
      <c r="W1148">
        <f>IF(ISBLANK(Mitigation_Industry!W726),"",Mitigation_Industry!W726)</f>
        <v>5.6874999999999998E-3</v>
      </c>
      <c r="X1148">
        <f>IF(ISBLANK(Mitigation_Industry!X726),"",Mitigation_Industry!X726)</f>
        <v>6.4999999999999997E-3</v>
      </c>
      <c r="Y1148">
        <f>IF(ISBLANK(Mitigation_Industry!Y726),"",Mitigation_Industry!Y726)</f>
        <v>7.3125000000000004E-3</v>
      </c>
      <c r="Z1148">
        <f>IF(ISBLANK(Mitigation_Industry!Z726),"",Mitigation_Industry!Z726)</f>
        <v>8.1250000000000003E-3</v>
      </c>
      <c r="AA1148">
        <f>IF(ISBLANK(Mitigation_Industry!AA726),"",Mitigation_Industry!AA726)</f>
        <v>8.9374999999999993E-3</v>
      </c>
      <c r="AB1148">
        <f>IF(ISBLANK(Mitigation_Industry!AB726),"",Mitigation_Industry!AB726)</f>
        <v>9.75E-3</v>
      </c>
      <c r="AC1148">
        <f>IF(ISBLANK(Mitigation_Industry!AC726),"",Mitigation_Industry!AC726)</f>
        <v>1.0562500000000001E-2</v>
      </c>
      <c r="AD1148">
        <f>IF(ISBLANK(Mitigation_Industry!AD726),"",Mitigation_Industry!AD726)</f>
        <v>1.1375E-2</v>
      </c>
      <c r="AE1148">
        <f>IF(ISBLANK(Mitigation_Industry!AE726),"",Mitigation_Industry!AE726)</f>
        <v>1.21875E-2</v>
      </c>
    </row>
    <row r="1149" spans="1:31" x14ac:dyDescent="0.45">
      <c r="A1149" t="s">
        <v>1653</v>
      </c>
      <c r="B1149" t="s">
        <v>1480</v>
      </c>
      <c r="C1149" t="s">
        <v>1471</v>
      </c>
      <c r="D1149">
        <v>2</v>
      </c>
      <c r="E1149" t="s">
        <v>1161</v>
      </c>
      <c r="F1149">
        <f>MAX(MAX(L1149:AE1149),-MIN(L1149:AE1149))</f>
        <v>1.21875E-2</v>
      </c>
      <c r="I1149" t="s">
        <v>1588</v>
      </c>
      <c r="J1149" t="s">
        <v>1630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8.1249999999999996E-4</v>
      </c>
      <c r="R1149">
        <f t="shared" si="284"/>
        <v>1.6249999999999999E-3</v>
      </c>
      <c r="S1149">
        <f t="shared" si="284"/>
        <v>2.4375E-3</v>
      </c>
      <c r="T1149">
        <f t="shared" si="284"/>
        <v>3.2499999999999999E-3</v>
      </c>
      <c r="U1149">
        <f t="shared" si="284"/>
        <v>4.0625000000000001E-3</v>
      </c>
      <c r="V1149">
        <f t="shared" si="284"/>
        <v>4.875E-3</v>
      </c>
      <c r="W1149">
        <f t="shared" si="284"/>
        <v>5.6874999999999998E-3</v>
      </c>
      <c r="X1149">
        <f t="shared" si="284"/>
        <v>6.4999999999999997E-3</v>
      </c>
      <c r="Y1149">
        <f t="shared" si="284"/>
        <v>7.3125000000000004E-3</v>
      </c>
      <c r="Z1149">
        <f t="shared" si="284"/>
        <v>8.1250000000000003E-3</v>
      </c>
      <c r="AA1149">
        <f t="shared" si="284"/>
        <v>8.9374999999999993E-3</v>
      </c>
      <c r="AB1149">
        <f t="shared" si="284"/>
        <v>9.75E-3</v>
      </c>
      <c r="AC1149">
        <f t="shared" si="284"/>
        <v>1.0562500000000001E-2</v>
      </c>
      <c r="AD1149">
        <f t="shared" si="284"/>
        <v>1.1375E-2</v>
      </c>
      <c r="AE1149">
        <f t="shared" si="284"/>
        <v>1.21875E-2</v>
      </c>
    </row>
    <row r="1151" spans="1:31" x14ac:dyDescent="0.45">
      <c r="A1151" t="s">
        <v>1654</v>
      </c>
      <c r="B1151" t="s">
        <v>1481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1654</v>
      </c>
      <c r="B1152" t="s">
        <v>1481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3.2287703131193024</v>
      </c>
      <c r="M1152">
        <f>IF(ISBLANK(Mitigation_Industry!M729),"",Mitigation_Industry!M729)</f>
        <v>3.3708362068965516</v>
      </c>
      <c r="N1152">
        <f>IF(ISBLANK(Mitigation_Industry!N729),"",Mitigation_Industry!N729)</f>
        <v>3.5191530000000002</v>
      </c>
      <c r="O1152">
        <f>IF(ISBLANK(Mitigation_Industry!O729),"",Mitigation_Industry!O729)</f>
        <v>3.6739957320000007</v>
      </c>
      <c r="P1152">
        <f>IF(ISBLANK(Mitigation_Industry!P729),"",Mitigation_Industry!P729)</f>
        <v>3.8356515442080008</v>
      </c>
      <c r="Q1152">
        <f>IF(ISBLANK(Mitigation_Industry!Q729),"",Mitigation_Industry!Q729)</f>
        <v>4.0044202121531534</v>
      </c>
      <c r="R1152">
        <f>IF(ISBLANK(Mitigation_Industry!R729),"",Mitigation_Industry!R729)</f>
        <v>4.1806147014878912</v>
      </c>
      <c r="S1152">
        <f>IF(ISBLANK(Mitigation_Industry!S729),"",Mitigation_Industry!S729)</f>
        <v>4.3645617483533599</v>
      </c>
      <c r="T1152">
        <f>IF(ISBLANK(Mitigation_Industry!T729),"",Mitigation_Industry!T729)</f>
        <v>4.556602465280907</v>
      </c>
      <c r="U1152">
        <f>IF(ISBLANK(Mitigation_Industry!U729),"",Mitigation_Industry!U729)</f>
        <v>4.7570929737532675</v>
      </c>
      <c r="V1152">
        <f>IF(ISBLANK(Mitigation_Industry!V729),"",Mitigation_Industry!V729)</f>
        <v>4.9664050645984119</v>
      </c>
      <c r="W1152">
        <f>IF(ISBLANK(Mitigation_Industry!W729),"",Mitigation_Industry!W729)</f>
        <v>5.1849268874407413</v>
      </c>
      <c r="X1152">
        <f>IF(ISBLANK(Mitigation_Industry!X729),"",Mitigation_Industry!X729)</f>
        <v>5.4130636704881345</v>
      </c>
      <c r="Y1152">
        <f>IF(ISBLANK(Mitigation_Industry!Y729),"",Mitigation_Industry!Y729)</f>
        <v>5.6512384719896129</v>
      </c>
      <c r="Z1152">
        <f>IF(ISBLANK(Mitigation_Industry!Z729),"",Mitigation_Industry!Z729)</f>
        <v>5.8998929647571554</v>
      </c>
      <c r="AA1152">
        <f>IF(ISBLANK(Mitigation_Industry!AA729),"",Mitigation_Industry!AA729)</f>
        <v>6.1594882552064707</v>
      </c>
      <c r="AB1152">
        <f>IF(ISBLANK(Mitigation_Industry!AB729),"",Mitigation_Industry!AB729)</f>
        <v>6.4305057384355555</v>
      </c>
      <c r="AC1152">
        <f>IF(ISBLANK(Mitigation_Industry!AC729),"",Mitigation_Industry!AC729)</f>
        <v>6.7134479909267206</v>
      </c>
      <c r="AD1152">
        <f>IF(ISBLANK(Mitigation_Industry!AD729),"",Mitigation_Industry!AD729)</f>
        <v>7.0088397025274967</v>
      </c>
      <c r="AE1152">
        <f>IF(ISBLANK(Mitigation_Industry!AE729),"",Mitigation_Industry!AE729)</f>
        <v>7.3172286494387055</v>
      </c>
    </row>
    <row r="1153" spans="1:31" x14ac:dyDescent="0.45">
      <c r="A1153" t="s">
        <v>1654</v>
      </c>
      <c r="B1153" t="s">
        <v>1481</v>
      </c>
      <c r="C1153" t="s">
        <v>1350</v>
      </c>
      <c r="D1153">
        <v>2</v>
      </c>
      <c r="E1153" t="s">
        <v>1161</v>
      </c>
      <c r="F1153">
        <f>MAX(MAX(L1153:AE1153),-MIN(L1153:AE1153))</f>
        <v>0</v>
      </c>
      <c r="I1153" t="s">
        <v>1509</v>
      </c>
      <c r="K1153">
        <f t="shared" ref="K1153:AE1153" si="285">IF(ISNUMBER(K1151),IF(ISNUMBER(K1152),K1152-K1151,999999),0)</f>
        <v>0</v>
      </c>
      <c r="L1153">
        <f t="shared" si="285"/>
        <v>0</v>
      </c>
      <c r="M1153">
        <f t="shared" si="285"/>
        <v>0</v>
      </c>
      <c r="N1153">
        <f t="shared" si="285"/>
        <v>0</v>
      </c>
      <c r="O1153">
        <f t="shared" si="285"/>
        <v>0</v>
      </c>
      <c r="P1153">
        <f t="shared" si="285"/>
        <v>0</v>
      </c>
      <c r="Q1153">
        <f t="shared" si="285"/>
        <v>0</v>
      </c>
      <c r="R1153">
        <f t="shared" si="285"/>
        <v>0</v>
      </c>
      <c r="S1153">
        <f t="shared" si="285"/>
        <v>0</v>
      </c>
      <c r="T1153">
        <f t="shared" si="285"/>
        <v>0</v>
      </c>
      <c r="U1153">
        <f t="shared" si="285"/>
        <v>0</v>
      </c>
      <c r="V1153">
        <f t="shared" si="285"/>
        <v>0</v>
      </c>
      <c r="W1153">
        <f t="shared" si="285"/>
        <v>0</v>
      </c>
      <c r="X1153">
        <f t="shared" si="285"/>
        <v>0</v>
      </c>
      <c r="Y1153">
        <f t="shared" si="285"/>
        <v>0</v>
      </c>
      <c r="Z1153">
        <f t="shared" si="285"/>
        <v>0</v>
      </c>
      <c r="AA1153">
        <f t="shared" si="285"/>
        <v>0</v>
      </c>
      <c r="AB1153">
        <f t="shared" si="285"/>
        <v>0</v>
      </c>
      <c r="AC1153">
        <f t="shared" si="285"/>
        <v>0</v>
      </c>
      <c r="AD1153">
        <f t="shared" si="285"/>
        <v>0</v>
      </c>
      <c r="AE1153">
        <f t="shared" si="285"/>
        <v>0</v>
      </c>
    </row>
    <row r="1155" spans="1:31" x14ac:dyDescent="0.45">
      <c r="A1155" t="s">
        <v>1655</v>
      </c>
      <c r="B1155" t="s">
        <v>1481</v>
      </c>
      <c r="C1155" t="s">
        <v>1357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1655</v>
      </c>
      <c r="B1156" t="s">
        <v>1481</v>
      </c>
      <c r="C1156" t="s">
        <v>1357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0.61765094464262127</v>
      </c>
      <c r="M1156">
        <f>IF(ISBLANK(Mitigation_Industry!M730),"",Mitigation_Industry!M730)</f>
        <v>0.64482758620689662</v>
      </c>
      <c r="N1156">
        <f>IF(ISBLANK(Mitigation_Industry!N730),"",Mitigation_Industry!N730)</f>
        <v>0.67320000000000002</v>
      </c>
      <c r="O1156">
        <f>IF(ISBLANK(Mitigation_Industry!O730),"",Mitigation_Industry!O730)</f>
        <v>0.70282080000000002</v>
      </c>
      <c r="P1156">
        <f>IF(ISBLANK(Mitigation_Industry!P730),"",Mitigation_Industry!P730)</f>
        <v>0.73374491520000007</v>
      </c>
      <c r="Q1156">
        <f>IF(ISBLANK(Mitigation_Industry!Q730),"",Mitigation_Industry!Q730)</f>
        <v>0.76602969146880007</v>
      </c>
      <c r="R1156">
        <f>IF(ISBLANK(Mitigation_Industry!R730),"",Mitigation_Industry!R730)</f>
        <v>0.79973499789342728</v>
      </c>
      <c r="S1156">
        <f>IF(ISBLANK(Mitigation_Industry!S730),"",Mitigation_Industry!S730)</f>
        <v>0.83492333780073813</v>
      </c>
      <c r="T1156">
        <f>IF(ISBLANK(Mitigation_Industry!T730),"",Mitigation_Industry!T730)</f>
        <v>0.87165996466397067</v>
      </c>
      <c r="U1156">
        <f>IF(ISBLANK(Mitigation_Industry!U730),"",Mitigation_Industry!U730)</f>
        <v>0.91001300310918543</v>
      </c>
      <c r="V1156">
        <f>IF(ISBLANK(Mitigation_Industry!V730),"",Mitigation_Industry!V730)</f>
        <v>0.95005357524598955</v>
      </c>
      <c r="W1156">
        <f>IF(ISBLANK(Mitigation_Industry!W730),"",Mitigation_Industry!W730)</f>
        <v>0.99185593255681304</v>
      </c>
      <c r="X1156">
        <f>IF(ISBLANK(Mitigation_Industry!X730),"",Mitigation_Industry!X730)</f>
        <v>1.0354975935893131</v>
      </c>
      <c r="Y1156">
        <f>IF(ISBLANK(Mitigation_Industry!Y730),"",Mitigation_Industry!Y730)</f>
        <v>1.0810594877072426</v>
      </c>
      <c r="Z1156">
        <f>IF(ISBLANK(Mitigation_Industry!Z730),"",Mitigation_Industry!Z730)</f>
        <v>1.1286261051663613</v>
      </c>
      <c r="AA1156">
        <f>IF(ISBLANK(Mitigation_Industry!AA730),"",Mitigation_Industry!AA730)</f>
        <v>1.1782856537936812</v>
      </c>
      <c r="AB1156">
        <f>IF(ISBLANK(Mitigation_Industry!AB730),"",Mitigation_Industry!AB730)</f>
        <v>1.2301302225606032</v>
      </c>
      <c r="AC1156">
        <f>IF(ISBLANK(Mitigation_Industry!AC730),"",Mitigation_Industry!AC730)</f>
        <v>1.2842559523532697</v>
      </c>
      <c r="AD1156">
        <f>IF(ISBLANK(Mitigation_Industry!AD730),"",Mitigation_Industry!AD730)</f>
        <v>1.3407632142568136</v>
      </c>
      <c r="AE1156">
        <f>IF(ISBLANK(Mitigation_Industry!AE730),"",Mitigation_Industry!AE730)</f>
        <v>1.3997567956841135</v>
      </c>
    </row>
    <row r="1157" spans="1:31" x14ac:dyDescent="0.45">
      <c r="A1157" t="s">
        <v>1655</v>
      </c>
      <c r="B1157" t="s">
        <v>1481</v>
      </c>
      <c r="C1157" t="s">
        <v>1357</v>
      </c>
      <c r="D1157">
        <v>2</v>
      </c>
      <c r="E1157" t="s">
        <v>1161</v>
      </c>
      <c r="F1157">
        <f>MAX(MAX(L1157:AE1157),-MIN(L1157:AE1157))</f>
        <v>0</v>
      </c>
      <c r="I1157" t="s">
        <v>1509</v>
      </c>
      <c r="K1157">
        <f t="shared" ref="K1157:AE1157" si="286">IF(ISNUMBER(K1155),IF(ISNUMBER(K1156),K1156-K1155,999999),0)</f>
        <v>0</v>
      </c>
      <c r="L1157">
        <f t="shared" si="286"/>
        <v>0</v>
      </c>
      <c r="M1157">
        <f t="shared" si="286"/>
        <v>0</v>
      </c>
      <c r="N1157">
        <f t="shared" si="286"/>
        <v>0</v>
      </c>
      <c r="O1157">
        <f t="shared" si="286"/>
        <v>0</v>
      </c>
      <c r="P1157">
        <f t="shared" si="286"/>
        <v>0</v>
      </c>
      <c r="Q1157">
        <f t="shared" si="286"/>
        <v>0</v>
      </c>
      <c r="R1157">
        <f t="shared" si="286"/>
        <v>0</v>
      </c>
      <c r="S1157">
        <f t="shared" si="286"/>
        <v>0</v>
      </c>
      <c r="T1157">
        <f t="shared" si="286"/>
        <v>0</v>
      </c>
      <c r="U1157">
        <f t="shared" si="286"/>
        <v>0</v>
      </c>
      <c r="V1157">
        <f t="shared" si="286"/>
        <v>0</v>
      </c>
      <c r="W1157">
        <f t="shared" si="286"/>
        <v>0</v>
      </c>
      <c r="X1157">
        <f t="shared" si="286"/>
        <v>0</v>
      </c>
      <c r="Y1157">
        <f t="shared" si="286"/>
        <v>0</v>
      </c>
      <c r="Z1157">
        <f t="shared" si="286"/>
        <v>0</v>
      </c>
      <c r="AA1157">
        <f t="shared" si="286"/>
        <v>0</v>
      </c>
      <c r="AB1157">
        <f t="shared" si="286"/>
        <v>0</v>
      </c>
      <c r="AC1157">
        <f t="shared" si="286"/>
        <v>0</v>
      </c>
      <c r="AD1157">
        <f t="shared" si="286"/>
        <v>0</v>
      </c>
      <c r="AE1157">
        <f t="shared" si="286"/>
        <v>0</v>
      </c>
    </row>
    <row r="1159" spans="1:31" x14ac:dyDescent="0.45">
      <c r="A1159" t="s">
        <v>1656</v>
      </c>
      <c r="B1159" t="s">
        <v>1481</v>
      </c>
      <c r="C1159" t="s">
        <v>1363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1656</v>
      </c>
      <c r="B1160" t="s">
        <v>1481</v>
      </c>
      <c r="C1160" t="s">
        <v>1363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1656</v>
      </c>
      <c r="B1161" t="s">
        <v>1481</v>
      </c>
      <c r="C1161" t="s">
        <v>1363</v>
      </c>
      <c r="D1161">
        <v>2</v>
      </c>
      <c r="E1161" t="s">
        <v>1161</v>
      </c>
      <c r="F1161">
        <f>MAX(MAX(L1161:AE1161),-MIN(L1161:AE1161))</f>
        <v>0</v>
      </c>
      <c r="I1161" t="s">
        <v>1509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1657</v>
      </c>
      <c r="B1163" t="s">
        <v>1481</v>
      </c>
      <c r="C1163" t="s">
        <v>1369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1657</v>
      </c>
      <c r="B1164" t="s">
        <v>1481</v>
      </c>
      <c r="C1164" t="s">
        <v>1369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13.508713893592759</v>
      </c>
      <c r="M1164">
        <f>IF(ISBLANK(Mitigation_Industry!M732),"",Mitigation_Industry!M732)</f>
        <v>13.954501452081319</v>
      </c>
      <c r="N1164">
        <f>IF(ISBLANK(Mitigation_Industry!N732),"",Mitigation_Industry!N732)</f>
        <v>14.414999999999999</v>
      </c>
      <c r="O1164">
        <f>IF(ISBLANK(Mitigation_Industry!O732),"",Mitigation_Industry!O732)</f>
        <v>14.890694999999997</v>
      </c>
      <c r="P1164">
        <f>IF(ISBLANK(Mitigation_Industry!P732),"",Mitigation_Industry!P732)</f>
        <v>15.382087934999998</v>
      </c>
      <c r="Q1164">
        <f>IF(ISBLANK(Mitigation_Industry!Q732),"",Mitigation_Industry!Q732)</f>
        <v>15.889696836854995</v>
      </c>
      <c r="R1164">
        <f>IF(ISBLANK(Mitigation_Industry!R732),"",Mitigation_Industry!R732)</f>
        <v>16.414056832471207</v>
      </c>
      <c r="S1164">
        <f>IF(ISBLANK(Mitigation_Industry!S732),"",Mitigation_Industry!S732)</f>
        <v>16.955720707942756</v>
      </c>
      <c r="T1164">
        <f>IF(ISBLANK(Mitigation_Industry!T732),"",Mitigation_Industry!T732)</f>
        <v>17.515259491304867</v>
      </c>
      <c r="U1164">
        <f>IF(ISBLANK(Mitigation_Industry!U732),"",Mitigation_Industry!U732)</f>
        <v>18.093263054517926</v>
      </c>
      <c r="V1164">
        <f>IF(ISBLANK(Mitigation_Industry!V732),"",Mitigation_Industry!V732)</f>
        <v>18.690340735317015</v>
      </c>
      <c r="W1164">
        <f>IF(ISBLANK(Mitigation_Industry!W732),"",Mitigation_Industry!W732)</f>
        <v>19.307121979582476</v>
      </c>
      <c r="X1164">
        <f>IF(ISBLANK(Mitigation_Industry!X732),"",Mitigation_Industry!X732)</f>
        <v>19.944257004908696</v>
      </c>
      <c r="Y1164">
        <f>IF(ISBLANK(Mitigation_Industry!Y732),"",Mitigation_Industry!Y732)</f>
        <v>20.602417486070681</v>
      </c>
      <c r="Z1164">
        <f>IF(ISBLANK(Mitigation_Industry!Z732),"",Mitigation_Industry!Z732)</f>
        <v>21.282297263111012</v>
      </c>
      <c r="AA1164">
        <f>IF(ISBLANK(Mitigation_Industry!AA732),"",Mitigation_Industry!AA732)</f>
        <v>21.984613072793675</v>
      </c>
      <c r="AB1164">
        <f>IF(ISBLANK(Mitigation_Industry!AB732),"",Mitigation_Industry!AB732)</f>
        <v>22.710105304195867</v>
      </c>
      <c r="AC1164">
        <f>IF(ISBLANK(Mitigation_Industry!AC732),"",Mitigation_Industry!AC732)</f>
        <v>23.459538779234329</v>
      </c>
      <c r="AD1164">
        <f>IF(ISBLANK(Mitigation_Industry!AD732),"",Mitigation_Industry!AD732)</f>
        <v>24.23370355894906</v>
      </c>
      <c r="AE1164">
        <f>IF(ISBLANK(Mitigation_Industry!AE732),"",Mitigation_Industry!AE732)</f>
        <v>25.033415776394378</v>
      </c>
    </row>
    <row r="1165" spans="1:31" x14ac:dyDescent="0.45">
      <c r="A1165" t="s">
        <v>1657</v>
      </c>
      <c r="B1165" t="s">
        <v>1481</v>
      </c>
      <c r="C1165" t="s">
        <v>1369</v>
      </c>
      <c r="D1165">
        <v>2</v>
      </c>
      <c r="E1165" t="s">
        <v>1161</v>
      </c>
      <c r="F1165">
        <f>MAX(MAX(L1165:AE1165),-MIN(L1165:AE1165))</f>
        <v>7.1054273576010019E-15</v>
      </c>
      <c r="I1165" t="s">
        <v>1509</v>
      </c>
      <c r="K1165">
        <f t="shared" ref="K1165:AE1165" si="288">IF(ISNUMBER(K1163),IF(ISNUMBER(K1164),K1164-K1163,999999),0)</f>
        <v>0</v>
      </c>
      <c r="L1165">
        <f t="shared" si="288"/>
        <v>1.7763568394002505E-15</v>
      </c>
      <c r="M1165">
        <f t="shared" si="288"/>
        <v>1.7763568394002505E-15</v>
      </c>
      <c r="N1165">
        <f t="shared" si="288"/>
        <v>3.5527136788005009E-15</v>
      </c>
      <c r="O1165">
        <f t="shared" si="288"/>
        <v>3.5527136788005009E-15</v>
      </c>
      <c r="P1165">
        <f t="shared" si="288"/>
        <v>3.5527136788005009E-15</v>
      </c>
      <c r="Q1165">
        <f t="shared" si="288"/>
        <v>3.5527136788005009E-15</v>
      </c>
      <c r="R1165">
        <f t="shared" si="288"/>
        <v>3.5527136788005009E-15</v>
      </c>
      <c r="S1165">
        <f t="shared" si="288"/>
        <v>3.5527136788005009E-15</v>
      </c>
      <c r="T1165">
        <f t="shared" si="288"/>
        <v>3.5527136788005009E-15</v>
      </c>
      <c r="U1165">
        <f t="shared" si="288"/>
        <v>3.5527136788005009E-15</v>
      </c>
      <c r="V1165">
        <f t="shared" si="288"/>
        <v>3.5527136788005009E-15</v>
      </c>
      <c r="W1165">
        <f t="shared" si="288"/>
        <v>3.5527136788005009E-15</v>
      </c>
      <c r="X1165">
        <f t="shared" si="288"/>
        <v>3.5527136788005009E-15</v>
      </c>
      <c r="Y1165">
        <f t="shared" si="288"/>
        <v>3.5527136788005009E-15</v>
      </c>
      <c r="Z1165">
        <f t="shared" si="288"/>
        <v>3.5527136788005009E-15</v>
      </c>
      <c r="AA1165">
        <f t="shared" si="288"/>
        <v>3.5527136788005009E-15</v>
      </c>
      <c r="AB1165">
        <f t="shared" si="288"/>
        <v>3.5527136788005009E-15</v>
      </c>
      <c r="AC1165">
        <f t="shared" si="288"/>
        <v>7.1054273576010019E-15</v>
      </c>
      <c r="AD1165">
        <f t="shared" si="288"/>
        <v>3.5527136788005009E-15</v>
      </c>
      <c r="AE1165">
        <f t="shared" si="288"/>
        <v>7.1054273576010019E-15</v>
      </c>
    </row>
    <row r="1167" spans="1:31" x14ac:dyDescent="0.45">
      <c r="A1167" t="s">
        <v>1658</v>
      </c>
      <c r="B1167" t="s">
        <v>1481</v>
      </c>
      <c r="C1167" t="s">
        <v>1442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1658</v>
      </c>
      <c r="B1168" t="s">
        <v>1481</v>
      </c>
      <c r="C1168" t="s">
        <v>1442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3.1638306570517116</v>
      </c>
      <c r="M1168">
        <f>IF(ISBLANK(Mitigation_Industry!M733),"",Mitigation_Industry!M733)</f>
        <v>3.2334349315068494</v>
      </c>
      <c r="N1168">
        <f>IF(ISBLANK(Mitigation_Industry!N733),"",Mitigation_Industry!N733)</f>
        <v>3.3045704999999996</v>
      </c>
      <c r="O1168">
        <f>IF(ISBLANK(Mitigation_Industry!O733),"",Mitigation_Industry!O733)</f>
        <v>3.3772710509999997</v>
      </c>
      <c r="P1168">
        <f>IF(ISBLANK(Mitigation_Industry!P733),"",Mitigation_Industry!P733)</f>
        <v>3.4515710141219995</v>
      </c>
      <c r="Q1168">
        <f>IF(ISBLANK(Mitigation_Industry!Q733),"",Mitigation_Industry!Q733)</f>
        <v>3.5275055764326835</v>
      </c>
      <c r="R1168">
        <f>IF(ISBLANK(Mitigation_Industry!R733),"",Mitigation_Industry!R733)</f>
        <v>3.6051106991142028</v>
      </c>
      <c r="S1168">
        <f>IF(ISBLANK(Mitigation_Industry!S733),"",Mitigation_Industry!S733)</f>
        <v>3.6844231344947151</v>
      </c>
      <c r="T1168">
        <f>IF(ISBLANK(Mitigation_Industry!T733),"",Mitigation_Industry!T733)</f>
        <v>3.7654804434535989</v>
      </c>
      <c r="U1168">
        <f>IF(ISBLANK(Mitigation_Industry!U733),"",Mitigation_Industry!U733)</f>
        <v>3.8483210132095782</v>
      </c>
      <c r="V1168">
        <f>IF(ISBLANK(Mitigation_Industry!V733),"",Mitigation_Industry!V733)</f>
        <v>3.932984075500189</v>
      </c>
      <c r="W1168">
        <f>IF(ISBLANK(Mitigation_Industry!W733),"",Mitigation_Industry!W733)</f>
        <v>4.0195097251611935</v>
      </c>
      <c r="X1168">
        <f>IF(ISBLANK(Mitigation_Industry!X733),"",Mitigation_Industry!X733)</f>
        <v>4.1079389391147396</v>
      </c>
      <c r="Y1168">
        <f>IF(ISBLANK(Mitigation_Industry!Y733),"",Mitigation_Industry!Y733)</f>
        <v>4.1983135957752644</v>
      </c>
      <c r="Z1168">
        <f>IF(ISBLANK(Mitigation_Industry!Z733),"",Mitigation_Industry!Z733)</f>
        <v>4.2906764948823204</v>
      </c>
      <c r="AA1168">
        <f>IF(ISBLANK(Mitigation_Industry!AA733),"",Mitigation_Industry!AA733)</f>
        <v>4.385071377769731</v>
      </c>
      <c r="AB1168">
        <f>IF(ISBLANK(Mitigation_Industry!AB733),"",Mitigation_Industry!AB733)</f>
        <v>4.4815429480806648</v>
      </c>
      <c r="AC1168">
        <f>IF(ISBLANK(Mitigation_Industry!AC733),"",Mitigation_Industry!AC733)</f>
        <v>4.5801368929384401</v>
      </c>
      <c r="AD1168">
        <f>IF(ISBLANK(Mitigation_Industry!AD733),"",Mitigation_Industry!AD733)</f>
        <v>4.680899904583085</v>
      </c>
      <c r="AE1168">
        <f>IF(ISBLANK(Mitigation_Industry!AE733),"",Mitigation_Industry!AE733)</f>
        <v>4.7838797024839135</v>
      </c>
    </row>
    <row r="1169" spans="1:31" x14ac:dyDescent="0.45">
      <c r="A1169" t="s">
        <v>1658</v>
      </c>
      <c r="B1169" t="s">
        <v>1481</v>
      </c>
      <c r="C1169" t="s">
        <v>1442</v>
      </c>
      <c r="D1169">
        <v>2</v>
      </c>
      <c r="E1169" t="s">
        <v>1161</v>
      </c>
      <c r="F1169">
        <f>MAX(MAX(L1169:AE1169),-MIN(L1169:AE1169))</f>
        <v>8.8817841970012523E-16</v>
      </c>
      <c r="I1169" t="s">
        <v>1509</v>
      </c>
      <c r="K1169">
        <f t="shared" ref="K1169:AE1169" si="289">IF(ISNUMBER(K1167),IF(ISNUMBER(K1168),K1168-K1167,999999),0)</f>
        <v>0</v>
      </c>
      <c r="L1169">
        <f t="shared" si="289"/>
        <v>0</v>
      </c>
      <c r="M1169">
        <f t="shared" si="289"/>
        <v>-4.4408920985006262E-16</v>
      </c>
      <c r="N1169">
        <f t="shared" si="289"/>
        <v>-4.4408920985006262E-16</v>
      </c>
      <c r="O1169">
        <f t="shared" si="289"/>
        <v>-4.4408920985006262E-16</v>
      </c>
      <c r="P1169">
        <f t="shared" si="289"/>
        <v>-4.4408920985006262E-16</v>
      </c>
      <c r="Q1169">
        <f t="shared" si="289"/>
        <v>-4.4408920985006262E-16</v>
      </c>
      <c r="R1169">
        <f t="shared" si="289"/>
        <v>-4.4408920985006262E-16</v>
      </c>
      <c r="S1169">
        <f t="shared" si="289"/>
        <v>-4.4408920985006262E-16</v>
      </c>
      <c r="T1169">
        <f t="shared" si="289"/>
        <v>-4.4408920985006262E-16</v>
      </c>
      <c r="U1169">
        <f t="shared" si="289"/>
        <v>-4.4408920985006262E-16</v>
      </c>
      <c r="V1169">
        <f t="shared" si="289"/>
        <v>-4.4408920985006262E-16</v>
      </c>
      <c r="W1169">
        <f t="shared" si="289"/>
        <v>-8.8817841970012523E-16</v>
      </c>
      <c r="X1169">
        <f t="shared" si="289"/>
        <v>-8.8817841970012523E-16</v>
      </c>
      <c r="Y1169">
        <f t="shared" si="289"/>
        <v>0</v>
      </c>
      <c r="Z1169">
        <f t="shared" si="289"/>
        <v>-8.8817841970012523E-16</v>
      </c>
      <c r="AA1169">
        <f t="shared" si="289"/>
        <v>-8.8817841970012523E-16</v>
      </c>
      <c r="AB1169">
        <f t="shared" si="289"/>
        <v>-8.8817841970012523E-16</v>
      </c>
      <c r="AC1169">
        <f t="shared" si="289"/>
        <v>-8.8817841970012523E-16</v>
      </c>
      <c r="AD1169">
        <f t="shared" si="289"/>
        <v>-8.8817841970012523E-16</v>
      </c>
      <c r="AE1169">
        <f t="shared" si="289"/>
        <v>-8.8817841970012523E-16</v>
      </c>
    </row>
    <row r="1171" spans="1:31" x14ac:dyDescent="0.45">
      <c r="A1171" t="s">
        <v>1659</v>
      </c>
      <c r="B1171" t="s">
        <v>1481</v>
      </c>
      <c r="C1171" t="s">
        <v>1383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1659</v>
      </c>
      <c r="B1172" t="s">
        <v>1481</v>
      </c>
      <c r="C1172" t="s">
        <v>1383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0.34273185493658492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0.35797793877158396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0.38212807844669699</v>
      </c>
      <c r="X1172">
        <f>IF(ISBLANK(Mitigation_Industry!X734),"",Mitigation_Industry!X734)</f>
        <v>0.39053489617252435</v>
      </c>
      <c r="Y1172">
        <f>IF(ISBLANK(Mitigation_Industry!Y734),"",Mitigation_Industry!Y734)</f>
        <v>0.39912666388831991</v>
      </c>
      <c r="Z1172">
        <f>IF(ISBLANK(Mitigation_Industry!Z734),"",Mitigation_Industry!Z734)</f>
        <v>0.40790745049386296</v>
      </c>
      <c r="AA1172">
        <f>IF(ISBLANK(Mitigation_Industry!AA734),"",Mitigation_Industry!AA734)</f>
        <v>0.41688141440472792</v>
      </c>
      <c r="AB1172">
        <f>IF(ISBLANK(Mitigation_Industry!AB734),"",Mitigation_Industry!AB734)</f>
        <v>0.42605280552163199</v>
      </c>
      <c r="AC1172">
        <f>IF(ISBLANK(Mitigation_Industry!AC734),"",Mitigation_Industry!AC734)</f>
        <v>0.43542596724310795</v>
      </c>
      <c r="AD1172">
        <f>IF(ISBLANK(Mitigation_Industry!AD734),"",Mitigation_Industry!AD734)</f>
        <v>0.44500533852245627</v>
      </c>
      <c r="AE1172">
        <f>IF(ISBLANK(Mitigation_Industry!AE734),"",Mitigation_Industry!AE734)</f>
        <v>0.45479545596995036</v>
      </c>
    </row>
    <row r="1173" spans="1:31" x14ac:dyDescent="0.45">
      <c r="A1173" t="s">
        <v>1659</v>
      </c>
      <c r="B1173" t="s">
        <v>1481</v>
      </c>
      <c r="C1173" t="s">
        <v>1383</v>
      </c>
      <c r="D1173">
        <v>2</v>
      </c>
      <c r="E1173" t="s">
        <v>1161</v>
      </c>
      <c r="F1173">
        <f>MAX(MAX(L1173:AE1173),-MIN(L1173:AE1173))</f>
        <v>1.1102230246251565E-16</v>
      </c>
      <c r="I1173" t="s">
        <v>1509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-5.5511151231257827E-17</v>
      </c>
      <c r="S1173">
        <f t="shared" si="290"/>
        <v>-5.5511151231257827E-17</v>
      </c>
      <c r="T1173">
        <f t="shared" si="290"/>
        <v>-5.5511151231257827E-17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-5.5511151231257827E-17</v>
      </c>
      <c r="X1173">
        <f t="shared" si="290"/>
        <v>-5.5511151231257827E-17</v>
      </c>
      <c r="Y1173">
        <f t="shared" si="290"/>
        <v>0</v>
      </c>
      <c r="Z1173">
        <f t="shared" si="290"/>
        <v>-5.5511151231257827E-17</v>
      </c>
      <c r="AA1173">
        <f t="shared" si="290"/>
        <v>-5.5511151231257827E-17</v>
      </c>
      <c r="AB1173">
        <f t="shared" si="290"/>
        <v>-5.5511151231257827E-17</v>
      </c>
      <c r="AC1173">
        <f t="shared" si="290"/>
        <v>-5.5511151231257827E-17</v>
      </c>
      <c r="AD1173">
        <f t="shared" si="290"/>
        <v>-5.5511151231257827E-17</v>
      </c>
      <c r="AE1173">
        <f t="shared" si="290"/>
        <v>-5.5511151231257827E-17</v>
      </c>
    </row>
    <row r="1175" spans="1:31" x14ac:dyDescent="0.45">
      <c r="A1175" t="s">
        <v>1660</v>
      </c>
      <c r="B1175" t="s">
        <v>1481</v>
      </c>
      <c r="C1175" t="s">
        <v>1390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1660</v>
      </c>
      <c r="B1176" t="s">
        <v>1481</v>
      </c>
      <c r="C1176" t="s">
        <v>1390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7.0314662880000003E-2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7.6709558308196577E-2</v>
      </c>
      <c r="U1176">
        <f>IF(ISBLANK(Mitigation_Industry!U735),"",Mitigation_Industry!U735)</f>
        <v>7.8397168590976909E-2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8.1884588238577916E-2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9.1297029754635398E-2</v>
      </c>
      <c r="AC1176">
        <f>IF(ISBLANK(Mitigation_Industry!AC735),"",Mitigation_Industry!AC735)</f>
        <v>9.3305564409237388E-2</v>
      </c>
      <c r="AD1176">
        <f>IF(ISBLANK(Mitigation_Industry!AD735),"",Mitigation_Industry!AD735)</f>
        <v>9.5358286826240618E-2</v>
      </c>
      <c r="AE1176">
        <f>IF(ISBLANK(Mitigation_Industry!AE735),"",Mitigation_Industry!AE735)</f>
        <v>9.7456169136417914E-2</v>
      </c>
    </row>
    <row r="1177" spans="1:31" x14ac:dyDescent="0.45">
      <c r="A1177" t="s">
        <v>1660</v>
      </c>
      <c r="B1177" t="s">
        <v>1481</v>
      </c>
      <c r="C1177" t="s">
        <v>1390</v>
      </c>
      <c r="D1177">
        <v>2</v>
      </c>
      <c r="E1177" t="s">
        <v>1161</v>
      </c>
      <c r="F1177">
        <f>MAX(MAX(L1177:AE1177),-MIN(L1177:AE1177))</f>
        <v>1.3877787807814457E-17</v>
      </c>
      <c r="I1177" t="s">
        <v>1509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-1.3877787807814457E-17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0</v>
      </c>
      <c r="U1177">
        <f t="shared" si="291"/>
        <v>-1.3877787807814457E-17</v>
      </c>
      <c r="V1177">
        <f t="shared" si="291"/>
        <v>0</v>
      </c>
      <c r="W1177">
        <f t="shared" si="291"/>
        <v>-1.3877787807814457E-17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-1.3877787807814457E-17</v>
      </c>
      <c r="AC1177">
        <f t="shared" si="291"/>
        <v>-1.3877787807814457E-17</v>
      </c>
      <c r="AD1177">
        <f t="shared" si="291"/>
        <v>-1.3877787807814457E-17</v>
      </c>
      <c r="AE1177">
        <f t="shared" si="291"/>
        <v>-1.3877787807814457E-17</v>
      </c>
    </row>
    <row r="1179" spans="1:31" x14ac:dyDescent="0.45">
      <c r="A1179" t="s">
        <v>1661</v>
      </c>
      <c r="B1179" t="s">
        <v>1481</v>
      </c>
      <c r="C1179" t="s">
        <v>1397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1661</v>
      </c>
      <c r="B1180" t="s">
        <v>1481</v>
      </c>
      <c r="C1180" t="s">
        <v>1397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4.2047573055412055E-2</v>
      </c>
      <c r="M1180">
        <f>IF(ISBLANK(Mitigation_Industry!M736),"",Mitigation_Industry!M736)</f>
        <v>4.4360189573459712E-2</v>
      </c>
      <c r="N1180">
        <f>IF(ISBLANK(Mitigation_Industry!N736),"",Mitigation_Industry!N736)</f>
        <v>4.6799999999999994E-2</v>
      </c>
      <c r="O1180">
        <f>IF(ISBLANK(Mitigation_Industry!O736),"",Mitigation_Industry!O736)</f>
        <v>4.9374000000000001E-2</v>
      </c>
      <c r="P1180">
        <f>IF(ISBLANK(Mitigation_Industry!P736),"",Mitigation_Industry!P736)</f>
        <v>5.2089569999999995E-2</v>
      </c>
      <c r="Q1180">
        <f>IF(ISBLANK(Mitigation_Industry!Q736),"",Mitigation_Industry!Q736)</f>
        <v>5.4954496349999993E-2</v>
      </c>
      <c r="R1180">
        <f>IF(ISBLANK(Mitigation_Industry!R736),"",Mitigation_Industry!R736)</f>
        <v>5.7976993649249998E-2</v>
      </c>
      <c r="S1180">
        <f>IF(ISBLANK(Mitigation_Industry!S736),"",Mitigation_Industry!S736)</f>
        <v>6.1165728299958741E-2</v>
      </c>
      <c r="T1180">
        <f>IF(ISBLANK(Mitigation_Industry!T736),"",Mitigation_Industry!T736)</f>
        <v>6.4529843356456465E-2</v>
      </c>
      <c r="U1180">
        <f>IF(ISBLANK(Mitigation_Industry!U736),"",Mitigation_Industry!U736)</f>
        <v>6.8078984741061568E-2</v>
      </c>
      <c r="V1180">
        <f>IF(ISBLANK(Mitigation_Industry!V736),"",Mitigation_Industry!V736)</f>
        <v>7.1823328901819944E-2</v>
      </c>
      <c r="W1180">
        <f>IF(ISBLANK(Mitigation_Industry!W736),"",Mitigation_Industry!W736)</f>
        <v>7.5773611991420048E-2</v>
      </c>
      <c r="X1180">
        <f>IF(ISBLANK(Mitigation_Industry!X736),"",Mitigation_Industry!X736)</f>
        <v>7.9941160650948154E-2</v>
      </c>
      <c r="Y1180">
        <f>IF(ISBLANK(Mitigation_Industry!Y736),"",Mitigation_Industry!Y736)</f>
        <v>8.4337924486750301E-2</v>
      </c>
      <c r="Z1180">
        <f>IF(ISBLANK(Mitigation_Industry!Z736),"",Mitigation_Industry!Z736)</f>
        <v>8.8976510333521566E-2</v>
      </c>
      <c r="AA1180">
        <f>IF(ISBLANK(Mitigation_Industry!AA736),"",Mitigation_Industry!AA736)</f>
        <v>9.3870218401865241E-2</v>
      </c>
      <c r="AB1180">
        <f>IF(ISBLANK(Mitigation_Industry!AB736),"",Mitigation_Industry!AB736)</f>
        <v>9.9033080413967828E-2</v>
      </c>
      <c r="AC1180">
        <f>IF(ISBLANK(Mitigation_Industry!AC736),"",Mitigation_Industry!AC736)</f>
        <v>0.10447989983673606</v>
      </c>
      <c r="AD1180">
        <f>IF(ISBLANK(Mitigation_Industry!AD736),"",Mitigation_Industry!AD736)</f>
        <v>0.11022629432775652</v>
      </c>
      <c r="AE1180">
        <f>IF(ISBLANK(Mitigation_Industry!AE736),"",Mitigation_Industry!AE736)</f>
        <v>0.11628874051578311</v>
      </c>
    </row>
    <row r="1181" spans="1:31" x14ac:dyDescent="0.45">
      <c r="A1181" t="s">
        <v>1661</v>
      </c>
      <c r="B1181" t="s">
        <v>1481</v>
      </c>
      <c r="C1181" t="s">
        <v>1397</v>
      </c>
      <c r="D1181">
        <v>2</v>
      </c>
      <c r="E1181" t="s">
        <v>1161</v>
      </c>
      <c r="F1181">
        <f>MAX(MAX(L1181:AE1181),-MIN(L1181:AE1181))</f>
        <v>0</v>
      </c>
      <c r="I1181" t="s">
        <v>1509</v>
      </c>
      <c r="K1181">
        <f t="shared" ref="K1181:AE1181" si="292">IF(ISNUMBER(K1179),IF(ISNUMBER(K1180),K1180-K1179,999999),0)</f>
        <v>0</v>
      </c>
      <c r="L1181">
        <f t="shared" si="292"/>
        <v>0</v>
      </c>
      <c r="M1181">
        <f t="shared" si="292"/>
        <v>0</v>
      </c>
      <c r="N1181">
        <f t="shared" si="292"/>
        <v>0</v>
      </c>
      <c r="O1181">
        <f t="shared" si="292"/>
        <v>0</v>
      </c>
      <c r="P1181">
        <f t="shared" si="292"/>
        <v>0</v>
      </c>
      <c r="Q1181">
        <f t="shared" si="292"/>
        <v>0</v>
      </c>
      <c r="R1181">
        <f t="shared" si="292"/>
        <v>0</v>
      </c>
      <c r="S1181">
        <f t="shared" si="292"/>
        <v>0</v>
      </c>
      <c r="T1181">
        <f t="shared" si="292"/>
        <v>0</v>
      </c>
      <c r="U1181">
        <f t="shared" si="292"/>
        <v>0</v>
      </c>
      <c r="V1181">
        <f t="shared" si="292"/>
        <v>0</v>
      </c>
      <c r="W1181">
        <f t="shared" si="292"/>
        <v>0</v>
      </c>
      <c r="X1181">
        <f t="shared" si="292"/>
        <v>0</v>
      </c>
      <c r="Y1181">
        <f t="shared" si="292"/>
        <v>0</v>
      </c>
      <c r="Z1181">
        <f t="shared" si="292"/>
        <v>0</v>
      </c>
      <c r="AA1181">
        <f t="shared" si="292"/>
        <v>0</v>
      </c>
      <c r="AB1181">
        <f t="shared" si="292"/>
        <v>0</v>
      </c>
      <c r="AC1181">
        <f t="shared" si="292"/>
        <v>0</v>
      </c>
      <c r="AD1181">
        <f t="shared" si="292"/>
        <v>0</v>
      </c>
      <c r="AE1181">
        <f t="shared" si="292"/>
        <v>0</v>
      </c>
    </row>
    <row r="1183" spans="1:31" x14ac:dyDescent="0.45">
      <c r="A1183" t="s">
        <v>1662</v>
      </c>
      <c r="B1183" t="s">
        <v>1481</v>
      </c>
      <c r="C1183" t="s">
        <v>1486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1662</v>
      </c>
      <c r="B1184" t="s">
        <v>1481</v>
      </c>
      <c r="C1184" t="s">
        <v>1486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20.926246357744834</v>
      </c>
      <c r="M1184">
        <f>IF(ISBLANK(Mitigation_Industry!M737),"",Mitigation_Industry!M737)</f>
        <v>21.621228468026327</v>
      </c>
      <c r="N1184">
        <f>IF(ISBLANK(Mitigation_Industry!N737),"",Mitigation_Industry!N737)</f>
        <v>22.340203500000001</v>
      </c>
      <c r="O1184">
        <f>IF(ISBLANK(Mitigation_Industry!O737),"",Mitigation_Industry!O737)</f>
        <v>23.084029143000002</v>
      </c>
      <c r="P1184">
        <f>IF(ISBLANK(Mitigation_Industry!P737),"",Mitigation_Industry!P737)</f>
        <v>23.853594734849999</v>
      </c>
      <c r="Q1184">
        <f>IF(ISBLANK(Mitigation_Industry!Q737),"",Mitigation_Industry!Q737)</f>
        <v>24.649822464218669</v>
      </c>
      <c r="R1184">
        <f>IF(ISBLANK(Mitigation_Industry!R737),"",Mitigation_Industry!R737)</f>
        <v>25.473668619896113</v>
      </c>
      <c r="S1184">
        <f>IF(ISBLANK(Mitigation_Industry!S737),"",Mitigation_Industry!S737)</f>
        <v>26.326124888867827</v>
      </c>
      <c r="T1184">
        <f>IF(ISBLANK(Mitigation_Industry!T737),"",Mitigation_Industry!T737)</f>
        <v>27.20821970513958</v>
      </c>
      <c r="U1184">
        <f>IF(ISBLANK(Mitigation_Industry!U737),"",Mitigation_Industry!U737)</f>
        <v>28.121019651346554</v>
      </c>
      <c r="V1184">
        <f>IF(ISBLANK(Mitigation_Industry!V737),"",Mitigation_Industry!V737)</f>
        <v>29.065630915263306</v>
      </c>
      <c r="W1184">
        <f>IF(ISBLANK(Mitigation_Industry!W737),"",Mitigation_Industry!W737)</f>
        <v>30.043200803417918</v>
      </c>
      <c r="X1184">
        <f>IF(ISBLANK(Mitigation_Industry!X737),"",Mitigation_Industry!X737)</f>
        <v>31.054919314104183</v>
      </c>
      <c r="Y1184">
        <f>IF(ISBLANK(Mitigation_Industry!Y737),"",Mitigation_Industry!Y737)</f>
        <v>32.102020772179657</v>
      </c>
      <c r="Z1184">
        <f>IF(ISBLANK(Mitigation_Industry!Z737),"",Mitigation_Industry!Z737)</f>
        <v>33.185785528135781</v>
      </c>
      <c r="AA1184">
        <f>IF(ISBLANK(Mitigation_Industry!AA737),"",Mitigation_Industry!AA737)</f>
        <v>34.307541724028312</v>
      </c>
      <c r="AB1184">
        <f>IF(ISBLANK(Mitigation_Industry!AB737),"",Mitigation_Industry!AB737)</f>
        <v>35.468667128962927</v>
      </c>
      <c r="AC1184">
        <f>IF(ISBLANK(Mitigation_Industry!AC737),"",Mitigation_Industry!AC737)</f>
        <v>36.67059104694183</v>
      </c>
      <c r="AD1184">
        <f>IF(ISBLANK(Mitigation_Industry!AD737),"",Mitigation_Industry!AD737)</f>
        <v>37.914796299992908</v>
      </c>
      <c r="AE1184">
        <f>IF(ISBLANK(Mitigation_Industry!AE737),"",Mitigation_Industry!AE737)</f>
        <v>39.202821289623259</v>
      </c>
    </row>
    <row r="1185" spans="1:31" x14ac:dyDescent="0.45">
      <c r="A1185" t="s">
        <v>1662</v>
      </c>
      <c r="B1185" t="s">
        <v>1481</v>
      </c>
      <c r="C1185" t="s">
        <v>1486</v>
      </c>
      <c r="D1185">
        <v>2</v>
      </c>
      <c r="E1185" t="s">
        <v>1161</v>
      </c>
      <c r="F1185">
        <f>MAX(MAX(L1185:AE1185),-MIN(L1185:AE1185))</f>
        <v>7.1054273576010019E-15</v>
      </c>
      <c r="I1185" t="s">
        <v>1509</v>
      </c>
      <c r="K1185">
        <f t="shared" ref="K1185:AE1185" si="293">IF(ISNUMBER(K1183),IF(ISNUMBER(K1184),K1184-K1183,999999),0)</f>
        <v>0</v>
      </c>
      <c r="L1185">
        <f t="shared" si="293"/>
        <v>3.5527136788005009E-15</v>
      </c>
      <c r="M1185">
        <f t="shared" si="293"/>
        <v>0</v>
      </c>
      <c r="N1185">
        <f t="shared" si="293"/>
        <v>3.5527136788005009E-15</v>
      </c>
      <c r="O1185">
        <f t="shared" si="293"/>
        <v>7.1054273576010019E-15</v>
      </c>
      <c r="P1185">
        <f t="shared" si="293"/>
        <v>3.5527136788005009E-15</v>
      </c>
      <c r="Q1185">
        <f t="shared" si="293"/>
        <v>0</v>
      </c>
      <c r="R1185">
        <f t="shared" si="293"/>
        <v>3.5527136788005009E-15</v>
      </c>
      <c r="S1185">
        <f t="shared" si="293"/>
        <v>3.5527136788005009E-15</v>
      </c>
      <c r="T1185">
        <f t="shared" si="293"/>
        <v>7.1054273576010019E-15</v>
      </c>
      <c r="U1185">
        <f t="shared" si="293"/>
        <v>3.5527136788005009E-15</v>
      </c>
      <c r="V1185">
        <f t="shared" si="293"/>
        <v>0</v>
      </c>
      <c r="W1185">
        <f t="shared" si="293"/>
        <v>0</v>
      </c>
      <c r="X1185">
        <f t="shared" si="293"/>
        <v>3.5527136788005009E-15</v>
      </c>
      <c r="Y1185">
        <f t="shared" si="293"/>
        <v>0</v>
      </c>
      <c r="Z1185">
        <f t="shared" si="293"/>
        <v>7.1054273576010019E-15</v>
      </c>
      <c r="AA1185">
        <f t="shared" si="293"/>
        <v>7.1054273576010019E-15</v>
      </c>
      <c r="AB1185">
        <f t="shared" si="293"/>
        <v>0</v>
      </c>
      <c r="AC1185">
        <f t="shared" si="293"/>
        <v>7.1054273576010019E-15</v>
      </c>
      <c r="AD1185">
        <f t="shared" si="293"/>
        <v>0</v>
      </c>
      <c r="AE1185">
        <f t="shared" si="293"/>
        <v>0</v>
      </c>
    </row>
    <row r="1187" spans="1:31" x14ac:dyDescent="0.45">
      <c r="A1187" t="s">
        <v>1663</v>
      </c>
      <c r="B1187" t="s">
        <v>1487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1663</v>
      </c>
      <c r="B1188" t="s">
        <v>1487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0.18716695292200644</v>
      </c>
      <c r="M1188">
        <f>IF(ISBLANK(Mitigation_Industry!M740),"",Mitigation_Industry!M740)</f>
        <v>0.1954022988505747</v>
      </c>
      <c r="N1188">
        <f>IF(ISBLANK(Mitigation_Industry!N740),"",Mitigation_Industry!N740)</f>
        <v>0.20399999999999999</v>
      </c>
      <c r="O1188">
        <f>IF(ISBLANK(Mitigation_Industry!O740),"",Mitigation_Industry!O740)</f>
        <v>0.21297600000000003</v>
      </c>
      <c r="P1188">
        <f>IF(ISBLANK(Mitigation_Industry!P740),"",Mitigation_Industry!P740)</f>
        <v>0.22234694400000005</v>
      </c>
      <c r="Q1188">
        <f>IF(ISBLANK(Mitigation_Industry!Q740),"",Mitigation_Industry!Q740)</f>
        <v>0.23213020953600005</v>
      </c>
      <c r="R1188">
        <f>IF(ISBLANK(Mitigation_Industry!R740),"",Mitigation_Industry!R740)</f>
        <v>0.24234393875558408</v>
      </c>
      <c r="S1188">
        <f>IF(ISBLANK(Mitigation_Industry!S740),"",Mitigation_Industry!S740)</f>
        <v>0.25300707206082979</v>
      </c>
      <c r="T1188">
        <f>IF(ISBLANK(Mitigation_Industry!T740),"",Mitigation_Industry!T740)</f>
        <v>0.26413938323150632</v>
      </c>
      <c r="U1188">
        <f>IF(ISBLANK(Mitigation_Industry!U740),"",Mitigation_Industry!U740)</f>
        <v>0.27576151609369259</v>
      </c>
      <c r="V1188">
        <f>IF(ISBLANK(Mitigation_Industry!V740),"",Mitigation_Industry!V740)</f>
        <v>0.28789502280181506</v>
      </c>
      <c r="W1188">
        <f>IF(ISBLANK(Mitigation_Industry!W740),"",Mitigation_Industry!W740)</f>
        <v>0.30056240380509497</v>
      </c>
      <c r="X1188">
        <f>IF(ISBLANK(Mitigation_Industry!X740),"",Mitigation_Industry!X740)</f>
        <v>0.31378714957251913</v>
      </c>
      <c r="Y1188">
        <f>IF(ISBLANK(Mitigation_Industry!Y740),"",Mitigation_Industry!Y740)</f>
        <v>0.32759378415370999</v>
      </c>
      <c r="Z1188">
        <f>IF(ISBLANK(Mitigation_Industry!Z740),"",Mitigation_Industry!Z740)</f>
        <v>0.34200791065647324</v>
      </c>
      <c r="AA1188">
        <f>IF(ISBLANK(Mitigation_Industry!AA740),"",Mitigation_Industry!AA740)</f>
        <v>0.35705625872535807</v>
      </c>
      <c r="AB1188">
        <f>IF(ISBLANK(Mitigation_Industry!AB740),"",Mitigation_Industry!AB740)</f>
        <v>0.37276673410927386</v>
      </c>
      <c r="AC1188">
        <f>IF(ISBLANK(Mitigation_Industry!AC740),"",Mitigation_Industry!AC740)</f>
        <v>0.38916847041008185</v>
      </c>
      <c r="AD1188">
        <f>IF(ISBLANK(Mitigation_Industry!AD740),"",Mitigation_Industry!AD740)</f>
        <v>0.40629188310812547</v>
      </c>
      <c r="AE1188">
        <f>IF(ISBLANK(Mitigation_Industry!AE740),"",Mitigation_Industry!AE740)</f>
        <v>0.42416872596488298</v>
      </c>
    </row>
    <row r="1189" spans="1:31" x14ac:dyDescent="0.45">
      <c r="A1189" t="s">
        <v>1663</v>
      </c>
      <c r="B1189" t="s">
        <v>1487</v>
      </c>
      <c r="C1189" t="s">
        <v>1350</v>
      </c>
      <c r="D1189">
        <v>2</v>
      </c>
      <c r="E1189" t="s">
        <v>1161</v>
      </c>
      <c r="F1189">
        <f>MAX(MAX(L1189:AE1189),-MIN(L1189:AE1189))</f>
        <v>0</v>
      </c>
      <c r="I1189" t="s">
        <v>1509</v>
      </c>
      <c r="K1189">
        <f t="shared" ref="K1189:AE1189" si="294">IF(ISNUMBER(K1187),IF(ISNUMBER(K1188),K1188-K1187,999999),0)</f>
        <v>0</v>
      </c>
      <c r="L1189">
        <f t="shared" si="294"/>
        <v>0</v>
      </c>
      <c r="M1189">
        <f t="shared" si="294"/>
        <v>0</v>
      </c>
      <c r="N1189">
        <f t="shared" si="294"/>
        <v>0</v>
      </c>
      <c r="O1189">
        <f t="shared" si="294"/>
        <v>0</v>
      </c>
      <c r="P1189">
        <f t="shared" si="294"/>
        <v>0</v>
      </c>
      <c r="Q1189">
        <f t="shared" si="294"/>
        <v>0</v>
      </c>
      <c r="R1189">
        <f t="shared" si="294"/>
        <v>0</v>
      </c>
      <c r="S1189">
        <f t="shared" si="294"/>
        <v>0</v>
      </c>
      <c r="T1189">
        <f t="shared" si="294"/>
        <v>0</v>
      </c>
      <c r="U1189">
        <f t="shared" si="294"/>
        <v>0</v>
      </c>
      <c r="V1189">
        <f t="shared" si="294"/>
        <v>0</v>
      </c>
      <c r="W1189">
        <f t="shared" si="294"/>
        <v>0</v>
      </c>
      <c r="X1189">
        <f t="shared" si="294"/>
        <v>0</v>
      </c>
      <c r="Y1189">
        <f t="shared" si="294"/>
        <v>0</v>
      </c>
      <c r="Z1189">
        <f t="shared" si="294"/>
        <v>0</v>
      </c>
      <c r="AA1189">
        <f t="shared" si="294"/>
        <v>0</v>
      </c>
      <c r="AB1189">
        <f t="shared" si="294"/>
        <v>0</v>
      </c>
      <c r="AC1189">
        <f t="shared" si="294"/>
        <v>0</v>
      </c>
      <c r="AD1189">
        <f t="shared" si="294"/>
        <v>0</v>
      </c>
      <c r="AE1189">
        <f t="shared" si="294"/>
        <v>0</v>
      </c>
    </row>
    <row r="1191" spans="1:31" x14ac:dyDescent="0.45">
      <c r="A1191" t="s">
        <v>1664</v>
      </c>
      <c r="B1191" t="s">
        <v>1487</v>
      </c>
      <c r="C1191" t="s">
        <v>1357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1664</v>
      </c>
      <c r="B1192" t="s">
        <v>1487</v>
      </c>
      <c r="C1192" t="s">
        <v>1357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6.6058924560708152E-2</v>
      </c>
      <c r="M1192">
        <f>IF(ISBLANK(Mitigation_Industry!M741),"",Mitigation_Industry!M741)</f>
        <v>6.8965517241379309E-2</v>
      </c>
      <c r="N1192">
        <f>IF(ISBLANK(Mitigation_Industry!N741),"",Mitigation_Industry!N741)</f>
        <v>7.1999999999999995E-2</v>
      </c>
      <c r="O1192">
        <f>IF(ISBLANK(Mitigation_Industry!O741),"",Mitigation_Industry!O741)</f>
        <v>7.5167999999999999E-2</v>
      </c>
      <c r="P1192">
        <f>IF(ISBLANK(Mitigation_Industry!P741),"",Mitigation_Industry!P741)</f>
        <v>7.8475392000000005E-2</v>
      </c>
      <c r="Q1192">
        <f>IF(ISBLANK(Mitigation_Industry!Q741),"",Mitigation_Industry!Q741)</f>
        <v>8.1928309247999986E-2</v>
      </c>
      <c r="R1192">
        <f>IF(ISBLANK(Mitigation_Industry!R741),"",Mitigation_Industry!R741)</f>
        <v>8.5533154854912002E-2</v>
      </c>
      <c r="S1192">
        <f>IF(ISBLANK(Mitigation_Industry!S741),"",Mitigation_Industry!S741)</f>
        <v>8.9296613668528119E-2</v>
      </c>
      <c r="T1192">
        <f>IF(ISBLANK(Mitigation_Industry!T741),"",Mitigation_Industry!T741)</f>
        <v>9.3225664669943364E-2</v>
      </c>
      <c r="U1192">
        <f>IF(ISBLANK(Mitigation_Industry!U741),"",Mitigation_Industry!U741)</f>
        <v>9.7327593915420896E-2</v>
      </c>
      <c r="V1192">
        <f>IF(ISBLANK(Mitigation_Industry!V741),"",Mitigation_Industry!V741)</f>
        <v>0.10161000804769942</v>
      </c>
      <c r="W1192">
        <f>IF(ISBLANK(Mitigation_Industry!W741),"",Mitigation_Industry!W741)</f>
        <v>0.10608084840179818</v>
      </c>
      <c r="X1192">
        <f>IF(ISBLANK(Mitigation_Industry!X741),"",Mitigation_Industry!X741)</f>
        <v>0.1107484057314773</v>
      </c>
      <c r="Y1192">
        <f>IF(ISBLANK(Mitigation_Industry!Y741),"",Mitigation_Industry!Y741)</f>
        <v>0.1156213355836623</v>
      </c>
      <c r="Z1192">
        <f>IF(ISBLANK(Mitigation_Industry!Z741),"",Mitigation_Industry!Z741)</f>
        <v>0.12070867434934346</v>
      </c>
      <c r="AA1192">
        <f>IF(ISBLANK(Mitigation_Industry!AA741),"",Mitigation_Industry!AA741)</f>
        <v>0.12601985602071455</v>
      </c>
      <c r="AB1192">
        <f>IF(ISBLANK(Mitigation_Industry!AB741),"",Mitigation_Industry!AB741)</f>
        <v>0.13156472968562599</v>
      </c>
      <c r="AC1192">
        <f>IF(ISBLANK(Mitigation_Industry!AC741),"",Mitigation_Industry!AC741)</f>
        <v>0.13735357779179352</v>
      </c>
      <c r="AD1192">
        <f>IF(ISBLANK(Mitigation_Industry!AD741),"",Mitigation_Industry!AD741)</f>
        <v>0.14339713521463243</v>
      </c>
      <c r="AE1192">
        <f>IF(ISBLANK(Mitigation_Industry!AE741),"",Mitigation_Industry!AE741)</f>
        <v>0.1497066091640763</v>
      </c>
    </row>
    <row r="1193" spans="1:31" x14ac:dyDescent="0.45">
      <c r="A1193" t="s">
        <v>1664</v>
      </c>
      <c r="B1193" t="s">
        <v>1487</v>
      </c>
      <c r="C1193" t="s">
        <v>1357</v>
      </c>
      <c r="D1193">
        <v>2</v>
      </c>
      <c r="E1193" t="s">
        <v>1161</v>
      </c>
      <c r="F1193">
        <f>MAX(MAX(L1193:AE1193),-MIN(L1193:AE1193))</f>
        <v>0</v>
      </c>
      <c r="I1193" t="s">
        <v>1509</v>
      </c>
      <c r="K1193">
        <f t="shared" ref="K1193:AE1193" si="295">IF(ISNUMBER(K1191),IF(ISNUMBER(K1192),K1192-K1191,999999),0)</f>
        <v>0</v>
      </c>
      <c r="L1193">
        <f t="shared" si="295"/>
        <v>0</v>
      </c>
      <c r="M1193">
        <f t="shared" si="295"/>
        <v>0</v>
      </c>
      <c r="N1193">
        <f t="shared" si="295"/>
        <v>0</v>
      </c>
      <c r="O1193">
        <f t="shared" si="295"/>
        <v>0</v>
      </c>
      <c r="P1193">
        <f t="shared" si="295"/>
        <v>0</v>
      </c>
      <c r="Q1193">
        <f t="shared" si="295"/>
        <v>0</v>
      </c>
      <c r="R1193">
        <f t="shared" si="295"/>
        <v>0</v>
      </c>
      <c r="S1193">
        <f t="shared" si="295"/>
        <v>0</v>
      </c>
      <c r="T1193">
        <f t="shared" si="295"/>
        <v>0</v>
      </c>
      <c r="U1193">
        <f t="shared" si="295"/>
        <v>0</v>
      </c>
      <c r="V1193">
        <f t="shared" si="295"/>
        <v>0</v>
      </c>
      <c r="W1193">
        <f t="shared" si="295"/>
        <v>0</v>
      </c>
      <c r="X1193">
        <f t="shared" si="295"/>
        <v>0</v>
      </c>
      <c r="Y1193">
        <f t="shared" si="295"/>
        <v>0</v>
      </c>
      <c r="Z1193">
        <f t="shared" si="295"/>
        <v>0</v>
      </c>
      <c r="AA1193">
        <f t="shared" si="295"/>
        <v>0</v>
      </c>
      <c r="AB1193">
        <f t="shared" si="295"/>
        <v>0</v>
      </c>
      <c r="AC1193">
        <f t="shared" si="295"/>
        <v>0</v>
      </c>
      <c r="AD1193">
        <f t="shared" si="295"/>
        <v>0</v>
      </c>
      <c r="AE1193">
        <f t="shared" si="295"/>
        <v>0</v>
      </c>
    </row>
    <row r="1195" spans="1:31" x14ac:dyDescent="0.45">
      <c r="A1195" t="s">
        <v>1665</v>
      </c>
      <c r="B1195" t="s">
        <v>1487</v>
      </c>
      <c r="C1195" t="s">
        <v>1363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1665</v>
      </c>
      <c r="B1196" t="s">
        <v>1487</v>
      </c>
      <c r="C1196" t="s">
        <v>1363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1665</v>
      </c>
      <c r="B1197" t="s">
        <v>1487</v>
      </c>
      <c r="C1197" t="s">
        <v>1363</v>
      </c>
      <c r="D1197">
        <v>2</v>
      </c>
      <c r="E1197" t="s">
        <v>1161</v>
      </c>
      <c r="F1197">
        <f>MAX(MAX(L1197:AE1197),-MIN(L1197:AE1197))</f>
        <v>0</v>
      </c>
      <c r="I1197" t="s">
        <v>1509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1666</v>
      </c>
      <c r="B1199" t="s">
        <v>1487</v>
      </c>
      <c r="C1199" t="s">
        <v>1369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1666</v>
      </c>
      <c r="B1200" t="s">
        <v>1487</v>
      </c>
      <c r="C1200" t="s">
        <v>1369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24.646491529759945</v>
      </c>
      <c r="M1200">
        <f>IF(ISBLANK(Mitigation_Industry!M743),"",Mitigation_Industry!M743)</f>
        <v>25.459825750242022</v>
      </c>
      <c r="N1200">
        <f>IF(ISBLANK(Mitigation_Industry!N743),"",Mitigation_Industry!N743)</f>
        <v>26.3</v>
      </c>
      <c r="O1200">
        <f>IF(ISBLANK(Mitigation_Industry!O743),"",Mitigation_Industry!O743)</f>
        <v>27.167899999999999</v>
      </c>
      <c r="P1200">
        <f>IF(ISBLANK(Mitigation_Industry!P743),"",Mitigation_Industry!P743)</f>
        <v>28.064440699999995</v>
      </c>
      <c r="Q1200">
        <f>IF(ISBLANK(Mitigation_Industry!Q743),"",Mitigation_Industry!Q743)</f>
        <v>28.990567243099992</v>
      </c>
      <c r="R1200">
        <f>IF(ISBLANK(Mitigation_Industry!R743),"",Mitigation_Industry!R743)</f>
        <v>29.947255962122291</v>
      </c>
      <c r="S1200">
        <f>IF(ISBLANK(Mitigation_Industry!S743),"",Mitigation_Industry!S743)</f>
        <v>30.935515408872323</v>
      </c>
      <c r="T1200">
        <f>IF(ISBLANK(Mitigation_Industry!T743),"",Mitigation_Industry!T743)</f>
        <v>31.956387417365111</v>
      </c>
      <c r="U1200">
        <f>IF(ISBLANK(Mitigation_Industry!U743),"",Mitigation_Industry!U743)</f>
        <v>33.010948202138152</v>
      </c>
      <c r="V1200">
        <f>IF(ISBLANK(Mitigation_Industry!V743),"",Mitigation_Industry!V743)</f>
        <v>34.100309492808705</v>
      </c>
      <c r="W1200">
        <f>IF(ISBLANK(Mitigation_Industry!W743),"",Mitigation_Industry!W743)</f>
        <v>35.225619706071399</v>
      </c>
      <c r="X1200">
        <f>IF(ISBLANK(Mitigation_Industry!X743),"",Mitigation_Industry!X743)</f>
        <v>36.388065156371745</v>
      </c>
      <c r="Y1200">
        <f>IF(ISBLANK(Mitigation_Industry!Y743),"",Mitigation_Industry!Y743)</f>
        <v>37.588871306532013</v>
      </c>
      <c r="Z1200">
        <f>IF(ISBLANK(Mitigation_Industry!Z743),"",Mitigation_Industry!Z743)</f>
        <v>38.829304059647569</v>
      </c>
      <c r="AA1200">
        <f>IF(ISBLANK(Mitigation_Industry!AA743),"",Mitigation_Industry!AA743)</f>
        <v>40.110671093615935</v>
      </c>
      <c r="AB1200">
        <f>IF(ISBLANK(Mitigation_Industry!AB743),"",Mitigation_Industry!AB743)</f>
        <v>41.434323239705257</v>
      </c>
      <c r="AC1200">
        <f>IF(ISBLANK(Mitigation_Industry!AC743),"",Mitigation_Industry!AC743)</f>
        <v>42.801655906615522</v>
      </c>
      <c r="AD1200">
        <f>IF(ISBLANK(Mitigation_Industry!AD743),"",Mitigation_Industry!AD743)</f>
        <v>44.214110551533835</v>
      </c>
      <c r="AE1200">
        <f>IF(ISBLANK(Mitigation_Industry!AE743),"",Mitigation_Industry!AE743)</f>
        <v>45.673176199734449</v>
      </c>
    </row>
    <row r="1201" spans="1:31" x14ac:dyDescent="0.45">
      <c r="A1201" t="s">
        <v>1666</v>
      </c>
      <c r="B1201" t="s">
        <v>1487</v>
      </c>
      <c r="C1201" t="s">
        <v>1369</v>
      </c>
      <c r="D1201">
        <v>2</v>
      </c>
      <c r="E1201" t="s">
        <v>1161</v>
      </c>
      <c r="F1201">
        <f>MAX(MAX(L1201:AE1201),-MIN(L1201:AE1201))</f>
        <v>0</v>
      </c>
      <c r="I1201" t="s">
        <v>1509</v>
      </c>
      <c r="K1201">
        <f t="shared" ref="K1201:AE1201" si="297">IF(ISNUMBER(K1199),IF(ISNUMBER(K1200),K1200-K1199,999999),0)</f>
        <v>0</v>
      </c>
      <c r="L1201">
        <f t="shared" si="297"/>
        <v>0</v>
      </c>
      <c r="M1201">
        <f t="shared" si="297"/>
        <v>0</v>
      </c>
      <c r="N1201">
        <f t="shared" si="297"/>
        <v>0</v>
      </c>
      <c r="O1201">
        <f t="shared" si="297"/>
        <v>0</v>
      </c>
      <c r="P1201">
        <f t="shared" si="297"/>
        <v>0</v>
      </c>
      <c r="Q1201">
        <f t="shared" si="297"/>
        <v>0</v>
      </c>
      <c r="R1201">
        <f t="shared" si="297"/>
        <v>0</v>
      </c>
      <c r="S1201">
        <f t="shared" si="297"/>
        <v>0</v>
      </c>
      <c r="T1201">
        <f t="shared" si="297"/>
        <v>0</v>
      </c>
      <c r="U1201">
        <f t="shared" si="297"/>
        <v>0</v>
      </c>
      <c r="V1201">
        <f t="shared" si="297"/>
        <v>0</v>
      </c>
      <c r="W1201">
        <f t="shared" si="297"/>
        <v>0</v>
      </c>
      <c r="X1201">
        <f t="shared" si="297"/>
        <v>0</v>
      </c>
      <c r="Y1201">
        <f t="shared" si="297"/>
        <v>0</v>
      </c>
      <c r="Z1201">
        <f t="shared" si="297"/>
        <v>0</v>
      </c>
      <c r="AA1201">
        <f t="shared" si="297"/>
        <v>0</v>
      </c>
      <c r="AB1201">
        <f t="shared" si="297"/>
        <v>0</v>
      </c>
      <c r="AC1201">
        <f t="shared" si="297"/>
        <v>0</v>
      </c>
      <c r="AD1201">
        <f t="shared" si="297"/>
        <v>0</v>
      </c>
      <c r="AE1201">
        <f t="shared" si="297"/>
        <v>0</v>
      </c>
    </row>
    <row r="1203" spans="1:31" x14ac:dyDescent="0.45">
      <c r="A1203" t="s">
        <v>1667</v>
      </c>
      <c r="B1203" t="s">
        <v>1487</v>
      </c>
      <c r="C1203" t="s">
        <v>1442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1667</v>
      </c>
      <c r="B1204" t="s">
        <v>1487</v>
      </c>
      <c r="C1204" t="s">
        <v>1442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1667</v>
      </c>
      <c r="B1205" t="s">
        <v>1487</v>
      </c>
      <c r="C1205" t="s">
        <v>1442</v>
      </c>
      <c r="D1205">
        <v>2</v>
      </c>
      <c r="E1205" t="s">
        <v>1161</v>
      </c>
      <c r="F1205">
        <f>MAX(MAX(L1205:AE1205),-MIN(L1205:AE1205))</f>
        <v>0</v>
      </c>
      <c r="I1205" t="s">
        <v>1509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1668</v>
      </c>
      <c r="B1207" t="s">
        <v>1487</v>
      </c>
      <c r="C1207" t="s">
        <v>1383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1668</v>
      </c>
      <c r="B1208" t="s">
        <v>1487</v>
      </c>
      <c r="C1208" t="s">
        <v>1383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1668</v>
      </c>
      <c r="B1209" t="s">
        <v>1487</v>
      </c>
      <c r="C1209" t="s">
        <v>1383</v>
      </c>
      <c r="D1209">
        <v>2</v>
      </c>
      <c r="E1209" t="s">
        <v>1161</v>
      </c>
      <c r="F1209">
        <f>MAX(MAX(L1209:AE1209),-MIN(L1209:AE1209))</f>
        <v>0</v>
      </c>
      <c r="I1209" t="s">
        <v>1509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1669</v>
      </c>
      <c r="B1211" t="s">
        <v>1487</v>
      </c>
      <c r="C1211" t="s">
        <v>1390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1669</v>
      </c>
      <c r="B1212" t="s">
        <v>1487</v>
      </c>
      <c r="C1212" t="s">
        <v>1390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0.55721293959505358</v>
      </c>
      <c r="M1212">
        <f>IF(ISBLANK(Mitigation_Industry!M746),"",Mitigation_Industry!M746)</f>
        <v>0.56947162426614473</v>
      </c>
      <c r="N1212">
        <f>IF(ISBLANK(Mitigation_Industry!N746),"",Mitigation_Industry!N746)</f>
        <v>0.58199999999999996</v>
      </c>
      <c r="O1212">
        <f>IF(ISBLANK(Mitigation_Industry!O746),"",Mitigation_Industry!O746)</f>
        <v>0.594804</v>
      </c>
      <c r="P1212">
        <f>IF(ISBLANK(Mitigation_Industry!P746),"",Mitigation_Industry!P746)</f>
        <v>0.60788968800000009</v>
      </c>
      <c r="Q1212">
        <f>IF(ISBLANK(Mitigation_Industry!Q746),"",Mitigation_Industry!Q746)</f>
        <v>0.62126326113599994</v>
      </c>
      <c r="R1212">
        <f>IF(ISBLANK(Mitigation_Industry!R746),"",Mitigation_Industry!R746)</f>
        <v>0.63493105288099194</v>
      </c>
      <c r="S1212">
        <f>IF(ISBLANK(Mitigation_Industry!S746),"",Mitigation_Industry!S746)</f>
        <v>0.64889953604437378</v>
      </c>
      <c r="T1212">
        <f>IF(ISBLANK(Mitigation_Industry!T746),"",Mitigation_Industry!T746)</f>
        <v>0.66317532583735006</v>
      </c>
      <c r="U1212">
        <f>IF(ISBLANK(Mitigation_Industry!U746),"",Mitigation_Industry!U746)</f>
        <v>0.67776518300577182</v>
      </c>
      <c r="V1212">
        <f>IF(ISBLANK(Mitigation_Industry!V746),"",Mitigation_Industry!V746)</f>
        <v>0.69267601703189885</v>
      </c>
      <c r="W1212">
        <f>IF(ISBLANK(Mitigation_Industry!W746),"",Mitigation_Industry!W746)</f>
        <v>0.70791488940660052</v>
      </c>
      <c r="X1212">
        <f>IF(ISBLANK(Mitigation_Industry!X746),"",Mitigation_Industry!X746)</f>
        <v>0.72348901697354573</v>
      </c>
      <c r="Y1212">
        <f>IF(ISBLANK(Mitigation_Industry!Y746),"",Mitigation_Industry!Y746)</f>
        <v>0.73940577534696372</v>
      </c>
      <c r="Z1212">
        <f>IF(ISBLANK(Mitigation_Industry!Z746),"",Mitigation_Industry!Z746)</f>
        <v>0.75567270240459705</v>
      </c>
      <c r="AA1212">
        <f>IF(ISBLANK(Mitigation_Industry!AA746),"",Mitigation_Industry!AA746)</f>
        <v>0.77229750185749824</v>
      </c>
      <c r="AB1212">
        <f>IF(ISBLANK(Mitigation_Industry!AB746),"",Mitigation_Industry!AB746)</f>
        <v>0.78928804689836318</v>
      </c>
      <c r="AC1212">
        <f>IF(ISBLANK(Mitigation_Industry!AC746),"",Mitigation_Industry!AC746)</f>
        <v>0.80665238393012717</v>
      </c>
      <c r="AD1212">
        <f>IF(ISBLANK(Mitigation_Industry!AD746),"",Mitigation_Industry!AD746)</f>
        <v>0.82439873637659</v>
      </c>
      <c r="AE1212">
        <f>IF(ISBLANK(Mitigation_Industry!AE746),"",Mitigation_Industry!AE746)</f>
        <v>0.84253550857687498</v>
      </c>
    </row>
    <row r="1213" spans="1:31" x14ac:dyDescent="0.45">
      <c r="A1213" t="s">
        <v>1669</v>
      </c>
      <c r="B1213" t="s">
        <v>1487</v>
      </c>
      <c r="C1213" t="s">
        <v>1390</v>
      </c>
      <c r="D1213">
        <v>2</v>
      </c>
      <c r="E1213" t="s">
        <v>1161</v>
      </c>
      <c r="F1213">
        <f>MAX(MAX(L1213:AE1213),-MIN(L1213:AE1213))</f>
        <v>0</v>
      </c>
      <c r="I1213" t="s">
        <v>1509</v>
      </c>
      <c r="K1213">
        <f t="shared" ref="K1213:AE1213" si="300">IF(ISNUMBER(K1211),IF(ISNUMBER(K1212),K1212-K1211,999999),0)</f>
        <v>0</v>
      </c>
      <c r="L1213">
        <f t="shared" si="300"/>
        <v>0</v>
      </c>
      <c r="M1213">
        <f t="shared" si="300"/>
        <v>0</v>
      </c>
      <c r="N1213">
        <f t="shared" si="300"/>
        <v>0</v>
      </c>
      <c r="O1213">
        <f t="shared" si="300"/>
        <v>0</v>
      </c>
      <c r="P1213">
        <f t="shared" si="300"/>
        <v>0</v>
      </c>
      <c r="Q1213">
        <f t="shared" si="300"/>
        <v>0</v>
      </c>
      <c r="R1213">
        <f t="shared" si="300"/>
        <v>0</v>
      </c>
      <c r="S1213">
        <f t="shared" si="300"/>
        <v>0</v>
      </c>
      <c r="T1213">
        <f t="shared" si="300"/>
        <v>0</v>
      </c>
      <c r="U1213">
        <f t="shared" si="300"/>
        <v>0</v>
      </c>
      <c r="V1213">
        <f t="shared" si="300"/>
        <v>0</v>
      </c>
      <c r="W1213">
        <f t="shared" si="300"/>
        <v>0</v>
      </c>
      <c r="X1213">
        <f t="shared" si="300"/>
        <v>0</v>
      </c>
      <c r="Y1213">
        <f t="shared" si="300"/>
        <v>0</v>
      </c>
      <c r="Z1213">
        <f t="shared" si="300"/>
        <v>0</v>
      </c>
      <c r="AA1213">
        <f t="shared" si="300"/>
        <v>0</v>
      </c>
      <c r="AB1213">
        <f t="shared" si="300"/>
        <v>0</v>
      </c>
      <c r="AC1213">
        <f t="shared" si="300"/>
        <v>0</v>
      </c>
      <c r="AD1213">
        <f t="shared" si="300"/>
        <v>0</v>
      </c>
      <c r="AE1213">
        <f t="shared" si="300"/>
        <v>0</v>
      </c>
    </row>
    <row r="1215" spans="1:31" x14ac:dyDescent="0.45">
      <c r="A1215" t="s">
        <v>1670</v>
      </c>
      <c r="B1215" t="s">
        <v>1487</v>
      </c>
      <c r="C1215" t="s">
        <v>1397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1670</v>
      </c>
      <c r="B1216" t="s">
        <v>1487</v>
      </c>
      <c r="C1216" t="s">
        <v>1397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0.63340895307832257</v>
      </c>
      <c r="M1216">
        <f>IF(ISBLANK(Mitigation_Industry!M747),"",Mitigation_Industry!M747)</f>
        <v>0.66824644549763035</v>
      </c>
      <c r="N1216">
        <f>IF(ISBLANK(Mitigation_Industry!N747),"",Mitigation_Industry!N747)</f>
        <v>0.70499999999999996</v>
      </c>
      <c r="O1216">
        <f>IF(ISBLANK(Mitigation_Industry!O747),"",Mitigation_Industry!O747)</f>
        <v>0.74377499999999996</v>
      </c>
      <c r="P1216">
        <f>IF(ISBLANK(Mitigation_Industry!P747),"",Mitigation_Industry!P747)</f>
        <v>0.78468262499999997</v>
      </c>
      <c r="Q1216">
        <f>IF(ISBLANK(Mitigation_Industry!Q747),"",Mitigation_Industry!Q747)</f>
        <v>0.82784016937499993</v>
      </c>
      <c r="R1216">
        <f>IF(ISBLANK(Mitigation_Industry!R747),"",Mitigation_Industry!R747)</f>
        <v>0.87337137869062498</v>
      </c>
      <c r="S1216">
        <f>IF(ISBLANK(Mitigation_Industry!S747),"",Mitigation_Industry!S747)</f>
        <v>0.92140680451860935</v>
      </c>
      <c r="T1216">
        <f>IF(ISBLANK(Mitigation_Industry!T747),"",Mitigation_Industry!T747)</f>
        <v>0.97208417876713282</v>
      </c>
      <c r="U1216">
        <f>IF(ISBLANK(Mitigation_Industry!U747),"",Mitigation_Industry!U747)</f>
        <v>1.025548808599325</v>
      </c>
      <c r="V1216">
        <f>IF(ISBLANK(Mitigation_Industry!V747),"",Mitigation_Industry!V747)</f>
        <v>1.0819539930722879</v>
      </c>
      <c r="W1216">
        <f>IF(ISBLANK(Mitigation_Industry!W747),"",Mitigation_Industry!W747)</f>
        <v>1.1414614626912638</v>
      </c>
      <c r="X1216">
        <f>IF(ISBLANK(Mitigation_Industry!X747),"",Mitigation_Industry!X747)</f>
        <v>1.2042418431392832</v>
      </c>
      <c r="Y1216">
        <f>IF(ISBLANK(Mitigation_Industry!Y747),"",Mitigation_Industry!Y747)</f>
        <v>1.2704751445119435</v>
      </c>
      <c r="Z1216">
        <f>IF(ISBLANK(Mitigation_Industry!Z747),"",Mitigation_Industry!Z747)</f>
        <v>1.3403512774601003</v>
      </c>
      <c r="AA1216">
        <f>IF(ISBLANK(Mitigation_Industry!AA747),"",Mitigation_Industry!AA747)</f>
        <v>1.4140705977204062</v>
      </c>
      <c r="AB1216">
        <f>IF(ISBLANK(Mitigation_Industry!AB747),"",Mitigation_Industry!AB747)</f>
        <v>1.4918444805950282</v>
      </c>
      <c r="AC1216">
        <f>IF(ISBLANK(Mitigation_Industry!AC747),"",Mitigation_Industry!AC747)</f>
        <v>1.5738959270277546</v>
      </c>
      <c r="AD1216">
        <f>IF(ISBLANK(Mitigation_Industry!AD747),"",Mitigation_Industry!AD747)</f>
        <v>1.660460203014281</v>
      </c>
      <c r="AE1216">
        <f>IF(ISBLANK(Mitigation_Industry!AE747),"",Mitigation_Industry!AE747)</f>
        <v>1.7517855141800662</v>
      </c>
    </row>
    <row r="1217" spans="1:31" x14ac:dyDescent="0.45">
      <c r="A1217" t="s">
        <v>1670</v>
      </c>
      <c r="B1217" t="s">
        <v>1487</v>
      </c>
      <c r="C1217" t="s">
        <v>1397</v>
      </c>
      <c r="D1217">
        <v>2</v>
      </c>
      <c r="E1217" t="s">
        <v>1161</v>
      </c>
      <c r="F1217">
        <f>MAX(MAX(L1217:AE1217),-MIN(L1217:AE1217))</f>
        <v>0</v>
      </c>
      <c r="I1217" t="s">
        <v>1509</v>
      </c>
      <c r="K1217">
        <f t="shared" ref="K1217:AE1217" si="301">IF(ISNUMBER(K1215),IF(ISNUMBER(K1216),K1216-K1215,999999),0)</f>
        <v>0</v>
      </c>
      <c r="L1217">
        <f t="shared" si="301"/>
        <v>0</v>
      </c>
      <c r="M1217">
        <f t="shared" si="301"/>
        <v>0</v>
      </c>
      <c r="N1217">
        <f t="shared" si="301"/>
        <v>0</v>
      </c>
      <c r="O1217">
        <f t="shared" si="301"/>
        <v>0</v>
      </c>
      <c r="P1217">
        <f t="shared" si="301"/>
        <v>0</v>
      </c>
      <c r="Q1217">
        <f t="shared" si="301"/>
        <v>0</v>
      </c>
      <c r="R1217">
        <f t="shared" si="301"/>
        <v>0</v>
      </c>
      <c r="S1217">
        <f t="shared" si="301"/>
        <v>0</v>
      </c>
      <c r="T1217">
        <f t="shared" si="301"/>
        <v>0</v>
      </c>
      <c r="U1217">
        <f t="shared" si="301"/>
        <v>0</v>
      </c>
      <c r="V1217">
        <f t="shared" si="301"/>
        <v>0</v>
      </c>
      <c r="W1217">
        <f t="shared" si="301"/>
        <v>0</v>
      </c>
      <c r="X1217">
        <f t="shared" si="301"/>
        <v>0</v>
      </c>
      <c r="Y1217">
        <f t="shared" si="301"/>
        <v>0</v>
      </c>
      <c r="Z1217">
        <f t="shared" si="301"/>
        <v>0</v>
      </c>
      <c r="AA1217">
        <f t="shared" si="301"/>
        <v>0</v>
      </c>
      <c r="AB1217">
        <f t="shared" si="301"/>
        <v>0</v>
      </c>
      <c r="AC1217">
        <f t="shared" si="301"/>
        <v>0</v>
      </c>
      <c r="AD1217">
        <f t="shared" si="301"/>
        <v>0</v>
      </c>
      <c r="AE1217">
        <f t="shared" si="301"/>
        <v>0</v>
      </c>
    </row>
    <row r="1219" spans="1:31" x14ac:dyDescent="0.45">
      <c r="A1219" t="s">
        <v>1671</v>
      </c>
      <c r="B1219" t="s">
        <v>1487</v>
      </c>
      <c r="C1219" t="s">
        <v>1486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1671</v>
      </c>
      <c r="B1220" t="s">
        <v>1487</v>
      </c>
      <c r="C1220" t="s">
        <v>1486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26.090339299916039</v>
      </c>
      <c r="M1220">
        <f>IF(ISBLANK(Mitigation_Industry!M748),"",Mitigation_Industry!M748)</f>
        <v>26.961911636097753</v>
      </c>
      <c r="N1220">
        <f>IF(ISBLANK(Mitigation_Industry!N748),"",Mitigation_Industry!N748)</f>
        <v>27.863</v>
      </c>
      <c r="O1220">
        <f>IF(ISBLANK(Mitigation_Industry!O748),"",Mitigation_Industry!O748)</f>
        <v>28.794622999999998</v>
      </c>
      <c r="P1220">
        <f>IF(ISBLANK(Mitigation_Industry!P748),"",Mitigation_Industry!P748)</f>
        <v>29.757835348999993</v>
      </c>
      <c r="Q1220">
        <f>IF(ISBLANK(Mitigation_Industry!Q748),"",Mitigation_Industry!Q748)</f>
        <v>30.753729192394996</v>
      </c>
      <c r="R1220">
        <f>IF(ISBLANK(Mitigation_Industry!R748),"",Mitigation_Industry!R748)</f>
        <v>31.783435487304406</v>
      </c>
      <c r="S1220">
        <f>IF(ISBLANK(Mitigation_Industry!S748),"",Mitigation_Industry!S748)</f>
        <v>32.848125435164668</v>
      </c>
      <c r="T1220">
        <f>IF(ISBLANK(Mitigation_Industry!T748),"",Mitigation_Industry!T748)</f>
        <v>33.949011969871044</v>
      </c>
      <c r="U1220">
        <f>IF(ISBLANK(Mitigation_Industry!U748),"",Mitigation_Industry!U748)</f>
        <v>35.087351303752364</v>
      </c>
      <c r="V1220">
        <f>IF(ISBLANK(Mitigation_Industry!V748),"",Mitigation_Industry!V748)</f>
        <v>36.264444533762408</v>
      </c>
      <c r="W1220">
        <f>IF(ISBLANK(Mitigation_Industry!W748),"",Mitigation_Industry!W748)</f>
        <v>37.481639310376153</v>
      </c>
      <c r="X1220">
        <f>IF(ISBLANK(Mitigation_Industry!X748),"",Mitigation_Industry!X748)</f>
        <v>38.740331571788573</v>
      </c>
      <c r="Y1220">
        <f>IF(ISBLANK(Mitigation_Industry!Y748),"",Mitigation_Industry!Y748)</f>
        <v>40.041967346128295</v>
      </c>
      <c r="Z1220">
        <f>IF(ISBLANK(Mitigation_Industry!Z748),"",Mitigation_Industry!Z748)</f>
        <v>41.388044624518081</v>
      </c>
      <c r="AA1220">
        <f>IF(ISBLANK(Mitigation_Industry!AA748),"",Mitigation_Industry!AA748)</f>
        <v>42.780115307939909</v>
      </c>
      <c r="AB1220">
        <f>IF(ISBLANK(Mitigation_Industry!AB748),"",Mitigation_Industry!AB748)</f>
        <v>44.219787230993546</v>
      </c>
      <c r="AC1220">
        <f>IF(ISBLANK(Mitigation_Industry!AC748),"",Mitigation_Industry!AC748)</f>
        <v>45.708726265775283</v>
      </c>
      <c r="AD1220">
        <f>IF(ISBLANK(Mitigation_Industry!AD748),"",Mitigation_Industry!AD748)</f>
        <v>47.248658509247463</v>
      </c>
      <c r="AE1220">
        <f>IF(ISBLANK(Mitigation_Industry!AE748),"",Mitigation_Industry!AE748)</f>
        <v>48.841372557620346</v>
      </c>
    </row>
    <row r="1221" spans="1:31" x14ac:dyDescent="0.45">
      <c r="A1221" t="s">
        <v>1671</v>
      </c>
      <c r="B1221" t="s">
        <v>1487</v>
      </c>
      <c r="C1221" t="s">
        <v>1486</v>
      </c>
      <c r="D1221">
        <v>2</v>
      </c>
      <c r="E1221" t="s">
        <v>1161</v>
      </c>
      <c r="F1221">
        <f>MAX(MAX(L1221:AE1221),-MIN(L1221:AE1221))</f>
        <v>0</v>
      </c>
      <c r="I1221" t="s">
        <v>1509</v>
      </c>
      <c r="K1221">
        <f t="shared" ref="K1221:AE1221" si="302">IF(ISNUMBER(K1219),IF(ISNUMBER(K1220),K1220-K1219,999999),0)</f>
        <v>0</v>
      </c>
      <c r="L1221">
        <f t="shared" si="302"/>
        <v>0</v>
      </c>
      <c r="M1221">
        <f t="shared" si="302"/>
        <v>0</v>
      </c>
      <c r="N1221">
        <f t="shared" si="302"/>
        <v>0</v>
      </c>
      <c r="O1221">
        <f t="shared" si="302"/>
        <v>0</v>
      </c>
      <c r="P1221">
        <f t="shared" si="302"/>
        <v>0</v>
      </c>
      <c r="Q1221">
        <f t="shared" si="302"/>
        <v>0</v>
      </c>
      <c r="R1221">
        <f t="shared" si="302"/>
        <v>0</v>
      </c>
      <c r="S1221">
        <f t="shared" si="302"/>
        <v>0</v>
      </c>
      <c r="T1221">
        <f t="shared" si="302"/>
        <v>0</v>
      </c>
      <c r="U1221">
        <f t="shared" si="302"/>
        <v>0</v>
      </c>
      <c r="V1221">
        <f t="shared" si="302"/>
        <v>0</v>
      </c>
      <c r="W1221">
        <f t="shared" si="302"/>
        <v>0</v>
      </c>
      <c r="X1221">
        <f t="shared" si="302"/>
        <v>0</v>
      </c>
      <c r="Y1221">
        <f t="shared" si="302"/>
        <v>0</v>
      </c>
      <c r="Z1221">
        <f t="shared" si="302"/>
        <v>0</v>
      </c>
      <c r="AA1221">
        <f t="shared" si="302"/>
        <v>0</v>
      </c>
      <c r="AB1221">
        <f t="shared" si="302"/>
        <v>0</v>
      </c>
      <c r="AC1221">
        <f t="shared" si="302"/>
        <v>0</v>
      </c>
      <c r="AD1221">
        <f t="shared" si="302"/>
        <v>0</v>
      </c>
      <c r="AE1221">
        <f t="shared" si="302"/>
        <v>0</v>
      </c>
    </row>
    <row r="1223" spans="1:31" x14ac:dyDescent="0.45">
      <c r="A1223" t="s">
        <v>1672</v>
      </c>
      <c r="B1223" t="s">
        <v>1488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1672</v>
      </c>
      <c r="B1224" t="s">
        <v>1488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1672</v>
      </c>
      <c r="B1225" t="s">
        <v>1488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1509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1673</v>
      </c>
      <c r="B1227" t="s">
        <v>1488</v>
      </c>
      <c r="C1227" t="s">
        <v>1357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1673</v>
      </c>
      <c r="B1228" t="s">
        <v>1488</v>
      </c>
      <c r="C1228" t="s">
        <v>1357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1673</v>
      </c>
      <c r="B1229" t="s">
        <v>1488</v>
      </c>
      <c r="C1229" t="s">
        <v>1357</v>
      </c>
      <c r="D1229">
        <v>2</v>
      </c>
      <c r="E1229" t="s">
        <v>1161</v>
      </c>
      <c r="F1229">
        <f>MAX(MAX(L1229:AE1229),-MIN(L1229:AE1229))</f>
        <v>0</v>
      </c>
      <c r="I1229" t="s">
        <v>1509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1674</v>
      </c>
      <c r="B1231" t="s">
        <v>1488</v>
      </c>
      <c r="C1231" t="s">
        <v>1408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1674</v>
      </c>
      <c r="B1232" t="s">
        <v>1488</v>
      </c>
      <c r="C1232" t="s">
        <v>1408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1674</v>
      </c>
      <c r="B1233" t="s">
        <v>1488</v>
      </c>
      <c r="C1233" t="s">
        <v>1408</v>
      </c>
      <c r="D1233">
        <v>2</v>
      </c>
      <c r="E1233" t="s">
        <v>1161</v>
      </c>
      <c r="F1233">
        <f>MAX(MAX(L1233:AE1233),-MIN(L1233:AE1233))</f>
        <v>0</v>
      </c>
      <c r="I1233" t="s">
        <v>1509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1675</v>
      </c>
      <c r="B1235" t="s">
        <v>1488</v>
      </c>
      <c r="C1235" t="s">
        <v>1409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1675</v>
      </c>
      <c r="B1236" t="s">
        <v>1488</v>
      </c>
      <c r="C1236" t="s">
        <v>1409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1675</v>
      </c>
      <c r="B1237" t="s">
        <v>1488</v>
      </c>
      <c r="C1237" t="s">
        <v>1409</v>
      </c>
      <c r="D1237">
        <v>2</v>
      </c>
      <c r="E1237" t="s">
        <v>1161</v>
      </c>
      <c r="F1237">
        <f>MAX(MAX(L1237:AE1237),-MIN(L1237:AE1237))</f>
        <v>0</v>
      </c>
      <c r="I1237" t="s">
        <v>1509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1676</v>
      </c>
      <c r="B1239" t="s">
        <v>1488</v>
      </c>
      <c r="C1239" t="s">
        <v>1410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1676</v>
      </c>
      <c r="B1240" t="s">
        <v>1488</v>
      </c>
      <c r="C1240" t="s">
        <v>1410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1676</v>
      </c>
      <c r="B1241" t="s">
        <v>1488</v>
      </c>
      <c r="C1241" t="s">
        <v>1410</v>
      </c>
      <c r="D1241">
        <v>2</v>
      </c>
      <c r="E1241" t="s">
        <v>1161</v>
      </c>
      <c r="F1241">
        <f>MAX(MAX(L1241:AE1241),-MIN(L1241:AE1241))</f>
        <v>0</v>
      </c>
      <c r="I1241" t="s">
        <v>1509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1677</v>
      </c>
      <c r="B1243" t="s">
        <v>1488</v>
      </c>
      <c r="C1243" t="s">
        <v>1383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1677</v>
      </c>
      <c r="B1244" t="s">
        <v>1488</v>
      </c>
      <c r="C1244" t="s">
        <v>1383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1677</v>
      </c>
      <c r="B1245" t="s">
        <v>1488</v>
      </c>
      <c r="C1245" t="s">
        <v>1383</v>
      </c>
      <c r="D1245">
        <v>2</v>
      </c>
      <c r="E1245" t="s">
        <v>1161</v>
      </c>
      <c r="F1245">
        <f>MAX(MAX(L1245:AE1245),-MIN(L1245:AE1245))</f>
        <v>0</v>
      </c>
      <c r="I1245" t="s">
        <v>1509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1678</v>
      </c>
      <c r="B1247" t="s">
        <v>1488</v>
      </c>
      <c r="C1247" t="s">
        <v>1411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1678</v>
      </c>
      <c r="B1248" t="s">
        <v>1488</v>
      </c>
      <c r="C1248" t="s">
        <v>1411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1678</v>
      </c>
      <c r="B1249" t="s">
        <v>1488</v>
      </c>
      <c r="C1249" t="s">
        <v>1411</v>
      </c>
      <c r="D1249">
        <v>2</v>
      </c>
      <c r="E1249" t="s">
        <v>1161</v>
      </c>
      <c r="F1249">
        <f>MAX(MAX(L1249:AE1249),-MIN(L1249:AE1249))</f>
        <v>0</v>
      </c>
      <c r="I1249" t="s">
        <v>1509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1679</v>
      </c>
      <c r="B1251" t="s">
        <v>1488</v>
      </c>
      <c r="C1251" t="s">
        <v>1397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1679</v>
      </c>
      <c r="B1252" t="s">
        <v>1488</v>
      </c>
      <c r="C1252" t="s">
        <v>1397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1679</v>
      </c>
      <c r="B1253" t="s">
        <v>1488</v>
      </c>
      <c r="C1253" t="s">
        <v>1397</v>
      </c>
      <c r="D1253">
        <v>2</v>
      </c>
      <c r="E1253" t="s">
        <v>1161</v>
      </c>
      <c r="F1253">
        <f>MAX(MAX(L1253:AE1253),-MIN(L1253:AE1253))</f>
        <v>0</v>
      </c>
      <c r="I1253" t="s">
        <v>1509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1680</v>
      </c>
      <c r="B1255" t="s">
        <v>1488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1680</v>
      </c>
      <c r="B1256" t="s">
        <v>1488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1680</v>
      </c>
      <c r="B1257" t="s">
        <v>1488</v>
      </c>
      <c r="D1257">
        <v>2</v>
      </c>
      <c r="E1257" t="s">
        <v>1161</v>
      </c>
      <c r="F1257">
        <f>MAX(MAX(L1257:AE1257),-MIN(L1257:AE1257))</f>
        <v>0</v>
      </c>
      <c r="I1257" t="s">
        <v>1509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1681</v>
      </c>
      <c r="B1259" t="s">
        <v>1491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1681</v>
      </c>
      <c r="B1260" t="s">
        <v>1491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1681</v>
      </c>
      <c r="B1261" t="s">
        <v>1491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1509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1682</v>
      </c>
      <c r="B1263" t="s">
        <v>1491</v>
      </c>
      <c r="C1263" t="s">
        <v>1357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1682</v>
      </c>
      <c r="B1264" t="s">
        <v>1491</v>
      </c>
      <c r="C1264" t="s">
        <v>1357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1682</v>
      </c>
      <c r="B1265" t="s">
        <v>1491</v>
      </c>
      <c r="C1265" t="s">
        <v>1357</v>
      </c>
      <c r="D1265">
        <v>2</v>
      </c>
      <c r="E1265" t="s">
        <v>1161</v>
      </c>
      <c r="F1265">
        <f>MAX(MAX(L1265:AE1265),-MIN(L1265:AE1265))</f>
        <v>0</v>
      </c>
      <c r="I1265" t="s">
        <v>1509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1683</v>
      </c>
      <c r="B1267" t="s">
        <v>1491</v>
      </c>
      <c r="C1267" t="s">
        <v>1408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1683</v>
      </c>
      <c r="B1268" t="s">
        <v>1491</v>
      </c>
      <c r="C1268" t="s">
        <v>1408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1683</v>
      </c>
      <c r="B1269" t="s">
        <v>1491</v>
      </c>
      <c r="C1269" t="s">
        <v>1408</v>
      </c>
      <c r="D1269">
        <v>2</v>
      </c>
      <c r="E1269" t="s">
        <v>1161</v>
      </c>
      <c r="F1269">
        <f>MAX(MAX(L1269:AE1269),-MIN(L1269:AE1269))</f>
        <v>0</v>
      </c>
      <c r="I1269" t="s">
        <v>1509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1684</v>
      </c>
      <c r="B1271" t="s">
        <v>1491</v>
      </c>
      <c r="C1271" t="s">
        <v>1409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1684</v>
      </c>
      <c r="B1272" t="s">
        <v>1491</v>
      </c>
      <c r="C1272" t="s">
        <v>1409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1684</v>
      </c>
      <c r="B1273" t="s">
        <v>1491</v>
      </c>
      <c r="C1273" t="s">
        <v>1409</v>
      </c>
      <c r="D1273">
        <v>2</v>
      </c>
      <c r="E1273" t="s">
        <v>1161</v>
      </c>
      <c r="F1273">
        <f>MAX(MAX(L1273:AE1273),-MIN(L1273:AE1273))</f>
        <v>0</v>
      </c>
      <c r="I1273" t="s">
        <v>1509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1685</v>
      </c>
      <c r="B1275" t="s">
        <v>1491</v>
      </c>
      <c r="C1275" t="s">
        <v>1410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1685</v>
      </c>
      <c r="B1276" t="s">
        <v>1491</v>
      </c>
      <c r="C1276" t="s">
        <v>1410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1685</v>
      </c>
      <c r="B1277" t="s">
        <v>1491</v>
      </c>
      <c r="C1277" t="s">
        <v>1410</v>
      </c>
      <c r="D1277">
        <v>2</v>
      </c>
      <c r="E1277" t="s">
        <v>1161</v>
      </c>
      <c r="F1277">
        <f>MAX(MAX(L1277:AE1277),-MIN(L1277:AE1277))</f>
        <v>0</v>
      </c>
      <c r="I1277" t="s">
        <v>1509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1686</v>
      </c>
      <c r="B1279" t="s">
        <v>1491</v>
      </c>
      <c r="C1279" t="s">
        <v>1383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1686</v>
      </c>
      <c r="B1280" t="s">
        <v>1491</v>
      </c>
      <c r="C1280" t="s">
        <v>1383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1686</v>
      </c>
      <c r="B1281" t="s">
        <v>1491</v>
      </c>
      <c r="C1281" t="s">
        <v>1383</v>
      </c>
      <c r="D1281">
        <v>2</v>
      </c>
      <c r="E1281" t="s">
        <v>1161</v>
      </c>
      <c r="F1281">
        <f>MAX(MAX(L1281:AE1281),-MIN(L1281:AE1281))</f>
        <v>0</v>
      </c>
      <c r="I1281" t="s">
        <v>1509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1687</v>
      </c>
      <c r="B1283" t="s">
        <v>1491</v>
      </c>
      <c r="C1283" t="s">
        <v>1411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1687</v>
      </c>
      <c r="B1284" t="s">
        <v>1491</v>
      </c>
      <c r="C1284" t="s">
        <v>1411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1687</v>
      </c>
      <c r="B1285" t="s">
        <v>1491</v>
      </c>
      <c r="C1285" t="s">
        <v>1411</v>
      </c>
      <c r="D1285">
        <v>2</v>
      </c>
      <c r="E1285" t="s">
        <v>1161</v>
      </c>
      <c r="F1285">
        <f>MAX(MAX(L1285:AE1285),-MIN(L1285:AE1285))</f>
        <v>0</v>
      </c>
      <c r="I1285" t="s">
        <v>1509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1688</v>
      </c>
      <c r="B1287" t="s">
        <v>1491</v>
      </c>
      <c r="C1287" t="s">
        <v>1397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1688</v>
      </c>
      <c r="B1288" t="s">
        <v>1491</v>
      </c>
      <c r="C1288" t="s">
        <v>1397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1688</v>
      </c>
      <c r="B1289" t="s">
        <v>1491</v>
      </c>
      <c r="C1289" t="s">
        <v>1397</v>
      </c>
      <c r="D1289">
        <v>2</v>
      </c>
      <c r="E1289" t="s">
        <v>1161</v>
      </c>
      <c r="F1289">
        <f>MAX(MAX(L1289:AE1289),-MIN(L1289:AE1289))</f>
        <v>0</v>
      </c>
      <c r="I1289" t="s">
        <v>1509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1689</v>
      </c>
      <c r="B1291" t="s">
        <v>1491</v>
      </c>
      <c r="C1291" t="s">
        <v>1492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1689</v>
      </c>
      <c r="B1292" t="s">
        <v>1491</v>
      </c>
      <c r="C1292" t="s">
        <v>1492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1689</v>
      </c>
      <c r="B1293" t="s">
        <v>1491</v>
      </c>
      <c r="C1293" t="s">
        <v>1492</v>
      </c>
      <c r="D1293">
        <v>2</v>
      </c>
      <c r="E1293" t="s">
        <v>1161</v>
      </c>
      <c r="F1293">
        <f>MAX(MAX(L1293:AE1293),-MIN(L1293:AE1293))</f>
        <v>0</v>
      </c>
      <c r="I1293" t="s">
        <v>1509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1690</v>
      </c>
      <c r="B1295" t="s">
        <v>1493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1690</v>
      </c>
      <c r="B1296" t="s">
        <v>1493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3.5290636333347374</v>
      </c>
      <c r="M1296">
        <f>IF(ISBLANK(Mitigation_Industry!M773),"",Mitigation_Industry!M773)</f>
        <v>3.6067030332681016</v>
      </c>
      <c r="N1296">
        <f>IF(ISBLANK(Mitigation_Industry!N773),"",Mitigation_Industry!N773)</f>
        <v>3.6860504999999999</v>
      </c>
      <c r="O1296">
        <f>IF(ISBLANK(Mitigation_Industry!O773),"",Mitigation_Industry!O773)</f>
        <v>3.7671436109999994</v>
      </c>
      <c r="P1296">
        <f>IF(ISBLANK(Mitigation_Industry!P773),"",Mitigation_Industry!P773)</f>
        <v>3.8500207704419993</v>
      </c>
      <c r="Q1296">
        <f>IF(ISBLANK(Mitigation_Industry!Q773),"",Mitigation_Industry!Q773)</f>
        <v>3.9347212273917234</v>
      </c>
      <c r="R1296">
        <f>IF(ISBLANK(Mitigation_Industry!R773),"",Mitigation_Industry!R773)</f>
        <v>4.0212850943943419</v>
      </c>
      <c r="S1296">
        <f>IF(ISBLANK(Mitigation_Industry!S773),"",Mitigation_Industry!S773)</f>
        <v>4.1097533664710166</v>
      </c>
      <c r="T1296">
        <f>IF(ISBLANK(Mitigation_Industry!T773),"",Mitigation_Industry!T773)</f>
        <v>4.2001679405333787</v>
      </c>
      <c r="U1296">
        <f>IF(ISBLANK(Mitigation_Industry!U773),"",Mitigation_Industry!U773)</f>
        <v>4.292571635225114</v>
      </c>
      <c r="V1296">
        <f>IF(ISBLANK(Mitigation_Industry!V773),"",Mitigation_Industry!V773)</f>
        <v>4.3870082112000661</v>
      </c>
      <c r="W1296">
        <f>IF(ISBLANK(Mitigation_Industry!W773),"",Mitigation_Industry!W773)</f>
        <v>4.4835223918464688</v>
      </c>
      <c r="X1296">
        <f>IF(ISBLANK(Mitigation_Industry!X773),"",Mitigation_Industry!X773)</f>
        <v>4.5821598844670905</v>
      </c>
      <c r="Y1296">
        <f>IF(ISBLANK(Mitigation_Industry!Y773),"",Mitigation_Industry!Y773)</f>
        <v>4.6829674019253673</v>
      </c>
      <c r="Z1296">
        <f>IF(ISBLANK(Mitigation_Industry!Z773),"",Mitigation_Industry!Z773)</f>
        <v>4.7859926847677254</v>
      </c>
      <c r="AA1296">
        <f>IF(ISBLANK(Mitigation_Industry!AA773),"",Mitigation_Industry!AA773)</f>
        <v>4.8912845238326152</v>
      </c>
      <c r="AB1296">
        <f>IF(ISBLANK(Mitigation_Industry!AB773),"",Mitigation_Industry!AB773)</f>
        <v>4.9988927833569319</v>
      </c>
      <c r="AC1296">
        <f>IF(ISBLANK(Mitigation_Industry!AC773),"",Mitigation_Industry!AC773)</f>
        <v>5.1088684245907858</v>
      </c>
      <c r="AD1296">
        <f>IF(ISBLANK(Mitigation_Industry!AD773),"",Mitigation_Industry!AD773)</f>
        <v>5.2212635299317824</v>
      </c>
      <c r="AE1296">
        <f>IF(ISBLANK(Mitigation_Industry!AE773),"",Mitigation_Industry!AE773)</f>
        <v>5.336131327590282</v>
      </c>
    </row>
    <row r="1297" spans="1:31" x14ac:dyDescent="0.45">
      <c r="A1297" t="s">
        <v>1690</v>
      </c>
      <c r="B1297" t="s">
        <v>1493</v>
      </c>
      <c r="C1297" t="s">
        <v>283</v>
      </c>
      <c r="D1297">
        <v>2</v>
      </c>
      <c r="E1297" t="s">
        <v>1161</v>
      </c>
      <c r="F1297">
        <f>MAX(MAX(L1297:AE1297),-MIN(L1297:AE1297))</f>
        <v>4.4935958190134073</v>
      </c>
      <c r="I1297" t="s">
        <v>1588</v>
      </c>
      <c r="J1297" t="s">
        <v>1589</v>
      </c>
      <c r="K1297">
        <f t="shared" ref="K1297:AE1297" si="321">IF(ISNUMBER(K1295),IF(ISNUMBER(K1296),K1296-K1295,999999),0)</f>
        <v>0</v>
      </c>
      <c r="L1297">
        <f t="shared" si="321"/>
        <v>0</v>
      </c>
      <c r="M1297">
        <f t="shared" si="321"/>
        <v>3.037231409001957</v>
      </c>
      <c r="N1297">
        <f t="shared" si="321"/>
        <v>3.1040505</v>
      </c>
      <c r="O1297">
        <f t="shared" si="321"/>
        <v>3.1723396109999995</v>
      </c>
      <c r="P1297">
        <f t="shared" si="321"/>
        <v>3.2421310824419991</v>
      </c>
      <c r="Q1297">
        <f t="shared" si="321"/>
        <v>3.3134579662557235</v>
      </c>
      <c r="R1297">
        <f t="shared" si="321"/>
        <v>3.38635404151335</v>
      </c>
      <c r="S1297">
        <f t="shared" si="321"/>
        <v>3.4608538304266427</v>
      </c>
      <c r="T1297">
        <f t="shared" si="321"/>
        <v>3.5369926146960289</v>
      </c>
      <c r="U1297">
        <f t="shared" si="321"/>
        <v>3.6148064522193422</v>
      </c>
      <c r="V1297">
        <f t="shared" si="321"/>
        <v>3.694332194168167</v>
      </c>
      <c r="W1297">
        <f t="shared" si="321"/>
        <v>3.7756075024398683</v>
      </c>
      <c r="X1297">
        <f t="shared" si="321"/>
        <v>3.8586708674935446</v>
      </c>
      <c r="Y1297">
        <f t="shared" si="321"/>
        <v>3.9435616265784037</v>
      </c>
      <c r="Z1297">
        <f t="shared" si="321"/>
        <v>4.0303199823631282</v>
      </c>
      <c r="AA1297">
        <f t="shared" si="321"/>
        <v>4.1189870219751175</v>
      </c>
      <c r="AB1297">
        <f t="shared" si="321"/>
        <v>4.2096047364585685</v>
      </c>
      <c r="AC1297">
        <f t="shared" si="321"/>
        <v>4.3022160406606584</v>
      </c>
      <c r="AD1297">
        <f t="shared" si="321"/>
        <v>4.3968647935551921</v>
      </c>
      <c r="AE1297">
        <f t="shared" si="321"/>
        <v>4.4935958190134073</v>
      </c>
    </row>
    <row r="1299" spans="1:31" x14ac:dyDescent="0.45">
      <c r="A1299" t="s">
        <v>1691</v>
      </c>
      <c r="B1299" t="s">
        <v>1493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1691</v>
      </c>
      <c r="B1300" t="s">
        <v>1493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3.8464212577619237</v>
      </c>
      <c r="M1300">
        <f>IF(ISBLANK(Mitigation_Industry!M774),"",Mitigation_Industry!M774)</f>
        <v>4.0156637931034478</v>
      </c>
      <c r="N1300">
        <f>IF(ISBLANK(Mitigation_Industry!N774),"",Mitigation_Industry!N774)</f>
        <v>4.1923530000000007</v>
      </c>
      <c r="O1300">
        <f>IF(ISBLANK(Mitigation_Industry!O774),"",Mitigation_Industry!O774)</f>
        <v>4.3768165320000012</v>
      </c>
      <c r="P1300">
        <f>IF(ISBLANK(Mitigation_Industry!P774),"",Mitigation_Industry!P774)</f>
        <v>4.5693964594080008</v>
      </c>
      <c r="Q1300">
        <f>IF(ISBLANK(Mitigation_Industry!Q774),"",Mitigation_Industry!Q774)</f>
        <v>4.7704499036219534</v>
      </c>
      <c r="R1300">
        <f>IF(ISBLANK(Mitigation_Industry!R774),"",Mitigation_Industry!R774)</f>
        <v>4.9803496993813186</v>
      </c>
      <c r="S1300">
        <f>IF(ISBLANK(Mitigation_Industry!S774),"",Mitigation_Industry!S774)</f>
        <v>5.1994850861540982</v>
      </c>
      <c r="T1300">
        <f>IF(ISBLANK(Mitigation_Industry!T774),"",Mitigation_Industry!T774)</f>
        <v>5.4282624299448781</v>
      </c>
      <c r="U1300">
        <f>IF(ISBLANK(Mitigation_Industry!U774),"",Mitigation_Industry!U774)</f>
        <v>5.6671059768624525</v>
      </c>
      <c r="V1300">
        <f>IF(ISBLANK(Mitigation_Industry!V774),"",Mitigation_Industry!V774)</f>
        <v>5.9164586398444019</v>
      </c>
      <c r="W1300">
        <f>IF(ISBLANK(Mitigation_Industry!W774),"",Mitigation_Industry!W774)</f>
        <v>6.1767828199975545</v>
      </c>
      <c r="X1300">
        <f>IF(ISBLANK(Mitigation_Industry!X774),"",Mitigation_Industry!X774)</f>
        <v>6.4485612640774477</v>
      </c>
      <c r="Y1300">
        <f>IF(ISBLANK(Mitigation_Industry!Y774),"",Mitigation_Industry!Y774)</f>
        <v>6.7322979596968553</v>
      </c>
      <c r="Z1300">
        <f>IF(ISBLANK(Mitigation_Industry!Z774),"",Mitigation_Industry!Z774)</f>
        <v>7.0285190699235169</v>
      </c>
      <c r="AA1300">
        <f>IF(ISBLANK(Mitigation_Industry!AA774),"",Mitigation_Industry!AA774)</f>
        <v>7.3377739090001519</v>
      </c>
      <c r="AB1300">
        <f>IF(ISBLANK(Mitigation_Industry!AB774),"",Mitigation_Industry!AB774)</f>
        <v>7.6606359609961583</v>
      </c>
      <c r="AC1300">
        <f>IF(ISBLANK(Mitigation_Industry!AC774),"",Mitigation_Industry!AC774)</f>
        <v>7.9977039432799906</v>
      </c>
      <c r="AD1300">
        <f>IF(ISBLANK(Mitigation_Industry!AD774),"",Mitigation_Industry!AD774)</f>
        <v>8.3496029167843098</v>
      </c>
      <c r="AE1300">
        <f>IF(ISBLANK(Mitigation_Industry!AE774),"",Mitigation_Industry!AE774)</f>
        <v>8.7169854451228197</v>
      </c>
    </row>
    <row r="1301" spans="1:31" x14ac:dyDescent="0.45">
      <c r="A1301" t="s">
        <v>1691</v>
      </c>
      <c r="B1301" t="s">
        <v>1493</v>
      </c>
      <c r="C1301" t="s">
        <v>284</v>
      </c>
      <c r="D1301">
        <v>2</v>
      </c>
      <c r="E1301" t="s">
        <v>1161</v>
      </c>
      <c r="F1301">
        <f>MAX(MAX(L1301:AE1301),-MIN(L1301:AE1301))</f>
        <v>8.1431101099938612</v>
      </c>
      <c r="I1301" t="s">
        <v>1588</v>
      </c>
      <c r="J1301" t="s">
        <v>1589</v>
      </c>
      <c r="K1301">
        <f t="shared" ref="K1301:AE1301" si="322">IF(ISNUMBER(K1299),IF(ISNUMBER(K1300),K1300-K1299,999999),0)</f>
        <v>0</v>
      </c>
      <c r="L1301">
        <f t="shared" si="322"/>
        <v>0</v>
      </c>
      <c r="M1301">
        <f t="shared" si="322"/>
        <v>3.7512959770114938</v>
      </c>
      <c r="N1301">
        <f t="shared" si="322"/>
        <v>3.9163530000000009</v>
      </c>
      <c r="O1301">
        <f t="shared" si="322"/>
        <v>4.0886725320000012</v>
      </c>
      <c r="P1301">
        <f t="shared" si="322"/>
        <v>4.2685741234080004</v>
      </c>
      <c r="Q1301">
        <f t="shared" si="322"/>
        <v>4.4563913848379535</v>
      </c>
      <c r="R1301">
        <f t="shared" si="322"/>
        <v>4.6524726057708223</v>
      </c>
      <c r="S1301">
        <f t="shared" si="322"/>
        <v>4.8571814004247402</v>
      </c>
      <c r="T1301">
        <f t="shared" si="322"/>
        <v>5.0708973820434284</v>
      </c>
      <c r="U1301">
        <f t="shared" si="322"/>
        <v>5.2940168668533394</v>
      </c>
      <c r="V1301">
        <f t="shared" si="322"/>
        <v>5.5269536089948872</v>
      </c>
      <c r="W1301">
        <f t="shared" si="322"/>
        <v>5.7701395677906611</v>
      </c>
      <c r="X1301">
        <f t="shared" si="322"/>
        <v>6.0240257087734514</v>
      </c>
      <c r="Y1301">
        <f t="shared" si="322"/>
        <v>6.2890828399594829</v>
      </c>
      <c r="Z1301">
        <f t="shared" si="322"/>
        <v>6.5658024849177004</v>
      </c>
      <c r="AA1301">
        <f t="shared" si="322"/>
        <v>6.8546977942540792</v>
      </c>
      <c r="AB1301">
        <f t="shared" si="322"/>
        <v>7.1563044972012584</v>
      </c>
      <c r="AC1301">
        <f t="shared" si="322"/>
        <v>7.4711818950781153</v>
      </c>
      <c r="AD1301">
        <f t="shared" si="322"/>
        <v>7.7999138984615524</v>
      </c>
      <c r="AE1301">
        <f t="shared" si="322"/>
        <v>8.1431101099938612</v>
      </c>
    </row>
    <row r="1303" spans="1:31" x14ac:dyDescent="0.45">
      <c r="A1303" t="s">
        <v>1692</v>
      </c>
      <c r="B1303" t="s">
        <v>1493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1692</v>
      </c>
      <c r="B1304" t="s">
        <v>1493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4.2047573055412055E-2</v>
      </c>
      <c r="M1304">
        <f>IF(ISBLANK(Mitigation_Industry!M775),"",Mitigation_Industry!M775)</f>
        <v>4.4360189573459712E-2</v>
      </c>
      <c r="N1304">
        <f>IF(ISBLANK(Mitigation_Industry!N775),"",Mitigation_Industry!N775)</f>
        <v>4.6799999999999994E-2</v>
      </c>
      <c r="O1304">
        <f>IF(ISBLANK(Mitigation_Industry!O775),"",Mitigation_Industry!O775)</f>
        <v>4.9374000000000001E-2</v>
      </c>
      <c r="P1304">
        <f>IF(ISBLANK(Mitigation_Industry!P775),"",Mitigation_Industry!P775)</f>
        <v>5.2089569999999995E-2</v>
      </c>
      <c r="Q1304">
        <f>IF(ISBLANK(Mitigation_Industry!Q775),"",Mitigation_Industry!Q775)</f>
        <v>5.4954496349999993E-2</v>
      </c>
      <c r="R1304">
        <f>IF(ISBLANK(Mitigation_Industry!R775),"",Mitigation_Industry!R775)</f>
        <v>5.7976993649249998E-2</v>
      </c>
      <c r="S1304">
        <f>IF(ISBLANK(Mitigation_Industry!S775),"",Mitigation_Industry!S775)</f>
        <v>6.1165728299958741E-2</v>
      </c>
      <c r="T1304">
        <f>IF(ISBLANK(Mitigation_Industry!T775),"",Mitigation_Industry!T775)</f>
        <v>6.4529843356456465E-2</v>
      </c>
      <c r="U1304">
        <f>IF(ISBLANK(Mitigation_Industry!U775),"",Mitigation_Industry!U775)</f>
        <v>6.8078984741061568E-2</v>
      </c>
      <c r="V1304">
        <f>IF(ISBLANK(Mitigation_Industry!V775),"",Mitigation_Industry!V775)</f>
        <v>7.1823328901819944E-2</v>
      </c>
      <c r="W1304">
        <f>IF(ISBLANK(Mitigation_Industry!W775),"",Mitigation_Industry!W775)</f>
        <v>7.5773611991420048E-2</v>
      </c>
      <c r="X1304">
        <f>IF(ISBLANK(Mitigation_Industry!X775),"",Mitigation_Industry!X775)</f>
        <v>7.9941160650948154E-2</v>
      </c>
      <c r="Y1304">
        <f>IF(ISBLANK(Mitigation_Industry!Y775),"",Mitigation_Industry!Y775)</f>
        <v>8.4337924486750301E-2</v>
      </c>
      <c r="Z1304">
        <f>IF(ISBLANK(Mitigation_Industry!Z775),"",Mitigation_Industry!Z775)</f>
        <v>8.8976510333521566E-2</v>
      </c>
      <c r="AA1304">
        <f>IF(ISBLANK(Mitigation_Industry!AA775),"",Mitigation_Industry!AA775)</f>
        <v>9.3870218401865241E-2</v>
      </c>
      <c r="AB1304">
        <f>IF(ISBLANK(Mitigation_Industry!AB775),"",Mitigation_Industry!AB775)</f>
        <v>9.9033080413967828E-2</v>
      </c>
      <c r="AC1304">
        <f>IF(ISBLANK(Mitigation_Industry!AC775),"",Mitigation_Industry!AC775)</f>
        <v>0.10447989983673606</v>
      </c>
      <c r="AD1304">
        <f>IF(ISBLANK(Mitigation_Industry!AD775),"",Mitigation_Industry!AD775)</f>
        <v>0.11022629432775652</v>
      </c>
      <c r="AE1304">
        <f>IF(ISBLANK(Mitigation_Industry!AE775),"",Mitigation_Industry!AE775)</f>
        <v>0.11628874051578311</v>
      </c>
    </row>
    <row r="1305" spans="1:31" x14ac:dyDescent="0.45">
      <c r="A1305" t="s">
        <v>1692</v>
      </c>
      <c r="B1305" t="s">
        <v>1493</v>
      </c>
      <c r="C1305" t="s">
        <v>285</v>
      </c>
      <c r="D1305">
        <v>2</v>
      </c>
      <c r="E1305" t="s">
        <v>1161</v>
      </c>
      <c r="F1305">
        <f>MAX(MAX(L1305:AE1305),-MIN(L1305:AE1305))</f>
        <v>1.6354967736642831</v>
      </c>
      <c r="I1305" t="s">
        <v>1588</v>
      </c>
      <c r="J1305" t="s">
        <v>1589</v>
      </c>
      <c r="K1305">
        <f t="shared" ref="K1305:AE1305" si="323">IF(ISNUMBER(K1303),IF(ISNUMBER(K1304),K1304-K1303,999999),0)</f>
        <v>0</v>
      </c>
      <c r="L1305">
        <f t="shared" si="323"/>
        <v>0</v>
      </c>
      <c r="M1305">
        <f t="shared" si="323"/>
        <v>-0.62388625592417069</v>
      </c>
      <c r="N1305">
        <f t="shared" si="323"/>
        <v>-0.65820000000000001</v>
      </c>
      <c r="O1305">
        <f t="shared" si="323"/>
        <v>-0.69440099999999993</v>
      </c>
      <c r="P1305">
        <f t="shared" si="323"/>
        <v>-0.73259305499999994</v>
      </c>
      <c r="Q1305">
        <f t="shared" si="323"/>
        <v>-0.772885673025</v>
      </c>
      <c r="R1305">
        <f t="shared" si="323"/>
        <v>-0.81539438504137496</v>
      </c>
      <c r="S1305">
        <f t="shared" si="323"/>
        <v>-0.86024107621865065</v>
      </c>
      <c r="T1305">
        <f t="shared" si="323"/>
        <v>-0.90755433541067632</v>
      </c>
      <c r="U1305">
        <f t="shared" si="323"/>
        <v>-0.9574698238582634</v>
      </c>
      <c r="V1305">
        <f t="shared" si="323"/>
        <v>-1.0101306641704679</v>
      </c>
      <c r="W1305">
        <f t="shared" si="323"/>
        <v>-1.0656878506998437</v>
      </c>
      <c r="X1305">
        <f t="shared" si="323"/>
        <v>-1.124300682488335</v>
      </c>
      <c r="Y1305">
        <f t="shared" si="323"/>
        <v>-1.1861372200251932</v>
      </c>
      <c r="Z1305">
        <f t="shared" si="323"/>
        <v>-1.2513747671265787</v>
      </c>
      <c r="AA1305">
        <f t="shared" si="323"/>
        <v>-1.3202003793185411</v>
      </c>
      <c r="AB1305">
        <f t="shared" si="323"/>
        <v>-1.3928114001810603</v>
      </c>
      <c r="AC1305">
        <f t="shared" si="323"/>
        <v>-1.4694160271910186</v>
      </c>
      <c r="AD1305">
        <f t="shared" si="323"/>
        <v>-1.5502339086865244</v>
      </c>
      <c r="AE1305">
        <f t="shared" si="323"/>
        <v>-1.6354967736642831</v>
      </c>
    </row>
    <row r="1307" spans="1:31" x14ac:dyDescent="0.45">
      <c r="A1307" t="s">
        <v>1693</v>
      </c>
      <c r="B1307" t="s">
        <v>1493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1693</v>
      </c>
      <c r="B1308" t="s">
        <v>1493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1693</v>
      </c>
      <c r="B1309" t="s">
        <v>1493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1588</v>
      </c>
      <c r="J1309" t="s">
        <v>1589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1694</v>
      </c>
      <c r="B1311" t="s">
        <v>1493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1694</v>
      </c>
      <c r="B1312" t="s">
        <v>1493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13.508713893592759</v>
      </c>
      <c r="M1312">
        <f>IF(ISBLANK(Mitigation_Industry!M777),"",Mitigation_Industry!M777)</f>
        <v>13.954501452081319</v>
      </c>
      <c r="N1312">
        <f>IF(ISBLANK(Mitigation_Industry!N777),"",Mitigation_Industry!N777)</f>
        <v>14.414999999999999</v>
      </c>
      <c r="O1312">
        <f>IF(ISBLANK(Mitigation_Industry!O777),"",Mitigation_Industry!O777)</f>
        <v>14.890694999999997</v>
      </c>
      <c r="P1312">
        <f>IF(ISBLANK(Mitigation_Industry!P777),"",Mitigation_Industry!P777)</f>
        <v>15.382087934999998</v>
      </c>
      <c r="Q1312">
        <f>IF(ISBLANK(Mitigation_Industry!Q777),"",Mitigation_Industry!Q777)</f>
        <v>15.889696836854995</v>
      </c>
      <c r="R1312">
        <f>IF(ISBLANK(Mitigation_Industry!R777),"",Mitigation_Industry!R777)</f>
        <v>16.414056832471207</v>
      </c>
      <c r="S1312">
        <f>IF(ISBLANK(Mitigation_Industry!S777),"",Mitigation_Industry!S777)</f>
        <v>16.955720707942756</v>
      </c>
      <c r="T1312">
        <f>IF(ISBLANK(Mitigation_Industry!T777),"",Mitigation_Industry!T777)</f>
        <v>17.515259491304867</v>
      </c>
      <c r="U1312">
        <f>IF(ISBLANK(Mitigation_Industry!U777),"",Mitigation_Industry!U777)</f>
        <v>18.093263054517926</v>
      </c>
      <c r="V1312">
        <f>IF(ISBLANK(Mitigation_Industry!V777),"",Mitigation_Industry!V777)</f>
        <v>18.690340735317015</v>
      </c>
      <c r="W1312">
        <f>IF(ISBLANK(Mitigation_Industry!W777),"",Mitigation_Industry!W777)</f>
        <v>19.307121979582476</v>
      </c>
      <c r="X1312">
        <f>IF(ISBLANK(Mitigation_Industry!X777),"",Mitigation_Industry!X777)</f>
        <v>19.944257004908696</v>
      </c>
      <c r="Y1312">
        <f>IF(ISBLANK(Mitigation_Industry!Y777),"",Mitigation_Industry!Y777)</f>
        <v>20.602417486070681</v>
      </c>
      <c r="Z1312">
        <f>IF(ISBLANK(Mitigation_Industry!Z777),"",Mitigation_Industry!Z777)</f>
        <v>21.282297263111012</v>
      </c>
      <c r="AA1312">
        <f>IF(ISBLANK(Mitigation_Industry!AA777),"",Mitigation_Industry!AA777)</f>
        <v>21.984613072793675</v>
      </c>
      <c r="AB1312">
        <f>IF(ISBLANK(Mitigation_Industry!AB777),"",Mitigation_Industry!AB777)</f>
        <v>22.710105304195867</v>
      </c>
      <c r="AC1312">
        <f>IF(ISBLANK(Mitigation_Industry!AC777),"",Mitigation_Industry!AC777)</f>
        <v>23.459538779234329</v>
      </c>
      <c r="AD1312">
        <f>IF(ISBLANK(Mitigation_Industry!AD777),"",Mitigation_Industry!AD777)</f>
        <v>24.23370355894906</v>
      </c>
      <c r="AE1312">
        <f>IF(ISBLANK(Mitigation_Industry!AE777),"",Mitigation_Industry!AE777)</f>
        <v>25.033415776394378</v>
      </c>
    </row>
    <row r="1313" spans="1:31" x14ac:dyDescent="0.45">
      <c r="A1313" t="s">
        <v>1694</v>
      </c>
      <c r="B1313" t="s">
        <v>1493</v>
      </c>
      <c r="C1313" t="s">
        <v>287</v>
      </c>
      <c r="D1313">
        <v>2</v>
      </c>
      <c r="E1313" t="s">
        <v>1161</v>
      </c>
      <c r="F1313">
        <f>MAX(MAX(L1313:AE1313),-MIN(L1313:AE1313))</f>
        <v>20.639760423340071</v>
      </c>
      <c r="I1313" t="s">
        <v>1588</v>
      </c>
      <c r="J1313" t="s">
        <v>1589</v>
      </c>
      <c r="K1313">
        <f t="shared" ref="K1313:AE1313" si="325">IF(ISNUMBER(K1311),IF(ISNUMBER(K1312),K1312-K1311,999999),0)</f>
        <v>0</v>
      </c>
      <c r="L1313">
        <f t="shared" si="325"/>
        <v>1.7763568394002505E-15</v>
      </c>
      <c r="M1313">
        <f t="shared" si="325"/>
        <v>-11.505324298160703</v>
      </c>
      <c r="N1313">
        <f t="shared" si="325"/>
        <v>-11.885000000000002</v>
      </c>
      <c r="O1313">
        <f t="shared" si="325"/>
        <v>-12.277205000000002</v>
      </c>
      <c r="P1313">
        <f t="shared" si="325"/>
        <v>-12.682352764999997</v>
      </c>
      <c r="Q1313">
        <f t="shared" si="325"/>
        <v>-13.100870406244997</v>
      </c>
      <c r="R1313">
        <f t="shared" si="325"/>
        <v>-13.533199129651084</v>
      </c>
      <c r="S1313">
        <f t="shared" si="325"/>
        <v>-13.979794700929567</v>
      </c>
      <c r="T1313">
        <f t="shared" si="325"/>
        <v>-14.441127926060243</v>
      </c>
      <c r="U1313">
        <f t="shared" si="325"/>
        <v>-14.917685147620226</v>
      </c>
      <c r="V1313">
        <f t="shared" si="325"/>
        <v>-15.40996875749169</v>
      </c>
      <c r="W1313">
        <f t="shared" si="325"/>
        <v>-15.918497726488923</v>
      </c>
      <c r="X1313">
        <f t="shared" si="325"/>
        <v>-16.443808151463049</v>
      </c>
      <c r="Y1313">
        <f t="shared" si="325"/>
        <v>-16.986453820461332</v>
      </c>
      <c r="Z1313">
        <f t="shared" si="325"/>
        <v>-17.547006796536557</v>
      </c>
      <c r="AA1313">
        <f t="shared" si="325"/>
        <v>-18.12605802082226</v>
      </c>
      <c r="AB1313">
        <f t="shared" si="325"/>
        <v>-18.72421793550939</v>
      </c>
      <c r="AC1313">
        <f t="shared" si="325"/>
        <v>-19.342117127381194</v>
      </c>
      <c r="AD1313">
        <f t="shared" si="325"/>
        <v>-19.980406992584776</v>
      </c>
      <c r="AE1313">
        <f t="shared" si="325"/>
        <v>-20.639760423340071</v>
      </c>
    </row>
    <row r="1315" spans="1:31" x14ac:dyDescent="0.45">
      <c r="A1315" t="s">
        <v>1695</v>
      </c>
      <c r="B1315" t="s">
        <v>1493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1695</v>
      </c>
      <c r="B1316" t="s">
        <v>1493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20.926246357744834</v>
      </c>
      <c r="M1316">
        <f>IF(ISBLANK(Mitigation_Industry!M778),"",Mitigation_Industry!M778)</f>
        <v>21.621228468026327</v>
      </c>
      <c r="N1316">
        <f>IF(ISBLANK(Mitigation_Industry!N778),"",Mitigation_Industry!N778)</f>
        <v>22.340203500000001</v>
      </c>
      <c r="O1316">
        <f>IF(ISBLANK(Mitigation_Industry!O778),"",Mitigation_Industry!O778)</f>
        <v>23.084029142999999</v>
      </c>
      <c r="P1316">
        <f>IF(ISBLANK(Mitigation_Industry!P778),"",Mitigation_Industry!P778)</f>
        <v>23.853594734849999</v>
      </c>
      <c r="Q1316">
        <f>IF(ISBLANK(Mitigation_Industry!Q778),"",Mitigation_Industry!Q778)</f>
        <v>24.649822464218673</v>
      </c>
      <c r="R1316">
        <f>IF(ISBLANK(Mitigation_Industry!R778),"",Mitigation_Industry!R778)</f>
        <v>25.473668619896117</v>
      </c>
      <c r="S1316">
        <f>IF(ISBLANK(Mitigation_Industry!S778),"",Mitigation_Industry!S778)</f>
        <v>26.326124888867831</v>
      </c>
      <c r="T1316">
        <f>IF(ISBLANK(Mitigation_Industry!T778),"",Mitigation_Industry!T778)</f>
        <v>27.20821970513958</v>
      </c>
      <c r="U1316">
        <f>IF(ISBLANK(Mitigation_Industry!U778),"",Mitigation_Industry!U778)</f>
        <v>28.121019651346558</v>
      </c>
      <c r="V1316">
        <f>IF(ISBLANK(Mitigation_Industry!V778),"",Mitigation_Industry!V778)</f>
        <v>29.065630915263306</v>
      </c>
      <c r="W1316">
        <f>IF(ISBLANK(Mitigation_Industry!W778),"",Mitigation_Industry!W778)</f>
        <v>30.043200803417918</v>
      </c>
      <c r="X1316">
        <f>IF(ISBLANK(Mitigation_Industry!X778),"",Mitigation_Industry!X778)</f>
        <v>31.054919314104183</v>
      </c>
      <c r="Y1316">
        <f>IF(ISBLANK(Mitigation_Industry!Y778),"",Mitigation_Industry!Y778)</f>
        <v>32.102020772179657</v>
      </c>
      <c r="Z1316">
        <f>IF(ISBLANK(Mitigation_Industry!Z778),"",Mitigation_Industry!Z778)</f>
        <v>33.185785528135774</v>
      </c>
      <c r="AA1316">
        <f>IF(ISBLANK(Mitigation_Industry!AA778),"",Mitigation_Industry!AA778)</f>
        <v>34.307541724028304</v>
      </c>
      <c r="AB1316">
        <f>IF(ISBLANK(Mitigation_Industry!AB778),"",Mitigation_Industry!AB778)</f>
        <v>35.46866712896292</v>
      </c>
      <c r="AC1316">
        <f>IF(ISBLANK(Mitigation_Industry!AC778),"",Mitigation_Industry!AC778)</f>
        <v>36.670591046941837</v>
      </c>
      <c r="AD1316">
        <f>IF(ISBLANK(Mitigation_Industry!AD778),"",Mitigation_Industry!AD778)</f>
        <v>37.914796299992908</v>
      </c>
      <c r="AE1316">
        <f>IF(ISBLANK(Mitigation_Industry!AE778),"",Mitigation_Industry!AE778)</f>
        <v>39.202821289623259</v>
      </c>
    </row>
    <row r="1317" spans="1:31" x14ac:dyDescent="0.45">
      <c r="A1317" t="s">
        <v>1695</v>
      </c>
      <c r="B1317" t="s">
        <v>1493</v>
      </c>
      <c r="C1317" t="s">
        <v>111</v>
      </c>
      <c r="D1317">
        <v>2</v>
      </c>
      <c r="E1317" t="s">
        <v>1161</v>
      </c>
      <c r="F1317">
        <f>MAX(MAX(L1317:AE1317),-MIN(L1317:AE1317))</f>
        <v>9.6385512679970873</v>
      </c>
      <c r="I1317" t="s">
        <v>1588</v>
      </c>
      <c r="J1317" t="s">
        <v>1589</v>
      </c>
      <c r="K1317">
        <f t="shared" ref="K1317:AE1317" si="326">IF(ISNUMBER(K1315),IF(ISNUMBER(K1316),K1316-K1315,999999),0)</f>
        <v>0</v>
      </c>
      <c r="L1317">
        <f t="shared" si="326"/>
        <v>3.5527136788005009E-15</v>
      </c>
      <c r="M1317">
        <f t="shared" si="326"/>
        <v>-5.340683168071422</v>
      </c>
      <c r="N1317">
        <f t="shared" si="326"/>
        <v>-5.5227964999999983</v>
      </c>
      <c r="O1317">
        <f t="shared" si="326"/>
        <v>-5.7105938570000028</v>
      </c>
      <c r="P1317">
        <f t="shared" si="326"/>
        <v>-5.9042406141499981</v>
      </c>
      <c r="Q1317">
        <f t="shared" si="326"/>
        <v>-6.1039067281763195</v>
      </c>
      <c r="R1317">
        <f t="shared" si="326"/>
        <v>-6.309766867408289</v>
      </c>
      <c r="S1317">
        <f t="shared" si="326"/>
        <v>-6.5220005462968302</v>
      </c>
      <c r="T1317">
        <f t="shared" si="326"/>
        <v>-6.7407922647314642</v>
      </c>
      <c r="U1317">
        <f t="shared" si="326"/>
        <v>-6.9663316524058061</v>
      </c>
      <c r="V1317">
        <f t="shared" si="326"/>
        <v>-7.1988136184991021</v>
      </c>
      <c r="W1317">
        <f t="shared" si="326"/>
        <v>-7.4384385069582351</v>
      </c>
      <c r="X1317">
        <f t="shared" si="326"/>
        <v>-7.6854122576843906</v>
      </c>
      <c r="Y1317">
        <f t="shared" si="326"/>
        <v>-7.9399465739486388</v>
      </c>
      <c r="Z1317">
        <f t="shared" si="326"/>
        <v>-8.2022590963823063</v>
      </c>
      <c r="AA1317">
        <f t="shared" si="326"/>
        <v>-8.4725735839116041</v>
      </c>
      <c r="AB1317">
        <f t="shared" si="326"/>
        <v>-8.751120102030626</v>
      </c>
      <c r="AC1317">
        <f t="shared" si="326"/>
        <v>-9.0381352188334461</v>
      </c>
      <c r="AD1317">
        <f t="shared" si="326"/>
        <v>-9.3338622092545549</v>
      </c>
      <c r="AE1317">
        <f t="shared" si="326"/>
        <v>-9.6385512679970873</v>
      </c>
    </row>
    <row r="1319" spans="1:31" x14ac:dyDescent="0.45">
      <c r="A1319" t="s">
        <v>1696</v>
      </c>
      <c r="B1319" t="s">
        <v>1499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1696</v>
      </c>
      <c r="B1320" t="s">
        <v>1499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0.55721293959505358</v>
      </c>
      <c r="M1320">
        <f>IF(ISBLANK(Mitigation_Industry!M784),"",Mitigation_Industry!M784)</f>
        <v>0.56947162426614473</v>
      </c>
      <c r="N1320">
        <f>IF(ISBLANK(Mitigation_Industry!N784),"",Mitigation_Industry!N784)</f>
        <v>0.58199999999999996</v>
      </c>
      <c r="O1320">
        <f>IF(ISBLANK(Mitigation_Industry!O784),"",Mitigation_Industry!O784)</f>
        <v>0.594804</v>
      </c>
      <c r="P1320">
        <f>IF(ISBLANK(Mitigation_Industry!P784),"",Mitigation_Industry!P784)</f>
        <v>0.60788968800000009</v>
      </c>
      <c r="Q1320">
        <f>IF(ISBLANK(Mitigation_Industry!Q784),"",Mitigation_Industry!Q784)</f>
        <v>0.62126326113599994</v>
      </c>
      <c r="R1320">
        <f>IF(ISBLANK(Mitigation_Industry!R784),"",Mitigation_Industry!R784)</f>
        <v>0.63493105288099194</v>
      </c>
      <c r="S1320">
        <f>IF(ISBLANK(Mitigation_Industry!S784),"",Mitigation_Industry!S784)</f>
        <v>0.64889953604437378</v>
      </c>
      <c r="T1320">
        <f>IF(ISBLANK(Mitigation_Industry!T784),"",Mitigation_Industry!T784)</f>
        <v>0.66317532583735006</v>
      </c>
      <c r="U1320">
        <f>IF(ISBLANK(Mitigation_Industry!U784),"",Mitigation_Industry!U784)</f>
        <v>0.67776518300577182</v>
      </c>
      <c r="V1320">
        <f>IF(ISBLANK(Mitigation_Industry!V784),"",Mitigation_Industry!V784)</f>
        <v>0.69267601703189885</v>
      </c>
      <c r="W1320">
        <f>IF(ISBLANK(Mitigation_Industry!W784),"",Mitigation_Industry!W784)</f>
        <v>0.70791488940660052</v>
      </c>
      <c r="X1320">
        <f>IF(ISBLANK(Mitigation_Industry!X784),"",Mitigation_Industry!X784)</f>
        <v>0.72348901697354573</v>
      </c>
      <c r="Y1320">
        <f>IF(ISBLANK(Mitigation_Industry!Y784),"",Mitigation_Industry!Y784)</f>
        <v>0.73940577534696372</v>
      </c>
      <c r="Z1320">
        <f>IF(ISBLANK(Mitigation_Industry!Z784),"",Mitigation_Industry!Z784)</f>
        <v>0.75567270240459705</v>
      </c>
      <c r="AA1320">
        <f>IF(ISBLANK(Mitigation_Industry!AA784),"",Mitigation_Industry!AA784)</f>
        <v>0.77229750185749824</v>
      </c>
      <c r="AB1320">
        <f>IF(ISBLANK(Mitigation_Industry!AB784),"",Mitigation_Industry!AB784)</f>
        <v>0.78928804689836318</v>
      </c>
      <c r="AC1320">
        <f>IF(ISBLANK(Mitigation_Industry!AC784),"",Mitigation_Industry!AC784)</f>
        <v>0.80665238393012717</v>
      </c>
      <c r="AD1320">
        <f>IF(ISBLANK(Mitigation_Industry!AD784),"",Mitigation_Industry!AD784)</f>
        <v>0.82439873637659</v>
      </c>
      <c r="AE1320">
        <f>IF(ISBLANK(Mitigation_Industry!AE784),"",Mitigation_Industry!AE784)</f>
        <v>0.84253550857687498</v>
      </c>
    </row>
    <row r="1321" spans="1:31" x14ac:dyDescent="0.45">
      <c r="A1321" t="s">
        <v>1696</v>
      </c>
      <c r="B1321" t="s">
        <v>1499</v>
      </c>
      <c r="C1321" t="s">
        <v>283</v>
      </c>
      <c r="D1321">
        <v>2</v>
      </c>
      <c r="E1321" t="s">
        <v>1161</v>
      </c>
      <c r="F1321">
        <f>MAX(MAX(L1321:AE1321),-MIN(L1321:AE1321))</f>
        <v>0</v>
      </c>
      <c r="I1321" t="s">
        <v>1509</v>
      </c>
      <c r="K1321">
        <f t="shared" ref="K1321:AE1321" si="327">IF(ISNUMBER(K1319),IF(ISNUMBER(K1320),K1320-K1319,999999),0)</f>
        <v>0</v>
      </c>
      <c r="L1321">
        <f t="shared" si="327"/>
        <v>0</v>
      </c>
      <c r="M1321">
        <f t="shared" si="327"/>
        <v>0</v>
      </c>
      <c r="N1321">
        <f t="shared" si="327"/>
        <v>0</v>
      </c>
      <c r="O1321">
        <f t="shared" si="327"/>
        <v>0</v>
      </c>
      <c r="P1321">
        <f t="shared" si="327"/>
        <v>0</v>
      </c>
      <c r="Q1321">
        <f t="shared" si="327"/>
        <v>0</v>
      </c>
      <c r="R1321">
        <f t="shared" si="327"/>
        <v>0</v>
      </c>
      <c r="S1321">
        <f t="shared" si="327"/>
        <v>0</v>
      </c>
      <c r="T1321">
        <f t="shared" si="327"/>
        <v>0</v>
      </c>
      <c r="U1321">
        <f t="shared" si="327"/>
        <v>0</v>
      </c>
      <c r="V1321">
        <f t="shared" si="327"/>
        <v>0</v>
      </c>
      <c r="W1321">
        <f t="shared" si="327"/>
        <v>0</v>
      </c>
      <c r="X1321">
        <f t="shared" si="327"/>
        <v>0</v>
      </c>
      <c r="Y1321">
        <f t="shared" si="327"/>
        <v>0</v>
      </c>
      <c r="Z1321">
        <f t="shared" si="327"/>
        <v>0</v>
      </c>
      <c r="AA1321">
        <f t="shared" si="327"/>
        <v>0</v>
      </c>
      <c r="AB1321">
        <f t="shared" si="327"/>
        <v>0</v>
      </c>
      <c r="AC1321">
        <f t="shared" si="327"/>
        <v>0</v>
      </c>
      <c r="AD1321">
        <f t="shared" si="327"/>
        <v>0</v>
      </c>
      <c r="AE1321">
        <f t="shared" si="327"/>
        <v>0</v>
      </c>
    </row>
    <row r="1323" spans="1:31" x14ac:dyDescent="0.45">
      <c r="A1323" t="s">
        <v>1697</v>
      </c>
      <c r="B1323" t="s">
        <v>1499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1697</v>
      </c>
      <c r="B1324" t="s">
        <v>1499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0.25322587748271458</v>
      </c>
      <c r="M1324">
        <f>IF(ISBLANK(Mitigation_Industry!M785),"",Mitigation_Industry!M785)</f>
        <v>0.26436781609195403</v>
      </c>
      <c r="N1324">
        <f>IF(ISBLANK(Mitigation_Industry!N785),"",Mitigation_Industry!N785)</f>
        <v>0.27599999999999997</v>
      </c>
      <c r="O1324">
        <f>IF(ISBLANK(Mitigation_Industry!O785),"",Mitigation_Industry!O785)</f>
        <v>0.28814400000000001</v>
      </c>
      <c r="P1324">
        <f>IF(ISBLANK(Mitigation_Industry!P785),"",Mitigation_Industry!P785)</f>
        <v>0.30082233600000008</v>
      </c>
      <c r="Q1324">
        <f>IF(ISBLANK(Mitigation_Industry!Q785),"",Mitigation_Industry!Q785)</f>
        <v>0.31405851878400004</v>
      </c>
      <c r="R1324">
        <f>IF(ISBLANK(Mitigation_Industry!R785),"",Mitigation_Industry!R785)</f>
        <v>0.32787709361049611</v>
      </c>
      <c r="S1324">
        <f>IF(ISBLANK(Mitigation_Industry!S785),"",Mitigation_Industry!S785)</f>
        <v>0.34230368572935788</v>
      </c>
      <c r="T1324">
        <f>IF(ISBLANK(Mitigation_Industry!T785),"",Mitigation_Industry!T785)</f>
        <v>0.35736504790144968</v>
      </c>
      <c r="U1324">
        <f>IF(ISBLANK(Mitigation_Industry!U785),"",Mitigation_Industry!U785)</f>
        <v>0.37308911000911349</v>
      </c>
      <c r="V1324">
        <f>IF(ISBLANK(Mitigation_Industry!V785),"",Mitigation_Industry!V785)</f>
        <v>0.38950503084951449</v>
      </c>
      <c r="W1324">
        <f>IF(ISBLANK(Mitigation_Industry!W785),"",Mitigation_Industry!W785)</f>
        <v>0.40664325220689312</v>
      </c>
      <c r="X1324">
        <f>IF(ISBLANK(Mitigation_Industry!X785),"",Mitigation_Industry!X785)</f>
        <v>0.42453555530399645</v>
      </c>
      <c r="Y1324">
        <f>IF(ISBLANK(Mitigation_Industry!Y785),"",Mitigation_Industry!Y785)</f>
        <v>0.44321511973737227</v>
      </c>
      <c r="Z1324">
        <f>IF(ISBLANK(Mitigation_Industry!Z785),"",Mitigation_Industry!Z785)</f>
        <v>0.46271658500581669</v>
      </c>
      <c r="AA1324">
        <f>IF(ISBLANK(Mitigation_Industry!AA785),"",Mitigation_Industry!AA785)</f>
        <v>0.48307611474607259</v>
      </c>
      <c r="AB1324">
        <f>IF(ISBLANK(Mitigation_Industry!AB785),"",Mitigation_Industry!AB785)</f>
        <v>0.5043314637948999</v>
      </c>
      <c r="AC1324">
        <f>IF(ISBLANK(Mitigation_Industry!AC785),"",Mitigation_Industry!AC785)</f>
        <v>0.52652204820187531</v>
      </c>
      <c r="AD1324">
        <f>IF(ISBLANK(Mitigation_Industry!AD785),"",Mitigation_Industry!AD785)</f>
        <v>0.54968901832275785</v>
      </c>
      <c r="AE1324">
        <f>IF(ISBLANK(Mitigation_Industry!AE785),"",Mitigation_Industry!AE785)</f>
        <v>0.57387533512895927</v>
      </c>
    </row>
    <row r="1325" spans="1:31" x14ac:dyDescent="0.45">
      <c r="A1325" t="s">
        <v>1697</v>
      </c>
      <c r="B1325" t="s">
        <v>1499</v>
      </c>
      <c r="C1325" t="s">
        <v>284</v>
      </c>
      <c r="D1325">
        <v>2</v>
      </c>
      <c r="E1325" t="s">
        <v>1161</v>
      </c>
      <c r="F1325">
        <f>MAX(MAX(L1325:AE1325),-MIN(L1325:AE1325))</f>
        <v>0</v>
      </c>
      <c r="I1325" t="s">
        <v>1509</v>
      </c>
      <c r="K1325">
        <f t="shared" ref="K1325:AE1325" si="328">IF(ISNUMBER(K1323),IF(ISNUMBER(K1324),K1324-K1323,999999),0)</f>
        <v>0</v>
      </c>
      <c r="L1325">
        <f t="shared" si="328"/>
        <v>0</v>
      </c>
      <c r="M1325">
        <f t="shared" si="328"/>
        <v>0</v>
      </c>
      <c r="N1325">
        <f t="shared" si="328"/>
        <v>0</v>
      </c>
      <c r="O1325">
        <f t="shared" si="328"/>
        <v>0</v>
      </c>
      <c r="P1325">
        <f t="shared" si="328"/>
        <v>0</v>
      </c>
      <c r="Q1325">
        <f t="shared" si="328"/>
        <v>0</v>
      </c>
      <c r="R1325">
        <f t="shared" si="328"/>
        <v>0</v>
      </c>
      <c r="S1325">
        <f t="shared" si="328"/>
        <v>0</v>
      </c>
      <c r="T1325">
        <f t="shared" si="328"/>
        <v>0</v>
      </c>
      <c r="U1325">
        <f t="shared" si="328"/>
        <v>0</v>
      </c>
      <c r="V1325">
        <f t="shared" si="328"/>
        <v>0</v>
      </c>
      <c r="W1325">
        <f t="shared" si="328"/>
        <v>0</v>
      </c>
      <c r="X1325">
        <f t="shared" si="328"/>
        <v>0</v>
      </c>
      <c r="Y1325">
        <f t="shared" si="328"/>
        <v>0</v>
      </c>
      <c r="Z1325">
        <f t="shared" si="328"/>
        <v>0</v>
      </c>
      <c r="AA1325">
        <f t="shared" si="328"/>
        <v>0</v>
      </c>
      <c r="AB1325">
        <f t="shared" si="328"/>
        <v>0</v>
      </c>
      <c r="AC1325">
        <f t="shared" si="328"/>
        <v>0</v>
      </c>
      <c r="AD1325">
        <f t="shared" si="328"/>
        <v>0</v>
      </c>
      <c r="AE1325">
        <f t="shared" si="328"/>
        <v>0</v>
      </c>
    </row>
    <row r="1327" spans="1:31" x14ac:dyDescent="0.45">
      <c r="A1327" t="s">
        <v>1698</v>
      </c>
      <c r="B1327" t="s">
        <v>1499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1698</v>
      </c>
      <c r="B1328" t="s">
        <v>1499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0.63340895307832257</v>
      </c>
      <c r="M1328">
        <f>IF(ISBLANK(Mitigation_Industry!M786),"",Mitigation_Industry!M786)</f>
        <v>0.66824644549763035</v>
      </c>
      <c r="N1328">
        <f>IF(ISBLANK(Mitigation_Industry!N786),"",Mitigation_Industry!N786)</f>
        <v>0.70499999999999996</v>
      </c>
      <c r="O1328">
        <f>IF(ISBLANK(Mitigation_Industry!O786),"",Mitigation_Industry!O786)</f>
        <v>0.74377499999999996</v>
      </c>
      <c r="P1328">
        <f>IF(ISBLANK(Mitigation_Industry!P786),"",Mitigation_Industry!P786)</f>
        <v>0.78468262499999997</v>
      </c>
      <c r="Q1328">
        <f>IF(ISBLANK(Mitigation_Industry!Q786),"",Mitigation_Industry!Q786)</f>
        <v>0.82784016937499993</v>
      </c>
      <c r="R1328">
        <f>IF(ISBLANK(Mitigation_Industry!R786),"",Mitigation_Industry!R786)</f>
        <v>0.87337137869062498</v>
      </c>
      <c r="S1328">
        <f>IF(ISBLANK(Mitigation_Industry!S786),"",Mitigation_Industry!S786)</f>
        <v>0.92140680451860935</v>
      </c>
      <c r="T1328">
        <f>IF(ISBLANK(Mitigation_Industry!T786),"",Mitigation_Industry!T786)</f>
        <v>0.97208417876713282</v>
      </c>
      <c r="U1328">
        <f>IF(ISBLANK(Mitigation_Industry!U786),"",Mitigation_Industry!U786)</f>
        <v>1.025548808599325</v>
      </c>
      <c r="V1328">
        <f>IF(ISBLANK(Mitigation_Industry!V786),"",Mitigation_Industry!V786)</f>
        <v>1.0819539930722879</v>
      </c>
      <c r="W1328">
        <f>IF(ISBLANK(Mitigation_Industry!W786),"",Mitigation_Industry!W786)</f>
        <v>1.1414614626912638</v>
      </c>
      <c r="X1328">
        <f>IF(ISBLANK(Mitigation_Industry!X786),"",Mitigation_Industry!X786)</f>
        <v>1.2042418431392832</v>
      </c>
      <c r="Y1328">
        <f>IF(ISBLANK(Mitigation_Industry!Y786),"",Mitigation_Industry!Y786)</f>
        <v>1.2704751445119435</v>
      </c>
      <c r="Z1328">
        <f>IF(ISBLANK(Mitigation_Industry!Z786),"",Mitigation_Industry!Z786)</f>
        <v>1.3403512774601003</v>
      </c>
      <c r="AA1328">
        <f>IF(ISBLANK(Mitigation_Industry!AA786),"",Mitigation_Industry!AA786)</f>
        <v>1.4140705977204062</v>
      </c>
      <c r="AB1328">
        <f>IF(ISBLANK(Mitigation_Industry!AB786),"",Mitigation_Industry!AB786)</f>
        <v>1.4918444805950282</v>
      </c>
      <c r="AC1328">
        <f>IF(ISBLANK(Mitigation_Industry!AC786),"",Mitigation_Industry!AC786)</f>
        <v>1.5738959270277546</v>
      </c>
      <c r="AD1328">
        <f>IF(ISBLANK(Mitigation_Industry!AD786),"",Mitigation_Industry!AD786)</f>
        <v>1.660460203014281</v>
      </c>
      <c r="AE1328">
        <f>IF(ISBLANK(Mitigation_Industry!AE786),"",Mitigation_Industry!AE786)</f>
        <v>1.7517855141800662</v>
      </c>
    </row>
    <row r="1329" spans="1:31" x14ac:dyDescent="0.45">
      <c r="A1329" t="s">
        <v>1698</v>
      </c>
      <c r="B1329" t="s">
        <v>1499</v>
      </c>
      <c r="C1329" t="s">
        <v>285</v>
      </c>
      <c r="D1329">
        <v>2</v>
      </c>
      <c r="E1329" t="s">
        <v>1161</v>
      </c>
      <c r="F1329">
        <f>MAX(MAX(L1329:AE1329),-MIN(L1329:AE1329))</f>
        <v>0</v>
      </c>
      <c r="I1329" t="s">
        <v>1509</v>
      </c>
      <c r="K1329">
        <f t="shared" ref="K1329:AE1329" si="329">IF(ISNUMBER(K1327),IF(ISNUMBER(K1328),K1328-K1327,999999),0)</f>
        <v>0</v>
      </c>
      <c r="L1329">
        <f t="shared" si="329"/>
        <v>0</v>
      </c>
      <c r="M1329">
        <f t="shared" si="329"/>
        <v>0</v>
      </c>
      <c r="N1329">
        <f t="shared" si="329"/>
        <v>0</v>
      </c>
      <c r="O1329">
        <f t="shared" si="329"/>
        <v>0</v>
      </c>
      <c r="P1329">
        <f t="shared" si="329"/>
        <v>0</v>
      </c>
      <c r="Q1329">
        <f t="shared" si="329"/>
        <v>0</v>
      </c>
      <c r="R1329">
        <f t="shared" si="329"/>
        <v>0</v>
      </c>
      <c r="S1329">
        <f t="shared" si="329"/>
        <v>0</v>
      </c>
      <c r="T1329">
        <f t="shared" si="329"/>
        <v>0</v>
      </c>
      <c r="U1329">
        <f t="shared" si="329"/>
        <v>0</v>
      </c>
      <c r="V1329">
        <f t="shared" si="329"/>
        <v>0</v>
      </c>
      <c r="W1329">
        <f t="shared" si="329"/>
        <v>0</v>
      </c>
      <c r="X1329">
        <f t="shared" si="329"/>
        <v>0</v>
      </c>
      <c r="Y1329">
        <f t="shared" si="329"/>
        <v>0</v>
      </c>
      <c r="Z1329">
        <f t="shared" si="329"/>
        <v>0</v>
      </c>
      <c r="AA1329">
        <f t="shared" si="329"/>
        <v>0</v>
      </c>
      <c r="AB1329">
        <f t="shared" si="329"/>
        <v>0</v>
      </c>
      <c r="AC1329">
        <f t="shared" si="329"/>
        <v>0</v>
      </c>
      <c r="AD1329">
        <f t="shared" si="329"/>
        <v>0</v>
      </c>
      <c r="AE1329">
        <f t="shared" si="329"/>
        <v>0</v>
      </c>
    </row>
    <row r="1331" spans="1:31" x14ac:dyDescent="0.45">
      <c r="A1331" t="s">
        <v>1699</v>
      </c>
      <c r="B1331" t="s">
        <v>1499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1699</v>
      </c>
      <c r="B1332" t="s">
        <v>1499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1699</v>
      </c>
      <c r="B1333" t="s">
        <v>1499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1509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1700</v>
      </c>
      <c r="B1335" t="s">
        <v>1499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1700</v>
      </c>
      <c r="B1336" t="s">
        <v>1499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24.646491529759945</v>
      </c>
      <c r="M1336">
        <f>IF(ISBLANK(Mitigation_Industry!M788),"",Mitigation_Industry!M788)</f>
        <v>25.459825750242022</v>
      </c>
      <c r="N1336">
        <f>IF(ISBLANK(Mitigation_Industry!N788),"",Mitigation_Industry!N788)</f>
        <v>26.3</v>
      </c>
      <c r="O1336">
        <f>IF(ISBLANK(Mitigation_Industry!O788),"",Mitigation_Industry!O788)</f>
        <v>27.167899999999999</v>
      </c>
      <c r="P1336">
        <f>IF(ISBLANK(Mitigation_Industry!P788),"",Mitigation_Industry!P788)</f>
        <v>28.064440699999995</v>
      </c>
      <c r="Q1336">
        <f>IF(ISBLANK(Mitigation_Industry!Q788),"",Mitigation_Industry!Q788)</f>
        <v>28.990567243099992</v>
      </c>
      <c r="R1336">
        <f>IF(ISBLANK(Mitigation_Industry!R788),"",Mitigation_Industry!R788)</f>
        <v>29.947255962122291</v>
      </c>
      <c r="S1336">
        <f>IF(ISBLANK(Mitigation_Industry!S788),"",Mitigation_Industry!S788)</f>
        <v>30.935515408872323</v>
      </c>
      <c r="T1336">
        <f>IF(ISBLANK(Mitigation_Industry!T788),"",Mitigation_Industry!T788)</f>
        <v>31.956387417365111</v>
      </c>
      <c r="U1336">
        <f>IF(ISBLANK(Mitigation_Industry!U788),"",Mitigation_Industry!U788)</f>
        <v>33.010948202138152</v>
      </c>
      <c r="V1336">
        <f>IF(ISBLANK(Mitigation_Industry!V788),"",Mitigation_Industry!V788)</f>
        <v>34.100309492808705</v>
      </c>
      <c r="W1336">
        <f>IF(ISBLANK(Mitigation_Industry!W788),"",Mitigation_Industry!W788)</f>
        <v>35.225619706071399</v>
      </c>
      <c r="X1336">
        <f>IF(ISBLANK(Mitigation_Industry!X788),"",Mitigation_Industry!X788)</f>
        <v>36.388065156371745</v>
      </c>
      <c r="Y1336">
        <f>IF(ISBLANK(Mitigation_Industry!Y788),"",Mitigation_Industry!Y788)</f>
        <v>37.588871306532013</v>
      </c>
      <c r="Z1336">
        <f>IF(ISBLANK(Mitigation_Industry!Z788),"",Mitigation_Industry!Z788)</f>
        <v>38.829304059647569</v>
      </c>
      <c r="AA1336">
        <f>IF(ISBLANK(Mitigation_Industry!AA788),"",Mitigation_Industry!AA788)</f>
        <v>40.110671093615935</v>
      </c>
      <c r="AB1336">
        <f>IF(ISBLANK(Mitigation_Industry!AB788),"",Mitigation_Industry!AB788)</f>
        <v>41.434323239705257</v>
      </c>
      <c r="AC1336">
        <f>IF(ISBLANK(Mitigation_Industry!AC788),"",Mitigation_Industry!AC788)</f>
        <v>42.801655906615522</v>
      </c>
      <c r="AD1336">
        <f>IF(ISBLANK(Mitigation_Industry!AD788),"",Mitigation_Industry!AD788)</f>
        <v>44.214110551533835</v>
      </c>
      <c r="AE1336">
        <f>IF(ISBLANK(Mitigation_Industry!AE788),"",Mitigation_Industry!AE788)</f>
        <v>45.673176199734449</v>
      </c>
    </row>
    <row r="1337" spans="1:31" x14ac:dyDescent="0.45">
      <c r="A1337" t="s">
        <v>1700</v>
      </c>
      <c r="B1337" t="s">
        <v>1499</v>
      </c>
      <c r="C1337" t="s">
        <v>287</v>
      </c>
      <c r="D1337">
        <v>2</v>
      </c>
      <c r="E1337" t="s">
        <v>1161</v>
      </c>
      <c r="F1337">
        <f>MAX(MAX(L1337:AE1337),-MIN(L1337:AE1337))</f>
        <v>0</v>
      </c>
      <c r="I1337" t="s">
        <v>1509</v>
      </c>
      <c r="K1337">
        <f t="shared" ref="K1337:AE1337" si="331">IF(ISNUMBER(K1335),IF(ISNUMBER(K1336),K1336-K1335,999999),0)</f>
        <v>0</v>
      </c>
      <c r="L1337">
        <f t="shared" si="331"/>
        <v>0</v>
      </c>
      <c r="M1337">
        <f t="shared" si="331"/>
        <v>0</v>
      </c>
      <c r="N1337">
        <f t="shared" si="331"/>
        <v>0</v>
      </c>
      <c r="O1337">
        <f t="shared" si="331"/>
        <v>0</v>
      </c>
      <c r="P1337">
        <f t="shared" si="331"/>
        <v>0</v>
      </c>
      <c r="Q1337">
        <f t="shared" si="331"/>
        <v>0</v>
      </c>
      <c r="R1337">
        <f t="shared" si="331"/>
        <v>0</v>
      </c>
      <c r="S1337">
        <f t="shared" si="331"/>
        <v>0</v>
      </c>
      <c r="T1337">
        <f t="shared" si="331"/>
        <v>0</v>
      </c>
      <c r="U1337">
        <f t="shared" si="331"/>
        <v>0</v>
      </c>
      <c r="V1337">
        <f t="shared" si="331"/>
        <v>0</v>
      </c>
      <c r="W1337">
        <f t="shared" si="331"/>
        <v>0</v>
      </c>
      <c r="X1337">
        <f t="shared" si="331"/>
        <v>0</v>
      </c>
      <c r="Y1337">
        <f t="shared" si="331"/>
        <v>0</v>
      </c>
      <c r="Z1337">
        <f t="shared" si="331"/>
        <v>0</v>
      </c>
      <c r="AA1337">
        <f t="shared" si="331"/>
        <v>0</v>
      </c>
      <c r="AB1337">
        <f t="shared" si="331"/>
        <v>0</v>
      </c>
      <c r="AC1337">
        <f t="shared" si="331"/>
        <v>0</v>
      </c>
      <c r="AD1337">
        <f t="shared" si="331"/>
        <v>0</v>
      </c>
      <c r="AE1337">
        <f t="shared" si="331"/>
        <v>0</v>
      </c>
    </row>
    <row r="1339" spans="1:31" x14ac:dyDescent="0.45">
      <c r="A1339" t="s">
        <v>1701</v>
      </c>
      <c r="B1339" t="s">
        <v>1499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1701</v>
      </c>
      <c r="B1340" t="s">
        <v>1499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26.090339299916035</v>
      </c>
      <c r="M1340">
        <f>IF(ISBLANK(Mitigation_Industry!M789),"",Mitigation_Industry!M789)</f>
        <v>26.961911636097749</v>
      </c>
      <c r="N1340">
        <f>IF(ISBLANK(Mitigation_Industry!N789),"",Mitigation_Industry!N789)</f>
        <v>27.863</v>
      </c>
      <c r="O1340">
        <f>IF(ISBLANK(Mitigation_Industry!O789),"",Mitigation_Industry!O789)</f>
        <v>28.794623000000001</v>
      </c>
      <c r="P1340">
        <f>IF(ISBLANK(Mitigation_Industry!P789),"",Mitigation_Industry!P789)</f>
        <v>29.757835348999997</v>
      </c>
      <c r="Q1340">
        <f>IF(ISBLANK(Mitigation_Industry!Q789),"",Mitigation_Industry!Q789)</f>
        <v>30.753729192394992</v>
      </c>
      <c r="R1340">
        <f>IF(ISBLANK(Mitigation_Industry!R789),"",Mitigation_Industry!R789)</f>
        <v>31.783435487304406</v>
      </c>
      <c r="S1340">
        <f>IF(ISBLANK(Mitigation_Industry!S789),"",Mitigation_Industry!S789)</f>
        <v>32.848125435164661</v>
      </c>
      <c r="T1340">
        <f>IF(ISBLANK(Mitigation_Industry!T789),"",Mitigation_Industry!T789)</f>
        <v>33.949011969871044</v>
      </c>
      <c r="U1340">
        <f>IF(ISBLANK(Mitigation_Industry!U789),"",Mitigation_Industry!U789)</f>
        <v>35.087351303752364</v>
      </c>
      <c r="V1340">
        <f>IF(ISBLANK(Mitigation_Industry!V789),"",Mitigation_Industry!V789)</f>
        <v>36.264444533762408</v>
      </c>
      <c r="W1340">
        <f>IF(ISBLANK(Mitigation_Industry!W789),"",Mitigation_Industry!W789)</f>
        <v>37.481639310376153</v>
      </c>
      <c r="X1340">
        <f>IF(ISBLANK(Mitigation_Industry!X789),"",Mitigation_Industry!X789)</f>
        <v>38.740331571788573</v>
      </c>
      <c r="Y1340">
        <f>IF(ISBLANK(Mitigation_Industry!Y789),"",Mitigation_Industry!Y789)</f>
        <v>40.041967346128295</v>
      </c>
      <c r="Z1340">
        <f>IF(ISBLANK(Mitigation_Industry!Z789),"",Mitigation_Industry!Z789)</f>
        <v>41.388044624518081</v>
      </c>
      <c r="AA1340">
        <f>IF(ISBLANK(Mitigation_Industry!AA789),"",Mitigation_Industry!AA789)</f>
        <v>42.780115307939909</v>
      </c>
      <c r="AB1340">
        <f>IF(ISBLANK(Mitigation_Industry!AB789),"",Mitigation_Industry!AB789)</f>
        <v>44.219787230993546</v>
      </c>
      <c r="AC1340">
        <f>IF(ISBLANK(Mitigation_Industry!AC789),"",Mitigation_Industry!AC789)</f>
        <v>45.708726265775283</v>
      </c>
      <c r="AD1340">
        <f>IF(ISBLANK(Mitigation_Industry!AD789),"",Mitigation_Industry!AD789)</f>
        <v>47.248658509247463</v>
      </c>
      <c r="AE1340">
        <f>IF(ISBLANK(Mitigation_Industry!AE789),"",Mitigation_Industry!AE789)</f>
        <v>48.841372557620346</v>
      </c>
    </row>
    <row r="1341" spans="1:31" x14ac:dyDescent="0.45">
      <c r="A1341" t="s">
        <v>1701</v>
      </c>
      <c r="B1341" t="s">
        <v>1499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1509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1702</v>
      </c>
      <c r="B1343" t="s">
        <v>1500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1702</v>
      </c>
      <c r="B1344" t="s">
        <v>1500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2.9016276192000006</v>
      </c>
      <c r="R1344">
        <f>IF(ISBLANK(Mitigation_Industry!R791),"",Mitigation_Industry!R791)</f>
        <v>6.0585984688896017</v>
      </c>
      <c r="S1344">
        <f>IF(ISBLANK(Mitigation_Industry!S791),"",Mitigation_Industry!S791)</f>
        <v>9.4877652022811176</v>
      </c>
      <c r="T1344">
        <f>IF(ISBLANK(Mitigation_Industry!T791),"",Mitigation_Industry!T791)</f>
        <v>13.206969161575316</v>
      </c>
      <c r="U1344">
        <f>IF(ISBLANK(Mitigation_Industry!U791),"",Mitigation_Industry!U791)</f>
        <v>17.235094755855787</v>
      </c>
      <c r="V1344">
        <f>IF(ISBLANK(Mitigation_Industry!V791),"",Mitigation_Industry!V791)</f>
        <v>21.592126710136128</v>
      </c>
      <c r="W1344">
        <f>IF(ISBLANK(Mitigation_Industry!W791),"",Mitigation_Industry!W791)</f>
        <v>26.299210332945808</v>
      </c>
      <c r="X1344">
        <f>IF(ISBLANK(Mitigation_Industry!X791),"",Mitigation_Industry!X791)</f>
        <v>31.378714957251912</v>
      </c>
      <c r="Y1344">
        <f>IF(ISBLANK(Mitigation_Industry!Y791),"",Mitigation_Industry!Y791)</f>
        <v>36.854300717292375</v>
      </c>
      <c r="Z1344">
        <f>IF(ISBLANK(Mitigation_Industry!Z791),"",Mitigation_Industry!Z791)</f>
        <v>42.750988832059157</v>
      </c>
      <c r="AA1344">
        <f>IF(ISBLANK(Mitigation_Industry!AA791),"",Mitigation_Industry!AA791)</f>
        <v>49.095235574736733</v>
      </c>
      <c r="AB1344">
        <f>IF(ISBLANK(Mitigation_Industry!AB791),"",Mitigation_Industry!AB791)</f>
        <v>55.91501011639108</v>
      </c>
      <c r="AC1344">
        <f>IF(ISBLANK(Mitigation_Industry!AC791),"",Mitigation_Industry!AC791)</f>
        <v>63.239876441638302</v>
      </c>
      <c r="AD1344">
        <f>IF(ISBLANK(Mitigation_Industry!AD791),"",Mitigation_Industry!AD791)</f>
        <v>71.101079543921955</v>
      </c>
      <c r="AE1344">
        <f>IF(ISBLANK(Mitigation_Industry!AE791),"",Mitigation_Industry!AE791)</f>
        <v>79.531636118415562</v>
      </c>
    </row>
    <row r="1345" spans="1:31" x14ac:dyDescent="0.45">
      <c r="A1345" t="s">
        <v>1702</v>
      </c>
      <c r="B1345" t="s">
        <v>1500</v>
      </c>
      <c r="C1345" t="s">
        <v>1350</v>
      </c>
      <c r="D1345">
        <v>2</v>
      </c>
      <c r="E1345" t="s">
        <v>1161</v>
      </c>
      <c r="F1345">
        <f>MAX(MAX(L1345:AE1345),-MIN(L1345:AE1345))</f>
        <v>79.531636118415562</v>
      </c>
      <c r="I1345" t="s">
        <v>1588</v>
      </c>
      <c r="J1345" t="s">
        <v>1703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2.9016276192000006</v>
      </c>
      <c r="R1345">
        <f t="shared" si="333"/>
        <v>6.0585984688896017</v>
      </c>
      <c r="S1345">
        <f t="shared" si="333"/>
        <v>9.4877652022811176</v>
      </c>
      <c r="T1345">
        <f t="shared" si="333"/>
        <v>13.206969161575316</v>
      </c>
      <c r="U1345">
        <f t="shared" si="333"/>
        <v>17.235094755855787</v>
      </c>
      <c r="V1345">
        <f t="shared" si="333"/>
        <v>21.592126710136128</v>
      </c>
      <c r="W1345">
        <f t="shared" si="333"/>
        <v>26.299210332945808</v>
      </c>
      <c r="X1345">
        <f t="shared" si="333"/>
        <v>31.378714957251912</v>
      </c>
      <c r="Y1345">
        <f t="shared" si="333"/>
        <v>36.854300717292375</v>
      </c>
      <c r="Z1345">
        <f t="shared" si="333"/>
        <v>42.750988832059157</v>
      </c>
      <c r="AA1345">
        <f t="shared" si="333"/>
        <v>49.095235574736733</v>
      </c>
      <c r="AB1345">
        <f t="shared" si="333"/>
        <v>55.91501011639108</v>
      </c>
      <c r="AC1345">
        <f t="shared" si="333"/>
        <v>63.239876441638302</v>
      </c>
      <c r="AD1345">
        <f t="shared" si="333"/>
        <v>71.101079543921955</v>
      </c>
      <c r="AE1345">
        <f t="shared" si="333"/>
        <v>79.531636118415562</v>
      </c>
    </row>
    <row r="1347" spans="1:31" x14ac:dyDescent="0.45">
      <c r="A1347" t="s">
        <v>1704</v>
      </c>
      <c r="B1347" t="s">
        <v>1500</v>
      </c>
      <c r="C1347" t="s">
        <v>1357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1704</v>
      </c>
      <c r="B1348" t="s">
        <v>1500</v>
      </c>
      <c r="C1348" t="s">
        <v>1357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1.0241038655999999</v>
      </c>
      <c r="R1348">
        <f>IF(ISBLANK(Mitigation_Industry!R792),"",Mitigation_Industry!R792)</f>
        <v>2.1383288713728001</v>
      </c>
      <c r="S1348">
        <f>IF(ISBLANK(Mitigation_Industry!S792),"",Mitigation_Industry!S792)</f>
        <v>3.3486230125698047</v>
      </c>
      <c r="T1348">
        <f>IF(ISBLANK(Mitigation_Industry!T792),"",Mitigation_Industry!T792)</f>
        <v>4.6612832334971683</v>
      </c>
      <c r="U1348">
        <f>IF(ISBLANK(Mitigation_Industry!U792),"",Mitigation_Industry!U792)</f>
        <v>6.0829746197138057</v>
      </c>
      <c r="V1348">
        <f>IF(ISBLANK(Mitigation_Industry!V792),"",Mitigation_Industry!V792)</f>
        <v>7.6207506035774566</v>
      </c>
      <c r="W1348">
        <f>IF(ISBLANK(Mitigation_Industry!W792),"",Mitigation_Industry!W792)</f>
        <v>9.2820742351573404</v>
      </c>
      <c r="X1348">
        <f>IF(ISBLANK(Mitigation_Industry!X792),"",Mitigation_Industry!X792)</f>
        <v>11.07484057314773</v>
      </c>
      <c r="Y1348">
        <f>IF(ISBLANK(Mitigation_Industry!Y792),"",Mitigation_Industry!Y792)</f>
        <v>13.007400253162009</v>
      </c>
      <c r="Z1348">
        <f>IF(ISBLANK(Mitigation_Industry!Z792),"",Mitigation_Industry!Z792)</f>
        <v>15.088584293667932</v>
      </c>
      <c r="AA1348">
        <f>IF(ISBLANK(Mitigation_Industry!AA792),"",Mitigation_Industry!AA792)</f>
        <v>17.327730202848251</v>
      </c>
      <c r="AB1348">
        <f>IF(ISBLANK(Mitigation_Industry!AB792),"",Mitigation_Industry!AB792)</f>
        <v>19.734709452843898</v>
      </c>
      <c r="AC1348">
        <f>IF(ISBLANK(Mitigation_Industry!AC792),"",Mitigation_Industry!AC792)</f>
        <v>22.319956391166446</v>
      </c>
      <c r="AD1348">
        <f>IF(ISBLANK(Mitigation_Industry!AD792),"",Mitigation_Industry!AD792)</f>
        <v>25.094498662560675</v>
      </c>
      <c r="AE1348">
        <f>IF(ISBLANK(Mitigation_Industry!AE792),"",Mitigation_Industry!AE792)</f>
        <v>28.069989218264308</v>
      </c>
    </row>
    <row r="1349" spans="1:31" x14ac:dyDescent="0.45">
      <c r="A1349" t="s">
        <v>1704</v>
      </c>
      <c r="B1349" t="s">
        <v>1500</v>
      </c>
      <c r="C1349" t="s">
        <v>1357</v>
      </c>
      <c r="D1349">
        <v>2</v>
      </c>
      <c r="E1349" t="s">
        <v>1161</v>
      </c>
      <c r="F1349">
        <f>MAX(MAX(L1349:AE1349),-MIN(L1349:AE1349))</f>
        <v>28.069989218264308</v>
      </c>
      <c r="I1349" t="s">
        <v>1588</v>
      </c>
      <c r="J1349" t="s">
        <v>1703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1.0241038655999999</v>
      </c>
      <c r="R1349">
        <f t="shared" si="334"/>
        <v>2.1383288713728001</v>
      </c>
      <c r="S1349">
        <f t="shared" si="334"/>
        <v>3.3486230125698047</v>
      </c>
      <c r="T1349">
        <f t="shared" si="334"/>
        <v>4.6612832334971683</v>
      </c>
      <c r="U1349">
        <f t="shared" si="334"/>
        <v>6.0829746197138057</v>
      </c>
      <c r="V1349">
        <f t="shared" si="334"/>
        <v>7.6207506035774566</v>
      </c>
      <c r="W1349">
        <f t="shared" si="334"/>
        <v>9.2820742351573404</v>
      </c>
      <c r="X1349">
        <f t="shared" si="334"/>
        <v>11.07484057314773</v>
      </c>
      <c r="Y1349">
        <f t="shared" si="334"/>
        <v>13.007400253162009</v>
      </c>
      <c r="Z1349">
        <f t="shared" si="334"/>
        <v>15.088584293667932</v>
      </c>
      <c r="AA1349">
        <f t="shared" si="334"/>
        <v>17.327730202848251</v>
      </c>
      <c r="AB1349">
        <f t="shared" si="334"/>
        <v>19.734709452843898</v>
      </c>
      <c r="AC1349">
        <f t="shared" si="334"/>
        <v>22.319956391166446</v>
      </c>
      <c r="AD1349">
        <f t="shared" si="334"/>
        <v>25.094498662560675</v>
      </c>
      <c r="AE1349">
        <f t="shared" si="334"/>
        <v>28.069989218264308</v>
      </c>
    </row>
    <row r="1351" spans="1:31" x14ac:dyDescent="0.45">
      <c r="A1351" t="s">
        <v>1705</v>
      </c>
      <c r="B1351" t="s">
        <v>1500</v>
      </c>
      <c r="C1351" t="s">
        <v>1363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1705</v>
      </c>
      <c r="B1352" t="s">
        <v>1500</v>
      </c>
      <c r="C1352" t="s">
        <v>1363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1705</v>
      </c>
      <c r="B1353" t="s">
        <v>1500</v>
      </c>
      <c r="C1353" t="s">
        <v>1363</v>
      </c>
      <c r="D1353">
        <v>2</v>
      </c>
      <c r="E1353" t="s">
        <v>1161</v>
      </c>
      <c r="F1353">
        <f>MAX(MAX(L1353:AE1353),-MIN(L1353:AE1353))</f>
        <v>0</v>
      </c>
      <c r="I1353" t="s">
        <v>1588</v>
      </c>
      <c r="J1353" t="s">
        <v>1703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1706</v>
      </c>
      <c r="B1355" t="s">
        <v>1500</v>
      </c>
      <c r="C1355" t="s">
        <v>1369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1706</v>
      </c>
      <c r="B1356" t="s">
        <v>1500</v>
      </c>
      <c r="C1356" t="s">
        <v>1369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362.38209053874988</v>
      </c>
      <c r="R1356">
        <f>IF(ISBLANK(Mitigation_Industry!R794),"",Mitigation_Industry!R794)</f>
        <v>748.68139905305725</v>
      </c>
      <c r="S1356">
        <f>IF(ISBLANK(Mitigation_Industry!S794),"",Mitigation_Industry!S794)</f>
        <v>1160.0818278327122</v>
      </c>
      <c r="T1356">
        <f>IF(ISBLANK(Mitigation_Industry!T794),"",Mitigation_Industry!T794)</f>
        <v>1597.8193708682556</v>
      </c>
      <c r="U1356">
        <f>IF(ISBLANK(Mitigation_Industry!U794),"",Mitigation_Industry!U794)</f>
        <v>2063.1842626336347</v>
      </c>
      <c r="V1356">
        <f>IF(ISBLANK(Mitigation_Industry!V794),"",Mitigation_Industry!V794)</f>
        <v>2557.523211960653</v>
      </c>
      <c r="W1356">
        <f>IF(ISBLANK(Mitigation_Industry!W794),"",Mitigation_Industry!W794)</f>
        <v>3082.2417242812476</v>
      </c>
      <c r="X1356">
        <f>IF(ISBLANK(Mitigation_Industry!X794),"",Mitigation_Industry!X794)</f>
        <v>3638.8065156371745</v>
      </c>
      <c r="Y1356">
        <f>IF(ISBLANK(Mitigation_Industry!Y794),"",Mitigation_Industry!Y794)</f>
        <v>4228.7480219848512</v>
      </c>
      <c r="Z1356">
        <f>IF(ISBLANK(Mitigation_Industry!Z794),"",Mitigation_Industry!Z794)</f>
        <v>4853.6630074559462</v>
      </c>
      <c r="AA1356">
        <f>IF(ISBLANK(Mitigation_Industry!AA794),"",Mitigation_Industry!AA794)</f>
        <v>5515.2172753721907</v>
      </c>
      <c r="AB1356">
        <f>IF(ISBLANK(Mitigation_Industry!AB794),"",Mitigation_Industry!AB794)</f>
        <v>6215.1484859557886</v>
      </c>
      <c r="AC1356">
        <f>IF(ISBLANK(Mitigation_Industry!AC794),"",Mitigation_Industry!AC794)</f>
        <v>6955.2690848250222</v>
      </c>
      <c r="AD1356">
        <f>IF(ISBLANK(Mitigation_Industry!AD794),"",Mitigation_Industry!AD794)</f>
        <v>7737.4693465184209</v>
      </c>
      <c r="AE1356">
        <f>IF(ISBLANK(Mitigation_Industry!AE794),"",Mitigation_Industry!AE794)</f>
        <v>8563.72053745021</v>
      </c>
    </row>
    <row r="1357" spans="1:31" x14ac:dyDescent="0.45">
      <c r="A1357" t="s">
        <v>1706</v>
      </c>
      <c r="B1357" t="s">
        <v>1500</v>
      </c>
      <c r="C1357" t="s">
        <v>1369</v>
      </c>
      <c r="D1357">
        <v>2</v>
      </c>
      <c r="E1357" t="s">
        <v>1161</v>
      </c>
      <c r="F1357">
        <f>MAX(MAX(L1357:AE1357),-MIN(L1357:AE1357))</f>
        <v>8563.72053745021</v>
      </c>
      <c r="I1357" t="s">
        <v>1588</v>
      </c>
      <c r="J1357" t="s">
        <v>1703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362.38209053874988</v>
      </c>
      <c r="R1357">
        <f t="shared" si="336"/>
        <v>748.68139905305725</v>
      </c>
      <c r="S1357">
        <f t="shared" si="336"/>
        <v>1160.0818278327122</v>
      </c>
      <c r="T1357">
        <f t="shared" si="336"/>
        <v>1597.8193708682556</v>
      </c>
      <c r="U1357">
        <f t="shared" si="336"/>
        <v>2063.1842626336347</v>
      </c>
      <c r="V1357">
        <f t="shared" si="336"/>
        <v>2557.523211960653</v>
      </c>
      <c r="W1357">
        <f t="shared" si="336"/>
        <v>3082.2417242812476</v>
      </c>
      <c r="X1357">
        <f t="shared" si="336"/>
        <v>3638.8065156371745</v>
      </c>
      <c r="Y1357">
        <f t="shared" si="336"/>
        <v>4228.7480219848512</v>
      </c>
      <c r="Z1357">
        <f t="shared" si="336"/>
        <v>4853.6630074559462</v>
      </c>
      <c r="AA1357">
        <f t="shared" si="336"/>
        <v>5515.2172753721907</v>
      </c>
      <c r="AB1357">
        <f t="shared" si="336"/>
        <v>6215.1484859557886</v>
      </c>
      <c r="AC1357">
        <f t="shared" si="336"/>
        <v>6955.2690848250222</v>
      </c>
      <c r="AD1357">
        <f t="shared" si="336"/>
        <v>7737.4693465184209</v>
      </c>
      <c r="AE1357">
        <f t="shared" si="336"/>
        <v>8563.72053745021</v>
      </c>
    </row>
    <row r="1359" spans="1:31" x14ac:dyDescent="0.45">
      <c r="A1359" t="s">
        <v>1707</v>
      </c>
      <c r="B1359" t="s">
        <v>1500</v>
      </c>
      <c r="C1359" t="s">
        <v>1442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1707</v>
      </c>
      <c r="B1360" t="s">
        <v>1500</v>
      </c>
      <c r="C1360" t="s">
        <v>1442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0</v>
      </c>
      <c r="R1360">
        <f>IF(ISBLANK(Mitigation_Industry!R795),"",Mitigation_Industry!R795)</f>
        <v>0</v>
      </c>
      <c r="S1360">
        <f>IF(ISBLANK(Mitigation_Industry!S795),"",Mitigation_Industry!S795)</f>
        <v>0</v>
      </c>
      <c r="T1360">
        <f>IF(ISBLANK(Mitigation_Industry!T795),"",Mitigation_Industry!T795)</f>
        <v>0</v>
      </c>
      <c r="U1360">
        <f>IF(ISBLANK(Mitigation_Industry!U795),"",Mitigation_Industry!U795)</f>
        <v>0</v>
      </c>
      <c r="V1360">
        <f>IF(ISBLANK(Mitigation_Industry!V795),"",Mitigation_Industry!V795)</f>
        <v>0</v>
      </c>
      <c r="W1360">
        <f>IF(ISBLANK(Mitigation_Industry!W795),"",Mitigation_Industry!W795)</f>
        <v>0</v>
      </c>
      <c r="X1360">
        <f>IF(ISBLANK(Mitigation_Industry!X795),"",Mitigation_Industry!X795)</f>
        <v>0</v>
      </c>
      <c r="Y1360">
        <f>IF(ISBLANK(Mitigation_Industry!Y795),"",Mitigation_Industry!Y795)</f>
        <v>0</v>
      </c>
      <c r="Z1360">
        <f>IF(ISBLANK(Mitigation_Industry!Z795),"",Mitigation_Industry!Z795)</f>
        <v>0</v>
      </c>
      <c r="AA1360">
        <f>IF(ISBLANK(Mitigation_Industry!AA795),"",Mitigation_Industry!AA795)</f>
        <v>0</v>
      </c>
      <c r="AB1360">
        <f>IF(ISBLANK(Mitigation_Industry!AB795),"",Mitigation_Industry!AB795)</f>
        <v>0</v>
      </c>
      <c r="AC1360">
        <f>IF(ISBLANK(Mitigation_Industry!AC795),"",Mitigation_Industry!AC795)</f>
        <v>0</v>
      </c>
      <c r="AD1360">
        <f>IF(ISBLANK(Mitigation_Industry!AD795),"",Mitigation_Industry!AD795)</f>
        <v>0</v>
      </c>
      <c r="AE1360">
        <f>IF(ISBLANK(Mitigation_Industry!AE795),"",Mitigation_Industry!AE795)</f>
        <v>0</v>
      </c>
    </row>
    <row r="1361" spans="1:31" x14ac:dyDescent="0.45">
      <c r="A1361" t="s">
        <v>1707</v>
      </c>
      <c r="B1361" t="s">
        <v>1500</v>
      </c>
      <c r="C1361" t="s">
        <v>1442</v>
      </c>
      <c r="D1361">
        <v>2</v>
      </c>
      <c r="E1361" t="s">
        <v>1161</v>
      </c>
      <c r="F1361">
        <f>MAX(MAX(L1361:AE1361),-MIN(L1361:AE1361))</f>
        <v>0</v>
      </c>
      <c r="I1361" t="s">
        <v>1588</v>
      </c>
      <c r="J1361" t="s">
        <v>1703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0</v>
      </c>
      <c r="R1361">
        <f t="shared" si="337"/>
        <v>0</v>
      </c>
      <c r="S1361">
        <f t="shared" si="337"/>
        <v>0</v>
      </c>
      <c r="T1361">
        <f t="shared" si="337"/>
        <v>0</v>
      </c>
      <c r="U1361">
        <f t="shared" si="337"/>
        <v>0</v>
      </c>
      <c r="V1361">
        <f t="shared" si="337"/>
        <v>0</v>
      </c>
      <c r="W1361">
        <f t="shared" si="337"/>
        <v>0</v>
      </c>
      <c r="X1361">
        <f t="shared" si="337"/>
        <v>0</v>
      </c>
      <c r="Y1361">
        <f t="shared" si="337"/>
        <v>0</v>
      </c>
      <c r="Z1361">
        <f t="shared" si="337"/>
        <v>0</v>
      </c>
      <c r="AA1361">
        <f t="shared" si="337"/>
        <v>0</v>
      </c>
      <c r="AB1361">
        <f t="shared" si="337"/>
        <v>0</v>
      </c>
      <c r="AC1361">
        <f t="shared" si="337"/>
        <v>0</v>
      </c>
      <c r="AD1361">
        <f t="shared" si="337"/>
        <v>0</v>
      </c>
      <c r="AE1361">
        <f t="shared" si="337"/>
        <v>0</v>
      </c>
    </row>
    <row r="1363" spans="1:31" x14ac:dyDescent="0.45">
      <c r="A1363" t="s">
        <v>1708</v>
      </c>
      <c r="B1363" t="s">
        <v>1500</v>
      </c>
      <c r="C1363" t="s">
        <v>1383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1708</v>
      </c>
      <c r="B1364" t="s">
        <v>1500</v>
      </c>
      <c r="C1364" t="s">
        <v>1383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0</v>
      </c>
      <c r="R1364">
        <f>IF(ISBLANK(Mitigation_Industry!R796),"",Mitigation_Industry!R796)</f>
        <v>0</v>
      </c>
      <c r="S1364">
        <f>IF(ISBLANK(Mitigation_Industry!S796),"",Mitigation_Industry!S796)</f>
        <v>0</v>
      </c>
      <c r="T1364">
        <f>IF(ISBLANK(Mitigation_Industry!T796),"",Mitigation_Industry!T796)</f>
        <v>0</v>
      </c>
      <c r="U1364">
        <f>IF(ISBLANK(Mitigation_Industry!U796),"",Mitigation_Industry!U796)</f>
        <v>0</v>
      </c>
      <c r="V1364">
        <f>IF(ISBLANK(Mitigation_Industry!V796),"",Mitigation_Industry!V796)</f>
        <v>0</v>
      </c>
      <c r="W1364">
        <f>IF(ISBLANK(Mitigation_Industry!W796),"",Mitigation_Industry!W796)</f>
        <v>0</v>
      </c>
      <c r="X1364">
        <f>IF(ISBLANK(Mitigation_Industry!X796),"",Mitigation_Industry!X796)</f>
        <v>0</v>
      </c>
      <c r="Y1364">
        <f>IF(ISBLANK(Mitigation_Industry!Y796),"",Mitigation_Industry!Y796)</f>
        <v>0</v>
      </c>
      <c r="Z1364">
        <f>IF(ISBLANK(Mitigation_Industry!Z796),"",Mitigation_Industry!Z796)</f>
        <v>0</v>
      </c>
      <c r="AA1364">
        <f>IF(ISBLANK(Mitigation_Industry!AA796),"",Mitigation_Industry!AA796)</f>
        <v>0</v>
      </c>
      <c r="AB1364">
        <f>IF(ISBLANK(Mitigation_Industry!AB796),"",Mitigation_Industry!AB796)</f>
        <v>0</v>
      </c>
      <c r="AC1364">
        <f>IF(ISBLANK(Mitigation_Industry!AC796),"",Mitigation_Industry!AC796)</f>
        <v>0</v>
      </c>
      <c r="AD1364">
        <f>IF(ISBLANK(Mitigation_Industry!AD796),"",Mitigation_Industry!AD796)</f>
        <v>0</v>
      </c>
      <c r="AE1364">
        <f>IF(ISBLANK(Mitigation_Industry!AE796),"",Mitigation_Industry!AE796)</f>
        <v>0</v>
      </c>
    </row>
    <row r="1365" spans="1:31" x14ac:dyDescent="0.45">
      <c r="A1365" t="s">
        <v>1708</v>
      </c>
      <c r="B1365" t="s">
        <v>1500</v>
      </c>
      <c r="C1365" t="s">
        <v>1383</v>
      </c>
      <c r="D1365">
        <v>2</v>
      </c>
      <c r="E1365" t="s">
        <v>1161</v>
      </c>
      <c r="F1365">
        <f>MAX(MAX(L1365:AE1365),-MIN(L1365:AE1365))</f>
        <v>0</v>
      </c>
      <c r="I1365" t="s">
        <v>1588</v>
      </c>
      <c r="J1365" t="s">
        <v>1703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0</v>
      </c>
      <c r="R1365">
        <f t="shared" si="338"/>
        <v>0</v>
      </c>
      <c r="S1365">
        <f t="shared" si="338"/>
        <v>0</v>
      </c>
      <c r="T1365">
        <f t="shared" si="338"/>
        <v>0</v>
      </c>
      <c r="U1365">
        <f t="shared" si="338"/>
        <v>0</v>
      </c>
      <c r="V1365">
        <f t="shared" si="338"/>
        <v>0</v>
      </c>
      <c r="W1365">
        <f t="shared" si="338"/>
        <v>0</v>
      </c>
      <c r="X1365">
        <f t="shared" si="338"/>
        <v>0</v>
      </c>
      <c r="Y1365">
        <f t="shared" si="338"/>
        <v>0</v>
      </c>
      <c r="Z1365">
        <f t="shared" si="338"/>
        <v>0</v>
      </c>
      <c r="AA1365">
        <f t="shared" si="338"/>
        <v>0</v>
      </c>
      <c r="AB1365">
        <f t="shared" si="338"/>
        <v>0</v>
      </c>
      <c r="AC1365">
        <f t="shared" si="338"/>
        <v>0</v>
      </c>
      <c r="AD1365">
        <f t="shared" si="338"/>
        <v>0</v>
      </c>
      <c r="AE1365">
        <f t="shared" si="338"/>
        <v>0</v>
      </c>
    </row>
    <row r="1367" spans="1:31" x14ac:dyDescent="0.45">
      <c r="A1367" t="s">
        <v>1709</v>
      </c>
      <c r="B1367" t="s">
        <v>1500</v>
      </c>
      <c r="C1367" t="s">
        <v>1390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1709</v>
      </c>
      <c r="B1368" t="s">
        <v>1500</v>
      </c>
      <c r="C1368" t="s">
        <v>1390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7.7657907641999993</v>
      </c>
      <c r="R1368">
        <f>IF(ISBLANK(Mitigation_Industry!R797),"",Mitigation_Industry!R797)</f>
        <v>15.873276322024799</v>
      </c>
      <c r="S1368">
        <f>IF(ISBLANK(Mitigation_Industry!S797),"",Mitigation_Industry!S797)</f>
        <v>24.333732601664018</v>
      </c>
      <c r="T1368">
        <f>IF(ISBLANK(Mitigation_Industry!T797),"",Mitigation_Industry!T797)</f>
        <v>33.158766291867501</v>
      </c>
      <c r="U1368">
        <f>IF(ISBLANK(Mitigation_Industry!U797),"",Mitigation_Industry!U797)</f>
        <v>42.360323937860741</v>
      </c>
      <c r="V1368">
        <f>IF(ISBLANK(Mitigation_Industry!V797),"",Mitigation_Industry!V797)</f>
        <v>51.950701277392412</v>
      </c>
      <c r="W1368">
        <f>IF(ISBLANK(Mitigation_Industry!W797),"",Mitigation_Industry!W797)</f>
        <v>61.942552823077548</v>
      </c>
      <c r="X1368">
        <f>IF(ISBLANK(Mitigation_Industry!X797),"",Mitigation_Industry!X797)</f>
        <v>72.348901697354577</v>
      </c>
      <c r="Y1368">
        <f>IF(ISBLANK(Mitigation_Industry!Y797),"",Mitigation_Industry!Y797)</f>
        <v>83.183149726533415</v>
      </c>
      <c r="Z1368">
        <f>IF(ISBLANK(Mitigation_Industry!Z797),"",Mitigation_Industry!Z797)</f>
        <v>94.459087800574636</v>
      </c>
      <c r="AA1368">
        <f>IF(ISBLANK(Mitigation_Industry!AA797),"",Mitigation_Industry!AA797)</f>
        <v>106.19090650540601</v>
      </c>
      <c r="AB1368">
        <f>IF(ISBLANK(Mitigation_Industry!AB797),"",Mitigation_Industry!AB797)</f>
        <v>118.39320703475448</v>
      </c>
      <c r="AC1368">
        <f>IF(ISBLANK(Mitigation_Industry!AC797),"",Mitigation_Industry!AC797)</f>
        <v>131.08101238864566</v>
      </c>
      <c r="AD1368">
        <f>IF(ISBLANK(Mitigation_Industry!AD797),"",Mitigation_Industry!AD797)</f>
        <v>144.26977886590325</v>
      </c>
      <c r="AE1368">
        <f>IF(ISBLANK(Mitigation_Industry!AE797),"",Mitigation_Industry!AE797)</f>
        <v>157.97540785816406</v>
      </c>
    </row>
    <row r="1369" spans="1:31" x14ac:dyDescent="0.45">
      <c r="A1369" t="s">
        <v>1709</v>
      </c>
      <c r="B1369" t="s">
        <v>1500</v>
      </c>
      <c r="C1369" t="s">
        <v>1390</v>
      </c>
      <c r="D1369">
        <v>2</v>
      </c>
      <c r="E1369" t="s">
        <v>1161</v>
      </c>
      <c r="F1369">
        <f>MAX(MAX(L1369:AE1369),-MIN(L1369:AE1369))</f>
        <v>157.97540785816406</v>
      </c>
      <c r="I1369" t="s">
        <v>1588</v>
      </c>
      <c r="J1369" t="s">
        <v>1703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7.7657907641999993</v>
      </c>
      <c r="R1369">
        <f t="shared" si="339"/>
        <v>15.873276322024799</v>
      </c>
      <c r="S1369">
        <f t="shared" si="339"/>
        <v>24.333732601664018</v>
      </c>
      <c r="T1369">
        <f t="shared" si="339"/>
        <v>33.158766291867501</v>
      </c>
      <c r="U1369">
        <f t="shared" si="339"/>
        <v>42.360323937860741</v>
      </c>
      <c r="V1369">
        <f t="shared" si="339"/>
        <v>51.950701277392412</v>
      </c>
      <c r="W1369">
        <f t="shared" si="339"/>
        <v>61.942552823077548</v>
      </c>
      <c r="X1369">
        <f t="shared" si="339"/>
        <v>72.348901697354577</v>
      </c>
      <c r="Y1369">
        <f t="shared" si="339"/>
        <v>83.183149726533415</v>
      </c>
      <c r="Z1369">
        <f t="shared" si="339"/>
        <v>94.459087800574636</v>
      </c>
      <c r="AA1369">
        <f t="shared" si="339"/>
        <v>106.19090650540601</v>
      </c>
      <c r="AB1369">
        <f t="shared" si="339"/>
        <v>118.39320703475448</v>
      </c>
      <c r="AC1369">
        <f t="shared" si="339"/>
        <v>131.08101238864566</v>
      </c>
      <c r="AD1369">
        <f t="shared" si="339"/>
        <v>144.26977886590325</v>
      </c>
      <c r="AE1369">
        <f t="shared" si="339"/>
        <v>157.97540785816406</v>
      </c>
    </row>
    <row r="1371" spans="1:31" x14ac:dyDescent="0.45">
      <c r="A1371" t="s">
        <v>1710</v>
      </c>
      <c r="B1371" t="s">
        <v>1500</v>
      </c>
      <c r="C1371" t="s">
        <v>1397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1710</v>
      </c>
      <c r="B1372" t="s">
        <v>1500</v>
      </c>
      <c r="C1372" t="s">
        <v>1397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10.3480021171875</v>
      </c>
      <c r="R1372">
        <f>IF(ISBLANK(Mitigation_Industry!R798),"",Mitigation_Industry!R798)</f>
        <v>21.834284467265626</v>
      </c>
      <c r="S1372">
        <f>IF(ISBLANK(Mitigation_Industry!S798),"",Mitigation_Industry!S798)</f>
        <v>34.552755169447849</v>
      </c>
      <c r="T1372">
        <f>IF(ISBLANK(Mitigation_Industry!T798),"",Mitigation_Industry!T798)</f>
        <v>48.604208938356642</v>
      </c>
      <c r="U1372">
        <f>IF(ISBLANK(Mitigation_Industry!U798),"",Mitigation_Industry!U798)</f>
        <v>64.09680053745781</v>
      </c>
      <c r="V1372">
        <f>IF(ISBLANK(Mitigation_Industry!V798),"",Mitigation_Industry!V798)</f>
        <v>81.146549480421598</v>
      </c>
      <c r="W1372">
        <f>IF(ISBLANK(Mitigation_Industry!W798),"",Mitigation_Industry!W798)</f>
        <v>99.877877985485583</v>
      </c>
      <c r="X1372">
        <f>IF(ISBLANK(Mitigation_Industry!X798),"",Mitigation_Industry!X798)</f>
        <v>120.42418431392832</v>
      </c>
      <c r="Y1372">
        <f>IF(ISBLANK(Mitigation_Industry!Y798),"",Mitigation_Industry!Y798)</f>
        <v>142.92845375759364</v>
      </c>
      <c r="Z1372">
        <f>IF(ISBLANK(Mitigation_Industry!Z798),"",Mitigation_Industry!Z798)</f>
        <v>167.54390968251255</v>
      </c>
      <c r="AA1372">
        <f>IF(ISBLANK(Mitigation_Industry!AA798),"",Mitigation_Industry!AA798)</f>
        <v>194.43470718655587</v>
      </c>
      <c r="AB1372">
        <f>IF(ISBLANK(Mitigation_Industry!AB798),"",Mitigation_Industry!AB798)</f>
        <v>223.77667208925422</v>
      </c>
      <c r="AC1372">
        <f>IF(ISBLANK(Mitigation_Industry!AC798),"",Mitigation_Industry!AC798)</f>
        <v>255.75808814201011</v>
      </c>
      <c r="AD1372">
        <f>IF(ISBLANK(Mitigation_Industry!AD798),"",Mitigation_Industry!AD798)</f>
        <v>290.58053552749919</v>
      </c>
      <c r="AE1372">
        <f>IF(ISBLANK(Mitigation_Industry!AE798),"",Mitigation_Industry!AE798)</f>
        <v>328.4597839087624</v>
      </c>
    </row>
    <row r="1373" spans="1:31" x14ac:dyDescent="0.45">
      <c r="A1373" t="s">
        <v>1710</v>
      </c>
      <c r="B1373" t="s">
        <v>1500</v>
      </c>
      <c r="C1373" t="s">
        <v>1397</v>
      </c>
      <c r="D1373">
        <v>2</v>
      </c>
      <c r="E1373" t="s">
        <v>1161</v>
      </c>
      <c r="F1373">
        <f>MAX(MAX(L1373:AE1373),-MIN(L1373:AE1373))</f>
        <v>328.4597839087624</v>
      </c>
      <c r="I1373" t="s">
        <v>1588</v>
      </c>
      <c r="J1373" t="s">
        <v>1703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10.3480021171875</v>
      </c>
      <c r="R1373">
        <f t="shared" si="340"/>
        <v>21.834284467265626</v>
      </c>
      <c r="S1373">
        <f t="shared" si="340"/>
        <v>34.552755169447849</v>
      </c>
      <c r="T1373">
        <f t="shared" si="340"/>
        <v>48.604208938356642</v>
      </c>
      <c r="U1373">
        <f t="shared" si="340"/>
        <v>64.09680053745781</v>
      </c>
      <c r="V1373">
        <f t="shared" si="340"/>
        <v>81.146549480421598</v>
      </c>
      <c r="W1373">
        <f t="shared" si="340"/>
        <v>99.877877985485583</v>
      </c>
      <c r="X1373">
        <f t="shared" si="340"/>
        <v>120.42418431392832</v>
      </c>
      <c r="Y1373">
        <f t="shared" si="340"/>
        <v>142.92845375759364</v>
      </c>
      <c r="Z1373">
        <f t="shared" si="340"/>
        <v>167.54390968251255</v>
      </c>
      <c r="AA1373">
        <f t="shared" si="340"/>
        <v>194.43470718655587</v>
      </c>
      <c r="AB1373">
        <f t="shared" si="340"/>
        <v>223.77667208925422</v>
      </c>
      <c r="AC1373">
        <f t="shared" si="340"/>
        <v>255.75808814201011</v>
      </c>
      <c r="AD1373">
        <f t="shared" si="340"/>
        <v>290.58053552749919</v>
      </c>
      <c r="AE1373">
        <f t="shared" si="340"/>
        <v>328.4597839087624</v>
      </c>
    </row>
    <row r="1375" spans="1:31" x14ac:dyDescent="0.45">
      <c r="A1375" t="s">
        <v>1711</v>
      </c>
      <c r="B1375" t="s">
        <v>1500</v>
      </c>
      <c r="C1375" t="s">
        <v>1501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1711</v>
      </c>
      <c r="B1376" t="s">
        <v>1500</v>
      </c>
      <c r="C1376" t="s">
        <v>1501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384.42161490493737</v>
      </c>
      <c r="R1376">
        <f>IF(ISBLANK(Mitigation_Industry!R799),"",Mitigation_Industry!R799)</f>
        <v>794.58588718261012</v>
      </c>
      <c r="S1376">
        <f>IF(ISBLANK(Mitigation_Industry!S799),"",Mitigation_Industry!S799)</f>
        <v>1231.8047038186751</v>
      </c>
      <c r="T1376">
        <f>IF(ISBLANK(Mitigation_Industry!T799),"",Mitigation_Industry!T799)</f>
        <v>1697.4505984935522</v>
      </c>
      <c r="U1376">
        <f>IF(ISBLANK(Mitigation_Industry!U799),"",Mitigation_Industry!U799)</f>
        <v>2192.9594564845229</v>
      </c>
      <c r="V1376">
        <f>IF(ISBLANK(Mitigation_Industry!V799),"",Mitigation_Industry!V799)</f>
        <v>2719.8333400321808</v>
      </c>
      <c r="W1376">
        <f>IF(ISBLANK(Mitigation_Industry!W799),"",Mitigation_Industry!W799)</f>
        <v>3279.6434396579139</v>
      </c>
      <c r="X1376">
        <f>IF(ISBLANK(Mitigation_Industry!X799),"",Mitigation_Industry!X799)</f>
        <v>3874.033157178857</v>
      </c>
      <c r="Y1376">
        <f>IF(ISBLANK(Mitigation_Industry!Y799),"",Mitigation_Industry!Y799)</f>
        <v>4504.7213264394322</v>
      </c>
      <c r="Z1376">
        <f>IF(ISBLANK(Mitigation_Industry!Z799),"",Mitigation_Industry!Z799)</f>
        <v>5173.5055780647599</v>
      </c>
      <c r="AA1376">
        <f>IF(ISBLANK(Mitigation_Industry!AA799),"",Mitigation_Industry!AA799)</f>
        <v>5882.2658548417376</v>
      </c>
      <c r="AB1376">
        <f>IF(ISBLANK(Mitigation_Industry!AB799),"",Mitigation_Industry!AB799)</f>
        <v>6632.9680846490319</v>
      </c>
      <c r="AC1376">
        <f>IF(ISBLANK(Mitigation_Industry!AC799),"",Mitigation_Industry!AC799)</f>
        <v>7427.6680181884831</v>
      </c>
      <c r="AD1376">
        <f>IF(ISBLANK(Mitigation_Industry!AD799),"",Mitigation_Industry!AD799)</f>
        <v>8268.5152391183055</v>
      </c>
      <c r="AE1376">
        <f>IF(ISBLANK(Mitigation_Industry!AE799),"",Mitigation_Industry!AE799)</f>
        <v>9157.7573545538162</v>
      </c>
    </row>
    <row r="1377" spans="1:35" x14ac:dyDescent="0.45">
      <c r="A1377" t="s">
        <v>1711</v>
      </c>
      <c r="B1377" t="s">
        <v>1500</v>
      </c>
      <c r="C1377" t="s">
        <v>1501</v>
      </c>
      <c r="D1377">
        <v>2</v>
      </c>
      <c r="E1377" t="s">
        <v>1161</v>
      </c>
      <c r="F1377">
        <f>MAX(MAX(L1377:AE1377),-MIN(L1377:AE1377))</f>
        <v>9157.7573545538162</v>
      </c>
      <c r="I1377" t="s">
        <v>1588</v>
      </c>
      <c r="J1377" t="s">
        <v>1703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384.42161490493737</v>
      </c>
      <c r="R1377">
        <f t="shared" si="341"/>
        <v>794.58588718261012</v>
      </c>
      <c r="S1377">
        <f t="shared" si="341"/>
        <v>1231.8047038186751</v>
      </c>
      <c r="T1377">
        <f t="shared" si="341"/>
        <v>1697.4505984935522</v>
      </c>
      <c r="U1377">
        <f t="shared" si="341"/>
        <v>2192.9594564845229</v>
      </c>
      <c r="V1377">
        <f t="shared" si="341"/>
        <v>2719.8333400321808</v>
      </c>
      <c r="W1377">
        <f t="shared" si="341"/>
        <v>3279.6434396579139</v>
      </c>
      <c r="X1377">
        <f t="shared" si="341"/>
        <v>3874.033157178857</v>
      </c>
      <c r="Y1377">
        <f t="shared" si="341"/>
        <v>4504.7213264394322</v>
      </c>
      <c r="Z1377">
        <f t="shared" si="341"/>
        <v>5173.5055780647599</v>
      </c>
      <c r="AA1377">
        <f t="shared" si="341"/>
        <v>5882.2658548417376</v>
      </c>
      <c r="AB1377">
        <f t="shared" si="341"/>
        <v>6632.9680846490319</v>
      </c>
      <c r="AC1377">
        <f t="shared" si="341"/>
        <v>7427.6680181884831</v>
      </c>
      <c r="AD1377">
        <f t="shared" si="341"/>
        <v>8268.5152391183055</v>
      </c>
      <c r="AE1377">
        <f t="shared" si="341"/>
        <v>9157.7573545538162</v>
      </c>
    </row>
    <row r="1380" spans="1:35" x14ac:dyDescent="0.45">
      <c r="A1380" s="52" t="s">
        <v>1876</v>
      </c>
    </row>
    <row r="1381" spans="1:35" x14ac:dyDescent="0.45">
      <c r="A1381" t="s">
        <v>1878</v>
      </c>
      <c r="D1381" s="92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1506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1420</v>
      </c>
      <c r="D1383">
        <v>2</v>
      </c>
      <c r="E1383" t="s">
        <v>1717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1420</v>
      </c>
      <c r="D1384">
        <v>2</v>
      </c>
      <c r="E1384" t="s">
        <v>1846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1420</v>
      </c>
      <c r="D1385">
        <v>2</v>
      </c>
      <c r="E1385" t="s">
        <v>1161</v>
      </c>
      <c r="F1385">
        <f>MAX(MAX(L1385:AE1385),-MIN(L1385:AE1385))</f>
        <v>0</v>
      </c>
      <c r="I1385" t="s">
        <v>1877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1421</v>
      </c>
      <c r="D1387">
        <v>2</v>
      </c>
      <c r="E1387" t="s">
        <v>1717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1421</v>
      </c>
      <c r="D1388">
        <v>2</v>
      </c>
      <c r="E1388" t="s">
        <v>1846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1421</v>
      </c>
      <c r="D1389">
        <v>2</v>
      </c>
      <c r="E1389" t="s">
        <v>1161</v>
      </c>
      <c r="F1389">
        <f>MAX(MAX(L1389:AE1389),-MIN(L1389:AE1389))</f>
        <v>0</v>
      </c>
      <c r="I1389" t="s">
        <v>1877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1717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1846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1877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1717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1846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1877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1717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1846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1877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1717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1846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1877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1717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1846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1877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1717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1846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1877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1717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1846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1877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1717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1846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1877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1717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1846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1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1877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Settings</vt:lpstr>
      <vt:lpstr>Manual inputs</vt:lpstr>
      <vt:lpstr>Scenarios</vt:lpstr>
      <vt:lpstr>Mitigation_Industry</vt:lpstr>
      <vt:lpstr>MTInputs</vt:lpstr>
      <vt:lpstr>Data_Energy</vt:lpstr>
      <vt:lpstr>Data_Prices</vt:lpstr>
      <vt:lpstr>Data_Macro</vt:lpstr>
      <vt:lpstr>Data_Elast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2026-10-02T20:01:22Z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