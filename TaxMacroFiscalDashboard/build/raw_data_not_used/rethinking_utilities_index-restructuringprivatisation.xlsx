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https://worldbankgroup-my.sharepoint.com/personal/arana1_worldbank_org/Documents/Rethinking Project/Rethinking Database/Data for Upload/"/>
    </mc:Choice>
  </mc:AlternateContent>
  <xr:revisionPtr revIDLastSave="0" documentId="8_{BB298D84-AC54-4EC4-B87D-2ADFBA1595DD}" xr6:coauthVersionLast="44" xr6:coauthVersionMax="44" xr10:uidLastSave="{00000000-0000-0000-0000-000000000000}"/>
  <bookViews>
    <workbookView xWindow="28680" yWindow="-120" windowWidth="29040" windowHeight="15840" xr2:uid="{777C57BE-B8AF-4553-916B-E2B9B282B8B4}"/>
  </bookViews>
  <sheets>
    <sheet name="Summary Sheet" sheetId="1" r:id="rId1"/>
    <sheet name="Utility Restructuring Schemata" sheetId="2" r:id="rId2"/>
    <sheet name="Planning &amp; Procurement Schemata" sheetId="4" r:id="rId3"/>
    <sheet name="Pvt Sector Participation (PPI) "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T52" i="1" l="1"/>
  <c r="U52" i="1" s="1"/>
  <c r="T51" i="1"/>
  <c r="U51" i="1" s="1"/>
  <c r="T50" i="1"/>
  <c r="U50" i="1" s="1"/>
  <c r="T48" i="1"/>
  <c r="U48" i="1" s="1"/>
  <c r="T47" i="1"/>
  <c r="U47" i="1" s="1"/>
  <c r="T46" i="1"/>
  <c r="U46" i="1" s="1"/>
  <c r="T44" i="1"/>
  <c r="U44" i="1" s="1"/>
  <c r="T43" i="1"/>
  <c r="U43" i="1" s="1"/>
  <c r="T42" i="1"/>
  <c r="U42" i="1" s="1"/>
  <c r="T41" i="1"/>
  <c r="U41" i="1" s="1"/>
  <c r="T38" i="1"/>
  <c r="U38" i="1" s="1"/>
  <c r="T37" i="1"/>
  <c r="U37" i="1" s="1"/>
  <c r="T36" i="1"/>
  <c r="U36" i="1" s="1"/>
  <c r="T35" i="1"/>
  <c r="U35" i="1" s="1"/>
  <c r="T34" i="1"/>
  <c r="U34" i="1" s="1"/>
  <c r="T33" i="1"/>
  <c r="U33" i="1" s="1"/>
  <c r="T32" i="1"/>
  <c r="U32" i="1" s="1"/>
  <c r="T31" i="1"/>
  <c r="U31" i="1" s="1"/>
  <c r="T29" i="1"/>
  <c r="U29" i="1" s="1"/>
  <c r="T28" i="1"/>
  <c r="U28" i="1" s="1"/>
  <c r="T27" i="1"/>
  <c r="U27" i="1" s="1"/>
  <c r="T26" i="1"/>
  <c r="U26" i="1" s="1"/>
  <c r="T25" i="1"/>
  <c r="U25" i="1" s="1"/>
  <c r="T24" i="1"/>
  <c r="U24" i="1" s="1"/>
  <c r="T23" i="1"/>
  <c r="U23" i="1" s="1"/>
  <c r="T20" i="1"/>
  <c r="U20" i="1" s="1"/>
  <c r="T19" i="1"/>
  <c r="U19" i="1" s="1"/>
  <c r="T18" i="1"/>
  <c r="U18" i="1" s="1"/>
  <c r="T17" i="1"/>
  <c r="U17" i="1" s="1"/>
  <c r="T16" i="1"/>
  <c r="U16" i="1" s="1"/>
  <c r="T15" i="1"/>
  <c r="U15" i="1" s="1"/>
  <c r="T14" i="1"/>
  <c r="U14" i="1" s="1"/>
  <c r="U12" i="1"/>
  <c r="T49" i="1" l="1"/>
  <c r="U49" i="1" s="1"/>
</calcChain>
</file>

<file path=xl/sharedStrings.xml><?xml version="1.0" encoding="utf-8"?>
<sst xmlns="http://schemas.openxmlformats.org/spreadsheetml/2006/main" count="1120" uniqueCount="445">
  <si>
    <t>Colombia</t>
  </si>
  <si>
    <t>DR</t>
  </si>
  <si>
    <t>Egypt</t>
  </si>
  <si>
    <t>India, AP</t>
  </si>
  <si>
    <t>India, Orissa</t>
  </si>
  <si>
    <t>India, Raj</t>
  </si>
  <si>
    <t>Kenya</t>
  </si>
  <si>
    <t>Morocco</t>
  </si>
  <si>
    <t>Pakistan</t>
  </si>
  <si>
    <t>Peru</t>
  </si>
  <si>
    <t>Philippines</t>
  </si>
  <si>
    <t>Senegal</t>
  </si>
  <si>
    <t>Tajikistan</t>
  </si>
  <si>
    <t>Tanzania</t>
  </si>
  <si>
    <t>Uganda</t>
  </si>
  <si>
    <t>Ukraine</t>
  </si>
  <si>
    <t>Vietnam</t>
  </si>
  <si>
    <t>Utility Restructuring</t>
  </si>
  <si>
    <t>Vertical Unbundling</t>
  </si>
  <si>
    <t>Horizontal Unbundling</t>
  </si>
  <si>
    <t>Pvt sector participation</t>
  </si>
  <si>
    <t>PSP in Generation</t>
  </si>
  <si>
    <t>PSP in Distribution</t>
  </si>
  <si>
    <t>PSP in Transmission</t>
  </si>
  <si>
    <t>Planning and Procurement</t>
  </si>
  <si>
    <t>Generation Planning</t>
  </si>
  <si>
    <t>Does your country have an overall energy plan covering all types of energy (i.e. electricity, fuels, etc.)?</t>
  </si>
  <si>
    <t>Does your country have a clearly identified entity with functional responsibility and technical competence to produce a power generation master plan?</t>
  </si>
  <si>
    <t xml:space="preserve">Is there an inter-governmental committee that oversees the unit responsible for developing the plan. </t>
  </si>
  <si>
    <t>Is the power generation system plan mandatory or indicative?</t>
  </si>
  <si>
    <t>Is the generation planning process transparent and participatory (i.e. open to inputs from generators, consumers or other relevant stakeholders)?</t>
  </si>
  <si>
    <t>Procurement of Generation</t>
  </si>
  <si>
    <t>Is there is a framework for procurement of new power generation plant?</t>
  </si>
  <si>
    <t>Does the country allow International competetive bidding and public auctions for entry of new generation plants?</t>
  </si>
  <si>
    <t xml:space="preserve">Unsolicited bids </t>
  </si>
  <si>
    <t xml:space="preserve">Direct negotiation </t>
  </si>
  <si>
    <t xml:space="preserve">International competitive tendering </t>
  </si>
  <si>
    <t xml:space="preserve"> Public auctions </t>
  </si>
  <si>
    <t xml:space="preserve">Stand-alone capacity market </t>
  </si>
  <si>
    <t>Auction design score</t>
  </si>
  <si>
    <t xml:space="preserve">Does the country use public auctions for power generation? </t>
  </si>
  <si>
    <t xml:space="preserve">Are there clear and comprehensive established rules and processes for the auctions? </t>
  </si>
  <si>
    <t xml:space="preserve">Are there credible penalties for violating the rules? </t>
  </si>
  <si>
    <t xml:space="preserve">Are there guarantees and penalties to ensure timely project completion? </t>
  </si>
  <si>
    <t>Do the auctions include standard, non-negotiable contracts?</t>
  </si>
  <si>
    <t>Do the auctions include stapled financing terms or risk mitigation instruments?</t>
  </si>
  <si>
    <t xml:space="preserve">Are there concerns regarding the transparency and fairness of the auction (e.g. lack of transparency of the process, dissemination of relevant information, the evaluation of alternatives, and the final award)? </t>
  </si>
  <si>
    <t xml:space="preserve">Are there efforts to inform and attract bidders to the auction (e.g. workshops)? </t>
  </si>
  <si>
    <t>Transmission Planning</t>
  </si>
  <si>
    <t>Does your country have a clearly identified entity with functional responsibility and technical competence to conduct a power transmission master plan?</t>
  </si>
  <si>
    <t>Are power transmission plans explicitly linked to power generation plans?</t>
  </si>
  <si>
    <t xml:space="preserve">Is the power transmission system plan mandatory or indicative? </t>
  </si>
  <si>
    <t>Is the transmission planning process transparent and participatory (i.e. open to inputs from generators, consumers or other relevant stakeholders)?</t>
  </si>
  <si>
    <t>Transmission Procurement</t>
  </si>
  <si>
    <t>Is there a framework for procurement of new transmission lines?</t>
  </si>
  <si>
    <t>How is investment in new transmission facilities and/or upgrades commissioned?</t>
  </si>
  <si>
    <t>Competitive tender</t>
  </si>
  <si>
    <t>Direct negotiation</t>
  </si>
  <si>
    <t>All projects are awarded to the incumbent transmission company</t>
  </si>
  <si>
    <t>Other (please specify)</t>
  </si>
  <si>
    <t>Unbundling (Vertical + Horizontal)</t>
  </si>
  <si>
    <t>=SUM(C3,C21)</t>
  </si>
  <si>
    <t xml:space="preserve"> </t>
  </si>
  <si>
    <t>=AVG(C4,C12,C19)</t>
  </si>
  <si>
    <t>Generation</t>
  </si>
  <si>
    <t>=C13*AVG(C8:C12)</t>
  </si>
  <si>
    <t>A.2.4.i</t>
  </si>
  <si>
    <t>Was generation restructured into a separate entity?</t>
  </si>
  <si>
    <t>=1 (YES); =0 (NO)</t>
  </si>
  <si>
    <t>Did the unbundling involve functional separation?</t>
  </si>
  <si>
    <t>Did the unbundling involve accounting separation?</t>
  </si>
  <si>
    <t>Did the unbundling involve legal separation?</t>
  </si>
  <si>
    <t>Did the unbundling involve ownership separation?</t>
  </si>
  <si>
    <t xml:space="preserve">A.2.5 </t>
  </si>
  <si>
    <t>Are unbundled generation companies still legally allowed to own distribution assets?</t>
  </si>
  <si>
    <t>=0 (YES); =1 (NO)</t>
  </si>
  <si>
    <t>Transmission</t>
  </si>
  <si>
    <t>=C15*AVG(C16:C20)</t>
  </si>
  <si>
    <t>A.2.4.iii</t>
  </si>
  <si>
    <t>Was there full vertical unbundling of generation, transmission and distribution, with each of these activities restructured into separate entities?</t>
  </si>
  <si>
    <t>A.2.9</t>
  </si>
  <si>
    <t xml:space="preserve">Is there an open and non-discriminatory third party access regime to the transmission network? </t>
  </si>
  <si>
    <t>Distribution</t>
  </si>
  <si>
    <t>=C23*AVG(C20:C25)</t>
  </si>
  <si>
    <t>A.2.4.ii</t>
  </si>
  <si>
    <t>Was distribution restructured into a separate entity?</t>
  </si>
  <si>
    <t>Are unbundled distribution companies still legally allowed to own generation assets?</t>
  </si>
  <si>
    <t>Horizontal unbundling</t>
  </si>
  <si>
    <t>=AVERAGE(C29,C35, C41)</t>
  </si>
  <si>
    <t>=C23*AVG(C31:C34)</t>
  </si>
  <si>
    <t>A.2.11.i</t>
  </si>
  <si>
    <t xml:space="preserve">Was generation split up into a number of separate companies? </t>
  </si>
  <si>
    <t>A.2.11.ii</t>
  </si>
  <si>
    <t xml:space="preserve">Was transmission split up into a number of separate companies? </t>
  </si>
  <si>
    <t>=C36*AVG(C38:C41)</t>
  </si>
  <si>
    <t>A.2.11.iii</t>
  </si>
  <si>
    <t xml:space="preserve">Was distribution split up into a number of separate companies? </t>
  </si>
  <si>
    <t>DESCRIPTIVE INDICATORS</t>
  </si>
  <si>
    <t>Respond: (  A.2.1 Since 1990, did the government pass one (or more) power sector reform laws?  )</t>
  </si>
  <si>
    <t>=RESPONSE</t>
  </si>
  <si>
    <t>Year(s) (  A.2.1 Since 1990, did the government pass one (or more) power sector reform laws?  )</t>
  </si>
  <si>
    <t>Name (s): (  A.2.1 Since 1990, did the government pass one (or more) power sector reform laws?  )</t>
  </si>
  <si>
    <t>Respond: (  A.2.2 Since 1990, has there been in existence in the country one (or more) national (or sub-national) vertically-integrated state-owned incumbent utilities that supplied electricity to most of the country?  )</t>
  </si>
  <si>
    <t>Name(s): (  A.2.2 Since 1990, has there been in existence in the country one (or more) national (or sub-national) vertically-integrated state-owned incumbent utilities that supplied electricity to most of the country?  )</t>
  </si>
  <si>
    <t>Year(s) of Establishment (  A.2.2 Since 1990, has there been in existence in the country one (or more) national (or sub-national) vertically-integrated state-owned incumbent utilities that supplied electricity to most of the country?  )</t>
  </si>
  <si>
    <t>Respond: (  A.2.3 If the answer to question A.2.2 above is positive, do the one (or more) national (or sub-national) vertically-integrated state-owned incumbent utilities that supplied electricity to most of the national territory still exist today?  )</t>
  </si>
  <si>
    <t>2.4i</t>
  </si>
  <si>
    <t>Respond: (  A.2.4 i) Was generation restructured into a separate entity, while transmission and distribution remained together in the same entity? If so, when did it happen and what type of unbundling took place?   )</t>
  </si>
  <si>
    <t>Year of unbundling (  A.2.4 i) Was generation restructured into a separate entity, while transmission and distribution remained together in the same entity? If so, when did it happen and what type of unbundling took place?   )</t>
  </si>
  <si>
    <t>What was the name of the original entity? (  A.2.4 i) Was generation restructured into a separate entity, while transmission and distribution remained together in the same entity? If so, when did it happen and what type of unbundling took place?   )</t>
  </si>
  <si>
    <t>What was the name(s) of the unbundled entity(ies)? (  A.2.4 i) Was generation restructured into a separate entity, while transmission and distribution remained together in the same entity? If so, when did it happen and what type of unbundling took place?   )</t>
  </si>
  <si>
    <t>2.4ii</t>
  </si>
  <si>
    <t>Respond: (  A.2.4 ii) Was distribution restructured into a separate entity, while generation and transmission remained together in the same entity? If so, when did it happen and what type of unbundling took place?  )</t>
  </si>
  <si>
    <t>Year of unbundling (  A.2.4 ii) Was distribution restructured into a separate entity, while generation and transmission remained together in the same entity? If so, when did it happen and what type of unbundling took place?  )</t>
  </si>
  <si>
    <t>What was the name of the original entity? (  A.2.4 ii) Was distribution restructured into a separate entity, while generation and transmission remained together in the same entity? If so, when did it happen and what type of unbundling took place?  )</t>
  </si>
  <si>
    <t>What was the name(s) of the unbundled entity(ies)? (  A.2.4 ii) Was distribution restructured into a separate entity, while generation and transmission remained together in the same entity? If so, when did it happen and what type of unbundling took place?  )</t>
  </si>
  <si>
    <t>2.4iii</t>
  </si>
  <si>
    <t>Respond: (  A.2.4 iii) Was there full vertical unbundling of generation, transmission and distribution, with each of these activities restructured into separate entities? If so, when did it happen and what type of unbundling took place?  )</t>
  </si>
  <si>
    <t>Year of unbundling (  A.2.4 iii) Was there full vertical unbundling of generation, transmission and distribution, with each of these activities restructured into separate entities? If so, when did it happen and what type of unbundling took place?  )</t>
  </si>
  <si>
    <t>What was the name of the original entity? (  A.2.4 iii) Was there full vertical unbundling of generation, transmission and distribution, with each of these activities restructured into separate entities? If so, when did it happen and what type of unbundling took place?  )</t>
  </si>
  <si>
    <t>What was the name(s) of the unbundled entity(ies)? (  A.2.4 iii) Was there full vertical unbundling of generation, transmission and distribution, with each of these activities restructured into separate entities? If so, when did it happen and what type of unbundling took place?  )</t>
  </si>
  <si>
    <t>Respond: (  A.2.6 Do any unbundled distribution companies actually own generation assets or any unbundled generation companies actually own distribution assets?  )</t>
  </si>
  <si>
    <t>List specific cases (  A.2.6 Do any unbundled distribution companies actually own generation assets or any unbundled generation companies actually own distribution assets?  )</t>
  </si>
  <si>
    <t>Respond: (  A.2.7 Does the country operate a Single Buyer Model? If so, which entity plays this role and since when?  )</t>
  </si>
  <si>
    <t>Name of Single Buyer entity: (  A.2.7 Does the country operate a Single Buyer Model? If so, which entity plays this role and since when?  )</t>
  </si>
  <si>
    <t>Year of establishment of Single Buyer arrangements (  A.2.7 Does the country operate a Single Buyer Model? If so, which entity plays this role and since when?  )</t>
  </si>
  <si>
    <t>Briefly describe nature of Single Buyer arrangements (  A.2.7 Does the country operate a Single Buyer Model? If so, which entity plays this role and since when?  )</t>
  </si>
  <si>
    <t>Name of Single Buyer entity: (  A.2.8 Does the country have a modified Singe Buyer Model where a national utility aggregates demand from captured/franchise customers and buys most of power generated from IPPs but where direct contracts are also allowed between IPPs and distributors or large customers? If so, which entity plays this role and since when?  )</t>
  </si>
  <si>
    <t>Year of establishment of Single Buyer arrangements (  A.2.8 Does the country have a modified Singe Buyer Model where a national utility aggregates demand from captured/franchise customers and buys most of power generated from IPPs but where direct contracts are also allowed between IPPs and distributors or large customers? If so, which entity plays this role and since when?  )</t>
  </si>
  <si>
    <t>Year of establishment (  A.2.9 Is there an open and non-discriminatory third party access regime to the transmission network?   )</t>
  </si>
  <si>
    <t>Provide the type and name of the legal/regulatory instrument permitting 3rd party access: (  A.2.9 Is there an open and non-discriminatory third party access regime to the transmission network?   )</t>
  </si>
  <si>
    <t>Legislation (  A.2.9 Is there an open and non-discriminatory third party access regime to the transmission network?   )</t>
  </si>
  <si>
    <t>Regulations (  A.2.9 Is there an open and non-discriminatory third party access regime to the transmission network?   )</t>
  </si>
  <si>
    <t>Grid code (  A.2.9 Is there an open and non-discriminatory third party access regime to the transmission network?   )</t>
  </si>
  <si>
    <t>Connection agreements? (  A.2.9 Is there an open and non-discriminatory third party access regime to the transmission network?   )</t>
  </si>
  <si>
    <t>Generators (  A.2.9 Is there an open and non-discriminatory third party access regime to the transmission network?   )</t>
  </si>
  <si>
    <t>Retailers (  A.2.9 Is there an open and non-discriminatory third party access regime to the transmission network?   )</t>
  </si>
  <si>
    <t>Large customers. (  A.2.9 Is there an open and non-discriminatory third party access regime to the transmission network?   )</t>
  </si>
  <si>
    <t>Tick any option that applies regarding process of access to the transmission grid: (  A.2.9 Is there an open and non-discriminatory third party access regime to the transmission network?   )</t>
  </si>
  <si>
    <t>Regulated (  A.2.9 Is there an open and non-discriminatory third party access regime to the transmission network?   )</t>
  </si>
  <si>
    <t>Negotiated (  A.2.9 Is there an open and non-discriminatory third party access regime to the transmission network?   )</t>
  </si>
  <si>
    <t>List entities actually exercising third party access (  A.2.9 Is there an open and non-discriminatory third party access regime to the transmission network?   )</t>
  </si>
  <si>
    <t>Respond: (  A.2.10 Is there concern among generators regarding potential abuses of the non-discrimination provisions for access to the transmission network (e.g. due to vertical integration)?  )</t>
  </si>
  <si>
    <t>Provide the type and name of the legal/regulatory instrument permitting 3rd party access:  legislation, regulations, grid code, connection agreements? (  A.2.10 Is there concern among generators regarding potential abuses of the non-discrimination provisions for access to the transmission network (e.g. due to vertical integration)?  )</t>
  </si>
  <si>
    <t>2.11i</t>
  </si>
  <si>
    <t>Year (  A.2.11 i) Was generation split up into a number of separate companies? If so, when and how many and what type of unbundling took place?  )</t>
  </si>
  <si>
    <t>Number of companies (  A.2.11 i) Was generation split up into a number of separate companies? If so, when and how many and what type of unbundling took place?  )</t>
  </si>
  <si>
    <t>Name of original company (  A.2.11 i) Was generation split up into a number of separate companies? If so, when and how many and what type of unbundling took place?  )</t>
  </si>
  <si>
    <t>Name of new companies (  A.2.11 i) Was generation split up into a number of separate companies? If so, when and how many and what type of unbundling took place?  )</t>
  </si>
  <si>
    <t>2.11ii</t>
  </si>
  <si>
    <t>If yes, (  A.2.11 ii) Was transmission split up into a number of separate companies? If so, when and how many and what type of unbundling took place?  )</t>
  </si>
  <si>
    <t>Year (  A.2.11 ii) Was transmission split up into a number of separate companies? If so, when and how many and what type of unbundling took place?  )</t>
  </si>
  <si>
    <t>Number of companies (  A.2.11 ii) Was transmission split up into a number of separate companies? If so, when and how many and what type of unbundling took place?  )</t>
  </si>
  <si>
    <t>Name of original company (  A.2.11 ii) Was transmission split up into a number of separate companies? If so, when and how many and what type of unbundling took place?  )</t>
  </si>
  <si>
    <t>Name of new companies (  A.2.11 ii) Was transmission split up into a number of separate companies? If so, when and how many and what type of unbundling took place?  )</t>
  </si>
  <si>
    <t>2.11iii</t>
  </si>
  <si>
    <t>If yes, (  A.2.11 iii) Was distribution split up into a number of separate companies? If so, when and how many and what type of unbundling took place?  )</t>
  </si>
  <si>
    <t>Year (  A.2.11 iii) Was distribution split up into a number of separate companies? If so, when and how many and what type of unbundling took place?  )</t>
  </si>
  <si>
    <t>Number of companies (  A.2.11 iii) Was distribution split up into a number of separate companies? If so, when and how many and what type of unbundling took place?  )</t>
  </si>
  <si>
    <t>Name of original company (  A.2.11 iii) Was distribution split up into a number of separate companies? If so, when and how many and what type of unbundling took place?  )</t>
  </si>
  <si>
    <t>Name of new companies (  A.2.11 iii) Was distribution split up into a number of separate companies? If so, when and how many and what type of unbundling took place?  )</t>
  </si>
  <si>
    <t>Respond: (  A.2.12 Is there a holding company that retains some shareholding over some or all of the companies resulting from the unbundling of the original, one or more, vertically integrated national state-owned utilities? If so, when was it established, what stakes does it retain in subsidiary companies and how does it exercise control?  )</t>
  </si>
  <si>
    <t>If yes, (  A.2.12 Is there a holding company that retains some shareholding over some or all of the companies resulting from the unbundling of the original, one or more, vertically integrated national state-owned utilities? If so, when was it established, what stakes does it retain in subsidiary companies and how does it exercise control?  )</t>
  </si>
  <si>
    <t>Name of holding company (  A.2.12 Is there a holding company that retains some shareholding over some or all of the companies resulting from the unbundling of the original, one or more, vertically integrated national state-owned utilities? If so, when was it established, what stakes does it retain in subsidiary companies and how does it exercise control?  )</t>
  </si>
  <si>
    <t>Is the holding company a state-owned enterprise? (  A.2.12 Is there a holding company that retains some shareholding over some or all of the companies resulting from the unbundling of the original, one or more, vertically integrated national state-owned utilities? If so, when was it established, what stakes does it retain in subsidiary companies and how does it exercise control?  )</t>
  </si>
  <si>
    <t>Year of establishment (  A.2.12 Is there a holding company that retains some shareholding over some or all of the companies resulting from the unbundling of the original, one or more, vertically integrated national state-owned utilities? If so, when was it established, what stakes does it retain in subsidiary companies and how does it exercise control?  )</t>
  </si>
  <si>
    <t>Generation: (  A.2.12 Is there a holding company that retains some shareholding over some or all of the companies resulting from the unbundling of the original, one or more, vertically integrated national state-owned utilities? If so, when was it established, what stakes does it retain in subsidiary companies and how does it exercise control?  )</t>
  </si>
  <si>
    <t>Number of companies  (  A.2.12 Is there a holding company that retains some shareholding over some or all of the companies resulting from the unbundling of the original, one or more, vertically integrated national state-owned utilities? If so, when was it established, what stakes does it retain in subsidiary companies and how does it exercise control?  )</t>
  </si>
  <si>
    <t>Percentage share (  A.2.12 Is there a holding company that retains some shareholding over some or all of the companies resulting from the unbundling of the original, one or more, vertically integrated national state-owned utilities? If so, when was it established, what stakes does it retain in subsidiary companies and how does it exercise control?  )</t>
  </si>
  <si>
    <t>Transmission: (  A.2.12 Is there a holding company that retains some shareholding over some or all of the companies resulting from the unbundling of the original, one or more, vertically integrated national state-owned utilities? If so, when was it established, what stakes does it retain in subsidiary companies and how does it exercise control?  )</t>
  </si>
  <si>
    <t>Number of companies (  A.2.12 Is there a holding company that retains some shareholding over some or all of the companies resulting from the unbundling of the original, one or more, vertically integrated national state-owned utilities? If so, when was it established, what stakes does it retain in subsidiary companies and how does it exercise control?  )</t>
  </si>
  <si>
    <t>Distribution: (  A.2.12 Is there a holding company that retains some shareholding over some or all of the companies resulting from the unbundling of the original, one or more, vertically integrated national state-owned utilities? If so, when was it established, what stakes does it retain in subsidiary companies and how does it exercise control?  )</t>
  </si>
  <si>
    <t xml:space="preserve"> nomination of subsidiary board members (  A.2.12 Is there a holding company that retains some shareholding over some or all of the companies resulting from the unbundling of the original, one or more, vertically integrated national state-owned utilities? If so, when was it established, what stakes does it retain in subsidiary companies and how does it exercise control?  )</t>
  </si>
  <si>
    <t xml:space="preserve"> control of subsidiary budgets (  A.2.12 Is there a holding company that retains some shareholding over some or all of the companies resulting from the unbundling of the original, one or more, vertically integrated national state-owned utilities? If so, when was it established, what stakes does it retain in subsidiary companies and how does it exercise control?  )</t>
  </si>
  <si>
    <t xml:space="preserve"> control of subsidiary investment decisions (  A.2.12 Is there a holding company that retains some shareholding over some or all of the companies resulting from the unbundling of the original, one or more, vertically integrated national state-owned utilities? If so, when was it established, what stakes does it retain in subsidiary companies and how does it exercise control?  )</t>
  </si>
  <si>
    <t xml:space="preserve"> performance contracts (  A.2.12 Is there a holding company that retains some shareholding over some or all of the companies resulting from the unbundling of the original, one or more, vertically integrated national state-owned utilities? If so, when was it established, what stakes does it retain in subsidiary companies and how does it exercise control?  )</t>
  </si>
  <si>
    <t xml:space="preserve"> approval of human resource decisions (  A.2.12 Is there a holding company that retains some shareholding over some or all of the companies resulting from the unbundling of the original, one or more, vertically integrated national state-owned utilities? If so, when was it established, what stakes does it retain in subsidiary companies and how does it exercise control?  )</t>
  </si>
  <si>
    <t xml:space="preserve"> others (please specify).  (  A.2.12 Is there a holding company that retains some shareholding over some or all of the companies resulting from the unbundling of the original, one or more, vertically integrated national state-owned utilities? If so, when was it established, what stakes does it retain in subsidiary companies and how does it exercise control?  )</t>
  </si>
  <si>
    <t xml:space="preserve"> (  A.2.13 Please provide a short text narrative of no more than 500 words describing how the issue of vertical and horizontal unbundling has been treated in your country. The narrative should highlight the drivers that led to unbundling, the way in which it was implemented, any challenges encountered along the way, and the outcomes of the unbundling process. The story should also cover any subsequent reversal of unbundling through horizontal or vertical re-integration of the sector. Where unbundling has not taken place, the narrative should clarify whether it was ever considered or attempted and the reasons for not doing so. The narrative should also highlight any declared intentions to pursue unbundling in the future. The narrative should highlight any distinctive aspects of your country’s experience that are not well captured in the questionnaire.  )</t>
  </si>
  <si>
    <t>Total PSP</t>
  </si>
  <si>
    <t>% generation in pvt hands</t>
  </si>
  <si>
    <t>Distribution ratio</t>
  </si>
  <si>
    <t>Divestiture score for generation</t>
  </si>
  <si>
    <t>Number of projects in generation (including cancelled)</t>
  </si>
  <si>
    <t>No of Partial Divestiture</t>
  </si>
  <si>
    <t>No of Full Divestiture</t>
  </si>
  <si>
    <t>Divestiture score for distribution</t>
  </si>
  <si>
    <t>Number of projects in distribution (including cancelled)</t>
  </si>
  <si>
    <t>Divestiture score for transmission</t>
  </si>
  <si>
    <t>Number of projects in Transmission (including cancelled)</t>
  </si>
  <si>
    <t>PSP score for generation</t>
  </si>
  <si>
    <t>Number of projects (Includes cancelled)</t>
  </si>
  <si>
    <t>Service contracts</t>
  </si>
  <si>
    <t>Management contracts</t>
  </si>
  <si>
    <t>Affermage or lease contracts</t>
  </si>
  <si>
    <t>Concession contracts</t>
  </si>
  <si>
    <t>BOT projects</t>
  </si>
  <si>
    <t>PPA for IPPs</t>
  </si>
  <si>
    <t>Merchant</t>
  </si>
  <si>
    <t>Rentals</t>
  </si>
  <si>
    <t>PSP score for distribution</t>
  </si>
  <si>
    <t>Rental</t>
  </si>
  <si>
    <t>PSP score for transmission</t>
  </si>
  <si>
    <t xml:space="preserve">All kind of BOO, BLT, BOT etc are given 1 </t>
  </si>
  <si>
    <t>ROT, RLT are taken as concession</t>
  </si>
  <si>
    <t>Merchant contracts given 1</t>
  </si>
  <si>
    <t>Rental ignored</t>
  </si>
  <si>
    <t>Management contracts should be taken as over if it is done</t>
  </si>
  <si>
    <t>NORMATIVE INDICATORS</t>
  </si>
  <si>
    <t>Planning &amp; Procurement</t>
  </si>
  <si>
    <t>=AVG(C5,C15,C30)</t>
  </si>
  <si>
    <t>Generation planning</t>
  </si>
  <si>
    <t>=C7</t>
  </si>
  <si>
    <t>=AVG(C8:C11)</t>
  </si>
  <si>
    <t>A 4.5</t>
  </si>
  <si>
    <t>Does the country have a generation master plan?</t>
  </si>
  <si>
    <t>=1 (Yes); 0=(No)</t>
  </si>
  <si>
    <t>A.4.2</t>
  </si>
  <si>
    <t>A.4.3</t>
  </si>
  <si>
    <t>A.4.6</t>
  </si>
  <si>
    <t>=1(Mandatory); = 0 (Indicative)</t>
  </si>
  <si>
    <t>NAP</t>
  </si>
  <si>
    <t>A.4.6.i</t>
  </si>
  <si>
    <t>Does the plan lead to timely lead to timely initiation of power procurement to minimize the possibility of power shortages?</t>
  </si>
  <si>
    <t>= 1(Yes); =0(No)</t>
  </si>
  <si>
    <t>A.4.7</t>
  </si>
  <si>
    <t>Procurement of generation plant</t>
  </si>
  <si>
    <t>=AVERAGE(C16,C20)</t>
  </si>
  <si>
    <t>=C16</t>
  </si>
  <si>
    <t>A.4.9</t>
  </si>
  <si>
    <t>A.4.10</t>
  </si>
  <si>
    <t>Which of the procurement methods for entry of new generation plants or contracts are allowed for regulated power companies?</t>
  </si>
  <si>
    <t>=1 (YES); =0 (NO) 1 for ICT or PA</t>
  </si>
  <si>
    <t>A.4.13</t>
  </si>
  <si>
    <t>A.4.19</t>
  </si>
  <si>
    <t>=1 (YES); =0 (NO) Only scored if A.4.13 is Yes</t>
  </si>
  <si>
    <t>A.4.20</t>
  </si>
  <si>
    <t>A.4.21</t>
  </si>
  <si>
    <t>A.4.22</t>
  </si>
  <si>
    <t>=0 (YES); =1 (NO) Only scored if A.4.13 is Yes</t>
  </si>
  <si>
    <t>A.4.24</t>
  </si>
  <si>
    <t>Transmission planning</t>
  </si>
  <si>
    <t>=C31</t>
  </si>
  <si>
    <t>=AVG(C32:C36)</t>
  </si>
  <si>
    <t xml:space="preserve">A.4.27 </t>
  </si>
  <si>
    <t>A.4.30</t>
  </si>
  <si>
    <t>A.4.32</t>
  </si>
  <si>
    <t>Mandatory</t>
  </si>
  <si>
    <t>Indicative</t>
  </si>
  <si>
    <t xml:space="preserve">A.4.34 </t>
  </si>
  <si>
    <t>A.4.33</t>
  </si>
  <si>
    <t>A.4.36</t>
  </si>
  <si>
    <t>Yes=1</t>
  </si>
  <si>
    <t>Yes=.66</t>
  </si>
  <si>
    <t>Yes=.33</t>
  </si>
  <si>
    <t>A.4.1</t>
  </si>
  <si>
    <t>Respond: (  A.4.1 Does your country participate in a regional power generation master plan? If so, what years does it cover?  )</t>
  </si>
  <si>
    <t>Name of plan: (  A.4.1 Does your country participate in a regional power generation master plan? If so, what years does it cover?  )</t>
  </si>
  <si>
    <t>Years covered by plan (  A.4.1 Does your country participate in a regional power generation master plan? If so, what years does it cover?  )</t>
  </si>
  <si>
    <t>Name of plan: (  A.4.2 Does your country have an overall energy plan covering all types of energy (i.e. electricity, fuels, etc.)? If so, what years does it cover?  )</t>
  </si>
  <si>
    <t>Years covered by plan (  A.4.2 Does your country have an overall energy plan covering all types of energy (i.e. electricity, fuels, etc.)? If so, what years does it cover?  )</t>
  </si>
  <si>
    <t>Name: (  A.4.3 Does your country have a clearly identified entity with functional responsibility and technical competence to produce a power generation master plan?  )</t>
  </si>
  <si>
    <t>Year of establishment (  A.4.3 Does your country have a clearly identified entity with functional responsibility and technical competence to produce a power generation master plan?  )</t>
  </si>
  <si>
    <t>Independent free-standing agency entity within the line ministry entity (  A.4.3 Does your country have a clearly identified entity with functional responsibility and technical competence to produce a power generation master plan?  )</t>
  </si>
  <si>
    <t xml:space="preserve"> within the utility clarifying which utility (  A.4.3 Does your country have a clearly identified entity with functional responsibility and technical competence to produce a power generation master plan?  )</t>
  </si>
  <si>
    <t>Entity within the regulator (  A.4.3 Does your country have a clearly identified entity with functional responsibility and technical competence to produce a power generation master plan?  )</t>
  </si>
  <si>
    <t>Other (please specify) (  A.4.3 Does your country have a clearly identified entity with functional responsibility and technical competence to produce a power generation master plan?  )</t>
  </si>
  <si>
    <t>A.4.4</t>
  </si>
  <si>
    <t>List name of tools currently in use  (  A.4.4 What kind of power generation system planning tools are in usage?  )</t>
  </si>
  <si>
    <t>Briefly describe the properties of the tools (e.g. whether these simulate economic dispatch; are hourly or Load-Duration-Curve-based; consider scenarios for dealing with uncertainty) (  A.4.4 What kind of power generation system planning tools are in usage?  )</t>
  </si>
  <si>
    <t>A.4.5</t>
  </si>
  <si>
    <t>Date (month and year) of last plan (  A.4.5 How frequently are power generation system plans produced and updated?  )</t>
  </si>
  <si>
    <t>Month (  A.4.5 How frequently are power generation system plans produced and updated?  )</t>
  </si>
  <si>
    <t>Year (  A.4.5 How frequently are power generation system plans produced and updated?  )</t>
  </si>
  <si>
    <t>Expected date of next plan (  A.4.5 How frequently are power generation system plans produced and updated?  )</t>
  </si>
  <si>
    <t>Established frequency of plans (  A.4.5 How frequently are power generation system plans produced and updated?  )</t>
  </si>
  <si>
    <t>If mandatory, specify how implementation is organized (  A.4.6 Is the power generation system plan mandatory or indicative?  )</t>
  </si>
  <si>
    <t>If indicative, specify how entry of new generation takes place (  A.4.6 Is the power generation system plan mandatory or indicative?  )</t>
  </si>
  <si>
    <t>Respond: (  A.4.6 i) Does the power generation plan generally lead to the TIMELY initiation of power procurement to minimize the possibility of power shortages?  )</t>
  </si>
  <si>
    <t>If yes, provide details (  A.4.6 i) Does the power generation plan generally lead to the TIMELY initiation of power procurement to minimize the possibility of power shortages?  )</t>
  </si>
  <si>
    <t>A.4.8</t>
  </si>
  <si>
    <t>Respond: (  A.4.8 Is the generation plan subject to approval?  )</t>
  </si>
  <si>
    <t>Tick any option that applies: (  A.4.8 Is the generation plan subject to approval?  )</t>
  </si>
  <si>
    <t>Regulator (  A.4.8 Is the generation plan subject to approval?  )</t>
  </si>
  <si>
    <t>Ministry (  A.4.8 Is the generation plan subject to approval?  )</t>
  </si>
  <si>
    <t>System Operator (  A.4.8 Is the generation plan subject to approval?  )</t>
  </si>
  <si>
    <t>Other (please specify) (  A.4.8 Is the generation plan subject to approval?  )</t>
  </si>
  <si>
    <t>Year (  A.4.9 Is there is a framework for procurement of new power generation plant? If so, when was it established?  )</t>
  </si>
  <si>
    <t>Number of times it has been applied (  A.4.9 Is there is a framework for procurement of new power generation plant? If so, when was it established?  )</t>
  </si>
  <si>
    <t>Unsolicited bids (  A.4.10 Which of the following procurement methods for entry of new generation plants or contracts are allowed for regulated power companies?  )</t>
  </si>
  <si>
    <t>Direct negotiation (  A.4.10 Which of the following procurement methods for entry of new generation plants or contracts are allowed for regulated power companies?  )</t>
  </si>
  <si>
    <t>International competitive tendering (  A.4.10 Which of the following procurement methods for entry of new generation plants or contracts are allowed for regulated power companies?  )</t>
  </si>
  <si>
    <t xml:space="preserve"> public auctions (  A.4.10 Which of the following procurement methods for entry of new generation plants or contracts are allowed for regulated power companies?  )</t>
  </si>
  <si>
    <t>Stand-alone capacity market (  A.4.10 Which of the following procurement methods for entry of new generation plants or contracts are allowed for regulated power companies?  )</t>
  </si>
  <si>
    <t>Other (please specify) (  A.4.10 Which of the following procurement methods for entry of new generation plants or contracts are allowed for regulated power companies?  )</t>
  </si>
  <si>
    <t>A.4.11</t>
  </si>
  <si>
    <t>Unsolicited bids (  A.4.11 Which procurement methods for new entry of generation are used by regulated power companies in your country?  )</t>
  </si>
  <si>
    <t>Direct negotiation (  A.4.11 Which procurement methods for new entry of generation are used by regulated power companies in your country?  )</t>
  </si>
  <si>
    <t>Competitive tendering (  A.4.11 Which procurement methods for new entry of generation are used by regulated power companies in your country?  )</t>
  </si>
  <si>
    <t>Public auctions (  A.4.11 Which procurement methods for new entry of generation are used by regulated power companies in your country?  )</t>
  </si>
  <si>
    <t>Stand-alone capacity market (  A.4.11 Which procurement methods for new entry of generation are used by regulated power companies in your country?  )</t>
  </si>
  <si>
    <t>Other (please specify) (  A.4.11 Which procurement methods for new entry of generation are used by regulated power companies in your country?  )</t>
  </si>
  <si>
    <t>A.4.12</t>
  </si>
  <si>
    <t>Capacity (  A.4.12 Please provide the following information for each of the last five large scale (&gt;10MW) grid-connected power generation plants procured in your country?   )</t>
  </si>
  <si>
    <t>Technology (  A.4.12 Please provide the following information for each of the last five large scale (&gt;10MW) grid-connected power generation plants procured in your country?   )</t>
  </si>
  <si>
    <t>Name of owner/operator (  A.4.12 Please provide the following information for each of the last five large scale (&gt;10MW) grid-connected power generation plants procured in your country?   )</t>
  </si>
  <si>
    <t>Type of owner/operator: (  A.4.12 Please provide the following information for each of the last five large scale (&gt;10MW) grid-connected power generation plants procured in your country?   )</t>
  </si>
  <si>
    <t>State-owned  (  A.4.12 Please provide the following information for each of the last five large scale (&gt;10MW) grid-connected power generation plants procured in your country?   )</t>
  </si>
  <si>
    <t>Private-sector non-IPP (  A.4.12 Please provide the following information for each of the last five large scale (&gt;10MW) grid-connected power generation plants procured in your country?   )</t>
  </si>
  <si>
    <t>IPP  (  A.4.12 Please provide the following information for each of the last five large scale (&gt;10MW) grid-connected power generation plants procured in your country?   )</t>
  </si>
  <si>
    <t>Other (  A.4.12 Please provide the following information for each of the last five large scale (&gt;10MW) grid-connected power generation plants procured in your country?   )</t>
  </si>
  <si>
    <t>Contracting date (month and year) (  A.4.12 Please provide the following information for each of the last five large scale (&gt;10MW) grid-connected power generation plants procured in your country?   )</t>
  </si>
  <si>
    <t>Month (number) (  A.4.12 Please provide the following information for each of the last five large scale (&gt;10MW) grid-connected power generation plants procured in your country?   )</t>
  </si>
  <si>
    <t>Year (  A.4.12 Please provide the following information for each of the last five large scale (&gt;10MW) grid-connected power generation plants procured in your country?   )</t>
  </si>
  <si>
    <t>Commissioning date (month and year. Write “planned” prior to date if not yet commissioned) (  A.4.12 Please provide the following information for each of the last five large scale (&gt;10MW) grid-connected power generation plants procured in your country?   )</t>
  </si>
  <si>
    <t>Tick any option that applies regarding the procurement method that was used: (  A.4.12 Please provide the following information for each of the last five large scale (&gt;10MW) grid-connected power generation plants procured in your country?   )</t>
  </si>
  <si>
    <t>Unsolicited bid (  A.4.12 Please provide the following information for each of the last five large scale (&gt;10MW) grid-connected power generation plants procured in your country?   )</t>
  </si>
  <si>
    <t>Direct negotiation (  A.4.12 Please provide the following information for each of the last five large scale (&gt;10MW) grid-connected power generation plants procured in your country?   )</t>
  </si>
  <si>
    <t>Competitive tendering (  A.4.12 Please provide the following information for each of the last five large scale (&gt;10MW) grid-connected power generation plants procured in your country?   )</t>
  </si>
  <si>
    <t>Public auction (  A.4.12 Please provide the following information for each of the last five large scale (&gt;10MW) grid-connected power generation plants procured in your country?   )</t>
  </si>
  <si>
    <t>Self-build (  A.4.12 Please provide the following information for each of the last five large scale (&gt;10MW) grid-connected power generation plants procured in your country?   )</t>
  </si>
  <si>
    <t>Other (please specify). (  A.4.12 Please provide the following information for each of the last five large scale (&gt;10MW) grid-connected power generation plants procured in your country?   )</t>
  </si>
  <si>
    <t>Was the plant was included in the least cost generation expansion plan:  (  A.4.12 Please provide the following information for each of the last five large scale (&gt;10MW) grid-connected power generation plants procured in your country?   )</t>
  </si>
  <si>
    <t>Tick any options that may apply regarding the frequency of auctions: (  A.4.13 Does the country have public auctions for power generation? If so how often do they take place and what products are procured in supply auctions?   )</t>
  </si>
  <si>
    <t>One-off (  A.4.13 Does the country have public auctions for power generation? If so how often do they take place and what products are procured in supply auctions?   )</t>
  </si>
  <si>
    <t>Regularly every year (  A.4.13 Does the country have public auctions for power generation? If so how often do they take place and what products are procured in supply auctions?   )</t>
  </si>
  <si>
    <t>Regularly every few years (  A.4.13 Does the country have public auctions for power generation? If so how often do they take place and what products are procured in supply auctions?   )</t>
  </si>
  <si>
    <t>Other (please specify) (  A.4.13 Does the country have public auctions for power generation? If so how often do they take place and what products are procured in supply auctions?   )</t>
  </si>
  <si>
    <t>Tick any options that may apply regarding the products offered in auctions: (  A.4.13 Does the country have public auctions for power generation? If so how often do they take place and what products are procured in supply auctions?   )</t>
  </si>
  <si>
    <t>Power Purchase Agreements (  A.4.13 Does the country have public auctions for power generation? If so how often do they take place and what products are procured in supply auctions?   )</t>
  </si>
  <si>
    <t>Energy contracts (  A.4.13 Does the country have public auctions for power generation? If so how often do they take place and what products are procured in supply auctions?   )</t>
  </si>
  <si>
    <t>Capacity contracts (  A.4.13 Does the country have public auctions for power generation? If so how often do they take place and what products are procured in supply auctions?   )</t>
  </si>
  <si>
    <t>Concessions of power plants (  A.4.13 Does the country have public auctions for power generation? If so how often do they take place and what products are procured in supply auctions?   )</t>
  </si>
  <si>
    <t>CO2 emission allowances (  A.4.13 Does the country have public auctions for power generation? If so how often do they take place and what products are procured in supply auctions?   )</t>
  </si>
  <si>
    <t>A.4.14</t>
  </si>
  <si>
    <t>Tick any option that applies: (  A.4.14 What is the time horizon of the auctions?   )</t>
  </si>
  <si>
    <t>Less than a year (  A.4.14 What is the time horizon of the auctions?   )</t>
  </si>
  <si>
    <t>1-3 years (  A.4.14 What is the time horizon of the auctions?   )</t>
  </si>
  <si>
    <t>5 years (  A.4.14 What is the time horizon of the auctions?   )</t>
  </si>
  <si>
    <t>A decade (  A.4.14 What is the time horizon of the auctions?   )</t>
  </si>
  <si>
    <t>Over a decade. (  A.4.14 What is the time horizon of the auctions?   )</t>
  </si>
  <si>
    <t>A.4.15</t>
  </si>
  <si>
    <t>Tick any option that applies: (  A.4.15 What auction scheme has been adopted?  )</t>
  </si>
  <si>
    <t>Single-buyer (  A.4.15 What auction scheme has been adopted?  )</t>
  </si>
  <si>
    <t>Centralized process and volume definition (  A.4.15 What auction scheme has been adopted?  )</t>
  </si>
  <si>
    <t>Centralized process and distributed volume definition (  A.4.15 What auction scheme has been adopted?  )</t>
  </si>
  <si>
    <t>Distributed processes and volume definition (  A.4.15 What auction scheme has been adopted?  )</t>
  </si>
  <si>
    <t>A.4.16</t>
  </si>
  <si>
    <t>Tick any option that applies: (  A.4.16 What is the specificity level of the auction?   )</t>
  </si>
  <si>
    <t>Project-specific (  A.4.16 What is the specificity level of the auction?   )</t>
  </si>
  <si>
    <t>Technology specific (e.g. renewables) (  A.4.16 What is the specificity level of the auction?   )</t>
  </si>
  <si>
    <t>All technologies (  A.4.16 What is the specificity level of the auction?   )</t>
  </si>
  <si>
    <t>Demand resources (  A.4.16 What is the specificity level of the auction?   )</t>
  </si>
  <si>
    <t>Other (please specify) (  A.4.16 What is the specificity level of the auction?   )</t>
  </si>
  <si>
    <t>A.4.17</t>
  </si>
  <si>
    <t>Existing plants (  A.4.17 Which kinds of plants are eligible to compete in capacity auctions?  )</t>
  </si>
  <si>
    <t>Plants under construction (  A.4.17 Which kinds of plants are eligible to compete in capacity auctions?  )</t>
  </si>
  <si>
    <t>Greenfield plants (  A.4.17 Which kinds of plants are eligible to compete in capacity auctions?  )</t>
  </si>
  <si>
    <t>A.4.18</t>
  </si>
  <si>
    <t>Ministry (  A.4.18 What entity is responsible for developing and managing the auction?  )</t>
  </si>
  <si>
    <t>Regulator (  A.4.18 What entity is responsible for developing and managing the auction?  )</t>
  </si>
  <si>
    <t>System operator (  A.4.18 What entity is responsible for developing and managing the auction?  )</t>
  </si>
  <si>
    <t>Distributor (  A.4.18 What entity is responsible for developing and managing the auction?  )</t>
  </si>
  <si>
    <t>Other (please specify) (  A.4.18 What entity is responsible for developing and managing the auction?  )</t>
  </si>
  <si>
    <t>Do the auctions include standard, non-negotiable contracts? (  A.4.21 Are there guarantees and penalties to ensure timely project completion?   )</t>
  </si>
  <si>
    <t>Tick the kinds of standard contracts that are part of the auction: (  A.4.21 Are there guarantees and penalties to ensure timely project completion?   )</t>
  </si>
  <si>
    <t>Power Purchase Agreement (  A.4.21 Are there guarantees and penalties to ensure timely project completion?   )</t>
  </si>
  <si>
    <t>Implementation Agreement (  A.4.21 Are there guarantees and penalties to ensure timely project completion?   )</t>
  </si>
  <si>
    <t>Direct Agreements (with lenders) (  A.4.21 Are there guarantees and penalties to ensure timely project completion?   )</t>
  </si>
  <si>
    <t>Connection Agreements. (  A.4.21 Are there guarantees and penalties to ensure timely project completion?   )</t>
  </si>
  <si>
    <t>Do the auctions include stapled financing terms or risk mitigation instruments? (  A.4.21 Are there guarantees and penalties to ensure timely project completion?   )</t>
  </si>
  <si>
    <t>Tick any options available: (  A.4.21 Are there guarantees and penalties to ensure timely project completion?   )</t>
  </si>
  <si>
    <t xml:space="preserve"> concessionary finance (  A.4.21 Are there guarantees and penalties to ensure timely project completion?   )</t>
  </si>
  <si>
    <t>Sovereign guarantees (  A.4.21 Are there guarantees and penalties to ensure timely project completion?   )</t>
  </si>
  <si>
    <t>Letter of credit (  A.4.21 Are there guarantees and penalties to ensure timely project completion?   )</t>
  </si>
  <si>
    <t>Particle risk guarantees (  A.4.21 Are there guarantees and penalties to ensure timely project completion?   )</t>
  </si>
  <si>
    <t>Political risk insurance (  A.4.21 Are there guarantees and penalties to ensure timely project completion?   )</t>
  </si>
  <si>
    <t>Other (Specify) (  A.4.21 Are there guarantees and penalties to ensure timely project completion?   )</t>
  </si>
  <si>
    <t>A.4.23</t>
  </si>
  <si>
    <t>Tick any option that applies: (  A.4.23 What is the design of the auction?  )</t>
  </si>
  <si>
    <t>Sealed-bid (  A.4.23 What is the design of the auction?  )</t>
  </si>
  <si>
    <t>Descending clock (  A.4.23 What is the design of the auction?  )</t>
  </si>
  <si>
    <t>Hybrid (  A.4.23 What is the design of the auction?  )</t>
  </si>
  <si>
    <t>Other (please specify) (  A.4.23 What is the design of the auction?  )</t>
  </si>
  <si>
    <t>A.4.25 i) Auction 1  )</t>
  </si>
  <si>
    <t>Number of bids received (  A.4.25 i) Auction 1  )</t>
  </si>
  <si>
    <t>Number of bids accepted (  A.4.25 i) Auction 1  )</t>
  </si>
  <si>
    <t>A.4.25 ii) Auction 2  )</t>
  </si>
  <si>
    <t>Number of bids received (  A.4.25 ii) Auction 2  )</t>
  </si>
  <si>
    <t>Number of bids accepted (  A.4.25 ii) Auction 2  )</t>
  </si>
  <si>
    <t>A.4.25 iii) Auction 3  )</t>
  </si>
  <si>
    <t>Number of bids received (  A.4.25 iii) Auction 3  )</t>
  </si>
  <si>
    <t>Number of bids accepted (  A.4.25 iii) Auction 3  )</t>
  </si>
  <si>
    <t>A.4.25 iv) Auction 4  )</t>
  </si>
  <si>
    <t>Number of bids received (  A.4.25 iv) Auction 4  )</t>
  </si>
  <si>
    <t>Number of bids accepted (  A.4.25 iv) Auction 4  )</t>
  </si>
  <si>
    <t>A.4.25 v) Auction 5  )</t>
  </si>
  <si>
    <t>Number of bids received (  A.4.25 v) Auction 5  )</t>
  </si>
  <si>
    <t>Number of bids accepted (  A.4.25 v) Auction 5  )</t>
  </si>
  <si>
    <t>A.4.26</t>
  </si>
  <si>
    <t>Respond: (  A.4.26 Have any preferred auction bidders not reached financial close or COD?  )</t>
  </si>
  <si>
    <t>How many projects? (  A.4.26 Have any preferred auction bidders not reached financial close or COD?  )</t>
  </si>
  <si>
    <t>A.4.27</t>
  </si>
  <si>
    <t>If yes, (  A.4.27 Does your country have a clearly identified entity with functional responsibility and technical competence to conduct a power transmission master plan?  )</t>
  </si>
  <si>
    <t>Name: (  A.4.27 Does your country have a clearly identified entity with functional responsibility and technical competence to conduct a power transmission master plan?  )</t>
  </si>
  <si>
    <t>Year of establishment (  A.4.27 Does your country have a clearly identified entity with functional responsibility and technical competence to conduct a power transmission master plan?  )</t>
  </si>
  <si>
    <t>Tick any option that applies regarding the type of entity: (  A.4.27 Does your country have a clearly identified entity with functional responsibility and technical competence to conduct a power transmission master plan?  )</t>
  </si>
  <si>
    <t>Independent free-standing agency (  A.4.27 Does your country have a clearly identified entity with functional responsibility and technical competence to conduct a power transmission master plan?  )</t>
  </si>
  <si>
    <t>Entity within the line ministry (  A.4.27 Does your country have a clearly identified entity with functional responsibility and technical competence to conduct a power transmission master plan?  )</t>
  </si>
  <si>
    <t>Entity within the utility clarifying which utility (  A.4.27 Does your country have a clearly identified entity with functional responsibility and technical competence to conduct a power transmission master plan?  )</t>
  </si>
  <si>
    <t>Entity within the regulator (  A.4.27 Does your country have a clearly identified entity with functional responsibility and technical competence to conduct a power transmission master plan?  )</t>
  </si>
  <si>
    <t>Other (please specify)  (  A.4.27 Does your country have a clearly identified entity with functional responsibility and technical competence to conduct a power transmission master plan?  )</t>
  </si>
  <si>
    <t>A.4.28</t>
  </si>
  <si>
    <t>Respond: (  A.4.28 Does your country participate in a regional master plan for electricity transmission? If so, what years does it cover?  )</t>
  </si>
  <si>
    <t>Name: (  A.4.28 Does your country participate in a regional master plan for electricity transmission? If so, what years does it cover?  )</t>
  </si>
  <si>
    <t>Years  (  A.4.28 Does your country participate in a regional master plan for electricity transmission? If so, what years does it cover?  )</t>
  </si>
  <si>
    <t>A.4.29</t>
  </si>
  <si>
    <t>List name of tools currently in use  (  A.4.29 What kind of power transmission system planning tools are in usage?  )</t>
  </si>
  <si>
    <t>Briefly describe the properties of these tools (e.g. LDC or hourly based dispatch; automated planning; GIS systems; types of expansions assessed) (  A.4.29 What kind of power transmission system planning tools are in usage?  )</t>
  </si>
  <si>
    <t>A.4.31</t>
  </si>
  <si>
    <t>Date (month and year) of last plan (  A.4.31 How frequently are power transmission system plans produced and updated?  )</t>
  </si>
  <si>
    <t>Month (number) (  A.4.31 How frequently are power transmission system plans produced and updated?  )</t>
  </si>
  <si>
    <t>Year (  A.4.31 How frequently are power transmission system plans produced and updated?  )</t>
  </si>
  <si>
    <t>Expected date (month and year) of next plan (  A.4.31 How frequently are power transmission system plans produced and updated?  )</t>
  </si>
  <si>
    <t>Established frequency of plans (  A.4.31 How frequently are power transmission system plans produced and updated?  )</t>
  </si>
  <si>
    <t>Mandatory/Indicative (  A.4.32 Is the power transmission system plan mandatory or indicative?  )</t>
  </si>
  <si>
    <t>A.4.35</t>
  </si>
  <si>
    <t>Respond: (  A.4.35 Is the transmission plan subject to approval?  )</t>
  </si>
  <si>
    <t>Tick any option that applies: (  A.4.35 Is the transmission plan subject to approval?  )</t>
  </si>
  <si>
    <t>Regulator (  A.4.35 Is the transmission plan subject to approval?  )</t>
  </si>
  <si>
    <t>Ministry (  A.4.35 Is the transmission plan subject to approval?  )</t>
  </si>
  <si>
    <t>Board of Directors (  A.4.35 Is the transmission plan subject to approval?  )</t>
  </si>
  <si>
    <t>Market participants (  A.4.35 Is the transmission plan subject to approval?  )</t>
  </si>
  <si>
    <t>Other (please specify) (  A.4.35 Is the transmission plan subject to approval?  )</t>
  </si>
  <si>
    <t>A.4.38</t>
  </si>
  <si>
    <t xml:space="preserve"> (  A.4.38 Please provide a short text narrative of no more than 500 words describing how the issue of generation and transmission planning and associated procurement of projects has been treated in your country. The narrative should highlight the extent of a planning culture in the country, the degree of competence of planning activities, reliance or not on outside consultants, the nature of planning methodologies, the nature of project procurement processes, and the extent to which they are heeded and implemented in practice (i.e. whether they are explicitly linked to the timely initiation of procurement). Also consider whether planning is effectively integrated along the energy supply chain (generation, transmission and load), and whether it considers cross-sectoral planning issues (such as electricity and fuels, or electricity and large industrial consumers). Where planning may not be well established, the narrative should clarify whether it has ever been considered or attempted or what factors account for its absence. The narrative should also highlight any declared intentions to either introduce planning or amend current planning arrangements in the future. The narrative should highlight any distinctive aspects of your country’s experience that are not well captured in the questionnaire.  )</t>
  </si>
  <si>
    <t>Partially through competitive tendering and others through award to the incumbent transmission company (POWERGRID).</t>
  </si>
  <si>
    <t>Partially through competitive tendering and others through award to the incumbent transmission company (POWERGRID)</t>
  </si>
  <si>
    <t>Scoring</t>
  </si>
  <si>
    <t>Source: (WEPP)</t>
  </si>
  <si>
    <t>Weighted average</t>
  </si>
  <si>
    <t>Divestiture</t>
  </si>
  <si>
    <t>Weighted average(Divestitures and  PSP)</t>
  </si>
  <si>
    <t>Transmission ratio (based on how much the transmission project with pvt sector involvement covers the total grid)</t>
  </si>
  <si>
    <t xml:space="preserve">PSP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</si>
</sst>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2"/>
      <color theme="1"/>
      <name val="Calibri"/>
      <family val="2"/>
      <scheme val="minor"/>
    </font>
    <font>
      <i/>
      <sz val="10"/>
      <color theme="1"/>
      <name val="Calibri"/>
      <family val="2"/>
      <scheme val="minor"/>
    </font>
    <font>
      <i/>
      <sz val="11"/>
      <color theme="1"/>
      <name val="Calibri"/>
      <family val="2"/>
      <scheme val="minor"/>
    </font>
    <font>
      <b/>
      <sz val="14"/>
      <color theme="1"/>
      <name val="Calibri"/>
      <family val="2"/>
      <scheme val="minor"/>
    </font>
    <font>
      <b/>
      <sz val="12"/>
      <color rgb="FF538135"/>
      <name val="Calibri"/>
      <family val="2"/>
      <scheme val="minor"/>
    </font>
    <font>
      <sz val="11"/>
      <name val="Calibri"/>
      <family val="2"/>
      <scheme val="minor"/>
    </font>
    <font>
      <sz val="11"/>
      <color theme="9" tint="-0.499984740745262"/>
      <name val="Calibri"/>
      <family val="2"/>
      <scheme val="minor"/>
    </font>
    <font>
      <i/>
      <sz val="11"/>
      <name val="Calibri"/>
      <family val="2"/>
      <scheme val="minor"/>
    </font>
    <font>
      <sz val="11"/>
      <color theme="9" tint="-0.249977111117893"/>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49">
    <xf numFmtId="0" fontId="0" fillId="0" borderId="0" xfId="0"/>
    <xf numFmtId="9" fontId="0" fillId="0" borderId="0" xfId="1" applyFont="1"/>
    <xf numFmtId="0" fontId="6" fillId="0" borderId="0" xfId="0" applyFont="1"/>
    <xf numFmtId="0" fontId="2" fillId="2" borderId="0" xfId="0" applyFont="1" applyFill="1"/>
    <xf numFmtId="9" fontId="2" fillId="2" borderId="0" xfId="1" applyFont="1" applyFill="1"/>
    <xf numFmtId="0" fontId="3" fillId="0" borderId="0" xfId="0" applyFont="1" applyAlignment="1">
      <alignment horizontal="left" vertical="center"/>
    </xf>
    <xf numFmtId="0" fontId="4" fillId="0" borderId="0" xfId="0" applyFont="1"/>
    <xf numFmtId="0" fontId="0" fillId="0" borderId="0" xfId="0" quotePrefix="1"/>
    <xf numFmtId="2" fontId="0" fillId="0" borderId="0" xfId="0" applyNumberFormat="1"/>
    <xf numFmtId="0" fontId="8" fillId="0" borderId="0" xfId="0" applyFont="1" applyAlignment="1">
      <alignment vertical="center"/>
    </xf>
    <xf numFmtId="0" fontId="3" fillId="2" borderId="0" xfId="0" applyFont="1" applyFill="1"/>
    <xf numFmtId="0" fontId="3" fillId="0" borderId="0" xfId="0" applyFont="1"/>
    <xf numFmtId="0" fontId="0" fillId="0" borderId="0" xfId="0" applyAlignment="1">
      <alignment vertical="center"/>
    </xf>
    <xf numFmtId="0" fontId="2" fillId="0" borderId="0" xfId="0" quotePrefix="1" applyFont="1"/>
    <xf numFmtId="0" fontId="0" fillId="0" borderId="0" xfId="0" applyAlignment="1">
      <alignment horizontal="left" vertical="center"/>
    </xf>
    <xf numFmtId="0" fontId="9" fillId="0" borderId="0" xfId="0" quotePrefix="1" applyFont="1"/>
    <xf numFmtId="0" fontId="9" fillId="0" borderId="0" xfId="0" applyFont="1"/>
    <xf numFmtId="0" fontId="0" fillId="3" borderId="0" xfId="0" applyFill="1"/>
    <xf numFmtId="0" fontId="7" fillId="0" borderId="0" xfId="0" applyFont="1"/>
    <xf numFmtId="0" fontId="10" fillId="0" borderId="0" xfId="0" quotePrefix="1" applyFont="1"/>
    <xf numFmtId="0" fontId="10" fillId="0" borderId="0" xfId="0" applyFont="1"/>
    <xf numFmtId="2" fontId="0" fillId="0" borderId="0" xfId="0" applyNumberFormat="1" applyAlignment="1">
      <alignment horizontal="center"/>
    </xf>
    <xf numFmtId="0" fontId="0" fillId="0" borderId="0" xfId="0" applyAlignment="1">
      <alignment horizontal="center"/>
    </xf>
    <xf numFmtId="0" fontId="3" fillId="0" borderId="0" xfId="0" applyFont="1" applyAlignment="1">
      <alignment vertical="center"/>
    </xf>
    <xf numFmtId="0" fontId="6" fillId="0" borderId="0" xfId="0" applyFont="1" applyAlignment="1">
      <alignment horizontal="left" vertical="center"/>
    </xf>
    <xf numFmtId="0" fontId="0" fillId="0" borderId="0" xfId="0" applyAlignment="1">
      <alignment horizontal="left"/>
    </xf>
    <xf numFmtId="0" fontId="9" fillId="0" borderId="0" xfId="0" applyFont="1" applyAlignment="1">
      <alignment vertical="center"/>
    </xf>
    <xf numFmtId="0" fontId="12" fillId="0" borderId="0" xfId="0" applyFont="1"/>
    <xf numFmtId="0" fontId="0" fillId="0" borderId="0" xfId="0" applyFill="1"/>
    <xf numFmtId="0" fontId="4" fillId="0" borderId="0" xfId="0" applyFont="1" applyFill="1"/>
    <xf numFmtId="0" fontId="3" fillId="0" borderId="0" xfId="0" applyFont="1" applyFill="1"/>
    <xf numFmtId="9" fontId="3" fillId="0" borderId="0" xfId="1" applyFont="1" applyFill="1"/>
    <xf numFmtId="2" fontId="0" fillId="0" borderId="0" xfId="0" applyNumberFormat="1" applyFill="1"/>
    <xf numFmtId="10" fontId="1" fillId="0" borderId="0" xfId="1" applyNumberFormat="1" applyFill="1"/>
    <xf numFmtId="9" fontId="0" fillId="0" borderId="0" xfId="1" applyFont="1" applyFill="1"/>
    <xf numFmtId="1" fontId="0" fillId="0" borderId="0" xfId="0" applyNumberFormat="1" applyFill="1"/>
    <xf numFmtId="0" fontId="5" fillId="0" borderId="0" xfId="0" applyFont="1" applyFill="1" applyAlignment="1">
      <alignment horizontal="center"/>
    </xf>
    <xf numFmtId="0" fontId="5" fillId="0" borderId="0" xfId="0" applyFont="1" applyFill="1"/>
    <xf numFmtId="0" fontId="5" fillId="0" borderId="0" xfId="0" applyFont="1" applyFill="1" applyAlignment="1">
      <alignment horizontal="center" vertical="center"/>
    </xf>
    <xf numFmtId="0" fontId="5" fillId="0" borderId="0" xfId="0" applyFont="1" applyFill="1" applyAlignment="1">
      <alignment horizontal="left" vertical="center"/>
    </xf>
    <xf numFmtId="10" fontId="0" fillId="0" borderId="0" xfId="0" applyNumberFormat="1" applyFill="1"/>
    <xf numFmtId="9" fontId="0" fillId="0" borderId="0" xfId="0" applyNumberFormat="1" applyFill="1"/>
    <xf numFmtId="0" fontId="7" fillId="0" borderId="0" xfId="0" applyFont="1" applyFill="1"/>
    <xf numFmtId="0" fontId="0" fillId="0" borderId="0" xfId="0" quotePrefix="1" applyFill="1"/>
    <xf numFmtId="2" fontId="3" fillId="0" borderId="0" xfId="0" applyNumberFormat="1" applyFont="1" applyFill="1"/>
    <xf numFmtId="2" fontId="0" fillId="0" borderId="0" xfId="0" applyNumberFormat="1" applyFill="1" applyAlignment="1">
      <alignment horizontal="center"/>
    </xf>
    <xf numFmtId="0" fontId="0" fillId="0" borderId="0" xfId="0" applyFill="1" applyAlignment="1">
      <alignment horizontal="center"/>
    </xf>
    <xf numFmtId="0" fontId="3" fillId="0" borderId="0" xfId="0" applyFont="1" applyFill="1" applyAlignment="1">
      <alignment horizontal="center"/>
    </xf>
    <xf numFmtId="0" fontId="11" fillId="0" borderId="0" xfId="0" applyFont="1" applyFill="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09A67-5ED9-4C3A-9379-33BB2763D62B}">
  <dimension ref="A1:U53"/>
  <sheetViews>
    <sheetView tabSelected="1" zoomScale="115" zoomScaleNormal="115" workbookViewId="0">
      <pane xSplit="1" ySplit="2" topLeftCell="F3" activePane="bottomRight" state="frozen"/>
      <selection activeCell="A5" sqref="A5"/>
      <selection pane="topRight" activeCell="A5" sqref="A5"/>
      <selection pane="bottomLeft" activeCell="A5" sqref="A5"/>
      <selection pane="bottomRight" activeCell="A28" sqref="A28"/>
    </sheetView>
  </sheetViews>
  <sheetFormatPr defaultRowHeight="14.5" outlineLevelRow="1" x14ac:dyDescent="0.35"/>
  <cols>
    <col min="1" max="1" width="50.1796875" customWidth="1"/>
    <col min="2" max="18" width="12.54296875" customWidth="1"/>
  </cols>
  <sheetData>
    <row r="1" spans="1:21" ht="15.5" x14ac:dyDescent="0.35">
      <c r="A1" s="28"/>
      <c r="B1" s="29" t="s">
        <v>0</v>
      </c>
      <c r="C1" s="29" t="s">
        <v>1</v>
      </c>
      <c r="D1" s="29" t="s">
        <v>2</v>
      </c>
      <c r="E1" s="29" t="s">
        <v>3</v>
      </c>
      <c r="F1" s="29" t="s">
        <v>4</v>
      </c>
      <c r="G1" s="29" t="s">
        <v>5</v>
      </c>
      <c r="H1" s="29" t="s">
        <v>6</v>
      </c>
      <c r="I1" s="29" t="s">
        <v>7</v>
      </c>
      <c r="J1" s="29" t="s">
        <v>8</v>
      </c>
      <c r="K1" s="29" t="s">
        <v>9</v>
      </c>
      <c r="L1" s="29" t="s">
        <v>10</v>
      </c>
      <c r="M1" s="29" t="s">
        <v>11</v>
      </c>
      <c r="N1" s="29" t="s">
        <v>12</v>
      </c>
      <c r="O1" s="29" t="s">
        <v>13</v>
      </c>
      <c r="P1" s="29" t="s">
        <v>14</v>
      </c>
      <c r="Q1" s="29" t="s">
        <v>15</v>
      </c>
      <c r="R1" s="29" t="s">
        <v>16</v>
      </c>
    </row>
    <row r="2" spans="1:21" x14ac:dyDescent="0.35">
      <c r="A2" s="28"/>
      <c r="B2" s="28"/>
      <c r="C2" s="28"/>
      <c r="D2" s="28"/>
      <c r="E2" s="28"/>
      <c r="F2" s="28"/>
      <c r="G2" s="28"/>
      <c r="H2" s="28"/>
      <c r="I2" s="28"/>
      <c r="J2" s="28"/>
      <c r="K2" s="28"/>
      <c r="L2" s="28"/>
      <c r="M2" s="28"/>
      <c r="N2" s="28"/>
      <c r="O2" s="28"/>
      <c r="P2" s="28"/>
      <c r="Q2" s="28"/>
      <c r="R2" s="28"/>
    </row>
    <row r="3" spans="1:21" x14ac:dyDescent="0.35">
      <c r="A3" s="30" t="s">
        <v>17</v>
      </c>
      <c r="B3" s="31">
        <v>0.35</v>
      </c>
      <c r="C3" s="31">
        <v>0.66666666666666663</v>
      </c>
      <c r="D3" s="31">
        <v>0.3666666666666667</v>
      </c>
      <c r="E3" s="31">
        <v>0.56666666666666665</v>
      </c>
      <c r="F3" s="31">
        <v>0.73333333333333339</v>
      </c>
      <c r="G3" s="31">
        <v>0.56666666666666665</v>
      </c>
      <c r="H3" s="31">
        <v>0.25</v>
      </c>
      <c r="I3" s="31">
        <v>0</v>
      </c>
      <c r="J3" s="31">
        <v>0.73333333333333339</v>
      </c>
      <c r="K3" s="31">
        <v>0.73333333333333339</v>
      </c>
      <c r="L3" s="31">
        <v>1</v>
      </c>
      <c r="M3" s="31">
        <v>0</v>
      </c>
      <c r="N3" s="31">
        <v>0</v>
      </c>
      <c r="O3" s="31">
        <v>0</v>
      </c>
      <c r="P3" s="31">
        <v>0.55000000000000004</v>
      </c>
      <c r="Q3" s="31">
        <v>0.6333333333333333</v>
      </c>
      <c r="R3" s="31">
        <v>0.46666666666666667</v>
      </c>
    </row>
    <row r="4" spans="1:21" x14ac:dyDescent="0.35">
      <c r="A4" s="30" t="s">
        <v>18</v>
      </c>
      <c r="B4" s="32">
        <v>0.7</v>
      </c>
      <c r="C4" s="32">
        <v>1</v>
      </c>
      <c r="D4" s="32">
        <v>0.4</v>
      </c>
      <c r="E4" s="32">
        <v>0.8</v>
      </c>
      <c r="F4" s="32">
        <v>0.8</v>
      </c>
      <c r="G4" s="32">
        <v>0.8</v>
      </c>
      <c r="H4" s="32">
        <v>0.5</v>
      </c>
      <c r="I4" s="32">
        <v>0</v>
      </c>
      <c r="J4" s="32">
        <v>0.8</v>
      </c>
      <c r="K4" s="32">
        <v>0.8</v>
      </c>
      <c r="L4" s="32">
        <v>1</v>
      </c>
      <c r="M4" s="32">
        <v>0</v>
      </c>
      <c r="N4" s="32">
        <v>0</v>
      </c>
      <c r="O4" s="32">
        <v>0</v>
      </c>
      <c r="P4" s="32">
        <v>0.6</v>
      </c>
      <c r="Q4" s="32">
        <v>0.6</v>
      </c>
      <c r="R4" s="32">
        <v>0.6</v>
      </c>
    </row>
    <row r="5" spans="1:21" x14ac:dyDescent="0.35">
      <c r="A5" s="30" t="s">
        <v>19</v>
      </c>
      <c r="B5" s="32">
        <v>0</v>
      </c>
      <c r="C5" s="32">
        <v>0.33333333333333331</v>
      </c>
      <c r="D5" s="32">
        <v>0.33333333333333331</v>
      </c>
      <c r="E5" s="32">
        <v>0.33333333333333331</v>
      </c>
      <c r="F5" s="32">
        <v>0.66666666666666663</v>
      </c>
      <c r="G5" s="32">
        <v>0.33333333333333331</v>
      </c>
      <c r="H5" s="32">
        <v>0</v>
      </c>
      <c r="I5" s="32">
        <v>0</v>
      </c>
      <c r="J5" s="32">
        <v>0.66666666666666663</v>
      </c>
      <c r="K5" s="32">
        <v>0.66666666666666663</v>
      </c>
      <c r="L5" s="32">
        <v>1</v>
      </c>
      <c r="M5" s="32">
        <v>0</v>
      </c>
      <c r="N5" s="32">
        <v>0</v>
      </c>
      <c r="O5" s="32">
        <v>0</v>
      </c>
      <c r="P5" s="32">
        <v>0.5</v>
      </c>
      <c r="Q5" s="32">
        <v>0.66666666666666663</v>
      </c>
      <c r="R5" s="32">
        <v>0.33333333333333331</v>
      </c>
    </row>
    <row r="6" spans="1:21" x14ac:dyDescent="0.35">
      <c r="A6" s="28"/>
      <c r="B6" s="28"/>
      <c r="C6" s="28"/>
      <c r="D6" s="28"/>
      <c r="E6" s="28"/>
      <c r="F6" s="28"/>
      <c r="G6" s="28"/>
      <c r="H6" s="28"/>
      <c r="I6" s="28"/>
      <c r="J6" s="28"/>
      <c r="K6" s="28"/>
      <c r="L6" s="28"/>
      <c r="M6" s="28"/>
      <c r="N6" s="28"/>
      <c r="O6" s="28"/>
      <c r="P6" s="28"/>
      <c r="Q6" s="28"/>
      <c r="R6" s="28"/>
    </row>
    <row r="7" spans="1:21" x14ac:dyDescent="0.35">
      <c r="A7" s="30" t="s">
        <v>20</v>
      </c>
      <c r="B7" s="31">
        <v>0.48708351999999999</v>
      </c>
      <c r="C7" s="31">
        <v>0.18760500000000002</v>
      </c>
      <c r="D7" s="31">
        <v>2.1780000000000001E-2</v>
      </c>
      <c r="E7" s="31">
        <v>0.12870000000000001</v>
      </c>
      <c r="F7" s="31">
        <v>0.207757</v>
      </c>
      <c r="G7" s="31">
        <v>0.13730310000000001</v>
      </c>
      <c r="H7" s="31">
        <v>0.16373823529411763</v>
      </c>
      <c r="I7" s="31">
        <v>0.24720300000000001</v>
      </c>
      <c r="J7" s="31">
        <v>0.18785525</v>
      </c>
      <c r="K7" s="31">
        <v>0.61389398245614046</v>
      </c>
      <c r="L7" s="31">
        <v>0.62409343689320396</v>
      </c>
      <c r="M7" s="31">
        <v>0.11329560000000001</v>
      </c>
      <c r="N7" s="31">
        <v>6.0632000000000005E-2</v>
      </c>
      <c r="O7" s="31">
        <v>3.417333333333334E-2</v>
      </c>
      <c r="P7" s="31">
        <v>0.38283960000000006</v>
      </c>
      <c r="Q7" s="31">
        <v>0.29719616099071211</v>
      </c>
      <c r="R7" s="31">
        <v>0.10346336</v>
      </c>
    </row>
    <row r="8" spans="1:21" x14ac:dyDescent="0.35">
      <c r="A8" s="28" t="s">
        <v>21</v>
      </c>
      <c r="B8" s="33">
        <v>0.6293439999999999</v>
      </c>
      <c r="C8" s="33">
        <v>0.51849999999999996</v>
      </c>
      <c r="D8" s="33">
        <v>6.6000000000000003E-2</v>
      </c>
      <c r="E8" s="33">
        <v>0.39</v>
      </c>
      <c r="F8" s="33">
        <v>0.62956666666666661</v>
      </c>
      <c r="G8" s="33">
        <v>0.39</v>
      </c>
      <c r="H8" s="33">
        <v>0.24617647058823527</v>
      </c>
      <c r="I8" s="33">
        <v>0.53129999999999999</v>
      </c>
      <c r="J8" s="33">
        <v>0.40145833333333331</v>
      </c>
      <c r="K8" s="33">
        <v>0.78384035087719295</v>
      </c>
      <c r="L8" s="33">
        <v>0.84259223300970887</v>
      </c>
      <c r="M8" s="33">
        <v>0.33672000000000002</v>
      </c>
      <c r="N8" s="33">
        <v>0.15073333333333336</v>
      </c>
      <c r="O8" s="33">
        <v>0.10355555555555557</v>
      </c>
      <c r="P8" s="33">
        <v>0.53312000000000004</v>
      </c>
      <c r="Q8" s="33">
        <v>0.12894736842105264</v>
      </c>
      <c r="R8" s="33">
        <v>0.31352533333333332</v>
      </c>
    </row>
    <row r="9" spans="1:21" x14ac:dyDescent="0.35">
      <c r="A9" s="28" t="s">
        <v>22</v>
      </c>
      <c r="B9" s="33">
        <v>0.34666666666666668</v>
      </c>
      <c r="C9" s="33">
        <v>0.05</v>
      </c>
      <c r="D9" s="33">
        <v>0</v>
      </c>
      <c r="E9" s="33">
        <v>0</v>
      </c>
      <c r="F9" s="33">
        <v>0</v>
      </c>
      <c r="G9" s="33">
        <v>9.5700000000000004E-3</v>
      </c>
      <c r="H9" s="33">
        <v>0.25</v>
      </c>
      <c r="I9" s="33">
        <v>0.21780000000000002</v>
      </c>
      <c r="J9" s="33">
        <v>9.2800000000000007E-2</v>
      </c>
      <c r="K9" s="33">
        <v>0.19444444444444445</v>
      </c>
      <c r="L9" s="33">
        <v>0.38860000000000006</v>
      </c>
      <c r="M9" s="33">
        <v>6.6000000000000008E-3</v>
      </c>
      <c r="N9" s="33">
        <v>3.3000000000000002E-2</v>
      </c>
      <c r="O9" s="33">
        <v>0</v>
      </c>
      <c r="P9" s="33">
        <v>0.627</v>
      </c>
      <c r="Q9" s="33">
        <v>0.52164705882352946</v>
      </c>
      <c r="R9" s="33">
        <v>0</v>
      </c>
    </row>
    <row r="10" spans="1:21" x14ac:dyDescent="0.35">
      <c r="A10" s="28" t="s">
        <v>23</v>
      </c>
      <c r="B10" s="33">
        <v>0.5</v>
      </c>
      <c r="C10" s="33">
        <v>0</v>
      </c>
      <c r="D10" s="33">
        <v>0</v>
      </c>
      <c r="E10" s="33">
        <v>0</v>
      </c>
      <c r="F10" s="33">
        <v>0</v>
      </c>
      <c r="G10" s="33">
        <v>1.6500000000000001E-2</v>
      </c>
      <c r="H10" s="33">
        <v>0</v>
      </c>
      <c r="I10" s="33">
        <v>0</v>
      </c>
      <c r="J10" s="33">
        <v>7.4999999999999997E-2</v>
      </c>
      <c r="K10" s="33">
        <v>0.88200000000000001</v>
      </c>
      <c r="L10" s="33">
        <v>0.66</v>
      </c>
      <c r="M10" s="33">
        <v>0</v>
      </c>
      <c r="N10" s="33">
        <v>0</v>
      </c>
      <c r="O10" s="33">
        <v>0</v>
      </c>
      <c r="P10" s="33">
        <v>0</v>
      </c>
      <c r="Q10" s="33">
        <v>0.25</v>
      </c>
      <c r="R10" s="33">
        <v>0</v>
      </c>
    </row>
    <row r="11" spans="1:21" x14ac:dyDescent="0.35">
      <c r="A11" s="28"/>
      <c r="B11" s="28"/>
      <c r="C11" s="28"/>
      <c r="D11" s="28"/>
      <c r="E11" s="28"/>
      <c r="F11" s="28"/>
      <c r="G11" s="28"/>
      <c r="H11" s="28"/>
      <c r="I11" s="28"/>
      <c r="J11" s="28"/>
      <c r="K11" s="28"/>
      <c r="L11" s="28"/>
      <c r="M11" s="28"/>
      <c r="N11" s="28"/>
      <c r="O11" s="28"/>
      <c r="P11" s="28"/>
      <c r="Q11" s="28"/>
      <c r="R11" s="28"/>
    </row>
    <row r="12" spans="1:21" x14ac:dyDescent="0.35">
      <c r="A12" s="30" t="s">
        <v>24</v>
      </c>
      <c r="B12" s="34">
        <v>0.95238095238095233</v>
      </c>
      <c r="C12" s="34">
        <v>0.7232142857142857</v>
      </c>
      <c r="D12" s="34">
        <v>0.65732142857142861</v>
      </c>
      <c r="E12" s="34">
        <v>0.77657738095238094</v>
      </c>
      <c r="F12" s="34">
        <v>0.77657738095238094</v>
      </c>
      <c r="G12" s="34">
        <v>0.77657738095238094</v>
      </c>
      <c r="H12" s="34">
        <v>0.81803571428571431</v>
      </c>
      <c r="I12" s="34">
        <v>0.60714285714285721</v>
      </c>
      <c r="J12" s="34">
        <v>0.6339285714285714</v>
      </c>
      <c r="K12" s="34">
        <v>0.77083333333333326</v>
      </c>
      <c r="L12" s="34">
        <v>0.59482142857142861</v>
      </c>
      <c r="M12" s="34">
        <v>0.58589285714285722</v>
      </c>
      <c r="N12" s="34">
        <v>0.63607142857142862</v>
      </c>
      <c r="O12" s="34">
        <v>0.77339285714285722</v>
      </c>
      <c r="P12" s="34">
        <v>0.76148809523809524</v>
      </c>
      <c r="Q12" s="34">
        <v>0.37875000000000003</v>
      </c>
      <c r="R12" s="34">
        <v>0.59482142857142861</v>
      </c>
      <c r="U12" s="1">
        <f>AVERAGE(B13:R13)</f>
        <v>0.56470588235294117</v>
      </c>
    </row>
    <row r="13" spans="1:21" x14ac:dyDescent="0.35">
      <c r="A13" s="30" t="s">
        <v>25</v>
      </c>
      <c r="B13" s="32">
        <v>0.8571428571428571</v>
      </c>
      <c r="C13" s="32">
        <v>0.2857142857142857</v>
      </c>
      <c r="D13" s="32">
        <v>0.7142857142857143</v>
      </c>
      <c r="E13" s="32">
        <v>0.5714285714285714</v>
      </c>
      <c r="F13" s="32">
        <v>0.5714285714285714</v>
      </c>
      <c r="G13" s="32">
        <v>0.5714285714285714</v>
      </c>
      <c r="H13" s="32">
        <v>0.8571428571428571</v>
      </c>
      <c r="I13" s="32">
        <v>0.42857142857142855</v>
      </c>
      <c r="J13" s="32">
        <v>0.2857142857142857</v>
      </c>
      <c r="K13" s="32">
        <v>0.42857142857142855</v>
      </c>
      <c r="L13" s="32">
        <v>0.7142857142857143</v>
      </c>
      <c r="M13" s="32">
        <v>0.42857142857142855</v>
      </c>
      <c r="N13" s="32">
        <v>0.7142857142857143</v>
      </c>
      <c r="O13" s="32">
        <v>0.42857142857142855</v>
      </c>
      <c r="P13" s="32">
        <v>0.42857142857142855</v>
      </c>
      <c r="Q13" s="32">
        <v>0.6</v>
      </c>
      <c r="R13" s="32">
        <v>0.7142857142857143</v>
      </c>
    </row>
    <row r="14" spans="1:21" x14ac:dyDescent="0.35">
      <c r="A14" s="28" t="s">
        <v>215</v>
      </c>
      <c r="B14" s="35">
        <v>1</v>
      </c>
      <c r="C14" s="35">
        <v>1</v>
      </c>
      <c r="D14" s="35">
        <v>1</v>
      </c>
      <c r="E14" s="35">
        <v>1</v>
      </c>
      <c r="F14" s="35">
        <v>1</v>
      </c>
      <c r="G14" s="35">
        <v>1</v>
      </c>
      <c r="H14" s="35">
        <v>1</v>
      </c>
      <c r="I14" s="35">
        <v>1</v>
      </c>
      <c r="J14" s="35">
        <v>1</v>
      </c>
      <c r="K14" s="35">
        <v>1</v>
      </c>
      <c r="L14" s="35">
        <v>1</v>
      </c>
      <c r="M14" s="35">
        <v>1</v>
      </c>
      <c r="N14" s="35">
        <v>1</v>
      </c>
      <c r="O14" s="35">
        <v>1</v>
      </c>
      <c r="P14" s="35">
        <v>1</v>
      </c>
      <c r="Q14" s="35">
        <v>0</v>
      </c>
      <c r="R14" s="35">
        <v>1</v>
      </c>
      <c r="T14">
        <f>COUNTIF(B14:R14,1)</f>
        <v>16</v>
      </c>
      <c r="U14" s="1">
        <f>T14/17</f>
        <v>0.94117647058823528</v>
      </c>
    </row>
    <row r="15" spans="1:21" outlineLevel="1" x14ac:dyDescent="0.35">
      <c r="A15" s="28" t="s">
        <v>26</v>
      </c>
      <c r="B15" s="35">
        <v>1</v>
      </c>
      <c r="C15" s="35">
        <v>1</v>
      </c>
      <c r="D15" s="35">
        <v>1</v>
      </c>
      <c r="E15" s="35">
        <v>0</v>
      </c>
      <c r="F15" s="35">
        <v>0</v>
      </c>
      <c r="G15" s="35">
        <v>0</v>
      </c>
      <c r="H15" s="35">
        <v>1</v>
      </c>
      <c r="I15" s="35">
        <v>1</v>
      </c>
      <c r="J15" s="35">
        <v>0</v>
      </c>
      <c r="K15" s="35">
        <v>1</v>
      </c>
      <c r="L15" s="35">
        <v>1</v>
      </c>
      <c r="M15" s="35">
        <v>0</v>
      </c>
      <c r="N15" s="35">
        <v>1</v>
      </c>
      <c r="O15" s="35">
        <v>0</v>
      </c>
      <c r="P15" s="35">
        <v>1</v>
      </c>
      <c r="Q15" s="35">
        <v>1</v>
      </c>
      <c r="R15" s="35">
        <v>1</v>
      </c>
      <c r="T15">
        <f t="shared" ref="T15:T38" si="0">COUNTIF(B15:R15,1)</f>
        <v>11</v>
      </c>
      <c r="U15" s="1">
        <f t="shared" ref="U15:U20" si="1">T15/17</f>
        <v>0.6470588235294118</v>
      </c>
    </row>
    <row r="16" spans="1:21" outlineLevel="1" x14ac:dyDescent="0.35">
      <c r="A16" s="28" t="s">
        <v>27</v>
      </c>
      <c r="B16" s="35">
        <v>1</v>
      </c>
      <c r="C16" s="35">
        <v>0</v>
      </c>
      <c r="D16" s="35">
        <v>1</v>
      </c>
      <c r="E16" s="35">
        <v>1</v>
      </c>
      <c r="F16" s="35">
        <v>1</v>
      </c>
      <c r="G16" s="35">
        <v>1</v>
      </c>
      <c r="H16" s="35">
        <v>1</v>
      </c>
      <c r="I16" s="35">
        <v>1</v>
      </c>
      <c r="J16" s="35">
        <v>1</v>
      </c>
      <c r="K16" s="35">
        <v>0</v>
      </c>
      <c r="L16" s="35">
        <v>1</v>
      </c>
      <c r="M16" s="35">
        <v>1</v>
      </c>
      <c r="N16" s="35">
        <v>1</v>
      </c>
      <c r="O16" s="35">
        <v>1</v>
      </c>
      <c r="P16" s="35">
        <v>1</v>
      </c>
      <c r="Q16" s="35">
        <v>1</v>
      </c>
      <c r="R16" s="35">
        <v>1</v>
      </c>
      <c r="T16">
        <f t="shared" si="0"/>
        <v>15</v>
      </c>
      <c r="U16" s="1">
        <f t="shared" si="1"/>
        <v>0.88235294117647056</v>
      </c>
    </row>
    <row r="17" spans="1:21" outlineLevel="1" x14ac:dyDescent="0.35">
      <c r="A17" s="28" t="s">
        <v>28</v>
      </c>
      <c r="B17" s="35">
        <v>1</v>
      </c>
      <c r="C17" s="35">
        <v>0</v>
      </c>
      <c r="D17" s="35">
        <v>1</v>
      </c>
      <c r="E17" s="35">
        <v>0</v>
      </c>
      <c r="F17" s="35">
        <v>0</v>
      </c>
      <c r="G17" s="35">
        <v>0</v>
      </c>
      <c r="H17" s="35">
        <v>1</v>
      </c>
      <c r="I17" s="35">
        <v>0</v>
      </c>
      <c r="J17" s="35">
        <v>0</v>
      </c>
      <c r="K17" s="35">
        <v>0</v>
      </c>
      <c r="L17" s="35">
        <v>1</v>
      </c>
      <c r="M17" s="35">
        <v>0</v>
      </c>
      <c r="N17" s="35">
        <v>1</v>
      </c>
      <c r="O17" s="35">
        <v>0</v>
      </c>
      <c r="P17" s="35">
        <v>0</v>
      </c>
      <c r="Q17" s="35">
        <v>0</v>
      </c>
      <c r="R17" s="35">
        <v>0</v>
      </c>
      <c r="T17">
        <f t="shared" si="0"/>
        <v>5</v>
      </c>
      <c r="U17" s="1">
        <f t="shared" si="1"/>
        <v>0.29411764705882354</v>
      </c>
    </row>
    <row r="18" spans="1:21" outlineLevel="1" x14ac:dyDescent="0.35">
      <c r="A18" s="28" t="s">
        <v>29</v>
      </c>
      <c r="B18" s="35">
        <v>0</v>
      </c>
      <c r="C18" s="35">
        <v>0</v>
      </c>
      <c r="D18" s="35">
        <v>1</v>
      </c>
      <c r="E18" s="35">
        <v>0</v>
      </c>
      <c r="F18" s="35">
        <v>0</v>
      </c>
      <c r="G18" s="35">
        <v>0</v>
      </c>
      <c r="H18" s="35">
        <v>0</v>
      </c>
      <c r="I18" s="35">
        <v>0</v>
      </c>
      <c r="J18" s="35">
        <v>0</v>
      </c>
      <c r="K18" s="35">
        <v>0</v>
      </c>
      <c r="L18" s="35">
        <v>0</v>
      </c>
      <c r="M18" s="35">
        <v>1</v>
      </c>
      <c r="N18" s="35">
        <v>0</v>
      </c>
      <c r="O18" s="35">
        <v>0</v>
      </c>
      <c r="P18" s="35">
        <v>0</v>
      </c>
      <c r="Q18" s="35" t="s">
        <v>221</v>
      </c>
      <c r="R18" s="35">
        <v>1</v>
      </c>
      <c r="T18">
        <f t="shared" si="0"/>
        <v>3</v>
      </c>
      <c r="U18" s="1">
        <f t="shared" si="1"/>
        <v>0.17647058823529413</v>
      </c>
    </row>
    <row r="19" spans="1:21" outlineLevel="1" x14ac:dyDescent="0.35">
      <c r="A19" s="28" t="s">
        <v>223</v>
      </c>
      <c r="B19" s="35">
        <v>1</v>
      </c>
      <c r="C19" s="35">
        <v>0</v>
      </c>
      <c r="D19" s="35">
        <v>0</v>
      </c>
      <c r="E19" s="35">
        <v>1</v>
      </c>
      <c r="F19" s="35">
        <v>1</v>
      </c>
      <c r="G19" s="35">
        <v>1</v>
      </c>
      <c r="H19" s="35">
        <v>1</v>
      </c>
      <c r="I19" s="35">
        <v>0</v>
      </c>
      <c r="J19" s="35">
        <v>0</v>
      </c>
      <c r="K19" s="35">
        <v>0</v>
      </c>
      <c r="L19" s="35">
        <v>0</v>
      </c>
      <c r="M19" s="35">
        <v>0</v>
      </c>
      <c r="N19" s="35">
        <v>0</v>
      </c>
      <c r="O19" s="35">
        <v>0</v>
      </c>
      <c r="P19" s="35">
        <v>0</v>
      </c>
      <c r="Q19" s="35" t="s">
        <v>221</v>
      </c>
      <c r="R19" s="35">
        <v>1</v>
      </c>
      <c r="T19">
        <f t="shared" si="0"/>
        <v>6</v>
      </c>
      <c r="U19" s="1">
        <f t="shared" si="1"/>
        <v>0.35294117647058826</v>
      </c>
    </row>
    <row r="20" spans="1:21" outlineLevel="1" x14ac:dyDescent="0.35">
      <c r="A20" s="28" t="s">
        <v>30</v>
      </c>
      <c r="B20" s="35">
        <v>1</v>
      </c>
      <c r="C20" s="35">
        <v>0</v>
      </c>
      <c r="D20" s="35">
        <v>0</v>
      </c>
      <c r="E20" s="35">
        <v>1</v>
      </c>
      <c r="F20" s="35">
        <v>1</v>
      </c>
      <c r="G20" s="35">
        <v>1</v>
      </c>
      <c r="H20" s="35">
        <v>1</v>
      </c>
      <c r="I20" s="35">
        <v>0</v>
      </c>
      <c r="J20" s="35">
        <v>0</v>
      </c>
      <c r="K20" s="35">
        <v>1</v>
      </c>
      <c r="L20" s="35">
        <v>1</v>
      </c>
      <c r="M20" s="35">
        <v>0</v>
      </c>
      <c r="N20" s="35">
        <v>1</v>
      </c>
      <c r="O20" s="35">
        <v>1</v>
      </c>
      <c r="P20" s="35">
        <v>0</v>
      </c>
      <c r="Q20" s="35">
        <v>1</v>
      </c>
      <c r="R20" s="35">
        <v>0</v>
      </c>
      <c r="T20">
        <f t="shared" si="0"/>
        <v>10</v>
      </c>
      <c r="U20" s="1">
        <f t="shared" si="1"/>
        <v>0.58823529411764708</v>
      </c>
    </row>
    <row r="21" spans="1:21" x14ac:dyDescent="0.35">
      <c r="A21" s="28"/>
      <c r="B21" s="28"/>
      <c r="C21" s="28"/>
      <c r="D21" s="28"/>
      <c r="E21" s="28"/>
      <c r="F21" s="28"/>
      <c r="G21" s="28"/>
      <c r="H21" s="28"/>
      <c r="I21" s="28"/>
      <c r="J21" s="28"/>
      <c r="K21" s="28"/>
      <c r="L21" s="28"/>
      <c r="M21" s="28"/>
      <c r="N21" s="28"/>
      <c r="O21" s="28"/>
      <c r="P21" s="28"/>
      <c r="Q21" s="28"/>
      <c r="R21" s="28"/>
    </row>
    <row r="22" spans="1:21" x14ac:dyDescent="0.35">
      <c r="A22" s="30" t="s">
        <v>31</v>
      </c>
      <c r="B22" s="32">
        <v>0.95238095238095244</v>
      </c>
      <c r="C22" s="32">
        <v>0.8571428571428571</v>
      </c>
      <c r="D22" s="32">
        <v>1</v>
      </c>
      <c r="E22" s="32">
        <v>0.95238095238095244</v>
      </c>
      <c r="F22" s="32">
        <v>0.95238095238095244</v>
      </c>
      <c r="G22" s="32">
        <v>0.95238095238095244</v>
      </c>
      <c r="H22" s="32">
        <v>1</v>
      </c>
      <c r="I22" s="32">
        <v>1</v>
      </c>
      <c r="J22" s="32">
        <v>1</v>
      </c>
      <c r="K22" s="32">
        <v>0.90476190476190477</v>
      </c>
      <c r="L22" s="32">
        <v>1</v>
      </c>
      <c r="M22" s="32">
        <v>0.5</v>
      </c>
      <c r="N22" s="32">
        <v>1</v>
      </c>
      <c r="O22" s="32">
        <v>1</v>
      </c>
      <c r="P22" s="32">
        <v>0.95238095238095244</v>
      </c>
      <c r="Q22" s="32">
        <v>0</v>
      </c>
      <c r="R22" s="32">
        <v>0.5</v>
      </c>
    </row>
    <row r="23" spans="1:21" outlineLevel="1" x14ac:dyDescent="0.35">
      <c r="A23" s="28" t="s">
        <v>32</v>
      </c>
      <c r="B23" s="28">
        <v>1</v>
      </c>
      <c r="C23" s="28">
        <v>1</v>
      </c>
      <c r="D23" s="28">
        <v>1</v>
      </c>
      <c r="E23" s="28">
        <v>1</v>
      </c>
      <c r="F23" s="28">
        <v>1</v>
      </c>
      <c r="G23" s="28">
        <v>1</v>
      </c>
      <c r="H23" s="28">
        <v>1</v>
      </c>
      <c r="I23" s="28">
        <v>1</v>
      </c>
      <c r="J23" s="28">
        <v>1</v>
      </c>
      <c r="K23" s="28">
        <v>1</v>
      </c>
      <c r="L23" s="28">
        <v>1</v>
      </c>
      <c r="M23" s="28">
        <v>0</v>
      </c>
      <c r="N23" s="28">
        <v>1</v>
      </c>
      <c r="O23" s="28">
        <v>1</v>
      </c>
      <c r="P23" s="28">
        <v>1</v>
      </c>
      <c r="Q23" s="28">
        <v>0</v>
      </c>
      <c r="R23" s="28">
        <v>0</v>
      </c>
      <c r="T23">
        <f t="shared" si="0"/>
        <v>14</v>
      </c>
      <c r="U23" s="1">
        <f t="shared" ref="U23:U38" si="2">T23/17</f>
        <v>0.82352941176470584</v>
      </c>
    </row>
    <row r="24" spans="1:21" outlineLevel="1" x14ac:dyDescent="0.35">
      <c r="A24" s="28" t="s">
        <v>33</v>
      </c>
      <c r="B24" s="28">
        <v>1</v>
      </c>
      <c r="C24" s="28">
        <v>1</v>
      </c>
      <c r="D24" s="28">
        <v>1</v>
      </c>
      <c r="E24" s="28">
        <v>1</v>
      </c>
      <c r="F24" s="28">
        <v>1</v>
      </c>
      <c r="G24" s="28">
        <v>1</v>
      </c>
      <c r="H24" s="28">
        <v>1</v>
      </c>
      <c r="I24" s="28">
        <v>1</v>
      </c>
      <c r="J24" s="28">
        <v>1</v>
      </c>
      <c r="K24" s="28">
        <v>1</v>
      </c>
      <c r="L24" s="28">
        <v>1</v>
      </c>
      <c r="M24" s="28">
        <v>1</v>
      </c>
      <c r="N24" s="28">
        <v>1</v>
      </c>
      <c r="O24" s="28">
        <v>1</v>
      </c>
      <c r="P24" s="28">
        <v>1</v>
      </c>
      <c r="Q24" s="28">
        <v>0</v>
      </c>
      <c r="R24" s="28">
        <v>1</v>
      </c>
      <c r="T24">
        <f t="shared" si="0"/>
        <v>16</v>
      </c>
      <c r="U24" s="1">
        <f t="shared" si="2"/>
        <v>0.94117647058823528</v>
      </c>
    </row>
    <row r="25" spans="1:21" s="2" customFormat="1" outlineLevel="1" x14ac:dyDescent="0.35">
      <c r="A25" s="36" t="s">
        <v>34</v>
      </c>
      <c r="B25" s="37">
        <v>1</v>
      </c>
      <c r="C25" s="37">
        <v>1</v>
      </c>
      <c r="D25" s="37">
        <v>0</v>
      </c>
      <c r="E25" s="37">
        <v>0</v>
      </c>
      <c r="F25" s="37">
        <v>0</v>
      </c>
      <c r="G25" s="37">
        <v>0</v>
      </c>
      <c r="H25" s="37">
        <v>1</v>
      </c>
      <c r="I25" s="37">
        <v>0</v>
      </c>
      <c r="J25" s="37">
        <v>0</v>
      </c>
      <c r="K25" s="37">
        <v>0</v>
      </c>
      <c r="L25" s="37">
        <v>0</v>
      </c>
      <c r="M25" s="37">
        <v>0</v>
      </c>
      <c r="N25" s="37">
        <v>0</v>
      </c>
      <c r="O25" s="37">
        <v>1</v>
      </c>
      <c r="P25" s="37">
        <v>1</v>
      </c>
      <c r="Q25" s="37">
        <v>0</v>
      </c>
      <c r="R25" s="37">
        <v>0</v>
      </c>
      <c r="T25">
        <f t="shared" si="0"/>
        <v>5</v>
      </c>
      <c r="U25" s="1">
        <f t="shared" si="2"/>
        <v>0.29411764705882354</v>
      </c>
    </row>
    <row r="26" spans="1:21" s="2" customFormat="1" outlineLevel="1" x14ac:dyDescent="0.35">
      <c r="A26" s="36" t="s">
        <v>35</v>
      </c>
      <c r="B26" s="37">
        <v>1</v>
      </c>
      <c r="C26" s="37">
        <v>1</v>
      </c>
      <c r="D26" s="37">
        <v>0</v>
      </c>
      <c r="E26" s="37">
        <v>0</v>
      </c>
      <c r="F26" s="37">
        <v>0</v>
      </c>
      <c r="G26" s="37">
        <v>0</v>
      </c>
      <c r="H26" s="37">
        <v>1</v>
      </c>
      <c r="I26" s="37">
        <v>1</v>
      </c>
      <c r="J26" s="37">
        <v>1</v>
      </c>
      <c r="K26" s="37">
        <v>0</v>
      </c>
      <c r="L26" s="37">
        <v>0</v>
      </c>
      <c r="M26" s="37">
        <v>0</v>
      </c>
      <c r="N26" s="37">
        <v>1</v>
      </c>
      <c r="O26" s="37">
        <v>1</v>
      </c>
      <c r="P26" s="37">
        <v>0</v>
      </c>
      <c r="Q26" s="37">
        <v>0</v>
      </c>
      <c r="R26" s="37">
        <v>1</v>
      </c>
      <c r="T26">
        <f t="shared" si="0"/>
        <v>8</v>
      </c>
      <c r="U26" s="1">
        <f t="shared" si="2"/>
        <v>0.47058823529411764</v>
      </c>
    </row>
    <row r="27" spans="1:21" s="2" customFormat="1" outlineLevel="1" x14ac:dyDescent="0.35">
      <c r="A27" s="36" t="s">
        <v>36</v>
      </c>
      <c r="B27" s="37">
        <v>0</v>
      </c>
      <c r="C27" s="37">
        <v>1</v>
      </c>
      <c r="D27" s="37">
        <v>1</v>
      </c>
      <c r="E27" s="37">
        <v>1</v>
      </c>
      <c r="F27" s="37">
        <v>1</v>
      </c>
      <c r="G27" s="37">
        <v>1</v>
      </c>
      <c r="H27" s="37">
        <v>1</v>
      </c>
      <c r="I27" s="37">
        <v>1</v>
      </c>
      <c r="J27" s="37">
        <v>1</v>
      </c>
      <c r="K27" s="37">
        <v>1</v>
      </c>
      <c r="L27" s="37">
        <v>1</v>
      </c>
      <c r="M27" s="37">
        <v>1</v>
      </c>
      <c r="N27" s="37">
        <v>1</v>
      </c>
      <c r="O27" s="37">
        <v>1</v>
      </c>
      <c r="P27" s="37">
        <v>1</v>
      </c>
      <c r="Q27" s="37">
        <v>0</v>
      </c>
      <c r="R27" s="37">
        <v>1</v>
      </c>
      <c r="T27">
        <f t="shared" si="0"/>
        <v>15</v>
      </c>
      <c r="U27" s="1">
        <f t="shared" si="2"/>
        <v>0.88235294117647056</v>
      </c>
    </row>
    <row r="28" spans="1:21" s="2" customFormat="1" outlineLevel="1" x14ac:dyDescent="0.35">
      <c r="A28" s="36" t="s">
        <v>37</v>
      </c>
      <c r="B28" s="37">
        <v>1</v>
      </c>
      <c r="C28" s="37">
        <v>1</v>
      </c>
      <c r="D28" s="37">
        <v>0</v>
      </c>
      <c r="E28" s="37">
        <v>1</v>
      </c>
      <c r="F28" s="37">
        <v>1</v>
      </c>
      <c r="G28" s="37">
        <v>1</v>
      </c>
      <c r="H28" s="37">
        <v>0</v>
      </c>
      <c r="I28" s="37">
        <v>0</v>
      </c>
      <c r="J28" s="37">
        <v>0</v>
      </c>
      <c r="K28" s="37">
        <v>1</v>
      </c>
      <c r="L28" s="37">
        <v>0</v>
      </c>
      <c r="M28" s="37">
        <v>0</v>
      </c>
      <c r="N28" s="37">
        <v>0</v>
      </c>
      <c r="O28" s="37">
        <v>0</v>
      </c>
      <c r="P28" s="37">
        <v>1</v>
      </c>
      <c r="Q28" s="37">
        <v>0</v>
      </c>
      <c r="R28" s="37">
        <v>0</v>
      </c>
      <c r="T28">
        <f t="shared" si="0"/>
        <v>7</v>
      </c>
      <c r="U28" s="1">
        <f t="shared" si="2"/>
        <v>0.41176470588235292</v>
      </c>
    </row>
    <row r="29" spans="1:21" s="2" customFormat="1" outlineLevel="1" x14ac:dyDescent="0.35">
      <c r="A29" s="36" t="s">
        <v>38</v>
      </c>
      <c r="B29" s="37">
        <v>0</v>
      </c>
      <c r="C29" s="37">
        <v>0</v>
      </c>
      <c r="D29" s="37">
        <v>0</v>
      </c>
      <c r="E29" s="37">
        <v>0</v>
      </c>
      <c r="F29" s="37">
        <v>0</v>
      </c>
      <c r="G29" s="37">
        <v>0</v>
      </c>
      <c r="H29" s="37">
        <v>0</v>
      </c>
      <c r="I29" s="37">
        <v>0</v>
      </c>
      <c r="J29" s="37">
        <v>0</v>
      </c>
      <c r="K29" s="37">
        <v>0</v>
      </c>
      <c r="L29" s="37">
        <v>0</v>
      </c>
      <c r="M29" s="37">
        <v>0</v>
      </c>
      <c r="N29" s="37">
        <v>0</v>
      </c>
      <c r="O29" s="37">
        <v>0</v>
      </c>
      <c r="P29" s="37">
        <v>0</v>
      </c>
      <c r="Q29" s="37">
        <v>0</v>
      </c>
      <c r="R29" s="37">
        <v>0</v>
      </c>
      <c r="T29">
        <f t="shared" si="0"/>
        <v>0</v>
      </c>
      <c r="U29" s="1">
        <f t="shared" si="2"/>
        <v>0</v>
      </c>
    </row>
    <row r="30" spans="1:21" outlineLevel="1" x14ac:dyDescent="0.35">
      <c r="A30" s="28" t="s">
        <v>39</v>
      </c>
      <c r="B30" s="32">
        <v>0.8571428571428571</v>
      </c>
      <c r="C30" s="32">
        <v>0.5714285714285714</v>
      </c>
      <c r="D30" s="32" t="s">
        <v>221</v>
      </c>
      <c r="E30" s="32">
        <v>0.8571428571428571</v>
      </c>
      <c r="F30" s="32">
        <v>0.8571428571428571</v>
      </c>
      <c r="G30" s="32">
        <v>0.8571428571428571</v>
      </c>
      <c r="H30" s="32" t="s">
        <v>221</v>
      </c>
      <c r="I30" s="32" t="s">
        <v>221</v>
      </c>
      <c r="J30" s="32" t="s">
        <v>221</v>
      </c>
      <c r="K30" s="32">
        <v>0.7142857142857143</v>
      </c>
      <c r="L30" s="32" t="s">
        <v>221</v>
      </c>
      <c r="M30" s="32" t="s">
        <v>221</v>
      </c>
      <c r="N30" s="32" t="s">
        <v>221</v>
      </c>
      <c r="O30" s="32" t="s">
        <v>221</v>
      </c>
      <c r="P30" s="32">
        <v>0.8571428571428571</v>
      </c>
      <c r="Q30" s="32" t="s">
        <v>221</v>
      </c>
      <c r="R30" s="32" t="s">
        <v>221</v>
      </c>
      <c r="T30" s="3"/>
      <c r="U30" s="4"/>
    </row>
    <row r="31" spans="1:21" s="2" customFormat="1" outlineLevel="1" x14ac:dyDescent="0.35">
      <c r="A31" s="37" t="s">
        <v>40</v>
      </c>
      <c r="B31" s="37">
        <v>1</v>
      </c>
      <c r="C31" s="37">
        <v>1</v>
      </c>
      <c r="D31" s="37">
        <v>0</v>
      </c>
      <c r="E31" s="37">
        <v>1</v>
      </c>
      <c r="F31" s="37">
        <v>1</v>
      </c>
      <c r="G31" s="37">
        <v>1</v>
      </c>
      <c r="H31" s="37">
        <v>0</v>
      </c>
      <c r="I31" s="37">
        <v>0</v>
      </c>
      <c r="J31" s="37">
        <v>0</v>
      </c>
      <c r="K31" s="37">
        <v>1</v>
      </c>
      <c r="L31" s="37">
        <v>0</v>
      </c>
      <c r="M31" s="37">
        <v>0</v>
      </c>
      <c r="N31" s="37">
        <v>0</v>
      </c>
      <c r="O31" s="37">
        <v>0</v>
      </c>
      <c r="P31" s="37">
        <v>1</v>
      </c>
      <c r="Q31" s="37">
        <v>0</v>
      </c>
      <c r="R31" s="37">
        <v>0</v>
      </c>
      <c r="T31">
        <f t="shared" si="0"/>
        <v>7</v>
      </c>
      <c r="U31" s="1">
        <f t="shared" si="2"/>
        <v>0.41176470588235292</v>
      </c>
    </row>
    <row r="32" spans="1:21" s="2" customFormat="1" outlineLevel="1" x14ac:dyDescent="0.35">
      <c r="A32" s="37" t="s">
        <v>41</v>
      </c>
      <c r="B32" s="37">
        <v>1</v>
      </c>
      <c r="C32" s="37">
        <v>1</v>
      </c>
      <c r="D32" s="37" t="s">
        <v>221</v>
      </c>
      <c r="E32" s="37">
        <v>1</v>
      </c>
      <c r="F32" s="37">
        <v>1</v>
      </c>
      <c r="G32" s="37">
        <v>1</v>
      </c>
      <c r="H32" s="37" t="s">
        <v>221</v>
      </c>
      <c r="I32" s="37" t="s">
        <v>221</v>
      </c>
      <c r="J32" s="37" t="s">
        <v>221</v>
      </c>
      <c r="K32" s="37">
        <v>1</v>
      </c>
      <c r="L32" s="37" t="s">
        <v>221</v>
      </c>
      <c r="M32" s="37" t="s">
        <v>221</v>
      </c>
      <c r="N32" s="37" t="s">
        <v>221</v>
      </c>
      <c r="O32" s="37" t="s">
        <v>221</v>
      </c>
      <c r="P32" s="37">
        <v>1</v>
      </c>
      <c r="Q32" s="37" t="s">
        <v>221</v>
      </c>
      <c r="R32" s="37" t="s">
        <v>221</v>
      </c>
      <c r="T32">
        <f t="shared" si="0"/>
        <v>7</v>
      </c>
      <c r="U32" s="1">
        <f t="shared" si="2"/>
        <v>0.41176470588235292</v>
      </c>
    </row>
    <row r="33" spans="1:21" s="2" customFormat="1" outlineLevel="1" x14ac:dyDescent="0.35">
      <c r="A33" s="37" t="s">
        <v>42</v>
      </c>
      <c r="B33" s="37">
        <v>1</v>
      </c>
      <c r="C33" s="37">
        <v>0</v>
      </c>
      <c r="D33" s="37" t="s">
        <v>221</v>
      </c>
      <c r="E33" s="37">
        <v>1</v>
      </c>
      <c r="F33" s="37">
        <v>1</v>
      </c>
      <c r="G33" s="37">
        <v>1</v>
      </c>
      <c r="H33" s="37" t="s">
        <v>221</v>
      </c>
      <c r="I33" s="37" t="s">
        <v>221</v>
      </c>
      <c r="J33" s="37" t="s">
        <v>221</v>
      </c>
      <c r="K33" s="37">
        <v>1</v>
      </c>
      <c r="L33" s="37" t="s">
        <v>221</v>
      </c>
      <c r="M33" s="37" t="s">
        <v>221</v>
      </c>
      <c r="N33" s="37" t="s">
        <v>221</v>
      </c>
      <c r="O33" s="37" t="s">
        <v>221</v>
      </c>
      <c r="P33" s="37">
        <v>1</v>
      </c>
      <c r="Q33" s="37" t="s">
        <v>221</v>
      </c>
      <c r="R33" s="37" t="s">
        <v>221</v>
      </c>
      <c r="T33">
        <f t="shared" si="0"/>
        <v>6</v>
      </c>
      <c r="U33" s="1">
        <f t="shared" si="2"/>
        <v>0.35294117647058826</v>
      </c>
    </row>
    <row r="34" spans="1:21" s="2" customFormat="1" outlineLevel="1" x14ac:dyDescent="0.35">
      <c r="A34" s="37" t="s">
        <v>43</v>
      </c>
      <c r="B34" s="37">
        <v>1</v>
      </c>
      <c r="C34" s="37">
        <v>0</v>
      </c>
      <c r="D34" s="37" t="s">
        <v>221</v>
      </c>
      <c r="E34" s="37">
        <v>1</v>
      </c>
      <c r="F34" s="37">
        <v>1</v>
      </c>
      <c r="G34" s="37">
        <v>1</v>
      </c>
      <c r="H34" s="37" t="s">
        <v>221</v>
      </c>
      <c r="I34" s="37" t="s">
        <v>221</v>
      </c>
      <c r="J34" s="37" t="s">
        <v>221</v>
      </c>
      <c r="K34" s="37">
        <v>1</v>
      </c>
      <c r="L34" s="37" t="s">
        <v>221</v>
      </c>
      <c r="M34" s="37" t="s">
        <v>221</v>
      </c>
      <c r="N34" s="37" t="s">
        <v>221</v>
      </c>
      <c r="O34" s="37" t="s">
        <v>221</v>
      </c>
      <c r="P34" s="37">
        <v>1</v>
      </c>
      <c r="Q34" s="37" t="s">
        <v>221</v>
      </c>
      <c r="R34" s="37" t="s">
        <v>221</v>
      </c>
      <c r="T34">
        <f t="shared" si="0"/>
        <v>6</v>
      </c>
      <c r="U34" s="1">
        <f t="shared" si="2"/>
        <v>0.35294117647058826</v>
      </c>
    </row>
    <row r="35" spans="1:21" s="2" customFormat="1" outlineLevel="1" x14ac:dyDescent="0.35">
      <c r="A35" s="37" t="s">
        <v>44</v>
      </c>
      <c r="B35" s="37">
        <v>1</v>
      </c>
      <c r="C35" s="37">
        <v>0</v>
      </c>
      <c r="D35" s="37" t="s">
        <v>221</v>
      </c>
      <c r="E35" s="37">
        <v>1</v>
      </c>
      <c r="F35" s="37">
        <v>1</v>
      </c>
      <c r="G35" s="37">
        <v>1</v>
      </c>
      <c r="H35" s="37" t="s">
        <v>221</v>
      </c>
      <c r="I35" s="37" t="s">
        <v>221</v>
      </c>
      <c r="J35" s="37" t="s">
        <v>221</v>
      </c>
      <c r="K35" s="37">
        <v>1</v>
      </c>
      <c r="L35" s="37" t="s">
        <v>221</v>
      </c>
      <c r="M35" s="37" t="s">
        <v>221</v>
      </c>
      <c r="N35" s="37" t="s">
        <v>221</v>
      </c>
      <c r="O35" s="37" t="s">
        <v>221</v>
      </c>
      <c r="P35" s="37">
        <v>1</v>
      </c>
      <c r="Q35" s="37" t="s">
        <v>221</v>
      </c>
      <c r="R35" s="37" t="s">
        <v>221</v>
      </c>
      <c r="T35">
        <f t="shared" si="0"/>
        <v>6</v>
      </c>
      <c r="U35" s="1">
        <f t="shared" si="2"/>
        <v>0.35294117647058826</v>
      </c>
    </row>
    <row r="36" spans="1:21" s="2" customFormat="1" outlineLevel="1" x14ac:dyDescent="0.35">
      <c r="A36" s="37" t="s">
        <v>45</v>
      </c>
      <c r="B36" s="37">
        <v>1</v>
      </c>
      <c r="C36" s="37">
        <v>1</v>
      </c>
      <c r="D36" s="37" t="s">
        <v>221</v>
      </c>
      <c r="E36" s="37">
        <v>1</v>
      </c>
      <c r="F36" s="37">
        <v>1</v>
      </c>
      <c r="G36" s="37">
        <v>1</v>
      </c>
      <c r="H36" s="37" t="s">
        <v>221</v>
      </c>
      <c r="I36" s="37" t="s">
        <v>221</v>
      </c>
      <c r="J36" s="37" t="s">
        <v>221</v>
      </c>
      <c r="K36" s="37">
        <v>0</v>
      </c>
      <c r="L36" s="37" t="s">
        <v>221</v>
      </c>
      <c r="M36" s="37" t="s">
        <v>221</v>
      </c>
      <c r="N36" s="37" t="s">
        <v>221</v>
      </c>
      <c r="O36" s="37" t="s">
        <v>221</v>
      </c>
      <c r="P36" s="37">
        <v>1</v>
      </c>
      <c r="Q36" s="37" t="s">
        <v>221</v>
      </c>
      <c r="R36" s="37" t="s">
        <v>221</v>
      </c>
      <c r="T36">
        <f t="shared" si="0"/>
        <v>6</v>
      </c>
      <c r="U36" s="1">
        <f t="shared" si="2"/>
        <v>0.35294117647058826</v>
      </c>
    </row>
    <row r="37" spans="1:21" s="2" customFormat="1" outlineLevel="1" x14ac:dyDescent="0.35">
      <c r="A37" s="37" t="s">
        <v>46</v>
      </c>
      <c r="B37" s="37">
        <v>0</v>
      </c>
      <c r="C37" s="37">
        <v>1</v>
      </c>
      <c r="D37" s="37" t="s">
        <v>221</v>
      </c>
      <c r="E37" s="37">
        <v>0</v>
      </c>
      <c r="F37" s="37">
        <v>0</v>
      </c>
      <c r="G37" s="37">
        <v>0</v>
      </c>
      <c r="H37" s="37" t="s">
        <v>221</v>
      </c>
      <c r="I37" s="37" t="s">
        <v>221</v>
      </c>
      <c r="J37" s="37" t="s">
        <v>221</v>
      </c>
      <c r="K37" s="37">
        <v>0</v>
      </c>
      <c r="L37" s="37" t="s">
        <v>221</v>
      </c>
      <c r="M37" s="37" t="s">
        <v>221</v>
      </c>
      <c r="N37" s="37" t="s">
        <v>221</v>
      </c>
      <c r="O37" s="37" t="s">
        <v>221</v>
      </c>
      <c r="P37" s="37">
        <v>0</v>
      </c>
      <c r="Q37" s="37" t="s">
        <v>221</v>
      </c>
      <c r="R37" s="37" t="s">
        <v>221</v>
      </c>
      <c r="T37">
        <f t="shared" si="0"/>
        <v>1</v>
      </c>
      <c r="U37" s="1">
        <f t="shared" si="2"/>
        <v>5.8823529411764705E-2</v>
      </c>
    </row>
    <row r="38" spans="1:21" s="2" customFormat="1" outlineLevel="1" x14ac:dyDescent="0.35">
      <c r="A38" s="37" t="s">
        <v>47</v>
      </c>
      <c r="B38" s="37">
        <v>1</v>
      </c>
      <c r="C38" s="37">
        <v>1</v>
      </c>
      <c r="D38" s="37" t="s">
        <v>221</v>
      </c>
      <c r="E38" s="37">
        <v>1</v>
      </c>
      <c r="F38" s="37">
        <v>1</v>
      </c>
      <c r="G38" s="37">
        <v>1</v>
      </c>
      <c r="H38" s="37" t="s">
        <v>221</v>
      </c>
      <c r="I38" s="37" t="s">
        <v>221</v>
      </c>
      <c r="J38" s="37" t="s">
        <v>221</v>
      </c>
      <c r="K38" s="37">
        <v>1</v>
      </c>
      <c r="L38" s="37" t="s">
        <v>221</v>
      </c>
      <c r="M38" s="37" t="s">
        <v>221</v>
      </c>
      <c r="N38" s="37" t="s">
        <v>221</v>
      </c>
      <c r="O38" s="37" t="s">
        <v>221</v>
      </c>
      <c r="P38" s="37">
        <v>1</v>
      </c>
      <c r="Q38" s="37" t="s">
        <v>221</v>
      </c>
      <c r="R38" s="37" t="s">
        <v>221</v>
      </c>
      <c r="T38">
        <f t="shared" si="0"/>
        <v>7</v>
      </c>
      <c r="U38" s="1">
        <f t="shared" si="2"/>
        <v>0.41176470588235292</v>
      </c>
    </row>
    <row r="39" spans="1:21" x14ac:dyDescent="0.35">
      <c r="A39" s="28"/>
      <c r="B39" s="28"/>
      <c r="C39" s="28"/>
      <c r="D39" s="28"/>
      <c r="E39" s="28"/>
      <c r="F39" s="28"/>
      <c r="G39" s="28"/>
      <c r="H39" s="28"/>
      <c r="I39" s="28"/>
      <c r="J39" s="28"/>
      <c r="K39" s="28"/>
      <c r="L39" s="28"/>
      <c r="M39" s="28"/>
      <c r="N39" s="28"/>
      <c r="O39" s="28"/>
      <c r="P39" s="28"/>
      <c r="Q39" s="28"/>
      <c r="R39" s="28"/>
      <c r="U39" s="1"/>
    </row>
    <row r="40" spans="1:21" x14ac:dyDescent="0.35">
      <c r="A40" s="30" t="s">
        <v>48</v>
      </c>
      <c r="B40" s="32">
        <v>1</v>
      </c>
      <c r="C40" s="32">
        <v>0.75</v>
      </c>
      <c r="D40" s="32">
        <v>0.75</v>
      </c>
      <c r="E40" s="32">
        <v>0.75</v>
      </c>
      <c r="F40" s="32">
        <v>0.75</v>
      </c>
      <c r="G40" s="32">
        <v>0.75</v>
      </c>
      <c r="H40" s="32">
        <v>0.75</v>
      </c>
      <c r="I40" s="32">
        <v>0.5</v>
      </c>
      <c r="J40" s="32">
        <v>0.25</v>
      </c>
      <c r="K40" s="32">
        <v>0.75</v>
      </c>
      <c r="L40" s="32">
        <v>0.5</v>
      </c>
      <c r="M40" s="32">
        <v>1</v>
      </c>
      <c r="N40" s="32">
        <v>0.5</v>
      </c>
      <c r="O40" s="32">
        <v>0.75</v>
      </c>
      <c r="P40" s="32">
        <v>0.75</v>
      </c>
      <c r="Q40" s="32">
        <v>0.75</v>
      </c>
      <c r="R40" s="32">
        <v>1</v>
      </c>
      <c r="U40" s="1"/>
    </row>
    <row r="41" spans="1:21" outlineLevel="1" x14ac:dyDescent="0.35">
      <c r="A41" s="28" t="s">
        <v>49</v>
      </c>
      <c r="B41" s="35">
        <v>1</v>
      </c>
      <c r="C41" s="35">
        <v>1</v>
      </c>
      <c r="D41" s="35">
        <v>1</v>
      </c>
      <c r="E41" s="35">
        <v>1</v>
      </c>
      <c r="F41" s="35">
        <v>1</v>
      </c>
      <c r="G41" s="35">
        <v>1</v>
      </c>
      <c r="H41" s="35">
        <v>1</v>
      </c>
      <c r="I41" s="35">
        <v>1</v>
      </c>
      <c r="J41" s="35">
        <v>1</v>
      </c>
      <c r="K41" s="35">
        <v>1</v>
      </c>
      <c r="L41" s="35">
        <v>1</v>
      </c>
      <c r="M41" s="35">
        <v>1</v>
      </c>
      <c r="N41" s="35">
        <v>1</v>
      </c>
      <c r="O41" s="35">
        <v>1</v>
      </c>
      <c r="P41" s="35">
        <v>1</v>
      </c>
      <c r="Q41" s="35">
        <v>1</v>
      </c>
      <c r="R41" s="35">
        <v>1</v>
      </c>
      <c r="T41">
        <f t="shared" ref="T41:T52" si="3">COUNTIF(B41:R41,1)</f>
        <v>17</v>
      </c>
      <c r="U41" s="1">
        <f t="shared" ref="U41:U52" si="4">T41/17</f>
        <v>1</v>
      </c>
    </row>
    <row r="42" spans="1:21" outlineLevel="1" x14ac:dyDescent="0.35">
      <c r="A42" s="28" t="s">
        <v>50</v>
      </c>
      <c r="B42" s="35">
        <v>1</v>
      </c>
      <c r="C42" s="35">
        <v>1</v>
      </c>
      <c r="D42" s="35">
        <v>1</v>
      </c>
      <c r="E42" s="35">
        <v>1</v>
      </c>
      <c r="F42" s="35">
        <v>1</v>
      </c>
      <c r="G42" s="35">
        <v>1</v>
      </c>
      <c r="H42" s="35">
        <v>1</v>
      </c>
      <c r="I42" s="35">
        <v>1</v>
      </c>
      <c r="J42" s="35">
        <v>0</v>
      </c>
      <c r="K42" s="35">
        <v>0</v>
      </c>
      <c r="L42" s="35">
        <v>1</v>
      </c>
      <c r="M42" s="35">
        <v>1</v>
      </c>
      <c r="N42" s="35">
        <v>1</v>
      </c>
      <c r="O42" s="35">
        <v>1</v>
      </c>
      <c r="P42" s="35">
        <v>1</v>
      </c>
      <c r="Q42" s="35">
        <v>1</v>
      </c>
      <c r="R42" s="35">
        <v>1</v>
      </c>
      <c r="T42">
        <f t="shared" si="3"/>
        <v>15</v>
      </c>
      <c r="U42" s="1">
        <f t="shared" si="4"/>
        <v>0.88235294117647056</v>
      </c>
    </row>
    <row r="43" spans="1:21" outlineLevel="1" x14ac:dyDescent="0.35">
      <c r="A43" s="28" t="s">
        <v>51</v>
      </c>
      <c r="B43" s="35">
        <v>1</v>
      </c>
      <c r="C43" s="35">
        <v>0</v>
      </c>
      <c r="D43" s="35">
        <v>1</v>
      </c>
      <c r="E43" s="35">
        <v>0</v>
      </c>
      <c r="F43" s="35">
        <v>0</v>
      </c>
      <c r="G43" s="35">
        <v>0</v>
      </c>
      <c r="H43" s="35">
        <v>0</v>
      </c>
      <c r="I43" s="35">
        <v>0</v>
      </c>
      <c r="J43" s="35">
        <v>0</v>
      </c>
      <c r="K43" s="35">
        <v>1</v>
      </c>
      <c r="L43" s="35">
        <v>0</v>
      </c>
      <c r="M43" s="35">
        <v>1</v>
      </c>
      <c r="N43" s="35">
        <v>0</v>
      </c>
      <c r="O43" s="35">
        <v>0</v>
      </c>
      <c r="P43" s="35">
        <v>0</v>
      </c>
      <c r="Q43" s="35">
        <v>0</v>
      </c>
      <c r="R43" s="35">
        <v>1</v>
      </c>
      <c r="T43">
        <f t="shared" si="3"/>
        <v>5</v>
      </c>
      <c r="U43" s="1">
        <f t="shared" si="4"/>
        <v>0.29411764705882354</v>
      </c>
    </row>
    <row r="44" spans="1:21" outlineLevel="1" x14ac:dyDescent="0.35">
      <c r="A44" s="28" t="s">
        <v>52</v>
      </c>
      <c r="B44" s="28">
        <v>1</v>
      </c>
      <c r="C44" s="28">
        <v>1</v>
      </c>
      <c r="D44" s="28">
        <v>0</v>
      </c>
      <c r="E44" s="28">
        <v>1</v>
      </c>
      <c r="F44" s="28">
        <v>1</v>
      </c>
      <c r="G44" s="28">
        <v>1</v>
      </c>
      <c r="H44" s="28">
        <v>1</v>
      </c>
      <c r="I44" s="28">
        <v>0</v>
      </c>
      <c r="J44" s="28">
        <v>0</v>
      </c>
      <c r="K44" s="28">
        <v>1</v>
      </c>
      <c r="L44" s="28">
        <v>0</v>
      </c>
      <c r="M44" s="28">
        <v>1</v>
      </c>
      <c r="N44" s="28">
        <v>0</v>
      </c>
      <c r="O44" s="28">
        <v>1</v>
      </c>
      <c r="P44" s="28">
        <v>1</v>
      </c>
      <c r="Q44" s="28">
        <v>1</v>
      </c>
      <c r="R44" s="28">
        <v>1</v>
      </c>
      <c r="T44">
        <f t="shared" si="3"/>
        <v>12</v>
      </c>
      <c r="U44" s="1">
        <f t="shared" si="4"/>
        <v>0.70588235294117652</v>
      </c>
    </row>
    <row r="45" spans="1:21" x14ac:dyDescent="0.35">
      <c r="A45" s="28"/>
      <c r="B45" s="28"/>
      <c r="C45" s="28"/>
      <c r="D45" s="28"/>
      <c r="E45" s="28"/>
      <c r="F45" s="28"/>
      <c r="G45" s="28"/>
      <c r="H45" s="28"/>
      <c r="I45" s="28"/>
      <c r="J45" s="28"/>
      <c r="K45" s="28"/>
      <c r="L45" s="28"/>
      <c r="M45" s="28"/>
      <c r="N45" s="28"/>
      <c r="O45" s="28"/>
      <c r="P45" s="28"/>
      <c r="Q45" s="28"/>
      <c r="R45" s="28"/>
      <c r="U45" s="1"/>
    </row>
    <row r="46" spans="1:21" x14ac:dyDescent="0.35">
      <c r="A46" s="30" t="s">
        <v>53</v>
      </c>
      <c r="B46" s="28">
        <v>1</v>
      </c>
      <c r="C46" s="28">
        <v>1</v>
      </c>
      <c r="D46" s="28">
        <v>0.16500000000000001</v>
      </c>
      <c r="E46" s="28">
        <v>0.83250000000000002</v>
      </c>
      <c r="F46" s="28">
        <v>0.83250000000000002</v>
      </c>
      <c r="G46" s="28">
        <v>0.83250000000000002</v>
      </c>
      <c r="H46" s="28">
        <v>0.66500000000000004</v>
      </c>
      <c r="I46" s="28">
        <v>0.5</v>
      </c>
      <c r="J46" s="28">
        <v>1</v>
      </c>
      <c r="K46" s="28">
        <v>1</v>
      </c>
      <c r="L46" s="28">
        <v>0.16500000000000001</v>
      </c>
      <c r="M46" s="28">
        <v>0.41500000000000004</v>
      </c>
      <c r="N46" s="28">
        <v>0.33</v>
      </c>
      <c r="O46" s="28">
        <v>0.91500000000000004</v>
      </c>
      <c r="P46" s="28">
        <v>0.91500000000000004</v>
      </c>
      <c r="Q46" s="28">
        <v>0.16500000000000001</v>
      </c>
      <c r="R46" s="28">
        <v>0.16500000000000001</v>
      </c>
      <c r="T46">
        <f t="shared" si="3"/>
        <v>4</v>
      </c>
      <c r="U46" s="1">
        <f t="shared" si="4"/>
        <v>0.23529411764705882</v>
      </c>
    </row>
    <row r="47" spans="1:21" outlineLevel="1" x14ac:dyDescent="0.35">
      <c r="A47" s="28" t="s">
        <v>54</v>
      </c>
      <c r="B47" s="28">
        <v>1</v>
      </c>
      <c r="C47" s="28">
        <v>1</v>
      </c>
      <c r="D47" s="28">
        <v>0</v>
      </c>
      <c r="E47" s="28">
        <v>1</v>
      </c>
      <c r="F47" s="28">
        <v>1</v>
      </c>
      <c r="G47" s="28">
        <v>1</v>
      </c>
      <c r="H47" s="28">
        <v>1</v>
      </c>
      <c r="I47" s="28">
        <v>0</v>
      </c>
      <c r="J47" s="28">
        <v>1</v>
      </c>
      <c r="K47" s="28">
        <v>1</v>
      </c>
      <c r="L47" s="28">
        <v>0</v>
      </c>
      <c r="M47" s="28">
        <v>0</v>
      </c>
      <c r="N47" s="28">
        <v>0</v>
      </c>
      <c r="O47" s="28">
        <v>1</v>
      </c>
      <c r="P47" s="28">
        <v>1</v>
      </c>
      <c r="Q47" s="28">
        <v>0</v>
      </c>
      <c r="R47" s="28">
        <v>0</v>
      </c>
      <c r="T47">
        <f t="shared" si="3"/>
        <v>10</v>
      </c>
      <c r="U47" s="1">
        <f t="shared" si="4"/>
        <v>0.58823529411764708</v>
      </c>
    </row>
    <row r="48" spans="1:21" outlineLevel="1" x14ac:dyDescent="0.35">
      <c r="A48" s="28" t="s">
        <v>55</v>
      </c>
      <c r="B48" s="28">
        <v>1</v>
      </c>
      <c r="C48" s="28">
        <v>1</v>
      </c>
      <c r="D48" s="28">
        <v>0.33</v>
      </c>
      <c r="E48" s="28">
        <v>0.66500000000000004</v>
      </c>
      <c r="F48" s="28">
        <v>0.66500000000000004</v>
      </c>
      <c r="G48" s="28">
        <v>0.66500000000000004</v>
      </c>
      <c r="H48" s="28">
        <v>0.33</v>
      </c>
      <c r="I48" s="28">
        <v>1</v>
      </c>
      <c r="J48" s="28">
        <v>1</v>
      </c>
      <c r="K48" s="28">
        <v>1</v>
      </c>
      <c r="L48" s="28">
        <v>0.33</v>
      </c>
      <c r="M48" s="28">
        <v>0.83000000000000007</v>
      </c>
      <c r="N48" s="28">
        <v>0.66</v>
      </c>
      <c r="O48" s="28">
        <v>0.83000000000000007</v>
      </c>
      <c r="P48" s="28">
        <v>0.83000000000000007</v>
      </c>
      <c r="Q48" s="28">
        <v>0.33</v>
      </c>
      <c r="R48" s="28">
        <v>0.33</v>
      </c>
      <c r="T48">
        <f t="shared" si="3"/>
        <v>5</v>
      </c>
      <c r="U48" s="1">
        <f t="shared" si="4"/>
        <v>0.29411764705882354</v>
      </c>
    </row>
    <row r="49" spans="1:21" s="2" customFormat="1" outlineLevel="1" x14ac:dyDescent="0.35">
      <c r="A49" s="38" t="s">
        <v>56</v>
      </c>
      <c r="B49" s="37">
        <v>1</v>
      </c>
      <c r="C49" s="37">
        <v>1</v>
      </c>
      <c r="D49" s="37">
        <v>0</v>
      </c>
      <c r="E49" s="37">
        <v>1</v>
      </c>
      <c r="F49" s="37">
        <v>1</v>
      </c>
      <c r="G49" s="37">
        <v>1</v>
      </c>
      <c r="H49" s="37">
        <v>0</v>
      </c>
      <c r="I49" s="37">
        <v>1</v>
      </c>
      <c r="J49" s="37">
        <v>1</v>
      </c>
      <c r="K49" s="37">
        <v>1</v>
      </c>
      <c r="L49" s="37">
        <v>0</v>
      </c>
      <c r="M49" s="37">
        <v>1</v>
      </c>
      <c r="N49" s="37">
        <v>0</v>
      </c>
      <c r="O49" s="37">
        <v>1</v>
      </c>
      <c r="P49" s="37">
        <v>1</v>
      </c>
      <c r="Q49" s="37">
        <v>0</v>
      </c>
      <c r="R49" s="37">
        <v>0</v>
      </c>
      <c r="T49">
        <f t="shared" si="3"/>
        <v>11</v>
      </c>
      <c r="U49" s="1">
        <f t="shared" si="4"/>
        <v>0.6470588235294118</v>
      </c>
    </row>
    <row r="50" spans="1:21" s="2" customFormat="1" outlineLevel="1" x14ac:dyDescent="0.35">
      <c r="A50" s="38" t="s">
        <v>57</v>
      </c>
      <c r="B50" s="37">
        <v>0</v>
      </c>
      <c r="C50" s="37">
        <v>0</v>
      </c>
      <c r="D50" s="37">
        <v>0</v>
      </c>
      <c r="E50" s="37">
        <v>0</v>
      </c>
      <c r="F50" s="37">
        <v>0</v>
      </c>
      <c r="G50" s="37">
        <v>0</v>
      </c>
      <c r="H50" s="37">
        <v>0</v>
      </c>
      <c r="I50" s="37">
        <v>0</v>
      </c>
      <c r="J50" s="37">
        <v>0</v>
      </c>
      <c r="K50" s="37">
        <v>0</v>
      </c>
      <c r="L50" s="37">
        <v>0</v>
      </c>
      <c r="M50" s="37">
        <v>1</v>
      </c>
      <c r="N50" s="37">
        <v>1</v>
      </c>
      <c r="O50" s="37">
        <v>1</v>
      </c>
      <c r="P50" s="37">
        <v>1</v>
      </c>
      <c r="Q50" s="37">
        <v>0</v>
      </c>
      <c r="R50" s="37">
        <v>0</v>
      </c>
      <c r="T50">
        <f t="shared" si="3"/>
        <v>4</v>
      </c>
      <c r="U50" s="1">
        <f t="shared" si="4"/>
        <v>0.23529411764705882</v>
      </c>
    </row>
    <row r="51" spans="1:21" s="2" customFormat="1" outlineLevel="1" x14ac:dyDescent="0.35">
      <c r="A51" s="39" t="s">
        <v>58</v>
      </c>
      <c r="B51" s="37">
        <v>0</v>
      </c>
      <c r="C51" s="37">
        <v>0</v>
      </c>
      <c r="D51" s="37">
        <v>1</v>
      </c>
      <c r="E51" s="37">
        <v>1</v>
      </c>
      <c r="F51" s="37">
        <v>1</v>
      </c>
      <c r="G51" s="37">
        <v>1</v>
      </c>
      <c r="H51" s="37">
        <v>1</v>
      </c>
      <c r="I51" s="37">
        <v>0</v>
      </c>
      <c r="J51" s="37">
        <v>0</v>
      </c>
      <c r="K51" s="37">
        <v>0</v>
      </c>
      <c r="L51" s="37">
        <v>1</v>
      </c>
      <c r="M51" s="37">
        <v>0</v>
      </c>
      <c r="N51" s="37">
        <v>0</v>
      </c>
      <c r="O51" s="37">
        <v>0</v>
      </c>
      <c r="P51" s="37">
        <v>0</v>
      </c>
      <c r="Q51" s="37">
        <v>1</v>
      </c>
      <c r="R51" s="37">
        <v>1</v>
      </c>
      <c r="T51">
        <f t="shared" si="3"/>
        <v>8</v>
      </c>
      <c r="U51" s="1">
        <f t="shared" si="4"/>
        <v>0.47058823529411764</v>
      </c>
    </row>
    <row r="52" spans="1:21" s="2" customFormat="1" outlineLevel="1" x14ac:dyDescent="0.35">
      <c r="A52" s="38" t="s">
        <v>59</v>
      </c>
      <c r="B52" s="37">
        <v>0</v>
      </c>
      <c r="C52" s="37">
        <v>0</v>
      </c>
      <c r="D52" s="37">
        <v>0</v>
      </c>
      <c r="E52" s="37" t="s">
        <v>436</v>
      </c>
      <c r="F52" s="37" t="s">
        <v>437</v>
      </c>
      <c r="G52" s="37" t="s">
        <v>436</v>
      </c>
      <c r="H52" s="37">
        <v>0</v>
      </c>
      <c r="I52" s="37">
        <v>0</v>
      </c>
      <c r="J52" s="37">
        <v>0</v>
      </c>
      <c r="K52" s="37">
        <v>0</v>
      </c>
      <c r="L52" s="37">
        <v>0</v>
      </c>
      <c r="M52" s="37">
        <v>0</v>
      </c>
      <c r="N52" s="37">
        <v>0</v>
      </c>
      <c r="O52" s="37">
        <v>0</v>
      </c>
      <c r="P52" s="37">
        <v>0</v>
      </c>
      <c r="Q52" s="37">
        <v>0</v>
      </c>
      <c r="R52" s="37">
        <v>0</v>
      </c>
      <c r="T52">
        <f t="shared" si="3"/>
        <v>0</v>
      </c>
      <c r="U52" s="1">
        <f t="shared" si="4"/>
        <v>0</v>
      </c>
    </row>
    <row r="53" spans="1:21" outlineLevel="1" x14ac:dyDescent="0.35"/>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BEC2-E022-4EDB-B386-DCD3574C5920}">
  <dimension ref="A3:D131"/>
  <sheetViews>
    <sheetView zoomScaleNormal="100" workbookViewId="0">
      <pane xSplit="3" ySplit="1" topLeftCell="D2" activePane="bottomRight" state="frozen"/>
      <selection activeCell="A5" sqref="A5"/>
      <selection pane="topRight" activeCell="A5" sqref="A5"/>
      <selection pane="bottomLeft" activeCell="A5" sqref="A5"/>
      <selection pane="bottomRight" activeCell="C20" sqref="C20"/>
    </sheetView>
  </sheetViews>
  <sheetFormatPr defaultColWidth="9.1796875" defaultRowHeight="14.5" x14ac:dyDescent="0.35"/>
  <cols>
    <col min="2" max="2" width="10" customWidth="1"/>
    <col min="3" max="3" width="61.453125" customWidth="1"/>
    <col min="4" max="4" width="20.54296875" customWidth="1"/>
  </cols>
  <sheetData>
    <row r="3" spans="1:4" ht="15.5" x14ac:dyDescent="0.35">
      <c r="B3" s="5"/>
      <c r="C3" s="6" t="s">
        <v>60</v>
      </c>
      <c r="D3" s="7" t="s">
        <v>61</v>
      </c>
    </row>
    <row r="4" spans="1:4" ht="15.5" x14ac:dyDescent="0.35">
      <c r="B4" s="9" t="s">
        <v>62</v>
      </c>
    </row>
    <row r="5" spans="1:4" ht="15.5" x14ac:dyDescent="0.35">
      <c r="B5" s="9"/>
      <c r="C5" s="10" t="s">
        <v>18</v>
      </c>
      <c r="D5" s="7" t="s">
        <v>63</v>
      </c>
    </row>
    <row r="6" spans="1:4" ht="15.5" x14ac:dyDescent="0.35">
      <c r="B6" s="9"/>
      <c r="C6" s="11" t="s">
        <v>64</v>
      </c>
      <c r="D6" s="7" t="s">
        <v>65</v>
      </c>
    </row>
    <row r="7" spans="1:4" x14ac:dyDescent="0.35">
      <c r="A7">
        <v>13</v>
      </c>
      <c r="B7" s="12" t="s">
        <v>66</v>
      </c>
      <c r="C7" t="s">
        <v>67</v>
      </c>
      <c r="D7" s="7" t="s">
        <v>68</v>
      </c>
    </row>
    <row r="8" spans="1:4" x14ac:dyDescent="0.35">
      <c r="A8">
        <v>17</v>
      </c>
      <c r="B8" s="12" t="s">
        <v>66</v>
      </c>
      <c r="C8" t="s">
        <v>69</v>
      </c>
      <c r="D8" s="7" t="s">
        <v>68</v>
      </c>
    </row>
    <row r="9" spans="1:4" x14ac:dyDescent="0.35">
      <c r="A9">
        <v>18</v>
      </c>
      <c r="B9" s="12" t="s">
        <v>66</v>
      </c>
      <c r="C9" t="s">
        <v>70</v>
      </c>
      <c r="D9" s="7" t="s">
        <v>68</v>
      </c>
    </row>
    <row r="10" spans="1:4" x14ac:dyDescent="0.35">
      <c r="A10">
        <v>19</v>
      </c>
      <c r="B10" s="12" t="s">
        <v>66</v>
      </c>
      <c r="C10" t="s">
        <v>71</v>
      </c>
      <c r="D10" s="7" t="s">
        <v>68</v>
      </c>
    </row>
    <row r="11" spans="1:4" x14ac:dyDescent="0.35">
      <c r="A11">
        <v>20</v>
      </c>
      <c r="B11" s="12" t="s">
        <v>66</v>
      </c>
      <c r="C11" t="s">
        <v>72</v>
      </c>
      <c r="D11" s="7" t="s">
        <v>68</v>
      </c>
    </row>
    <row r="12" spans="1:4" x14ac:dyDescent="0.35">
      <c r="A12">
        <v>44</v>
      </c>
      <c r="B12" s="12" t="s">
        <v>73</v>
      </c>
      <c r="C12" t="s">
        <v>74</v>
      </c>
      <c r="D12" s="13" t="s">
        <v>75</v>
      </c>
    </row>
    <row r="14" spans="1:4" x14ac:dyDescent="0.35">
      <c r="B14" s="14"/>
      <c r="C14" t="s">
        <v>76</v>
      </c>
      <c r="D14" s="7" t="s">
        <v>77</v>
      </c>
    </row>
    <row r="15" spans="1:4" x14ac:dyDescent="0.35">
      <c r="A15">
        <v>33</v>
      </c>
      <c r="B15" s="14" t="s">
        <v>78</v>
      </c>
      <c r="C15" t="s">
        <v>79</v>
      </c>
      <c r="D15" s="15" t="s">
        <v>68</v>
      </c>
    </row>
    <row r="16" spans="1:4" x14ac:dyDescent="0.35">
      <c r="A16">
        <v>37</v>
      </c>
      <c r="B16" s="14" t="s">
        <v>78</v>
      </c>
      <c r="C16" s="16" t="s">
        <v>69</v>
      </c>
      <c r="D16" s="15" t="s">
        <v>68</v>
      </c>
    </row>
    <row r="17" spans="1:4" x14ac:dyDescent="0.35">
      <c r="A17">
        <v>38</v>
      </c>
      <c r="B17" s="14" t="s">
        <v>78</v>
      </c>
      <c r="C17" s="16" t="s">
        <v>70</v>
      </c>
      <c r="D17" s="15" t="s">
        <v>68</v>
      </c>
    </row>
    <row r="18" spans="1:4" x14ac:dyDescent="0.35">
      <c r="A18">
        <v>39</v>
      </c>
      <c r="B18" s="14" t="s">
        <v>78</v>
      </c>
      <c r="C18" s="16" t="s">
        <v>71</v>
      </c>
      <c r="D18" s="15" t="s">
        <v>68</v>
      </c>
    </row>
    <row r="19" spans="1:4" x14ac:dyDescent="0.35">
      <c r="A19">
        <v>40</v>
      </c>
      <c r="B19" s="14" t="s">
        <v>78</v>
      </c>
      <c r="C19" s="16" t="s">
        <v>72</v>
      </c>
      <c r="D19" s="15" t="s">
        <v>68</v>
      </c>
    </row>
    <row r="20" spans="1:4" x14ac:dyDescent="0.35">
      <c r="A20">
        <v>53</v>
      </c>
      <c r="B20" s="14" t="s">
        <v>80</v>
      </c>
      <c r="C20" t="s">
        <v>81</v>
      </c>
      <c r="D20" s="7" t="s">
        <v>68</v>
      </c>
    </row>
    <row r="21" spans="1:4" x14ac:dyDescent="0.35">
      <c r="B21" s="12"/>
      <c r="C21" t="s">
        <v>62</v>
      </c>
      <c r="D21" s="13"/>
    </row>
    <row r="22" spans="1:4" x14ac:dyDescent="0.35">
      <c r="B22" s="12"/>
      <c r="C22" s="11" t="s">
        <v>82</v>
      </c>
      <c r="D22" s="15" t="s">
        <v>83</v>
      </c>
    </row>
    <row r="23" spans="1:4" x14ac:dyDescent="0.35">
      <c r="A23">
        <v>23</v>
      </c>
      <c r="B23" s="12" t="s">
        <v>84</v>
      </c>
      <c r="C23" t="s">
        <v>85</v>
      </c>
      <c r="D23" s="7" t="s">
        <v>68</v>
      </c>
    </row>
    <row r="24" spans="1:4" x14ac:dyDescent="0.35">
      <c r="A24">
        <v>27</v>
      </c>
      <c r="B24" s="12" t="s">
        <v>84</v>
      </c>
      <c r="C24" t="s">
        <v>69</v>
      </c>
      <c r="D24" s="7" t="s">
        <v>68</v>
      </c>
    </row>
    <row r="25" spans="1:4" x14ac:dyDescent="0.35">
      <c r="A25">
        <v>28</v>
      </c>
      <c r="B25" s="12" t="s">
        <v>84</v>
      </c>
      <c r="C25" t="s">
        <v>70</v>
      </c>
      <c r="D25" s="7" t="s">
        <v>68</v>
      </c>
    </row>
    <row r="26" spans="1:4" x14ac:dyDescent="0.35">
      <c r="A26">
        <v>29</v>
      </c>
      <c r="B26" s="12" t="s">
        <v>84</v>
      </c>
      <c r="C26" t="s">
        <v>71</v>
      </c>
      <c r="D26" s="7" t="s">
        <v>68</v>
      </c>
    </row>
    <row r="27" spans="1:4" x14ac:dyDescent="0.35">
      <c r="A27">
        <v>30</v>
      </c>
      <c r="B27" s="12" t="s">
        <v>84</v>
      </c>
      <c r="C27" t="s">
        <v>72</v>
      </c>
      <c r="D27" s="7" t="s">
        <v>68</v>
      </c>
    </row>
    <row r="28" spans="1:4" x14ac:dyDescent="0.35">
      <c r="A28">
        <v>43</v>
      </c>
      <c r="B28" s="12" t="s">
        <v>73</v>
      </c>
      <c r="C28" t="s">
        <v>86</v>
      </c>
      <c r="D28" s="13" t="s">
        <v>75</v>
      </c>
    </row>
    <row r="29" spans="1:4" x14ac:dyDescent="0.35">
      <c r="B29" s="12"/>
      <c r="D29" s="7"/>
    </row>
    <row r="30" spans="1:4" x14ac:dyDescent="0.35">
      <c r="B30" s="12"/>
      <c r="D30" s="13"/>
    </row>
    <row r="31" spans="1:4" x14ac:dyDescent="0.35">
      <c r="B31" s="12"/>
      <c r="C31" s="10" t="s">
        <v>87</v>
      </c>
      <c r="D31" s="15" t="s">
        <v>88</v>
      </c>
    </row>
    <row r="32" spans="1:4" x14ac:dyDescent="0.35">
      <c r="B32" s="12"/>
      <c r="C32" s="11" t="s">
        <v>64</v>
      </c>
      <c r="D32" s="15" t="s">
        <v>89</v>
      </c>
    </row>
    <row r="33" spans="1:4" x14ac:dyDescent="0.35">
      <c r="A33">
        <v>71</v>
      </c>
      <c r="B33" s="12" t="s">
        <v>90</v>
      </c>
      <c r="C33" t="s">
        <v>91</v>
      </c>
      <c r="D33" s="7" t="s">
        <v>68</v>
      </c>
    </row>
    <row r="34" spans="1:4" x14ac:dyDescent="0.35">
      <c r="A34">
        <v>76</v>
      </c>
      <c r="B34" s="12" t="s">
        <v>90</v>
      </c>
      <c r="C34" t="s">
        <v>70</v>
      </c>
      <c r="D34" s="7" t="s">
        <v>68</v>
      </c>
    </row>
    <row r="35" spans="1:4" x14ac:dyDescent="0.35">
      <c r="A35">
        <v>77</v>
      </c>
      <c r="B35" s="12" t="s">
        <v>90</v>
      </c>
      <c r="C35" t="s">
        <v>71</v>
      </c>
      <c r="D35" s="7" t="s">
        <v>68</v>
      </c>
    </row>
    <row r="36" spans="1:4" x14ac:dyDescent="0.35">
      <c r="A36">
        <v>78</v>
      </c>
      <c r="B36" s="12" t="s">
        <v>90</v>
      </c>
      <c r="C36" t="s">
        <v>72</v>
      </c>
      <c r="D36" s="7" t="s">
        <v>68</v>
      </c>
    </row>
    <row r="37" spans="1:4" x14ac:dyDescent="0.35">
      <c r="B37" s="12"/>
      <c r="D37" s="7"/>
    </row>
    <row r="38" spans="1:4" x14ac:dyDescent="0.35">
      <c r="B38" s="12"/>
      <c r="C38" t="s">
        <v>76</v>
      </c>
      <c r="D38" s="7"/>
    </row>
    <row r="39" spans="1:4" x14ac:dyDescent="0.35">
      <c r="A39">
        <v>81</v>
      </c>
      <c r="B39" s="12" t="s">
        <v>92</v>
      </c>
      <c r="C39" t="s">
        <v>93</v>
      </c>
      <c r="D39" s="7" t="s">
        <v>68</v>
      </c>
    </row>
    <row r="40" spans="1:4" x14ac:dyDescent="0.35">
      <c r="A40">
        <v>86</v>
      </c>
      <c r="B40" s="12" t="s">
        <v>92</v>
      </c>
      <c r="C40" t="s">
        <v>70</v>
      </c>
      <c r="D40" s="7" t="s">
        <v>68</v>
      </c>
    </row>
    <row r="41" spans="1:4" x14ac:dyDescent="0.35">
      <c r="A41">
        <v>87</v>
      </c>
      <c r="B41" s="12" t="s">
        <v>92</v>
      </c>
      <c r="C41" t="s">
        <v>71</v>
      </c>
      <c r="D41" s="7" t="s">
        <v>68</v>
      </c>
    </row>
    <row r="42" spans="1:4" x14ac:dyDescent="0.35">
      <c r="A42">
        <v>88</v>
      </c>
      <c r="B42" s="12" t="s">
        <v>92</v>
      </c>
      <c r="C42" t="s">
        <v>72</v>
      </c>
      <c r="D42" s="7" t="s">
        <v>68</v>
      </c>
    </row>
    <row r="43" spans="1:4" x14ac:dyDescent="0.35">
      <c r="B43" s="12"/>
      <c r="D43" s="7"/>
    </row>
    <row r="44" spans="1:4" x14ac:dyDescent="0.35">
      <c r="B44" s="12"/>
      <c r="C44" s="11" t="s">
        <v>82</v>
      </c>
      <c r="D44" s="7" t="s">
        <v>94</v>
      </c>
    </row>
    <row r="45" spans="1:4" x14ac:dyDescent="0.35">
      <c r="A45">
        <v>91</v>
      </c>
      <c r="B45" s="12" t="s">
        <v>95</v>
      </c>
      <c r="C45" t="s">
        <v>96</v>
      </c>
      <c r="D45" s="7" t="s">
        <v>68</v>
      </c>
    </row>
    <row r="46" spans="1:4" x14ac:dyDescent="0.35">
      <c r="A46">
        <v>96</v>
      </c>
      <c r="B46" s="12" t="s">
        <v>95</v>
      </c>
      <c r="C46" t="s">
        <v>70</v>
      </c>
      <c r="D46" s="7" t="s">
        <v>68</v>
      </c>
    </row>
    <row r="47" spans="1:4" x14ac:dyDescent="0.35">
      <c r="A47">
        <v>97</v>
      </c>
      <c r="B47" s="12" t="s">
        <v>95</v>
      </c>
      <c r="C47" t="s">
        <v>71</v>
      </c>
      <c r="D47" s="7" t="s">
        <v>68</v>
      </c>
    </row>
    <row r="48" spans="1:4" x14ac:dyDescent="0.35">
      <c r="A48">
        <v>98</v>
      </c>
      <c r="B48" s="12" t="s">
        <v>95</v>
      </c>
      <c r="C48" t="s">
        <v>72</v>
      </c>
      <c r="D48" s="7" t="s">
        <v>68</v>
      </c>
    </row>
    <row r="49" spans="1:4" x14ac:dyDescent="0.35">
      <c r="B49" s="12"/>
      <c r="D49" s="7"/>
    </row>
    <row r="50" spans="1:4" x14ac:dyDescent="0.35">
      <c r="B50" s="12"/>
      <c r="D50" s="7"/>
    </row>
    <row r="52" spans="1:4" s="17" customFormat="1" x14ac:dyDescent="0.35"/>
    <row r="53" spans="1:4" ht="18.5" x14ac:dyDescent="0.45">
      <c r="B53" s="18" t="s">
        <v>97</v>
      </c>
    </row>
    <row r="54" spans="1:4" x14ac:dyDescent="0.35">
      <c r="D54" s="7" t="s">
        <v>62</v>
      </c>
    </row>
    <row r="55" spans="1:4" x14ac:dyDescent="0.35">
      <c r="A55">
        <v>3</v>
      </c>
      <c r="B55">
        <v>2.1</v>
      </c>
      <c r="C55" t="s">
        <v>98</v>
      </c>
      <c r="D55" s="19" t="s">
        <v>99</v>
      </c>
    </row>
    <row r="56" spans="1:4" x14ac:dyDescent="0.35">
      <c r="A56">
        <v>5</v>
      </c>
      <c r="B56">
        <v>2.1</v>
      </c>
      <c r="C56" t="s">
        <v>100</v>
      </c>
      <c r="D56" s="19" t="s">
        <v>99</v>
      </c>
    </row>
    <row r="57" spans="1:4" x14ac:dyDescent="0.35">
      <c r="A57">
        <v>6</v>
      </c>
      <c r="B57">
        <v>2.1</v>
      </c>
      <c r="C57" t="s">
        <v>101</v>
      </c>
      <c r="D57" s="19" t="s">
        <v>99</v>
      </c>
    </row>
    <row r="58" spans="1:4" x14ac:dyDescent="0.35">
      <c r="A58">
        <v>7</v>
      </c>
      <c r="B58">
        <v>2.2000000000000002</v>
      </c>
      <c r="C58" t="s">
        <v>102</v>
      </c>
      <c r="D58" s="19" t="s">
        <v>99</v>
      </c>
    </row>
    <row r="59" spans="1:4" x14ac:dyDescent="0.35">
      <c r="A59">
        <v>9</v>
      </c>
      <c r="B59">
        <v>2.2000000000000002</v>
      </c>
      <c r="C59" t="s">
        <v>103</v>
      </c>
      <c r="D59" s="19" t="s">
        <v>99</v>
      </c>
    </row>
    <row r="60" spans="1:4" x14ac:dyDescent="0.35">
      <c r="A60">
        <v>10</v>
      </c>
      <c r="B60">
        <v>2.2000000000000002</v>
      </c>
      <c r="C60" t="s">
        <v>104</v>
      </c>
      <c r="D60" s="19" t="s">
        <v>99</v>
      </c>
    </row>
    <row r="61" spans="1:4" x14ac:dyDescent="0.35">
      <c r="A61">
        <v>11</v>
      </c>
      <c r="B61">
        <v>2.2999999999999998</v>
      </c>
      <c r="C61" t="s">
        <v>105</v>
      </c>
      <c r="D61" s="19" t="s">
        <v>99</v>
      </c>
    </row>
    <row r="62" spans="1:4" s="20" customFormat="1" x14ac:dyDescent="0.35">
      <c r="A62">
        <v>13</v>
      </c>
      <c r="B62" s="8" t="s">
        <v>106</v>
      </c>
      <c r="C62" t="s">
        <v>107</v>
      </c>
      <c r="D62" s="19" t="s">
        <v>99</v>
      </c>
    </row>
    <row r="63" spans="1:4" s="20" customFormat="1" x14ac:dyDescent="0.35">
      <c r="A63">
        <v>15</v>
      </c>
      <c r="B63" s="8" t="s">
        <v>106</v>
      </c>
      <c r="C63" t="s">
        <v>108</v>
      </c>
      <c r="D63" s="19" t="s">
        <v>99</v>
      </c>
    </row>
    <row r="64" spans="1:4" s="20" customFormat="1" x14ac:dyDescent="0.35">
      <c r="A64">
        <v>21</v>
      </c>
      <c r="B64" s="8" t="s">
        <v>106</v>
      </c>
      <c r="C64" t="s">
        <v>109</v>
      </c>
      <c r="D64" s="19" t="s">
        <v>99</v>
      </c>
    </row>
    <row r="65" spans="1:4" s="20" customFormat="1" x14ac:dyDescent="0.35">
      <c r="A65">
        <v>22</v>
      </c>
      <c r="B65" s="8" t="s">
        <v>106</v>
      </c>
      <c r="C65" t="s">
        <v>110</v>
      </c>
      <c r="D65" s="19" t="s">
        <v>99</v>
      </c>
    </row>
    <row r="66" spans="1:4" s="20" customFormat="1" x14ac:dyDescent="0.35">
      <c r="A66">
        <v>23</v>
      </c>
      <c r="B66" s="8" t="s">
        <v>111</v>
      </c>
      <c r="C66" t="s">
        <v>112</v>
      </c>
      <c r="D66" s="19" t="s">
        <v>99</v>
      </c>
    </row>
    <row r="67" spans="1:4" s="20" customFormat="1" x14ac:dyDescent="0.35">
      <c r="A67">
        <v>25</v>
      </c>
      <c r="B67" s="8" t="s">
        <v>111</v>
      </c>
      <c r="C67" t="s">
        <v>113</v>
      </c>
      <c r="D67" s="19" t="s">
        <v>99</v>
      </c>
    </row>
    <row r="68" spans="1:4" x14ac:dyDescent="0.35">
      <c r="A68">
        <v>31</v>
      </c>
      <c r="B68" s="8" t="s">
        <v>111</v>
      </c>
      <c r="C68" t="s">
        <v>114</v>
      </c>
      <c r="D68" s="19" t="s">
        <v>99</v>
      </c>
    </row>
    <row r="69" spans="1:4" s="20" customFormat="1" x14ac:dyDescent="0.35">
      <c r="A69">
        <v>32</v>
      </c>
      <c r="B69" s="8" t="s">
        <v>111</v>
      </c>
      <c r="C69" t="s">
        <v>115</v>
      </c>
      <c r="D69" s="19" t="s">
        <v>99</v>
      </c>
    </row>
    <row r="70" spans="1:4" s="20" customFormat="1" x14ac:dyDescent="0.35">
      <c r="A70">
        <v>33</v>
      </c>
      <c r="B70" s="8" t="s">
        <v>116</v>
      </c>
      <c r="C70" t="s">
        <v>117</v>
      </c>
      <c r="D70" s="19" t="s">
        <v>99</v>
      </c>
    </row>
    <row r="71" spans="1:4" s="20" customFormat="1" x14ac:dyDescent="0.35">
      <c r="A71">
        <v>35</v>
      </c>
      <c r="B71" s="8" t="s">
        <v>116</v>
      </c>
      <c r="C71" t="s">
        <v>118</v>
      </c>
      <c r="D71" s="19" t="s">
        <v>99</v>
      </c>
    </row>
    <row r="72" spans="1:4" x14ac:dyDescent="0.35">
      <c r="A72">
        <v>41</v>
      </c>
      <c r="B72" s="8" t="s">
        <v>116</v>
      </c>
      <c r="C72" t="s">
        <v>119</v>
      </c>
      <c r="D72" s="19" t="s">
        <v>99</v>
      </c>
    </row>
    <row r="73" spans="1:4" x14ac:dyDescent="0.35">
      <c r="A73">
        <v>42</v>
      </c>
      <c r="B73" s="8" t="s">
        <v>116</v>
      </c>
      <c r="C73" t="s">
        <v>120</v>
      </c>
      <c r="D73" s="19" t="s">
        <v>99</v>
      </c>
    </row>
    <row r="74" spans="1:4" x14ac:dyDescent="0.35">
      <c r="A74">
        <v>45</v>
      </c>
      <c r="B74" s="8">
        <v>2.6</v>
      </c>
      <c r="C74" t="s">
        <v>121</v>
      </c>
      <c r="D74" s="19" t="s">
        <v>99</v>
      </c>
    </row>
    <row r="75" spans="1:4" s="20" customFormat="1" x14ac:dyDescent="0.35">
      <c r="A75">
        <v>46</v>
      </c>
      <c r="B75">
        <v>2.6</v>
      </c>
      <c r="C75" t="s">
        <v>122</v>
      </c>
      <c r="D75" s="19" t="s">
        <v>99</v>
      </c>
    </row>
    <row r="76" spans="1:4" s="20" customFormat="1" x14ac:dyDescent="0.35">
      <c r="A76">
        <v>47</v>
      </c>
      <c r="B76">
        <v>2.7</v>
      </c>
      <c r="C76" t="s">
        <v>123</v>
      </c>
      <c r="D76" s="19" t="s">
        <v>99</v>
      </c>
    </row>
    <row r="77" spans="1:4" s="20" customFormat="1" x14ac:dyDescent="0.35">
      <c r="A77">
        <v>48</v>
      </c>
      <c r="B77">
        <v>2.7</v>
      </c>
      <c r="C77" t="s">
        <v>124</v>
      </c>
      <c r="D77" s="19" t="s">
        <v>99</v>
      </c>
    </row>
    <row r="78" spans="1:4" s="20" customFormat="1" x14ac:dyDescent="0.35">
      <c r="A78">
        <v>49</v>
      </c>
      <c r="B78">
        <v>2.7</v>
      </c>
      <c r="C78" t="s">
        <v>125</v>
      </c>
      <c r="D78" s="19" t="s">
        <v>99</v>
      </c>
    </row>
    <row r="79" spans="1:4" s="20" customFormat="1" x14ac:dyDescent="0.35">
      <c r="A79">
        <v>50</v>
      </c>
      <c r="B79">
        <v>2.7</v>
      </c>
      <c r="C79" t="s">
        <v>126</v>
      </c>
      <c r="D79" s="19" t="s">
        <v>99</v>
      </c>
    </row>
    <row r="80" spans="1:4" s="20" customFormat="1" x14ac:dyDescent="0.35">
      <c r="A80">
        <v>51</v>
      </c>
      <c r="B80">
        <v>2.8</v>
      </c>
      <c r="C80" t="s">
        <v>127</v>
      </c>
      <c r="D80" s="19" t="s">
        <v>99</v>
      </c>
    </row>
    <row r="81" spans="1:4" x14ac:dyDescent="0.35">
      <c r="A81">
        <v>52</v>
      </c>
      <c r="B81">
        <v>2.8</v>
      </c>
      <c r="C81" t="s">
        <v>128</v>
      </c>
      <c r="D81" s="19" t="s">
        <v>99</v>
      </c>
    </row>
    <row r="82" spans="1:4" x14ac:dyDescent="0.35">
      <c r="A82">
        <v>55</v>
      </c>
      <c r="B82">
        <v>2.9</v>
      </c>
      <c r="C82" t="s">
        <v>129</v>
      </c>
      <c r="D82" s="19" t="s">
        <v>99</v>
      </c>
    </row>
    <row r="83" spans="1:4" x14ac:dyDescent="0.35">
      <c r="A83">
        <v>56</v>
      </c>
      <c r="B83">
        <v>2.9</v>
      </c>
      <c r="C83" t="s">
        <v>130</v>
      </c>
      <c r="D83" s="19" t="s">
        <v>99</v>
      </c>
    </row>
    <row r="84" spans="1:4" x14ac:dyDescent="0.35">
      <c r="A84">
        <v>57</v>
      </c>
      <c r="B84">
        <v>2.9</v>
      </c>
      <c r="C84" t="s">
        <v>131</v>
      </c>
      <c r="D84" s="19" t="s">
        <v>99</v>
      </c>
    </row>
    <row r="85" spans="1:4" x14ac:dyDescent="0.35">
      <c r="A85">
        <v>58</v>
      </c>
      <c r="B85">
        <v>2.9</v>
      </c>
      <c r="C85" t="s">
        <v>132</v>
      </c>
      <c r="D85" s="19" t="s">
        <v>99</v>
      </c>
    </row>
    <row r="86" spans="1:4" x14ac:dyDescent="0.35">
      <c r="A86">
        <v>59</v>
      </c>
      <c r="B86">
        <v>2.9</v>
      </c>
      <c r="C86" t="s">
        <v>133</v>
      </c>
      <c r="D86" s="19" t="s">
        <v>99</v>
      </c>
    </row>
    <row r="87" spans="1:4" x14ac:dyDescent="0.35">
      <c r="A87">
        <v>60</v>
      </c>
      <c r="B87">
        <v>2.9</v>
      </c>
      <c r="C87" t="s">
        <v>134</v>
      </c>
      <c r="D87" s="19" t="s">
        <v>99</v>
      </c>
    </row>
    <row r="88" spans="1:4" x14ac:dyDescent="0.35">
      <c r="A88">
        <v>62</v>
      </c>
      <c r="B88">
        <v>2.9</v>
      </c>
      <c r="C88" t="s">
        <v>135</v>
      </c>
      <c r="D88" s="19" t="s">
        <v>99</v>
      </c>
    </row>
    <row r="89" spans="1:4" x14ac:dyDescent="0.35">
      <c r="A89">
        <v>63</v>
      </c>
      <c r="B89">
        <v>2.9</v>
      </c>
      <c r="C89" t="s">
        <v>136</v>
      </c>
      <c r="D89" s="19" t="s">
        <v>99</v>
      </c>
    </row>
    <row r="90" spans="1:4" x14ac:dyDescent="0.35">
      <c r="A90">
        <v>64</v>
      </c>
      <c r="B90">
        <v>2.9</v>
      </c>
      <c r="C90" t="s">
        <v>137</v>
      </c>
      <c r="D90" s="19" t="s">
        <v>99</v>
      </c>
    </row>
    <row r="91" spans="1:4" x14ac:dyDescent="0.35">
      <c r="A91">
        <v>65</v>
      </c>
      <c r="B91">
        <v>2.9</v>
      </c>
      <c r="C91" t="s">
        <v>138</v>
      </c>
      <c r="D91" s="19" t="s">
        <v>99</v>
      </c>
    </row>
    <row r="92" spans="1:4" x14ac:dyDescent="0.35">
      <c r="A92">
        <v>66</v>
      </c>
      <c r="B92">
        <v>2.9</v>
      </c>
      <c r="C92" t="s">
        <v>139</v>
      </c>
      <c r="D92" s="19" t="s">
        <v>99</v>
      </c>
    </row>
    <row r="93" spans="1:4" x14ac:dyDescent="0.35">
      <c r="A93">
        <v>67</v>
      </c>
      <c r="B93">
        <v>2.9</v>
      </c>
      <c r="C93" t="s">
        <v>140</v>
      </c>
      <c r="D93" s="19" t="s">
        <v>99</v>
      </c>
    </row>
    <row r="94" spans="1:4" x14ac:dyDescent="0.35">
      <c r="A94">
        <v>68</v>
      </c>
      <c r="B94">
        <v>2.9</v>
      </c>
      <c r="C94" t="s">
        <v>141</v>
      </c>
      <c r="D94" s="19" t="s">
        <v>99</v>
      </c>
    </row>
    <row r="95" spans="1:4" x14ac:dyDescent="0.35">
      <c r="A95">
        <v>69</v>
      </c>
      <c r="B95" s="8">
        <v>2.1</v>
      </c>
      <c r="C95" t="s">
        <v>142</v>
      </c>
      <c r="D95" s="19" t="s">
        <v>99</v>
      </c>
    </row>
    <row r="96" spans="1:4" x14ac:dyDescent="0.35">
      <c r="A96">
        <v>70</v>
      </c>
      <c r="B96" s="8">
        <v>2.1</v>
      </c>
      <c r="C96" t="s">
        <v>143</v>
      </c>
      <c r="D96" s="19" t="s">
        <v>99</v>
      </c>
    </row>
    <row r="97" spans="1:4" x14ac:dyDescent="0.35">
      <c r="A97">
        <v>73</v>
      </c>
      <c r="B97" t="s">
        <v>144</v>
      </c>
      <c r="C97" t="s">
        <v>145</v>
      </c>
      <c r="D97" s="19" t="s">
        <v>99</v>
      </c>
    </row>
    <row r="98" spans="1:4" x14ac:dyDescent="0.35">
      <c r="A98">
        <v>74</v>
      </c>
      <c r="B98" t="s">
        <v>144</v>
      </c>
      <c r="C98" t="s">
        <v>146</v>
      </c>
      <c r="D98" s="19" t="s">
        <v>99</v>
      </c>
    </row>
    <row r="99" spans="1:4" x14ac:dyDescent="0.35">
      <c r="A99">
        <v>79</v>
      </c>
      <c r="B99" t="s">
        <v>144</v>
      </c>
      <c r="C99" t="s">
        <v>147</v>
      </c>
      <c r="D99" s="19" t="s">
        <v>99</v>
      </c>
    </row>
    <row r="100" spans="1:4" x14ac:dyDescent="0.35">
      <c r="A100">
        <v>80</v>
      </c>
      <c r="B100" t="s">
        <v>144</v>
      </c>
      <c r="C100" t="s">
        <v>148</v>
      </c>
      <c r="D100" s="19" t="s">
        <v>99</v>
      </c>
    </row>
    <row r="101" spans="1:4" x14ac:dyDescent="0.35">
      <c r="A101">
        <v>82</v>
      </c>
      <c r="B101" t="s">
        <v>149</v>
      </c>
      <c r="C101" t="s">
        <v>150</v>
      </c>
      <c r="D101" s="19" t="s">
        <v>99</v>
      </c>
    </row>
    <row r="102" spans="1:4" x14ac:dyDescent="0.35">
      <c r="A102">
        <v>83</v>
      </c>
      <c r="B102" t="s">
        <v>149</v>
      </c>
      <c r="C102" t="s">
        <v>151</v>
      </c>
      <c r="D102" s="19" t="s">
        <v>99</v>
      </c>
    </row>
    <row r="103" spans="1:4" x14ac:dyDescent="0.35">
      <c r="A103">
        <v>84</v>
      </c>
      <c r="B103" t="s">
        <v>149</v>
      </c>
      <c r="C103" t="s">
        <v>152</v>
      </c>
      <c r="D103" s="19" t="s">
        <v>99</v>
      </c>
    </row>
    <row r="104" spans="1:4" x14ac:dyDescent="0.35">
      <c r="A104">
        <v>89</v>
      </c>
      <c r="B104" t="s">
        <v>149</v>
      </c>
      <c r="C104" t="s">
        <v>153</v>
      </c>
      <c r="D104" s="19" t="s">
        <v>99</v>
      </c>
    </row>
    <row r="105" spans="1:4" x14ac:dyDescent="0.35">
      <c r="A105">
        <v>90</v>
      </c>
      <c r="B105" t="s">
        <v>149</v>
      </c>
      <c r="C105" t="s">
        <v>154</v>
      </c>
      <c r="D105" s="19" t="s">
        <v>99</v>
      </c>
    </row>
    <row r="106" spans="1:4" x14ac:dyDescent="0.35">
      <c r="A106">
        <v>92</v>
      </c>
      <c r="B106" t="s">
        <v>155</v>
      </c>
      <c r="C106" t="s">
        <v>156</v>
      </c>
      <c r="D106" s="19" t="s">
        <v>99</v>
      </c>
    </row>
    <row r="107" spans="1:4" x14ac:dyDescent="0.35">
      <c r="A107">
        <v>93</v>
      </c>
      <c r="B107" t="s">
        <v>155</v>
      </c>
      <c r="C107" t="s">
        <v>157</v>
      </c>
      <c r="D107" s="19" t="s">
        <v>99</v>
      </c>
    </row>
    <row r="108" spans="1:4" x14ac:dyDescent="0.35">
      <c r="A108">
        <v>94</v>
      </c>
      <c r="B108" t="s">
        <v>155</v>
      </c>
      <c r="C108" t="s">
        <v>158</v>
      </c>
      <c r="D108" s="19" t="s">
        <v>99</v>
      </c>
    </row>
    <row r="109" spans="1:4" x14ac:dyDescent="0.35">
      <c r="A109">
        <v>99</v>
      </c>
      <c r="B109" t="s">
        <v>155</v>
      </c>
      <c r="C109" t="s">
        <v>159</v>
      </c>
      <c r="D109" s="19" t="s">
        <v>99</v>
      </c>
    </row>
    <row r="110" spans="1:4" x14ac:dyDescent="0.35">
      <c r="A110">
        <v>100</v>
      </c>
      <c r="B110" t="s">
        <v>155</v>
      </c>
      <c r="C110" t="s">
        <v>160</v>
      </c>
      <c r="D110" s="19" t="s">
        <v>99</v>
      </c>
    </row>
    <row r="111" spans="1:4" x14ac:dyDescent="0.35">
      <c r="A111">
        <v>101</v>
      </c>
      <c r="B111">
        <v>2.12</v>
      </c>
      <c r="C111" t="s">
        <v>161</v>
      </c>
      <c r="D111" s="19" t="s">
        <v>99</v>
      </c>
    </row>
    <row r="112" spans="1:4" x14ac:dyDescent="0.35">
      <c r="A112">
        <v>102</v>
      </c>
      <c r="B112">
        <v>2.12</v>
      </c>
      <c r="C112" t="s">
        <v>162</v>
      </c>
      <c r="D112" s="19" t="s">
        <v>99</v>
      </c>
    </row>
    <row r="113" spans="1:4" x14ac:dyDescent="0.35">
      <c r="A113">
        <v>103</v>
      </c>
      <c r="B113">
        <v>2.12</v>
      </c>
      <c r="C113" t="s">
        <v>163</v>
      </c>
      <c r="D113" s="19" t="s">
        <v>99</v>
      </c>
    </row>
    <row r="114" spans="1:4" x14ac:dyDescent="0.35">
      <c r="A114">
        <v>104</v>
      </c>
      <c r="B114">
        <v>2.12</v>
      </c>
      <c r="C114" t="s">
        <v>164</v>
      </c>
      <c r="D114" s="19" t="s">
        <v>99</v>
      </c>
    </row>
    <row r="115" spans="1:4" x14ac:dyDescent="0.35">
      <c r="A115">
        <v>105</v>
      </c>
      <c r="B115">
        <v>2.12</v>
      </c>
      <c r="C115" t="s">
        <v>165</v>
      </c>
      <c r="D115" s="19" t="s">
        <v>99</v>
      </c>
    </row>
    <row r="116" spans="1:4" x14ac:dyDescent="0.35">
      <c r="A116">
        <v>107</v>
      </c>
      <c r="B116">
        <v>2.12</v>
      </c>
      <c r="C116" t="s">
        <v>166</v>
      </c>
      <c r="D116" s="19" t="s">
        <v>99</v>
      </c>
    </row>
    <row r="117" spans="1:4" x14ac:dyDescent="0.35">
      <c r="A117">
        <v>108</v>
      </c>
      <c r="B117">
        <v>2.12</v>
      </c>
      <c r="C117" t="s">
        <v>167</v>
      </c>
      <c r="D117" s="19" t="s">
        <v>99</v>
      </c>
    </row>
    <row r="118" spans="1:4" x14ac:dyDescent="0.35">
      <c r="A118">
        <v>109</v>
      </c>
      <c r="B118">
        <v>2.12</v>
      </c>
      <c r="C118" t="s">
        <v>168</v>
      </c>
      <c r="D118" s="19" t="s">
        <v>99</v>
      </c>
    </row>
    <row r="119" spans="1:4" x14ac:dyDescent="0.35">
      <c r="A119">
        <v>110</v>
      </c>
      <c r="B119">
        <v>2.12</v>
      </c>
      <c r="C119" t="s">
        <v>169</v>
      </c>
      <c r="D119" s="19" t="s">
        <v>99</v>
      </c>
    </row>
    <row r="120" spans="1:4" x14ac:dyDescent="0.35">
      <c r="A120">
        <v>111</v>
      </c>
      <c r="B120">
        <v>2.12</v>
      </c>
      <c r="C120" t="s">
        <v>170</v>
      </c>
      <c r="D120" s="19" t="s">
        <v>99</v>
      </c>
    </row>
    <row r="121" spans="1:4" x14ac:dyDescent="0.35">
      <c r="A121">
        <v>112</v>
      </c>
      <c r="B121">
        <v>2.12</v>
      </c>
      <c r="C121" t="s">
        <v>168</v>
      </c>
      <c r="D121" s="19" t="s">
        <v>99</v>
      </c>
    </row>
    <row r="122" spans="1:4" x14ac:dyDescent="0.35">
      <c r="A122">
        <v>113</v>
      </c>
      <c r="B122">
        <v>2.12</v>
      </c>
      <c r="C122" t="s">
        <v>171</v>
      </c>
      <c r="D122" s="19" t="s">
        <v>99</v>
      </c>
    </row>
    <row r="123" spans="1:4" x14ac:dyDescent="0.35">
      <c r="A123">
        <v>114</v>
      </c>
      <c r="B123">
        <v>2.12</v>
      </c>
      <c r="C123" t="s">
        <v>170</v>
      </c>
      <c r="D123" s="19" t="s">
        <v>99</v>
      </c>
    </row>
    <row r="124" spans="1:4" x14ac:dyDescent="0.35">
      <c r="A124">
        <v>115</v>
      </c>
      <c r="B124">
        <v>2.12</v>
      </c>
      <c r="C124" t="s">
        <v>168</v>
      </c>
      <c r="D124" s="19" t="s">
        <v>99</v>
      </c>
    </row>
    <row r="125" spans="1:4" x14ac:dyDescent="0.35">
      <c r="A125">
        <v>117</v>
      </c>
      <c r="B125">
        <v>2.12</v>
      </c>
      <c r="C125" t="s">
        <v>172</v>
      </c>
      <c r="D125" s="19" t="s">
        <v>99</v>
      </c>
    </row>
    <row r="126" spans="1:4" x14ac:dyDescent="0.35">
      <c r="A126">
        <v>118</v>
      </c>
      <c r="B126">
        <v>2.12</v>
      </c>
      <c r="C126" t="s">
        <v>173</v>
      </c>
      <c r="D126" s="19" t="s">
        <v>99</v>
      </c>
    </row>
    <row r="127" spans="1:4" x14ac:dyDescent="0.35">
      <c r="A127">
        <v>119</v>
      </c>
      <c r="B127">
        <v>2.12</v>
      </c>
      <c r="C127" t="s">
        <v>174</v>
      </c>
      <c r="D127" s="19" t="s">
        <v>99</v>
      </c>
    </row>
    <row r="128" spans="1:4" x14ac:dyDescent="0.35">
      <c r="A128">
        <v>120</v>
      </c>
      <c r="B128">
        <v>2.12</v>
      </c>
      <c r="C128" t="s">
        <v>175</v>
      </c>
      <c r="D128" s="19" t="s">
        <v>99</v>
      </c>
    </row>
    <row r="129" spans="1:4" x14ac:dyDescent="0.35">
      <c r="A129">
        <v>121</v>
      </c>
      <c r="B129">
        <v>2.12</v>
      </c>
      <c r="C129" t="s">
        <v>176</v>
      </c>
      <c r="D129" s="19" t="s">
        <v>99</v>
      </c>
    </row>
    <row r="130" spans="1:4" x14ac:dyDescent="0.35">
      <c r="A130">
        <v>122</v>
      </c>
      <c r="B130">
        <v>2.12</v>
      </c>
      <c r="C130" t="s">
        <v>177</v>
      </c>
      <c r="D130" s="19" t="s">
        <v>99</v>
      </c>
    </row>
    <row r="131" spans="1:4" x14ac:dyDescent="0.35">
      <c r="A131">
        <v>123</v>
      </c>
      <c r="B131">
        <v>2.13</v>
      </c>
      <c r="C131" t="s">
        <v>178</v>
      </c>
      <c r="D131" s="19" t="s">
        <v>99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274D8-E65A-4A44-AAC7-4BA9146B8EFB}">
  <dimension ref="A1:D217"/>
  <sheetViews>
    <sheetView zoomScaleNormal="100" workbookViewId="0">
      <pane xSplit="3" ySplit="2" topLeftCell="D3" activePane="bottomRight" state="frozen"/>
      <selection pane="topRight" activeCell="D1" sqref="D1"/>
      <selection pane="bottomLeft" activeCell="A3" sqref="A3"/>
      <selection pane="bottomRight" activeCell="F10" sqref="F10"/>
    </sheetView>
  </sheetViews>
  <sheetFormatPr defaultColWidth="9.1796875" defaultRowHeight="14.5" x14ac:dyDescent="0.35"/>
  <cols>
    <col min="1" max="1" width="5.453125" customWidth="1"/>
    <col min="2" max="2" width="6.453125" customWidth="1"/>
    <col min="3" max="3" width="76.1796875" customWidth="1"/>
    <col min="4" max="4" width="42.26953125" customWidth="1"/>
  </cols>
  <sheetData>
    <row r="1" spans="1:4" ht="18.5" x14ac:dyDescent="0.45">
      <c r="B1" s="18" t="s">
        <v>208</v>
      </c>
    </row>
    <row r="2" spans="1:4" ht="18.5" x14ac:dyDescent="0.45">
      <c r="B2" s="18"/>
    </row>
    <row r="3" spans="1:4" ht="15.5" x14ac:dyDescent="0.35">
      <c r="B3" s="23"/>
      <c r="C3" s="6" t="s">
        <v>209</v>
      </c>
      <c r="D3" s="7" t="s">
        <v>210</v>
      </c>
    </row>
    <row r="4" spans="1:4" x14ac:dyDescent="0.35">
      <c r="B4" s="23"/>
    </row>
    <row r="5" spans="1:4" x14ac:dyDescent="0.35">
      <c r="B5" s="23"/>
      <c r="C5" s="11" t="s">
        <v>211</v>
      </c>
      <c r="D5" s="7" t="s">
        <v>212</v>
      </c>
    </row>
    <row r="6" spans="1:4" x14ac:dyDescent="0.35">
      <c r="B6" s="23" t="s">
        <v>62</v>
      </c>
      <c r="C6" s="2" t="s">
        <v>62</v>
      </c>
      <c r="D6" s="7" t="s">
        <v>213</v>
      </c>
    </row>
    <row r="7" spans="1:4" x14ac:dyDescent="0.35">
      <c r="A7">
        <v>325</v>
      </c>
      <c r="B7" s="12" t="s">
        <v>214</v>
      </c>
      <c r="C7" t="s">
        <v>215</v>
      </c>
      <c r="D7" s="7" t="s">
        <v>216</v>
      </c>
    </row>
    <row r="8" spans="1:4" x14ac:dyDescent="0.35">
      <c r="A8">
        <v>303</v>
      </c>
      <c r="B8" s="14" t="s">
        <v>217</v>
      </c>
      <c r="C8" t="s">
        <v>26</v>
      </c>
      <c r="D8" s="7" t="s">
        <v>68</v>
      </c>
    </row>
    <row r="9" spans="1:4" x14ac:dyDescent="0.35">
      <c r="A9">
        <v>307</v>
      </c>
      <c r="B9" s="24" t="s">
        <v>218</v>
      </c>
      <c r="C9" t="s">
        <v>27</v>
      </c>
      <c r="D9" s="7" t="s">
        <v>68</v>
      </c>
    </row>
    <row r="10" spans="1:4" x14ac:dyDescent="0.35">
      <c r="A10">
        <v>316</v>
      </c>
      <c r="B10" s="24" t="s">
        <v>218</v>
      </c>
      <c r="C10" t="s">
        <v>28</v>
      </c>
      <c r="D10" s="7" t="s">
        <v>68</v>
      </c>
    </row>
    <row r="11" spans="1:4" x14ac:dyDescent="0.35">
      <c r="A11">
        <v>326</v>
      </c>
      <c r="B11" s="14" t="s">
        <v>219</v>
      </c>
      <c r="C11" t="s">
        <v>29</v>
      </c>
      <c r="D11" s="7" t="s">
        <v>220</v>
      </c>
    </row>
    <row r="12" spans="1:4" x14ac:dyDescent="0.35">
      <c r="A12">
        <v>329</v>
      </c>
      <c r="B12" s="14" t="s">
        <v>222</v>
      </c>
      <c r="C12" t="s">
        <v>223</v>
      </c>
      <c r="D12" s="7" t="s">
        <v>224</v>
      </c>
    </row>
    <row r="13" spans="1:4" x14ac:dyDescent="0.35">
      <c r="A13">
        <v>331</v>
      </c>
      <c r="B13" s="12" t="s">
        <v>225</v>
      </c>
      <c r="C13" t="s">
        <v>30</v>
      </c>
      <c r="D13" s="7" t="s">
        <v>68</v>
      </c>
    </row>
    <row r="15" spans="1:4" x14ac:dyDescent="0.35">
      <c r="B15" s="23"/>
    </row>
    <row r="16" spans="1:4" x14ac:dyDescent="0.35">
      <c r="B16" s="23"/>
      <c r="C16" s="11" t="s">
        <v>226</v>
      </c>
      <c r="D16" s="7" t="s">
        <v>227</v>
      </c>
    </row>
    <row r="17" spans="1:4" x14ac:dyDescent="0.35">
      <c r="B17" s="23"/>
      <c r="C17" s="2" t="s">
        <v>62</v>
      </c>
      <c r="D17" s="7" t="s">
        <v>228</v>
      </c>
    </row>
    <row r="18" spans="1:4" x14ac:dyDescent="0.35">
      <c r="A18">
        <v>339</v>
      </c>
      <c r="B18" s="12" t="s">
        <v>229</v>
      </c>
      <c r="C18" t="s">
        <v>32</v>
      </c>
      <c r="D18" s="7" t="s">
        <v>68</v>
      </c>
    </row>
    <row r="19" spans="1:4" x14ac:dyDescent="0.35">
      <c r="B19" s="12" t="s">
        <v>230</v>
      </c>
      <c r="C19" t="s">
        <v>231</v>
      </c>
      <c r="D19" s="7" t="s">
        <v>232</v>
      </c>
    </row>
    <row r="20" spans="1:4" x14ac:dyDescent="0.35">
      <c r="A20">
        <v>344</v>
      </c>
      <c r="B20" s="12"/>
      <c r="C20" s="22" t="s">
        <v>34</v>
      </c>
      <c r="D20" s="7"/>
    </row>
    <row r="21" spans="1:4" x14ac:dyDescent="0.35">
      <c r="A21">
        <v>345</v>
      </c>
      <c r="B21" s="12"/>
      <c r="C21" s="22" t="s">
        <v>35</v>
      </c>
      <c r="D21" s="7"/>
    </row>
    <row r="22" spans="1:4" x14ac:dyDescent="0.35">
      <c r="A22">
        <v>346</v>
      </c>
      <c r="B22" s="12"/>
      <c r="C22" s="22" t="s">
        <v>36</v>
      </c>
      <c r="D22" s="7"/>
    </row>
    <row r="23" spans="1:4" x14ac:dyDescent="0.35">
      <c r="A23">
        <v>347</v>
      </c>
      <c r="B23" s="12"/>
      <c r="C23" s="22" t="s">
        <v>37</v>
      </c>
      <c r="D23" s="7"/>
    </row>
    <row r="24" spans="1:4" x14ac:dyDescent="0.35">
      <c r="A24">
        <v>348</v>
      </c>
      <c r="B24" s="12"/>
      <c r="C24" s="22" t="s">
        <v>38</v>
      </c>
      <c r="D24" s="7"/>
    </row>
    <row r="25" spans="1:4" x14ac:dyDescent="0.35">
      <c r="B25" s="12"/>
      <c r="C25" s="25" t="s">
        <v>39</v>
      </c>
      <c r="D25" s="7"/>
    </row>
    <row r="26" spans="1:4" x14ac:dyDescent="0.35">
      <c r="A26">
        <v>379</v>
      </c>
      <c r="B26" s="12" t="s">
        <v>233</v>
      </c>
      <c r="C26" t="s">
        <v>40</v>
      </c>
      <c r="D26" s="7" t="s">
        <v>68</v>
      </c>
    </row>
    <row r="27" spans="1:4" x14ac:dyDescent="0.35">
      <c r="A27">
        <v>420</v>
      </c>
      <c r="B27" s="12" t="s">
        <v>234</v>
      </c>
      <c r="C27" t="s">
        <v>41</v>
      </c>
      <c r="D27" s="7" t="s">
        <v>235</v>
      </c>
    </row>
    <row r="28" spans="1:4" x14ac:dyDescent="0.35">
      <c r="A28">
        <v>421</v>
      </c>
      <c r="B28" s="12" t="s">
        <v>236</v>
      </c>
      <c r="C28" t="s">
        <v>42</v>
      </c>
      <c r="D28" s="7" t="s">
        <v>235</v>
      </c>
    </row>
    <row r="29" spans="1:4" x14ac:dyDescent="0.35">
      <c r="A29">
        <v>422</v>
      </c>
      <c r="B29" s="12" t="s">
        <v>237</v>
      </c>
      <c r="C29" t="s">
        <v>43</v>
      </c>
      <c r="D29" s="7" t="s">
        <v>235</v>
      </c>
    </row>
    <row r="30" spans="1:4" x14ac:dyDescent="0.35">
      <c r="A30">
        <v>424</v>
      </c>
      <c r="B30" s="12" t="s">
        <v>237</v>
      </c>
      <c r="C30" t="s">
        <v>44</v>
      </c>
      <c r="D30" s="7" t="s">
        <v>235</v>
      </c>
    </row>
    <row r="31" spans="1:4" x14ac:dyDescent="0.35">
      <c r="A31">
        <v>431</v>
      </c>
      <c r="B31" s="12" t="s">
        <v>237</v>
      </c>
      <c r="C31" t="s">
        <v>45</v>
      </c>
      <c r="D31" s="7" t="s">
        <v>235</v>
      </c>
    </row>
    <row r="32" spans="1:4" x14ac:dyDescent="0.35">
      <c r="A32">
        <v>439</v>
      </c>
      <c r="B32" s="12" t="s">
        <v>238</v>
      </c>
      <c r="C32" t="s">
        <v>46</v>
      </c>
      <c r="D32" s="13" t="s">
        <v>239</v>
      </c>
    </row>
    <row r="33" spans="1:4" x14ac:dyDescent="0.35">
      <c r="A33">
        <v>445</v>
      </c>
      <c r="B33" s="12" t="s">
        <v>240</v>
      </c>
      <c r="C33" t="s">
        <v>47</v>
      </c>
      <c r="D33" s="7" t="s">
        <v>235</v>
      </c>
    </row>
    <row r="35" spans="1:4" x14ac:dyDescent="0.35">
      <c r="B35" s="23"/>
      <c r="C35" s="11" t="s">
        <v>241</v>
      </c>
      <c r="D35" s="7" t="s">
        <v>242</v>
      </c>
    </row>
    <row r="36" spans="1:4" x14ac:dyDescent="0.35">
      <c r="B36" s="23"/>
      <c r="C36" s="2"/>
      <c r="D36" s="7" t="s">
        <v>243</v>
      </c>
    </row>
    <row r="37" spans="1:4" x14ac:dyDescent="0.35">
      <c r="A37">
        <v>458</v>
      </c>
      <c r="B37" s="12" t="s">
        <v>244</v>
      </c>
      <c r="C37" t="s">
        <v>49</v>
      </c>
      <c r="D37" s="7" t="s">
        <v>68</v>
      </c>
    </row>
    <row r="38" spans="1:4" x14ac:dyDescent="0.35">
      <c r="A38">
        <v>474</v>
      </c>
      <c r="B38" s="14" t="s">
        <v>245</v>
      </c>
      <c r="C38" t="s">
        <v>50</v>
      </c>
      <c r="D38" s="7" t="s">
        <v>68</v>
      </c>
    </row>
    <row r="39" spans="1:4" x14ac:dyDescent="0.35">
      <c r="A39" t="s">
        <v>62</v>
      </c>
      <c r="B39" s="14" t="s">
        <v>246</v>
      </c>
      <c r="C39" t="s">
        <v>51</v>
      </c>
      <c r="D39" s="7" t="s">
        <v>220</v>
      </c>
    </row>
    <row r="40" spans="1:4" x14ac:dyDescent="0.35">
      <c r="A40">
        <v>483</v>
      </c>
      <c r="B40" s="14"/>
      <c r="C40" t="s">
        <v>247</v>
      </c>
      <c r="D40" s="7"/>
    </row>
    <row r="41" spans="1:4" x14ac:dyDescent="0.35">
      <c r="A41">
        <v>484</v>
      </c>
      <c r="B41" s="14"/>
      <c r="C41" t="s">
        <v>248</v>
      </c>
      <c r="D41" s="7"/>
    </row>
    <row r="42" spans="1:4" x14ac:dyDescent="0.35">
      <c r="A42">
        <v>486</v>
      </c>
      <c r="B42" s="26" t="s">
        <v>249</v>
      </c>
      <c r="C42" t="s">
        <v>52</v>
      </c>
      <c r="D42" s="7" t="s">
        <v>68</v>
      </c>
    </row>
    <row r="44" spans="1:4" x14ac:dyDescent="0.35">
      <c r="C44" s="11" t="s">
        <v>53</v>
      </c>
    </row>
    <row r="45" spans="1:4" x14ac:dyDescent="0.35">
      <c r="A45">
        <v>485</v>
      </c>
      <c r="B45" s="14" t="s">
        <v>250</v>
      </c>
      <c r="C45" t="s">
        <v>54</v>
      </c>
      <c r="D45" s="7" t="s">
        <v>68</v>
      </c>
    </row>
    <row r="46" spans="1:4" x14ac:dyDescent="0.35">
      <c r="A46">
        <v>495</v>
      </c>
      <c r="B46" t="s">
        <v>251</v>
      </c>
      <c r="C46" t="s">
        <v>55</v>
      </c>
    </row>
    <row r="47" spans="1:4" x14ac:dyDescent="0.35">
      <c r="A47">
        <v>496</v>
      </c>
      <c r="B47" t="s">
        <v>251</v>
      </c>
      <c r="C47" s="22" t="s">
        <v>56</v>
      </c>
      <c r="D47" t="s">
        <v>252</v>
      </c>
    </row>
    <row r="48" spans="1:4" x14ac:dyDescent="0.35">
      <c r="A48">
        <v>497</v>
      </c>
      <c r="B48" t="s">
        <v>251</v>
      </c>
      <c r="C48" s="22" t="s">
        <v>57</v>
      </c>
      <c r="D48" t="s">
        <v>253</v>
      </c>
    </row>
    <row r="49" spans="1:4" x14ac:dyDescent="0.35">
      <c r="A49">
        <v>498</v>
      </c>
      <c r="B49" t="s">
        <v>251</v>
      </c>
      <c r="C49" s="22" t="s">
        <v>58</v>
      </c>
      <c r="D49" t="s">
        <v>254</v>
      </c>
    </row>
    <row r="50" spans="1:4" x14ac:dyDescent="0.35">
      <c r="A50">
        <v>499</v>
      </c>
      <c r="B50" t="s">
        <v>251</v>
      </c>
      <c r="C50" s="22" t="s">
        <v>59</v>
      </c>
    </row>
    <row r="51" spans="1:4" s="17" customFormat="1" x14ac:dyDescent="0.35"/>
    <row r="53" spans="1:4" ht="18.5" x14ac:dyDescent="0.45">
      <c r="B53" s="18" t="s">
        <v>97</v>
      </c>
      <c r="D53" s="7" t="s">
        <v>62</v>
      </c>
    </row>
    <row r="55" spans="1:4" x14ac:dyDescent="0.35">
      <c r="A55">
        <v>299</v>
      </c>
      <c r="B55" t="s">
        <v>255</v>
      </c>
      <c r="C55" t="s">
        <v>256</v>
      </c>
      <c r="D55" s="15" t="s">
        <v>99</v>
      </c>
    </row>
    <row r="56" spans="1:4" x14ac:dyDescent="0.35">
      <c r="A56">
        <v>301</v>
      </c>
      <c r="B56" t="s">
        <v>255</v>
      </c>
      <c r="C56" t="s">
        <v>257</v>
      </c>
      <c r="D56" s="15" t="s">
        <v>99</v>
      </c>
    </row>
    <row r="57" spans="1:4" x14ac:dyDescent="0.35">
      <c r="A57">
        <v>302</v>
      </c>
      <c r="B57" t="s">
        <v>255</v>
      </c>
      <c r="C57" t="s">
        <v>258</v>
      </c>
      <c r="D57" s="15" t="s">
        <v>99</v>
      </c>
    </row>
    <row r="58" spans="1:4" x14ac:dyDescent="0.35">
      <c r="A58">
        <v>305</v>
      </c>
      <c r="B58" t="s">
        <v>217</v>
      </c>
      <c r="C58" t="s">
        <v>259</v>
      </c>
      <c r="D58" s="15" t="s">
        <v>99</v>
      </c>
    </row>
    <row r="59" spans="1:4" x14ac:dyDescent="0.35">
      <c r="A59">
        <v>306</v>
      </c>
      <c r="B59" t="s">
        <v>217</v>
      </c>
      <c r="C59" t="s">
        <v>260</v>
      </c>
      <c r="D59" s="15" t="s">
        <v>99</v>
      </c>
    </row>
    <row r="60" spans="1:4" s="27" customFormat="1" x14ac:dyDescent="0.35">
      <c r="A60">
        <v>309</v>
      </c>
      <c r="B60" t="s">
        <v>218</v>
      </c>
      <c r="C60" t="s">
        <v>261</v>
      </c>
      <c r="D60" s="15" t="s">
        <v>99</v>
      </c>
    </row>
    <row r="61" spans="1:4" s="27" customFormat="1" x14ac:dyDescent="0.35">
      <c r="A61">
        <v>310</v>
      </c>
      <c r="B61" t="s">
        <v>218</v>
      </c>
      <c r="C61" t="s">
        <v>262</v>
      </c>
      <c r="D61" s="15" t="s">
        <v>99</v>
      </c>
    </row>
    <row r="62" spans="1:4" s="27" customFormat="1" x14ac:dyDescent="0.35">
      <c r="A62">
        <v>312</v>
      </c>
      <c r="B62" t="s">
        <v>218</v>
      </c>
      <c r="C62" t="s">
        <v>263</v>
      </c>
      <c r="D62" s="15" t="s">
        <v>99</v>
      </c>
    </row>
    <row r="63" spans="1:4" s="27" customFormat="1" x14ac:dyDescent="0.35">
      <c r="A63">
        <v>313</v>
      </c>
      <c r="B63" t="s">
        <v>218</v>
      </c>
      <c r="C63" t="s">
        <v>264</v>
      </c>
      <c r="D63" s="15" t="s">
        <v>99</v>
      </c>
    </row>
    <row r="64" spans="1:4" s="27" customFormat="1" x14ac:dyDescent="0.35">
      <c r="A64">
        <v>314</v>
      </c>
      <c r="B64" t="s">
        <v>218</v>
      </c>
      <c r="C64" t="s">
        <v>265</v>
      </c>
      <c r="D64" s="15" t="s">
        <v>99</v>
      </c>
    </row>
    <row r="65" spans="1:4" s="27" customFormat="1" x14ac:dyDescent="0.35">
      <c r="A65">
        <v>315</v>
      </c>
      <c r="B65" t="s">
        <v>218</v>
      </c>
      <c r="C65" t="s">
        <v>266</v>
      </c>
      <c r="D65" s="15" t="s">
        <v>99</v>
      </c>
    </row>
    <row r="66" spans="1:4" s="27" customFormat="1" x14ac:dyDescent="0.35">
      <c r="A66">
        <v>317</v>
      </c>
      <c r="B66" t="s">
        <v>267</v>
      </c>
      <c r="C66" t="s">
        <v>268</v>
      </c>
      <c r="D66" s="15" t="s">
        <v>99</v>
      </c>
    </row>
    <row r="67" spans="1:4" s="27" customFormat="1" x14ac:dyDescent="0.35">
      <c r="A67">
        <v>318</v>
      </c>
      <c r="B67" t="s">
        <v>267</v>
      </c>
      <c r="C67" t="s">
        <v>269</v>
      </c>
      <c r="D67" s="15" t="s">
        <v>99</v>
      </c>
    </row>
    <row r="68" spans="1:4" s="27" customFormat="1" x14ac:dyDescent="0.35">
      <c r="A68">
        <v>319</v>
      </c>
      <c r="B68" t="s">
        <v>270</v>
      </c>
      <c r="C68" t="s">
        <v>271</v>
      </c>
      <c r="D68" s="15" t="s">
        <v>99</v>
      </c>
    </row>
    <row r="69" spans="1:4" s="27" customFormat="1" x14ac:dyDescent="0.35">
      <c r="A69">
        <v>320</v>
      </c>
      <c r="B69" t="s">
        <v>270</v>
      </c>
      <c r="C69" t="s">
        <v>272</v>
      </c>
      <c r="D69" s="15" t="s">
        <v>99</v>
      </c>
    </row>
    <row r="70" spans="1:4" x14ac:dyDescent="0.35">
      <c r="A70">
        <v>321</v>
      </c>
      <c r="B70" t="s">
        <v>270</v>
      </c>
      <c r="C70" t="s">
        <v>273</v>
      </c>
      <c r="D70" s="15" t="s">
        <v>99</v>
      </c>
    </row>
    <row r="71" spans="1:4" x14ac:dyDescent="0.35">
      <c r="A71">
        <v>322</v>
      </c>
      <c r="B71" t="s">
        <v>270</v>
      </c>
      <c r="C71" t="s">
        <v>274</v>
      </c>
      <c r="D71" s="15" t="s">
        <v>99</v>
      </c>
    </row>
    <row r="72" spans="1:4" x14ac:dyDescent="0.35">
      <c r="A72">
        <v>323</v>
      </c>
      <c r="B72" t="s">
        <v>270</v>
      </c>
      <c r="C72" t="s">
        <v>272</v>
      </c>
      <c r="D72" s="15" t="s">
        <v>99</v>
      </c>
    </row>
    <row r="73" spans="1:4" x14ac:dyDescent="0.35">
      <c r="A73">
        <v>324</v>
      </c>
      <c r="B73" t="s">
        <v>270</v>
      </c>
      <c r="C73" t="s">
        <v>273</v>
      </c>
      <c r="D73" s="15" t="s">
        <v>99</v>
      </c>
    </row>
    <row r="74" spans="1:4" x14ac:dyDescent="0.35">
      <c r="A74">
        <v>325</v>
      </c>
      <c r="B74" t="s">
        <v>270</v>
      </c>
      <c r="C74" t="s">
        <v>275</v>
      </c>
      <c r="D74" s="15" t="s">
        <v>99</v>
      </c>
    </row>
    <row r="75" spans="1:4" s="27" customFormat="1" x14ac:dyDescent="0.35">
      <c r="A75">
        <v>327</v>
      </c>
      <c r="B75" t="s">
        <v>219</v>
      </c>
      <c r="C75" t="s">
        <v>276</v>
      </c>
      <c r="D75" s="15" t="s">
        <v>99</v>
      </c>
    </row>
    <row r="76" spans="1:4" s="27" customFormat="1" x14ac:dyDescent="0.35">
      <c r="A76">
        <v>328</v>
      </c>
      <c r="B76" t="s">
        <v>219</v>
      </c>
      <c r="C76" t="s">
        <v>277</v>
      </c>
      <c r="D76" s="15" t="s">
        <v>99</v>
      </c>
    </row>
    <row r="77" spans="1:4" s="27" customFormat="1" x14ac:dyDescent="0.35">
      <c r="A77">
        <v>329</v>
      </c>
      <c r="B77" t="s">
        <v>222</v>
      </c>
      <c r="C77" t="s">
        <v>278</v>
      </c>
      <c r="D77" s="15" t="s">
        <v>99</v>
      </c>
    </row>
    <row r="78" spans="1:4" s="27" customFormat="1" x14ac:dyDescent="0.35">
      <c r="A78">
        <v>330</v>
      </c>
      <c r="B78" t="s">
        <v>222</v>
      </c>
      <c r="C78" t="s">
        <v>279</v>
      </c>
      <c r="D78" s="15" t="s">
        <v>99</v>
      </c>
    </row>
    <row r="79" spans="1:4" x14ac:dyDescent="0.35">
      <c r="A79">
        <v>332</v>
      </c>
      <c r="B79" t="s">
        <v>280</v>
      </c>
      <c r="C79" t="s">
        <v>281</v>
      </c>
      <c r="D79" s="15" t="s">
        <v>99</v>
      </c>
    </row>
    <row r="80" spans="1:4" x14ac:dyDescent="0.35">
      <c r="A80">
        <v>334</v>
      </c>
      <c r="B80" t="s">
        <v>280</v>
      </c>
      <c r="C80" t="s">
        <v>282</v>
      </c>
      <c r="D80" s="15" t="s">
        <v>99</v>
      </c>
    </row>
    <row r="81" spans="1:4" x14ac:dyDescent="0.35">
      <c r="A81">
        <v>335</v>
      </c>
      <c r="B81" t="s">
        <v>280</v>
      </c>
      <c r="C81" t="s">
        <v>283</v>
      </c>
      <c r="D81" s="15" t="s">
        <v>99</v>
      </c>
    </row>
    <row r="82" spans="1:4" x14ac:dyDescent="0.35">
      <c r="A82">
        <v>336</v>
      </c>
      <c r="B82" t="s">
        <v>280</v>
      </c>
      <c r="C82" t="s">
        <v>284</v>
      </c>
      <c r="D82" s="15" t="s">
        <v>99</v>
      </c>
    </row>
    <row r="83" spans="1:4" x14ac:dyDescent="0.35">
      <c r="A83">
        <v>337</v>
      </c>
      <c r="B83" t="s">
        <v>280</v>
      </c>
      <c r="C83" t="s">
        <v>285</v>
      </c>
      <c r="D83" s="15" t="s">
        <v>99</v>
      </c>
    </row>
    <row r="84" spans="1:4" x14ac:dyDescent="0.35">
      <c r="A84">
        <v>338</v>
      </c>
      <c r="B84" t="s">
        <v>280</v>
      </c>
      <c r="C84" t="s">
        <v>286</v>
      </c>
      <c r="D84" s="15" t="s">
        <v>99</v>
      </c>
    </row>
    <row r="85" spans="1:4" s="27" customFormat="1" x14ac:dyDescent="0.35">
      <c r="A85">
        <v>341</v>
      </c>
      <c r="B85" t="s">
        <v>229</v>
      </c>
      <c r="C85" t="s">
        <v>287</v>
      </c>
      <c r="D85" s="15" t="s">
        <v>99</v>
      </c>
    </row>
    <row r="86" spans="1:4" s="27" customFormat="1" x14ac:dyDescent="0.35">
      <c r="A86">
        <v>342</v>
      </c>
      <c r="B86" t="s">
        <v>229</v>
      </c>
      <c r="C86" t="s">
        <v>288</v>
      </c>
      <c r="D86" s="15" t="s">
        <v>99</v>
      </c>
    </row>
    <row r="87" spans="1:4" s="27" customFormat="1" x14ac:dyDescent="0.35">
      <c r="A87">
        <v>344</v>
      </c>
      <c r="B87" t="s">
        <v>230</v>
      </c>
      <c r="C87" t="s">
        <v>289</v>
      </c>
      <c r="D87" s="15" t="s">
        <v>99</v>
      </c>
    </row>
    <row r="88" spans="1:4" s="27" customFormat="1" x14ac:dyDescent="0.35">
      <c r="A88">
        <v>345</v>
      </c>
      <c r="B88" t="s">
        <v>230</v>
      </c>
      <c r="C88" t="s">
        <v>290</v>
      </c>
      <c r="D88" s="15" t="s">
        <v>99</v>
      </c>
    </row>
    <row r="89" spans="1:4" s="27" customFormat="1" x14ac:dyDescent="0.35">
      <c r="A89">
        <v>346</v>
      </c>
      <c r="B89" t="s">
        <v>230</v>
      </c>
      <c r="C89" t="s">
        <v>291</v>
      </c>
      <c r="D89" s="15" t="s">
        <v>99</v>
      </c>
    </row>
    <row r="90" spans="1:4" s="27" customFormat="1" x14ac:dyDescent="0.35">
      <c r="A90">
        <v>347</v>
      </c>
      <c r="B90" t="s">
        <v>230</v>
      </c>
      <c r="C90" t="s">
        <v>292</v>
      </c>
      <c r="D90" s="15" t="s">
        <v>99</v>
      </c>
    </row>
    <row r="91" spans="1:4" s="27" customFormat="1" x14ac:dyDescent="0.35">
      <c r="A91">
        <v>348</v>
      </c>
      <c r="B91" t="s">
        <v>230</v>
      </c>
      <c r="C91" t="s">
        <v>293</v>
      </c>
      <c r="D91" s="15" t="s">
        <v>99</v>
      </c>
    </row>
    <row r="92" spans="1:4" x14ac:dyDescent="0.35">
      <c r="A92">
        <v>349</v>
      </c>
      <c r="B92" t="s">
        <v>230</v>
      </c>
      <c r="C92" t="s">
        <v>294</v>
      </c>
      <c r="D92" s="15" t="s">
        <v>99</v>
      </c>
    </row>
    <row r="93" spans="1:4" x14ac:dyDescent="0.35">
      <c r="A93">
        <v>351</v>
      </c>
      <c r="B93" t="s">
        <v>295</v>
      </c>
      <c r="C93" t="s">
        <v>296</v>
      </c>
      <c r="D93" s="15" t="s">
        <v>99</v>
      </c>
    </row>
    <row r="94" spans="1:4" x14ac:dyDescent="0.35">
      <c r="A94">
        <v>352</v>
      </c>
      <c r="B94" t="s">
        <v>295</v>
      </c>
      <c r="C94" t="s">
        <v>297</v>
      </c>
      <c r="D94" s="15" t="s">
        <v>99</v>
      </c>
    </row>
    <row r="95" spans="1:4" s="27" customFormat="1" x14ac:dyDescent="0.35">
      <c r="A95">
        <v>353</v>
      </c>
      <c r="B95" t="s">
        <v>295</v>
      </c>
      <c r="C95" t="s">
        <v>298</v>
      </c>
      <c r="D95" s="15" t="s">
        <v>99</v>
      </c>
    </row>
    <row r="96" spans="1:4" x14ac:dyDescent="0.35">
      <c r="A96">
        <v>354</v>
      </c>
      <c r="B96" t="s">
        <v>295</v>
      </c>
      <c r="C96" t="s">
        <v>299</v>
      </c>
      <c r="D96" s="15" t="s">
        <v>99</v>
      </c>
    </row>
    <row r="97" spans="1:4" x14ac:dyDescent="0.35">
      <c r="A97">
        <v>355</v>
      </c>
      <c r="B97" t="s">
        <v>295</v>
      </c>
      <c r="C97" t="s">
        <v>300</v>
      </c>
      <c r="D97" s="15" t="s">
        <v>99</v>
      </c>
    </row>
    <row r="98" spans="1:4" x14ac:dyDescent="0.35">
      <c r="A98">
        <v>356</v>
      </c>
      <c r="B98" t="s">
        <v>295</v>
      </c>
      <c r="C98" t="s">
        <v>301</v>
      </c>
      <c r="D98" s="15" t="s">
        <v>99</v>
      </c>
    </row>
    <row r="99" spans="1:4" s="27" customFormat="1" x14ac:dyDescent="0.35">
      <c r="A99">
        <v>357</v>
      </c>
      <c r="B99" t="s">
        <v>302</v>
      </c>
      <c r="C99" t="s">
        <v>303</v>
      </c>
      <c r="D99" s="15" t="s">
        <v>99</v>
      </c>
    </row>
    <row r="100" spans="1:4" s="27" customFormat="1" x14ac:dyDescent="0.35">
      <c r="A100">
        <v>358</v>
      </c>
      <c r="B100" t="s">
        <v>302</v>
      </c>
      <c r="C100" t="s">
        <v>304</v>
      </c>
      <c r="D100" s="15" t="s">
        <v>99</v>
      </c>
    </row>
    <row r="101" spans="1:4" s="27" customFormat="1" x14ac:dyDescent="0.35">
      <c r="A101">
        <v>359</v>
      </c>
      <c r="B101" t="s">
        <v>302</v>
      </c>
      <c r="C101" t="s">
        <v>305</v>
      </c>
      <c r="D101" s="15" t="s">
        <v>99</v>
      </c>
    </row>
    <row r="102" spans="1:4" s="27" customFormat="1" x14ac:dyDescent="0.35">
      <c r="A102">
        <v>360</v>
      </c>
      <c r="B102" t="s">
        <v>302</v>
      </c>
      <c r="C102" t="s">
        <v>306</v>
      </c>
      <c r="D102" s="15" t="s">
        <v>99</v>
      </c>
    </row>
    <row r="103" spans="1:4" s="27" customFormat="1" x14ac:dyDescent="0.35">
      <c r="A103">
        <v>361</v>
      </c>
      <c r="B103" t="s">
        <v>302</v>
      </c>
      <c r="C103" t="s">
        <v>307</v>
      </c>
      <c r="D103" s="15" t="s">
        <v>99</v>
      </c>
    </row>
    <row r="104" spans="1:4" s="27" customFormat="1" x14ac:dyDescent="0.35">
      <c r="A104">
        <v>362</v>
      </c>
      <c r="B104" t="s">
        <v>302</v>
      </c>
      <c r="C104" t="s">
        <v>308</v>
      </c>
      <c r="D104" s="15" t="s">
        <v>99</v>
      </c>
    </row>
    <row r="105" spans="1:4" s="27" customFormat="1" x14ac:dyDescent="0.35">
      <c r="A105">
        <v>363</v>
      </c>
      <c r="B105" t="s">
        <v>302</v>
      </c>
      <c r="C105" t="s">
        <v>309</v>
      </c>
      <c r="D105" s="15" t="s">
        <v>99</v>
      </c>
    </row>
    <row r="106" spans="1:4" s="27" customFormat="1" x14ac:dyDescent="0.35">
      <c r="A106">
        <v>364</v>
      </c>
      <c r="B106" t="s">
        <v>302</v>
      </c>
      <c r="C106" t="s">
        <v>310</v>
      </c>
      <c r="D106" s="15" t="s">
        <v>99</v>
      </c>
    </row>
    <row r="107" spans="1:4" s="27" customFormat="1" x14ac:dyDescent="0.35">
      <c r="A107">
        <v>365</v>
      </c>
      <c r="B107" t="s">
        <v>302</v>
      </c>
      <c r="C107" t="s">
        <v>311</v>
      </c>
      <c r="D107" s="15" t="s">
        <v>99</v>
      </c>
    </row>
    <row r="108" spans="1:4" s="27" customFormat="1" x14ac:dyDescent="0.35">
      <c r="A108">
        <v>366</v>
      </c>
      <c r="B108" t="s">
        <v>302</v>
      </c>
      <c r="C108" t="s">
        <v>312</v>
      </c>
      <c r="D108" s="15" t="s">
        <v>99</v>
      </c>
    </row>
    <row r="109" spans="1:4" s="27" customFormat="1" x14ac:dyDescent="0.35">
      <c r="A109">
        <v>367</v>
      </c>
      <c r="B109" t="s">
        <v>302</v>
      </c>
      <c r="C109" t="s">
        <v>313</v>
      </c>
      <c r="D109" s="15" t="s">
        <v>99</v>
      </c>
    </row>
    <row r="110" spans="1:4" s="27" customFormat="1" x14ac:dyDescent="0.35">
      <c r="A110">
        <v>368</v>
      </c>
      <c r="B110" t="s">
        <v>302</v>
      </c>
      <c r="C110" t="s">
        <v>314</v>
      </c>
      <c r="D110" s="15" t="s">
        <v>99</v>
      </c>
    </row>
    <row r="111" spans="1:4" s="27" customFormat="1" x14ac:dyDescent="0.35">
      <c r="A111">
        <v>369</v>
      </c>
      <c r="B111" t="s">
        <v>302</v>
      </c>
      <c r="C111" t="s">
        <v>312</v>
      </c>
      <c r="D111" s="15" t="s">
        <v>99</v>
      </c>
    </row>
    <row r="112" spans="1:4" s="27" customFormat="1" x14ac:dyDescent="0.35">
      <c r="A112">
        <v>370</v>
      </c>
      <c r="B112" t="s">
        <v>302</v>
      </c>
      <c r="C112" t="s">
        <v>313</v>
      </c>
      <c r="D112" s="15" t="s">
        <v>99</v>
      </c>
    </row>
    <row r="113" spans="1:4" s="27" customFormat="1" x14ac:dyDescent="0.35">
      <c r="A113">
        <v>371</v>
      </c>
      <c r="B113" t="s">
        <v>302</v>
      </c>
      <c r="C113" t="s">
        <v>315</v>
      </c>
      <c r="D113" s="15" t="s">
        <v>99</v>
      </c>
    </row>
    <row r="114" spans="1:4" x14ac:dyDescent="0.35">
      <c r="A114">
        <v>372</v>
      </c>
      <c r="B114" t="s">
        <v>302</v>
      </c>
      <c r="C114" t="s">
        <v>316</v>
      </c>
      <c r="D114" s="15" t="s">
        <v>99</v>
      </c>
    </row>
    <row r="115" spans="1:4" x14ac:dyDescent="0.35">
      <c r="A115">
        <v>373</v>
      </c>
      <c r="B115" t="s">
        <v>302</v>
      </c>
      <c r="C115" t="s">
        <v>317</v>
      </c>
      <c r="D115" s="15" t="s">
        <v>99</v>
      </c>
    </row>
    <row r="116" spans="1:4" x14ac:dyDescent="0.35">
      <c r="A116">
        <v>374</v>
      </c>
      <c r="B116" t="s">
        <v>302</v>
      </c>
      <c r="C116" t="s">
        <v>318</v>
      </c>
      <c r="D116" s="15" t="s">
        <v>99</v>
      </c>
    </row>
    <row r="117" spans="1:4" x14ac:dyDescent="0.35">
      <c r="A117">
        <v>375</v>
      </c>
      <c r="B117" t="s">
        <v>302</v>
      </c>
      <c r="C117" t="s">
        <v>319</v>
      </c>
      <c r="D117" s="15" t="s">
        <v>99</v>
      </c>
    </row>
    <row r="118" spans="1:4" x14ac:dyDescent="0.35">
      <c r="A118">
        <v>376</v>
      </c>
      <c r="B118" t="s">
        <v>302</v>
      </c>
      <c r="C118" t="s">
        <v>320</v>
      </c>
      <c r="D118" s="15" t="s">
        <v>99</v>
      </c>
    </row>
    <row r="119" spans="1:4" x14ac:dyDescent="0.35">
      <c r="A119">
        <v>377</v>
      </c>
      <c r="B119" t="s">
        <v>302</v>
      </c>
      <c r="C119" t="s">
        <v>321</v>
      </c>
      <c r="D119" s="15" t="s">
        <v>99</v>
      </c>
    </row>
    <row r="120" spans="1:4" x14ac:dyDescent="0.35">
      <c r="A120">
        <v>378</v>
      </c>
      <c r="B120" t="s">
        <v>302</v>
      </c>
      <c r="C120" t="s">
        <v>322</v>
      </c>
      <c r="D120" s="15" t="s">
        <v>99</v>
      </c>
    </row>
    <row r="121" spans="1:4" x14ac:dyDescent="0.35">
      <c r="A121">
        <v>382</v>
      </c>
      <c r="B121" t="s">
        <v>233</v>
      </c>
      <c r="C121" t="s">
        <v>323</v>
      </c>
      <c r="D121" s="15" t="s">
        <v>99</v>
      </c>
    </row>
    <row r="122" spans="1:4" x14ac:dyDescent="0.35">
      <c r="A122">
        <v>383</v>
      </c>
      <c r="B122" t="s">
        <v>233</v>
      </c>
      <c r="C122" t="s">
        <v>324</v>
      </c>
      <c r="D122" s="15" t="s">
        <v>99</v>
      </c>
    </row>
    <row r="123" spans="1:4" x14ac:dyDescent="0.35">
      <c r="A123">
        <v>384</v>
      </c>
      <c r="B123" t="s">
        <v>233</v>
      </c>
      <c r="C123" t="s">
        <v>325</v>
      </c>
      <c r="D123" s="15" t="s">
        <v>99</v>
      </c>
    </row>
    <row r="124" spans="1:4" x14ac:dyDescent="0.35">
      <c r="A124">
        <v>385</v>
      </c>
      <c r="B124" t="s">
        <v>233</v>
      </c>
      <c r="C124" t="s">
        <v>326</v>
      </c>
      <c r="D124" s="15" t="s">
        <v>99</v>
      </c>
    </row>
    <row r="125" spans="1:4" x14ac:dyDescent="0.35">
      <c r="A125">
        <v>386</v>
      </c>
      <c r="B125" t="s">
        <v>233</v>
      </c>
      <c r="C125" t="s">
        <v>327</v>
      </c>
      <c r="D125" s="15" t="s">
        <v>99</v>
      </c>
    </row>
    <row r="126" spans="1:4" x14ac:dyDescent="0.35">
      <c r="A126">
        <v>387</v>
      </c>
      <c r="B126" t="s">
        <v>233</v>
      </c>
      <c r="C126" t="s">
        <v>328</v>
      </c>
      <c r="D126" s="15" t="s">
        <v>99</v>
      </c>
    </row>
    <row r="127" spans="1:4" x14ac:dyDescent="0.35">
      <c r="A127">
        <v>388</v>
      </c>
      <c r="B127" t="s">
        <v>233</v>
      </c>
      <c r="C127" t="s">
        <v>329</v>
      </c>
      <c r="D127" s="15" t="s">
        <v>99</v>
      </c>
    </row>
    <row r="128" spans="1:4" x14ac:dyDescent="0.35">
      <c r="A128">
        <v>389</v>
      </c>
      <c r="B128" t="s">
        <v>233</v>
      </c>
      <c r="C128" t="s">
        <v>330</v>
      </c>
      <c r="D128" s="15" t="s">
        <v>99</v>
      </c>
    </row>
    <row r="129" spans="1:4" x14ac:dyDescent="0.35">
      <c r="A129">
        <v>390</v>
      </c>
      <c r="B129" t="s">
        <v>233</v>
      </c>
      <c r="C129" t="s">
        <v>331</v>
      </c>
      <c r="D129" s="15" t="s">
        <v>99</v>
      </c>
    </row>
    <row r="130" spans="1:4" x14ac:dyDescent="0.35">
      <c r="A130">
        <v>391</v>
      </c>
      <c r="B130" t="s">
        <v>233</v>
      </c>
      <c r="C130" t="s">
        <v>332</v>
      </c>
      <c r="D130" s="15" t="s">
        <v>99</v>
      </c>
    </row>
    <row r="131" spans="1:4" x14ac:dyDescent="0.35">
      <c r="A131">
        <v>392</v>
      </c>
      <c r="B131" t="s">
        <v>233</v>
      </c>
      <c r="C131" t="s">
        <v>333</v>
      </c>
      <c r="D131" s="15" t="s">
        <v>99</v>
      </c>
    </row>
    <row r="132" spans="1:4" x14ac:dyDescent="0.35">
      <c r="A132">
        <v>393</v>
      </c>
      <c r="B132" t="s">
        <v>334</v>
      </c>
      <c r="C132" t="s">
        <v>335</v>
      </c>
      <c r="D132" s="15" t="s">
        <v>99</v>
      </c>
    </row>
    <row r="133" spans="1:4" x14ac:dyDescent="0.35">
      <c r="A133">
        <v>394</v>
      </c>
      <c r="B133" t="s">
        <v>334</v>
      </c>
      <c r="C133" t="s">
        <v>336</v>
      </c>
      <c r="D133" s="15" t="s">
        <v>99</v>
      </c>
    </row>
    <row r="134" spans="1:4" x14ac:dyDescent="0.35">
      <c r="A134">
        <v>395</v>
      </c>
      <c r="B134" t="s">
        <v>334</v>
      </c>
      <c r="C134" t="s">
        <v>337</v>
      </c>
      <c r="D134" s="15" t="s">
        <v>99</v>
      </c>
    </row>
    <row r="135" spans="1:4" x14ac:dyDescent="0.35">
      <c r="A135">
        <v>396</v>
      </c>
      <c r="B135" t="s">
        <v>334</v>
      </c>
      <c r="C135" t="s">
        <v>338</v>
      </c>
      <c r="D135" s="15" t="s">
        <v>99</v>
      </c>
    </row>
    <row r="136" spans="1:4" x14ac:dyDescent="0.35">
      <c r="A136">
        <v>397</v>
      </c>
      <c r="B136" t="s">
        <v>334</v>
      </c>
      <c r="C136" t="s">
        <v>339</v>
      </c>
      <c r="D136" s="15" t="s">
        <v>99</v>
      </c>
    </row>
    <row r="137" spans="1:4" x14ac:dyDescent="0.35">
      <c r="A137">
        <v>398</v>
      </c>
      <c r="B137" t="s">
        <v>334</v>
      </c>
      <c r="C137" t="s">
        <v>340</v>
      </c>
      <c r="D137" s="15" t="s">
        <v>99</v>
      </c>
    </row>
    <row r="138" spans="1:4" x14ac:dyDescent="0.35">
      <c r="A138">
        <v>399</v>
      </c>
      <c r="B138" t="s">
        <v>341</v>
      </c>
      <c r="C138" t="s">
        <v>342</v>
      </c>
      <c r="D138" s="15" t="s">
        <v>99</v>
      </c>
    </row>
    <row r="139" spans="1:4" x14ac:dyDescent="0.35">
      <c r="A139">
        <v>400</v>
      </c>
      <c r="B139" t="s">
        <v>341</v>
      </c>
      <c r="C139" t="s">
        <v>343</v>
      </c>
      <c r="D139" s="15" t="s">
        <v>99</v>
      </c>
    </row>
    <row r="140" spans="1:4" x14ac:dyDescent="0.35">
      <c r="A140">
        <v>401</v>
      </c>
      <c r="B140" t="s">
        <v>341</v>
      </c>
      <c r="C140" t="s">
        <v>344</v>
      </c>
      <c r="D140" s="15" t="s">
        <v>99</v>
      </c>
    </row>
    <row r="141" spans="1:4" x14ac:dyDescent="0.35">
      <c r="A141">
        <v>402</v>
      </c>
      <c r="B141" t="s">
        <v>341</v>
      </c>
      <c r="C141" t="s">
        <v>345</v>
      </c>
      <c r="D141" s="15" t="s">
        <v>99</v>
      </c>
    </row>
    <row r="142" spans="1:4" x14ac:dyDescent="0.35">
      <c r="A142">
        <v>403</v>
      </c>
      <c r="B142" t="s">
        <v>341</v>
      </c>
      <c r="C142" t="s">
        <v>346</v>
      </c>
      <c r="D142" s="15" t="s">
        <v>99</v>
      </c>
    </row>
    <row r="143" spans="1:4" x14ac:dyDescent="0.35">
      <c r="A143">
        <v>404</v>
      </c>
      <c r="B143" t="s">
        <v>347</v>
      </c>
      <c r="C143" t="s">
        <v>348</v>
      </c>
      <c r="D143" s="15" t="s">
        <v>99</v>
      </c>
    </row>
    <row r="144" spans="1:4" x14ac:dyDescent="0.35">
      <c r="A144">
        <v>405</v>
      </c>
      <c r="B144" t="s">
        <v>347</v>
      </c>
      <c r="C144" t="s">
        <v>349</v>
      </c>
      <c r="D144" s="15" t="s">
        <v>99</v>
      </c>
    </row>
    <row r="145" spans="1:4" x14ac:dyDescent="0.35">
      <c r="A145">
        <v>406</v>
      </c>
      <c r="B145" t="s">
        <v>347</v>
      </c>
      <c r="C145" t="s">
        <v>350</v>
      </c>
      <c r="D145" s="15" t="s">
        <v>99</v>
      </c>
    </row>
    <row r="146" spans="1:4" x14ac:dyDescent="0.35">
      <c r="A146">
        <v>407</v>
      </c>
      <c r="B146" t="s">
        <v>347</v>
      </c>
      <c r="C146" t="s">
        <v>351</v>
      </c>
      <c r="D146" s="15" t="s">
        <v>99</v>
      </c>
    </row>
    <row r="147" spans="1:4" x14ac:dyDescent="0.35">
      <c r="A147">
        <v>408</v>
      </c>
      <c r="B147" t="s">
        <v>347</v>
      </c>
      <c r="C147" t="s">
        <v>352</v>
      </c>
      <c r="D147" s="15" t="s">
        <v>99</v>
      </c>
    </row>
    <row r="148" spans="1:4" x14ac:dyDescent="0.35">
      <c r="A148">
        <v>409</v>
      </c>
      <c r="B148" t="s">
        <v>347</v>
      </c>
      <c r="C148" t="s">
        <v>353</v>
      </c>
      <c r="D148" s="15" t="s">
        <v>99</v>
      </c>
    </row>
    <row r="149" spans="1:4" x14ac:dyDescent="0.35">
      <c r="A149">
        <v>411</v>
      </c>
      <c r="B149" t="s">
        <v>354</v>
      </c>
      <c r="C149" t="s">
        <v>355</v>
      </c>
      <c r="D149" s="15" t="s">
        <v>99</v>
      </c>
    </row>
    <row r="150" spans="1:4" x14ac:dyDescent="0.35">
      <c r="A150">
        <v>412</v>
      </c>
      <c r="B150" t="s">
        <v>354</v>
      </c>
      <c r="C150" t="s">
        <v>356</v>
      </c>
      <c r="D150" s="15" t="s">
        <v>99</v>
      </c>
    </row>
    <row r="151" spans="1:4" x14ac:dyDescent="0.35">
      <c r="A151">
        <v>413</v>
      </c>
      <c r="B151" t="s">
        <v>354</v>
      </c>
      <c r="C151" t="s">
        <v>357</v>
      </c>
      <c r="D151" s="15" t="s">
        <v>99</v>
      </c>
    </row>
    <row r="152" spans="1:4" x14ac:dyDescent="0.35">
      <c r="A152">
        <v>415</v>
      </c>
      <c r="B152" t="s">
        <v>358</v>
      </c>
      <c r="C152" t="s">
        <v>359</v>
      </c>
      <c r="D152" s="15" t="s">
        <v>99</v>
      </c>
    </row>
    <row r="153" spans="1:4" x14ac:dyDescent="0.35">
      <c r="A153">
        <v>416</v>
      </c>
      <c r="B153" t="s">
        <v>358</v>
      </c>
      <c r="C153" t="s">
        <v>360</v>
      </c>
      <c r="D153" s="15" t="s">
        <v>99</v>
      </c>
    </row>
    <row r="154" spans="1:4" x14ac:dyDescent="0.35">
      <c r="A154">
        <v>417</v>
      </c>
      <c r="B154" t="s">
        <v>358</v>
      </c>
      <c r="C154" t="s">
        <v>361</v>
      </c>
      <c r="D154" s="15" t="s">
        <v>99</v>
      </c>
    </row>
    <row r="155" spans="1:4" x14ac:dyDescent="0.35">
      <c r="A155">
        <v>418</v>
      </c>
      <c r="B155" t="s">
        <v>358</v>
      </c>
      <c r="C155" t="s">
        <v>362</v>
      </c>
      <c r="D155" s="15" t="s">
        <v>99</v>
      </c>
    </row>
    <row r="156" spans="1:4" x14ac:dyDescent="0.35">
      <c r="A156">
        <v>419</v>
      </c>
      <c r="B156" t="s">
        <v>358</v>
      </c>
      <c r="C156" t="s">
        <v>363</v>
      </c>
      <c r="D156" s="15" t="s">
        <v>99</v>
      </c>
    </row>
    <row r="157" spans="1:4" x14ac:dyDescent="0.35">
      <c r="A157">
        <v>423</v>
      </c>
      <c r="B157" t="s">
        <v>237</v>
      </c>
      <c r="C157" t="s">
        <v>364</v>
      </c>
      <c r="D157" s="15" t="s">
        <v>99</v>
      </c>
    </row>
    <row r="158" spans="1:4" x14ac:dyDescent="0.35">
      <c r="A158">
        <v>425</v>
      </c>
      <c r="B158" t="s">
        <v>237</v>
      </c>
      <c r="C158" t="s">
        <v>365</v>
      </c>
      <c r="D158" s="15" t="s">
        <v>99</v>
      </c>
    </row>
    <row r="159" spans="1:4" x14ac:dyDescent="0.35">
      <c r="A159">
        <v>426</v>
      </c>
      <c r="B159" t="s">
        <v>237</v>
      </c>
      <c r="C159" t="s">
        <v>366</v>
      </c>
      <c r="D159" s="15" t="s">
        <v>99</v>
      </c>
    </row>
    <row r="160" spans="1:4" x14ac:dyDescent="0.35">
      <c r="A160">
        <v>427</v>
      </c>
      <c r="B160" t="s">
        <v>237</v>
      </c>
      <c r="C160" t="s">
        <v>367</v>
      </c>
      <c r="D160" s="15" t="s">
        <v>99</v>
      </c>
    </row>
    <row r="161" spans="1:4" x14ac:dyDescent="0.35">
      <c r="A161">
        <v>428</v>
      </c>
      <c r="B161" t="s">
        <v>237</v>
      </c>
      <c r="C161" t="s">
        <v>368</v>
      </c>
      <c r="D161" s="15" t="s">
        <v>99</v>
      </c>
    </row>
    <row r="162" spans="1:4" x14ac:dyDescent="0.35">
      <c r="A162">
        <v>429</v>
      </c>
      <c r="B162" t="s">
        <v>237</v>
      </c>
      <c r="C162" t="s">
        <v>369</v>
      </c>
      <c r="D162" s="15" t="s">
        <v>99</v>
      </c>
    </row>
    <row r="163" spans="1:4" x14ac:dyDescent="0.35">
      <c r="A163">
        <v>430</v>
      </c>
      <c r="B163" t="s">
        <v>237</v>
      </c>
      <c r="C163" t="s">
        <v>370</v>
      </c>
      <c r="D163" s="15" t="s">
        <v>99</v>
      </c>
    </row>
    <row r="164" spans="1:4" x14ac:dyDescent="0.35">
      <c r="A164">
        <v>432</v>
      </c>
      <c r="B164" t="s">
        <v>237</v>
      </c>
      <c r="C164" t="s">
        <v>371</v>
      </c>
      <c r="D164" s="15" t="s">
        <v>99</v>
      </c>
    </row>
    <row r="165" spans="1:4" x14ac:dyDescent="0.35">
      <c r="A165">
        <v>433</v>
      </c>
      <c r="B165" t="s">
        <v>237</v>
      </c>
      <c r="C165" t="s">
        <v>372</v>
      </c>
      <c r="D165" s="15" t="s">
        <v>99</v>
      </c>
    </row>
    <row r="166" spans="1:4" x14ac:dyDescent="0.35">
      <c r="A166">
        <v>434</v>
      </c>
      <c r="B166" t="s">
        <v>237</v>
      </c>
      <c r="C166" t="s">
        <v>373</v>
      </c>
      <c r="D166" s="15" t="s">
        <v>99</v>
      </c>
    </row>
    <row r="167" spans="1:4" x14ac:dyDescent="0.35">
      <c r="A167">
        <v>435</v>
      </c>
      <c r="B167" t="s">
        <v>237</v>
      </c>
      <c r="C167" t="s">
        <v>374</v>
      </c>
      <c r="D167" s="15" t="s">
        <v>99</v>
      </c>
    </row>
    <row r="168" spans="1:4" x14ac:dyDescent="0.35">
      <c r="A168">
        <v>436</v>
      </c>
      <c r="B168" t="s">
        <v>237</v>
      </c>
      <c r="C168" t="s">
        <v>375</v>
      </c>
      <c r="D168" s="15" t="s">
        <v>99</v>
      </c>
    </row>
    <row r="169" spans="1:4" x14ac:dyDescent="0.35">
      <c r="A169">
        <v>437</v>
      </c>
      <c r="B169" t="s">
        <v>237</v>
      </c>
      <c r="C169" t="s">
        <v>376</v>
      </c>
      <c r="D169" s="15" t="s">
        <v>99</v>
      </c>
    </row>
    <row r="170" spans="1:4" x14ac:dyDescent="0.35">
      <c r="A170">
        <v>438</v>
      </c>
      <c r="B170" t="s">
        <v>237</v>
      </c>
      <c r="C170" t="s">
        <v>377</v>
      </c>
      <c r="D170" s="15" t="s">
        <v>99</v>
      </c>
    </row>
    <row r="171" spans="1:4" x14ac:dyDescent="0.35">
      <c r="A171">
        <v>440</v>
      </c>
      <c r="B171" t="s">
        <v>378</v>
      </c>
      <c r="C171" t="s">
        <v>379</v>
      </c>
      <c r="D171" s="15" t="s">
        <v>99</v>
      </c>
    </row>
    <row r="172" spans="1:4" x14ac:dyDescent="0.35">
      <c r="A172">
        <v>441</v>
      </c>
      <c r="B172" t="s">
        <v>378</v>
      </c>
      <c r="C172" t="s">
        <v>380</v>
      </c>
      <c r="D172" s="15" t="s">
        <v>99</v>
      </c>
    </row>
    <row r="173" spans="1:4" x14ac:dyDescent="0.35">
      <c r="A173">
        <v>442</v>
      </c>
      <c r="B173" t="s">
        <v>378</v>
      </c>
      <c r="C173" t="s">
        <v>381</v>
      </c>
      <c r="D173" s="15" t="s">
        <v>99</v>
      </c>
    </row>
    <row r="174" spans="1:4" x14ac:dyDescent="0.35">
      <c r="A174">
        <v>443</v>
      </c>
      <c r="B174" t="s">
        <v>378</v>
      </c>
      <c r="C174" t="s">
        <v>382</v>
      </c>
      <c r="D174" s="15" t="s">
        <v>99</v>
      </c>
    </row>
    <row r="175" spans="1:4" x14ac:dyDescent="0.35">
      <c r="A175">
        <v>444</v>
      </c>
      <c r="B175" t="s">
        <v>378</v>
      </c>
      <c r="C175" t="s">
        <v>383</v>
      </c>
      <c r="D175" s="15" t="s">
        <v>99</v>
      </c>
    </row>
    <row r="176" spans="1:4" x14ac:dyDescent="0.35">
      <c r="A176">
        <v>446</v>
      </c>
      <c r="B176" t="s">
        <v>384</v>
      </c>
      <c r="C176" t="s">
        <v>385</v>
      </c>
      <c r="D176" s="15" t="s">
        <v>99</v>
      </c>
    </row>
    <row r="177" spans="1:4" x14ac:dyDescent="0.35">
      <c r="A177">
        <v>447</v>
      </c>
      <c r="B177" t="s">
        <v>384</v>
      </c>
      <c r="C177" t="s">
        <v>386</v>
      </c>
      <c r="D177" s="15" t="s">
        <v>99</v>
      </c>
    </row>
    <row r="178" spans="1:4" x14ac:dyDescent="0.35">
      <c r="A178">
        <v>448</v>
      </c>
      <c r="B178" t="s">
        <v>387</v>
      </c>
      <c r="C178" t="s">
        <v>388</v>
      </c>
      <c r="D178" s="15" t="s">
        <v>99</v>
      </c>
    </row>
    <row r="179" spans="1:4" x14ac:dyDescent="0.35">
      <c r="A179">
        <v>449</v>
      </c>
      <c r="B179" t="s">
        <v>387</v>
      </c>
      <c r="C179" t="s">
        <v>389</v>
      </c>
      <c r="D179" s="15" t="s">
        <v>99</v>
      </c>
    </row>
    <row r="180" spans="1:4" x14ac:dyDescent="0.35">
      <c r="A180">
        <v>450</v>
      </c>
      <c r="B180" t="s">
        <v>390</v>
      </c>
      <c r="C180" t="s">
        <v>391</v>
      </c>
      <c r="D180" s="15" t="s">
        <v>99</v>
      </c>
    </row>
    <row r="181" spans="1:4" x14ac:dyDescent="0.35">
      <c r="A181">
        <v>451</v>
      </c>
      <c r="B181" t="s">
        <v>390</v>
      </c>
      <c r="C181" t="s">
        <v>392</v>
      </c>
      <c r="D181" s="15" t="s">
        <v>99</v>
      </c>
    </row>
    <row r="182" spans="1:4" x14ac:dyDescent="0.35">
      <c r="A182">
        <v>452</v>
      </c>
      <c r="B182" t="s">
        <v>393</v>
      </c>
      <c r="C182" t="s">
        <v>394</v>
      </c>
      <c r="D182" s="15" t="s">
        <v>99</v>
      </c>
    </row>
    <row r="183" spans="1:4" x14ac:dyDescent="0.35">
      <c r="A183">
        <v>453</v>
      </c>
      <c r="B183" t="s">
        <v>393</v>
      </c>
      <c r="C183" t="s">
        <v>395</v>
      </c>
      <c r="D183" s="15" t="s">
        <v>99</v>
      </c>
    </row>
    <row r="184" spans="1:4" x14ac:dyDescent="0.35">
      <c r="A184">
        <v>454</v>
      </c>
      <c r="B184" t="s">
        <v>396</v>
      </c>
      <c r="C184" t="s">
        <v>397</v>
      </c>
      <c r="D184" s="15" t="s">
        <v>99</v>
      </c>
    </row>
    <row r="185" spans="1:4" x14ac:dyDescent="0.35">
      <c r="A185">
        <v>455</v>
      </c>
      <c r="B185" t="s">
        <v>396</v>
      </c>
      <c r="C185" t="s">
        <v>398</v>
      </c>
      <c r="D185" s="15" t="s">
        <v>99</v>
      </c>
    </row>
    <row r="186" spans="1:4" x14ac:dyDescent="0.35">
      <c r="A186">
        <v>456</v>
      </c>
      <c r="B186" t="s">
        <v>399</v>
      </c>
      <c r="C186" t="s">
        <v>400</v>
      </c>
      <c r="D186" s="15" t="s">
        <v>99</v>
      </c>
    </row>
    <row r="187" spans="1:4" x14ac:dyDescent="0.35">
      <c r="A187">
        <v>457</v>
      </c>
      <c r="B187" t="s">
        <v>399</v>
      </c>
      <c r="C187" t="s">
        <v>401</v>
      </c>
      <c r="D187" s="15" t="s">
        <v>99</v>
      </c>
    </row>
    <row r="188" spans="1:4" x14ac:dyDescent="0.35">
      <c r="A188">
        <v>459</v>
      </c>
      <c r="B188" t="s">
        <v>402</v>
      </c>
      <c r="C188" t="s">
        <v>403</v>
      </c>
      <c r="D188" s="15" t="s">
        <v>99</v>
      </c>
    </row>
    <row r="189" spans="1:4" x14ac:dyDescent="0.35">
      <c r="A189">
        <v>460</v>
      </c>
      <c r="B189" t="s">
        <v>402</v>
      </c>
      <c r="C189" t="s">
        <v>404</v>
      </c>
      <c r="D189" s="15" t="s">
        <v>99</v>
      </c>
    </row>
    <row r="190" spans="1:4" x14ac:dyDescent="0.35">
      <c r="A190">
        <v>461</v>
      </c>
      <c r="B190" t="s">
        <v>402</v>
      </c>
      <c r="C190" t="s">
        <v>405</v>
      </c>
      <c r="D190" s="15" t="s">
        <v>99</v>
      </c>
    </row>
    <row r="191" spans="1:4" x14ac:dyDescent="0.35">
      <c r="A191">
        <v>462</v>
      </c>
      <c r="B191" t="s">
        <v>402</v>
      </c>
      <c r="C191" t="s">
        <v>406</v>
      </c>
      <c r="D191" s="15" t="s">
        <v>99</v>
      </c>
    </row>
    <row r="192" spans="1:4" x14ac:dyDescent="0.35">
      <c r="A192">
        <v>463</v>
      </c>
      <c r="B192" t="s">
        <v>402</v>
      </c>
      <c r="C192" t="s">
        <v>407</v>
      </c>
      <c r="D192" s="15" t="s">
        <v>99</v>
      </c>
    </row>
    <row r="193" spans="1:4" x14ac:dyDescent="0.35">
      <c r="A193">
        <v>464</v>
      </c>
      <c r="B193" t="s">
        <v>402</v>
      </c>
      <c r="C193" t="s">
        <v>408</v>
      </c>
      <c r="D193" s="15" t="s">
        <v>99</v>
      </c>
    </row>
    <row r="194" spans="1:4" x14ac:dyDescent="0.35">
      <c r="A194">
        <v>465</v>
      </c>
      <c r="B194" t="s">
        <v>402</v>
      </c>
      <c r="C194" t="s">
        <v>409</v>
      </c>
      <c r="D194" s="15" t="s">
        <v>99</v>
      </c>
    </row>
    <row r="195" spans="1:4" x14ac:dyDescent="0.35">
      <c r="A195">
        <v>466</v>
      </c>
      <c r="B195" t="s">
        <v>402</v>
      </c>
      <c r="C195" t="s">
        <v>410</v>
      </c>
      <c r="D195" s="15" t="s">
        <v>99</v>
      </c>
    </row>
    <row r="196" spans="1:4" x14ac:dyDescent="0.35">
      <c r="A196">
        <v>467</v>
      </c>
      <c r="B196" t="s">
        <v>402</v>
      </c>
      <c r="C196" t="s">
        <v>411</v>
      </c>
      <c r="D196" s="15" t="s">
        <v>99</v>
      </c>
    </row>
    <row r="197" spans="1:4" x14ac:dyDescent="0.35">
      <c r="A197">
        <v>468</v>
      </c>
      <c r="B197" t="s">
        <v>412</v>
      </c>
      <c r="C197" t="s">
        <v>413</v>
      </c>
      <c r="D197" s="15" t="s">
        <v>99</v>
      </c>
    </row>
    <row r="198" spans="1:4" x14ac:dyDescent="0.35">
      <c r="A198">
        <v>470</v>
      </c>
      <c r="B198" t="s">
        <v>412</v>
      </c>
      <c r="C198" t="s">
        <v>414</v>
      </c>
      <c r="D198" s="15" t="s">
        <v>99</v>
      </c>
    </row>
    <row r="199" spans="1:4" x14ac:dyDescent="0.35">
      <c r="A199">
        <v>471</v>
      </c>
      <c r="B199" t="s">
        <v>412</v>
      </c>
      <c r="C199" t="s">
        <v>415</v>
      </c>
      <c r="D199" s="15" t="s">
        <v>99</v>
      </c>
    </row>
    <row r="200" spans="1:4" x14ac:dyDescent="0.35">
      <c r="A200">
        <v>472</v>
      </c>
      <c r="B200" t="s">
        <v>416</v>
      </c>
      <c r="C200" t="s">
        <v>417</v>
      </c>
      <c r="D200" s="15" t="s">
        <v>99</v>
      </c>
    </row>
    <row r="201" spans="1:4" x14ac:dyDescent="0.35">
      <c r="A201">
        <v>473</v>
      </c>
      <c r="B201" t="s">
        <v>416</v>
      </c>
      <c r="C201" t="s">
        <v>418</v>
      </c>
      <c r="D201" s="15" t="s">
        <v>99</v>
      </c>
    </row>
    <row r="202" spans="1:4" x14ac:dyDescent="0.35">
      <c r="A202">
        <v>475</v>
      </c>
      <c r="B202" t="s">
        <v>419</v>
      </c>
      <c r="C202" t="s">
        <v>420</v>
      </c>
      <c r="D202" s="15" t="s">
        <v>99</v>
      </c>
    </row>
    <row r="203" spans="1:4" x14ac:dyDescent="0.35">
      <c r="A203">
        <v>476</v>
      </c>
      <c r="B203" t="s">
        <v>419</v>
      </c>
      <c r="C203" t="s">
        <v>421</v>
      </c>
      <c r="D203" s="15" t="s">
        <v>99</v>
      </c>
    </row>
    <row r="204" spans="1:4" x14ac:dyDescent="0.35">
      <c r="A204">
        <v>477</v>
      </c>
      <c r="B204" t="s">
        <v>419</v>
      </c>
      <c r="C204" t="s">
        <v>422</v>
      </c>
      <c r="D204" s="15" t="s">
        <v>99</v>
      </c>
    </row>
    <row r="205" spans="1:4" x14ac:dyDescent="0.35">
      <c r="A205">
        <v>478</v>
      </c>
      <c r="B205" t="s">
        <v>419</v>
      </c>
      <c r="C205" t="s">
        <v>423</v>
      </c>
      <c r="D205" s="15" t="s">
        <v>99</v>
      </c>
    </row>
    <row r="206" spans="1:4" x14ac:dyDescent="0.35">
      <c r="A206">
        <v>479</v>
      </c>
      <c r="B206" t="s">
        <v>419</v>
      </c>
      <c r="C206" t="s">
        <v>421</v>
      </c>
      <c r="D206" s="15" t="s">
        <v>99</v>
      </c>
    </row>
    <row r="207" spans="1:4" x14ac:dyDescent="0.35">
      <c r="A207">
        <v>480</v>
      </c>
      <c r="B207" t="s">
        <v>419</v>
      </c>
      <c r="C207" t="s">
        <v>422</v>
      </c>
      <c r="D207" s="15" t="s">
        <v>99</v>
      </c>
    </row>
    <row r="208" spans="1:4" x14ac:dyDescent="0.35">
      <c r="A208">
        <v>481</v>
      </c>
      <c r="B208" t="s">
        <v>419</v>
      </c>
      <c r="C208" t="s">
        <v>424</v>
      </c>
      <c r="D208" s="15" t="s">
        <v>99</v>
      </c>
    </row>
    <row r="209" spans="1:4" x14ac:dyDescent="0.35">
      <c r="A209">
        <v>482</v>
      </c>
      <c r="B209" t="s">
        <v>246</v>
      </c>
      <c r="C209" t="s">
        <v>425</v>
      </c>
      <c r="D209" s="15" t="s">
        <v>99</v>
      </c>
    </row>
    <row r="210" spans="1:4" x14ac:dyDescent="0.35">
      <c r="A210">
        <v>487</v>
      </c>
      <c r="B210" t="s">
        <v>426</v>
      </c>
      <c r="C210" t="s">
        <v>427</v>
      </c>
      <c r="D210" s="15" t="s">
        <v>99</v>
      </c>
    </row>
    <row r="211" spans="1:4" x14ac:dyDescent="0.35">
      <c r="A211">
        <v>489</v>
      </c>
      <c r="B211" t="s">
        <v>426</v>
      </c>
      <c r="C211" t="s">
        <v>428</v>
      </c>
      <c r="D211" s="15" t="s">
        <v>99</v>
      </c>
    </row>
    <row r="212" spans="1:4" x14ac:dyDescent="0.35">
      <c r="A212">
        <v>490</v>
      </c>
      <c r="B212" t="s">
        <v>426</v>
      </c>
      <c r="C212" t="s">
        <v>429</v>
      </c>
      <c r="D212" s="15" t="s">
        <v>99</v>
      </c>
    </row>
    <row r="213" spans="1:4" x14ac:dyDescent="0.35">
      <c r="A213">
        <v>491</v>
      </c>
      <c r="B213" t="s">
        <v>426</v>
      </c>
      <c r="C213" t="s">
        <v>430</v>
      </c>
      <c r="D213" s="15" t="s">
        <v>99</v>
      </c>
    </row>
    <row r="214" spans="1:4" x14ac:dyDescent="0.35">
      <c r="A214">
        <v>492</v>
      </c>
      <c r="B214" t="s">
        <v>426</v>
      </c>
      <c r="C214" t="s">
        <v>431</v>
      </c>
      <c r="D214" s="15" t="s">
        <v>99</v>
      </c>
    </row>
    <row r="215" spans="1:4" x14ac:dyDescent="0.35">
      <c r="A215">
        <v>493</v>
      </c>
      <c r="B215" t="s">
        <v>426</v>
      </c>
      <c r="C215" t="s">
        <v>432</v>
      </c>
      <c r="D215" s="15" t="s">
        <v>99</v>
      </c>
    </row>
    <row r="216" spans="1:4" x14ac:dyDescent="0.35">
      <c r="A216">
        <v>494</v>
      </c>
      <c r="B216" t="s">
        <v>426</v>
      </c>
      <c r="C216" t="s">
        <v>433</v>
      </c>
      <c r="D216" s="15" t="s">
        <v>99</v>
      </c>
    </row>
    <row r="217" spans="1:4" x14ac:dyDescent="0.35">
      <c r="A217">
        <v>507</v>
      </c>
      <c r="B217" t="s">
        <v>434</v>
      </c>
      <c r="C217" t="s">
        <v>435</v>
      </c>
      <c r="D217" s="15" t="s">
        <v>99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2430E-F659-4B1A-85A8-F6C7AB874228}">
  <dimension ref="A1:U66"/>
  <sheetViews>
    <sheetView zoomScale="85" zoomScaleNormal="85" workbookViewId="0">
      <pane xSplit="1" ySplit="1" topLeftCell="B2" activePane="bottomRight" state="frozen"/>
      <selection activeCell="A5" sqref="A5"/>
      <selection pane="topRight" activeCell="A5" sqref="A5"/>
      <selection pane="bottomLeft" activeCell="A5" sqref="A5"/>
      <selection pane="bottomRight" activeCell="A3" sqref="A3"/>
    </sheetView>
  </sheetViews>
  <sheetFormatPr defaultRowHeight="14.5" x14ac:dyDescent="0.35"/>
  <cols>
    <col min="1" max="1" width="46.453125" customWidth="1"/>
    <col min="2" max="2" width="14.6328125" customWidth="1"/>
    <col min="3" max="3" width="11.81640625" bestFit="1" customWidth="1"/>
    <col min="4" max="4" width="8.81640625" customWidth="1"/>
    <col min="5" max="5" width="10.54296875" customWidth="1"/>
    <col min="6" max="6" width="11.453125" customWidth="1"/>
    <col min="7" max="7" width="15.453125" customWidth="1"/>
    <col min="8" max="8" width="11.54296875" customWidth="1"/>
    <col min="9" max="9" width="8.1796875" customWidth="1"/>
    <col min="10" max="10" width="11.453125" bestFit="1" customWidth="1"/>
    <col min="11" max="11" width="10.81640625" bestFit="1" customWidth="1"/>
    <col min="12" max="12" width="8.54296875" customWidth="1"/>
    <col min="13" max="13" width="14" bestFit="1" customWidth="1"/>
    <col min="14" max="14" width="10.1796875" bestFit="1" customWidth="1"/>
    <col min="15" max="15" width="12.1796875" bestFit="1" customWidth="1"/>
    <col min="16" max="16" width="11.1796875" bestFit="1" customWidth="1"/>
    <col min="17" max="17" width="9.54296875" bestFit="1" customWidth="1"/>
    <col min="18" max="18" width="10.1796875" bestFit="1" customWidth="1"/>
    <col min="19" max="19" width="10.81640625" bestFit="1" customWidth="1"/>
  </cols>
  <sheetData>
    <row r="1" spans="1:21" ht="18.5" x14ac:dyDescent="0.45">
      <c r="A1" s="28"/>
      <c r="B1" s="30" t="s">
        <v>438</v>
      </c>
      <c r="C1" s="42" t="s">
        <v>0</v>
      </c>
      <c r="D1" s="42" t="s">
        <v>1</v>
      </c>
      <c r="E1" s="42" t="s">
        <v>2</v>
      </c>
      <c r="F1" s="42" t="s">
        <v>3</v>
      </c>
      <c r="G1" s="42" t="s">
        <v>4</v>
      </c>
      <c r="H1" s="42" t="s">
        <v>5</v>
      </c>
      <c r="I1" s="42" t="s">
        <v>6</v>
      </c>
      <c r="J1" s="42" t="s">
        <v>7</v>
      </c>
      <c r="K1" s="42" t="s">
        <v>8</v>
      </c>
      <c r="L1" s="42" t="s">
        <v>9</v>
      </c>
      <c r="M1" s="42" t="s">
        <v>10</v>
      </c>
      <c r="N1" s="42" t="s">
        <v>11</v>
      </c>
      <c r="O1" s="42" t="s">
        <v>12</v>
      </c>
      <c r="P1" s="42" t="s">
        <v>13</v>
      </c>
      <c r="Q1" s="42" t="s">
        <v>14</v>
      </c>
      <c r="R1" s="42" t="s">
        <v>15</v>
      </c>
      <c r="S1" s="42" t="s">
        <v>16</v>
      </c>
    </row>
    <row r="2" spans="1:21" x14ac:dyDescent="0.35">
      <c r="A2" s="30" t="s">
        <v>179</v>
      </c>
      <c r="B2" s="43"/>
      <c r="C2" s="44">
        <v>0.48708351999999999</v>
      </c>
      <c r="D2" s="44">
        <v>0.18760500000000002</v>
      </c>
      <c r="E2" s="44">
        <v>2.1780000000000001E-2</v>
      </c>
      <c r="F2" s="44">
        <v>0.12870000000000001</v>
      </c>
      <c r="G2" s="44">
        <v>0.207757</v>
      </c>
      <c r="H2" s="44">
        <v>0.13730310000000001</v>
      </c>
      <c r="I2" s="44">
        <v>0.16373823529411763</v>
      </c>
      <c r="J2" s="44">
        <v>0.24720300000000001</v>
      </c>
      <c r="K2" s="44">
        <v>0.18785525</v>
      </c>
      <c r="L2" s="44">
        <v>0.61389398245614046</v>
      </c>
      <c r="M2" s="44">
        <v>0.62409343689320396</v>
      </c>
      <c r="N2" s="44">
        <v>0.11329560000000001</v>
      </c>
      <c r="O2" s="44">
        <v>6.0632000000000005E-2</v>
      </c>
      <c r="P2" s="44">
        <v>3.417333333333334E-2</v>
      </c>
      <c r="Q2" s="44">
        <v>0.38283960000000006</v>
      </c>
      <c r="R2" s="44">
        <v>0.29719616099071211</v>
      </c>
      <c r="S2" s="44">
        <v>0.10346336</v>
      </c>
    </row>
    <row r="3" spans="1:21" x14ac:dyDescent="0.35">
      <c r="A3" s="30"/>
      <c r="B3" s="43"/>
      <c r="C3" s="32"/>
      <c r="D3" s="28"/>
      <c r="E3" s="28"/>
      <c r="F3" s="28"/>
      <c r="G3" s="28"/>
      <c r="H3" s="28"/>
      <c r="I3" s="28"/>
      <c r="J3" s="28"/>
      <c r="K3" s="28"/>
      <c r="L3" s="28"/>
      <c r="M3" s="28"/>
      <c r="N3" s="28"/>
      <c r="O3" s="28"/>
      <c r="P3" s="28"/>
      <c r="Q3" s="28"/>
      <c r="R3" s="28"/>
      <c r="S3" s="28"/>
    </row>
    <row r="4" spans="1:21" x14ac:dyDescent="0.35">
      <c r="A4" s="30" t="s">
        <v>21</v>
      </c>
      <c r="B4" s="43" t="s">
        <v>442</v>
      </c>
      <c r="C4" s="32">
        <v>0.6293439999999999</v>
      </c>
      <c r="D4" s="32">
        <v>0.51849999999999996</v>
      </c>
      <c r="E4" s="32">
        <v>6.6000000000000003E-2</v>
      </c>
      <c r="F4" s="32">
        <v>0.39</v>
      </c>
      <c r="G4" s="32">
        <v>0.62956666666666661</v>
      </c>
      <c r="H4" s="32">
        <v>0.39</v>
      </c>
      <c r="I4" s="32">
        <v>0.24617647058823527</v>
      </c>
      <c r="J4" s="32">
        <v>0.53129999999999999</v>
      </c>
      <c r="K4" s="32">
        <v>0.40145833333333331</v>
      </c>
      <c r="L4" s="32">
        <v>0.78384035087719295</v>
      </c>
      <c r="M4" s="32">
        <v>0.84259223300970887</v>
      </c>
      <c r="N4" s="32">
        <v>0.33672000000000002</v>
      </c>
      <c r="O4" s="32">
        <v>0.15073333333333336</v>
      </c>
      <c r="P4" s="32">
        <v>0.10355555555555557</v>
      </c>
      <c r="Q4" s="32">
        <v>0.53312000000000004</v>
      </c>
      <c r="R4" s="32">
        <v>0.12894736842105264</v>
      </c>
      <c r="S4" s="32">
        <v>0.31352533333333332</v>
      </c>
    </row>
    <row r="5" spans="1:21" x14ac:dyDescent="0.35">
      <c r="A5" s="30" t="s">
        <v>22</v>
      </c>
      <c r="B5" s="43" t="s">
        <v>442</v>
      </c>
      <c r="C5" s="32">
        <v>0.34666666666666668</v>
      </c>
      <c r="D5" s="32">
        <v>0.05</v>
      </c>
      <c r="E5" s="32">
        <v>0</v>
      </c>
      <c r="F5" s="32">
        <v>0</v>
      </c>
      <c r="G5" s="32">
        <v>0</v>
      </c>
      <c r="H5" s="32">
        <v>9.5700000000000004E-3</v>
      </c>
      <c r="I5" s="32">
        <v>0.25</v>
      </c>
      <c r="J5" s="32">
        <v>0.21780000000000002</v>
      </c>
      <c r="K5" s="32">
        <v>9.2800000000000007E-2</v>
      </c>
      <c r="L5" s="32">
        <v>0.19444444444444445</v>
      </c>
      <c r="M5" s="32">
        <v>0.38860000000000006</v>
      </c>
      <c r="N5" s="32">
        <v>6.6000000000000008E-3</v>
      </c>
      <c r="O5" s="32">
        <v>3.3000000000000002E-2</v>
      </c>
      <c r="P5" s="32">
        <v>0</v>
      </c>
      <c r="Q5" s="32">
        <v>0.627</v>
      </c>
      <c r="R5" s="32">
        <v>0.52164705882352946</v>
      </c>
      <c r="S5" s="32">
        <v>0</v>
      </c>
    </row>
    <row r="6" spans="1:21" x14ac:dyDescent="0.35">
      <c r="A6" s="30" t="s">
        <v>23</v>
      </c>
      <c r="B6" s="43" t="s">
        <v>442</v>
      </c>
      <c r="C6" s="32">
        <v>0.5</v>
      </c>
      <c r="D6" s="32">
        <v>0</v>
      </c>
      <c r="E6" s="32">
        <v>0</v>
      </c>
      <c r="F6" s="32">
        <v>0</v>
      </c>
      <c r="G6" s="32">
        <v>0</v>
      </c>
      <c r="H6" s="32">
        <v>1.6500000000000001E-2</v>
      </c>
      <c r="I6" s="32">
        <v>0</v>
      </c>
      <c r="J6" s="32">
        <v>0</v>
      </c>
      <c r="K6" s="32">
        <v>7.4999999999999997E-2</v>
      </c>
      <c r="L6" s="32">
        <v>0.88200000000000001</v>
      </c>
      <c r="M6" s="32">
        <v>0.66</v>
      </c>
      <c r="N6" s="32">
        <v>0</v>
      </c>
      <c r="O6" s="32">
        <v>0</v>
      </c>
      <c r="P6" s="32">
        <v>0</v>
      </c>
      <c r="Q6" s="32">
        <v>0</v>
      </c>
      <c r="R6" s="32">
        <v>0.25</v>
      </c>
      <c r="S6" s="32">
        <v>0</v>
      </c>
    </row>
    <row r="7" spans="1:21" x14ac:dyDescent="0.35">
      <c r="A7" s="30" t="s">
        <v>180</v>
      </c>
      <c r="B7" s="43" t="s">
        <v>439</v>
      </c>
      <c r="C7" s="40">
        <v>0.71</v>
      </c>
      <c r="D7" s="40">
        <v>0.61</v>
      </c>
      <c r="E7" s="40">
        <v>6.6000000000000003E-2</v>
      </c>
      <c r="F7" s="40">
        <v>0.39</v>
      </c>
      <c r="G7" s="40">
        <v>0.66659999999999997</v>
      </c>
      <c r="H7" s="40">
        <v>0.39</v>
      </c>
      <c r="I7" s="40">
        <v>0.31</v>
      </c>
      <c r="J7" s="40">
        <v>0.55000000000000004</v>
      </c>
      <c r="K7" s="40">
        <v>0.47</v>
      </c>
      <c r="L7" s="40">
        <v>0.83</v>
      </c>
      <c r="M7" s="40">
        <v>0.9</v>
      </c>
      <c r="N7" s="41">
        <v>0.46</v>
      </c>
      <c r="O7" s="40">
        <v>0.17</v>
      </c>
      <c r="P7" s="40">
        <v>0.2</v>
      </c>
      <c r="Q7" s="41">
        <v>0.64</v>
      </c>
      <c r="R7" s="40">
        <v>0.14000000000000001</v>
      </c>
      <c r="S7" s="40">
        <v>0.34</v>
      </c>
    </row>
    <row r="8" spans="1:21" x14ac:dyDescent="0.35">
      <c r="A8" s="30" t="s">
        <v>181</v>
      </c>
      <c r="B8" s="43"/>
      <c r="C8" s="28">
        <v>0.5</v>
      </c>
      <c r="D8" s="32">
        <v>0.2</v>
      </c>
      <c r="E8" s="32">
        <v>0</v>
      </c>
      <c r="F8" s="32">
        <v>0</v>
      </c>
      <c r="G8" s="32">
        <v>0</v>
      </c>
      <c r="H8" s="32">
        <v>2.9000000000000001E-2</v>
      </c>
      <c r="I8" s="32">
        <v>0.5</v>
      </c>
      <c r="J8" s="32">
        <v>0.33</v>
      </c>
      <c r="K8" s="32">
        <v>0.16</v>
      </c>
      <c r="L8" s="32">
        <v>0.5</v>
      </c>
      <c r="M8" s="32">
        <v>0.67</v>
      </c>
      <c r="N8" s="32">
        <v>0.02</v>
      </c>
      <c r="O8" s="32">
        <v>0.05</v>
      </c>
      <c r="P8" s="32">
        <v>0</v>
      </c>
      <c r="Q8" s="32">
        <v>0.95</v>
      </c>
      <c r="R8" s="32">
        <v>0.73899999999999999</v>
      </c>
      <c r="S8" s="32">
        <v>0</v>
      </c>
    </row>
    <row r="9" spans="1:21" x14ac:dyDescent="0.35">
      <c r="A9" s="30" t="s">
        <v>443</v>
      </c>
      <c r="B9" s="43"/>
      <c r="C9" s="28">
        <v>1</v>
      </c>
      <c r="D9" s="28"/>
      <c r="E9" s="28"/>
      <c r="F9" s="28"/>
      <c r="G9" s="28"/>
      <c r="H9" s="32">
        <v>0.05</v>
      </c>
      <c r="I9" s="28"/>
      <c r="J9" s="28" t="s">
        <v>62</v>
      </c>
      <c r="K9" s="28">
        <v>0.15</v>
      </c>
      <c r="L9" s="28">
        <v>0.9</v>
      </c>
      <c r="M9" s="28">
        <v>1</v>
      </c>
      <c r="N9" s="28"/>
      <c r="O9" s="28"/>
      <c r="P9" s="28"/>
      <c r="Q9" s="28" t="s">
        <v>62</v>
      </c>
      <c r="R9" s="28">
        <v>0.5</v>
      </c>
      <c r="S9" s="28"/>
    </row>
    <row r="10" spans="1:21" x14ac:dyDescent="0.35">
      <c r="A10" s="30"/>
      <c r="B10" s="43"/>
      <c r="C10" s="28"/>
      <c r="D10" s="28"/>
      <c r="E10" s="28"/>
      <c r="F10" s="28"/>
      <c r="G10" s="28"/>
      <c r="H10" s="28"/>
      <c r="I10" s="28"/>
      <c r="J10" s="28"/>
      <c r="K10" s="28"/>
      <c r="L10" s="28"/>
      <c r="M10" s="28"/>
      <c r="N10" s="28"/>
      <c r="O10" s="28"/>
      <c r="P10" s="28"/>
      <c r="Q10" s="28"/>
      <c r="R10" s="28"/>
      <c r="S10" s="28"/>
    </row>
    <row r="11" spans="1:21" x14ac:dyDescent="0.35">
      <c r="A11" s="30" t="s">
        <v>441</v>
      </c>
      <c r="B11" s="43"/>
      <c r="C11" s="28"/>
      <c r="D11" s="28"/>
      <c r="E11" s="28"/>
      <c r="F11" s="28"/>
      <c r="G11" s="28"/>
      <c r="H11" s="28"/>
      <c r="I11" s="28"/>
      <c r="J11" s="28"/>
      <c r="K11" s="28"/>
      <c r="L11" s="28"/>
      <c r="M11" s="28"/>
      <c r="N11" s="28"/>
      <c r="O11" s="28"/>
      <c r="P11" s="28"/>
      <c r="Q11" s="28"/>
      <c r="R11" s="28"/>
      <c r="S11" s="28"/>
    </row>
    <row r="12" spans="1:21" x14ac:dyDescent="0.35">
      <c r="A12" s="30" t="s">
        <v>182</v>
      </c>
      <c r="B12" s="43" t="s">
        <v>440</v>
      </c>
      <c r="C12" s="45">
        <v>0.6875</v>
      </c>
      <c r="D12" s="45">
        <v>0.5</v>
      </c>
      <c r="E12" s="45">
        <v>0</v>
      </c>
      <c r="F12" s="45">
        <v>0</v>
      </c>
      <c r="G12" s="45">
        <v>0.5</v>
      </c>
      <c r="H12" s="45">
        <v>0</v>
      </c>
      <c r="I12" s="45">
        <v>0.5</v>
      </c>
      <c r="J12" s="45">
        <v>0</v>
      </c>
      <c r="K12" s="45">
        <v>0.5</v>
      </c>
      <c r="L12" s="45">
        <v>0.58333333333333337</v>
      </c>
      <c r="M12" s="45">
        <v>0.97916666666666663</v>
      </c>
      <c r="N12" s="45">
        <v>0</v>
      </c>
      <c r="O12" s="45">
        <v>0</v>
      </c>
      <c r="P12" s="45">
        <v>0</v>
      </c>
      <c r="Q12" s="45">
        <v>0</v>
      </c>
      <c r="R12" s="45">
        <v>0.625</v>
      </c>
      <c r="S12" s="45">
        <v>0.5</v>
      </c>
      <c r="T12" s="21"/>
      <c r="U12" s="21"/>
    </row>
    <row r="13" spans="1:21" x14ac:dyDescent="0.35">
      <c r="A13" s="28" t="s">
        <v>183</v>
      </c>
      <c r="B13" s="43"/>
      <c r="C13" s="46">
        <v>8</v>
      </c>
      <c r="D13" s="46">
        <v>4</v>
      </c>
      <c r="E13" s="46">
        <v>0</v>
      </c>
      <c r="F13" s="46">
        <v>0</v>
      </c>
      <c r="G13" s="46">
        <v>1</v>
      </c>
      <c r="H13" s="46">
        <v>0</v>
      </c>
      <c r="I13" s="46">
        <v>1</v>
      </c>
      <c r="J13" s="46">
        <v>0</v>
      </c>
      <c r="K13" s="46">
        <v>3</v>
      </c>
      <c r="L13" s="46">
        <v>6</v>
      </c>
      <c r="M13" s="46">
        <v>24</v>
      </c>
      <c r="N13" s="46">
        <v>0</v>
      </c>
      <c r="O13" s="46">
        <v>0</v>
      </c>
      <c r="P13" s="46">
        <v>0</v>
      </c>
      <c r="Q13" s="46">
        <v>0</v>
      </c>
      <c r="R13" s="46">
        <v>4</v>
      </c>
      <c r="S13" s="46">
        <v>9</v>
      </c>
      <c r="T13" s="22"/>
      <c r="U13" s="22"/>
    </row>
    <row r="14" spans="1:21" x14ac:dyDescent="0.35">
      <c r="A14" s="28" t="s">
        <v>184</v>
      </c>
      <c r="B14" s="43">
        <v>0.5</v>
      </c>
      <c r="C14" s="46">
        <v>5</v>
      </c>
      <c r="D14" s="46">
        <v>2</v>
      </c>
      <c r="E14" s="46">
        <v>0</v>
      </c>
      <c r="F14" s="46">
        <v>0</v>
      </c>
      <c r="G14" s="46">
        <v>1</v>
      </c>
      <c r="H14" s="46">
        <v>0</v>
      </c>
      <c r="I14" s="46">
        <v>1</v>
      </c>
      <c r="J14" s="46">
        <v>0</v>
      </c>
      <c r="K14" s="46">
        <v>3</v>
      </c>
      <c r="L14" s="46">
        <v>5</v>
      </c>
      <c r="M14" s="46">
        <v>1</v>
      </c>
      <c r="N14" s="46">
        <v>0</v>
      </c>
      <c r="O14" s="46">
        <v>0</v>
      </c>
      <c r="P14" s="46">
        <v>0</v>
      </c>
      <c r="Q14" s="46">
        <v>0</v>
      </c>
      <c r="R14" s="46">
        <v>3</v>
      </c>
      <c r="S14" s="46">
        <v>9</v>
      </c>
      <c r="T14" s="22"/>
      <c r="U14" s="22"/>
    </row>
    <row r="15" spans="1:21" x14ac:dyDescent="0.35">
      <c r="A15" s="28" t="s">
        <v>185</v>
      </c>
      <c r="B15" s="43">
        <v>1</v>
      </c>
      <c r="C15" s="46">
        <v>3</v>
      </c>
      <c r="D15" s="46">
        <v>1</v>
      </c>
      <c r="E15" s="46">
        <v>0</v>
      </c>
      <c r="F15" s="46">
        <v>0</v>
      </c>
      <c r="G15" s="46">
        <v>0</v>
      </c>
      <c r="H15" s="46">
        <v>0</v>
      </c>
      <c r="I15" s="46">
        <v>0</v>
      </c>
      <c r="J15" s="46">
        <v>0</v>
      </c>
      <c r="K15" s="46">
        <v>0</v>
      </c>
      <c r="L15" s="46">
        <v>1</v>
      </c>
      <c r="M15" s="46">
        <v>23</v>
      </c>
      <c r="N15" s="46">
        <v>0</v>
      </c>
      <c r="O15" s="46">
        <v>0</v>
      </c>
      <c r="P15" s="46">
        <v>0</v>
      </c>
      <c r="Q15" s="46">
        <v>0</v>
      </c>
      <c r="R15" s="46">
        <v>1</v>
      </c>
      <c r="S15" s="46">
        <v>0</v>
      </c>
      <c r="T15" s="22"/>
      <c r="U15" s="22"/>
    </row>
    <row r="16" spans="1:21" x14ac:dyDescent="0.35">
      <c r="A16" s="30" t="s">
        <v>186</v>
      </c>
      <c r="B16" s="43" t="s">
        <v>440</v>
      </c>
      <c r="C16" s="45">
        <v>0.625</v>
      </c>
      <c r="D16" s="45">
        <v>0.25</v>
      </c>
      <c r="E16" s="45">
        <v>0</v>
      </c>
      <c r="F16" s="45">
        <v>0</v>
      </c>
      <c r="G16" s="45">
        <v>0.75</v>
      </c>
      <c r="H16" s="45">
        <v>0</v>
      </c>
      <c r="I16" s="45">
        <v>0.5</v>
      </c>
      <c r="J16" s="45">
        <v>0</v>
      </c>
      <c r="K16" s="45">
        <v>0.5</v>
      </c>
      <c r="L16" s="45">
        <v>0.3888888888888889</v>
      </c>
      <c r="M16" s="45">
        <v>0.5</v>
      </c>
      <c r="N16" s="45">
        <v>0</v>
      </c>
      <c r="O16" s="45">
        <v>0</v>
      </c>
      <c r="P16" s="45">
        <v>0</v>
      </c>
      <c r="Q16" s="45">
        <v>0</v>
      </c>
      <c r="R16" s="45">
        <v>0.70588235294117652</v>
      </c>
      <c r="S16" s="45">
        <v>0</v>
      </c>
      <c r="T16" s="21"/>
      <c r="U16" s="21"/>
    </row>
    <row r="17" spans="1:21" x14ac:dyDescent="0.35">
      <c r="A17" s="28" t="s">
        <v>187</v>
      </c>
      <c r="B17" s="43"/>
      <c r="C17" s="46">
        <v>4</v>
      </c>
      <c r="D17" s="46">
        <v>2</v>
      </c>
      <c r="E17" s="46">
        <v>0</v>
      </c>
      <c r="F17" s="46">
        <v>0</v>
      </c>
      <c r="G17" s="46">
        <v>4</v>
      </c>
      <c r="H17" s="46">
        <v>0</v>
      </c>
      <c r="I17" s="46">
        <v>1</v>
      </c>
      <c r="J17" s="46">
        <v>0</v>
      </c>
      <c r="K17" s="46">
        <v>1</v>
      </c>
      <c r="L17" s="46">
        <v>9</v>
      </c>
      <c r="M17" s="46">
        <v>1</v>
      </c>
      <c r="N17" s="46">
        <v>0</v>
      </c>
      <c r="O17" s="46">
        <v>0</v>
      </c>
      <c r="P17" s="46">
        <v>0</v>
      </c>
      <c r="Q17" s="46">
        <v>0</v>
      </c>
      <c r="R17" s="46">
        <v>17</v>
      </c>
      <c r="S17" s="46">
        <v>0</v>
      </c>
      <c r="T17" s="22"/>
      <c r="U17" s="22"/>
    </row>
    <row r="18" spans="1:21" x14ac:dyDescent="0.35">
      <c r="A18" s="28" t="s">
        <v>184</v>
      </c>
      <c r="B18" s="43">
        <v>0.5</v>
      </c>
      <c r="C18" s="46">
        <v>3</v>
      </c>
      <c r="D18" s="46">
        <v>1</v>
      </c>
      <c r="E18" s="46">
        <v>0</v>
      </c>
      <c r="F18" s="46">
        <v>0</v>
      </c>
      <c r="G18" s="46">
        <v>0</v>
      </c>
      <c r="H18" s="46">
        <v>0</v>
      </c>
      <c r="I18" s="46">
        <v>1</v>
      </c>
      <c r="J18" s="46">
        <v>0</v>
      </c>
      <c r="K18" s="46">
        <v>1</v>
      </c>
      <c r="L18" s="46">
        <v>3</v>
      </c>
      <c r="M18" s="46">
        <v>1</v>
      </c>
      <c r="N18" s="46">
        <v>0</v>
      </c>
      <c r="O18" s="46">
        <v>0</v>
      </c>
      <c r="P18" s="46">
        <v>0</v>
      </c>
      <c r="Q18" s="46">
        <v>0</v>
      </c>
      <c r="R18" s="46">
        <v>10</v>
      </c>
      <c r="S18" s="46">
        <v>0</v>
      </c>
      <c r="T18" s="22"/>
      <c r="U18" s="22"/>
    </row>
    <row r="19" spans="1:21" x14ac:dyDescent="0.35">
      <c r="A19" s="28" t="s">
        <v>185</v>
      </c>
      <c r="B19" s="43">
        <v>1</v>
      </c>
      <c r="C19" s="46">
        <v>1</v>
      </c>
      <c r="D19" s="46">
        <v>0</v>
      </c>
      <c r="E19" s="46">
        <v>0</v>
      </c>
      <c r="F19" s="46">
        <v>0</v>
      </c>
      <c r="G19" s="46">
        <v>3</v>
      </c>
      <c r="H19" s="46">
        <v>0</v>
      </c>
      <c r="I19" s="46">
        <v>0</v>
      </c>
      <c r="J19" s="46">
        <v>0</v>
      </c>
      <c r="K19" s="46">
        <v>0</v>
      </c>
      <c r="L19" s="46">
        <v>2</v>
      </c>
      <c r="M19" s="46">
        <v>0</v>
      </c>
      <c r="N19" s="46">
        <v>0</v>
      </c>
      <c r="O19" s="46">
        <v>0</v>
      </c>
      <c r="P19" s="46">
        <v>0</v>
      </c>
      <c r="Q19" s="46">
        <v>0</v>
      </c>
      <c r="R19" s="46">
        <v>7</v>
      </c>
      <c r="S19" s="46">
        <v>0</v>
      </c>
      <c r="T19" s="22"/>
      <c r="U19" s="22"/>
    </row>
    <row r="20" spans="1:21" x14ac:dyDescent="0.35">
      <c r="A20" s="30" t="s">
        <v>188</v>
      </c>
      <c r="B20" s="43" t="s">
        <v>440</v>
      </c>
      <c r="C20" s="45">
        <v>0.5</v>
      </c>
      <c r="D20" s="45">
        <v>0</v>
      </c>
      <c r="E20" s="45">
        <v>0</v>
      </c>
      <c r="F20" s="45">
        <v>0</v>
      </c>
      <c r="G20" s="45">
        <v>0</v>
      </c>
      <c r="H20" s="45">
        <v>0</v>
      </c>
      <c r="I20" s="45">
        <v>0</v>
      </c>
      <c r="J20" s="45">
        <v>0</v>
      </c>
      <c r="K20" s="45">
        <v>0.5</v>
      </c>
      <c r="L20" s="45">
        <v>0</v>
      </c>
      <c r="M20" s="45">
        <v>0</v>
      </c>
      <c r="N20" s="45">
        <v>0</v>
      </c>
      <c r="O20" s="45">
        <v>0</v>
      </c>
      <c r="P20" s="45">
        <v>0</v>
      </c>
      <c r="Q20" s="45">
        <v>0</v>
      </c>
      <c r="R20" s="45">
        <v>0.5</v>
      </c>
      <c r="S20" s="45">
        <v>0</v>
      </c>
      <c r="T20" s="21"/>
      <c r="U20" s="21"/>
    </row>
    <row r="21" spans="1:21" x14ac:dyDescent="0.35">
      <c r="A21" s="28" t="s">
        <v>189</v>
      </c>
      <c r="B21" s="43"/>
      <c r="C21" s="46">
        <v>1</v>
      </c>
      <c r="D21" s="46">
        <v>0</v>
      </c>
      <c r="E21" s="46">
        <v>0</v>
      </c>
      <c r="F21" s="46">
        <v>0</v>
      </c>
      <c r="G21" s="46">
        <v>0</v>
      </c>
      <c r="H21" s="46">
        <v>0</v>
      </c>
      <c r="I21" s="46">
        <v>0</v>
      </c>
      <c r="J21" s="46">
        <v>0</v>
      </c>
      <c r="K21" s="46">
        <v>1</v>
      </c>
      <c r="L21" s="46">
        <v>0</v>
      </c>
      <c r="M21" s="46">
        <v>0</v>
      </c>
      <c r="N21" s="46">
        <v>0</v>
      </c>
      <c r="O21" s="46">
        <v>0</v>
      </c>
      <c r="P21" s="46">
        <v>0</v>
      </c>
      <c r="Q21" s="46">
        <v>0</v>
      </c>
      <c r="R21" s="46">
        <v>4</v>
      </c>
      <c r="S21" s="46">
        <v>0</v>
      </c>
      <c r="T21" s="22"/>
      <c r="U21" s="22"/>
    </row>
    <row r="22" spans="1:21" x14ac:dyDescent="0.35">
      <c r="A22" s="28" t="s">
        <v>184</v>
      </c>
      <c r="B22" s="43">
        <v>0.5</v>
      </c>
      <c r="C22" s="46">
        <v>1</v>
      </c>
      <c r="D22" s="46">
        <v>0</v>
      </c>
      <c r="E22" s="46">
        <v>0</v>
      </c>
      <c r="F22" s="46">
        <v>0</v>
      </c>
      <c r="G22" s="46">
        <v>0</v>
      </c>
      <c r="H22" s="46">
        <v>0</v>
      </c>
      <c r="I22" s="46">
        <v>0</v>
      </c>
      <c r="J22" s="46">
        <v>0</v>
      </c>
      <c r="K22" s="46">
        <v>1</v>
      </c>
      <c r="L22" s="46">
        <v>0</v>
      </c>
      <c r="M22" s="46">
        <v>0</v>
      </c>
      <c r="N22" s="46">
        <v>0</v>
      </c>
      <c r="O22" s="46">
        <v>0</v>
      </c>
      <c r="P22" s="46">
        <v>0</v>
      </c>
      <c r="Q22" s="46">
        <v>0</v>
      </c>
      <c r="R22" s="46">
        <v>4</v>
      </c>
      <c r="S22" s="46">
        <v>0</v>
      </c>
      <c r="T22" s="22"/>
      <c r="U22" s="22"/>
    </row>
    <row r="23" spans="1:21" x14ac:dyDescent="0.35">
      <c r="A23" s="28" t="s">
        <v>185</v>
      </c>
      <c r="B23" s="43">
        <v>1</v>
      </c>
      <c r="C23" s="46">
        <v>0</v>
      </c>
      <c r="D23" s="46">
        <v>0</v>
      </c>
      <c r="E23" s="46">
        <v>0</v>
      </c>
      <c r="F23" s="46">
        <v>0</v>
      </c>
      <c r="G23" s="46">
        <v>0</v>
      </c>
      <c r="H23" s="46">
        <v>0</v>
      </c>
      <c r="I23" s="46">
        <v>0</v>
      </c>
      <c r="J23" s="46">
        <v>0</v>
      </c>
      <c r="K23" s="46">
        <v>0</v>
      </c>
      <c r="L23" s="46">
        <v>0</v>
      </c>
      <c r="M23" s="46">
        <v>0</v>
      </c>
      <c r="N23" s="46">
        <v>0</v>
      </c>
      <c r="O23" s="46">
        <v>0</v>
      </c>
      <c r="P23" s="46">
        <v>0</v>
      </c>
      <c r="Q23" s="46">
        <v>0</v>
      </c>
      <c r="R23" s="46">
        <v>0</v>
      </c>
      <c r="S23" s="46">
        <v>0</v>
      </c>
      <c r="T23" s="22"/>
      <c r="U23" s="22"/>
    </row>
    <row r="24" spans="1:21" x14ac:dyDescent="0.35">
      <c r="A24" s="30"/>
      <c r="B24" s="43"/>
      <c r="C24" s="28"/>
      <c r="D24" s="28"/>
      <c r="E24" s="28"/>
      <c r="F24" s="28"/>
      <c r="G24" s="28"/>
      <c r="H24" s="28"/>
      <c r="I24" s="28"/>
      <c r="J24" s="28"/>
      <c r="K24" s="28"/>
      <c r="L24" s="28"/>
      <c r="M24" s="28"/>
      <c r="N24" s="28"/>
      <c r="O24" s="28"/>
      <c r="P24" s="28"/>
      <c r="Q24" s="28"/>
      <c r="R24" s="28"/>
      <c r="S24" s="28"/>
    </row>
    <row r="25" spans="1:21" x14ac:dyDescent="0.35">
      <c r="A25" s="30"/>
      <c r="B25" s="43"/>
      <c r="C25" s="28"/>
      <c r="D25" s="28"/>
      <c r="E25" s="28"/>
      <c r="F25" s="28"/>
      <c r="G25" s="28"/>
      <c r="H25" s="28"/>
      <c r="I25" s="28"/>
      <c r="J25" s="28"/>
      <c r="K25" s="28"/>
      <c r="L25" s="28"/>
      <c r="M25" s="28"/>
      <c r="N25" s="28"/>
      <c r="O25" s="28"/>
      <c r="P25" s="28"/>
      <c r="Q25" s="28"/>
      <c r="R25" s="28"/>
      <c r="S25" s="28"/>
    </row>
    <row r="26" spans="1:21" x14ac:dyDescent="0.35">
      <c r="A26" s="47" t="s">
        <v>444</v>
      </c>
      <c r="B26" s="43"/>
      <c r="C26" s="46"/>
      <c r="D26" s="46"/>
      <c r="E26" s="46"/>
      <c r="F26" s="46"/>
      <c r="G26" s="46"/>
      <c r="H26" s="46"/>
      <c r="I26" s="46"/>
      <c r="J26" s="46"/>
      <c r="K26" s="46"/>
      <c r="L26" s="46"/>
      <c r="M26" s="46"/>
      <c r="N26" s="46"/>
      <c r="O26" s="46"/>
      <c r="P26" s="46"/>
      <c r="Q26" s="46"/>
      <c r="R26" s="46"/>
      <c r="S26" s="46"/>
      <c r="T26" s="22"/>
      <c r="U26" s="22"/>
    </row>
    <row r="27" spans="1:21" x14ac:dyDescent="0.35">
      <c r="A27" s="30" t="s">
        <v>190</v>
      </c>
      <c r="B27" s="43" t="s">
        <v>440</v>
      </c>
      <c r="C27" s="45">
        <v>0.98</v>
      </c>
      <c r="D27" s="45">
        <v>0.9375</v>
      </c>
      <c r="E27" s="45">
        <v>1</v>
      </c>
      <c r="F27" s="45">
        <v>1</v>
      </c>
      <c r="G27" s="45">
        <v>1</v>
      </c>
      <c r="H27" s="45">
        <v>1</v>
      </c>
      <c r="I27" s="45">
        <v>0.8125</v>
      </c>
      <c r="J27" s="45">
        <v>0.96599999999999997</v>
      </c>
      <c r="K27" s="45">
        <v>0.86956521739130432</v>
      </c>
      <c r="L27" s="45">
        <v>0.98686274509803917</v>
      </c>
      <c r="M27" s="45">
        <v>0.92316455696202537</v>
      </c>
      <c r="N27" s="45">
        <v>0.73199999999999998</v>
      </c>
      <c r="O27" s="45">
        <v>0.88666666666666671</v>
      </c>
      <c r="P27" s="45">
        <v>0.51777777777777778</v>
      </c>
      <c r="Q27" s="45">
        <v>0.83299999999999996</v>
      </c>
      <c r="R27" s="45">
        <v>1</v>
      </c>
      <c r="S27" s="45">
        <v>0.97969696969696962</v>
      </c>
      <c r="T27" s="22"/>
      <c r="U27" s="22"/>
    </row>
    <row r="28" spans="1:21" x14ac:dyDescent="0.35">
      <c r="A28" s="28" t="s">
        <v>191</v>
      </c>
      <c r="B28" s="43"/>
      <c r="C28" s="46">
        <v>17</v>
      </c>
      <c r="D28" s="46">
        <v>16</v>
      </c>
      <c r="E28" s="46">
        <v>6</v>
      </c>
      <c r="F28" s="46">
        <v>41</v>
      </c>
      <c r="G28" s="46">
        <v>8</v>
      </c>
      <c r="H28" s="46">
        <v>37</v>
      </c>
      <c r="I28" s="46">
        <v>16</v>
      </c>
      <c r="J28" s="46">
        <v>10</v>
      </c>
      <c r="K28" s="46">
        <v>69</v>
      </c>
      <c r="L28" s="46">
        <v>51</v>
      </c>
      <c r="M28" s="46">
        <v>79</v>
      </c>
      <c r="N28" s="46">
        <v>10</v>
      </c>
      <c r="O28" s="46">
        <v>3</v>
      </c>
      <c r="P28" s="46">
        <v>9</v>
      </c>
      <c r="Q28" s="46">
        <v>20</v>
      </c>
      <c r="R28" s="46">
        <v>15</v>
      </c>
      <c r="S28" s="46">
        <v>66</v>
      </c>
      <c r="T28" s="22"/>
      <c r="U28" s="22"/>
    </row>
    <row r="29" spans="1:21" x14ac:dyDescent="0.35">
      <c r="A29" s="48" t="s">
        <v>192</v>
      </c>
      <c r="B29" s="43">
        <v>0.33</v>
      </c>
      <c r="C29" s="46">
        <v>0</v>
      </c>
      <c r="D29" s="46">
        <v>0</v>
      </c>
      <c r="E29" s="46">
        <v>0</v>
      </c>
      <c r="F29" s="46">
        <v>0</v>
      </c>
      <c r="G29" s="46">
        <v>0</v>
      </c>
      <c r="H29" s="46">
        <v>0</v>
      </c>
      <c r="I29" s="46">
        <v>0</v>
      </c>
      <c r="J29" s="46">
        <v>0</v>
      </c>
      <c r="K29" s="46">
        <v>0</v>
      </c>
      <c r="L29" s="46">
        <v>0</v>
      </c>
      <c r="M29" s="46">
        <v>0</v>
      </c>
      <c r="N29" s="46">
        <v>0</v>
      </c>
      <c r="O29" s="46">
        <v>0</v>
      </c>
      <c r="P29" s="46">
        <v>0</v>
      </c>
      <c r="Q29" s="46">
        <v>0</v>
      </c>
      <c r="R29" s="46">
        <v>0</v>
      </c>
      <c r="S29" s="46">
        <v>0</v>
      </c>
      <c r="T29" s="22"/>
      <c r="U29" s="22"/>
    </row>
    <row r="30" spans="1:21" x14ac:dyDescent="0.35">
      <c r="A30" s="48" t="s">
        <v>193</v>
      </c>
      <c r="B30" s="43">
        <v>0.33</v>
      </c>
      <c r="C30" s="46">
        <v>0</v>
      </c>
      <c r="D30" s="46">
        <v>0</v>
      </c>
      <c r="E30" s="46">
        <v>0</v>
      </c>
      <c r="F30" s="46">
        <v>0</v>
      </c>
      <c r="G30" s="46">
        <v>0</v>
      </c>
      <c r="H30" s="46">
        <v>0</v>
      </c>
      <c r="I30" s="46">
        <v>0</v>
      </c>
      <c r="J30" s="46">
        <v>0</v>
      </c>
      <c r="K30" s="46">
        <v>0</v>
      </c>
      <c r="L30" s="46">
        <v>0</v>
      </c>
      <c r="M30" s="46">
        <v>1</v>
      </c>
      <c r="N30" s="46">
        <v>0</v>
      </c>
      <c r="O30" s="46">
        <v>0</v>
      </c>
      <c r="P30" s="46">
        <v>0</v>
      </c>
      <c r="Q30" s="46">
        <v>0</v>
      </c>
      <c r="R30" s="46">
        <v>0</v>
      </c>
      <c r="S30" s="46">
        <v>0</v>
      </c>
      <c r="T30" s="22"/>
      <c r="U30" s="22"/>
    </row>
    <row r="31" spans="1:21" x14ac:dyDescent="0.35">
      <c r="A31" s="48" t="s">
        <v>194</v>
      </c>
      <c r="B31" s="43">
        <v>0.33</v>
      </c>
      <c r="C31" s="46">
        <v>0</v>
      </c>
      <c r="D31" s="46">
        <v>0</v>
      </c>
      <c r="E31" s="46">
        <v>0</v>
      </c>
      <c r="F31" s="46">
        <v>0</v>
      </c>
      <c r="G31" s="46">
        <v>0</v>
      </c>
      <c r="H31" s="46">
        <v>0</v>
      </c>
      <c r="I31" s="46">
        <v>0</v>
      </c>
      <c r="J31" s="46">
        <v>0</v>
      </c>
      <c r="K31" s="46">
        <v>0</v>
      </c>
      <c r="L31" s="46">
        <v>1</v>
      </c>
      <c r="M31" s="46">
        <v>0</v>
      </c>
      <c r="N31" s="46">
        <v>0</v>
      </c>
      <c r="O31" s="46">
        <v>0</v>
      </c>
      <c r="P31" s="46">
        <v>0</v>
      </c>
      <c r="Q31" s="46">
        <v>0</v>
      </c>
      <c r="R31" s="46">
        <v>0</v>
      </c>
      <c r="S31" s="46">
        <v>0</v>
      </c>
      <c r="T31" s="22"/>
      <c r="U31" s="22"/>
    </row>
    <row r="32" spans="1:21" x14ac:dyDescent="0.35">
      <c r="A32" s="48" t="s">
        <v>195</v>
      </c>
      <c r="B32" s="43">
        <v>0.66</v>
      </c>
      <c r="C32" s="46">
        <v>1</v>
      </c>
      <c r="D32" s="46">
        <v>0</v>
      </c>
      <c r="E32" s="46">
        <v>0</v>
      </c>
      <c r="F32" s="46">
        <v>0</v>
      </c>
      <c r="G32" s="46">
        <v>0</v>
      </c>
      <c r="H32" s="46">
        <v>0</v>
      </c>
      <c r="I32" s="46">
        <v>0</v>
      </c>
      <c r="J32" s="46">
        <v>1</v>
      </c>
      <c r="K32" s="46">
        <v>0</v>
      </c>
      <c r="L32" s="46">
        <v>0</v>
      </c>
      <c r="M32" s="46">
        <v>10</v>
      </c>
      <c r="N32" s="46">
        <v>2</v>
      </c>
      <c r="O32" s="46">
        <v>1</v>
      </c>
      <c r="P32" s="46">
        <v>1</v>
      </c>
      <c r="Q32" s="46">
        <v>1</v>
      </c>
      <c r="R32" s="46">
        <v>0</v>
      </c>
      <c r="S32" s="46">
        <v>1</v>
      </c>
      <c r="T32" s="22"/>
      <c r="U32" s="22"/>
    </row>
    <row r="33" spans="1:21" x14ac:dyDescent="0.35">
      <c r="A33" s="48" t="s">
        <v>196</v>
      </c>
      <c r="B33" s="43">
        <v>1</v>
      </c>
      <c r="C33" s="46">
        <v>13</v>
      </c>
      <c r="D33" s="46">
        <v>11</v>
      </c>
      <c r="E33" s="46">
        <v>6</v>
      </c>
      <c r="F33" s="46">
        <v>38</v>
      </c>
      <c r="G33" s="46">
        <v>8</v>
      </c>
      <c r="H33" s="46">
        <v>37</v>
      </c>
      <c r="I33" s="46">
        <v>13</v>
      </c>
      <c r="J33" s="46">
        <v>9</v>
      </c>
      <c r="K33" s="46">
        <v>60</v>
      </c>
      <c r="L33" s="46">
        <v>42</v>
      </c>
      <c r="M33" s="46">
        <v>64</v>
      </c>
      <c r="N33" s="46">
        <v>5</v>
      </c>
      <c r="O33" s="46">
        <v>2</v>
      </c>
      <c r="P33" s="46">
        <v>4</v>
      </c>
      <c r="Q33" s="46">
        <v>16</v>
      </c>
      <c r="R33" s="46">
        <v>15</v>
      </c>
      <c r="S33" s="46">
        <v>64</v>
      </c>
      <c r="T33" s="22"/>
      <c r="U33" s="22"/>
    </row>
    <row r="34" spans="1:21" x14ac:dyDescent="0.35">
      <c r="A34" s="48" t="s">
        <v>197</v>
      </c>
      <c r="B34" s="43">
        <v>0.33</v>
      </c>
      <c r="C34" s="46">
        <v>0</v>
      </c>
      <c r="D34" s="46">
        <v>0</v>
      </c>
      <c r="E34" s="46">
        <v>0</v>
      </c>
      <c r="F34" s="46">
        <v>0</v>
      </c>
      <c r="G34" s="46">
        <v>0</v>
      </c>
      <c r="H34" s="46">
        <v>0</v>
      </c>
      <c r="I34" s="46">
        <v>0</v>
      </c>
      <c r="J34" s="46">
        <v>0</v>
      </c>
      <c r="K34" s="46">
        <v>0</v>
      </c>
      <c r="L34" s="46">
        <v>0</v>
      </c>
      <c r="M34" s="46">
        <v>0</v>
      </c>
      <c r="N34" s="46">
        <v>0</v>
      </c>
      <c r="O34" s="46">
        <v>0</v>
      </c>
      <c r="P34" s="46">
        <v>0</v>
      </c>
      <c r="Q34" s="46">
        <v>0</v>
      </c>
      <c r="R34" s="46">
        <v>0</v>
      </c>
      <c r="S34" s="46">
        <v>0</v>
      </c>
      <c r="T34" s="22"/>
      <c r="U34" s="22"/>
    </row>
    <row r="35" spans="1:21" x14ac:dyDescent="0.35">
      <c r="A35" s="48" t="s">
        <v>198</v>
      </c>
      <c r="B35" s="43">
        <v>1</v>
      </c>
      <c r="C35" s="46">
        <v>3</v>
      </c>
      <c r="D35" s="46">
        <v>4</v>
      </c>
      <c r="E35" s="46">
        <v>0</v>
      </c>
      <c r="F35" s="46">
        <v>3</v>
      </c>
      <c r="G35" s="46">
        <v>0</v>
      </c>
      <c r="H35" s="46">
        <v>0</v>
      </c>
      <c r="I35" s="46">
        <v>0</v>
      </c>
      <c r="J35" s="46">
        <v>0</v>
      </c>
      <c r="K35" s="46">
        <v>0</v>
      </c>
      <c r="L35" s="46">
        <v>8</v>
      </c>
      <c r="M35" s="46">
        <v>2</v>
      </c>
      <c r="N35" s="46">
        <v>1</v>
      </c>
      <c r="O35" s="46">
        <v>0</v>
      </c>
      <c r="P35" s="46">
        <v>0</v>
      </c>
      <c r="Q35" s="46">
        <v>0</v>
      </c>
      <c r="R35" s="46">
        <v>0</v>
      </c>
      <c r="S35" s="46">
        <v>0</v>
      </c>
      <c r="T35" s="22"/>
      <c r="U35" s="22"/>
    </row>
    <row r="36" spans="1:21" x14ac:dyDescent="0.35">
      <c r="A36" s="48" t="s">
        <v>199</v>
      </c>
      <c r="B36" s="43">
        <v>0</v>
      </c>
      <c r="C36" s="46">
        <v>0</v>
      </c>
      <c r="D36" s="46">
        <v>0</v>
      </c>
      <c r="E36" s="46">
        <v>0</v>
      </c>
      <c r="F36" s="46">
        <v>0</v>
      </c>
      <c r="G36" s="46">
        <v>0</v>
      </c>
      <c r="H36" s="46">
        <v>0</v>
      </c>
      <c r="I36" s="46">
        <v>3</v>
      </c>
      <c r="J36" s="46">
        <v>0</v>
      </c>
      <c r="K36" s="46">
        <v>9</v>
      </c>
      <c r="L36" s="46">
        <v>0</v>
      </c>
      <c r="M36" s="46">
        <v>0</v>
      </c>
      <c r="N36" s="46">
        <v>1</v>
      </c>
      <c r="O36" s="46">
        <v>0</v>
      </c>
      <c r="P36" s="46">
        <v>4</v>
      </c>
      <c r="Q36" s="46">
        <v>3</v>
      </c>
      <c r="R36" s="46">
        <v>0</v>
      </c>
      <c r="S36" s="46">
        <v>0</v>
      </c>
      <c r="T36" s="22"/>
      <c r="U36" s="22"/>
    </row>
    <row r="37" spans="1:21" x14ac:dyDescent="0.35">
      <c r="A37" s="30"/>
      <c r="B37" s="43"/>
      <c r="C37" s="46"/>
      <c r="D37" s="46"/>
      <c r="E37" s="46"/>
      <c r="F37" s="46"/>
      <c r="G37" s="46"/>
      <c r="H37" s="46"/>
      <c r="I37" s="46"/>
      <c r="J37" s="46"/>
      <c r="K37" s="46"/>
      <c r="L37" s="46"/>
      <c r="M37" s="46"/>
      <c r="N37" s="46"/>
      <c r="O37" s="46"/>
      <c r="P37" s="46"/>
      <c r="Q37" s="46"/>
      <c r="R37" s="46"/>
      <c r="S37" s="46"/>
      <c r="T37" s="22"/>
      <c r="U37" s="22"/>
    </row>
    <row r="38" spans="1:21" x14ac:dyDescent="0.35">
      <c r="A38" s="30" t="s">
        <v>200</v>
      </c>
      <c r="B38" s="43" t="s">
        <v>440</v>
      </c>
      <c r="C38" s="45">
        <v>0.83000000000000007</v>
      </c>
      <c r="D38" s="45">
        <v>0</v>
      </c>
      <c r="E38" s="45">
        <v>0</v>
      </c>
      <c r="F38" s="45">
        <v>0</v>
      </c>
      <c r="G38" s="45">
        <v>0</v>
      </c>
      <c r="H38" s="45">
        <v>0.33</v>
      </c>
      <c r="I38" s="45">
        <v>0</v>
      </c>
      <c r="J38" s="45">
        <v>0.66</v>
      </c>
      <c r="K38" s="45">
        <v>0.66</v>
      </c>
      <c r="L38" s="45">
        <v>0</v>
      </c>
      <c r="M38" s="45">
        <v>0.66</v>
      </c>
      <c r="N38" s="45">
        <v>0.33</v>
      </c>
      <c r="O38" s="45">
        <v>0.66</v>
      </c>
      <c r="P38" s="45">
        <v>0</v>
      </c>
      <c r="Q38" s="45">
        <v>0.66</v>
      </c>
      <c r="R38" s="45">
        <v>0</v>
      </c>
      <c r="S38" s="45">
        <v>0</v>
      </c>
      <c r="T38" s="22"/>
      <c r="U38" s="22"/>
    </row>
    <row r="39" spans="1:21" x14ac:dyDescent="0.35">
      <c r="A39" s="28" t="s">
        <v>191</v>
      </c>
      <c r="B39" s="43"/>
      <c r="C39" s="46">
        <v>2</v>
      </c>
      <c r="D39" s="46">
        <v>0</v>
      </c>
      <c r="E39" s="46">
        <v>0</v>
      </c>
      <c r="F39" s="46">
        <v>0</v>
      </c>
      <c r="G39" s="46">
        <v>0</v>
      </c>
      <c r="H39" s="46">
        <v>3</v>
      </c>
      <c r="I39" s="46">
        <v>0</v>
      </c>
      <c r="J39" s="46">
        <v>4</v>
      </c>
      <c r="K39" s="46">
        <v>1</v>
      </c>
      <c r="L39" s="46">
        <v>0</v>
      </c>
      <c r="M39" s="46">
        <v>1</v>
      </c>
      <c r="N39" s="46">
        <v>2</v>
      </c>
      <c r="O39" s="46">
        <v>1</v>
      </c>
      <c r="P39" s="46">
        <v>0</v>
      </c>
      <c r="Q39" s="46">
        <v>3</v>
      </c>
      <c r="R39" s="46">
        <v>0</v>
      </c>
      <c r="S39" s="46">
        <v>0</v>
      </c>
      <c r="T39" s="22"/>
      <c r="U39" s="22"/>
    </row>
    <row r="40" spans="1:21" x14ac:dyDescent="0.35">
      <c r="A40" s="48" t="s">
        <v>192</v>
      </c>
      <c r="B40" s="43">
        <v>0.33</v>
      </c>
      <c r="C40" s="46">
        <v>0</v>
      </c>
      <c r="D40" s="46">
        <v>0</v>
      </c>
      <c r="E40" s="46">
        <v>0</v>
      </c>
      <c r="F40" s="46">
        <v>0</v>
      </c>
      <c r="G40" s="46">
        <v>0</v>
      </c>
      <c r="H40" s="46">
        <v>0</v>
      </c>
      <c r="I40" s="46">
        <v>0</v>
      </c>
      <c r="J40" s="46">
        <v>0</v>
      </c>
      <c r="K40" s="46">
        <v>0</v>
      </c>
      <c r="L40" s="46">
        <v>0</v>
      </c>
      <c r="M40" s="46">
        <v>0</v>
      </c>
      <c r="N40" s="46">
        <v>0</v>
      </c>
      <c r="O40" s="46">
        <v>0</v>
      </c>
      <c r="P40" s="46">
        <v>0</v>
      </c>
      <c r="Q40" s="46">
        <v>0</v>
      </c>
      <c r="R40" s="46">
        <v>0</v>
      </c>
      <c r="S40" s="46">
        <v>0</v>
      </c>
      <c r="T40" s="22"/>
      <c r="U40" s="22"/>
    </row>
    <row r="41" spans="1:21" x14ac:dyDescent="0.35">
      <c r="A41" s="48" t="s">
        <v>193</v>
      </c>
      <c r="B41" s="43">
        <v>0.33</v>
      </c>
      <c r="C41" s="46">
        <v>0</v>
      </c>
      <c r="D41" s="46">
        <v>0</v>
      </c>
      <c r="E41" s="46">
        <v>0</v>
      </c>
      <c r="F41" s="46">
        <v>0</v>
      </c>
      <c r="G41" s="46">
        <v>0</v>
      </c>
      <c r="H41" s="46">
        <v>3</v>
      </c>
      <c r="I41" s="46">
        <v>0</v>
      </c>
      <c r="J41" s="46">
        <v>0</v>
      </c>
      <c r="K41" s="46">
        <v>0</v>
      </c>
      <c r="L41" s="46">
        <v>0</v>
      </c>
      <c r="M41" s="46">
        <v>0</v>
      </c>
      <c r="N41" s="46">
        <v>0</v>
      </c>
      <c r="O41" s="46">
        <v>0</v>
      </c>
      <c r="P41" s="46">
        <v>0</v>
      </c>
      <c r="Q41" s="46">
        <v>0</v>
      </c>
      <c r="R41" s="46">
        <v>0</v>
      </c>
      <c r="S41" s="46">
        <v>0</v>
      </c>
      <c r="T41" s="22"/>
      <c r="U41" s="22"/>
    </row>
    <row r="42" spans="1:21" x14ac:dyDescent="0.35">
      <c r="A42" s="48" t="s">
        <v>194</v>
      </c>
      <c r="B42" s="43">
        <v>0.33</v>
      </c>
      <c r="C42" s="46">
        <v>0</v>
      </c>
      <c r="D42" s="46">
        <v>0</v>
      </c>
      <c r="E42" s="46">
        <v>0</v>
      </c>
      <c r="F42" s="46">
        <v>0</v>
      </c>
      <c r="G42" s="46">
        <v>0</v>
      </c>
      <c r="H42" s="46">
        <v>0</v>
      </c>
      <c r="I42" s="46">
        <v>0</v>
      </c>
      <c r="J42" s="46">
        <v>0</v>
      </c>
      <c r="K42" s="46">
        <v>0</v>
      </c>
      <c r="L42" s="46">
        <v>0</v>
      </c>
      <c r="M42" s="46">
        <v>0</v>
      </c>
      <c r="N42" s="46">
        <v>0</v>
      </c>
      <c r="O42" s="46">
        <v>0</v>
      </c>
      <c r="P42" s="46">
        <v>0</v>
      </c>
      <c r="Q42" s="46">
        <v>0</v>
      </c>
      <c r="R42" s="46">
        <v>0</v>
      </c>
      <c r="S42" s="46">
        <v>0</v>
      </c>
      <c r="T42" s="22"/>
      <c r="U42" s="22"/>
    </row>
    <row r="43" spans="1:21" x14ac:dyDescent="0.35">
      <c r="A43" s="48" t="s">
        <v>195</v>
      </c>
      <c r="B43" s="43">
        <v>0.66</v>
      </c>
      <c r="C43" s="46">
        <v>1</v>
      </c>
      <c r="D43" s="46">
        <v>0</v>
      </c>
      <c r="E43" s="46">
        <v>0</v>
      </c>
      <c r="F43" s="46">
        <v>0</v>
      </c>
      <c r="G43" s="46">
        <v>0</v>
      </c>
      <c r="H43" s="46">
        <v>0</v>
      </c>
      <c r="I43" s="46">
        <v>0</v>
      </c>
      <c r="J43" s="46">
        <v>4</v>
      </c>
      <c r="K43" s="46">
        <v>1</v>
      </c>
      <c r="L43" s="46">
        <v>0</v>
      </c>
      <c r="M43" s="46">
        <v>1</v>
      </c>
      <c r="N43" s="46">
        <v>1</v>
      </c>
      <c r="O43" s="46">
        <v>1</v>
      </c>
      <c r="P43" s="46">
        <v>0</v>
      </c>
      <c r="Q43" s="46">
        <v>3</v>
      </c>
      <c r="R43" s="46">
        <v>0</v>
      </c>
      <c r="S43" s="46">
        <v>0</v>
      </c>
      <c r="T43" s="22"/>
      <c r="U43" s="22"/>
    </row>
    <row r="44" spans="1:21" x14ac:dyDescent="0.35">
      <c r="A44" s="48" t="s">
        <v>196</v>
      </c>
      <c r="B44" s="43">
        <v>1</v>
      </c>
      <c r="C44" s="46">
        <v>1</v>
      </c>
      <c r="D44" s="46">
        <v>0</v>
      </c>
      <c r="E44" s="46">
        <v>0</v>
      </c>
      <c r="F44" s="46">
        <v>0</v>
      </c>
      <c r="G44" s="46">
        <v>0</v>
      </c>
      <c r="H44" s="46">
        <v>0</v>
      </c>
      <c r="I44" s="46">
        <v>0</v>
      </c>
      <c r="J44" s="46">
        <v>0</v>
      </c>
      <c r="K44" s="46">
        <v>0</v>
      </c>
      <c r="L44" s="46">
        <v>0</v>
      </c>
      <c r="M44" s="46">
        <v>0</v>
      </c>
      <c r="N44" s="46">
        <v>0</v>
      </c>
      <c r="O44" s="46">
        <v>0</v>
      </c>
      <c r="P44" s="46">
        <v>0</v>
      </c>
      <c r="Q44" s="46">
        <v>0</v>
      </c>
      <c r="R44" s="46">
        <v>0</v>
      </c>
      <c r="S44" s="46">
        <v>0</v>
      </c>
      <c r="T44" s="22"/>
      <c r="U44" s="22"/>
    </row>
    <row r="45" spans="1:21" x14ac:dyDescent="0.35">
      <c r="A45" s="48" t="s">
        <v>197</v>
      </c>
      <c r="B45" s="43">
        <v>0.33</v>
      </c>
      <c r="C45" s="46">
        <v>0</v>
      </c>
      <c r="D45" s="46">
        <v>0</v>
      </c>
      <c r="E45" s="46">
        <v>0</v>
      </c>
      <c r="F45" s="46">
        <v>0</v>
      </c>
      <c r="G45" s="46">
        <v>0</v>
      </c>
      <c r="H45" s="46">
        <v>0</v>
      </c>
      <c r="I45" s="46">
        <v>0</v>
      </c>
      <c r="J45" s="46">
        <v>0</v>
      </c>
      <c r="K45" s="46">
        <v>0</v>
      </c>
      <c r="L45" s="46">
        <v>0</v>
      </c>
      <c r="M45" s="46">
        <v>0</v>
      </c>
      <c r="N45" s="46">
        <v>0</v>
      </c>
      <c r="O45" s="46">
        <v>0</v>
      </c>
      <c r="P45" s="46">
        <v>0</v>
      </c>
      <c r="Q45" s="46">
        <v>0</v>
      </c>
      <c r="R45" s="46">
        <v>0</v>
      </c>
      <c r="S45" s="46">
        <v>0</v>
      </c>
      <c r="T45" s="22"/>
      <c r="U45" s="22"/>
    </row>
    <row r="46" spans="1:21" x14ac:dyDescent="0.35">
      <c r="A46" s="48" t="s">
        <v>198</v>
      </c>
      <c r="B46" s="43">
        <v>1</v>
      </c>
      <c r="C46" s="46">
        <v>0</v>
      </c>
      <c r="D46" s="46">
        <v>0</v>
      </c>
      <c r="E46" s="46">
        <v>0</v>
      </c>
      <c r="F46" s="46">
        <v>0</v>
      </c>
      <c r="G46" s="46">
        <v>0</v>
      </c>
      <c r="H46" s="46">
        <v>0</v>
      </c>
      <c r="I46" s="46">
        <v>0</v>
      </c>
      <c r="J46" s="46">
        <v>0</v>
      </c>
      <c r="K46" s="46">
        <v>0</v>
      </c>
      <c r="L46" s="46">
        <v>0</v>
      </c>
      <c r="M46" s="46">
        <v>0</v>
      </c>
      <c r="N46" s="46">
        <v>0</v>
      </c>
      <c r="O46" s="46">
        <v>0</v>
      </c>
      <c r="P46" s="46">
        <v>0</v>
      </c>
      <c r="Q46" s="46">
        <v>0</v>
      </c>
      <c r="R46" s="46">
        <v>0</v>
      </c>
      <c r="S46" s="46">
        <v>0</v>
      </c>
      <c r="T46" s="22"/>
      <c r="U46" s="22"/>
    </row>
    <row r="47" spans="1:21" x14ac:dyDescent="0.35">
      <c r="A47" s="48" t="s">
        <v>201</v>
      </c>
      <c r="B47" s="43"/>
      <c r="C47" s="46">
        <v>0</v>
      </c>
      <c r="D47" s="46">
        <v>0</v>
      </c>
      <c r="E47" s="46">
        <v>0</v>
      </c>
      <c r="F47" s="46">
        <v>0</v>
      </c>
      <c r="G47" s="46">
        <v>0</v>
      </c>
      <c r="H47" s="46">
        <v>0</v>
      </c>
      <c r="I47" s="46">
        <v>0</v>
      </c>
      <c r="J47" s="46">
        <v>0</v>
      </c>
      <c r="K47" s="46">
        <v>0</v>
      </c>
      <c r="L47" s="46">
        <v>0</v>
      </c>
      <c r="M47" s="46">
        <v>0</v>
      </c>
      <c r="N47" s="46">
        <v>0</v>
      </c>
      <c r="O47" s="46">
        <v>0</v>
      </c>
      <c r="P47" s="46">
        <v>0</v>
      </c>
      <c r="Q47" s="46">
        <v>0</v>
      </c>
      <c r="R47" s="46">
        <v>0</v>
      </c>
      <c r="S47" s="46">
        <v>0</v>
      </c>
      <c r="T47" s="22"/>
      <c r="U47" s="22"/>
    </row>
    <row r="48" spans="1:21" x14ac:dyDescent="0.35">
      <c r="A48" s="30"/>
      <c r="B48" s="43"/>
      <c r="C48" s="46"/>
      <c r="D48" s="46"/>
      <c r="E48" s="46"/>
      <c r="F48" s="46"/>
      <c r="G48" s="46"/>
      <c r="H48" s="46"/>
      <c r="I48" s="46"/>
      <c r="J48" s="46"/>
      <c r="K48" s="46"/>
      <c r="L48" s="46"/>
      <c r="M48" s="46"/>
      <c r="N48" s="46"/>
      <c r="O48" s="46"/>
      <c r="P48" s="46"/>
      <c r="Q48" s="46"/>
      <c r="R48" s="46"/>
      <c r="S48" s="46"/>
      <c r="T48" s="22"/>
      <c r="U48" s="22"/>
    </row>
    <row r="49" spans="1:21" x14ac:dyDescent="0.35">
      <c r="A49" s="30" t="s">
        <v>202</v>
      </c>
      <c r="B49" s="43" t="s">
        <v>440</v>
      </c>
      <c r="C49" s="45">
        <v>0</v>
      </c>
      <c r="D49" s="45">
        <v>0</v>
      </c>
      <c r="E49" s="45">
        <v>0</v>
      </c>
      <c r="F49" s="45">
        <v>0</v>
      </c>
      <c r="G49" s="45">
        <v>0</v>
      </c>
      <c r="H49" s="45">
        <v>0.33</v>
      </c>
      <c r="I49" s="45">
        <v>0</v>
      </c>
      <c r="J49" s="45">
        <v>0</v>
      </c>
      <c r="K49" s="45">
        <v>0</v>
      </c>
      <c r="L49" s="45">
        <v>0.98</v>
      </c>
      <c r="M49" s="45">
        <v>0.66</v>
      </c>
      <c r="N49" s="45">
        <v>0</v>
      </c>
      <c r="O49" s="45">
        <v>0</v>
      </c>
      <c r="P49" s="45">
        <v>0</v>
      </c>
      <c r="Q49" s="45">
        <v>0</v>
      </c>
      <c r="R49" s="45">
        <v>0</v>
      </c>
      <c r="S49" s="45">
        <v>0</v>
      </c>
      <c r="T49" s="22"/>
      <c r="U49" s="22"/>
    </row>
    <row r="50" spans="1:21" x14ac:dyDescent="0.35">
      <c r="A50" s="28" t="s">
        <v>191</v>
      </c>
      <c r="B50" s="43"/>
      <c r="C50" s="46">
        <v>0</v>
      </c>
      <c r="D50" s="46">
        <v>0</v>
      </c>
      <c r="E50" s="46">
        <v>0</v>
      </c>
      <c r="F50" s="46">
        <v>0</v>
      </c>
      <c r="G50" s="46">
        <v>0</v>
      </c>
      <c r="H50" s="46">
        <v>2</v>
      </c>
      <c r="I50" s="46">
        <v>0</v>
      </c>
      <c r="J50" s="46">
        <v>0</v>
      </c>
      <c r="K50" s="46">
        <v>0</v>
      </c>
      <c r="L50" s="46">
        <v>17</v>
      </c>
      <c r="M50" s="46">
        <v>1</v>
      </c>
      <c r="N50" s="46">
        <v>0</v>
      </c>
      <c r="O50" s="46">
        <v>0</v>
      </c>
      <c r="P50" s="46">
        <v>0</v>
      </c>
      <c r="Q50" s="46">
        <v>0</v>
      </c>
      <c r="R50" s="46">
        <v>0</v>
      </c>
      <c r="S50" s="46">
        <v>0</v>
      </c>
      <c r="T50" s="22"/>
      <c r="U50" s="22"/>
    </row>
    <row r="51" spans="1:21" x14ac:dyDescent="0.35">
      <c r="A51" s="48" t="s">
        <v>192</v>
      </c>
      <c r="B51" s="43">
        <v>0.33</v>
      </c>
      <c r="C51" s="46">
        <v>0</v>
      </c>
      <c r="D51" s="46">
        <v>0</v>
      </c>
      <c r="E51" s="46">
        <v>0</v>
      </c>
      <c r="F51" s="46">
        <v>0</v>
      </c>
      <c r="G51" s="46">
        <v>0</v>
      </c>
      <c r="H51" s="46">
        <v>0</v>
      </c>
      <c r="I51" s="46">
        <v>0</v>
      </c>
      <c r="J51" s="46">
        <v>0</v>
      </c>
      <c r="K51" s="46">
        <v>0</v>
      </c>
      <c r="L51" s="46">
        <v>0</v>
      </c>
      <c r="M51" s="46">
        <v>0</v>
      </c>
      <c r="N51" s="46">
        <v>0</v>
      </c>
      <c r="O51" s="46">
        <v>0</v>
      </c>
      <c r="P51" s="46">
        <v>0</v>
      </c>
      <c r="Q51" s="46">
        <v>0</v>
      </c>
      <c r="R51" s="46">
        <v>0</v>
      </c>
      <c r="S51" s="46">
        <v>0</v>
      </c>
      <c r="T51" s="22"/>
      <c r="U51" s="22"/>
    </row>
    <row r="52" spans="1:21" x14ac:dyDescent="0.35">
      <c r="A52" s="48" t="s">
        <v>193</v>
      </c>
      <c r="B52" s="43">
        <v>0.33</v>
      </c>
      <c r="C52" s="46">
        <v>0</v>
      </c>
      <c r="D52" s="46">
        <v>0</v>
      </c>
      <c r="E52" s="46">
        <v>0</v>
      </c>
      <c r="F52" s="46">
        <v>0</v>
      </c>
      <c r="G52" s="46">
        <v>0</v>
      </c>
      <c r="H52" s="46">
        <v>2</v>
      </c>
      <c r="I52" s="46">
        <v>0</v>
      </c>
      <c r="J52" s="46">
        <v>0</v>
      </c>
      <c r="K52" s="46">
        <v>0</v>
      </c>
      <c r="L52" s="46">
        <v>0</v>
      </c>
      <c r="M52" s="46">
        <v>0</v>
      </c>
      <c r="N52" s="46">
        <v>0</v>
      </c>
      <c r="O52" s="46">
        <v>0</v>
      </c>
      <c r="P52" s="46">
        <v>0</v>
      </c>
      <c r="Q52" s="46">
        <v>0</v>
      </c>
      <c r="R52" s="46">
        <v>0</v>
      </c>
      <c r="S52" s="46">
        <v>0</v>
      </c>
      <c r="T52" s="22"/>
      <c r="U52" s="22"/>
    </row>
    <row r="53" spans="1:21" x14ac:dyDescent="0.35">
      <c r="A53" s="48" t="s">
        <v>194</v>
      </c>
      <c r="B53" s="43">
        <v>0.33</v>
      </c>
      <c r="C53" s="46">
        <v>0</v>
      </c>
      <c r="D53" s="46">
        <v>0</v>
      </c>
      <c r="E53" s="46">
        <v>0</v>
      </c>
      <c r="F53" s="46">
        <v>0</v>
      </c>
      <c r="G53" s="46">
        <v>0</v>
      </c>
      <c r="H53" s="46">
        <v>0</v>
      </c>
      <c r="I53" s="46">
        <v>0</v>
      </c>
      <c r="J53" s="46">
        <v>0</v>
      </c>
      <c r="K53" s="46">
        <v>0</v>
      </c>
      <c r="L53" s="46">
        <v>0</v>
      </c>
      <c r="M53" s="46">
        <v>0</v>
      </c>
      <c r="N53" s="46">
        <v>0</v>
      </c>
      <c r="O53" s="46">
        <v>0</v>
      </c>
      <c r="P53" s="46">
        <v>0</v>
      </c>
      <c r="Q53" s="46">
        <v>0</v>
      </c>
      <c r="R53" s="46">
        <v>0</v>
      </c>
      <c r="S53" s="46">
        <v>0</v>
      </c>
      <c r="T53" s="22"/>
      <c r="U53" s="22"/>
    </row>
    <row r="54" spans="1:21" x14ac:dyDescent="0.35">
      <c r="A54" s="48" t="s">
        <v>195</v>
      </c>
      <c r="B54" s="43">
        <v>0.66</v>
      </c>
      <c r="C54" s="46">
        <v>0</v>
      </c>
      <c r="D54" s="46">
        <v>0</v>
      </c>
      <c r="E54" s="46">
        <v>0</v>
      </c>
      <c r="F54" s="46">
        <v>0</v>
      </c>
      <c r="G54" s="46">
        <v>0</v>
      </c>
      <c r="H54" s="46">
        <v>0</v>
      </c>
      <c r="I54" s="46">
        <v>0</v>
      </c>
      <c r="J54" s="46">
        <v>0</v>
      </c>
      <c r="K54" s="46">
        <v>0</v>
      </c>
      <c r="L54" s="46">
        <v>1</v>
      </c>
      <c r="M54" s="46">
        <v>1</v>
      </c>
      <c r="N54" s="46">
        <v>0</v>
      </c>
      <c r="O54" s="46">
        <v>0</v>
      </c>
      <c r="P54" s="46">
        <v>0</v>
      </c>
      <c r="Q54" s="46">
        <v>0</v>
      </c>
      <c r="R54" s="46">
        <v>0</v>
      </c>
      <c r="S54" s="46">
        <v>0</v>
      </c>
      <c r="T54" s="22"/>
      <c r="U54" s="22"/>
    </row>
    <row r="55" spans="1:21" x14ac:dyDescent="0.35">
      <c r="A55" s="48" t="s">
        <v>196</v>
      </c>
      <c r="B55" s="43">
        <v>1</v>
      </c>
      <c r="C55" s="46">
        <v>0</v>
      </c>
      <c r="D55" s="46">
        <v>0</v>
      </c>
      <c r="E55" s="46">
        <v>0</v>
      </c>
      <c r="F55" s="46">
        <v>0</v>
      </c>
      <c r="G55" s="46">
        <v>0</v>
      </c>
      <c r="H55" s="46">
        <v>0</v>
      </c>
      <c r="I55" s="46">
        <v>0</v>
      </c>
      <c r="J55" s="46">
        <v>0</v>
      </c>
      <c r="K55" s="46">
        <v>0</v>
      </c>
      <c r="L55" s="46">
        <v>16</v>
      </c>
      <c r="M55" s="46">
        <v>0</v>
      </c>
      <c r="N55" s="46">
        <v>0</v>
      </c>
      <c r="O55" s="46">
        <v>0</v>
      </c>
      <c r="P55" s="46">
        <v>0</v>
      </c>
      <c r="Q55" s="46">
        <v>0</v>
      </c>
      <c r="R55" s="46">
        <v>0</v>
      </c>
      <c r="S55" s="46">
        <v>0</v>
      </c>
      <c r="T55" s="22"/>
      <c r="U55" s="22"/>
    </row>
    <row r="56" spans="1:21" x14ac:dyDescent="0.35">
      <c r="A56" s="48" t="s">
        <v>197</v>
      </c>
      <c r="B56" s="43">
        <v>0.33</v>
      </c>
      <c r="C56" s="46">
        <v>0</v>
      </c>
      <c r="D56" s="46">
        <v>0</v>
      </c>
      <c r="E56" s="46">
        <v>0</v>
      </c>
      <c r="F56" s="46">
        <v>0</v>
      </c>
      <c r="G56" s="46">
        <v>0</v>
      </c>
      <c r="H56" s="46">
        <v>0</v>
      </c>
      <c r="I56" s="46">
        <v>0</v>
      </c>
      <c r="J56" s="46">
        <v>0</v>
      </c>
      <c r="K56" s="46">
        <v>0</v>
      </c>
      <c r="L56" s="46">
        <v>0</v>
      </c>
      <c r="M56" s="46">
        <v>0</v>
      </c>
      <c r="N56" s="46">
        <v>0</v>
      </c>
      <c r="O56" s="46">
        <v>0</v>
      </c>
      <c r="P56" s="46">
        <v>0</v>
      </c>
      <c r="Q56" s="46">
        <v>0</v>
      </c>
      <c r="R56" s="46">
        <v>0</v>
      </c>
      <c r="S56" s="46">
        <v>0</v>
      </c>
      <c r="T56" s="22"/>
      <c r="U56" s="22"/>
    </row>
    <row r="57" spans="1:21" x14ac:dyDescent="0.35">
      <c r="A57" s="48" t="s">
        <v>198</v>
      </c>
      <c r="B57" s="43">
        <v>1</v>
      </c>
      <c r="C57" s="46">
        <v>0</v>
      </c>
      <c r="D57" s="46">
        <v>0</v>
      </c>
      <c r="E57" s="46">
        <v>0</v>
      </c>
      <c r="F57" s="46">
        <v>0</v>
      </c>
      <c r="G57" s="46">
        <v>0</v>
      </c>
      <c r="H57" s="46">
        <v>0</v>
      </c>
      <c r="I57" s="46">
        <v>0</v>
      </c>
      <c r="J57" s="46">
        <v>0</v>
      </c>
      <c r="K57" s="46">
        <v>0</v>
      </c>
      <c r="L57" s="46">
        <v>0</v>
      </c>
      <c r="M57" s="46">
        <v>0</v>
      </c>
      <c r="N57" s="46">
        <v>0</v>
      </c>
      <c r="O57" s="46">
        <v>0</v>
      </c>
      <c r="P57" s="46">
        <v>0</v>
      </c>
      <c r="Q57" s="46">
        <v>0</v>
      </c>
      <c r="R57" s="46">
        <v>0</v>
      </c>
      <c r="S57" s="46">
        <v>0</v>
      </c>
      <c r="T57" s="22"/>
      <c r="U57" s="22"/>
    </row>
    <row r="58" spans="1:21" x14ac:dyDescent="0.35">
      <c r="A58" s="48" t="s">
        <v>201</v>
      </c>
      <c r="B58" s="43"/>
      <c r="C58" s="46">
        <v>0</v>
      </c>
      <c r="D58" s="46">
        <v>0</v>
      </c>
      <c r="E58" s="46">
        <v>0</v>
      </c>
      <c r="F58" s="46">
        <v>0</v>
      </c>
      <c r="G58" s="46">
        <v>0</v>
      </c>
      <c r="H58" s="46">
        <v>0</v>
      </c>
      <c r="I58" s="46">
        <v>0</v>
      </c>
      <c r="J58" s="46">
        <v>0</v>
      </c>
      <c r="K58" s="46">
        <v>0</v>
      </c>
      <c r="L58" s="46">
        <v>0</v>
      </c>
      <c r="M58" s="46">
        <v>0</v>
      </c>
      <c r="N58" s="46">
        <v>0</v>
      </c>
      <c r="O58" s="46">
        <v>0</v>
      </c>
      <c r="P58" s="46">
        <v>0</v>
      </c>
      <c r="Q58" s="46">
        <v>0</v>
      </c>
      <c r="R58" s="46">
        <v>0</v>
      </c>
      <c r="S58" s="46">
        <v>0</v>
      </c>
      <c r="T58" s="22"/>
      <c r="U58" s="22"/>
    </row>
    <row r="59" spans="1:21" x14ac:dyDescent="0.35">
      <c r="A59" s="30"/>
      <c r="B59" s="43"/>
      <c r="C59" s="28"/>
      <c r="D59" s="28"/>
      <c r="E59" s="28"/>
      <c r="F59" s="28"/>
      <c r="G59" s="28"/>
      <c r="H59" s="28"/>
      <c r="I59" s="28"/>
      <c r="J59" s="28"/>
      <c r="K59" s="28"/>
      <c r="L59" s="28"/>
      <c r="M59" s="28"/>
      <c r="N59" s="28"/>
      <c r="O59" s="28"/>
      <c r="P59" s="28"/>
      <c r="Q59" s="28"/>
      <c r="R59" s="28"/>
      <c r="S59" s="28"/>
    </row>
    <row r="60" spans="1:21" x14ac:dyDescent="0.35">
      <c r="A60" s="30"/>
      <c r="B60" s="43"/>
      <c r="C60" s="28"/>
      <c r="D60" s="28"/>
      <c r="E60" s="28"/>
      <c r="F60" s="28"/>
      <c r="G60" s="28"/>
      <c r="H60" s="28"/>
      <c r="I60" s="28"/>
      <c r="J60" s="28"/>
      <c r="K60" s="28"/>
      <c r="L60" s="28"/>
      <c r="M60" s="28"/>
      <c r="N60" s="28"/>
      <c r="O60" s="28"/>
      <c r="P60" s="28"/>
      <c r="Q60" s="28"/>
      <c r="R60" s="28"/>
      <c r="S60" s="28"/>
    </row>
    <row r="61" spans="1:21" x14ac:dyDescent="0.35">
      <c r="A61" s="30" t="s">
        <v>62</v>
      </c>
      <c r="B61" s="43"/>
      <c r="C61" s="28"/>
      <c r="D61" s="28"/>
      <c r="E61" s="28"/>
      <c r="F61" s="28"/>
      <c r="G61" s="28"/>
      <c r="H61" s="28"/>
      <c r="I61" s="28"/>
      <c r="J61" s="28"/>
      <c r="K61" s="28"/>
      <c r="L61" s="28"/>
      <c r="M61" s="28"/>
      <c r="N61" s="28"/>
      <c r="O61" s="28"/>
      <c r="P61" s="28"/>
      <c r="Q61" s="28"/>
      <c r="R61" s="28"/>
      <c r="S61" s="28"/>
    </row>
    <row r="62" spans="1:21" x14ac:dyDescent="0.35">
      <c r="A62" s="30" t="s">
        <v>203</v>
      </c>
      <c r="B62" s="43"/>
      <c r="C62" s="28"/>
      <c r="D62" s="28"/>
      <c r="E62" s="28"/>
      <c r="F62" s="28"/>
      <c r="G62" s="28"/>
      <c r="H62" s="28"/>
      <c r="I62" s="28"/>
      <c r="J62" s="28"/>
      <c r="K62" s="28"/>
      <c r="L62" s="28"/>
      <c r="M62" s="28"/>
      <c r="N62" s="28"/>
      <c r="O62" s="28"/>
      <c r="P62" s="28"/>
      <c r="Q62" s="28"/>
      <c r="R62" s="28"/>
      <c r="S62" s="28"/>
    </row>
    <row r="63" spans="1:21" x14ac:dyDescent="0.35">
      <c r="A63" s="30" t="s">
        <v>204</v>
      </c>
      <c r="B63" s="28"/>
      <c r="C63" s="28"/>
      <c r="D63" s="28"/>
      <c r="E63" s="28"/>
      <c r="F63" s="28"/>
      <c r="G63" s="28"/>
      <c r="H63" s="28"/>
      <c r="I63" s="28"/>
      <c r="J63" s="28"/>
      <c r="K63" s="28"/>
      <c r="L63" s="28"/>
      <c r="M63" s="28"/>
      <c r="N63" s="28"/>
      <c r="O63" s="28"/>
      <c r="P63" s="28"/>
      <c r="Q63" s="28"/>
      <c r="R63" s="28"/>
      <c r="S63" s="28"/>
    </row>
    <row r="64" spans="1:21" x14ac:dyDescent="0.35">
      <c r="A64" s="30" t="s">
        <v>205</v>
      </c>
      <c r="B64" s="28"/>
      <c r="C64" s="28"/>
      <c r="D64" s="28"/>
      <c r="E64" s="28"/>
      <c r="F64" s="28"/>
      <c r="G64" s="28"/>
      <c r="H64" s="28"/>
      <c r="I64" s="28"/>
      <c r="J64" s="28"/>
      <c r="K64" s="28"/>
      <c r="L64" s="28"/>
      <c r="M64" s="28"/>
      <c r="N64" s="28"/>
      <c r="O64" s="28"/>
      <c r="P64" s="28"/>
      <c r="Q64" s="28"/>
      <c r="R64" s="28"/>
      <c r="S64" s="28"/>
    </row>
    <row r="65" spans="1:19" x14ac:dyDescent="0.35">
      <c r="A65" s="30" t="s">
        <v>206</v>
      </c>
      <c r="B65" s="28"/>
      <c r="C65" s="28"/>
      <c r="D65" s="28"/>
      <c r="E65" s="28"/>
      <c r="F65" s="28"/>
      <c r="G65" s="28"/>
      <c r="H65" s="28"/>
      <c r="I65" s="28"/>
      <c r="J65" s="28"/>
      <c r="K65" s="28"/>
      <c r="L65" s="28"/>
      <c r="M65" s="28"/>
      <c r="N65" s="28"/>
      <c r="O65" s="28"/>
      <c r="P65" s="28"/>
      <c r="Q65" s="28"/>
      <c r="R65" s="28"/>
      <c r="S65" s="28"/>
    </row>
    <row r="66" spans="1:19" x14ac:dyDescent="0.35">
      <c r="A66" s="30" t="s">
        <v>207</v>
      </c>
      <c r="B66" s="28"/>
      <c r="C66" s="28"/>
      <c r="D66" s="28"/>
      <c r="E66" s="28"/>
      <c r="F66" s="28"/>
      <c r="G66" s="28"/>
      <c r="H66" s="28"/>
      <c r="I66" s="28"/>
      <c r="J66" s="28"/>
      <c r="K66" s="28"/>
      <c r="L66" s="28"/>
      <c r="M66" s="28"/>
      <c r="N66" s="28"/>
      <c r="O66" s="28"/>
      <c r="P66" s="28"/>
      <c r="Q66" s="28"/>
      <c r="R66" s="28"/>
      <c r="S66" s="28"/>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D604C3B73AE9943B737720A48E3AF7C" ma:contentTypeVersion="13" ma:contentTypeDescription="Create a new document." ma:contentTypeScope="" ma:versionID="9ff1a58471fed2f3457f40752567fc24">
  <xsd:schema xmlns:xsd="http://www.w3.org/2001/XMLSchema" xmlns:xs="http://www.w3.org/2001/XMLSchema" xmlns:p="http://schemas.microsoft.com/office/2006/metadata/properties" xmlns:ns3="60c75bb3-2e3f-4394-b4f4-3e2677e21dfa" xmlns:ns4="9c83b91e-5ffe-420f-9ed1-9dac5903eaec" targetNamespace="http://schemas.microsoft.com/office/2006/metadata/properties" ma:root="true" ma:fieldsID="155e50273782d3acc82edc1ef496f436" ns3:_="" ns4:_="">
    <xsd:import namespace="60c75bb3-2e3f-4394-b4f4-3e2677e21dfa"/>
    <xsd:import namespace="9c83b91e-5ffe-420f-9ed1-9dac5903eaec"/>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EventHashCode" minOccurs="0"/>
                <xsd:element ref="ns4:MediaServiceGenerationTime" minOccurs="0"/>
                <xsd:element ref="ns4:MediaServiceLocation"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c75bb3-2e3f-4394-b4f4-3e2677e21dfa"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c83b91e-5ffe-420f-9ed1-9dac5903eaec"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AutoTags" ma:index="14" nillable="true" ma:displayName="MediaServiceAutoTags" ma:description=""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FCDC07B-8E62-4044-8597-039AA5C419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c75bb3-2e3f-4394-b4f4-3e2677e21dfa"/>
    <ds:schemaRef ds:uri="9c83b91e-5ffe-420f-9ed1-9dac5903ea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599D15A-9F32-46FA-8FE5-694994F51C00}">
  <ds:schemaRefs>
    <ds:schemaRef ds:uri="http://schemas.microsoft.com/sharepoint/v3/contenttype/forms"/>
  </ds:schemaRefs>
</ds:datastoreItem>
</file>

<file path=customXml/itemProps3.xml><?xml version="1.0" encoding="utf-8"?>
<ds:datastoreItem xmlns:ds="http://schemas.openxmlformats.org/officeDocument/2006/customXml" ds:itemID="{FDB40BB7-21F4-4CD3-BC2C-D60DBD13621A}">
  <ds:schemaRefs>
    <ds:schemaRef ds:uri="http://purl.org/dc/elements/1.1/"/>
    <ds:schemaRef ds:uri="http://purl.org/dc/dcmitype/"/>
    <ds:schemaRef ds:uri="http://schemas.microsoft.com/office/2006/documentManagement/types"/>
    <ds:schemaRef ds:uri="60c75bb3-2e3f-4394-b4f4-3e2677e21dfa"/>
    <ds:schemaRef ds:uri="http://schemas.microsoft.com/office/2006/metadata/properties"/>
    <ds:schemaRef ds:uri="http://www.w3.org/XML/1998/namespace"/>
    <ds:schemaRef ds:uri="http://schemas.openxmlformats.org/package/2006/metadata/core-properties"/>
    <ds:schemaRef ds:uri="http://purl.org/dc/terms/"/>
    <ds:schemaRef ds:uri="http://schemas.microsoft.com/office/infopath/2007/PartnerControls"/>
    <ds:schemaRef ds:uri="9c83b91e-5ffe-420f-9ed1-9dac5903eae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 Sheet</vt:lpstr>
      <vt:lpstr>Utility Restructuring Schemata</vt:lpstr>
      <vt:lpstr>Planning &amp; Procurement Schemata</vt:lpstr>
      <vt:lpstr>Pvt Sector Participation (PPI)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Anshul Rana</dc:creator>
  <cp:lastModifiedBy>Anshul Rana</cp:lastModifiedBy>
  <dcterms:created xsi:type="dcterms:W3CDTF">2020-06-18T13:41:16Z</dcterms:created>
  <dcterms:modified xsi:type="dcterms:W3CDTF">2020-06-18T14:11:09Z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0x010100FD604C3B73AE9943B737720A48E3AF7C</vt:lpwstr>
  </property>
</Properties>
</file>