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https://worldbankgroup-my.sharepoint.com/personal/arana1_worldbank_org/Documents/Rethinking Project/Rethinking Database/Data for Upload/"/>
    </mc:Choice>
  </mc:AlternateContent>
  <xr:revisionPtr revIDLastSave="34" documentId="8_{F2BBF410-AA2D-4648-B4ED-68A632E0C23D}" xr6:coauthVersionLast="44" xr6:coauthVersionMax="44" xr10:uidLastSave="{3E3C1A07-1CC5-458B-895A-C97E737C9D01}"/>
  <bookViews>
    <workbookView xWindow="28680" yWindow="-120" windowWidth="29040" windowHeight="15840" xr2:uid="{00000000-000D-0000-FFFF-FFFF00000000}"/>
  </bookViews>
  <sheets>
    <sheet name="Model" sheetId="5" r:id="rId1"/>
    <sheet name="Promised And Actual Scores" sheetId="2" r:id="rId2"/>
    <sheet name="Presentation Probabilities" sheetId="11" r:id="rId3"/>
    <sheet name="Reform Story Charts" sheetId="4"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12" i="11" l="1"/>
  <c r="V11" i="11"/>
  <c r="C8" i="5" l="1"/>
  <c r="C11" i="5"/>
  <c r="E11" i="5"/>
  <c r="G11" i="5"/>
  <c r="C13" i="5"/>
  <c r="F13" i="5"/>
  <c r="H13" i="5"/>
  <c r="J1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Anshul Rana</author>
  </authors>
  <commentList>
    <comment ref="T90" authorId="0" shapeId="0" xr:uid="{00000000-0006-0000-0200-000001000000}">
      <text>
        <r>
          <rPr>
            <b/>
            <sz val="9"/>
            <color indexed="81"/>
            <rFont val="Tahoma"/>
            <family val="2"/>
          </rPr>
          <t>Anshul Rana:</t>
        </r>
        <r>
          <rPr>
            <sz val="9"/>
            <color indexed="81"/>
            <rFont val="Tahoma"/>
            <family val="2"/>
          </rPr>
          <t xml:space="preserve">
Law was passed in 2010 to allow for bilateral contracts</t>
        </r>
      </text>
    </comment>
  </commentList>
</comments>
</file>

<file path=xl/sharedStrings.xml><?xml version="1.0" encoding="utf-8"?>
<sst xmlns="http://schemas.openxmlformats.org/spreadsheetml/2006/main" count="266" uniqueCount="99">
  <si>
    <t>Regulation Sub-Index</t>
  </si>
  <si>
    <t>Colombia</t>
  </si>
  <si>
    <t>Dominican Republic</t>
  </si>
  <si>
    <t>Egypt, Arab Rep.</t>
  </si>
  <si>
    <t>Kenya</t>
  </si>
  <si>
    <t>Morocco</t>
  </si>
  <si>
    <t>Pakistan</t>
  </si>
  <si>
    <t>Peru</t>
  </si>
  <si>
    <t>Philippines</t>
  </si>
  <si>
    <t>Senegal</t>
  </si>
  <si>
    <t>Tajikistan</t>
  </si>
  <si>
    <t>Tanzania</t>
  </si>
  <si>
    <t>Uganda</t>
  </si>
  <si>
    <t>Ukraine</t>
  </si>
  <si>
    <t>Vietnam</t>
  </si>
  <si>
    <t>Restructuring Sub-Index</t>
  </si>
  <si>
    <t>Competition Sub-Index</t>
  </si>
  <si>
    <t xml:space="preserve"> </t>
  </si>
  <si>
    <t>PSP Sub-Index</t>
  </si>
  <si>
    <t>In order to aggregate across the four dimensions of power sector reform considered in this study, a simple Power Sector Reform Index is constructed. The index gives each country a score on an interval of 0 to 100 on each dimension of power sector reform. The scores are based on giving equal weight to each step on each dimension of the reform continuum (see tabulation below). The average of the four 0-100 scores is used to provide an overall summary of the extent of reform, although it would also be feasible to weight the four differently according to their relative difficulty and importance.</t>
  </si>
  <si>
    <t>Regulation</t>
  </si>
  <si>
    <t>No regulator</t>
  </si>
  <si>
    <t>Regulator</t>
  </si>
  <si>
    <t xml:space="preserve"> = 100</t>
  </si>
  <si>
    <t>Restructuring</t>
  </si>
  <si>
    <t>Vertically integrated</t>
  </si>
  <si>
    <t>Partial vertical unbundling</t>
  </si>
  <si>
    <t>Full vertical unbundling</t>
  </si>
  <si>
    <t>Vertical &amp; horizontal unbundling = 100</t>
  </si>
  <si>
    <t>Competition</t>
  </si>
  <si>
    <t>Monopoly</t>
  </si>
  <si>
    <t>IPPs</t>
  </si>
  <si>
    <t xml:space="preserve"> = 25</t>
  </si>
  <si>
    <t>Single Buyer Model</t>
  </si>
  <si>
    <t>Bilateral Contracts</t>
  </si>
  <si>
    <t>Competitive market</t>
  </si>
  <si>
    <t>Private Sector Participation</t>
  </si>
  <si>
    <t>0.5*(Percentage of generation capacity with private sector participation)</t>
  </si>
  <si>
    <t>+</t>
  </si>
  <si>
    <t>0.5*(Percentage of distribution utilities with private sector participation)</t>
  </si>
  <si>
    <t>India- AP</t>
  </si>
  <si>
    <t>India- Orissa</t>
  </si>
  <si>
    <t>India- Raj</t>
  </si>
  <si>
    <t>India- Orissa (don’t use)</t>
  </si>
  <si>
    <t>Announced Regulation</t>
  </si>
  <si>
    <t>Announced Restructuring</t>
  </si>
  <si>
    <t>Announced Competition</t>
  </si>
  <si>
    <t>Announced PSP</t>
  </si>
  <si>
    <t>Poor</t>
  </si>
  <si>
    <t>Bold</t>
  </si>
  <si>
    <t>Implementation</t>
  </si>
  <si>
    <t>Crisis</t>
  </si>
  <si>
    <t>Legislation</t>
  </si>
  <si>
    <t>Champion</t>
  </si>
  <si>
    <t>Political System</t>
  </si>
  <si>
    <t>Ideology</t>
  </si>
  <si>
    <t>Stakeholder Alignment</t>
  </si>
  <si>
    <t>Outcome</t>
  </si>
  <si>
    <t>Great (1.32-2); Okay (0.67 to 1.32); Poor (&lt;0.67)</t>
  </si>
  <si>
    <t>Sustainable</t>
  </si>
  <si>
    <t>Non-sustainable</t>
  </si>
  <si>
    <t>Severe</t>
  </si>
  <si>
    <t>Moderate</t>
  </si>
  <si>
    <t>No crisis</t>
  </si>
  <si>
    <t>Donor Influence</t>
  </si>
  <si>
    <t>High</t>
  </si>
  <si>
    <t>Strong</t>
  </si>
  <si>
    <t>Weak</t>
  </si>
  <si>
    <t>Unipolar</t>
  </si>
  <si>
    <t>Hybrid</t>
  </si>
  <si>
    <t>Multipolar</t>
  </si>
  <si>
    <t>Market oriented</t>
  </si>
  <si>
    <t>State oriented</t>
  </si>
  <si>
    <t xml:space="preserve">Incremental </t>
  </si>
  <si>
    <t xml:space="preserve">Limited </t>
  </si>
  <si>
    <t>Great</t>
  </si>
  <si>
    <t>Okay</t>
  </si>
  <si>
    <t>&gt;60 Bold; Incremental (50-60); Limited (&lt;50)</t>
  </si>
  <si>
    <t>Transition</t>
  </si>
  <si>
    <t>Sustainability</t>
  </si>
  <si>
    <t>Ambitious</t>
  </si>
  <si>
    <t>Modest</t>
  </si>
  <si>
    <t>Delivery</t>
  </si>
  <si>
    <t>Complete</t>
  </si>
  <si>
    <t>Partial</t>
  </si>
  <si>
    <t>Announcement</t>
  </si>
  <si>
    <t>Complete (0-15); Partial(16-25); Limited (&gt;25)</t>
  </si>
  <si>
    <t>Restricted</t>
  </si>
  <si>
    <t>Bust</t>
  </si>
  <si>
    <t>Probability</t>
  </si>
  <si>
    <t>Reform process</t>
  </si>
  <si>
    <t xml:space="preserve">Exogenous </t>
  </si>
  <si>
    <t>Poltical set up</t>
  </si>
  <si>
    <t>Cautious</t>
  </si>
  <si>
    <t>Minimal</t>
  </si>
  <si>
    <t>Negligible</t>
  </si>
  <si>
    <t>&gt;60 Ambitious; Cautious (50-60); Minimal (&lt;50)</t>
  </si>
  <si>
    <t>Complete (0-15); Partial (16-25); Negligible (&gt;25)</t>
  </si>
  <si>
    <t>Power Sector Reform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</si>
</sst>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theme="1"/>
      <name val="Calibri"/>
      <family val="2"/>
      <scheme val="minor"/>
    </font>
    <font>
      <sz val="11"/>
      <color rgb="FF006100"/>
      <name val="Calibri"/>
      <family val="2"/>
      <scheme val="minor"/>
    </font>
    <font>
      <b/>
      <sz val="11"/>
      <color theme="1"/>
      <name val="Calibri"/>
      <family val="2"/>
      <scheme val="minor"/>
    </font>
    <font>
      <b/>
      <sz val="9"/>
      <color indexed="81"/>
      <name val="Tahoma"/>
      <family val="2"/>
    </font>
    <font>
      <sz val="9"/>
      <color indexed="81"/>
      <name val="Tahoma"/>
      <family val="2"/>
    </font>
    <font>
      <sz val="11"/>
      <color rgb="FFFF0000"/>
      <name val="Calibri"/>
      <family val="2"/>
      <scheme val="minor"/>
    </font>
    <font>
      <sz val="11"/>
      <color theme="1"/>
      <name val="Calibri"/>
      <family val="2"/>
      <scheme val="minor"/>
    </font>
    <font>
      <sz val="11"/>
      <name val="Calibri"/>
      <family val="2"/>
      <scheme val="minor"/>
    </font>
    <font>
      <b/>
      <sz val="11"/>
      <name val="Calibri"/>
      <family val="2"/>
      <scheme val="minor"/>
    </font>
  </fonts>
  <fills count="3">
    <fill>
      <patternFill patternType="none"/>
    </fill>
    <fill>
      <patternFill patternType="gray125"/>
    </fill>
    <fill>
      <patternFill patternType="solid">
        <fgColor rgb="FFC6EFCE"/>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s>
  <cellStyleXfs count="4">
    <xf numFmtId="0" fontId="0" fillId="0" borderId="0"/>
    <xf numFmtId="0" fontId="1" fillId="2"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cellStyleXfs>
  <cellXfs count="105">
    <xf numFmtId="0" fontId="0" fillId="0" borderId="0" xfId="0"/>
    <xf numFmtId="0" fontId="2" fillId="0" borderId="0" xfId="0" applyFont="1"/>
    <xf numFmtId="2" fontId="0" fillId="0" borderId="0" xfId="0" applyNumberFormat="1"/>
    <xf numFmtId="0" fontId="0" fillId="0" borderId="0" xfId="0" applyAlignment="1">
      <alignment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5" fillId="0" borderId="0" xfId="0" applyFont="1"/>
    <xf numFmtId="0" fontId="0" fillId="0" borderId="0" xfId="0"/>
    <xf numFmtId="43" fontId="0" fillId="0" borderId="0" xfId="3" applyFont="1"/>
    <xf numFmtId="0" fontId="0" fillId="0" borderId="9" xfId="0" applyBorder="1" applyAlignment="1">
      <alignment vertical="center" wrapText="1"/>
    </xf>
    <xf numFmtId="0" fontId="0" fillId="0" borderId="9" xfId="0" applyBorder="1" applyAlignment="1">
      <alignment wrapText="1"/>
    </xf>
    <xf numFmtId="0" fontId="0" fillId="0" borderId="6" xfId="0" applyBorder="1" applyAlignment="1">
      <alignment wrapText="1"/>
    </xf>
    <xf numFmtId="0" fontId="0" fillId="0" borderId="0" xfId="0" applyBorder="1"/>
    <xf numFmtId="2" fontId="0" fillId="0" borderId="0" xfId="0" applyNumberFormat="1" applyBorder="1" applyAlignment="1">
      <alignment wrapText="1"/>
    </xf>
    <xf numFmtId="2" fontId="0" fillId="0" borderId="0" xfId="0" applyNumberFormat="1" applyBorder="1" applyAlignment="1">
      <alignment vertical="center" wrapText="1"/>
    </xf>
    <xf numFmtId="2" fontId="0" fillId="0" borderId="11" xfId="0" applyNumberFormat="1" applyBorder="1" applyAlignment="1">
      <alignment vertical="center" wrapText="1"/>
    </xf>
    <xf numFmtId="2" fontId="0" fillId="0" borderId="9" xfId="0" applyNumberFormat="1" applyBorder="1" applyAlignment="1">
      <alignment vertical="center" wrapText="1"/>
    </xf>
    <xf numFmtId="2" fontId="0" fillId="0" borderId="11" xfId="0" applyNumberFormat="1" applyBorder="1" applyAlignment="1">
      <alignment wrapText="1"/>
    </xf>
    <xf numFmtId="2" fontId="0" fillId="0" borderId="9" xfId="0" applyNumberFormat="1" applyBorder="1" applyAlignment="1">
      <alignment wrapText="1"/>
    </xf>
    <xf numFmtId="2" fontId="0" fillId="0" borderId="4" xfId="0" applyNumberFormat="1" applyBorder="1" applyAlignment="1">
      <alignment wrapText="1"/>
    </xf>
    <xf numFmtId="2" fontId="0" fillId="0" borderId="5" xfId="0" applyNumberFormat="1" applyBorder="1" applyAlignment="1">
      <alignment wrapText="1"/>
    </xf>
    <xf numFmtId="2" fontId="0" fillId="0" borderId="6" xfId="0" applyNumberFormat="1" applyBorder="1" applyAlignment="1">
      <alignment wrapText="1"/>
    </xf>
    <xf numFmtId="2" fontId="0" fillId="0" borderId="1" xfId="0" applyNumberFormat="1" applyBorder="1" applyAlignment="1">
      <alignment vertical="center" wrapText="1"/>
    </xf>
    <xf numFmtId="2" fontId="0" fillId="0" borderId="2" xfId="0" applyNumberFormat="1" applyBorder="1" applyAlignment="1">
      <alignment vertical="center" wrapText="1"/>
    </xf>
    <xf numFmtId="2" fontId="0" fillId="0" borderId="3" xfId="0" applyNumberFormat="1" applyBorder="1" applyAlignment="1">
      <alignment vertical="center" wrapText="1"/>
    </xf>
    <xf numFmtId="2" fontId="0" fillId="0" borderId="4" xfId="0" applyNumberFormat="1" applyBorder="1" applyAlignment="1">
      <alignment vertical="center" wrapText="1"/>
    </xf>
    <xf numFmtId="2" fontId="0" fillId="0" borderId="5" xfId="0" applyNumberFormat="1" applyBorder="1" applyAlignment="1">
      <alignment vertical="center" wrapText="1"/>
    </xf>
    <xf numFmtId="2" fontId="0" fillId="0" borderId="6" xfId="0" applyNumberFormat="1" applyBorder="1" applyAlignment="1">
      <alignment vertical="center" wrapText="1"/>
    </xf>
    <xf numFmtId="2" fontId="0" fillId="0" borderId="1" xfId="0" applyNumberFormat="1" applyBorder="1" applyAlignment="1">
      <alignment wrapText="1"/>
    </xf>
    <xf numFmtId="2" fontId="0" fillId="0" borderId="2" xfId="0" applyNumberFormat="1" applyBorder="1" applyAlignment="1">
      <alignment wrapText="1"/>
    </xf>
    <xf numFmtId="2" fontId="0" fillId="0" borderId="3" xfId="0" applyNumberFormat="1" applyBorder="1" applyAlignment="1">
      <alignment wrapText="1"/>
    </xf>
    <xf numFmtId="2" fontId="0" fillId="0" borderId="1" xfId="0" applyNumberFormat="1" applyFill="1" applyBorder="1" applyAlignment="1">
      <alignment wrapText="1"/>
    </xf>
    <xf numFmtId="2" fontId="0" fillId="0" borderId="2" xfId="0" applyNumberFormat="1" applyFill="1" applyBorder="1" applyAlignment="1">
      <alignment wrapText="1"/>
    </xf>
    <xf numFmtId="2" fontId="0" fillId="0" borderId="3" xfId="0" applyNumberFormat="1" applyFill="1" applyBorder="1" applyAlignment="1">
      <alignment wrapText="1"/>
    </xf>
    <xf numFmtId="2" fontId="0" fillId="0" borderId="4" xfId="0" applyNumberFormat="1" applyFill="1" applyBorder="1" applyAlignment="1">
      <alignment wrapText="1"/>
    </xf>
    <xf numFmtId="2" fontId="0" fillId="0" borderId="5" xfId="0" applyNumberFormat="1" applyFill="1" applyBorder="1" applyAlignment="1">
      <alignment wrapText="1"/>
    </xf>
    <xf numFmtId="2" fontId="0" fillId="0" borderId="6" xfId="0" applyNumberFormat="1" applyFill="1" applyBorder="1" applyAlignment="1">
      <alignment wrapText="1"/>
    </xf>
    <xf numFmtId="0" fontId="0" fillId="0" borderId="3" xfId="0" applyBorder="1" applyAlignment="1">
      <alignment wrapText="1"/>
    </xf>
    <xf numFmtId="0" fontId="0" fillId="0" borderId="3" xfId="0" applyFill="1" applyBorder="1" applyAlignment="1">
      <alignment wrapText="1"/>
    </xf>
    <xf numFmtId="0" fontId="0" fillId="0" borderId="6" xfId="0" applyFill="1" applyBorder="1" applyAlignment="1">
      <alignment wrapText="1"/>
    </xf>
    <xf numFmtId="0" fontId="0" fillId="0" borderId="0" xfId="0" applyBorder="1" applyAlignment="1">
      <alignment vertical="top" wrapText="1"/>
    </xf>
    <xf numFmtId="0" fontId="0" fillId="0" borderId="9" xfId="0" applyBorder="1" applyAlignment="1">
      <alignment vertical="top" wrapText="1"/>
    </xf>
    <xf numFmtId="0" fontId="0" fillId="0" borderId="3" xfId="0" applyBorder="1" applyAlignment="1">
      <alignment vertical="center" wrapText="1"/>
    </xf>
    <xf numFmtId="0" fontId="0" fillId="0" borderId="6" xfId="0" applyBorder="1" applyAlignment="1">
      <alignment vertical="center" wrapText="1"/>
    </xf>
    <xf numFmtId="0" fontId="0" fillId="0" borderId="0" xfId="0" applyAlignment="1">
      <alignment vertical="top" wrapText="1"/>
    </xf>
    <xf numFmtId="0" fontId="2" fillId="0" borderId="0" xfId="0" applyFont="1" applyBorder="1" applyAlignment="1">
      <alignment wrapText="1"/>
    </xf>
    <xf numFmtId="0" fontId="2" fillId="0" borderId="0" xfId="0" applyFont="1" applyBorder="1" applyAlignment="1">
      <alignment horizontal="center"/>
    </xf>
    <xf numFmtId="0" fontId="2" fillId="0" borderId="0" xfId="0" applyFont="1" applyBorder="1" applyAlignment="1">
      <alignment horizontal="center" vertical="center"/>
    </xf>
    <xf numFmtId="0" fontId="2" fillId="0" borderId="11"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horizontal="center"/>
    </xf>
    <xf numFmtId="0" fontId="2" fillId="0" borderId="0" xfId="0" applyFont="1" applyBorder="1" applyAlignment="1">
      <alignment horizontal="center" wrapText="1"/>
    </xf>
    <xf numFmtId="2" fontId="0" fillId="0" borderId="0" xfId="0" applyNumberFormat="1" applyFill="1" applyBorder="1" applyAlignment="1">
      <alignment wrapText="1"/>
    </xf>
    <xf numFmtId="2" fontId="0" fillId="0" borderId="1" xfId="0" applyNumberFormat="1" applyBorder="1" applyAlignment="1">
      <alignment horizontal="center" wrapText="1"/>
    </xf>
    <xf numFmtId="2" fontId="0" fillId="0" borderId="2" xfId="0" applyNumberFormat="1" applyBorder="1" applyAlignment="1">
      <alignment horizontal="center" wrapText="1"/>
    </xf>
    <xf numFmtId="2" fontId="0" fillId="0" borderId="3" xfId="0" applyNumberFormat="1" applyBorder="1" applyAlignment="1">
      <alignment horizontal="center" wrapText="1"/>
    </xf>
    <xf numFmtId="2" fontId="0" fillId="0" borderId="11" xfId="0" applyNumberFormat="1" applyBorder="1" applyAlignment="1">
      <alignment horizontal="center" wrapText="1"/>
    </xf>
    <xf numFmtId="2" fontId="0" fillId="0" borderId="0" xfId="0" applyNumberFormat="1" applyBorder="1" applyAlignment="1">
      <alignment horizontal="center" wrapText="1"/>
    </xf>
    <xf numFmtId="2" fontId="0" fillId="0" borderId="9" xfId="0" applyNumberFormat="1" applyBorder="1" applyAlignment="1">
      <alignment horizontal="center" wrapText="1"/>
    </xf>
    <xf numFmtId="2" fontId="0" fillId="0" borderId="4" xfId="0" applyNumberFormat="1" applyBorder="1" applyAlignment="1">
      <alignment horizontal="center" wrapText="1"/>
    </xf>
    <xf numFmtId="2" fontId="0" fillId="0" borderId="5" xfId="0" applyNumberFormat="1" applyBorder="1" applyAlignment="1">
      <alignment horizontal="center" wrapText="1"/>
    </xf>
    <xf numFmtId="2" fontId="0" fillId="0" borderId="6" xfId="0" applyNumberFormat="1" applyBorder="1" applyAlignment="1">
      <alignment horizontal="center" wrapText="1"/>
    </xf>
    <xf numFmtId="9" fontId="2" fillId="0" borderId="0" xfId="2" applyFont="1" applyBorder="1" applyAlignment="1">
      <alignment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1" xfId="0" applyFill="1" applyBorder="1" applyAlignment="1">
      <alignment horizontal="center" vertical="center" wrapText="1"/>
    </xf>
    <xf numFmtId="0" fontId="0" fillId="0" borderId="4" xfId="0" applyFill="1" applyBorder="1" applyAlignment="1">
      <alignment horizontal="center" vertical="center" wrapText="1"/>
    </xf>
    <xf numFmtId="0" fontId="0" fillId="0" borderId="1" xfId="0"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0" fillId="0" borderId="10"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0" fillId="0" borderId="11" xfId="0" applyBorder="1" applyAlignment="1">
      <alignment horizontal="center" vertical="top" wrapText="1"/>
    </xf>
    <xf numFmtId="0" fontId="0" fillId="0" borderId="0" xfId="0" applyBorder="1" applyAlignment="1">
      <alignment horizontal="center" vertical="top" wrapText="1"/>
    </xf>
    <xf numFmtId="0" fontId="0" fillId="0" borderId="9" xfId="0" applyBorder="1" applyAlignment="1">
      <alignment horizontal="center" vertical="top" wrapText="1"/>
    </xf>
    <xf numFmtId="0" fontId="0" fillId="0" borderId="11" xfId="0"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0" fillId="0" borderId="4" xfId="0" applyBorder="1" applyAlignment="1">
      <alignment horizontal="justify" vertical="center" wrapText="1"/>
    </xf>
    <xf numFmtId="0" fontId="0" fillId="0" borderId="5" xfId="0" applyBorder="1" applyAlignment="1">
      <alignment horizontal="justify" vertical="center" wrapText="1"/>
    </xf>
    <xf numFmtId="0" fontId="0" fillId="0" borderId="6" xfId="0" applyBorder="1" applyAlignment="1">
      <alignment horizontal="justify" vertical="center" wrapText="1"/>
    </xf>
    <xf numFmtId="0" fontId="2" fillId="0" borderId="10" xfId="0" applyFont="1" applyBorder="1" applyAlignment="1">
      <alignment vertical="center" wrapText="1"/>
    </xf>
    <xf numFmtId="0" fontId="2" fillId="0" borderId="8" xfId="0" applyFont="1" applyBorder="1" applyAlignment="1">
      <alignment vertical="center" wrapText="1"/>
    </xf>
    <xf numFmtId="0" fontId="2" fillId="0" borderId="7" xfId="0" applyFont="1"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vertical="center"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7" fillId="0" borderId="0" xfId="0" applyFont="1" applyFill="1"/>
    <xf numFmtId="0" fontId="7" fillId="0" borderId="0" xfId="1" applyFont="1" applyFill="1"/>
    <xf numFmtId="0" fontId="8" fillId="0" borderId="0" xfId="0" applyFont="1" applyFill="1"/>
    <xf numFmtId="2" fontId="7" fillId="0" borderId="0" xfId="0" applyNumberFormat="1" applyFont="1" applyFill="1"/>
    <xf numFmtId="2" fontId="7" fillId="0" borderId="0" xfId="0" applyNumberFormat="1" applyFont="1" applyFill="1" applyAlignment="1">
      <alignment wrapText="1"/>
    </xf>
  </cellXfs>
  <cellStyles count="4">
    <cellStyle name="Comma" xfId="3" builtinId="3"/>
    <cellStyle name="Good" xfId="1" builtinId="26"/>
    <cellStyle name="Normal" xfId="0" builtinId="0"/>
    <cellStyle name="Percent" xfId="2" builtinId="5"/>
  </cellStyles>
  <dxfs count="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A5A5A5"/>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Tanzania-</a:t>
            </a:r>
            <a:r>
              <a:rPr lang="en-US" baseline="0"/>
              <a:t> Promised Reforms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5"/>
          <c:order val="0"/>
          <c:tx>
            <c:v>Competition</c:v>
          </c:tx>
          <c:spPr>
            <a:solidFill>
              <a:schemeClr val="accent6"/>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Scores'!$B$96:$AA$96</c:f>
              <c:numCache>
                <c:formatCode>General</c:formatCode>
                <c:ptCount val="26"/>
                <c:pt idx="0">
                  <c:v>0</c:v>
                </c:pt>
                <c:pt idx="1">
                  <c:v>0</c:v>
                </c:pt>
                <c:pt idx="2">
                  <c:v>0</c:v>
                </c:pt>
                <c:pt idx="3">
                  <c:v>0</c:v>
                </c:pt>
                <c:pt idx="4">
                  <c:v>0</c:v>
                </c:pt>
                <c:pt idx="5">
                  <c:v>6.25</c:v>
                </c:pt>
                <c:pt idx="6">
                  <c:v>6.25</c:v>
                </c:pt>
                <c:pt idx="7">
                  <c:v>6.25</c:v>
                </c:pt>
                <c:pt idx="8">
                  <c:v>6.25</c:v>
                </c:pt>
                <c:pt idx="9">
                  <c:v>6.25</c:v>
                </c:pt>
                <c:pt idx="10">
                  <c:v>6.25</c:v>
                </c:pt>
                <c:pt idx="11">
                  <c:v>6.25</c:v>
                </c:pt>
                <c:pt idx="12">
                  <c:v>6.25</c:v>
                </c:pt>
                <c:pt idx="13">
                  <c:v>6.25</c:v>
                </c:pt>
                <c:pt idx="14">
                  <c:v>6.25</c:v>
                </c:pt>
                <c:pt idx="15">
                  <c:v>6.25</c:v>
                </c:pt>
                <c:pt idx="16">
                  <c:v>6.25</c:v>
                </c:pt>
                <c:pt idx="17">
                  <c:v>6.25</c:v>
                </c:pt>
                <c:pt idx="18">
                  <c:v>6.25</c:v>
                </c:pt>
                <c:pt idx="19">
                  <c:v>6.25</c:v>
                </c:pt>
                <c:pt idx="20">
                  <c:v>6.25</c:v>
                </c:pt>
                <c:pt idx="21">
                  <c:v>6.25</c:v>
                </c:pt>
                <c:pt idx="22">
                  <c:v>6.25</c:v>
                </c:pt>
                <c:pt idx="23">
                  <c:v>6.25</c:v>
                </c:pt>
                <c:pt idx="24">
                  <c:v>6.25</c:v>
                </c:pt>
                <c:pt idx="25">
                  <c:v>6.25</c:v>
                </c:pt>
              </c:numCache>
            </c:numRef>
          </c:val>
          <c:extLst>
            <c:ext xmlns:c16="http://schemas.microsoft.com/office/drawing/2014/chart" uri="{C3380CC4-5D6E-409C-BE32-E72D297353CC}">
              <c16:uniqueId val="{00000001-7155-4C23-8CD3-B6BB1E175216}"/>
            </c:ext>
          </c:extLst>
        </c:ser>
        <c:ser>
          <c:idx val="6"/>
          <c:order val="1"/>
          <c:tx>
            <c:v>PSP</c:v>
          </c:tx>
          <c:spPr>
            <a:solidFill>
              <a:schemeClr val="accent4"/>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Scores'!$B$136:$AA$136</c:f>
              <c:numCache>
                <c:formatCode>0.00</c:formatCode>
                <c:ptCount val="26"/>
                <c:pt idx="0">
                  <c:v>1.0109289835049119E-2</c:v>
                </c:pt>
                <c:pt idx="1">
                  <c:v>9.9788127701599602E-3</c:v>
                </c:pt>
                <c:pt idx="2">
                  <c:v>9.9559572152975624E-3</c:v>
                </c:pt>
                <c:pt idx="3">
                  <c:v>9.9484618078811201E-3</c:v>
                </c:pt>
                <c:pt idx="4">
                  <c:v>0.99929502330375897</c:v>
                </c:pt>
                <c:pt idx="5">
                  <c:v>2.2056439405704746</c:v>
                </c:pt>
                <c:pt idx="6">
                  <c:v>2.2056439405704746</c:v>
                </c:pt>
                <c:pt idx="7">
                  <c:v>2.2064468526250218</c:v>
                </c:pt>
                <c:pt idx="8">
                  <c:v>2.2064468526250218</c:v>
                </c:pt>
                <c:pt idx="9">
                  <c:v>2.0210012820227963</c:v>
                </c:pt>
                <c:pt idx="10">
                  <c:v>1.7301696279441776</c:v>
                </c:pt>
                <c:pt idx="11">
                  <c:v>1.7301696279441776</c:v>
                </c:pt>
                <c:pt idx="12">
                  <c:v>2.8849427487511994</c:v>
                </c:pt>
                <c:pt idx="13">
                  <c:v>2.8849427487511994</c:v>
                </c:pt>
                <c:pt idx="14">
                  <c:v>2.8849427487511994</c:v>
                </c:pt>
                <c:pt idx="15">
                  <c:v>3.6031418570392848</c:v>
                </c:pt>
                <c:pt idx="16">
                  <c:v>3.555955044992364</c:v>
                </c:pt>
                <c:pt idx="17">
                  <c:v>3.5417234677465776</c:v>
                </c:pt>
                <c:pt idx="18">
                  <c:v>3.2285915195413848</c:v>
                </c:pt>
                <c:pt idx="19">
                  <c:v>3.1045781542269264</c:v>
                </c:pt>
                <c:pt idx="20">
                  <c:v>3.0699380700398007</c:v>
                </c:pt>
                <c:pt idx="21">
                  <c:v>3.0065289872488838</c:v>
                </c:pt>
                <c:pt idx="22">
                  <c:v>2.6636943458856788</c:v>
                </c:pt>
                <c:pt idx="23">
                  <c:v>2.6636943458856788</c:v>
                </c:pt>
                <c:pt idx="24">
                  <c:v>2.6636943458856788</c:v>
                </c:pt>
                <c:pt idx="25">
                  <c:v>2.6636943458856788</c:v>
                </c:pt>
              </c:numCache>
            </c:numRef>
          </c:val>
          <c:extLst>
            <c:ext xmlns:c16="http://schemas.microsoft.com/office/drawing/2014/chart" uri="{C3380CC4-5D6E-409C-BE32-E72D297353CC}">
              <c16:uniqueId val="{00000002-7155-4C23-8CD3-B6BB1E175216}"/>
            </c:ext>
          </c:extLst>
        </c:ser>
        <c:ser>
          <c:idx val="0"/>
          <c:order val="2"/>
          <c:tx>
            <c:v>Regulation</c:v>
          </c:tx>
          <c:spPr>
            <a:solidFill>
              <a:schemeClr val="accent1"/>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Scores'!$B$16:$AA$16</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7155-4C23-8CD3-B6BB1E175216}"/>
            </c:ext>
          </c:extLst>
        </c:ser>
        <c:ser>
          <c:idx val="2"/>
          <c:order val="3"/>
          <c:tx>
            <c:v>Restructuring</c:v>
          </c:tx>
          <c:spPr>
            <a:solidFill>
              <a:schemeClr val="accent2"/>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Scores'!$B$56:$AA$56</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7155-4C23-8CD3-B6BB1E175216}"/>
            </c:ext>
          </c:extLst>
        </c:ser>
        <c:ser>
          <c:idx val="4"/>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val>
            <c:numRef>
              <c:f>'Promised And Actual Scores'!$B$115:$AA$115</c:f>
              <c:numCache>
                <c:formatCode>General</c:formatCode>
                <c:ptCount val="26"/>
                <c:pt idx="0">
                  <c:v>0</c:v>
                </c:pt>
                <c:pt idx="1">
                  <c:v>0</c:v>
                </c:pt>
                <c:pt idx="2">
                  <c:v>0</c:v>
                </c:pt>
                <c:pt idx="3">
                  <c:v>0</c:v>
                </c:pt>
                <c:pt idx="4">
                  <c:v>0</c:v>
                </c:pt>
                <c:pt idx="5">
                  <c:v>0</c:v>
                </c:pt>
                <c:pt idx="6">
                  <c:v>0</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0-C382-4A00-85B0-C8F048943D2C}"/>
            </c:ext>
          </c:extLst>
        </c:ser>
        <c:ser>
          <c:idx val="7"/>
          <c:order val="5"/>
          <c:tx>
            <c:strRef>
              <c:f>'Promised And Actual Scores'!$A$142</c:f>
              <c:strCache>
                <c:ptCount val="1"/>
                <c:pt idx="0">
                  <c:v>Announced PSP</c:v>
                </c:pt>
              </c:strCache>
            </c:strRef>
          </c:tx>
          <c:spPr>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2700000" scaled="1"/>
              <a:tileRect/>
            </a:gradFill>
            <a:ln>
              <a:noFill/>
            </a:ln>
            <a:effectLst/>
          </c:spPr>
          <c:invertIfNegative val="0"/>
          <c:val>
            <c:numRef>
              <c:f>'Promised And Actual Scores'!$B$156:$AA$156</c:f>
              <c:numCache>
                <c:formatCode>General</c:formatCode>
                <c:ptCount val="26"/>
                <c:pt idx="0">
                  <c:v>0</c:v>
                </c:pt>
                <c:pt idx="1">
                  <c:v>0</c:v>
                </c:pt>
                <c:pt idx="2">
                  <c:v>0</c:v>
                </c:pt>
                <c:pt idx="3">
                  <c:v>0</c:v>
                </c:pt>
                <c:pt idx="4">
                  <c:v>0</c:v>
                </c:pt>
                <c:pt idx="5">
                  <c:v>0</c:v>
                </c:pt>
                <c:pt idx="6">
                  <c:v>0</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1-C382-4A00-85B0-C8F048943D2C}"/>
            </c:ext>
          </c:extLst>
        </c:ser>
        <c:ser>
          <c:idx val="1"/>
          <c:order val="6"/>
          <c:tx>
            <c:strRef>
              <c:f>'Promised And Actual Scores'!$A$21</c:f>
              <c:strCache>
                <c:ptCount val="1"/>
                <c:pt idx="0">
                  <c:v>Announced Regulation</c:v>
                </c:pt>
              </c:strCache>
            </c:strRef>
          </c:tx>
          <c:spPr>
            <a:solidFill>
              <a:schemeClr val="accent1">
                <a:lumMod val="40000"/>
                <a:lumOff val="60000"/>
              </a:schemeClr>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Scores'!$B$35:$AA$35</c:f>
              <c:numCache>
                <c:formatCode>General</c:formatCode>
                <c:ptCount val="26"/>
                <c:pt idx="0">
                  <c:v>0</c:v>
                </c:pt>
                <c:pt idx="1">
                  <c:v>0</c:v>
                </c:pt>
                <c:pt idx="2">
                  <c:v>0</c:v>
                </c:pt>
                <c:pt idx="3">
                  <c:v>0</c:v>
                </c:pt>
                <c:pt idx="4">
                  <c:v>25</c:v>
                </c:pt>
                <c:pt idx="5">
                  <c:v>25</c:v>
                </c:pt>
                <c:pt idx="6">
                  <c:v>25</c:v>
                </c:pt>
                <c:pt idx="7">
                  <c:v>0</c:v>
                </c:pt>
                <c:pt idx="8">
                  <c:v>0</c:v>
                </c:pt>
                <c:pt idx="9">
                  <c:v>0</c:v>
                </c:pt>
                <c:pt idx="10">
                  <c:v>0</c:v>
                </c:pt>
                <c:pt idx="11">
                  <c:v>25</c:v>
                </c:pt>
                <c:pt idx="12">
                  <c:v>25</c:v>
                </c:pt>
                <c:pt idx="13">
                  <c:v>25</c:v>
                </c:pt>
                <c:pt idx="14">
                  <c:v>25</c:v>
                </c:pt>
                <c:pt idx="15">
                  <c:v>25</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4-7155-4C23-8CD3-B6BB1E175216}"/>
            </c:ext>
          </c:extLst>
        </c:ser>
        <c:ser>
          <c:idx val="3"/>
          <c:order val="7"/>
          <c:tx>
            <c:strRef>
              <c:f>'Promised And Actual Scores'!$A$61</c:f>
              <c:strCache>
                <c:ptCount val="1"/>
                <c:pt idx="0">
                  <c:v>Announced Restructuring</c:v>
                </c:pt>
              </c:strCache>
            </c:strRef>
          </c:tx>
          <c:spPr>
            <a:solidFill>
              <a:schemeClr val="accent2">
                <a:lumMod val="20000"/>
                <a:lumOff val="80000"/>
              </a:schemeClr>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Scores'!$B$75:$AA$75</c:f>
              <c:numCache>
                <c:formatCode>General</c:formatCode>
                <c:ptCount val="26"/>
                <c:pt idx="0">
                  <c:v>0</c:v>
                </c:pt>
                <c:pt idx="1">
                  <c:v>0</c:v>
                </c:pt>
                <c:pt idx="2">
                  <c:v>0</c:v>
                </c:pt>
                <c:pt idx="3">
                  <c:v>0</c:v>
                </c:pt>
                <c:pt idx="4">
                  <c:v>0</c:v>
                </c:pt>
                <c:pt idx="5">
                  <c:v>0</c:v>
                </c:pt>
                <c:pt idx="6">
                  <c:v>0</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5-7155-4C23-8CD3-B6BB1E175216}"/>
            </c:ext>
          </c:extLst>
        </c:ser>
        <c:dLbls>
          <c:showLegendKey val="0"/>
          <c:showVal val="0"/>
          <c:showCatName val="0"/>
          <c:showSerName val="0"/>
          <c:showPercent val="0"/>
          <c:showBubbleSize val="0"/>
        </c:dLbls>
        <c:gapWidth val="150"/>
        <c:overlap val="100"/>
        <c:axId val="854825312"/>
        <c:axId val="979859584"/>
      </c:barChart>
      <c:catAx>
        <c:axId val="85482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59584"/>
        <c:crosses val="autoZero"/>
        <c:auto val="1"/>
        <c:lblAlgn val="ctr"/>
        <c:lblOffset val="100"/>
        <c:noMultiLvlLbl val="0"/>
      </c:catAx>
      <c:valAx>
        <c:axId val="97985958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82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Kenya-</a:t>
            </a:r>
            <a:r>
              <a:rPr lang="en-US" baseline="0"/>
              <a:t> Promised Reforms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Scores'!$B$89:$AA$89</c:f>
              <c:numCache>
                <c:formatCode>General</c:formatCode>
                <c:ptCount val="26"/>
                <c:pt idx="0">
                  <c:v>0</c:v>
                </c:pt>
                <c:pt idx="1">
                  <c:v>0</c:v>
                </c:pt>
                <c:pt idx="2">
                  <c:v>0</c:v>
                </c:pt>
                <c:pt idx="3">
                  <c:v>0</c:v>
                </c:pt>
                <c:pt idx="4">
                  <c:v>0</c:v>
                </c:pt>
                <c:pt idx="5">
                  <c:v>0</c:v>
                </c:pt>
                <c:pt idx="6">
                  <c:v>6.25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4-B78C-4F42-B589-8DA30EAE7326}"/>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Scores'!$B$129:$AA$129</c:f>
              <c:numCache>
                <c:formatCode>0.00</c:formatCode>
                <c:ptCount val="26"/>
                <c:pt idx="0">
                  <c:v>6.125</c:v>
                </c:pt>
                <c:pt idx="1">
                  <c:v>6.125</c:v>
                </c:pt>
                <c:pt idx="2">
                  <c:v>6.125</c:v>
                </c:pt>
                <c:pt idx="3">
                  <c:v>6.125</c:v>
                </c:pt>
                <c:pt idx="4">
                  <c:v>6.125</c:v>
                </c:pt>
                <c:pt idx="5">
                  <c:v>6.125</c:v>
                </c:pt>
                <c:pt idx="6">
                  <c:v>6.8168225388487933</c:v>
                </c:pt>
                <c:pt idx="7">
                  <c:v>8.0394938548307842</c:v>
                </c:pt>
                <c:pt idx="8">
                  <c:v>8.0394938548307842</c:v>
                </c:pt>
                <c:pt idx="9">
                  <c:v>7.7592306438555791</c:v>
                </c:pt>
                <c:pt idx="10">
                  <c:v>7.8502029359074985</c:v>
                </c:pt>
                <c:pt idx="11">
                  <c:v>8.522300408541966</c:v>
                </c:pt>
                <c:pt idx="12">
                  <c:v>8.5224537125345599</c:v>
                </c:pt>
                <c:pt idx="13">
                  <c:v>8.3888585091581316</c:v>
                </c:pt>
                <c:pt idx="14">
                  <c:v>8.4937042851896827</c:v>
                </c:pt>
                <c:pt idx="15">
                  <c:v>8.49410339205828</c:v>
                </c:pt>
                <c:pt idx="16">
                  <c:v>15.610297712386849</c:v>
                </c:pt>
                <c:pt idx="17">
                  <c:v>15.543549247217907</c:v>
                </c:pt>
                <c:pt idx="18">
                  <c:v>15.81653311642523</c:v>
                </c:pt>
                <c:pt idx="19">
                  <c:v>16.274729758383714</c:v>
                </c:pt>
                <c:pt idx="20">
                  <c:v>16.544357028935917</c:v>
                </c:pt>
                <c:pt idx="21">
                  <c:v>16.166178243998626</c:v>
                </c:pt>
                <c:pt idx="22">
                  <c:v>16.117002688579078</c:v>
                </c:pt>
                <c:pt idx="23">
                  <c:v>16.397010391988282</c:v>
                </c:pt>
                <c:pt idx="24">
                  <c:v>16.409198647412598</c:v>
                </c:pt>
                <c:pt idx="25">
                  <c:v>16.409198647412598</c:v>
                </c:pt>
              </c:numCache>
            </c:numRef>
          </c:val>
          <c:extLst>
            <c:ext xmlns:c16="http://schemas.microsoft.com/office/drawing/2014/chart" uri="{C3380CC4-5D6E-409C-BE32-E72D297353CC}">
              <c16:uniqueId val="{00000006-B78C-4F42-B589-8DA30EAE7326}"/>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Scores'!$B$9:$AA$9</c:f>
              <c:numCache>
                <c:formatCode>General</c:formatCode>
                <c:ptCount val="26"/>
                <c:pt idx="0">
                  <c:v>0</c:v>
                </c:pt>
                <c:pt idx="1">
                  <c:v>0</c:v>
                </c:pt>
                <c:pt idx="2">
                  <c:v>0</c:v>
                </c:pt>
                <c:pt idx="3">
                  <c:v>0</c:v>
                </c:pt>
                <c:pt idx="4">
                  <c:v>0</c:v>
                </c:pt>
                <c:pt idx="5">
                  <c:v>0</c:v>
                </c:pt>
                <c:pt idx="6">
                  <c:v>0</c:v>
                </c:pt>
                <c:pt idx="7">
                  <c:v>0</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B78C-4F42-B589-8DA30EAE7326}"/>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Scores'!$B$49:$AA$49</c:f>
              <c:numCache>
                <c:formatCode>General</c:formatCode>
                <c:ptCount val="26"/>
                <c:pt idx="0">
                  <c:v>0</c:v>
                </c:pt>
                <c:pt idx="1">
                  <c:v>0</c:v>
                </c:pt>
                <c:pt idx="2">
                  <c:v>0</c:v>
                </c:pt>
                <c:pt idx="3">
                  <c:v>0</c:v>
                </c:pt>
                <c:pt idx="4">
                  <c:v>0</c:v>
                </c:pt>
                <c:pt idx="5">
                  <c:v>0</c:v>
                </c:pt>
                <c:pt idx="6">
                  <c:v>0</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2-B78C-4F42-B589-8DA30EAE7326}"/>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Scores'!$B$108:$AA$108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B78C-4F42-B589-8DA30EAE7326}"/>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Scores'!$B$149:$AA$149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formatCode="0.00">
                  <c:v>9.3897022876131508</c:v>
                </c:pt>
                <c:pt idx="17" formatCode="0.00">
                  <c:v>9.4564507527820929</c:v>
                </c:pt>
                <c:pt idx="18" formatCode="0.00">
                  <c:v>9.1834668835747699</c:v>
                </c:pt>
                <c:pt idx="19" formatCode="0.00">
                  <c:v>8.7252702416162862</c:v>
                </c:pt>
                <c:pt idx="20" formatCode="0.00">
                  <c:v>8.4556429710640835</c:v>
                </c:pt>
                <c:pt idx="21" formatCode="0.00">
                  <c:v>8.8338217560013739</c:v>
                </c:pt>
                <c:pt idx="22" formatCode="0.00">
                  <c:v>8.8829973114209224</c:v>
                </c:pt>
                <c:pt idx="23" formatCode="0.00">
                  <c:v>8.6029896080117183</c:v>
                </c:pt>
                <c:pt idx="24" formatCode="0.00">
                  <c:v>8.5908013525874019</c:v>
                </c:pt>
                <c:pt idx="25" formatCode="0.00">
                  <c:v>8.5908013525874019</c:v>
                </c:pt>
              </c:numCache>
            </c:numRef>
          </c:val>
          <c:extLst>
            <c:ext xmlns:c16="http://schemas.microsoft.com/office/drawing/2014/chart" uri="{C3380CC4-5D6E-409C-BE32-E72D297353CC}">
              <c16:uniqueId val="{00000007-B78C-4F42-B589-8DA30EAE7326}"/>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Scores'!$B$28:$AA$28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B78C-4F42-B589-8DA30EAE7326}"/>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Scores'!$B$68:$AA$68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12.5</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3-B78C-4F42-B589-8DA30EAE7326}"/>
            </c:ext>
          </c:extLst>
        </c:ser>
        <c:dLbls>
          <c:showLegendKey val="0"/>
          <c:showVal val="0"/>
          <c:showCatName val="0"/>
          <c:showSerName val="0"/>
          <c:showPercent val="0"/>
          <c:showBubbleSize val="0"/>
        </c:dLbls>
        <c:gapWidth val="150"/>
        <c:overlap val="100"/>
        <c:axId val="1241541072"/>
        <c:axId val="1454636336"/>
      </c:barChart>
      <c:catAx>
        <c:axId val="124154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636336"/>
        <c:crosses val="autoZero"/>
        <c:auto val="1"/>
        <c:lblAlgn val="ctr"/>
        <c:lblOffset val="100"/>
        <c:noMultiLvlLbl val="0"/>
      </c:catAx>
      <c:valAx>
        <c:axId val="145463633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54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Morocco- Promised</a:t>
            </a:r>
            <a:r>
              <a:rPr lang="en-US" baseline="0"/>
              <a:t> Reforms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Scores'!$B$90:$AA$90</c:f>
              <c:numCache>
                <c:formatCode>General</c:formatCode>
                <c:ptCount val="26"/>
                <c:pt idx="0">
                  <c:v>0</c:v>
                </c:pt>
                <c:pt idx="1">
                  <c:v>0</c:v>
                </c:pt>
                <c:pt idx="2">
                  <c:v>0</c:v>
                </c:pt>
                <c:pt idx="3">
                  <c:v>0</c:v>
                </c:pt>
                <c:pt idx="4">
                  <c:v>0</c:v>
                </c:pt>
                <c:pt idx="5">
                  <c:v>0</c:v>
                </c:pt>
                <c:pt idx="6">
                  <c:v>0</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18.75</c:v>
                </c:pt>
                <c:pt idx="21">
                  <c:v>18.75</c:v>
                </c:pt>
                <c:pt idx="22">
                  <c:v>18.75</c:v>
                </c:pt>
                <c:pt idx="23">
                  <c:v>18.75</c:v>
                </c:pt>
                <c:pt idx="24">
                  <c:v>18.75</c:v>
                </c:pt>
                <c:pt idx="25">
                  <c:v>18.75</c:v>
                </c:pt>
              </c:numCache>
            </c:numRef>
          </c:val>
          <c:extLst>
            <c:ext xmlns:c16="http://schemas.microsoft.com/office/drawing/2014/chart" uri="{C3380CC4-5D6E-409C-BE32-E72D297353CC}">
              <c16:uniqueId val="{00000004-01F9-490B-A5D8-DDDF28EFE830}"/>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Scores'!$B$130:$AA$130</c:f>
              <c:numCache>
                <c:formatCode>0.00</c:formatCode>
                <c:ptCount val="26"/>
                <c:pt idx="0">
                  <c:v>0</c:v>
                </c:pt>
                <c:pt idx="1">
                  <c:v>0</c:v>
                </c:pt>
                <c:pt idx="2">
                  <c:v>0</c:v>
                </c:pt>
                <c:pt idx="3">
                  <c:v>0</c:v>
                </c:pt>
                <c:pt idx="4">
                  <c:v>1.3794224283051464</c:v>
                </c:pt>
                <c:pt idx="5">
                  <c:v>2.4586573048929012</c:v>
                </c:pt>
                <c:pt idx="6">
                  <c:v>2.4586573048929012</c:v>
                </c:pt>
                <c:pt idx="7">
                  <c:v>8.596756782125766</c:v>
                </c:pt>
                <c:pt idx="8">
                  <c:v>10.627874550245467</c:v>
                </c:pt>
                <c:pt idx="9">
                  <c:v>10.627874550245467</c:v>
                </c:pt>
                <c:pt idx="10">
                  <c:v>11.658527930095078</c:v>
                </c:pt>
                <c:pt idx="11">
                  <c:v>14.063500862618636</c:v>
                </c:pt>
                <c:pt idx="12">
                  <c:v>13.973727702730335</c:v>
                </c:pt>
                <c:pt idx="13">
                  <c:v>13.966592981285075</c:v>
                </c:pt>
                <c:pt idx="14">
                  <c:v>13.966397138395697</c:v>
                </c:pt>
                <c:pt idx="15">
                  <c:v>14.659984292118541</c:v>
                </c:pt>
                <c:pt idx="16">
                  <c:v>14.251516109980825</c:v>
                </c:pt>
                <c:pt idx="17">
                  <c:v>14.20379320731762</c:v>
                </c:pt>
                <c:pt idx="18">
                  <c:v>14.20379320731762</c:v>
                </c:pt>
                <c:pt idx="19">
                  <c:v>13.854852907277213</c:v>
                </c:pt>
                <c:pt idx="20">
                  <c:v>13.544614451021175</c:v>
                </c:pt>
                <c:pt idx="21">
                  <c:v>13.369530119986411</c:v>
                </c:pt>
                <c:pt idx="22">
                  <c:v>13.365612951199326</c:v>
                </c:pt>
                <c:pt idx="23">
                  <c:v>13.433552232468571</c:v>
                </c:pt>
                <c:pt idx="24">
                  <c:v>14.596767301464887</c:v>
                </c:pt>
                <c:pt idx="25">
                  <c:v>14.596767301464887</c:v>
                </c:pt>
              </c:numCache>
            </c:numRef>
          </c:val>
          <c:extLst>
            <c:ext xmlns:c16="http://schemas.microsoft.com/office/drawing/2014/chart" uri="{C3380CC4-5D6E-409C-BE32-E72D297353CC}">
              <c16:uniqueId val="{00000006-01F9-490B-A5D8-DDDF28EFE830}"/>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Scores'!$B$10:$AA$10</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01F9-490B-A5D8-DDDF28EFE830}"/>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Scores'!$B$50:$AA$50</c:f>
              <c:numCache>
                <c:formatCode>General</c:formatCode>
                <c:ptCount val="26"/>
                <c:pt idx="0">
                  <c:v>8.3000000000000007</c:v>
                </c:pt>
                <c:pt idx="1">
                  <c:v>8.3000000000000007</c:v>
                </c:pt>
                <c:pt idx="2">
                  <c:v>8.3000000000000007</c:v>
                </c:pt>
                <c:pt idx="3">
                  <c:v>8.3000000000000007</c:v>
                </c:pt>
                <c:pt idx="4">
                  <c:v>8.3000000000000007</c:v>
                </c:pt>
                <c:pt idx="5">
                  <c:v>8.3000000000000007</c:v>
                </c:pt>
                <c:pt idx="6">
                  <c:v>8.3000000000000007</c:v>
                </c:pt>
                <c:pt idx="7">
                  <c:v>8.3000000000000007</c:v>
                </c:pt>
                <c:pt idx="8">
                  <c:v>8.3000000000000007</c:v>
                </c:pt>
                <c:pt idx="9">
                  <c:v>8.3000000000000007</c:v>
                </c:pt>
                <c:pt idx="10">
                  <c:v>8.3000000000000007</c:v>
                </c:pt>
                <c:pt idx="11">
                  <c:v>8.3000000000000007</c:v>
                </c:pt>
                <c:pt idx="12">
                  <c:v>8.3000000000000007</c:v>
                </c:pt>
                <c:pt idx="13">
                  <c:v>8.3000000000000007</c:v>
                </c:pt>
                <c:pt idx="14">
                  <c:v>8.3000000000000007</c:v>
                </c:pt>
                <c:pt idx="15">
                  <c:v>8.3000000000000007</c:v>
                </c:pt>
                <c:pt idx="16">
                  <c:v>8.3000000000000007</c:v>
                </c:pt>
                <c:pt idx="17">
                  <c:v>8.3000000000000007</c:v>
                </c:pt>
                <c:pt idx="18">
                  <c:v>8.3000000000000007</c:v>
                </c:pt>
                <c:pt idx="19">
                  <c:v>8.3000000000000007</c:v>
                </c:pt>
                <c:pt idx="20">
                  <c:v>8.3000000000000007</c:v>
                </c:pt>
                <c:pt idx="21">
                  <c:v>8.3000000000000007</c:v>
                </c:pt>
                <c:pt idx="22">
                  <c:v>8.3000000000000007</c:v>
                </c:pt>
                <c:pt idx="23">
                  <c:v>8.3000000000000007</c:v>
                </c:pt>
                <c:pt idx="24">
                  <c:v>8.3000000000000007</c:v>
                </c:pt>
                <c:pt idx="25">
                  <c:v>8.3000000000000007</c:v>
                </c:pt>
              </c:numCache>
            </c:numRef>
          </c:val>
          <c:extLst>
            <c:ext xmlns:c16="http://schemas.microsoft.com/office/drawing/2014/chart" uri="{C3380CC4-5D6E-409C-BE32-E72D297353CC}">
              <c16:uniqueId val="{00000002-01F9-490B-A5D8-DDDF28EFE830}"/>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Scores'!$B$109:$AA$109</c:f>
              <c:numCache>
                <c:formatCode>General</c:formatCode>
                <c:ptCount val="26"/>
                <c:pt idx="0">
                  <c:v>0</c:v>
                </c:pt>
                <c:pt idx="1">
                  <c:v>0</c:v>
                </c:pt>
                <c:pt idx="2">
                  <c:v>0</c:v>
                </c:pt>
                <c:pt idx="3">
                  <c:v>0</c:v>
                </c:pt>
                <c:pt idx="4">
                  <c:v>0</c:v>
                </c:pt>
                <c:pt idx="5">
                  <c:v>18.75</c:v>
                </c:pt>
                <c:pt idx="6">
                  <c:v>18.75</c:v>
                </c:pt>
                <c:pt idx="7">
                  <c:v>6.25</c:v>
                </c:pt>
                <c:pt idx="8">
                  <c:v>6.25</c:v>
                </c:pt>
                <c:pt idx="9">
                  <c:v>6.25</c:v>
                </c:pt>
                <c:pt idx="10">
                  <c:v>6.25</c:v>
                </c:pt>
                <c:pt idx="11">
                  <c:v>6.25</c:v>
                </c:pt>
                <c:pt idx="12">
                  <c:v>6.25</c:v>
                </c:pt>
                <c:pt idx="13">
                  <c:v>6.25</c:v>
                </c:pt>
                <c:pt idx="14">
                  <c:v>6.25</c:v>
                </c:pt>
                <c:pt idx="15">
                  <c:v>6.25</c:v>
                </c:pt>
                <c:pt idx="16">
                  <c:v>6.25</c:v>
                </c:pt>
                <c:pt idx="17">
                  <c:v>6.25</c:v>
                </c:pt>
                <c:pt idx="18">
                  <c:v>6.25</c:v>
                </c:pt>
                <c:pt idx="19">
                  <c:v>6.25</c:v>
                </c:pt>
                <c:pt idx="20">
                  <c:v>0</c:v>
                </c:pt>
                <c:pt idx="21">
                  <c:v>0</c:v>
                </c:pt>
                <c:pt idx="22">
                  <c:v>0</c:v>
                </c:pt>
                <c:pt idx="23">
                  <c:v>0</c:v>
                </c:pt>
                <c:pt idx="24">
                  <c:v>0</c:v>
                </c:pt>
                <c:pt idx="25">
                  <c:v>0</c:v>
                </c:pt>
              </c:numCache>
            </c:numRef>
          </c:val>
          <c:extLst>
            <c:ext xmlns:c16="http://schemas.microsoft.com/office/drawing/2014/chart" uri="{C3380CC4-5D6E-409C-BE32-E72D297353CC}">
              <c16:uniqueId val="{00000005-01F9-490B-A5D8-DDDF28EFE830}"/>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Scores'!$B$150:$AA$150</c:f>
              <c:numCache>
                <c:formatCode>General</c:formatCode>
                <c:ptCount val="26"/>
                <c:pt idx="0">
                  <c:v>0</c:v>
                </c:pt>
                <c:pt idx="1">
                  <c:v>0</c:v>
                </c:pt>
                <c:pt idx="2">
                  <c:v>0</c:v>
                </c:pt>
                <c:pt idx="3">
                  <c:v>0</c:v>
                </c:pt>
                <c:pt idx="4" formatCode="0.00">
                  <c:v>23.620577571694852</c:v>
                </c:pt>
                <c:pt idx="5" formatCode="0.00">
                  <c:v>22.541342695107097</c:v>
                </c:pt>
                <c:pt idx="6" formatCode="0.00">
                  <c:v>22.541342695107097</c:v>
                </c:pt>
                <c:pt idx="7" formatCode="0.00">
                  <c:v>16.403243217874234</c:v>
                </c:pt>
                <c:pt idx="8" formatCode="0.00">
                  <c:v>14.372125449754533</c:v>
                </c:pt>
                <c:pt idx="9" formatCode="0.00">
                  <c:v>14.372125449754533</c:v>
                </c:pt>
                <c:pt idx="10" formatCode="0.00">
                  <c:v>13.341472069904922</c:v>
                </c:pt>
                <c:pt idx="11" formatCode="0.00">
                  <c:v>10.936499137381364</c:v>
                </c:pt>
                <c:pt idx="12" formatCode="0.00">
                  <c:v>11.026272297269665</c:v>
                </c:pt>
                <c:pt idx="13" formatCode="0.00">
                  <c:v>11.033407018714925</c:v>
                </c:pt>
                <c:pt idx="14" formatCode="0.00">
                  <c:v>11.033602861604303</c:v>
                </c:pt>
                <c:pt idx="15" formatCode="0.00">
                  <c:v>10.340015707881459</c:v>
                </c:pt>
                <c:pt idx="16" formatCode="0.00">
                  <c:v>10.748483890019175</c:v>
                </c:pt>
                <c:pt idx="17" formatCode="0.00">
                  <c:v>10.79620679268238</c:v>
                </c:pt>
                <c:pt idx="18" formatCode="0.00">
                  <c:v>10.79620679268238</c:v>
                </c:pt>
                <c:pt idx="19" formatCode="0.00">
                  <c:v>11.145147092722787</c:v>
                </c:pt>
                <c:pt idx="20" formatCode="0.00">
                  <c:v>11.455385548978825</c:v>
                </c:pt>
                <c:pt idx="21" formatCode="0.00">
                  <c:v>11.630469880013589</c:v>
                </c:pt>
                <c:pt idx="22" formatCode="0.00">
                  <c:v>11.634387048800674</c:v>
                </c:pt>
                <c:pt idx="23" formatCode="0.00">
                  <c:v>11.566447767531429</c:v>
                </c:pt>
                <c:pt idx="24" formatCode="0.00">
                  <c:v>10.403232698535113</c:v>
                </c:pt>
                <c:pt idx="25" formatCode="0.00">
                  <c:v>10.403232698535113</c:v>
                </c:pt>
              </c:numCache>
            </c:numRef>
          </c:val>
          <c:extLst>
            <c:ext xmlns:c16="http://schemas.microsoft.com/office/drawing/2014/chart" uri="{C3380CC4-5D6E-409C-BE32-E72D297353CC}">
              <c16:uniqueId val="{00000007-01F9-490B-A5D8-DDDF28EFE830}"/>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Scores'!$B$29:$AA$29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01F9-490B-A5D8-DDDF28EFE830}"/>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Scores'!$B$69:$AA$69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01F9-490B-A5D8-DDDF28EFE830}"/>
            </c:ext>
          </c:extLst>
        </c:ser>
        <c:dLbls>
          <c:showLegendKey val="0"/>
          <c:showVal val="0"/>
          <c:showCatName val="0"/>
          <c:showSerName val="0"/>
          <c:showPercent val="0"/>
          <c:showBubbleSize val="0"/>
        </c:dLbls>
        <c:gapWidth val="150"/>
        <c:overlap val="100"/>
        <c:axId val="1328808048"/>
        <c:axId val="1446696768"/>
      </c:barChart>
      <c:catAx>
        <c:axId val="13288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696768"/>
        <c:crosses val="autoZero"/>
        <c:auto val="1"/>
        <c:lblAlgn val="ctr"/>
        <c:lblOffset val="100"/>
        <c:noMultiLvlLbl val="0"/>
      </c:catAx>
      <c:valAx>
        <c:axId val="144669676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0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Pakistan-Promised Reforms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Scores'!$B$91:$AA$91</c:f>
              <c:numCache>
                <c:formatCode>General</c:formatCode>
                <c:ptCount val="26"/>
                <c:pt idx="0">
                  <c:v>0</c:v>
                </c:pt>
                <c:pt idx="1">
                  <c:v>0</c:v>
                </c:pt>
                <c:pt idx="2">
                  <c:v>0</c:v>
                </c:pt>
                <c:pt idx="3">
                  <c:v>0</c:v>
                </c:pt>
                <c:pt idx="4">
                  <c:v>0</c:v>
                </c:pt>
                <c:pt idx="5">
                  <c:v>6.25</c:v>
                </c:pt>
                <c:pt idx="6">
                  <c:v>6.25</c:v>
                </c:pt>
                <c:pt idx="7">
                  <c:v>12.5</c:v>
                </c:pt>
                <c:pt idx="8">
                  <c:v>12.5</c:v>
                </c:pt>
                <c:pt idx="9">
                  <c:v>12.5</c:v>
                </c:pt>
                <c:pt idx="10">
                  <c:v>12.5</c:v>
                </c:pt>
                <c:pt idx="11">
                  <c:v>12.5</c:v>
                </c:pt>
                <c:pt idx="12">
                  <c:v>18.75</c:v>
                </c:pt>
                <c:pt idx="13">
                  <c:v>18.75</c:v>
                </c:pt>
                <c:pt idx="14">
                  <c:v>18.75</c:v>
                </c:pt>
                <c:pt idx="15">
                  <c:v>18.75</c:v>
                </c:pt>
                <c:pt idx="16">
                  <c:v>18.75</c:v>
                </c:pt>
                <c:pt idx="17">
                  <c:v>18.75</c:v>
                </c:pt>
                <c:pt idx="18">
                  <c:v>18.75</c:v>
                </c:pt>
                <c:pt idx="19">
                  <c:v>18.75</c:v>
                </c:pt>
                <c:pt idx="20">
                  <c:v>18.75</c:v>
                </c:pt>
                <c:pt idx="21">
                  <c:v>18.75</c:v>
                </c:pt>
                <c:pt idx="22">
                  <c:v>18.75</c:v>
                </c:pt>
                <c:pt idx="23">
                  <c:v>18.75</c:v>
                </c:pt>
                <c:pt idx="24">
                  <c:v>18.75</c:v>
                </c:pt>
                <c:pt idx="25">
                  <c:v>18.75</c:v>
                </c:pt>
              </c:numCache>
            </c:numRef>
          </c:val>
          <c:extLst>
            <c:ext xmlns:c16="http://schemas.microsoft.com/office/drawing/2014/chart" uri="{C3380CC4-5D6E-409C-BE32-E72D297353CC}">
              <c16:uniqueId val="{00000004-1083-4CF3-901E-E847CD7DB34D}"/>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Scores'!$B$131:$AA$131</c:f>
              <c:numCache>
                <c:formatCode>0.00</c:formatCode>
                <c:ptCount val="26"/>
                <c:pt idx="0">
                  <c:v>3.3542847238556504</c:v>
                </c:pt>
                <c:pt idx="1">
                  <c:v>3.8014754009405913</c:v>
                </c:pt>
                <c:pt idx="2">
                  <c:v>3.7129799710582527</c:v>
                </c:pt>
                <c:pt idx="3">
                  <c:v>2.9585291503464886</c:v>
                </c:pt>
                <c:pt idx="4">
                  <c:v>3.1239523896422674</c:v>
                </c:pt>
                <c:pt idx="5">
                  <c:v>3.0937495802431014</c:v>
                </c:pt>
                <c:pt idx="6">
                  <c:v>3.7857826354136441</c:v>
                </c:pt>
                <c:pt idx="7">
                  <c:v>4.3829320014639617</c:v>
                </c:pt>
                <c:pt idx="8">
                  <c:v>4.6369083321906244</c:v>
                </c:pt>
                <c:pt idx="9">
                  <c:v>5.09088081109826</c:v>
                </c:pt>
                <c:pt idx="10">
                  <c:v>5.274462009872714</c:v>
                </c:pt>
                <c:pt idx="11">
                  <c:v>5.3378217914882464</c:v>
                </c:pt>
                <c:pt idx="12">
                  <c:v>5.3378217914882464</c:v>
                </c:pt>
                <c:pt idx="13">
                  <c:v>5.1728772810647659</c:v>
                </c:pt>
                <c:pt idx="14">
                  <c:v>4.943228300589297</c:v>
                </c:pt>
                <c:pt idx="15">
                  <c:v>7.0262144998202825</c:v>
                </c:pt>
                <c:pt idx="16">
                  <c:v>7.0246282217324705</c:v>
                </c:pt>
                <c:pt idx="17">
                  <c:v>7.020714402021488</c:v>
                </c:pt>
                <c:pt idx="18">
                  <c:v>7.1228408566900745</c:v>
                </c:pt>
                <c:pt idx="19">
                  <c:v>7.377436522832995</c:v>
                </c:pt>
                <c:pt idx="20">
                  <c:v>7.7558826807274492</c:v>
                </c:pt>
                <c:pt idx="21">
                  <c:v>8.1833987972959967</c:v>
                </c:pt>
                <c:pt idx="22">
                  <c:v>8.2346216029536521</c:v>
                </c:pt>
                <c:pt idx="23">
                  <c:v>8.2105083255156632</c:v>
                </c:pt>
                <c:pt idx="24">
                  <c:v>8.2821258120163588</c:v>
                </c:pt>
                <c:pt idx="25">
                  <c:v>8.2821258120163588</c:v>
                </c:pt>
              </c:numCache>
            </c:numRef>
          </c:val>
          <c:extLst>
            <c:ext xmlns:c16="http://schemas.microsoft.com/office/drawing/2014/chart" uri="{C3380CC4-5D6E-409C-BE32-E72D297353CC}">
              <c16:uniqueId val="{00000006-1083-4CF3-901E-E847CD7DB34D}"/>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Scores'!$B$11:$AA$11</c:f>
              <c:numCache>
                <c:formatCode>General</c:formatCode>
                <c:ptCount val="26"/>
                <c:pt idx="0">
                  <c:v>0</c:v>
                </c:pt>
                <c:pt idx="1">
                  <c:v>0</c:v>
                </c:pt>
                <c:pt idx="2">
                  <c:v>0</c:v>
                </c:pt>
                <c:pt idx="3">
                  <c:v>0</c:v>
                </c:pt>
                <c:pt idx="4">
                  <c:v>0</c:v>
                </c:pt>
                <c:pt idx="5">
                  <c:v>0</c:v>
                </c:pt>
                <c:pt idx="6">
                  <c:v>0</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1083-4CF3-901E-E847CD7DB34D}"/>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Scores'!$B$51:$AA$51</c:f>
              <c:numCache>
                <c:formatCode>General</c:formatCode>
                <c:ptCount val="26"/>
                <c:pt idx="0">
                  <c:v>0</c:v>
                </c:pt>
                <c:pt idx="1">
                  <c:v>0</c:v>
                </c:pt>
                <c:pt idx="2">
                  <c:v>0</c:v>
                </c:pt>
                <c:pt idx="3">
                  <c:v>0</c:v>
                </c:pt>
                <c:pt idx="4">
                  <c:v>0</c:v>
                </c:pt>
                <c:pt idx="5">
                  <c:v>0</c:v>
                </c:pt>
                <c:pt idx="6">
                  <c:v>0</c:v>
                </c:pt>
                <c:pt idx="7">
                  <c:v>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numCache>
            </c:numRef>
          </c:val>
          <c:extLst>
            <c:ext xmlns:c16="http://schemas.microsoft.com/office/drawing/2014/chart" uri="{C3380CC4-5D6E-409C-BE32-E72D297353CC}">
              <c16:uniqueId val="{00000002-1083-4CF3-901E-E847CD7DB34D}"/>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Scores'!$B$110:$AA$110</c:f>
              <c:numCache>
                <c:formatCode>General</c:formatCode>
                <c:ptCount val="26"/>
                <c:pt idx="0">
                  <c:v>0</c:v>
                </c:pt>
                <c:pt idx="1">
                  <c:v>0</c:v>
                </c:pt>
                <c:pt idx="2">
                  <c:v>18.75</c:v>
                </c:pt>
                <c:pt idx="3">
                  <c:v>18.75</c:v>
                </c:pt>
                <c:pt idx="4">
                  <c:v>18.75</c:v>
                </c:pt>
                <c:pt idx="5">
                  <c:v>12.5</c:v>
                </c:pt>
                <c:pt idx="6">
                  <c:v>12.5</c:v>
                </c:pt>
                <c:pt idx="7">
                  <c:v>6.25</c:v>
                </c:pt>
                <c:pt idx="8">
                  <c:v>6.25</c:v>
                </c:pt>
                <c:pt idx="9">
                  <c:v>6.25</c:v>
                </c:pt>
                <c:pt idx="10">
                  <c:v>6.25</c:v>
                </c:pt>
                <c:pt idx="11">
                  <c:v>6.25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1083-4CF3-901E-E847CD7DB34D}"/>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Scores'!$B$151:$AA$151</c:f>
              <c:numCache>
                <c:formatCode>0.00</c:formatCode>
                <c:ptCount val="26"/>
                <c:pt idx="0">
                  <c:v>0</c:v>
                </c:pt>
                <c:pt idx="1">
                  <c:v>0</c:v>
                </c:pt>
                <c:pt idx="2">
                  <c:v>18.287020028941747</c:v>
                </c:pt>
                <c:pt idx="3">
                  <c:v>19.041470849653511</c:v>
                </c:pt>
                <c:pt idx="4">
                  <c:v>18.876047610357734</c:v>
                </c:pt>
                <c:pt idx="5">
                  <c:v>18.906250419756898</c:v>
                </c:pt>
                <c:pt idx="6">
                  <c:v>18.214217364586357</c:v>
                </c:pt>
                <c:pt idx="7">
                  <c:v>17.617067998536037</c:v>
                </c:pt>
                <c:pt idx="8">
                  <c:v>17.363091667809375</c:v>
                </c:pt>
                <c:pt idx="9">
                  <c:v>16.909119188901741</c:v>
                </c:pt>
                <c:pt idx="10">
                  <c:v>16.725537990127286</c:v>
                </c:pt>
                <c:pt idx="11">
                  <c:v>16.662178208511754</c:v>
                </c:pt>
                <c:pt idx="12">
                  <c:v>16.662178208511754</c:v>
                </c:pt>
                <c:pt idx="13">
                  <c:v>16.827122718935236</c:v>
                </c:pt>
                <c:pt idx="14">
                  <c:v>17.056771699410703</c:v>
                </c:pt>
                <c:pt idx="15">
                  <c:v>14.973785500179718</c:v>
                </c:pt>
                <c:pt idx="16">
                  <c:v>14.97537177826753</c:v>
                </c:pt>
                <c:pt idx="17">
                  <c:v>14.979285597978512</c:v>
                </c:pt>
                <c:pt idx="18">
                  <c:v>14.877159143309925</c:v>
                </c:pt>
                <c:pt idx="19">
                  <c:v>14.622563477167006</c:v>
                </c:pt>
                <c:pt idx="20">
                  <c:v>14.244117319272551</c:v>
                </c:pt>
                <c:pt idx="21">
                  <c:v>13.816601202704003</c:v>
                </c:pt>
                <c:pt idx="22">
                  <c:v>13.765378397046348</c:v>
                </c:pt>
                <c:pt idx="23">
                  <c:v>13.789491674484337</c:v>
                </c:pt>
                <c:pt idx="24">
                  <c:v>13.717874187983641</c:v>
                </c:pt>
                <c:pt idx="25">
                  <c:v>13.717874187983641</c:v>
                </c:pt>
              </c:numCache>
            </c:numRef>
          </c:val>
          <c:extLst>
            <c:ext xmlns:c16="http://schemas.microsoft.com/office/drawing/2014/chart" uri="{C3380CC4-5D6E-409C-BE32-E72D297353CC}">
              <c16:uniqueId val="{00000007-1083-4CF3-901E-E847CD7DB34D}"/>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Scores'!$B$30:$AA$30</c:f>
              <c:numCache>
                <c:formatCode>General</c:formatCode>
                <c:ptCount val="26"/>
                <c:pt idx="0">
                  <c:v>0</c:v>
                </c:pt>
                <c:pt idx="1">
                  <c:v>0</c:v>
                </c:pt>
                <c:pt idx="2">
                  <c:v>25</c:v>
                </c:pt>
                <c:pt idx="3">
                  <c:v>25</c:v>
                </c:pt>
                <c:pt idx="4">
                  <c:v>25</c:v>
                </c:pt>
                <c:pt idx="5">
                  <c:v>25</c:v>
                </c:pt>
                <c:pt idx="6">
                  <c:v>25</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1083-4CF3-901E-E847CD7DB34D}"/>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Scores'!$B$70:$AA$70</c:f>
              <c:numCache>
                <c:formatCode>General</c:formatCode>
                <c:ptCount val="26"/>
                <c:pt idx="0">
                  <c:v>0</c:v>
                </c:pt>
                <c:pt idx="1">
                  <c:v>0</c:v>
                </c:pt>
                <c:pt idx="2">
                  <c:v>25</c:v>
                </c:pt>
                <c:pt idx="3">
                  <c:v>25</c:v>
                </c:pt>
                <c:pt idx="4">
                  <c:v>25</c:v>
                </c:pt>
                <c:pt idx="5">
                  <c:v>25</c:v>
                </c:pt>
                <c:pt idx="6">
                  <c:v>25</c:v>
                </c:pt>
                <c:pt idx="7">
                  <c:v>25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numCache>
            </c:numRef>
          </c:val>
          <c:extLst>
            <c:ext xmlns:c16="http://schemas.microsoft.com/office/drawing/2014/chart" uri="{C3380CC4-5D6E-409C-BE32-E72D297353CC}">
              <c16:uniqueId val="{00000003-1083-4CF3-901E-E847CD7DB34D}"/>
            </c:ext>
          </c:extLst>
        </c:ser>
        <c:dLbls>
          <c:showLegendKey val="0"/>
          <c:showVal val="0"/>
          <c:showCatName val="0"/>
          <c:showSerName val="0"/>
          <c:showPercent val="0"/>
          <c:showBubbleSize val="0"/>
        </c:dLbls>
        <c:gapWidth val="150"/>
        <c:overlap val="100"/>
        <c:axId val="1449226784"/>
        <c:axId val="1469666368"/>
      </c:barChart>
      <c:catAx>
        <c:axId val="144922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666368"/>
        <c:crosses val="autoZero"/>
        <c:auto val="1"/>
        <c:lblAlgn val="ctr"/>
        <c:lblOffset val="100"/>
        <c:noMultiLvlLbl val="0"/>
      </c:catAx>
      <c:valAx>
        <c:axId val="146966636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26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a:t>
            </a:r>
            <a:r>
              <a:rPr lang="en-US" baseline="0"/>
              <a:t> India- Promised Reforms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Scores'!$B$86:$AA$86</c:f>
              <c:numCache>
                <c:formatCode>General</c:formatCode>
                <c:ptCount val="26"/>
                <c:pt idx="0">
                  <c:v>0</c:v>
                </c:pt>
                <c:pt idx="1">
                  <c:v>0</c:v>
                </c:pt>
                <c:pt idx="2">
                  <c:v>0</c:v>
                </c:pt>
                <c:pt idx="3">
                  <c:v>0</c:v>
                </c:pt>
                <c:pt idx="4">
                  <c:v>0</c:v>
                </c:pt>
                <c:pt idx="5">
                  <c:v>6.25</c:v>
                </c:pt>
                <c:pt idx="6">
                  <c:v>6.25</c:v>
                </c:pt>
                <c:pt idx="7">
                  <c:v>6.25</c:v>
                </c:pt>
                <c:pt idx="8">
                  <c:v>6.25</c:v>
                </c:pt>
                <c:pt idx="9">
                  <c:v>12.5</c:v>
                </c:pt>
                <c:pt idx="10">
                  <c:v>12.5</c:v>
                </c:pt>
                <c:pt idx="11">
                  <c:v>12.5</c:v>
                </c:pt>
                <c:pt idx="12">
                  <c:v>12.5</c:v>
                </c:pt>
                <c:pt idx="13">
                  <c:v>12.5</c:v>
                </c:pt>
                <c:pt idx="14">
                  <c:v>12.5</c:v>
                </c:pt>
                <c:pt idx="15">
                  <c:v>12.5</c:v>
                </c:pt>
                <c:pt idx="16">
                  <c:v>12.5</c:v>
                </c:pt>
                <c:pt idx="17">
                  <c:v>12.5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4-8D97-4817-91BD-9C202CA66B06}"/>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Scores'!$B$126:$AA$126</c:f>
              <c:numCache>
                <c:formatCode>0.00</c:formatCode>
                <c:ptCount val="26"/>
                <c:pt idx="0">
                  <c:v>0</c:v>
                </c:pt>
                <c:pt idx="1">
                  <c:v>0</c:v>
                </c:pt>
                <c:pt idx="2">
                  <c:v>0</c:v>
                </c:pt>
                <c:pt idx="3">
                  <c:v>0</c:v>
                </c:pt>
                <c:pt idx="4">
                  <c:v>0</c:v>
                </c:pt>
                <c:pt idx="5">
                  <c:v>0.2857142857142857</c:v>
                </c:pt>
                <c:pt idx="6">
                  <c:v>0.5714285714285714</c:v>
                </c:pt>
                <c:pt idx="7">
                  <c:v>0.8571428571428571</c:v>
                </c:pt>
                <c:pt idx="8">
                  <c:v>1.1428571428571428</c:v>
                </c:pt>
                <c:pt idx="9">
                  <c:v>1.4285714285714284</c:v>
                </c:pt>
                <c:pt idx="10">
                  <c:v>1.714285714285714</c:v>
                </c:pt>
                <c:pt idx="11">
                  <c:v>1.9999999999999996</c:v>
                </c:pt>
                <c:pt idx="12">
                  <c:v>2.2857142857142851</c:v>
                </c:pt>
                <c:pt idx="13">
                  <c:v>2.5714285714285707</c:v>
                </c:pt>
                <c:pt idx="14">
                  <c:v>2.8571428571428563</c:v>
                </c:pt>
                <c:pt idx="15">
                  <c:v>3.1428571428571419</c:v>
                </c:pt>
                <c:pt idx="16">
                  <c:v>3.4285714285714275</c:v>
                </c:pt>
                <c:pt idx="17">
                  <c:v>3.7142857142857131</c:v>
                </c:pt>
                <c:pt idx="18">
                  <c:v>3.9999999999999987</c:v>
                </c:pt>
                <c:pt idx="19">
                  <c:v>4.2857142857142847</c:v>
                </c:pt>
                <c:pt idx="20">
                  <c:v>4.5714285714285703</c:v>
                </c:pt>
                <c:pt idx="21">
                  <c:v>4.8571428571428559</c:v>
                </c:pt>
                <c:pt idx="22">
                  <c:v>5.1428571428571415</c:v>
                </c:pt>
                <c:pt idx="23">
                  <c:v>5.428571428571427</c:v>
                </c:pt>
                <c:pt idx="24">
                  <c:v>5.7142857142857126</c:v>
                </c:pt>
                <c:pt idx="25">
                  <c:v>6</c:v>
                </c:pt>
              </c:numCache>
            </c:numRef>
          </c:val>
          <c:extLst>
            <c:ext xmlns:c16="http://schemas.microsoft.com/office/drawing/2014/chart" uri="{C3380CC4-5D6E-409C-BE32-E72D297353CC}">
              <c16:uniqueId val="{00000006-8D97-4817-91BD-9C202CA66B06}"/>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Scores'!$B$6:$AA$6</c:f>
              <c:numCache>
                <c:formatCode>General</c:formatCode>
                <c:ptCount val="26"/>
                <c:pt idx="0">
                  <c:v>0</c:v>
                </c:pt>
                <c:pt idx="1">
                  <c:v>0</c:v>
                </c:pt>
                <c:pt idx="2">
                  <c:v>0</c:v>
                </c:pt>
                <c:pt idx="3">
                  <c:v>0</c:v>
                </c:pt>
                <c:pt idx="4">
                  <c:v>0</c:v>
                </c:pt>
                <c:pt idx="5">
                  <c:v>0</c:v>
                </c:pt>
                <c:pt idx="6">
                  <c:v>0</c:v>
                </c:pt>
                <c:pt idx="7">
                  <c:v>0</c:v>
                </c:pt>
                <c:pt idx="8">
                  <c:v>0</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8D97-4817-91BD-9C202CA66B06}"/>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Scores'!$B$46:$AA$46</c:f>
              <c:numCache>
                <c:formatCode>General</c:formatCode>
                <c:ptCount val="26"/>
                <c:pt idx="0">
                  <c:v>0</c:v>
                </c:pt>
                <c:pt idx="1">
                  <c:v>0</c:v>
                </c:pt>
                <c:pt idx="2">
                  <c:v>0</c:v>
                </c:pt>
                <c:pt idx="3">
                  <c:v>0</c:v>
                </c:pt>
                <c:pt idx="4">
                  <c:v>0</c:v>
                </c:pt>
                <c:pt idx="5">
                  <c:v>0</c:v>
                </c:pt>
                <c:pt idx="6">
                  <c:v>0</c:v>
                </c:pt>
                <c:pt idx="7">
                  <c:v>0</c:v>
                </c:pt>
                <c:pt idx="8">
                  <c:v>0</c:v>
                </c:pt>
                <c:pt idx="9">
                  <c:v>6.5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2-8D97-4817-91BD-9C202CA66B06}"/>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Scores'!$B$105:$AA$105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12.5</c:v>
                </c:pt>
                <c:pt idx="14">
                  <c:v>12.5</c:v>
                </c:pt>
                <c:pt idx="15">
                  <c:v>12.5</c:v>
                </c:pt>
                <c:pt idx="16">
                  <c:v>12.5</c:v>
                </c:pt>
                <c:pt idx="17">
                  <c:v>12.5</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8D97-4817-91BD-9C202CA66B06}"/>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Scores'!$B$146:$AA$146</c:f>
              <c:numCache>
                <c:formatCode>General</c:formatCode>
                <c:ptCount val="26"/>
                <c:pt idx="0">
                  <c:v>0</c:v>
                </c:pt>
                <c:pt idx="1">
                  <c:v>0</c:v>
                </c:pt>
                <c:pt idx="2">
                  <c:v>0</c:v>
                </c:pt>
                <c:pt idx="3">
                  <c:v>0</c:v>
                </c:pt>
                <c:pt idx="4">
                  <c:v>0</c:v>
                </c:pt>
                <c:pt idx="5">
                  <c:v>0</c:v>
                </c:pt>
                <c:pt idx="6">
                  <c:v>0</c:v>
                </c:pt>
                <c:pt idx="7">
                  <c:v>0</c:v>
                </c:pt>
                <c:pt idx="8" formatCode="0.00">
                  <c:v>11.357142857142858</c:v>
                </c:pt>
                <c:pt idx="9" formatCode="0.00">
                  <c:v>11.071428571428571</c:v>
                </c:pt>
                <c:pt idx="10" formatCode="0.00">
                  <c:v>10.785714285714286</c:v>
                </c:pt>
                <c:pt idx="11" formatCode="0.00">
                  <c:v>10.5</c:v>
                </c:pt>
                <c:pt idx="12" formatCode="0.00">
                  <c:v>10.214285714285715</c:v>
                </c:pt>
                <c:pt idx="13" formatCode="0.00">
                  <c:v>9.9285714285714288</c:v>
                </c:pt>
                <c:pt idx="14" formatCode="0.00">
                  <c:v>9.6428571428571441</c:v>
                </c:pt>
                <c:pt idx="15" formatCode="0.00">
                  <c:v>9.3571428571428577</c:v>
                </c:pt>
                <c:pt idx="16" formatCode="0.00">
                  <c:v>9.071428571428573</c:v>
                </c:pt>
                <c:pt idx="17" formatCode="0.00">
                  <c:v>8.7857142857142865</c:v>
                </c:pt>
                <c:pt idx="18" formatCode="0.00">
                  <c:v>8.5000000000000018</c:v>
                </c:pt>
                <c:pt idx="19" formatCode="0.00">
                  <c:v>8.2142857142857153</c:v>
                </c:pt>
                <c:pt idx="20" formatCode="0.00">
                  <c:v>7.9285714285714297</c:v>
                </c:pt>
                <c:pt idx="21" formatCode="0.00">
                  <c:v>7.6428571428571441</c:v>
                </c:pt>
                <c:pt idx="22" formatCode="0.00">
                  <c:v>7.3571428571428585</c:v>
                </c:pt>
                <c:pt idx="23" formatCode="0.00">
                  <c:v>7.071428571428573</c:v>
                </c:pt>
                <c:pt idx="24" formatCode="0.00">
                  <c:v>6.7857142857142874</c:v>
                </c:pt>
                <c:pt idx="25" formatCode="0.00">
                  <c:v>6.5</c:v>
                </c:pt>
              </c:numCache>
            </c:numRef>
          </c:val>
          <c:extLst>
            <c:ext xmlns:c16="http://schemas.microsoft.com/office/drawing/2014/chart" uri="{C3380CC4-5D6E-409C-BE32-E72D297353CC}">
              <c16:uniqueId val="{00000007-8D97-4817-91BD-9C202CA66B06}"/>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Scores'!$B$25:$AA$25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8D97-4817-91BD-9C202CA66B06}"/>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Scores'!$B$65:$AA$65</c:f>
              <c:numCache>
                <c:formatCode>General</c:formatCode>
                <c:ptCount val="26"/>
                <c:pt idx="0">
                  <c:v>0</c:v>
                </c:pt>
                <c:pt idx="1">
                  <c:v>0</c:v>
                </c:pt>
                <c:pt idx="2">
                  <c:v>0</c:v>
                </c:pt>
                <c:pt idx="3">
                  <c:v>0</c:v>
                </c:pt>
                <c:pt idx="4">
                  <c:v>0</c:v>
                </c:pt>
                <c:pt idx="5">
                  <c:v>0</c:v>
                </c:pt>
                <c:pt idx="6">
                  <c:v>0</c:v>
                </c:pt>
                <c:pt idx="7">
                  <c:v>0</c:v>
                </c:pt>
                <c:pt idx="8">
                  <c:v>0</c:v>
                </c:pt>
                <c:pt idx="9">
                  <c:v>18.75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8D97-4817-91BD-9C202CA66B06}"/>
            </c:ext>
          </c:extLst>
        </c:ser>
        <c:dLbls>
          <c:showLegendKey val="0"/>
          <c:showVal val="0"/>
          <c:showCatName val="0"/>
          <c:showSerName val="0"/>
          <c:showPercent val="0"/>
          <c:showBubbleSize val="0"/>
        </c:dLbls>
        <c:gapWidth val="150"/>
        <c:overlap val="100"/>
        <c:axId val="564928511"/>
        <c:axId val="748849503"/>
      </c:barChart>
      <c:catAx>
        <c:axId val="56492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49503"/>
        <c:crosses val="autoZero"/>
        <c:auto val="1"/>
        <c:lblAlgn val="ctr"/>
        <c:lblOffset val="100"/>
        <c:noMultiLvlLbl val="0"/>
      </c:catAx>
      <c:valAx>
        <c:axId val="748849503"/>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28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Odisha,</a:t>
            </a:r>
            <a:r>
              <a:rPr lang="en-US" baseline="0"/>
              <a:t> India- Promised Reforms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Scores'!$B$87:$AA$87</c:f>
              <c:numCache>
                <c:formatCode>General</c:formatCode>
                <c:ptCount val="26"/>
                <c:pt idx="0">
                  <c:v>0</c:v>
                </c:pt>
                <c:pt idx="1">
                  <c:v>0</c:v>
                </c:pt>
                <c:pt idx="2">
                  <c:v>0</c:v>
                </c:pt>
                <c:pt idx="3">
                  <c:v>0</c:v>
                </c:pt>
                <c:pt idx="4">
                  <c:v>0</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4-67A9-4F54-B4B3-2C02327C8EC8}"/>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Scores'!$B$127:$AA$127</c:f>
              <c:numCache>
                <c:formatCode>0.00</c:formatCode>
                <c:ptCount val="26"/>
                <c:pt idx="0">
                  <c:v>0</c:v>
                </c:pt>
                <c:pt idx="1">
                  <c:v>0</c:v>
                </c:pt>
                <c:pt idx="2">
                  <c:v>0</c:v>
                </c:pt>
                <c:pt idx="3">
                  <c:v>0</c:v>
                </c:pt>
                <c:pt idx="4">
                  <c:v>0</c:v>
                </c:pt>
                <c:pt idx="5">
                  <c:v>0</c:v>
                </c:pt>
                <c:pt idx="6">
                  <c:v>0</c:v>
                </c:pt>
                <c:pt idx="7">
                  <c:v>0</c:v>
                </c:pt>
                <c:pt idx="8">
                  <c:v>12.85</c:v>
                </c:pt>
                <c:pt idx="9">
                  <c:v>13.2</c:v>
                </c:pt>
                <c:pt idx="10">
                  <c:v>13.55</c:v>
                </c:pt>
                <c:pt idx="11">
                  <c:v>13.9</c:v>
                </c:pt>
                <c:pt idx="12">
                  <c:v>14.25</c:v>
                </c:pt>
                <c:pt idx="13">
                  <c:v>14.6</c:v>
                </c:pt>
                <c:pt idx="14">
                  <c:v>14.95</c:v>
                </c:pt>
                <c:pt idx="15">
                  <c:v>15.3</c:v>
                </c:pt>
                <c:pt idx="16">
                  <c:v>15.65</c:v>
                </c:pt>
                <c:pt idx="17">
                  <c:v>16</c:v>
                </c:pt>
                <c:pt idx="18">
                  <c:v>16.350000000000001</c:v>
                </c:pt>
                <c:pt idx="19">
                  <c:v>16.7</c:v>
                </c:pt>
                <c:pt idx="20">
                  <c:v>17.05</c:v>
                </c:pt>
                <c:pt idx="21">
                  <c:v>17.399999999999999</c:v>
                </c:pt>
                <c:pt idx="22">
                  <c:v>17.75</c:v>
                </c:pt>
                <c:pt idx="23">
                  <c:v>18.099999999999998</c:v>
                </c:pt>
                <c:pt idx="24">
                  <c:v>18.45</c:v>
                </c:pt>
                <c:pt idx="25">
                  <c:v>6.3</c:v>
                </c:pt>
              </c:numCache>
            </c:numRef>
          </c:val>
          <c:extLst>
            <c:ext xmlns:c16="http://schemas.microsoft.com/office/drawing/2014/chart" uri="{C3380CC4-5D6E-409C-BE32-E72D297353CC}">
              <c16:uniqueId val="{00000006-67A9-4F54-B4B3-2C02327C8EC8}"/>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Scores'!$B$7:$AA$7</c:f>
              <c:numCache>
                <c:formatCode>General</c:formatCode>
                <c:ptCount val="26"/>
                <c:pt idx="0">
                  <c:v>0</c:v>
                </c:pt>
                <c:pt idx="1">
                  <c:v>0</c:v>
                </c:pt>
                <c:pt idx="2">
                  <c:v>0</c:v>
                </c:pt>
                <c:pt idx="3">
                  <c:v>0</c:v>
                </c:pt>
                <c:pt idx="4">
                  <c:v>0</c:v>
                </c:pt>
                <c:pt idx="5">
                  <c:v>0</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67A9-4F54-B4B3-2C02327C8EC8}"/>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Scores'!$B$47:$AA$47</c:f>
              <c:numCache>
                <c:formatCode>General</c:formatCode>
                <c:ptCount val="26"/>
                <c:pt idx="0">
                  <c:v>0</c:v>
                </c:pt>
                <c:pt idx="1">
                  <c:v>0</c:v>
                </c:pt>
                <c:pt idx="2">
                  <c:v>0</c:v>
                </c:pt>
                <c:pt idx="3">
                  <c:v>0</c:v>
                </c:pt>
                <c:pt idx="4">
                  <c:v>0</c:v>
                </c:pt>
                <c:pt idx="5">
                  <c:v>0</c:v>
                </c:pt>
                <c:pt idx="6">
                  <c:v>18.75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2-67A9-4F54-B4B3-2C02327C8EC8}"/>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Scores'!$B$106:$AA$106</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12.5</c:v>
                </c:pt>
                <c:pt idx="14">
                  <c:v>12.5</c:v>
                </c:pt>
                <c:pt idx="15">
                  <c:v>12.5</c:v>
                </c:pt>
                <c:pt idx="16">
                  <c:v>12.5</c:v>
                </c:pt>
                <c:pt idx="17">
                  <c:v>12.5</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67A9-4F54-B4B3-2C02327C8EC8}"/>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Scores'!$B$147:$AA$147</c:f>
              <c:numCache>
                <c:formatCode>General</c:formatCode>
                <c:ptCount val="26"/>
                <c:pt idx="0">
                  <c:v>0</c:v>
                </c:pt>
                <c:pt idx="1">
                  <c:v>0</c:v>
                </c:pt>
                <c:pt idx="2">
                  <c:v>0</c:v>
                </c:pt>
                <c:pt idx="3">
                  <c:v>0</c:v>
                </c:pt>
                <c:pt idx="4">
                  <c:v>0</c:v>
                </c:pt>
                <c:pt idx="5">
                  <c:v>0</c:v>
                </c:pt>
                <c:pt idx="6">
                  <c:v>0</c:v>
                </c:pt>
                <c:pt idx="7">
                  <c:v>0</c:v>
                </c:pt>
                <c:pt idx="8" formatCode="0.00">
                  <c:v>12.15</c:v>
                </c:pt>
                <c:pt idx="9" formatCode="0.00">
                  <c:v>11.8</c:v>
                </c:pt>
                <c:pt idx="10" formatCode="0.00">
                  <c:v>11.45</c:v>
                </c:pt>
                <c:pt idx="11" formatCode="0.00">
                  <c:v>11.1</c:v>
                </c:pt>
                <c:pt idx="12" formatCode="0.00">
                  <c:v>10.75</c:v>
                </c:pt>
                <c:pt idx="13" formatCode="0.00">
                  <c:v>10.4</c:v>
                </c:pt>
                <c:pt idx="14" formatCode="0.00">
                  <c:v>10.050000000000001</c:v>
                </c:pt>
                <c:pt idx="15" formatCode="0.00">
                  <c:v>9.6999999999999993</c:v>
                </c:pt>
                <c:pt idx="16" formatCode="0.00">
                  <c:v>9.35</c:v>
                </c:pt>
                <c:pt idx="17" formatCode="0.00">
                  <c:v>9</c:v>
                </c:pt>
                <c:pt idx="18" formatCode="0.00">
                  <c:v>8.6499999999999986</c:v>
                </c:pt>
                <c:pt idx="19" formatCode="0.00">
                  <c:v>8.3000000000000007</c:v>
                </c:pt>
                <c:pt idx="20" formatCode="0.00">
                  <c:v>7.9499999999999993</c:v>
                </c:pt>
                <c:pt idx="21" formatCode="0.00">
                  <c:v>7.6000000000000014</c:v>
                </c:pt>
                <c:pt idx="22" formatCode="0.00">
                  <c:v>7.25</c:v>
                </c:pt>
                <c:pt idx="23" formatCode="0.00">
                  <c:v>6.9000000000000021</c:v>
                </c:pt>
                <c:pt idx="24" formatCode="0.00">
                  <c:v>6.5500000000000007</c:v>
                </c:pt>
                <c:pt idx="25" formatCode="0.00">
                  <c:v>18.7</c:v>
                </c:pt>
              </c:numCache>
            </c:numRef>
          </c:val>
          <c:extLst>
            <c:ext xmlns:c16="http://schemas.microsoft.com/office/drawing/2014/chart" uri="{C3380CC4-5D6E-409C-BE32-E72D297353CC}">
              <c16:uniqueId val="{00000007-67A9-4F54-B4B3-2C02327C8EC8}"/>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Scores'!$B$26:$AA$26</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67A9-4F54-B4B3-2C02327C8EC8}"/>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Scores'!$B$122:$AA$122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Scores'!$B$66:$AA$66</c:f>
              <c:numCache>
                <c:formatCode>General</c:formatCode>
                <c:ptCount val="26"/>
                <c:pt idx="0">
                  <c:v>0</c:v>
                </c:pt>
                <c:pt idx="1">
                  <c:v>0</c:v>
                </c:pt>
                <c:pt idx="2">
                  <c:v>0</c:v>
                </c:pt>
                <c:pt idx="3">
                  <c:v>0</c:v>
                </c:pt>
                <c:pt idx="4">
                  <c:v>0</c:v>
                </c:pt>
                <c:pt idx="5">
                  <c:v>0</c:v>
                </c:pt>
                <c:pt idx="6">
                  <c:v>6.5</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67A9-4F54-B4B3-2C02327C8EC8}"/>
            </c:ext>
          </c:extLst>
        </c:ser>
        <c:dLbls>
          <c:showLegendKey val="0"/>
          <c:showVal val="0"/>
          <c:showCatName val="0"/>
          <c:showSerName val="0"/>
          <c:showPercent val="0"/>
          <c:showBubbleSize val="0"/>
        </c:dLbls>
        <c:gapWidth val="150"/>
        <c:overlap val="100"/>
        <c:axId val="1161980527"/>
        <c:axId val="712993439"/>
      </c:barChart>
      <c:catAx>
        <c:axId val="116198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993439"/>
        <c:crosses val="autoZero"/>
        <c:auto val="1"/>
        <c:lblAlgn val="ctr"/>
        <c:lblOffset val="100"/>
        <c:noMultiLvlLbl val="0"/>
      </c:catAx>
      <c:valAx>
        <c:axId val="712993439"/>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980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Rajasthan, India- Promised Reforms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Scores'!$B$88:$AA$88</c:f>
              <c:numCache>
                <c:formatCode>General</c:formatCode>
                <c:ptCount val="26"/>
                <c:pt idx="0">
                  <c:v>0</c:v>
                </c:pt>
                <c:pt idx="1">
                  <c:v>0</c:v>
                </c:pt>
                <c:pt idx="2">
                  <c:v>0</c:v>
                </c:pt>
                <c:pt idx="3">
                  <c:v>0</c:v>
                </c:pt>
                <c:pt idx="4">
                  <c:v>0</c:v>
                </c:pt>
                <c:pt idx="5">
                  <c:v>6.25</c:v>
                </c:pt>
                <c:pt idx="6">
                  <c:v>6.25</c:v>
                </c:pt>
                <c:pt idx="7">
                  <c:v>6.25</c:v>
                </c:pt>
                <c:pt idx="8">
                  <c:v>6.25</c:v>
                </c:pt>
                <c:pt idx="9">
                  <c:v>6.25</c:v>
                </c:pt>
                <c:pt idx="10">
                  <c:v>6.25</c:v>
                </c:pt>
                <c:pt idx="11">
                  <c:v>6.25</c:v>
                </c:pt>
                <c:pt idx="12">
                  <c:v>6.25</c:v>
                </c:pt>
                <c:pt idx="13">
                  <c:v>6.25</c:v>
                </c:pt>
                <c:pt idx="14">
                  <c:v>6.25</c:v>
                </c:pt>
                <c:pt idx="15">
                  <c:v>6.25</c:v>
                </c:pt>
                <c:pt idx="16">
                  <c:v>6.25</c:v>
                </c:pt>
                <c:pt idx="17">
                  <c:v>6.25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4-3784-4479-92AC-FF5F3C0FC117}"/>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Scores'!$B$128:$AA$128</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0.51250000000000007</c:v>
                </c:pt>
                <c:pt idx="15">
                  <c:v>1.0250000000000001</c:v>
                </c:pt>
                <c:pt idx="16">
                  <c:v>1.5375000000000001</c:v>
                </c:pt>
                <c:pt idx="17">
                  <c:v>2.0500000000000003</c:v>
                </c:pt>
                <c:pt idx="18">
                  <c:v>2.5625000000000004</c:v>
                </c:pt>
                <c:pt idx="19">
                  <c:v>3.0750000000000006</c:v>
                </c:pt>
                <c:pt idx="20">
                  <c:v>3.5875000000000008</c:v>
                </c:pt>
                <c:pt idx="21">
                  <c:v>4.1000000000000005</c:v>
                </c:pt>
                <c:pt idx="22">
                  <c:v>4.6125000000000007</c:v>
                </c:pt>
                <c:pt idx="23">
                  <c:v>5.1250000000000009</c:v>
                </c:pt>
                <c:pt idx="24">
                  <c:v>5.6375000000000011</c:v>
                </c:pt>
                <c:pt idx="25">
                  <c:v>6.15</c:v>
                </c:pt>
              </c:numCache>
            </c:numRef>
          </c:val>
          <c:extLst>
            <c:ext xmlns:c16="http://schemas.microsoft.com/office/drawing/2014/chart" uri="{C3380CC4-5D6E-409C-BE32-E72D297353CC}">
              <c16:uniqueId val="{00000006-3784-4479-92AC-FF5F3C0FC117}"/>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Scores'!$B$8:$AA$8</c:f>
              <c:numCache>
                <c:formatCode>General</c:formatCode>
                <c:ptCount val="26"/>
                <c:pt idx="0">
                  <c:v>0</c:v>
                </c:pt>
                <c:pt idx="1">
                  <c:v>0</c:v>
                </c:pt>
                <c:pt idx="2">
                  <c:v>0</c:v>
                </c:pt>
                <c:pt idx="3">
                  <c:v>0</c:v>
                </c:pt>
                <c:pt idx="4">
                  <c:v>0</c:v>
                </c:pt>
                <c:pt idx="5">
                  <c:v>0</c:v>
                </c:pt>
                <c:pt idx="6">
                  <c:v>0</c:v>
                </c:pt>
                <c:pt idx="7">
                  <c:v>0</c:v>
                </c:pt>
                <c:pt idx="8">
                  <c:v>0</c:v>
                </c:pt>
                <c:pt idx="9">
                  <c:v>0</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3784-4479-92AC-FF5F3C0FC117}"/>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Scores'!$B$48:$AA$48</c:f>
              <c:numCache>
                <c:formatCode>General</c:formatCode>
                <c:ptCount val="26"/>
                <c:pt idx="0">
                  <c:v>0</c:v>
                </c:pt>
                <c:pt idx="1">
                  <c:v>0</c:v>
                </c:pt>
                <c:pt idx="2">
                  <c:v>0</c:v>
                </c:pt>
                <c:pt idx="3">
                  <c:v>0</c:v>
                </c:pt>
                <c:pt idx="4">
                  <c:v>0</c:v>
                </c:pt>
                <c:pt idx="5">
                  <c:v>0</c:v>
                </c:pt>
                <c:pt idx="6">
                  <c:v>0</c:v>
                </c:pt>
                <c:pt idx="7">
                  <c:v>0</c:v>
                </c:pt>
                <c:pt idx="8">
                  <c:v>0</c:v>
                </c:pt>
                <c:pt idx="9">
                  <c:v>0</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2-3784-4479-92AC-FF5F3C0FC117}"/>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Scores'!$B$107:$AA$107</c:f>
              <c:numCache>
                <c:formatCode>General</c:formatCode>
                <c:ptCount val="26"/>
                <c:pt idx="0">
                  <c:v>0</c:v>
                </c:pt>
                <c:pt idx="1">
                  <c:v>0</c:v>
                </c:pt>
                <c:pt idx="2">
                  <c:v>0</c:v>
                </c:pt>
                <c:pt idx="3">
                  <c:v>0</c:v>
                </c:pt>
                <c:pt idx="4">
                  <c:v>0</c:v>
                </c:pt>
                <c:pt idx="5">
                  <c:v>0</c:v>
                </c:pt>
                <c:pt idx="6">
                  <c:v>0</c:v>
                </c:pt>
                <c:pt idx="7">
                  <c:v>0</c:v>
                </c:pt>
                <c:pt idx="8">
                  <c:v>0</c:v>
                </c:pt>
                <c:pt idx="9">
                  <c:v>0</c:v>
                </c:pt>
                <c:pt idx="10">
                  <c:v>12.5</c:v>
                </c:pt>
                <c:pt idx="11">
                  <c:v>12.5</c:v>
                </c:pt>
                <c:pt idx="12">
                  <c:v>12.5</c:v>
                </c:pt>
                <c:pt idx="13">
                  <c:v>18.75</c:v>
                </c:pt>
                <c:pt idx="14">
                  <c:v>18.75</c:v>
                </c:pt>
                <c:pt idx="15">
                  <c:v>18.75</c:v>
                </c:pt>
                <c:pt idx="16">
                  <c:v>18.75</c:v>
                </c:pt>
                <c:pt idx="17">
                  <c:v>18.75</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3784-4479-92AC-FF5F3C0FC117}"/>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Scores'!$B$148:$AA$148</c:f>
              <c:numCache>
                <c:formatCode>General</c:formatCode>
                <c:ptCount val="26"/>
                <c:pt idx="0">
                  <c:v>0</c:v>
                </c:pt>
                <c:pt idx="1">
                  <c:v>0</c:v>
                </c:pt>
                <c:pt idx="2">
                  <c:v>0</c:v>
                </c:pt>
                <c:pt idx="3">
                  <c:v>0</c:v>
                </c:pt>
                <c:pt idx="4">
                  <c:v>0</c:v>
                </c:pt>
                <c:pt idx="5">
                  <c:v>0</c:v>
                </c:pt>
                <c:pt idx="6">
                  <c:v>0</c:v>
                </c:pt>
                <c:pt idx="7">
                  <c:v>0</c:v>
                </c:pt>
                <c:pt idx="8">
                  <c:v>0</c:v>
                </c:pt>
                <c:pt idx="9" formatCode="0.00">
                  <c:v>12.5</c:v>
                </c:pt>
                <c:pt idx="10" formatCode="0.00">
                  <c:v>12.5</c:v>
                </c:pt>
                <c:pt idx="11" formatCode="0.00">
                  <c:v>12.5</c:v>
                </c:pt>
                <c:pt idx="12" formatCode="0.00">
                  <c:v>12.5</c:v>
                </c:pt>
                <c:pt idx="13" formatCode="0.00">
                  <c:v>12.5</c:v>
                </c:pt>
                <c:pt idx="14" formatCode="0.00">
                  <c:v>11.987500000000001</c:v>
                </c:pt>
                <c:pt idx="15" formatCode="0.00">
                  <c:v>11.475</c:v>
                </c:pt>
                <c:pt idx="16" formatCode="0.00">
                  <c:v>10.9625</c:v>
                </c:pt>
                <c:pt idx="17" formatCode="0.00">
                  <c:v>10.45</c:v>
                </c:pt>
                <c:pt idx="18" formatCode="0.00">
                  <c:v>9.9375</c:v>
                </c:pt>
                <c:pt idx="19" formatCode="0.00">
                  <c:v>9.4249999999999989</c:v>
                </c:pt>
                <c:pt idx="20" formatCode="0.00">
                  <c:v>8.9124999999999996</c:v>
                </c:pt>
                <c:pt idx="21" formatCode="0.00">
                  <c:v>8.3999999999999986</c:v>
                </c:pt>
                <c:pt idx="22" formatCode="0.00">
                  <c:v>7.8874999999999993</c:v>
                </c:pt>
                <c:pt idx="23" formatCode="0.00">
                  <c:v>7.3749999999999991</c:v>
                </c:pt>
                <c:pt idx="24" formatCode="0.00">
                  <c:v>6.8624999999999989</c:v>
                </c:pt>
                <c:pt idx="25" formatCode="0.00">
                  <c:v>6.35</c:v>
                </c:pt>
              </c:numCache>
            </c:numRef>
          </c:val>
          <c:extLst>
            <c:ext xmlns:c16="http://schemas.microsoft.com/office/drawing/2014/chart" uri="{C3380CC4-5D6E-409C-BE32-E72D297353CC}">
              <c16:uniqueId val="{00000007-3784-4479-92AC-FF5F3C0FC117}"/>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Scores'!$B$27:$AA$27</c:f>
              <c:numCache>
                <c:formatCode>General</c:formatCode>
                <c:ptCount val="26"/>
                <c:pt idx="0">
                  <c:v>0</c:v>
                </c:pt>
                <c:pt idx="1">
                  <c:v>0</c:v>
                </c:pt>
                <c:pt idx="2">
                  <c:v>0</c:v>
                </c:pt>
                <c:pt idx="3">
                  <c:v>0</c:v>
                </c:pt>
                <c:pt idx="4">
                  <c:v>0</c:v>
                </c:pt>
                <c:pt idx="5">
                  <c:v>0</c:v>
                </c:pt>
                <c:pt idx="6">
                  <c:v>0</c:v>
                </c:pt>
                <c:pt idx="7">
                  <c:v>0</c:v>
                </c:pt>
                <c:pt idx="8">
                  <c:v>25</c:v>
                </c:pt>
                <c:pt idx="9">
                  <c:v>25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3784-4479-92AC-FF5F3C0FC117}"/>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Scores'!$B$67:$AA$67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3784-4479-92AC-FF5F3C0FC117}"/>
            </c:ext>
          </c:extLst>
        </c:ser>
        <c:dLbls>
          <c:showLegendKey val="0"/>
          <c:showVal val="0"/>
          <c:showCatName val="0"/>
          <c:showSerName val="0"/>
          <c:showPercent val="0"/>
          <c:showBubbleSize val="0"/>
        </c:dLbls>
        <c:gapWidth val="150"/>
        <c:overlap val="100"/>
        <c:axId val="571152047"/>
        <c:axId val="748897023"/>
      </c:barChart>
      <c:catAx>
        <c:axId val="57115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897023"/>
        <c:crosses val="autoZero"/>
        <c:auto val="1"/>
        <c:lblAlgn val="ctr"/>
        <c:lblOffset val="100"/>
        <c:noMultiLvlLbl val="0"/>
      </c:catAx>
      <c:valAx>
        <c:axId val="748897023"/>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152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Uganda-  Reforms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Scores'!$B$97:$AA$97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6.25</c:v>
                </c:pt>
                <c:pt idx="12">
                  <c:v>6.25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4-5770-4379-90DD-4D77A88D8E28}"/>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Scores'!$B$137:$AA$137</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15.714002991538267</c:v>
                </c:pt>
                <c:pt idx="14">
                  <c:v>14.156354663651339</c:v>
                </c:pt>
                <c:pt idx="15">
                  <c:v>25</c:v>
                </c:pt>
                <c:pt idx="16">
                  <c:v>25</c:v>
                </c:pt>
                <c:pt idx="17">
                  <c:v>25</c:v>
                </c:pt>
                <c:pt idx="18">
                  <c:v>25</c:v>
                </c:pt>
                <c:pt idx="19">
                  <c:v>25</c:v>
                </c:pt>
                <c:pt idx="20">
                  <c:v>25</c:v>
                </c:pt>
                <c:pt idx="21">
                  <c:v>25</c:v>
                </c:pt>
                <c:pt idx="22">
                  <c:v>25</c:v>
                </c:pt>
                <c:pt idx="23">
                  <c:v>21</c:v>
                </c:pt>
                <c:pt idx="24">
                  <c:v>21</c:v>
                </c:pt>
                <c:pt idx="25">
                  <c:v>21</c:v>
                </c:pt>
              </c:numCache>
            </c:numRef>
          </c:val>
          <c:extLst>
            <c:ext xmlns:c16="http://schemas.microsoft.com/office/drawing/2014/chart" uri="{C3380CC4-5D6E-409C-BE32-E72D297353CC}">
              <c16:uniqueId val="{00000006-5770-4379-90DD-4D77A88D8E28}"/>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Scores'!$B$17:$AA$17</c:f>
              <c:numCache>
                <c:formatCode>General</c:formatCode>
                <c:ptCount val="26"/>
                <c:pt idx="0">
                  <c:v>0</c:v>
                </c:pt>
                <c:pt idx="1">
                  <c:v>0</c:v>
                </c:pt>
                <c:pt idx="2">
                  <c:v>0</c:v>
                </c:pt>
                <c:pt idx="3">
                  <c:v>0</c:v>
                </c:pt>
                <c:pt idx="4">
                  <c:v>0</c:v>
                </c:pt>
                <c:pt idx="5">
                  <c:v>0</c:v>
                </c:pt>
                <c:pt idx="6">
                  <c:v>0</c:v>
                </c:pt>
                <c:pt idx="7">
                  <c:v>0</c:v>
                </c:pt>
                <c:pt idx="8">
                  <c:v>0</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5770-4379-90DD-4D77A88D8E28}"/>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Scores'!$B$57:$AA$57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2-5770-4379-90DD-4D77A88D8E28}"/>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Scores'!$B$116:$AA$116</c:f>
              <c:numCache>
                <c:formatCode>General</c:formatCode>
                <c:ptCount val="26"/>
                <c:pt idx="0">
                  <c:v>0</c:v>
                </c:pt>
                <c:pt idx="1">
                  <c:v>0</c:v>
                </c:pt>
                <c:pt idx="2">
                  <c:v>0</c:v>
                </c:pt>
                <c:pt idx="3">
                  <c:v>0</c:v>
                </c:pt>
                <c:pt idx="4">
                  <c:v>0</c:v>
                </c:pt>
                <c:pt idx="5">
                  <c:v>0</c:v>
                </c:pt>
                <c:pt idx="6">
                  <c:v>0</c:v>
                </c:pt>
                <c:pt idx="7">
                  <c:v>0</c:v>
                </c:pt>
                <c:pt idx="8">
                  <c:v>0</c:v>
                </c:pt>
                <c:pt idx="9">
                  <c:v>12.5</c:v>
                </c:pt>
                <c:pt idx="10">
                  <c:v>12.5</c:v>
                </c:pt>
                <c:pt idx="11">
                  <c:v>6.25</c:v>
                </c:pt>
                <c:pt idx="12">
                  <c:v>6.25</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5770-4379-90DD-4D77A88D8E28}"/>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Scores'!$B$157:$AA$157</c:f>
              <c:numCache>
                <c:formatCode>General</c:formatCode>
                <c:ptCount val="26"/>
                <c:pt idx="0">
                  <c:v>0</c:v>
                </c:pt>
                <c:pt idx="1">
                  <c:v>0</c:v>
                </c:pt>
                <c:pt idx="2">
                  <c:v>0</c:v>
                </c:pt>
                <c:pt idx="3">
                  <c:v>0</c:v>
                </c:pt>
                <c:pt idx="4">
                  <c:v>0</c:v>
                </c:pt>
                <c:pt idx="5">
                  <c:v>0</c:v>
                </c:pt>
                <c:pt idx="6">
                  <c:v>0</c:v>
                </c:pt>
                <c:pt idx="7">
                  <c:v>0</c:v>
                </c:pt>
                <c:pt idx="8">
                  <c:v>0</c:v>
                </c:pt>
                <c:pt idx="9" formatCode="0.00">
                  <c:v>25</c:v>
                </c:pt>
                <c:pt idx="10" formatCode="0.00">
                  <c:v>25</c:v>
                </c:pt>
                <c:pt idx="11" formatCode="0.00">
                  <c:v>25</c:v>
                </c:pt>
                <c:pt idx="12" formatCode="0.00">
                  <c:v>25</c:v>
                </c:pt>
                <c:pt idx="13" formatCode="0.00">
                  <c:v>9.2859970084617327</c:v>
                </c:pt>
                <c:pt idx="14" formatCode="0.00">
                  <c:v>10.843645336348661</c:v>
                </c:pt>
                <c:pt idx="15" formatCode="0.00">
                  <c:v>0</c:v>
                </c:pt>
                <c:pt idx="16" formatCode="0.00">
                  <c:v>0</c:v>
                </c:pt>
                <c:pt idx="17" formatCode="0.00">
                  <c:v>0</c:v>
                </c:pt>
                <c:pt idx="18" formatCode="0.00">
                  <c:v>0</c:v>
                </c:pt>
                <c:pt idx="19" formatCode="0.00">
                  <c:v>0</c:v>
                </c:pt>
                <c:pt idx="20" formatCode="0.00">
                  <c:v>0</c:v>
                </c:pt>
                <c:pt idx="21" formatCode="0.00">
                  <c:v>0</c:v>
                </c:pt>
                <c:pt idx="22" formatCode="0.00">
                  <c:v>0</c:v>
                </c:pt>
                <c:pt idx="23" formatCode="0.00">
                  <c:v>4</c:v>
                </c:pt>
                <c:pt idx="24" formatCode="0.00">
                  <c:v>4</c:v>
                </c:pt>
                <c:pt idx="25" formatCode="0.00">
                  <c:v>4</c:v>
                </c:pt>
              </c:numCache>
            </c:numRef>
          </c:val>
          <c:extLst>
            <c:ext xmlns:c16="http://schemas.microsoft.com/office/drawing/2014/chart" uri="{C3380CC4-5D6E-409C-BE32-E72D297353CC}">
              <c16:uniqueId val="{00000007-5770-4379-90DD-4D77A88D8E28}"/>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Scores'!$B$36:$AA$36</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5770-4379-90DD-4D77A88D8E28}"/>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Scores'!$B$76:$AA$76</c:f>
              <c:numCache>
                <c:formatCode>General</c:formatCode>
                <c:ptCount val="26"/>
                <c:pt idx="0">
                  <c:v>0</c:v>
                </c:pt>
                <c:pt idx="1">
                  <c:v>0</c:v>
                </c:pt>
                <c:pt idx="2">
                  <c:v>0</c:v>
                </c:pt>
                <c:pt idx="3">
                  <c:v>0</c:v>
                </c:pt>
                <c:pt idx="4">
                  <c:v>0</c:v>
                </c:pt>
                <c:pt idx="5">
                  <c:v>0</c:v>
                </c:pt>
                <c:pt idx="6">
                  <c:v>0</c:v>
                </c:pt>
                <c:pt idx="7">
                  <c:v>0</c:v>
                </c:pt>
                <c:pt idx="8">
                  <c:v>0</c:v>
                </c:pt>
                <c:pt idx="9">
                  <c:v>25</c:v>
                </c:pt>
                <c:pt idx="10">
                  <c:v>25</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5770-4379-90DD-4D77A88D8E28}"/>
            </c:ext>
          </c:extLst>
        </c:ser>
        <c:dLbls>
          <c:showLegendKey val="0"/>
          <c:showVal val="0"/>
          <c:showCatName val="0"/>
          <c:showSerName val="0"/>
          <c:showPercent val="0"/>
          <c:showBubbleSize val="0"/>
        </c:dLbls>
        <c:gapWidth val="150"/>
        <c:overlap val="100"/>
        <c:axId val="296146528"/>
        <c:axId val="293769360"/>
      </c:barChart>
      <c:catAx>
        <c:axId val="29614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69360"/>
        <c:crosses val="autoZero"/>
        <c:auto val="1"/>
        <c:lblAlgn val="ctr"/>
        <c:lblOffset val="100"/>
        <c:noMultiLvlLbl val="0"/>
      </c:catAx>
      <c:valAx>
        <c:axId val="29376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4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Senegal- Promised Reforms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Scores'!$B$94:$AA$94</c:f>
              <c:numCache>
                <c:formatCode>General</c:formatCode>
                <c:ptCount val="26"/>
                <c:pt idx="0">
                  <c:v>0</c:v>
                </c:pt>
                <c:pt idx="1">
                  <c:v>0</c:v>
                </c:pt>
                <c:pt idx="2">
                  <c:v>0</c:v>
                </c:pt>
                <c:pt idx="3">
                  <c:v>0</c:v>
                </c:pt>
                <c:pt idx="4">
                  <c:v>0</c:v>
                </c:pt>
                <c:pt idx="5">
                  <c:v>0</c:v>
                </c:pt>
                <c:pt idx="6">
                  <c:v>0</c:v>
                </c:pt>
                <c:pt idx="7">
                  <c:v>6.25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18.75</c:v>
                </c:pt>
                <c:pt idx="23">
                  <c:v>18.75</c:v>
                </c:pt>
                <c:pt idx="24">
                  <c:v>18.75</c:v>
                </c:pt>
                <c:pt idx="25">
                  <c:v>18.75</c:v>
                </c:pt>
              </c:numCache>
            </c:numRef>
          </c:val>
          <c:extLst>
            <c:ext xmlns:c16="http://schemas.microsoft.com/office/drawing/2014/chart" uri="{C3380CC4-5D6E-409C-BE32-E72D297353CC}">
              <c16:uniqueId val="{00000004-5D99-4681-8938-7668F6FBCEB2}"/>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Scores'!$B$134:$AA$134</c:f>
              <c:numCache>
                <c:formatCode>0.00</c:formatCode>
                <c:ptCount val="26"/>
                <c:pt idx="0">
                  <c:v>0</c:v>
                </c:pt>
                <c:pt idx="1">
                  <c:v>0</c:v>
                </c:pt>
                <c:pt idx="2">
                  <c:v>0</c:v>
                </c:pt>
                <c:pt idx="3">
                  <c:v>0</c:v>
                </c:pt>
                <c:pt idx="4">
                  <c:v>0</c:v>
                </c:pt>
                <c:pt idx="5">
                  <c:v>0</c:v>
                </c:pt>
                <c:pt idx="6">
                  <c:v>0</c:v>
                </c:pt>
                <c:pt idx="7">
                  <c:v>3.5000000000000004</c:v>
                </c:pt>
                <c:pt idx="8">
                  <c:v>3.5000000000000004</c:v>
                </c:pt>
                <c:pt idx="9">
                  <c:v>20.833333333333332</c:v>
                </c:pt>
                <c:pt idx="10">
                  <c:v>20.825581395348838</c:v>
                </c:pt>
                <c:pt idx="11">
                  <c:v>20.825581395348838</c:v>
                </c:pt>
                <c:pt idx="12">
                  <c:v>1.4989293361884368</c:v>
                </c:pt>
                <c:pt idx="13">
                  <c:v>1.4989293361884368</c:v>
                </c:pt>
                <c:pt idx="14">
                  <c:v>1.4957264957264957</c:v>
                </c:pt>
                <c:pt idx="15">
                  <c:v>2.5945378151260505</c:v>
                </c:pt>
                <c:pt idx="16">
                  <c:v>2.6894599303135882</c:v>
                </c:pt>
                <c:pt idx="17">
                  <c:v>2.3284313725490198</c:v>
                </c:pt>
                <c:pt idx="18">
                  <c:v>2.1322513812154695</c:v>
                </c:pt>
                <c:pt idx="19">
                  <c:v>2.1293103448275863</c:v>
                </c:pt>
                <c:pt idx="20">
                  <c:v>1.9177018633540373</c:v>
                </c:pt>
                <c:pt idx="21">
                  <c:v>3.2766350210970465</c:v>
                </c:pt>
                <c:pt idx="22">
                  <c:v>2.465420081967213</c:v>
                </c:pt>
                <c:pt idx="23">
                  <c:v>3.5389282103134483</c:v>
                </c:pt>
                <c:pt idx="24">
                  <c:v>5.4545454545454541</c:v>
                </c:pt>
                <c:pt idx="25">
                  <c:v>0</c:v>
                </c:pt>
              </c:numCache>
            </c:numRef>
          </c:val>
          <c:extLst>
            <c:ext xmlns:c16="http://schemas.microsoft.com/office/drawing/2014/chart" uri="{C3380CC4-5D6E-409C-BE32-E72D297353CC}">
              <c16:uniqueId val="{00000006-5D99-4681-8938-7668F6FBCEB2}"/>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Scores'!$B$14:$AA$14</c:f>
              <c:numCache>
                <c:formatCode>General</c:formatCode>
                <c:ptCount val="26"/>
                <c:pt idx="0">
                  <c:v>0</c:v>
                </c:pt>
                <c:pt idx="1">
                  <c:v>0</c:v>
                </c:pt>
                <c:pt idx="2">
                  <c:v>0</c:v>
                </c:pt>
                <c:pt idx="3">
                  <c:v>0</c:v>
                </c:pt>
                <c:pt idx="4">
                  <c:v>0</c:v>
                </c:pt>
                <c:pt idx="5">
                  <c:v>0</c:v>
                </c:pt>
                <c:pt idx="6">
                  <c:v>0</c:v>
                </c:pt>
                <c:pt idx="7">
                  <c:v>0</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5D99-4681-8938-7668F6FBCEB2}"/>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Scores'!$B$54:$AA$54</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2-5D99-4681-8938-7668F6FBCEB2}"/>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Scores'!$B$113:$AA$113</c:f>
              <c:numCache>
                <c:formatCode>General</c:formatCode>
                <c:ptCount val="26"/>
                <c:pt idx="0">
                  <c:v>0</c:v>
                </c:pt>
                <c:pt idx="1">
                  <c:v>0</c:v>
                </c:pt>
                <c:pt idx="2">
                  <c:v>0</c:v>
                </c:pt>
                <c:pt idx="3">
                  <c:v>0</c:v>
                </c:pt>
                <c:pt idx="4">
                  <c:v>0</c:v>
                </c:pt>
                <c:pt idx="5">
                  <c:v>0</c:v>
                </c:pt>
                <c:pt idx="6">
                  <c:v>0</c:v>
                </c:pt>
                <c:pt idx="7">
                  <c:v>12.5</c:v>
                </c:pt>
                <c:pt idx="8">
                  <c:v>6.25</c:v>
                </c:pt>
                <c:pt idx="9">
                  <c:v>6.25</c:v>
                </c:pt>
                <c:pt idx="10">
                  <c:v>6.25</c:v>
                </c:pt>
                <c:pt idx="11">
                  <c:v>6.25</c:v>
                </c:pt>
                <c:pt idx="12">
                  <c:v>6.25</c:v>
                </c:pt>
                <c:pt idx="13">
                  <c:v>6.25</c:v>
                </c:pt>
                <c:pt idx="14">
                  <c:v>6.25</c:v>
                </c:pt>
                <c:pt idx="15">
                  <c:v>6.25</c:v>
                </c:pt>
                <c:pt idx="16">
                  <c:v>6.25</c:v>
                </c:pt>
                <c:pt idx="17">
                  <c:v>6.25</c:v>
                </c:pt>
                <c:pt idx="18">
                  <c:v>6.25</c:v>
                </c:pt>
                <c:pt idx="19">
                  <c:v>6.25</c:v>
                </c:pt>
                <c:pt idx="20">
                  <c:v>6.25</c:v>
                </c:pt>
                <c:pt idx="21">
                  <c:v>6.25</c:v>
                </c:pt>
                <c:pt idx="22">
                  <c:v>0</c:v>
                </c:pt>
                <c:pt idx="23">
                  <c:v>0</c:v>
                </c:pt>
                <c:pt idx="24">
                  <c:v>0</c:v>
                </c:pt>
                <c:pt idx="25">
                  <c:v>0</c:v>
                </c:pt>
              </c:numCache>
            </c:numRef>
          </c:val>
          <c:extLst>
            <c:ext xmlns:c16="http://schemas.microsoft.com/office/drawing/2014/chart" uri="{C3380CC4-5D6E-409C-BE32-E72D297353CC}">
              <c16:uniqueId val="{00000005-5D99-4681-8938-7668F6FBCEB2}"/>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Scores'!$B$154:$AA$154</c:f>
              <c:numCache>
                <c:formatCode>General</c:formatCode>
                <c:ptCount val="26"/>
                <c:pt idx="0">
                  <c:v>0</c:v>
                </c:pt>
                <c:pt idx="1">
                  <c:v>0</c:v>
                </c:pt>
                <c:pt idx="2">
                  <c:v>0</c:v>
                </c:pt>
                <c:pt idx="3">
                  <c:v>0</c:v>
                </c:pt>
                <c:pt idx="4">
                  <c:v>0</c:v>
                </c:pt>
                <c:pt idx="5">
                  <c:v>0</c:v>
                </c:pt>
                <c:pt idx="6">
                  <c:v>0</c:v>
                </c:pt>
                <c:pt idx="7" formatCode="0.00">
                  <c:v>21.5</c:v>
                </c:pt>
                <c:pt idx="8" formatCode="0.00">
                  <c:v>21.5</c:v>
                </c:pt>
                <c:pt idx="9" formatCode="0.00">
                  <c:v>4.1666666666666679</c:v>
                </c:pt>
                <c:pt idx="10" formatCode="0.00">
                  <c:v>4.1744186046511622</c:v>
                </c:pt>
                <c:pt idx="11" formatCode="0.00">
                  <c:v>4.1744186046511622</c:v>
                </c:pt>
                <c:pt idx="12" formatCode="0.00">
                  <c:v>23.501070663811564</c:v>
                </c:pt>
                <c:pt idx="13" formatCode="0.00">
                  <c:v>23.501070663811564</c:v>
                </c:pt>
                <c:pt idx="14" formatCode="0.00">
                  <c:v>23.504273504273506</c:v>
                </c:pt>
                <c:pt idx="15" formatCode="0.00">
                  <c:v>22.405462184873951</c:v>
                </c:pt>
                <c:pt idx="16" formatCode="0.00">
                  <c:v>22.310540069686411</c:v>
                </c:pt>
                <c:pt idx="17" formatCode="0.00">
                  <c:v>22.671568627450981</c:v>
                </c:pt>
                <c:pt idx="18" formatCode="0.00">
                  <c:v>22.867748618784532</c:v>
                </c:pt>
                <c:pt idx="19" formatCode="0.00">
                  <c:v>22.870689655172413</c:v>
                </c:pt>
                <c:pt idx="20" formatCode="0.00">
                  <c:v>23.082298136645964</c:v>
                </c:pt>
                <c:pt idx="21" formatCode="0.00">
                  <c:v>21.723364978902953</c:v>
                </c:pt>
                <c:pt idx="22" formatCode="0.00">
                  <c:v>22.534579918032787</c:v>
                </c:pt>
                <c:pt idx="23" formatCode="0.00">
                  <c:v>21.461071789686553</c:v>
                </c:pt>
                <c:pt idx="24" formatCode="0.00">
                  <c:v>19.545454545454547</c:v>
                </c:pt>
                <c:pt idx="25" formatCode="0.00">
                  <c:v>25</c:v>
                </c:pt>
              </c:numCache>
            </c:numRef>
          </c:val>
          <c:extLst>
            <c:ext xmlns:c16="http://schemas.microsoft.com/office/drawing/2014/chart" uri="{C3380CC4-5D6E-409C-BE32-E72D297353CC}">
              <c16:uniqueId val="{00000007-5D99-4681-8938-7668F6FBCEB2}"/>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Scores'!$B$33:$AA$33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5D99-4681-8938-7668F6FBCEB2}"/>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Scores'!$B$73:$AA$73</c:f>
              <c:numCache>
                <c:formatCode>General</c:formatCode>
                <c:ptCount val="26"/>
                <c:pt idx="0">
                  <c:v>0</c:v>
                </c:pt>
                <c:pt idx="1">
                  <c:v>0</c:v>
                </c:pt>
                <c:pt idx="2">
                  <c:v>0</c:v>
                </c:pt>
                <c:pt idx="3">
                  <c:v>0</c:v>
                </c:pt>
                <c:pt idx="4">
                  <c:v>0</c:v>
                </c:pt>
                <c:pt idx="5">
                  <c:v>0</c:v>
                </c:pt>
                <c:pt idx="6">
                  <c:v>0</c:v>
                </c:pt>
                <c:pt idx="7">
                  <c:v>0</c:v>
                </c:pt>
                <c:pt idx="8">
                  <c:v>12.5</c:v>
                </c:pt>
                <c:pt idx="9">
                  <c:v>12.5</c:v>
                </c:pt>
                <c:pt idx="10">
                  <c:v>12.5</c:v>
                </c:pt>
                <c:pt idx="11">
                  <c:v>12.5</c:v>
                </c:pt>
                <c:pt idx="12">
                  <c:v>12.5</c:v>
                </c:pt>
                <c:pt idx="13">
                  <c:v>12.5</c:v>
                </c:pt>
                <c:pt idx="14">
                  <c:v>12.5</c:v>
                </c:pt>
                <c:pt idx="15">
                  <c:v>12.5</c:v>
                </c:pt>
                <c:pt idx="16">
                  <c:v>12.5</c:v>
                </c:pt>
                <c:pt idx="17">
                  <c:v>12.5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3-5D99-4681-8938-7668F6FBCEB2}"/>
            </c:ext>
          </c:extLst>
        </c:ser>
        <c:dLbls>
          <c:showLegendKey val="0"/>
          <c:showVal val="0"/>
          <c:showCatName val="0"/>
          <c:showSerName val="0"/>
          <c:showPercent val="0"/>
          <c:showBubbleSize val="0"/>
        </c:dLbls>
        <c:gapWidth val="150"/>
        <c:overlap val="100"/>
        <c:axId val="261116512"/>
        <c:axId val="375442448"/>
      </c:barChart>
      <c:catAx>
        <c:axId val="26111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442448"/>
        <c:crosses val="autoZero"/>
        <c:auto val="1"/>
        <c:lblAlgn val="ctr"/>
        <c:lblOffset val="100"/>
        <c:noMultiLvlLbl val="0"/>
      </c:catAx>
      <c:valAx>
        <c:axId val="37544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16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Tajikistan-</a:t>
            </a:r>
            <a:r>
              <a:rPr lang="en-US" baseline="0"/>
              <a:t> Promised Reforms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Scores'!$B$95:$AA$95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6.25</c:v>
                </c:pt>
                <c:pt idx="17">
                  <c:v>6.25</c:v>
                </c:pt>
                <c:pt idx="18">
                  <c:v>6.25</c:v>
                </c:pt>
                <c:pt idx="19">
                  <c:v>6.25</c:v>
                </c:pt>
                <c:pt idx="20">
                  <c:v>6.25</c:v>
                </c:pt>
                <c:pt idx="21">
                  <c:v>6.25</c:v>
                </c:pt>
                <c:pt idx="22">
                  <c:v>6.25</c:v>
                </c:pt>
                <c:pt idx="23">
                  <c:v>6.25</c:v>
                </c:pt>
                <c:pt idx="24">
                  <c:v>6.25</c:v>
                </c:pt>
                <c:pt idx="25">
                  <c:v>6.25</c:v>
                </c:pt>
              </c:numCache>
            </c:numRef>
          </c:val>
          <c:extLst>
            <c:ext xmlns:c16="http://schemas.microsoft.com/office/drawing/2014/chart" uri="{C3380CC4-5D6E-409C-BE32-E72D297353CC}">
              <c16:uniqueId val="{00000004-C3E7-4F52-9150-54DCF6FEB4E5}"/>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Scores'!$B$135:$AA$135</c:f>
              <c:numCache>
                <c:formatCode>0.00</c:formatCode>
                <c:ptCount val="26"/>
                <c:pt idx="0">
                  <c:v>3.5272247726564496E-2</c:v>
                </c:pt>
                <c:pt idx="1">
                  <c:v>3.5716752793834863E-2</c:v>
                </c:pt>
                <c:pt idx="2">
                  <c:v>3.5716752793834863E-2</c:v>
                </c:pt>
                <c:pt idx="3">
                  <c:v>3.5716752793834863E-2</c:v>
                </c:pt>
                <c:pt idx="4">
                  <c:v>7.4488577881281853E-2</c:v>
                </c:pt>
                <c:pt idx="5">
                  <c:v>7.5482386933836534E-2</c:v>
                </c:pt>
                <c:pt idx="6">
                  <c:v>7.5471823343406741E-2</c:v>
                </c:pt>
                <c:pt idx="7">
                  <c:v>7.5554622064971919E-2</c:v>
                </c:pt>
                <c:pt idx="8">
                  <c:v>7.6105401991726634E-2</c:v>
                </c:pt>
                <c:pt idx="9">
                  <c:v>7.7775606062927258E-2</c:v>
                </c:pt>
                <c:pt idx="10">
                  <c:v>7.7771288640267833E-2</c:v>
                </c:pt>
                <c:pt idx="11">
                  <c:v>7.7771288640267833E-2</c:v>
                </c:pt>
                <c:pt idx="12">
                  <c:v>4.2444379553069345</c:v>
                </c:pt>
                <c:pt idx="13">
                  <c:v>4.2444379553069345</c:v>
                </c:pt>
                <c:pt idx="14">
                  <c:v>4.2444379553069345</c:v>
                </c:pt>
                <c:pt idx="15">
                  <c:v>4.2829315797416472</c:v>
                </c:pt>
                <c:pt idx="16">
                  <c:v>4.2829315797416472</c:v>
                </c:pt>
                <c:pt idx="17">
                  <c:v>4.282929006256543</c:v>
                </c:pt>
                <c:pt idx="18">
                  <c:v>5.5223001183433595</c:v>
                </c:pt>
                <c:pt idx="19">
                  <c:v>5.881936747131074</c:v>
                </c:pt>
                <c:pt idx="20">
                  <c:v>5.8817823850505064</c:v>
                </c:pt>
                <c:pt idx="21">
                  <c:v>6.1081313139480526</c:v>
                </c:pt>
                <c:pt idx="22">
                  <c:v>6.105810312188038</c:v>
                </c:pt>
                <c:pt idx="23">
                  <c:v>6.1035742029422018</c:v>
                </c:pt>
                <c:pt idx="24">
                  <c:v>6.2833224990347336</c:v>
                </c:pt>
                <c:pt idx="25">
                  <c:v>6.2833224990347336</c:v>
                </c:pt>
              </c:numCache>
            </c:numRef>
          </c:val>
          <c:extLst>
            <c:ext xmlns:c16="http://schemas.microsoft.com/office/drawing/2014/chart" uri="{C3380CC4-5D6E-409C-BE32-E72D297353CC}">
              <c16:uniqueId val="{00000006-C3E7-4F52-9150-54DCF6FEB4E5}"/>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Scores'!$B$15:$AA$15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C3E7-4F52-9150-54DCF6FEB4E5}"/>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Scores'!$B$55:$AA$55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2-C3E7-4F52-9150-54DCF6FEB4E5}"/>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Scores'!$B$114:$AA$114</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C3E7-4F52-9150-54DCF6FEB4E5}"/>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Scores'!$B$155:$AA$155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formatCode="0.00">
                  <c:v>20.755562044693065</c:v>
                </c:pt>
                <c:pt idx="14" formatCode="0.00">
                  <c:v>20.755562044693065</c:v>
                </c:pt>
                <c:pt idx="15" formatCode="0.00">
                  <c:v>20.717068420258354</c:v>
                </c:pt>
                <c:pt idx="16" formatCode="0.00">
                  <c:v>20.717068420258354</c:v>
                </c:pt>
                <c:pt idx="17" formatCode="0.00">
                  <c:v>20.717070993743455</c:v>
                </c:pt>
                <c:pt idx="18" formatCode="0.00">
                  <c:v>19.47769988165664</c:v>
                </c:pt>
                <c:pt idx="19" formatCode="0.00">
                  <c:v>19.118063252868925</c:v>
                </c:pt>
                <c:pt idx="20" formatCode="0.00">
                  <c:v>19.118217614949494</c:v>
                </c:pt>
                <c:pt idx="21" formatCode="0.00">
                  <c:v>18.891868686051946</c:v>
                </c:pt>
                <c:pt idx="22" formatCode="0.00">
                  <c:v>18.894189687811963</c:v>
                </c:pt>
                <c:pt idx="23" formatCode="0.00">
                  <c:v>18.896425797057798</c:v>
                </c:pt>
                <c:pt idx="24" formatCode="0.00">
                  <c:v>18.716677500965268</c:v>
                </c:pt>
                <c:pt idx="25" formatCode="0.00">
                  <c:v>18.716677500965268</c:v>
                </c:pt>
              </c:numCache>
            </c:numRef>
          </c:val>
          <c:extLst>
            <c:ext xmlns:c16="http://schemas.microsoft.com/office/drawing/2014/chart" uri="{C3380CC4-5D6E-409C-BE32-E72D297353CC}">
              <c16:uniqueId val="{00000007-C3E7-4F52-9150-54DCF6FEB4E5}"/>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Scores'!$B$34:$AA$34</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C3E7-4F52-9150-54DCF6FEB4E5}"/>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Scores'!$B$74:$AA$74</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25</c:v>
                </c:pt>
                <c:pt idx="22">
                  <c:v>25</c:v>
                </c:pt>
                <c:pt idx="23">
                  <c:v>25</c:v>
                </c:pt>
                <c:pt idx="24">
                  <c:v>25</c:v>
                </c:pt>
                <c:pt idx="25">
                  <c:v>25</c:v>
                </c:pt>
              </c:numCache>
            </c:numRef>
          </c:val>
          <c:extLst>
            <c:ext xmlns:c16="http://schemas.microsoft.com/office/drawing/2014/chart" uri="{C3380CC4-5D6E-409C-BE32-E72D297353CC}">
              <c16:uniqueId val="{00000003-C3E7-4F52-9150-54DCF6FEB4E5}"/>
            </c:ext>
          </c:extLst>
        </c:ser>
        <c:dLbls>
          <c:showLegendKey val="0"/>
          <c:showVal val="0"/>
          <c:showCatName val="0"/>
          <c:showSerName val="0"/>
          <c:showPercent val="0"/>
          <c:showBubbleSize val="0"/>
        </c:dLbls>
        <c:gapWidth val="150"/>
        <c:overlap val="100"/>
        <c:axId val="264523232"/>
        <c:axId val="293773248"/>
      </c:barChart>
      <c:catAx>
        <c:axId val="26452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73248"/>
        <c:crosses val="autoZero"/>
        <c:auto val="1"/>
        <c:lblAlgn val="ctr"/>
        <c:lblOffset val="100"/>
        <c:noMultiLvlLbl val="0"/>
      </c:catAx>
      <c:valAx>
        <c:axId val="29377324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23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Peru-</a:t>
            </a:r>
            <a:r>
              <a:rPr lang="en-US" baseline="0"/>
              <a:t> Promised Reforms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Scores'!$B$92:$AA$92</c:f>
              <c:numCache>
                <c:formatCode>General</c:formatCode>
                <c:ptCount val="26"/>
                <c:pt idx="0">
                  <c:v>0</c:v>
                </c:pt>
                <c:pt idx="1">
                  <c:v>0</c:v>
                </c:pt>
                <c:pt idx="2">
                  <c:v>12.5</c:v>
                </c:pt>
                <c:pt idx="3">
                  <c:v>12.5</c:v>
                </c:pt>
                <c:pt idx="4">
                  <c:v>12.5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4-5422-40F6-84C6-12D5F3FD4686}"/>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Scores'!$B$132:$AA$132</c:f>
              <c:numCache>
                <c:formatCode>0.00</c:formatCode>
                <c:ptCount val="26"/>
                <c:pt idx="0">
                  <c:v>6.5486198475652957</c:v>
                </c:pt>
                <c:pt idx="1">
                  <c:v>6.6973166827844715</c:v>
                </c:pt>
                <c:pt idx="2">
                  <c:v>10.306289969961677</c:v>
                </c:pt>
                <c:pt idx="3">
                  <c:v>6.8708411916065426</c:v>
                </c:pt>
                <c:pt idx="4">
                  <c:v>7.0367435715789215</c:v>
                </c:pt>
                <c:pt idx="5">
                  <c:v>11.667800452880126</c:v>
                </c:pt>
                <c:pt idx="6">
                  <c:v>12.65876118154832</c:v>
                </c:pt>
                <c:pt idx="7">
                  <c:v>13.773793227306586</c:v>
                </c:pt>
                <c:pt idx="8">
                  <c:v>13.973181659619552</c:v>
                </c:pt>
                <c:pt idx="9">
                  <c:v>14.341111751895347</c:v>
                </c:pt>
                <c:pt idx="10">
                  <c:v>14.329615411317121</c:v>
                </c:pt>
                <c:pt idx="11">
                  <c:v>14.313642268524312</c:v>
                </c:pt>
                <c:pt idx="12">
                  <c:v>14.289999130012426</c:v>
                </c:pt>
                <c:pt idx="13">
                  <c:v>14.28955697986407</c:v>
                </c:pt>
                <c:pt idx="14">
                  <c:v>14.318244986429034</c:v>
                </c:pt>
                <c:pt idx="15">
                  <c:v>14.426691546672672</c:v>
                </c:pt>
                <c:pt idx="16">
                  <c:v>14.704012003042651</c:v>
                </c:pt>
                <c:pt idx="17">
                  <c:v>14.942659295393796</c:v>
                </c:pt>
                <c:pt idx="18">
                  <c:v>14.920069027116236</c:v>
                </c:pt>
                <c:pt idx="19">
                  <c:v>15.293023665720733</c:v>
                </c:pt>
                <c:pt idx="20">
                  <c:v>15.449631292430716</c:v>
                </c:pt>
                <c:pt idx="21">
                  <c:v>15.472970000948877</c:v>
                </c:pt>
                <c:pt idx="22">
                  <c:v>15.767471716319829</c:v>
                </c:pt>
                <c:pt idx="23">
                  <c:v>16.076152952319433</c:v>
                </c:pt>
                <c:pt idx="24">
                  <c:v>16.291025507325024</c:v>
                </c:pt>
                <c:pt idx="25">
                  <c:v>16.291025507325024</c:v>
                </c:pt>
              </c:numCache>
            </c:numRef>
          </c:val>
          <c:extLst>
            <c:ext xmlns:c16="http://schemas.microsoft.com/office/drawing/2014/chart" uri="{C3380CC4-5D6E-409C-BE32-E72D297353CC}">
              <c16:uniqueId val="{00000006-5422-40F6-84C6-12D5F3FD4686}"/>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Scores'!$B$12:$AA$12</c:f>
              <c:numCache>
                <c:formatCode>General</c:formatCode>
                <c:ptCount val="26"/>
                <c:pt idx="0">
                  <c:v>0</c:v>
                </c:pt>
                <c:pt idx="1">
                  <c:v>0</c:v>
                </c:pt>
                <c:pt idx="2">
                  <c:v>0</c:v>
                </c:pt>
                <c:pt idx="3">
                  <c:v>0</c:v>
                </c:pt>
                <c:pt idx="4">
                  <c:v>0</c:v>
                </c:pt>
                <c:pt idx="5">
                  <c:v>0</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5422-40F6-84C6-12D5F3FD4686}"/>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Scores'!$B$52:$AA$52</c:f>
              <c:numCache>
                <c:formatCode>General</c:formatCode>
                <c:ptCount val="26"/>
                <c:pt idx="0">
                  <c:v>0</c:v>
                </c:pt>
                <c:pt idx="1">
                  <c:v>0</c:v>
                </c:pt>
                <c:pt idx="2">
                  <c:v>0</c:v>
                </c:pt>
                <c:pt idx="3">
                  <c:v>0</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2-5422-40F6-84C6-12D5F3FD4686}"/>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Scores'!$B$111:$AA$111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5422-40F6-84C6-12D5F3FD4686}"/>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Scores'!$B$152:$AA$152</c:f>
              <c:numCache>
                <c:formatCode>General</c:formatCode>
                <c:ptCount val="26"/>
                <c:pt idx="0">
                  <c:v>0</c:v>
                </c:pt>
                <c:pt idx="1">
                  <c:v>0</c:v>
                </c:pt>
                <c:pt idx="2">
                  <c:v>0</c:v>
                </c:pt>
                <c:pt idx="3">
                  <c:v>0</c:v>
                </c:pt>
                <c:pt idx="4">
                  <c:v>0</c:v>
                </c:pt>
                <c:pt idx="5" formatCode="0.00">
                  <c:v>13.332199547119874</c:v>
                </c:pt>
                <c:pt idx="6" formatCode="0.00">
                  <c:v>12.34123881845168</c:v>
                </c:pt>
                <c:pt idx="7" formatCode="0.00">
                  <c:v>11.226206772693414</c:v>
                </c:pt>
                <c:pt idx="8" formatCode="0.00">
                  <c:v>11.026818340380448</c:v>
                </c:pt>
                <c:pt idx="9" formatCode="0.00">
                  <c:v>10.658888248104653</c:v>
                </c:pt>
                <c:pt idx="10" formatCode="0.00">
                  <c:v>10.670384588682879</c:v>
                </c:pt>
                <c:pt idx="11" formatCode="0.00">
                  <c:v>10.686357731475688</c:v>
                </c:pt>
                <c:pt idx="12" formatCode="0.00">
                  <c:v>10.710000869987574</c:v>
                </c:pt>
                <c:pt idx="13" formatCode="0.00">
                  <c:v>10.71044302013593</c:v>
                </c:pt>
                <c:pt idx="14" formatCode="0.00">
                  <c:v>10.681755013570966</c:v>
                </c:pt>
                <c:pt idx="15" formatCode="0.00">
                  <c:v>10.573308453327328</c:v>
                </c:pt>
                <c:pt idx="16" formatCode="0.00">
                  <c:v>10.295987996957349</c:v>
                </c:pt>
                <c:pt idx="17" formatCode="0.00">
                  <c:v>10.057340704606204</c:v>
                </c:pt>
                <c:pt idx="18" formatCode="0.00">
                  <c:v>10.079930972883764</c:v>
                </c:pt>
                <c:pt idx="19" formatCode="0.00">
                  <c:v>9.7069763342792665</c:v>
                </c:pt>
                <c:pt idx="20" formatCode="0.00">
                  <c:v>9.5503687075692838</c:v>
                </c:pt>
                <c:pt idx="21" formatCode="0.00">
                  <c:v>9.5270299990511234</c:v>
                </c:pt>
                <c:pt idx="22" formatCode="0.00">
                  <c:v>9.2325282836801712</c:v>
                </c:pt>
                <c:pt idx="23" formatCode="0.00">
                  <c:v>8.9238470476805674</c:v>
                </c:pt>
                <c:pt idx="24" formatCode="0.00">
                  <c:v>8.7089744926749759</c:v>
                </c:pt>
                <c:pt idx="25" formatCode="0.00">
                  <c:v>8.7089744926749759</c:v>
                </c:pt>
              </c:numCache>
            </c:numRef>
          </c:val>
          <c:extLst>
            <c:ext xmlns:c16="http://schemas.microsoft.com/office/drawing/2014/chart" uri="{C3380CC4-5D6E-409C-BE32-E72D297353CC}">
              <c16:uniqueId val="{00000007-5422-40F6-84C6-12D5F3FD4686}"/>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Scores'!$B$31:$AA$31</c:f>
              <c:numCache>
                <c:formatCode>General</c:formatCode>
                <c:ptCount val="26"/>
                <c:pt idx="0">
                  <c:v>0</c:v>
                </c:pt>
                <c:pt idx="1">
                  <c:v>0</c:v>
                </c:pt>
                <c:pt idx="2">
                  <c:v>25</c:v>
                </c:pt>
                <c:pt idx="3">
                  <c:v>25</c:v>
                </c:pt>
                <c:pt idx="4">
                  <c:v>25</c:v>
                </c:pt>
                <c:pt idx="5">
                  <c:v>25</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5422-40F6-84C6-12D5F3FD4686}"/>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Scores'!$B$71:$AA$71</c:f>
              <c:numCache>
                <c:formatCode>General</c:formatCode>
                <c:ptCount val="26"/>
                <c:pt idx="0">
                  <c:v>0</c:v>
                </c:pt>
                <c:pt idx="1">
                  <c:v>0</c:v>
                </c:pt>
                <c:pt idx="2">
                  <c:v>25</c:v>
                </c:pt>
                <c:pt idx="3">
                  <c:v>25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5422-40F6-84C6-12D5F3FD4686}"/>
            </c:ext>
          </c:extLst>
        </c:ser>
        <c:dLbls>
          <c:showLegendKey val="0"/>
          <c:showVal val="0"/>
          <c:showCatName val="0"/>
          <c:showSerName val="0"/>
          <c:showPercent val="0"/>
          <c:showBubbleSize val="0"/>
        </c:dLbls>
        <c:gapWidth val="150"/>
        <c:overlap val="100"/>
        <c:axId val="851876591"/>
        <c:axId val="955068319"/>
      </c:barChart>
      <c:catAx>
        <c:axId val="85187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068319"/>
        <c:crosses val="autoZero"/>
        <c:auto val="1"/>
        <c:lblAlgn val="ctr"/>
        <c:lblOffset val="100"/>
        <c:noMultiLvlLbl val="0"/>
      </c:catAx>
      <c:valAx>
        <c:axId val="955068319"/>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7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Ukraine- Promised Reforms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Scores'!$B$98:$AA$98</c:f>
              <c:numCache>
                <c:formatCode>General</c:formatCode>
                <c:ptCount val="26"/>
                <c:pt idx="0">
                  <c:v>0</c:v>
                </c:pt>
                <c:pt idx="1">
                  <c:v>0</c:v>
                </c:pt>
                <c:pt idx="2">
                  <c:v>0</c:v>
                </c:pt>
                <c:pt idx="3">
                  <c:v>0</c:v>
                </c:pt>
                <c:pt idx="4">
                  <c:v>0</c:v>
                </c:pt>
                <c:pt idx="5">
                  <c:v>12.5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4-F1B5-47F4-94A8-49119F4AFE85}"/>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Scores'!$B$138:$AA$138</c:f>
              <c:numCache>
                <c:formatCode>0.00</c:formatCode>
                <c:ptCount val="26"/>
                <c:pt idx="0">
                  <c:v>1.5425523019520144</c:v>
                </c:pt>
                <c:pt idx="1">
                  <c:v>1.5425523019520144</c:v>
                </c:pt>
                <c:pt idx="2">
                  <c:v>1.5425523019520144</c:v>
                </c:pt>
                <c:pt idx="3">
                  <c:v>1.5425523019520144</c:v>
                </c:pt>
                <c:pt idx="4">
                  <c:v>1.5425523019520144</c:v>
                </c:pt>
                <c:pt idx="5">
                  <c:v>1.5426733783315136</c:v>
                </c:pt>
                <c:pt idx="6">
                  <c:v>1.5171602719004531</c:v>
                </c:pt>
                <c:pt idx="7">
                  <c:v>1.5173091906115397</c:v>
                </c:pt>
                <c:pt idx="8">
                  <c:v>7.7661743813944533</c:v>
                </c:pt>
                <c:pt idx="9">
                  <c:v>7.7654899317706585</c:v>
                </c:pt>
                <c:pt idx="10">
                  <c:v>7.7654899317706585</c:v>
                </c:pt>
                <c:pt idx="11">
                  <c:v>9.8403871445022162</c:v>
                </c:pt>
                <c:pt idx="12">
                  <c:v>9.8403871445022162</c:v>
                </c:pt>
                <c:pt idx="13">
                  <c:v>9.8403546710337348</c:v>
                </c:pt>
                <c:pt idx="14">
                  <c:v>9.788109652105053</c:v>
                </c:pt>
                <c:pt idx="15">
                  <c:v>9.788109652105053</c:v>
                </c:pt>
                <c:pt idx="16">
                  <c:v>10.003776528747309</c:v>
                </c:pt>
                <c:pt idx="17">
                  <c:v>10.000327939558746</c:v>
                </c:pt>
                <c:pt idx="18">
                  <c:v>10.19775715691606</c:v>
                </c:pt>
                <c:pt idx="19">
                  <c:v>10.25430296968819</c:v>
                </c:pt>
                <c:pt idx="20">
                  <c:v>10.745249277316185</c:v>
                </c:pt>
                <c:pt idx="21">
                  <c:v>10.749610452977224</c:v>
                </c:pt>
                <c:pt idx="22">
                  <c:v>10.791533440611092</c:v>
                </c:pt>
                <c:pt idx="23">
                  <c:v>10.811974914744996</c:v>
                </c:pt>
                <c:pt idx="24">
                  <c:v>10.821218235905206</c:v>
                </c:pt>
                <c:pt idx="25">
                  <c:v>10.821218235905206</c:v>
                </c:pt>
              </c:numCache>
            </c:numRef>
          </c:val>
          <c:extLst>
            <c:ext xmlns:c16="http://schemas.microsoft.com/office/drawing/2014/chart" uri="{C3380CC4-5D6E-409C-BE32-E72D297353CC}">
              <c16:uniqueId val="{00000006-F1B5-47F4-94A8-49119F4AFE85}"/>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Scores'!$B$18:$AA$18</c:f>
              <c:numCache>
                <c:formatCode>General</c:formatCode>
                <c:ptCount val="26"/>
                <c:pt idx="0">
                  <c:v>0</c:v>
                </c:pt>
                <c:pt idx="1">
                  <c:v>0</c:v>
                </c:pt>
                <c:pt idx="2">
                  <c:v>0</c:v>
                </c:pt>
                <c:pt idx="3">
                  <c:v>0</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F1B5-47F4-94A8-49119F4AFE85}"/>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Scores'!$B$58:$AA$58</c:f>
              <c:numCache>
                <c:formatCode>General</c:formatCode>
                <c:ptCount val="26"/>
                <c:pt idx="0">
                  <c:v>0</c:v>
                </c:pt>
                <c:pt idx="1">
                  <c:v>0</c:v>
                </c:pt>
                <c:pt idx="2">
                  <c:v>0</c:v>
                </c:pt>
                <c:pt idx="3">
                  <c:v>0</c:v>
                </c:pt>
                <c:pt idx="4">
                  <c:v>0</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2-F1B5-47F4-94A8-49119F4AFE85}"/>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Scores'!$B$117:$AA$117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F1B5-47F4-94A8-49119F4AFE85}"/>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Scores'!$B$158:$AA$158</c:f>
              <c:numCache>
                <c:formatCode>General</c:formatCode>
                <c:ptCount val="26"/>
                <c:pt idx="0">
                  <c:v>0</c:v>
                </c:pt>
                <c:pt idx="1">
                  <c:v>0</c:v>
                </c:pt>
                <c:pt idx="2">
                  <c:v>0</c:v>
                </c:pt>
                <c:pt idx="3">
                  <c:v>0</c:v>
                </c:pt>
                <c:pt idx="4">
                  <c:v>0</c:v>
                </c:pt>
                <c:pt idx="5">
                  <c:v>0</c:v>
                </c:pt>
                <c:pt idx="6">
                  <c:v>0</c:v>
                </c:pt>
                <c:pt idx="7">
                  <c:v>0</c:v>
                </c:pt>
                <c:pt idx="8" formatCode="0.00">
                  <c:v>12.233825618605547</c:v>
                </c:pt>
                <c:pt idx="9" formatCode="0.00">
                  <c:v>12.234510068229341</c:v>
                </c:pt>
                <c:pt idx="10" formatCode="0.00">
                  <c:v>12.234510068229341</c:v>
                </c:pt>
                <c:pt idx="11" formatCode="0.00">
                  <c:v>10.159612855497784</c:v>
                </c:pt>
                <c:pt idx="12" formatCode="0.00">
                  <c:v>10.159612855497784</c:v>
                </c:pt>
                <c:pt idx="13" formatCode="0.00">
                  <c:v>10.159645328966265</c:v>
                </c:pt>
                <c:pt idx="14" formatCode="0.00">
                  <c:v>10.211890347894947</c:v>
                </c:pt>
                <c:pt idx="15" formatCode="0.00">
                  <c:v>10.211890347894947</c:v>
                </c:pt>
                <c:pt idx="16" formatCode="0.00">
                  <c:v>9.9962234712526907</c:v>
                </c:pt>
                <c:pt idx="17" formatCode="0.00">
                  <c:v>9.9996720604412541</c:v>
                </c:pt>
                <c:pt idx="18" formatCode="0.00">
                  <c:v>9.8022428430839401</c:v>
                </c:pt>
                <c:pt idx="19" formatCode="0.00">
                  <c:v>9.7456970303118098</c:v>
                </c:pt>
                <c:pt idx="20" formatCode="0.00">
                  <c:v>9.2547507226838146</c:v>
                </c:pt>
                <c:pt idx="21" formatCode="0.00">
                  <c:v>9.2503895470227757</c:v>
                </c:pt>
                <c:pt idx="22" formatCode="0.00">
                  <c:v>9.2084665593889081</c:v>
                </c:pt>
                <c:pt idx="23" formatCode="0.00">
                  <c:v>9.1880250852550045</c:v>
                </c:pt>
                <c:pt idx="24" formatCode="0.00">
                  <c:v>9.1787817640947935</c:v>
                </c:pt>
                <c:pt idx="25" formatCode="0.00">
                  <c:v>9.1787817640947935</c:v>
                </c:pt>
              </c:numCache>
            </c:numRef>
          </c:val>
          <c:extLst>
            <c:ext xmlns:c16="http://schemas.microsoft.com/office/drawing/2014/chart" uri="{C3380CC4-5D6E-409C-BE32-E72D297353CC}">
              <c16:uniqueId val="{00000007-F1B5-47F4-94A8-49119F4AFE85}"/>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Scores'!$B$37:$AA$37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F1B5-47F4-94A8-49119F4AFE85}"/>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Scores'!$B$77:$AA$77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F1B5-47F4-94A8-49119F4AFE85}"/>
            </c:ext>
          </c:extLst>
        </c:ser>
        <c:dLbls>
          <c:showLegendKey val="0"/>
          <c:showVal val="0"/>
          <c:showCatName val="0"/>
          <c:showSerName val="0"/>
          <c:showPercent val="0"/>
          <c:showBubbleSize val="0"/>
        </c:dLbls>
        <c:gapWidth val="150"/>
        <c:overlap val="100"/>
        <c:axId val="1058849343"/>
        <c:axId val="1062666063"/>
      </c:barChart>
      <c:catAx>
        <c:axId val="105884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666063"/>
        <c:crosses val="autoZero"/>
        <c:auto val="1"/>
        <c:lblAlgn val="ctr"/>
        <c:lblOffset val="100"/>
        <c:noMultiLvlLbl val="0"/>
      </c:catAx>
      <c:valAx>
        <c:axId val="106266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49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Philippines- Promised Reforms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Scores'!$B$93:$AA$93</c:f>
              <c:numCache>
                <c:formatCode>General</c:formatCode>
                <c:ptCount val="26"/>
                <c:pt idx="0">
                  <c:v>0</c:v>
                </c:pt>
                <c:pt idx="1">
                  <c:v>0</c:v>
                </c:pt>
                <c:pt idx="2">
                  <c:v>0</c:v>
                </c:pt>
                <c:pt idx="3">
                  <c:v>0</c:v>
                </c:pt>
                <c:pt idx="4">
                  <c:v>0</c:v>
                </c:pt>
                <c:pt idx="5">
                  <c:v>6.25</c:v>
                </c:pt>
                <c:pt idx="6">
                  <c:v>6.25</c:v>
                </c:pt>
                <c:pt idx="7">
                  <c:v>6.25</c:v>
                </c:pt>
                <c:pt idx="8">
                  <c:v>6.25</c:v>
                </c:pt>
                <c:pt idx="9">
                  <c:v>6.25</c:v>
                </c:pt>
                <c:pt idx="10">
                  <c:v>6.25</c:v>
                </c:pt>
                <c:pt idx="11">
                  <c:v>12.5</c:v>
                </c:pt>
                <c:pt idx="12">
                  <c:v>12.5</c:v>
                </c:pt>
                <c:pt idx="13">
                  <c:v>12.5</c:v>
                </c:pt>
                <c:pt idx="14">
                  <c:v>18.75</c:v>
                </c:pt>
                <c:pt idx="15">
                  <c:v>18.75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035F-4B04-92AF-90737A45D4F2}"/>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Scores'!$B$133:$AA$133</c:f>
              <c:numCache>
                <c:formatCode>0.00</c:formatCode>
                <c:ptCount val="26"/>
                <c:pt idx="0">
                  <c:v>12.507905557520932</c:v>
                </c:pt>
                <c:pt idx="1">
                  <c:v>12.596500491425338</c:v>
                </c:pt>
                <c:pt idx="2">
                  <c:v>12.48464915977174</c:v>
                </c:pt>
                <c:pt idx="3">
                  <c:v>6.7439103495988837</c:v>
                </c:pt>
                <c:pt idx="4">
                  <c:v>7.137529215153755</c:v>
                </c:pt>
                <c:pt idx="5">
                  <c:v>13.610199851079429</c:v>
                </c:pt>
                <c:pt idx="6">
                  <c:v>14.165551495228229</c:v>
                </c:pt>
                <c:pt idx="7">
                  <c:v>14.366480754297489</c:v>
                </c:pt>
                <c:pt idx="8">
                  <c:v>14.547679382768305</c:v>
                </c:pt>
                <c:pt idx="9">
                  <c:v>15.090682430280166</c:v>
                </c:pt>
                <c:pt idx="10">
                  <c:v>15.447849836203359</c:v>
                </c:pt>
                <c:pt idx="11">
                  <c:v>15.501705273742655</c:v>
                </c:pt>
                <c:pt idx="12">
                  <c:v>15.833109161286979</c:v>
                </c:pt>
                <c:pt idx="13">
                  <c:v>17.976918126181694</c:v>
                </c:pt>
                <c:pt idx="14">
                  <c:v>18.021189074575556</c:v>
                </c:pt>
                <c:pt idx="15">
                  <c:v>18.024856907682558</c:v>
                </c:pt>
                <c:pt idx="16">
                  <c:v>18.067310583309688</c:v>
                </c:pt>
                <c:pt idx="17">
                  <c:v>18.069384923619939</c:v>
                </c:pt>
                <c:pt idx="18">
                  <c:v>18.054869234279249</c:v>
                </c:pt>
                <c:pt idx="19">
                  <c:v>18.051424652442549</c:v>
                </c:pt>
                <c:pt idx="20">
                  <c:v>18.131837528782789</c:v>
                </c:pt>
                <c:pt idx="21">
                  <c:v>18.170487127675866</c:v>
                </c:pt>
                <c:pt idx="22">
                  <c:v>18.173022425351135</c:v>
                </c:pt>
                <c:pt idx="23">
                  <c:v>18.176325729050504</c:v>
                </c:pt>
                <c:pt idx="24">
                  <c:v>18.318090335642008</c:v>
                </c:pt>
                <c:pt idx="25">
                  <c:v>18.318090335642008</c:v>
                </c:pt>
              </c:numCache>
            </c:numRef>
          </c:val>
          <c:extLst>
            <c:ext xmlns:c16="http://schemas.microsoft.com/office/drawing/2014/chart" uri="{C3380CC4-5D6E-409C-BE32-E72D297353CC}">
              <c16:uniqueId val="{00000001-035F-4B04-92AF-90737A45D4F2}"/>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Scores'!$B$13:$AA$13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2-035F-4B04-92AF-90737A45D4F2}"/>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Scores'!$B$53:$AA$53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3-035F-4B04-92AF-90737A45D4F2}"/>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Scores'!$B$112:$AA$112</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12.5</c:v>
                </c:pt>
                <c:pt idx="12">
                  <c:v>12.5</c:v>
                </c:pt>
                <c:pt idx="13">
                  <c:v>12.5</c:v>
                </c:pt>
                <c:pt idx="14">
                  <c:v>6.25</c:v>
                </c:pt>
                <c:pt idx="15">
                  <c:v>6.25</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4-035F-4B04-92AF-90737A45D4F2}"/>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Scores'!$B$153:$AA$153</c:f>
              <c:numCache>
                <c:formatCode>General</c:formatCode>
                <c:ptCount val="26"/>
                <c:pt idx="0">
                  <c:v>0</c:v>
                </c:pt>
                <c:pt idx="1">
                  <c:v>0</c:v>
                </c:pt>
                <c:pt idx="2">
                  <c:v>0</c:v>
                </c:pt>
                <c:pt idx="3">
                  <c:v>0</c:v>
                </c:pt>
                <c:pt idx="4">
                  <c:v>0</c:v>
                </c:pt>
                <c:pt idx="5">
                  <c:v>0</c:v>
                </c:pt>
                <c:pt idx="6">
                  <c:v>0</c:v>
                </c:pt>
                <c:pt idx="7">
                  <c:v>0</c:v>
                </c:pt>
                <c:pt idx="8">
                  <c:v>0</c:v>
                </c:pt>
                <c:pt idx="9">
                  <c:v>0</c:v>
                </c:pt>
                <c:pt idx="10">
                  <c:v>0</c:v>
                </c:pt>
                <c:pt idx="11" formatCode="0.00">
                  <c:v>9.4982947262573454</c:v>
                </c:pt>
                <c:pt idx="12" formatCode="0.00">
                  <c:v>9.1668908387130212</c:v>
                </c:pt>
                <c:pt idx="13" formatCode="0.00">
                  <c:v>7.0230818738183061</c:v>
                </c:pt>
                <c:pt idx="14" formatCode="0.00">
                  <c:v>6.9788109254244439</c:v>
                </c:pt>
                <c:pt idx="15" formatCode="0.00">
                  <c:v>6.9751430923174418</c:v>
                </c:pt>
                <c:pt idx="16" formatCode="0.00">
                  <c:v>6.9326894166903124</c:v>
                </c:pt>
                <c:pt idx="17" formatCode="0.00">
                  <c:v>6.9306150763800609</c:v>
                </c:pt>
                <c:pt idx="18" formatCode="0.00">
                  <c:v>6.9451307657207515</c:v>
                </c:pt>
                <c:pt idx="19" formatCode="0.00">
                  <c:v>6.9485753475574512</c:v>
                </c:pt>
                <c:pt idx="20" formatCode="0.00">
                  <c:v>6.8681624712172109</c:v>
                </c:pt>
                <c:pt idx="21" formatCode="0.00">
                  <c:v>6.8295128723241341</c:v>
                </c:pt>
                <c:pt idx="22" formatCode="0.00">
                  <c:v>6.8269775746488648</c:v>
                </c:pt>
                <c:pt idx="23" formatCode="0.00">
                  <c:v>6.8236742709494962</c:v>
                </c:pt>
                <c:pt idx="24" formatCode="0.00">
                  <c:v>6.6819096643579918</c:v>
                </c:pt>
                <c:pt idx="25" formatCode="0.00">
                  <c:v>6.6819096643579918</c:v>
                </c:pt>
              </c:numCache>
            </c:numRef>
          </c:val>
          <c:extLst>
            <c:ext xmlns:c16="http://schemas.microsoft.com/office/drawing/2014/chart" uri="{C3380CC4-5D6E-409C-BE32-E72D297353CC}">
              <c16:uniqueId val="{00000005-035F-4B04-92AF-90737A45D4F2}"/>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Scores'!$B$32:$AA$32</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6-035F-4B04-92AF-90737A45D4F2}"/>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Scores'!$B$72:$AA$72</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7-035F-4B04-92AF-90737A45D4F2}"/>
            </c:ext>
          </c:extLst>
        </c:ser>
        <c:dLbls>
          <c:showLegendKey val="0"/>
          <c:showVal val="0"/>
          <c:showCatName val="0"/>
          <c:showSerName val="0"/>
          <c:showPercent val="0"/>
          <c:showBubbleSize val="0"/>
        </c:dLbls>
        <c:gapWidth val="150"/>
        <c:overlap val="100"/>
        <c:axId val="888435247"/>
        <c:axId val="1067812847"/>
      </c:barChart>
      <c:catAx>
        <c:axId val="8884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12847"/>
        <c:crosses val="autoZero"/>
        <c:auto val="1"/>
        <c:lblAlgn val="ctr"/>
        <c:lblOffset val="100"/>
        <c:noMultiLvlLbl val="0"/>
      </c:catAx>
      <c:valAx>
        <c:axId val="1067812847"/>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435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Egypt-</a:t>
            </a:r>
            <a:r>
              <a:rPr lang="en-US" baseline="0"/>
              <a:t> Promised Reforms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Scores'!$B$85:$AA$85</c:f>
              <c:numCache>
                <c:formatCode>General</c:formatCode>
                <c:ptCount val="26"/>
                <c:pt idx="0">
                  <c:v>0</c:v>
                </c:pt>
                <c:pt idx="1">
                  <c:v>0</c:v>
                </c:pt>
                <c:pt idx="2">
                  <c:v>0</c:v>
                </c:pt>
                <c:pt idx="3">
                  <c:v>0</c:v>
                </c:pt>
                <c:pt idx="4">
                  <c:v>0</c:v>
                </c:pt>
                <c:pt idx="5">
                  <c:v>0</c:v>
                </c:pt>
                <c:pt idx="6">
                  <c:v>0</c:v>
                </c:pt>
                <c:pt idx="7">
                  <c:v>0</c:v>
                </c:pt>
                <c:pt idx="8">
                  <c:v>0</c:v>
                </c:pt>
                <c:pt idx="9">
                  <c:v>6.25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0-5D51-42DD-8E8F-E1C13A9E7356}"/>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Scores'!$B$125:$AA$125</c:f>
              <c:numCache>
                <c:formatCode>0.00</c:formatCode>
                <c:ptCount val="26"/>
                <c:pt idx="0">
                  <c:v>0</c:v>
                </c:pt>
                <c:pt idx="1">
                  <c:v>0</c:v>
                </c:pt>
                <c:pt idx="2">
                  <c:v>0</c:v>
                </c:pt>
                <c:pt idx="3">
                  <c:v>0</c:v>
                </c:pt>
                <c:pt idx="4">
                  <c:v>0</c:v>
                </c:pt>
                <c:pt idx="5">
                  <c:v>0</c:v>
                </c:pt>
                <c:pt idx="6">
                  <c:v>0</c:v>
                </c:pt>
                <c:pt idx="7">
                  <c:v>4.293616007646741E-2</c:v>
                </c:pt>
                <c:pt idx="8">
                  <c:v>4.110085851439494E-2</c:v>
                </c:pt>
                <c:pt idx="9">
                  <c:v>3.8636305301311832E-2</c:v>
                </c:pt>
                <c:pt idx="10">
                  <c:v>0.12539318129339486</c:v>
                </c:pt>
                <c:pt idx="11">
                  <c:v>0.17767846740257351</c:v>
                </c:pt>
                <c:pt idx="12">
                  <c:v>0.87551937644312816</c:v>
                </c:pt>
                <c:pt idx="13">
                  <c:v>1.5164821524660907</c:v>
                </c:pt>
                <c:pt idx="14">
                  <c:v>1.4781614757260495</c:v>
                </c:pt>
                <c:pt idx="15">
                  <c:v>1.4083530913314399</c:v>
                </c:pt>
                <c:pt idx="16">
                  <c:v>1.2954746515853546</c:v>
                </c:pt>
                <c:pt idx="17">
                  <c:v>1.2679342782476311</c:v>
                </c:pt>
                <c:pt idx="18">
                  <c:v>1.2512296211725917</c:v>
                </c:pt>
                <c:pt idx="19">
                  <c:v>1.1556471748219037</c:v>
                </c:pt>
                <c:pt idx="20">
                  <c:v>1.0934551457753703</c:v>
                </c:pt>
                <c:pt idx="21">
                  <c:v>0.97313563161789529</c:v>
                </c:pt>
                <c:pt idx="22">
                  <c:v>0.92056536143301937</c:v>
                </c:pt>
                <c:pt idx="23">
                  <c:v>0.88900578167960442</c:v>
                </c:pt>
                <c:pt idx="24">
                  <c:v>0.82179975416895656</c:v>
                </c:pt>
                <c:pt idx="25">
                  <c:v>0.82179975416895656</c:v>
                </c:pt>
              </c:numCache>
            </c:numRef>
          </c:val>
          <c:extLst>
            <c:ext xmlns:c16="http://schemas.microsoft.com/office/drawing/2014/chart" uri="{C3380CC4-5D6E-409C-BE32-E72D297353CC}">
              <c16:uniqueId val="{00000001-5D51-42DD-8E8F-E1C13A9E7356}"/>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Scores'!$B$5:$AA$5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2-5D51-42DD-8E8F-E1C13A9E7356}"/>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Scores'!$B$45:$AA$45</c:f>
              <c:numCache>
                <c:formatCode>General</c:formatCode>
                <c:ptCount val="26"/>
                <c:pt idx="0">
                  <c:v>0</c:v>
                </c:pt>
                <c:pt idx="1">
                  <c:v>0</c:v>
                </c:pt>
                <c:pt idx="2">
                  <c:v>0</c:v>
                </c:pt>
                <c:pt idx="3" formatCode="0.00">
                  <c:v>8.3333333333333339</c:v>
                </c:pt>
                <c:pt idx="4" formatCode="0.00">
                  <c:v>8.3333333333333339</c:v>
                </c:pt>
                <c:pt idx="5" formatCode="0.00">
                  <c:v>8.3333333333333339</c:v>
                </c:pt>
                <c:pt idx="6" formatCode="0.00">
                  <c:v>8.3333333333333339</c:v>
                </c:pt>
                <c:pt idx="7" formatCode="0.00">
                  <c:v>8.3333333333333339</c:v>
                </c:pt>
                <c:pt idx="8">
                  <c:v>0</c:v>
                </c:pt>
                <c:pt idx="9">
                  <c:v>0</c:v>
                </c:pt>
                <c:pt idx="10">
                  <c:v>8.33</c:v>
                </c:pt>
                <c:pt idx="11">
                  <c:v>8.33</c:v>
                </c:pt>
                <c:pt idx="12">
                  <c:v>8.33</c:v>
                </c:pt>
                <c:pt idx="13">
                  <c:v>8.33</c:v>
                </c:pt>
                <c:pt idx="14">
                  <c:v>8.33</c:v>
                </c:pt>
                <c:pt idx="15">
                  <c:v>8.33</c:v>
                </c:pt>
                <c:pt idx="16">
                  <c:v>8.33</c:v>
                </c:pt>
                <c:pt idx="17">
                  <c:v>8.33</c:v>
                </c:pt>
                <c:pt idx="18">
                  <c:v>8.33</c:v>
                </c:pt>
                <c:pt idx="19">
                  <c:v>8.33</c:v>
                </c:pt>
                <c:pt idx="20">
                  <c:v>8.33</c:v>
                </c:pt>
                <c:pt idx="21">
                  <c:v>8.33</c:v>
                </c:pt>
                <c:pt idx="22">
                  <c:v>8.33</c:v>
                </c:pt>
                <c:pt idx="23">
                  <c:v>8.33</c:v>
                </c:pt>
                <c:pt idx="24">
                  <c:v>8.33</c:v>
                </c:pt>
                <c:pt idx="25">
                  <c:v>8.33</c:v>
                </c:pt>
              </c:numCache>
            </c:numRef>
          </c:val>
          <c:extLst>
            <c:ext xmlns:c16="http://schemas.microsoft.com/office/drawing/2014/chart" uri="{C3380CC4-5D6E-409C-BE32-E72D297353CC}">
              <c16:uniqueId val="{00000006-5D51-42DD-8E8F-E1C13A9E7356}"/>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Scores'!$B$104:$AA$104</c:f>
              <c:numCache>
                <c:formatCode>General</c:formatCode>
                <c:ptCount val="26"/>
                <c:pt idx="0">
                  <c:v>0</c:v>
                </c:pt>
                <c:pt idx="1">
                  <c:v>0</c:v>
                </c:pt>
                <c:pt idx="2">
                  <c:v>0</c:v>
                </c:pt>
                <c:pt idx="3">
                  <c:v>0</c:v>
                </c:pt>
                <c:pt idx="4">
                  <c:v>0</c:v>
                </c:pt>
                <c:pt idx="5">
                  <c:v>0</c:v>
                </c:pt>
                <c:pt idx="6">
                  <c:v>0</c:v>
                </c:pt>
                <c:pt idx="7">
                  <c:v>0</c:v>
                </c:pt>
                <c:pt idx="8">
                  <c:v>0</c:v>
                </c:pt>
                <c:pt idx="9">
                  <c:v>0</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4-5D51-42DD-8E8F-E1C13A9E7356}"/>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Scores'!$B$145:$AA$145</c:f>
              <c:numCache>
                <c:formatCode>General</c:formatCode>
                <c:ptCount val="26"/>
                <c:pt idx="0">
                  <c:v>0</c:v>
                </c:pt>
                <c:pt idx="1">
                  <c:v>0</c:v>
                </c:pt>
                <c:pt idx="2">
                  <c:v>0</c:v>
                </c:pt>
                <c:pt idx="3" formatCode="0.00">
                  <c:v>12.5</c:v>
                </c:pt>
                <c:pt idx="4" formatCode="0.00">
                  <c:v>12.5</c:v>
                </c:pt>
                <c:pt idx="5" formatCode="0.00">
                  <c:v>12.5</c:v>
                </c:pt>
                <c:pt idx="6" formatCode="0.00">
                  <c:v>12.5</c:v>
                </c:pt>
                <c:pt idx="7" formatCode="0.00">
                  <c:v>12.457063839923533</c:v>
                </c:pt>
                <c:pt idx="8" formatCode="0.00">
                  <c:v>12.458899141485604</c:v>
                </c:pt>
                <c:pt idx="9" formatCode="0.00">
                  <c:v>12.461363694698688</c:v>
                </c:pt>
                <c:pt idx="10" formatCode="0.00">
                  <c:v>12.374606818706605</c:v>
                </c:pt>
                <c:pt idx="11" formatCode="0.00">
                  <c:v>12.322321532597426</c:v>
                </c:pt>
                <c:pt idx="12" formatCode="0.00">
                  <c:v>11.624480623556872</c:v>
                </c:pt>
                <c:pt idx="13" formatCode="0.00">
                  <c:v>10.983517847533909</c:v>
                </c:pt>
                <c:pt idx="14" formatCode="0.00">
                  <c:v>11.021838524273951</c:v>
                </c:pt>
                <c:pt idx="15" formatCode="0.00">
                  <c:v>11.09164690866856</c:v>
                </c:pt>
                <c:pt idx="16" formatCode="0.00">
                  <c:v>11.204525348414645</c:v>
                </c:pt>
                <c:pt idx="17" formatCode="0.00">
                  <c:v>11.232065721752369</c:v>
                </c:pt>
                <c:pt idx="18" formatCode="0.00">
                  <c:v>11.248770378827409</c:v>
                </c:pt>
                <c:pt idx="19" formatCode="0.00">
                  <c:v>11.344352825178095</c:v>
                </c:pt>
                <c:pt idx="20" formatCode="0.00">
                  <c:v>11.406544854224629</c:v>
                </c:pt>
                <c:pt idx="21" formatCode="0.00">
                  <c:v>11.526864368382105</c:v>
                </c:pt>
                <c:pt idx="22" formatCode="0.00">
                  <c:v>11.57943463856698</c:v>
                </c:pt>
                <c:pt idx="23" formatCode="0.00">
                  <c:v>11.610994218320396</c:v>
                </c:pt>
                <c:pt idx="24" formatCode="0.00">
                  <c:v>11.678200245831043</c:v>
                </c:pt>
                <c:pt idx="25" formatCode="0.00">
                  <c:v>11.678200245831043</c:v>
                </c:pt>
              </c:numCache>
            </c:numRef>
          </c:val>
          <c:extLst>
            <c:ext xmlns:c16="http://schemas.microsoft.com/office/drawing/2014/chart" uri="{C3380CC4-5D6E-409C-BE32-E72D297353CC}">
              <c16:uniqueId val="{00000005-5D51-42DD-8E8F-E1C13A9E7356}"/>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Scores'!$B$24:$AA$24</c:f>
              <c:numCache>
                <c:formatCode>General</c:formatCode>
                <c:ptCount val="26"/>
                <c:pt idx="0">
                  <c:v>0</c:v>
                </c:pt>
                <c:pt idx="1">
                  <c:v>0</c:v>
                </c:pt>
                <c:pt idx="2">
                  <c:v>0</c:v>
                </c:pt>
                <c:pt idx="3">
                  <c:v>0</c:v>
                </c:pt>
                <c:pt idx="4">
                  <c:v>0</c:v>
                </c:pt>
                <c:pt idx="5">
                  <c:v>0</c:v>
                </c:pt>
                <c:pt idx="6">
                  <c:v>0</c:v>
                </c:pt>
                <c:pt idx="7">
                  <c:v>25</c:v>
                </c:pt>
                <c:pt idx="8">
                  <c:v>25</c:v>
                </c:pt>
                <c:pt idx="9">
                  <c:v>25</c:v>
                </c:pt>
                <c:pt idx="10">
                  <c:v>25</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5D51-42DD-8E8F-E1C13A9E7356}"/>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Scores'!$B$64:$AA$64</c:f>
              <c:numCache>
                <c:formatCode>General</c:formatCode>
                <c:ptCount val="26"/>
                <c:pt idx="0">
                  <c:v>0</c:v>
                </c:pt>
                <c:pt idx="1">
                  <c:v>0</c:v>
                </c:pt>
                <c:pt idx="2">
                  <c:v>0</c:v>
                </c:pt>
                <c:pt idx="3">
                  <c:v>16.66</c:v>
                </c:pt>
                <c:pt idx="4">
                  <c:v>16.66</c:v>
                </c:pt>
                <c:pt idx="5">
                  <c:v>16.66</c:v>
                </c:pt>
                <c:pt idx="6">
                  <c:v>16.66</c:v>
                </c:pt>
                <c:pt idx="7">
                  <c:v>16.66</c:v>
                </c:pt>
                <c:pt idx="8">
                  <c:v>0</c:v>
                </c:pt>
                <c:pt idx="9">
                  <c:v>0</c:v>
                </c:pt>
                <c:pt idx="10">
                  <c:v>16.66</c:v>
                </c:pt>
                <c:pt idx="11">
                  <c:v>16.66</c:v>
                </c:pt>
                <c:pt idx="12">
                  <c:v>16.66</c:v>
                </c:pt>
                <c:pt idx="13">
                  <c:v>16.66</c:v>
                </c:pt>
                <c:pt idx="14">
                  <c:v>16.66</c:v>
                </c:pt>
                <c:pt idx="15">
                  <c:v>16.66</c:v>
                </c:pt>
                <c:pt idx="16">
                  <c:v>16.66</c:v>
                </c:pt>
                <c:pt idx="17">
                  <c:v>16.66</c:v>
                </c:pt>
                <c:pt idx="18">
                  <c:v>16.66</c:v>
                </c:pt>
                <c:pt idx="19">
                  <c:v>16.66</c:v>
                </c:pt>
                <c:pt idx="20">
                  <c:v>16.66</c:v>
                </c:pt>
                <c:pt idx="21">
                  <c:v>16.66</c:v>
                </c:pt>
                <c:pt idx="22">
                  <c:v>16.66</c:v>
                </c:pt>
                <c:pt idx="23">
                  <c:v>16.66</c:v>
                </c:pt>
                <c:pt idx="24">
                  <c:v>16.66</c:v>
                </c:pt>
                <c:pt idx="25">
                  <c:v>16.66</c:v>
                </c:pt>
              </c:numCache>
            </c:numRef>
          </c:val>
          <c:extLst>
            <c:ext xmlns:c16="http://schemas.microsoft.com/office/drawing/2014/chart" uri="{C3380CC4-5D6E-409C-BE32-E72D297353CC}">
              <c16:uniqueId val="{00000007-5D51-42DD-8E8F-E1C13A9E7356}"/>
            </c:ext>
          </c:extLst>
        </c:ser>
        <c:dLbls>
          <c:showLegendKey val="0"/>
          <c:showVal val="0"/>
          <c:showCatName val="0"/>
          <c:showSerName val="0"/>
          <c:showPercent val="0"/>
          <c:showBubbleSize val="0"/>
        </c:dLbls>
        <c:gapWidth val="150"/>
        <c:overlap val="100"/>
        <c:axId val="888436495"/>
        <c:axId val="918305375"/>
      </c:barChart>
      <c:catAx>
        <c:axId val="88843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305375"/>
        <c:crosses val="autoZero"/>
        <c:auto val="1"/>
        <c:lblAlgn val="ctr"/>
        <c:lblOffset val="100"/>
        <c:noMultiLvlLbl val="0"/>
      </c:catAx>
      <c:valAx>
        <c:axId val="91830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436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Colombia- Promised Reforms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Scores'!$B$83:$AA$83</c:f>
              <c:numCache>
                <c:formatCode>General</c:formatCode>
                <c:ptCount val="26"/>
                <c:pt idx="0">
                  <c:v>0</c:v>
                </c:pt>
                <c:pt idx="1">
                  <c:v>0</c:v>
                </c:pt>
                <c:pt idx="2">
                  <c:v>0</c:v>
                </c:pt>
                <c:pt idx="3">
                  <c:v>0</c:v>
                </c:pt>
                <c:pt idx="4">
                  <c:v>0</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4-98FE-4407-A343-26BCFCC49AA3}"/>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Scores'!$B$123:$AA$123</c:f>
              <c:numCache>
                <c:formatCode>0.00</c:formatCode>
                <c:ptCount val="26"/>
                <c:pt idx="0">
                  <c:v>8.4616688116026886</c:v>
                </c:pt>
                <c:pt idx="1">
                  <c:v>8.4616688116026886</c:v>
                </c:pt>
                <c:pt idx="2">
                  <c:v>8.6716334052698674</c:v>
                </c:pt>
                <c:pt idx="3">
                  <c:v>8.8236304806295767</c:v>
                </c:pt>
                <c:pt idx="4">
                  <c:v>8.7245544163368773</c:v>
                </c:pt>
                <c:pt idx="5">
                  <c:v>8.7386170768882856</c:v>
                </c:pt>
                <c:pt idx="6">
                  <c:v>10.727397690382123</c:v>
                </c:pt>
                <c:pt idx="7">
                  <c:v>13.315479432515104</c:v>
                </c:pt>
                <c:pt idx="8">
                  <c:v>14.200164474160381</c:v>
                </c:pt>
                <c:pt idx="9">
                  <c:v>14.255119781031016</c:v>
                </c:pt>
                <c:pt idx="10">
                  <c:v>14.131873458002648</c:v>
                </c:pt>
                <c:pt idx="11">
                  <c:v>13.855377161988109</c:v>
                </c:pt>
                <c:pt idx="12">
                  <c:v>13.838767112675022</c:v>
                </c:pt>
                <c:pt idx="13">
                  <c:v>13.836441756462875</c:v>
                </c:pt>
                <c:pt idx="14">
                  <c:v>13.817901729608529</c:v>
                </c:pt>
                <c:pt idx="15">
                  <c:v>13.817901729608529</c:v>
                </c:pt>
                <c:pt idx="16">
                  <c:v>14.499732287429149</c:v>
                </c:pt>
                <c:pt idx="17">
                  <c:v>14.500326237737992</c:v>
                </c:pt>
                <c:pt idx="18">
                  <c:v>14.496149632352342</c:v>
                </c:pt>
                <c:pt idx="19">
                  <c:v>14.495714184191499</c:v>
                </c:pt>
                <c:pt idx="20">
                  <c:v>14.375492684911457</c:v>
                </c:pt>
                <c:pt idx="21">
                  <c:v>14.078767229326647</c:v>
                </c:pt>
                <c:pt idx="22">
                  <c:v>14.101856776770358</c:v>
                </c:pt>
                <c:pt idx="23">
                  <c:v>14.127215635363191</c:v>
                </c:pt>
                <c:pt idx="24">
                  <c:v>14.329777456314593</c:v>
                </c:pt>
                <c:pt idx="25">
                  <c:v>14.329777456314593</c:v>
                </c:pt>
              </c:numCache>
            </c:numRef>
          </c:val>
          <c:extLst>
            <c:ext xmlns:c16="http://schemas.microsoft.com/office/drawing/2014/chart" uri="{C3380CC4-5D6E-409C-BE32-E72D297353CC}">
              <c16:uniqueId val="{00000006-98FE-4407-A343-26BCFCC49AA3}"/>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Scores'!$B$3:$AA$3</c:f>
              <c:numCache>
                <c:formatCode>General</c:formatCode>
                <c:ptCount val="26"/>
                <c:pt idx="0">
                  <c:v>0</c:v>
                </c:pt>
                <c:pt idx="1">
                  <c:v>0</c:v>
                </c:pt>
                <c:pt idx="2">
                  <c:v>0</c:v>
                </c:pt>
                <c:pt idx="3">
                  <c:v>0</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98FE-4407-A343-26BCFCC49AA3}"/>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Scores'!$B$43:$AA$43</c:f>
              <c:numCache>
                <c:formatCode>General</c:formatCode>
                <c:ptCount val="26"/>
                <c:pt idx="0">
                  <c:v>0</c:v>
                </c:pt>
                <c:pt idx="1">
                  <c:v>0</c:v>
                </c:pt>
                <c:pt idx="2">
                  <c:v>0</c:v>
                </c:pt>
                <c:pt idx="3">
                  <c:v>0</c:v>
                </c:pt>
                <c:pt idx="4">
                  <c:v>0</c:v>
                </c:pt>
                <c:pt idx="5">
                  <c:v>18.75</c:v>
                </c:pt>
                <c:pt idx="6">
                  <c:v>18.75</c:v>
                </c:pt>
                <c:pt idx="7">
                  <c:v>18.75</c:v>
                </c:pt>
                <c:pt idx="8">
                  <c:v>18.75</c:v>
                </c:pt>
                <c:pt idx="9">
                  <c:v>18.75</c:v>
                </c:pt>
                <c:pt idx="10">
                  <c:v>18.75</c:v>
                </c:pt>
                <c:pt idx="11">
                  <c:v>18.75</c:v>
                </c:pt>
                <c:pt idx="12">
                  <c:v>18.75</c:v>
                </c:pt>
                <c:pt idx="13">
                  <c:v>18.75</c:v>
                </c:pt>
                <c:pt idx="14">
                  <c:v>18.75</c:v>
                </c:pt>
                <c:pt idx="15">
                  <c:v>18.75</c:v>
                </c:pt>
                <c:pt idx="16">
                  <c:v>18.75</c:v>
                </c:pt>
                <c:pt idx="17">
                  <c:v>18.75</c:v>
                </c:pt>
                <c:pt idx="18">
                  <c:v>18.75</c:v>
                </c:pt>
                <c:pt idx="19">
                  <c:v>18.75</c:v>
                </c:pt>
                <c:pt idx="20">
                  <c:v>18.75</c:v>
                </c:pt>
                <c:pt idx="21">
                  <c:v>18.75</c:v>
                </c:pt>
                <c:pt idx="22">
                  <c:v>18.75</c:v>
                </c:pt>
                <c:pt idx="23">
                  <c:v>18.75</c:v>
                </c:pt>
                <c:pt idx="24">
                  <c:v>18.75</c:v>
                </c:pt>
                <c:pt idx="25">
                  <c:v>18.75</c:v>
                </c:pt>
              </c:numCache>
            </c:numRef>
          </c:val>
          <c:extLst>
            <c:ext xmlns:c16="http://schemas.microsoft.com/office/drawing/2014/chart" uri="{C3380CC4-5D6E-409C-BE32-E72D297353CC}">
              <c16:uniqueId val="{00000002-98FE-4407-A343-26BCFCC49AA3}"/>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Scores'!$B$102:$AA$102</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98FE-4407-A343-26BCFCC49AA3}"/>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Scores'!$B$143:$AA$143</c:f>
              <c:numCache>
                <c:formatCode>General</c:formatCode>
                <c:ptCount val="26"/>
                <c:pt idx="0">
                  <c:v>0</c:v>
                </c:pt>
                <c:pt idx="1">
                  <c:v>0</c:v>
                </c:pt>
                <c:pt idx="2">
                  <c:v>0</c:v>
                </c:pt>
                <c:pt idx="3">
                  <c:v>0</c:v>
                </c:pt>
                <c:pt idx="4" formatCode="0.00">
                  <c:v>16.275445583663121</c:v>
                </c:pt>
                <c:pt idx="5" formatCode="0.00">
                  <c:v>16.261382923111714</c:v>
                </c:pt>
                <c:pt idx="6" formatCode="0.00">
                  <c:v>14.272602309617877</c:v>
                </c:pt>
                <c:pt idx="7" formatCode="0.00">
                  <c:v>11.684520567484896</c:v>
                </c:pt>
                <c:pt idx="8" formatCode="0.00">
                  <c:v>10.799835525839619</c:v>
                </c:pt>
                <c:pt idx="9" formatCode="0.00">
                  <c:v>10.744880218968984</c:v>
                </c:pt>
                <c:pt idx="10" formatCode="0.00">
                  <c:v>10.868126541997352</c:v>
                </c:pt>
                <c:pt idx="11" formatCode="0.00">
                  <c:v>11.144622838011891</c:v>
                </c:pt>
                <c:pt idx="12" formatCode="0.00">
                  <c:v>11.161232887324978</c:v>
                </c:pt>
                <c:pt idx="13" formatCode="0.00">
                  <c:v>11.163558243537125</c:v>
                </c:pt>
                <c:pt idx="14" formatCode="0.00">
                  <c:v>11.182098270391471</c:v>
                </c:pt>
                <c:pt idx="15" formatCode="0.00">
                  <c:v>11.182098270391471</c:v>
                </c:pt>
                <c:pt idx="16" formatCode="0.00">
                  <c:v>10.500267712570851</c:v>
                </c:pt>
                <c:pt idx="17" formatCode="0.00">
                  <c:v>10.499673762262008</c:v>
                </c:pt>
                <c:pt idx="18" formatCode="0.00">
                  <c:v>10.503850367647658</c:v>
                </c:pt>
                <c:pt idx="19" formatCode="0.00">
                  <c:v>10.504285815808501</c:v>
                </c:pt>
                <c:pt idx="20" formatCode="0.00">
                  <c:v>10.624507315088543</c:v>
                </c:pt>
                <c:pt idx="21" formatCode="0.00">
                  <c:v>10.921232770673353</c:v>
                </c:pt>
                <c:pt idx="22" formatCode="0.00">
                  <c:v>10.898143223229642</c:v>
                </c:pt>
                <c:pt idx="23" formatCode="0.00">
                  <c:v>10.872784364636809</c:v>
                </c:pt>
                <c:pt idx="24" formatCode="0.00">
                  <c:v>10.670222543685407</c:v>
                </c:pt>
                <c:pt idx="25" formatCode="0.00">
                  <c:v>10.670222543685407</c:v>
                </c:pt>
              </c:numCache>
            </c:numRef>
          </c:val>
          <c:extLst>
            <c:ext xmlns:c16="http://schemas.microsoft.com/office/drawing/2014/chart" uri="{C3380CC4-5D6E-409C-BE32-E72D297353CC}">
              <c16:uniqueId val="{00000007-98FE-4407-A343-26BCFCC49AA3}"/>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Scores'!$B$22:$AA$22</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98FE-4407-A343-26BCFCC49AA3}"/>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Scores'!$B$62:$AA$62</c:f>
              <c:numCache>
                <c:formatCode>General</c:formatCode>
                <c:ptCount val="26"/>
                <c:pt idx="0">
                  <c:v>0</c:v>
                </c:pt>
                <c:pt idx="1">
                  <c:v>0</c:v>
                </c:pt>
                <c:pt idx="2">
                  <c:v>0</c:v>
                </c:pt>
                <c:pt idx="3">
                  <c:v>0</c:v>
                </c:pt>
                <c:pt idx="4">
                  <c:v>25</c:v>
                </c:pt>
                <c:pt idx="5">
                  <c:v>6.25</c:v>
                </c:pt>
                <c:pt idx="6">
                  <c:v>6.25</c:v>
                </c:pt>
                <c:pt idx="7">
                  <c:v>6.25</c:v>
                </c:pt>
                <c:pt idx="8">
                  <c:v>6.25</c:v>
                </c:pt>
                <c:pt idx="9">
                  <c:v>6.25</c:v>
                </c:pt>
                <c:pt idx="10">
                  <c:v>6.25</c:v>
                </c:pt>
                <c:pt idx="11">
                  <c:v>6.25</c:v>
                </c:pt>
                <c:pt idx="12">
                  <c:v>6.25</c:v>
                </c:pt>
                <c:pt idx="13">
                  <c:v>6.25</c:v>
                </c:pt>
                <c:pt idx="14">
                  <c:v>6.25</c:v>
                </c:pt>
                <c:pt idx="15">
                  <c:v>6.25</c:v>
                </c:pt>
                <c:pt idx="16">
                  <c:v>6.25</c:v>
                </c:pt>
                <c:pt idx="17">
                  <c:v>6.25</c:v>
                </c:pt>
                <c:pt idx="18">
                  <c:v>6.25</c:v>
                </c:pt>
                <c:pt idx="19">
                  <c:v>6.25</c:v>
                </c:pt>
                <c:pt idx="20">
                  <c:v>6.25</c:v>
                </c:pt>
                <c:pt idx="21">
                  <c:v>6.25</c:v>
                </c:pt>
                <c:pt idx="22">
                  <c:v>6.25</c:v>
                </c:pt>
                <c:pt idx="23">
                  <c:v>6.25</c:v>
                </c:pt>
                <c:pt idx="24">
                  <c:v>6.25</c:v>
                </c:pt>
                <c:pt idx="25">
                  <c:v>6.25</c:v>
                </c:pt>
              </c:numCache>
            </c:numRef>
          </c:val>
          <c:extLst>
            <c:ext xmlns:c16="http://schemas.microsoft.com/office/drawing/2014/chart" uri="{C3380CC4-5D6E-409C-BE32-E72D297353CC}">
              <c16:uniqueId val="{00000003-98FE-4407-A343-26BCFCC49AA3}"/>
            </c:ext>
          </c:extLst>
        </c:ser>
        <c:dLbls>
          <c:showLegendKey val="0"/>
          <c:showVal val="0"/>
          <c:showCatName val="0"/>
          <c:showSerName val="0"/>
          <c:showPercent val="0"/>
          <c:showBubbleSize val="0"/>
        </c:dLbls>
        <c:gapWidth val="150"/>
        <c:overlap val="100"/>
        <c:axId val="1442415167"/>
        <c:axId val="1372546607"/>
      </c:barChart>
      <c:catAx>
        <c:axId val="14424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546607"/>
        <c:crosses val="autoZero"/>
        <c:auto val="1"/>
        <c:lblAlgn val="ctr"/>
        <c:lblOffset val="100"/>
        <c:noMultiLvlLbl val="0"/>
      </c:catAx>
      <c:valAx>
        <c:axId val="1372546607"/>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1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Dominican Republic- Promised Reforms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Scores'!$B$84:$AA$84</c:f>
              <c:numCache>
                <c:formatCode>General</c:formatCode>
                <c:ptCount val="26"/>
                <c:pt idx="0">
                  <c:v>0</c:v>
                </c:pt>
                <c:pt idx="1">
                  <c:v>0</c:v>
                </c:pt>
                <c:pt idx="2">
                  <c:v>0</c:v>
                </c:pt>
                <c:pt idx="3">
                  <c:v>0</c:v>
                </c:pt>
                <c:pt idx="4">
                  <c:v>0</c:v>
                </c:pt>
                <c:pt idx="5">
                  <c:v>12.5</c:v>
                </c:pt>
                <c:pt idx="6">
                  <c:v>12.5</c:v>
                </c:pt>
                <c:pt idx="7">
                  <c:v>12.5</c:v>
                </c:pt>
                <c:pt idx="8">
                  <c:v>12.5</c:v>
                </c:pt>
                <c:pt idx="9">
                  <c:v>12.5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4-DE38-4F42-83A6-C01D6BB639F1}"/>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Scores'!$B$124:$AA$124</c:f>
              <c:numCache>
                <c:formatCode>0.00</c:formatCode>
                <c:ptCount val="26"/>
                <c:pt idx="0">
                  <c:v>5.2471963000529618</c:v>
                </c:pt>
                <c:pt idx="1">
                  <c:v>5.2471963000529618</c:v>
                </c:pt>
                <c:pt idx="2">
                  <c:v>5.4900233902832669</c:v>
                </c:pt>
                <c:pt idx="3">
                  <c:v>5.5139593059585899</c:v>
                </c:pt>
                <c:pt idx="4">
                  <c:v>5.9016814739513554</c:v>
                </c:pt>
                <c:pt idx="5">
                  <c:v>6.4067570155987363</c:v>
                </c:pt>
                <c:pt idx="6">
                  <c:v>6.9684652704506647</c:v>
                </c:pt>
                <c:pt idx="7">
                  <c:v>19.495581536509327</c:v>
                </c:pt>
                <c:pt idx="8">
                  <c:v>19.756749458111493</c:v>
                </c:pt>
                <c:pt idx="9">
                  <c:v>19.77387160653938</c:v>
                </c:pt>
                <c:pt idx="10">
                  <c:v>19.658815219899765</c:v>
                </c:pt>
                <c:pt idx="11">
                  <c:v>20.007343523362717</c:v>
                </c:pt>
                <c:pt idx="12">
                  <c:v>19.705805536469711</c:v>
                </c:pt>
                <c:pt idx="13">
                  <c:v>11.546074165665573</c:v>
                </c:pt>
                <c:pt idx="14">
                  <c:v>11.537863991378977</c:v>
                </c:pt>
                <c:pt idx="15">
                  <c:v>11.542186242525585</c:v>
                </c:pt>
                <c:pt idx="16">
                  <c:v>11.582343487281349</c:v>
                </c:pt>
                <c:pt idx="17">
                  <c:v>11.58371555921542</c:v>
                </c:pt>
                <c:pt idx="18">
                  <c:v>11.464361943043064</c:v>
                </c:pt>
                <c:pt idx="19">
                  <c:v>11.503041791714317</c:v>
                </c:pt>
                <c:pt idx="20">
                  <c:v>7.806722034497934</c:v>
                </c:pt>
                <c:pt idx="21">
                  <c:v>7.7414411447064433</c:v>
                </c:pt>
                <c:pt idx="22">
                  <c:v>7.7775320133061765</c:v>
                </c:pt>
                <c:pt idx="23">
                  <c:v>7.3886529472925737</c:v>
                </c:pt>
                <c:pt idx="24">
                  <c:v>7.3881122898528382</c:v>
                </c:pt>
                <c:pt idx="25">
                  <c:v>7.3881122898528382</c:v>
                </c:pt>
              </c:numCache>
            </c:numRef>
          </c:val>
          <c:extLst>
            <c:ext xmlns:c16="http://schemas.microsoft.com/office/drawing/2014/chart" uri="{C3380CC4-5D6E-409C-BE32-E72D297353CC}">
              <c16:uniqueId val="{00000006-DE38-4F42-83A6-C01D6BB639F1}"/>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Scores'!$B$4:$AA$4</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DE38-4F42-83A6-C01D6BB639F1}"/>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Scores'!$B$44:$AA$44</c:f>
              <c:numCache>
                <c:formatCode>General</c:formatCode>
                <c:ptCount val="26"/>
                <c:pt idx="0">
                  <c:v>0</c:v>
                </c:pt>
                <c:pt idx="1">
                  <c:v>0</c:v>
                </c:pt>
                <c:pt idx="2">
                  <c:v>0</c:v>
                </c:pt>
                <c:pt idx="3">
                  <c:v>0</c:v>
                </c:pt>
                <c:pt idx="4">
                  <c:v>0</c:v>
                </c:pt>
                <c:pt idx="5">
                  <c:v>0</c:v>
                </c:pt>
                <c:pt idx="6">
                  <c:v>0</c:v>
                </c:pt>
                <c:pt idx="7">
                  <c:v>0</c:v>
                </c:pt>
                <c:pt idx="8">
                  <c:v>12.5</c:v>
                </c:pt>
                <c:pt idx="9">
                  <c:v>12.5</c:v>
                </c:pt>
                <c:pt idx="10">
                  <c:v>12.5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2-DE38-4F42-83A6-C01D6BB639F1}"/>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Scores'!$B$103:$AA$103</c:f>
              <c:numCache>
                <c:formatCode>General</c:formatCode>
                <c:ptCount val="26"/>
                <c:pt idx="0">
                  <c:v>0</c:v>
                </c:pt>
                <c:pt idx="1">
                  <c:v>0</c:v>
                </c:pt>
                <c:pt idx="2">
                  <c:v>0</c:v>
                </c:pt>
                <c:pt idx="3">
                  <c:v>12.5</c:v>
                </c:pt>
                <c:pt idx="4">
                  <c:v>12.5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DE38-4F42-83A6-C01D6BB639F1}"/>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Scores'!$B$144:$AA$144</c:f>
              <c:numCache>
                <c:formatCode>General</c:formatCode>
                <c:ptCount val="26"/>
                <c:pt idx="0">
                  <c:v>0</c:v>
                </c:pt>
                <c:pt idx="1">
                  <c:v>0</c:v>
                </c:pt>
                <c:pt idx="2">
                  <c:v>0</c:v>
                </c:pt>
                <c:pt idx="3">
                  <c:v>0</c:v>
                </c:pt>
                <c:pt idx="4">
                  <c:v>0</c:v>
                </c:pt>
                <c:pt idx="5">
                  <c:v>0</c:v>
                </c:pt>
                <c:pt idx="6">
                  <c:v>0</c:v>
                </c:pt>
                <c:pt idx="7" formatCode="0.00">
                  <c:v>5.5044184634906728</c:v>
                </c:pt>
                <c:pt idx="8" formatCode="0.00">
                  <c:v>5.2432505418885071</c:v>
                </c:pt>
                <c:pt idx="9" formatCode="0.00">
                  <c:v>5.2261283934606197</c:v>
                </c:pt>
                <c:pt idx="10" formatCode="0.00">
                  <c:v>5.3411847801002352</c:v>
                </c:pt>
                <c:pt idx="11" formatCode="0.00">
                  <c:v>4.9926564766372827</c:v>
                </c:pt>
                <c:pt idx="12" formatCode="0.00">
                  <c:v>5.2941944635302889</c:v>
                </c:pt>
                <c:pt idx="13" formatCode="0.00">
                  <c:v>13.453925834334427</c:v>
                </c:pt>
                <c:pt idx="14" formatCode="0.00">
                  <c:v>13.462136008621023</c:v>
                </c:pt>
                <c:pt idx="15" formatCode="0.00">
                  <c:v>13.457813757474415</c:v>
                </c:pt>
                <c:pt idx="16" formatCode="0.00">
                  <c:v>13.417656512718651</c:v>
                </c:pt>
                <c:pt idx="17" formatCode="0.00">
                  <c:v>13.41628444078458</c:v>
                </c:pt>
                <c:pt idx="18" formatCode="0.00">
                  <c:v>13.535638056956936</c:v>
                </c:pt>
                <c:pt idx="19" formatCode="0.00">
                  <c:v>13.496958208285683</c:v>
                </c:pt>
                <c:pt idx="20" formatCode="0.00">
                  <c:v>17.193277965502066</c:v>
                </c:pt>
                <c:pt idx="21" formatCode="0.00">
                  <c:v>17.258558855293558</c:v>
                </c:pt>
                <c:pt idx="22" formatCode="0.00">
                  <c:v>17.222467986693822</c:v>
                </c:pt>
                <c:pt idx="23" formatCode="0.00">
                  <c:v>17.611347052707426</c:v>
                </c:pt>
                <c:pt idx="24" formatCode="0.00">
                  <c:v>17.611887710147162</c:v>
                </c:pt>
                <c:pt idx="25" formatCode="0.00">
                  <c:v>17.611887710147162</c:v>
                </c:pt>
              </c:numCache>
            </c:numRef>
          </c:val>
          <c:extLst>
            <c:ext xmlns:c16="http://schemas.microsoft.com/office/drawing/2014/chart" uri="{C3380CC4-5D6E-409C-BE32-E72D297353CC}">
              <c16:uniqueId val="{00000007-DE38-4F42-83A6-C01D6BB639F1}"/>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Scores'!$B$23:$AA$23</c:f>
              <c:numCache>
                <c:formatCode>General</c:formatCode>
                <c:ptCount val="26"/>
                <c:pt idx="0">
                  <c:v>0</c:v>
                </c:pt>
                <c:pt idx="1">
                  <c:v>0</c:v>
                </c:pt>
                <c:pt idx="2">
                  <c:v>0</c:v>
                </c:pt>
                <c:pt idx="3">
                  <c:v>25</c:v>
                </c:pt>
                <c:pt idx="4">
                  <c:v>25</c:v>
                </c:pt>
                <c:pt idx="5">
                  <c:v>25</c:v>
                </c:pt>
                <c:pt idx="6">
                  <c:v>25</c:v>
                </c:pt>
                <c:pt idx="7">
                  <c:v>25</c:v>
                </c:pt>
                <c:pt idx="8">
                  <c:v>25</c:v>
                </c:pt>
                <c:pt idx="9">
                  <c:v>25</c:v>
                </c:pt>
                <c:pt idx="10">
                  <c:v>25</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DE38-4F42-83A6-C01D6BB639F1}"/>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Scores'!$B$63:$AA$63</c:f>
              <c:numCache>
                <c:formatCode>General</c:formatCode>
                <c:ptCount val="26"/>
                <c:pt idx="0">
                  <c:v>0</c:v>
                </c:pt>
                <c:pt idx="1">
                  <c:v>0</c:v>
                </c:pt>
                <c:pt idx="2">
                  <c:v>0</c:v>
                </c:pt>
                <c:pt idx="3">
                  <c:v>25</c:v>
                </c:pt>
                <c:pt idx="4">
                  <c:v>25</c:v>
                </c:pt>
                <c:pt idx="5">
                  <c:v>25</c:v>
                </c:pt>
                <c:pt idx="6">
                  <c:v>25</c:v>
                </c:pt>
                <c:pt idx="7">
                  <c:v>25</c:v>
                </c:pt>
                <c:pt idx="8">
                  <c:v>12.5</c:v>
                </c:pt>
                <c:pt idx="9">
                  <c:v>12.5</c:v>
                </c:pt>
                <c:pt idx="10">
                  <c:v>12.5</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DE38-4F42-83A6-C01D6BB639F1}"/>
            </c:ext>
          </c:extLst>
        </c:ser>
        <c:dLbls>
          <c:showLegendKey val="0"/>
          <c:showVal val="0"/>
          <c:showCatName val="0"/>
          <c:showSerName val="0"/>
          <c:showPercent val="0"/>
          <c:showBubbleSize val="0"/>
        </c:dLbls>
        <c:gapWidth val="150"/>
        <c:overlap val="100"/>
        <c:axId val="1581108303"/>
        <c:axId val="1441007935"/>
      </c:barChart>
      <c:catAx>
        <c:axId val="158110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007935"/>
        <c:crosses val="autoZero"/>
        <c:auto val="1"/>
        <c:lblAlgn val="ctr"/>
        <c:lblOffset val="100"/>
        <c:noMultiLvlLbl val="0"/>
      </c:catAx>
      <c:valAx>
        <c:axId val="144100793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10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Viet</a:t>
            </a:r>
            <a:r>
              <a:rPr lang="en-US" baseline="0"/>
              <a:t> Nam - Promised Reforms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'Promised And Actual Scores'!$A$81</c:f>
              <c:strCache>
                <c:ptCount val="1"/>
                <c:pt idx="0">
                  <c:v>Competition Sub-Index</c:v>
                </c:pt>
              </c:strCache>
            </c:strRef>
          </c:tx>
          <c:spPr>
            <a:solidFill>
              <a:schemeClr val="accent6"/>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Scores'!$B$99:$AA$99</c:f>
              <c:numCache>
                <c:formatCode>General</c:formatCode>
                <c:ptCount val="26"/>
                <c:pt idx="0">
                  <c:v>0</c:v>
                </c:pt>
                <c:pt idx="1">
                  <c:v>0</c:v>
                </c:pt>
                <c:pt idx="2">
                  <c:v>0</c:v>
                </c:pt>
                <c:pt idx="3">
                  <c:v>0</c:v>
                </c:pt>
                <c:pt idx="4">
                  <c:v>0</c:v>
                </c:pt>
                <c:pt idx="5">
                  <c:v>0</c:v>
                </c:pt>
                <c:pt idx="6">
                  <c:v>0</c:v>
                </c:pt>
                <c:pt idx="7">
                  <c:v>0</c:v>
                </c:pt>
                <c:pt idx="8">
                  <c:v>6.25</c:v>
                </c:pt>
                <c:pt idx="9">
                  <c:v>6.25</c:v>
                </c:pt>
                <c:pt idx="10">
                  <c:v>6.25</c:v>
                </c:pt>
                <c:pt idx="11">
                  <c:v>6.25</c:v>
                </c:pt>
                <c:pt idx="12">
                  <c:v>6.25</c:v>
                </c:pt>
                <c:pt idx="13">
                  <c:v>6.25</c:v>
                </c:pt>
                <c:pt idx="14">
                  <c:v>6.25</c:v>
                </c:pt>
                <c:pt idx="15">
                  <c:v>6.25</c:v>
                </c:pt>
                <c:pt idx="16">
                  <c:v>6.25</c:v>
                </c:pt>
                <c:pt idx="17">
                  <c:v>6.25</c:v>
                </c:pt>
                <c:pt idx="18">
                  <c:v>6.25</c:v>
                </c:pt>
                <c:pt idx="19">
                  <c:v>12.5</c:v>
                </c:pt>
                <c:pt idx="20">
                  <c:v>12.5</c:v>
                </c:pt>
                <c:pt idx="21">
                  <c:v>12.5</c:v>
                </c:pt>
                <c:pt idx="22">
                  <c:v>12.5</c:v>
                </c:pt>
                <c:pt idx="23">
                  <c:v>12.5</c:v>
                </c:pt>
                <c:pt idx="24">
                  <c:v>12.5</c:v>
                </c:pt>
                <c:pt idx="25">
                  <c:v>18.75</c:v>
                </c:pt>
              </c:numCache>
            </c:numRef>
          </c:val>
          <c:extLst>
            <c:ext xmlns:c16="http://schemas.microsoft.com/office/drawing/2014/chart" uri="{C3380CC4-5D6E-409C-BE32-E72D297353CC}">
              <c16:uniqueId val="{00000004-762E-4D77-80EA-33BD7DE46F1C}"/>
            </c:ext>
          </c:extLst>
        </c:ser>
        <c:ser>
          <c:idx val="6"/>
          <c:order val="1"/>
          <c:tx>
            <c:strRef>
              <c:f>'Promised And Actual Scores'!$A$121</c:f>
              <c:strCache>
                <c:ptCount val="1"/>
                <c:pt idx="0">
                  <c:v>PSP Sub-Index</c:v>
                </c:pt>
              </c:strCache>
            </c:strRef>
          </c:tx>
          <c:spPr>
            <a:solidFill>
              <a:schemeClr val="accent4"/>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Scores'!$B$139:$AA$139</c:f>
              <c:numCache>
                <c:formatCode>0.00</c:formatCode>
                <c:ptCount val="26"/>
                <c:pt idx="0">
                  <c:v>0</c:v>
                </c:pt>
                <c:pt idx="1">
                  <c:v>0</c:v>
                </c:pt>
                <c:pt idx="2">
                  <c:v>0</c:v>
                </c:pt>
                <c:pt idx="3">
                  <c:v>0</c:v>
                </c:pt>
                <c:pt idx="4">
                  <c:v>0</c:v>
                </c:pt>
                <c:pt idx="5">
                  <c:v>0</c:v>
                </c:pt>
                <c:pt idx="6">
                  <c:v>0.1326684461439859</c:v>
                </c:pt>
                <c:pt idx="7">
                  <c:v>0.71835442172724306</c:v>
                </c:pt>
                <c:pt idx="8">
                  <c:v>0.99433738944407923</c:v>
                </c:pt>
                <c:pt idx="9">
                  <c:v>0.88729392329722889</c:v>
                </c:pt>
                <c:pt idx="10">
                  <c:v>0.82790746140999771</c:v>
                </c:pt>
                <c:pt idx="11">
                  <c:v>0.65989224293288207</c:v>
                </c:pt>
                <c:pt idx="12">
                  <c:v>0.61506743753340121</c:v>
                </c:pt>
                <c:pt idx="13">
                  <c:v>1.2426439539074134</c:v>
                </c:pt>
                <c:pt idx="14">
                  <c:v>1.4844709640917764</c:v>
                </c:pt>
                <c:pt idx="15">
                  <c:v>2.153085530330467</c:v>
                </c:pt>
                <c:pt idx="16">
                  <c:v>2.1616498279651459</c:v>
                </c:pt>
                <c:pt idx="17">
                  <c:v>2.659180358170333</c:v>
                </c:pt>
                <c:pt idx="18">
                  <c:v>3.3901228447464358</c:v>
                </c:pt>
                <c:pt idx="19">
                  <c:v>3.5865887203626388</c:v>
                </c:pt>
                <c:pt idx="20">
                  <c:v>3.9952395457276744</c:v>
                </c:pt>
                <c:pt idx="21">
                  <c:v>4.0341941727938044</c:v>
                </c:pt>
                <c:pt idx="22">
                  <c:v>4.0078822838769668</c:v>
                </c:pt>
                <c:pt idx="23">
                  <c:v>4.3871474107047979</c:v>
                </c:pt>
                <c:pt idx="24">
                  <c:v>4.2659840253559249</c:v>
                </c:pt>
                <c:pt idx="25">
                  <c:v>4.2659840253559249</c:v>
                </c:pt>
              </c:numCache>
            </c:numRef>
          </c:val>
          <c:extLst>
            <c:ext xmlns:c16="http://schemas.microsoft.com/office/drawing/2014/chart" uri="{C3380CC4-5D6E-409C-BE32-E72D297353CC}">
              <c16:uniqueId val="{00000006-762E-4D77-80EA-33BD7DE46F1C}"/>
            </c:ext>
          </c:extLst>
        </c:ser>
        <c:ser>
          <c:idx val="0"/>
          <c:order val="2"/>
          <c:tx>
            <c:strRef>
              <c:f>'Promised And Actual Scores'!$A$1</c:f>
              <c:strCache>
                <c:ptCount val="1"/>
                <c:pt idx="0">
                  <c:v>Regulation Sub-Index</c:v>
                </c:pt>
              </c:strCache>
            </c:strRef>
          </c:tx>
          <c:spPr>
            <a:solidFill>
              <a:schemeClr val="accent1"/>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Scores'!$B$19:$AA$19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25</c:v>
                </c:pt>
                <c:pt idx="16">
                  <c:v>25</c:v>
                </c:pt>
                <c:pt idx="17">
                  <c:v>25</c:v>
                </c:pt>
                <c:pt idx="18">
                  <c:v>25</c:v>
                </c:pt>
                <c:pt idx="19">
                  <c:v>25</c:v>
                </c:pt>
                <c:pt idx="20">
                  <c:v>25</c:v>
                </c:pt>
                <c:pt idx="21">
                  <c:v>25</c:v>
                </c:pt>
                <c:pt idx="22">
                  <c:v>25</c:v>
                </c:pt>
                <c:pt idx="23">
                  <c:v>25</c:v>
                </c:pt>
                <c:pt idx="24">
                  <c:v>25</c:v>
                </c:pt>
                <c:pt idx="25">
                  <c:v>25</c:v>
                </c:pt>
              </c:numCache>
            </c:numRef>
          </c:val>
          <c:extLst>
            <c:ext xmlns:c16="http://schemas.microsoft.com/office/drawing/2014/chart" uri="{C3380CC4-5D6E-409C-BE32-E72D297353CC}">
              <c16:uniqueId val="{00000000-762E-4D77-80EA-33BD7DE46F1C}"/>
            </c:ext>
          </c:extLst>
        </c:ser>
        <c:ser>
          <c:idx val="2"/>
          <c:order val="3"/>
          <c:tx>
            <c:strRef>
              <c:f>'Promised And Actual Scores'!$A$41</c:f>
              <c:strCache>
                <c:ptCount val="1"/>
                <c:pt idx="0">
                  <c:v>Restructuring Sub-Index</c:v>
                </c:pt>
              </c:strCache>
            </c:strRef>
          </c:tx>
          <c:spPr>
            <a:solidFill>
              <a:schemeClr val="accent2"/>
            </a:soli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Scores'!$B$59:$AA$59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2-762E-4D77-80EA-33BD7DE46F1C}"/>
            </c:ext>
          </c:extLst>
        </c:ser>
        <c:ser>
          <c:idx val="5"/>
          <c:order val="4"/>
          <c:tx>
            <c:strRef>
              <c:f>'Promised And Actual Scores'!$A$101</c:f>
              <c:strCache>
                <c:ptCount val="1"/>
                <c:pt idx="0">
                  <c:v>Announced Competition</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Scores'!$B$118:$AA$118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18.75</c:v>
                </c:pt>
                <c:pt idx="15">
                  <c:v>18.75</c:v>
                </c:pt>
                <c:pt idx="16">
                  <c:v>18.75</c:v>
                </c:pt>
                <c:pt idx="17">
                  <c:v>18.75</c:v>
                </c:pt>
                <c:pt idx="18">
                  <c:v>18.75</c:v>
                </c:pt>
                <c:pt idx="19">
                  <c:v>12.5</c:v>
                </c:pt>
                <c:pt idx="20">
                  <c:v>12.5</c:v>
                </c:pt>
                <c:pt idx="21">
                  <c:v>12.5</c:v>
                </c:pt>
                <c:pt idx="22">
                  <c:v>12.5</c:v>
                </c:pt>
                <c:pt idx="23">
                  <c:v>12.5</c:v>
                </c:pt>
                <c:pt idx="24">
                  <c:v>12.5</c:v>
                </c:pt>
                <c:pt idx="25">
                  <c:v>6.25</c:v>
                </c:pt>
              </c:numCache>
            </c:numRef>
          </c:val>
          <c:extLst>
            <c:ext xmlns:c16="http://schemas.microsoft.com/office/drawing/2014/chart" uri="{C3380CC4-5D6E-409C-BE32-E72D297353CC}">
              <c16:uniqueId val="{00000005-762E-4D77-80EA-33BD7DE46F1C}"/>
            </c:ext>
          </c:extLst>
        </c:ser>
        <c:ser>
          <c:idx val="7"/>
          <c:order val="5"/>
          <c:tx>
            <c:strRef>
              <c:f>'Promised And Actual Scores'!$A$142</c:f>
              <c:strCache>
                <c:ptCount val="1"/>
                <c:pt idx="0">
                  <c:v>Announced PSP</c:v>
                </c:pt>
              </c:strCache>
            </c:strRef>
          </c:tx>
          <c:spPr>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Scores'!$B$159:$AA$159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formatCode="0.00">
                  <c:v>7.2655290359082239</c:v>
                </c:pt>
                <c:pt idx="15" formatCode="0.00">
                  <c:v>6.5969144696695334</c:v>
                </c:pt>
                <c:pt idx="16" formatCode="0.00">
                  <c:v>6.5883501720348541</c:v>
                </c:pt>
                <c:pt idx="17" formatCode="0.00">
                  <c:v>6.0908196418296665</c:v>
                </c:pt>
                <c:pt idx="18" formatCode="0.00">
                  <c:v>5.3598771552535638</c:v>
                </c:pt>
                <c:pt idx="19" formatCode="0.00">
                  <c:v>5.1634112796373612</c:v>
                </c:pt>
                <c:pt idx="20" formatCode="0.00">
                  <c:v>4.7547604542723256</c:v>
                </c:pt>
                <c:pt idx="21" formatCode="0.00">
                  <c:v>4.7158058272061956</c:v>
                </c:pt>
                <c:pt idx="22" formatCode="0.00">
                  <c:v>4.7421177161230332</c:v>
                </c:pt>
                <c:pt idx="23" formatCode="0.00">
                  <c:v>4.3628525892952021</c:v>
                </c:pt>
                <c:pt idx="24" formatCode="0.00">
                  <c:v>4.4840159746440751</c:v>
                </c:pt>
                <c:pt idx="25" formatCode="0.00">
                  <c:v>4.4840159746440751</c:v>
                </c:pt>
              </c:numCache>
            </c:numRef>
          </c:val>
          <c:extLst>
            <c:ext xmlns:c16="http://schemas.microsoft.com/office/drawing/2014/chart" uri="{C3380CC4-5D6E-409C-BE32-E72D297353CC}">
              <c16:uniqueId val="{00000007-762E-4D77-80EA-33BD7DE46F1C}"/>
            </c:ext>
          </c:extLst>
        </c:ser>
        <c:ser>
          <c:idx val="1"/>
          <c:order val="6"/>
          <c:tx>
            <c:strRef>
              <c:f>'Promised And Actual Scores'!$A$21</c:f>
              <c:strCache>
                <c:ptCount val="1"/>
                <c:pt idx="0">
                  <c:v>Announced Regulation</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Scores'!$B$38:$AA$38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762E-4D77-80EA-33BD7DE46F1C}"/>
            </c:ext>
          </c:extLst>
        </c:ser>
        <c:ser>
          <c:idx val="3"/>
          <c:order val="7"/>
          <c:tx>
            <c:strRef>
              <c:f>'Promised And Actual Scores'!$A$61</c:f>
              <c:strCache>
                <c:ptCount val="1"/>
                <c:pt idx="0">
                  <c:v>Announced Restructuring</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2700000" scaled="1"/>
              <a:tileRect/>
            </a:gradFill>
            <a:ln>
              <a:noFill/>
            </a:ln>
            <a:effectLst/>
          </c:spPr>
          <c:invertIfNegative val="0"/>
          <c:cat>
            <c:numRef>
              <c:f>'Promised And Actual Scores'!$B$2:$AA$2</c:f>
              <c:numCache>
                <c:formatCode>General</c:formatCode>
                <c:ptCount val="2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numCache>
            </c:numRef>
          </c:cat>
          <c:val>
            <c:numRef>
              <c:f>'Promised And Actual Scores'!$B$78:$AA$78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25</c:v>
                </c:pt>
                <c:pt idx="15">
                  <c:v>12.5</c:v>
                </c:pt>
                <c:pt idx="16">
                  <c:v>12.5</c:v>
                </c:pt>
                <c:pt idx="17">
                  <c:v>12.5</c:v>
                </c:pt>
                <c:pt idx="18">
                  <c:v>12.5</c:v>
                </c:pt>
                <c:pt idx="19">
                  <c:v>12.5</c:v>
                </c:pt>
                <c:pt idx="20">
                  <c:v>12.5</c:v>
                </c:pt>
                <c:pt idx="21">
                  <c:v>12.5</c:v>
                </c:pt>
                <c:pt idx="22">
                  <c:v>12.5</c:v>
                </c:pt>
                <c:pt idx="23">
                  <c:v>12.5</c:v>
                </c:pt>
                <c:pt idx="24">
                  <c:v>12.5</c:v>
                </c:pt>
                <c:pt idx="25">
                  <c:v>12.5</c:v>
                </c:pt>
              </c:numCache>
            </c:numRef>
          </c:val>
          <c:extLst>
            <c:ext xmlns:c16="http://schemas.microsoft.com/office/drawing/2014/chart" uri="{C3380CC4-5D6E-409C-BE32-E72D297353CC}">
              <c16:uniqueId val="{00000003-762E-4D77-80EA-33BD7DE46F1C}"/>
            </c:ext>
          </c:extLst>
        </c:ser>
        <c:dLbls>
          <c:showLegendKey val="0"/>
          <c:showVal val="0"/>
          <c:showCatName val="0"/>
          <c:showSerName val="0"/>
          <c:showPercent val="0"/>
          <c:showBubbleSize val="0"/>
        </c:dLbls>
        <c:gapWidth val="150"/>
        <c:overlap val="100"/>
        <c:axId val="1362067247"/>
        <c:axId val="1502360063"/>
      </c:barChart>
      <c:catAx>
        <c:axId val="136206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60063"/>
        <c:crosses val="autoZero"/>
        <c:auto val="1"/>
        <c:lblAlgn val="ctr"/>
        <c:lblOffset val="100"/>
        <c:noMultiLvlLbl val="0"/>
      </c:catAx>
      <c:valAx>
        <c:axId val="1502360063"/>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67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457200</xdr:colOff>
      <xdr:row>16</xdr:row>
      <xdr:rowOff>152400</xdr:rowOff>
    </xdr:to>
    <xdr:graphicFrame macro="">
      <xdr:nvGraphicFramePr>
        <xdr:cNvPr id="2" name="Chart 1">
          <a:extLst>
            <a:ext uri="{FF2B5EF4-FFF2-40B4-BE49-F238E27FC236}">
              <a16:creationId xmlns:a16="http://schemas.microsoft.com/office/drawing/2014/main" id="{5FB56B69-8A0A-4CD1-95A9-A06C9D424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28575</xdr:rowOff>
    </xdr:from>
    <xdr:to>
      <xdr:col>9</xdr:col>
      <xdr:colOff>457200</xdr:colOff>
      <xdr:row>33</xdr:row>
      <xdr:rowOff>180975</xdr:rowOff>
    </xdr:to>
    <xdr:graphicFrame macro="">
      <xdr:nvGraphicFramePr>
        <xdr:cNvPr id="7" name="Chart 6">
          <a:extLst>
            <a:ext uri="{FF2B5EF4-FFF2-40B4-BE49-F238E27FC236}">
              <a16:creationId xmlns:a16="http://schemas.microsoft.com/office/drawing/2014/main" id="{7F6F71B0-4D05-4728-9DE2-7AF220827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514350</xdr:colOff>
      <xdr:row>0</xdr:row>
      <xdr:rowOff>19050</xdr:rowOff>
    </xdr:from>
    <xdr:to>
      <xdr:col>19</xdr:col>
      <xdr:colOff>361950</xdr:colOff>
      <xdr:row>16</xdr:row>
      <xdr:rowOff>171450</xdr:rowOff>
    </xdr:to>
    <xdr:graphicFrame macro="">
      <xdr:nvGraphicFramePr>
        <xdr:cNvPr id="8" name="Chart 7">
          <a:extLst>
            <a:ext uri="{FF2B5EF4-FFF2-40B4-BE49-F238E27FC236}">
              <a16:creationId xmlns:a16="http://schemas.microsoft.com/office/drawing/2014/main" id="{F181A12A-035D-4D15-95DA-419E1B06B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514350</xdr:colOff>
      <xdr:row>17</xdr:row>
      <xdr:rowOff>38100</xdr:rowOff>
    </xdr:from>
    <xdr:to>
      <xdr:col>19</xdr:col>
      <xdr:colOff>361950</xdr:colOff>
      <xdr:row>34</xdr:row>
      <xdr:rowOff>0</xdr:rowOff>
    </xdr:to>
    <xdr:graphicFrame macro="">
      <xdr:nvGraphicFramePr>
        <xdr:cNvPr id="9" name="Chart 8">
          <a:extLst>
            <a:ext uri="{FF2B5EF4-FFF2-40B4-BE49-F238E27FC236}">
              <a16:creationId xmlns:a16="http://schemas.microsoft.com/office/drawing/2014/main" id="{9FDD3489-22BF-4FB6-8480-7DFB6E27E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28575</xdr:colOff>
      <xdr:row>34</xdr:row>
      <xdr:rowOff>114298</xdr:rowOff>
    </xdr:from>
    <xdr:to>
      <xdr:col>9</xdr:col>
      <xdr:colOff>485775</xdr:colOff>
      <xdr:row>51</xdr:row>
      <xdr:rowOff>76198</xdr:rowOff>
    </xdr:to>
    <xdr:graphicFrame macro="">
      <xdr:nvGraphicFramePr>
        <xdr:cNvPr id="6" name="Chart 5">
          <a:extLst>
            <a:ext uri="{FF2B5EF4-FFF2-40B4-BE49-F238E27FC236}">
              <a16:creationId xmlns:a16="http://schemas.microsoft.com/office/drawing/2014/main" id="{3486B1AF-A8D3-45CA-B291-91A804B6F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552450</xdr:colOff>
      <xdr:row>34</xdr:row>
      <xdr:rowOff>114300</xdr:rowOff>
    </xdr:from>
    <xdr:to>
      <xdr:col>19</xdr:col>
      <xdr:colOff>400050</xdr:colOff>
      <xdr:row>51</xdr:row>
      <xdr:rowOff>76200</xdr:rowOff>
    </xdr:to>
    <xdr:graphicFrame macro="">
      <xdr:nvGraphicFramePr>
        <xdr:cNvPr id="10" name="Chart 9">
          <a:extLst>
            <a:ext uri="{FF2B5EF4-FFF2-40B4-BE49-F238E27FC236}">
              <a16:creationId xmlns:a16="http://schemas.microsoft.com/office/drawing/2014/main" id="{CB5078F6-6EE2-4C61-9742-ACCC680B6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476250</xdr:colOff>
      <xdr:row>34</xdr:row>
      <xdr:rowOff>95250</xdr:rowOff>
    </xdr:from>
    <xdr:to>
      <xdr:col>29</xdr:col>
      <xdr:colOff>323850</xdr:colOff>
      <xdr:row>51</xdr:row>
      <xdr:rowOff>57150</xdr:rowOff>
    </xdr:to>
    <xdr:graphicFrame macro="">
      <xdr:nvGraphicFramePr>
        <xdr:cNvPr id="11" name="Chart 10">
          <a:extLst>
            <a:ext uri="{FF2B5EF4-FFF2-40B4-BE49-F238E27FC236}">
              <a16:creationId xmlns:a16="http://schemas.microsoft.com/office/drawing/2014/main" id="{33DBFBFF-AC92-4B74-A5DE-07E5439DF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409575</xdr:colOff>
      <xdr:row>17</xdr:row>
      <xdr:rowOff>38100</xdr:rowOff>
    </xdr:from>
    <xdr:to>
      <xdr:col>29</xdr:col>
      <xdr:colOff>257175</xdr:colOff>
      <xdr:row>34</xdr:row>
      <xdr:rowOff>0</xdr:rowOff>
    </xdr:to>
    <xdr:graphicFrame macro="">
      <xdr:nvGraphicFramePr>
        <xdr:cNvPr id="12" name="Chart 11">
          <a:extLst>
            <a:ext uri="{FF2B5EF4-FFF2-40B4-BE49-F238E27FC236}">
              <a16:creationId xmlns:a16="http://schemas.microsoft.com/office/drawing/2014/main" id="{C0C3F6CD-900B-4F2F-8CC5-FC3A8BEDA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409574</xdr:colOff>
      <xdr:row>0</xdr:row>
      <xdr:rowOff>28575</xdr:rowOff>
    </xdr:from>
    <xdr:to>
      <xdr:col>29</xdr:col>
      <xdr:colOff>301997</xdr:colOff>
      <xdr:row>16</xdr:row>
      <xdr:rowOff>180975</xdr:rowOff>
    </xdr:to>
    <xdr:graphicFrame macro="">
      <xdr:nvGraphicFramePr>
        <xdr:cNvPr id="13" name="Chart 12">
          <a:extLst>
            <a:ext uri="{FF2B5EF4-FFF2-40B4-BE49-F238E27FC236}">
              <a16:creationId xmlns:a16="http://schemas.microsoft.com/office/drawing/2014/main" id="{FA0DCB7B-0356-4CBC-BC99-7C258F107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28575</xdr:colOff>
      <xdr:row>51</xdr:row>
      <xdr:rowOff>123825</xdr:rowOff>
    </xdr:from>
    <xdr:to>
      <xdr:col>9</xdr:col>
      <xdr:colOff>485775</xdr:colOff>
      <xdr:row>68</xdr:row>
      <xdr:rowOff>85725</xdr:rowOff>
    </xdr:to>
    <xdr:graphicFrame macro="">
      <xdr:nvGraphicFramePr>
        <xdr:cNvPr id="14" name="Chart 13">
          <a:extLst>
            <a:ext uri="{FF2B5EF4-FFF2-40B4-BE49-F238E27FC236}">
              <a16:creationId xmlns:a16="http://schemas.microsoft.com/office/drawing/2014/main" id="{7D9995E9-C569-4416-BFF7-8610659E3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561975</xdr:colOff>
      <xdr:row>51</xdr:row>
      <xdr:rowOff>123825</xdr:rowOff>
    </xdr:from>
    <xdr:to>
      <xdr:col>19</xdr:col>
      <xdr:colOff>409575</xdr:colOff>
      <xdr:row>68</xdr:row>
      <xdr:rowOff>85725</xdr:rowOff>
    </xdr:to>
    <xdr:graphicFrame macro="">
      <xdr:nvGraphicFramePr>
        <xdr:cNvPr id="15" name="Chart 14">
          <a:extLst>
            <a:ext uri="{FF2B5EF4-FFF2-40B4-BE49-F238E27FC236}">
              <a16:creationId xmlns:a16="http://schemas.microsoft.com/office/drawing/2014/main" id="{8CEEF0B3-E170-4D58-8F07-276A4DB6B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476250</xdr:colOff>
      <xdr:row>51</xdr:row>
      <xdr:rowOff>133350</xdr:rowOff>
    </xdr:from>
    <xdr:to>
      <xdr:col>29</xdr:col>
      <xdr:colOff>323850</xdr:colOff>
      <xdr:row>68</xdr:row>
      <xdr:rowOff>95250</xdr:rowOff>
    </xdr:to>
    <xdr:graphicFrame macro="">
      <xdr:nvGraphicFramePr>
        <xdr:cNvPr id="16" name="Chart 15">
          <a:extLst>
            <a:ext uri="{FF2B5EF4-FFF2-40B4-BE49-F238E27FC236}">
              <a16:creationId xmlns:a16="http://schemas.microsoft.com/office/drawing/2014/main" id="{EB956A18-5DAC-4F29-BB62-F7C1DA417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69</xdr:row>
      <xdr:rowOff>0</xdr:rowOff>
    </xdr:from>
    <xdr:to>
      <xdr:col>9</xdr:col>
      <xdr:colOff>457200</xdr:colOff>
      <xdr:row>85</xdr:row>
      <xdr:rowOff>152400</xdr:rowOff>
    </xdr:to>
    <xdr:graphicFrame macro="">
      <xdr:nvGraphicFramePr>
        <xdr:cNvPr id="17" name="Chart 16">
          <a:extLst>
            <a:ext uri="{FF2B5EF4-FFF2-40B4-BE49-F238E27FC236}">
              <a16:creationId xmlns:a16="http://schemas.microsoft.com/office/drawing/2014/main" id="{1211DC73-D80A-4E89-8A66-8E9E58214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552450</xdr:colOff>
      <xdr:row>68</xdr:row>
      <xdr:rowOff>171450</xdr:rowOff>
    </xdr:from>
    <xdr:to>
      <xdr:col>19</xdr:col>
      <xdr:colOff>400050</xdr:colOff>
      <xdr:row>85</xdr:row>
      <xdr:rowOff>133350</xdr:rowOff>
    </xdr:to>
    <xdr:graphicFrame macro="">
      <xdr:nvGraphicFramePr>
        <xdr:cNvPr id="18" name="Chart 17">
          <a:extLst>
            <a:ext uri="{FF2B5EF4-FFF2-40B4-BE49-F238E27FC236}">
              <a16:creationId xmlns:a16="http://schemas.microsoft.com/office/drawing/2014/main" id="{F299C0B6-AD7A-4DC3-A21D-101A4B37F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447675</xdr:colOff>
      <xdr:row>68</xdr:row>
      <xdr:rowOff>152400</xdr:rowOff>
    </xdr:from>
    <xdr:to>
      <xdr:col>29</xdr:col>
      <xdr:colOff>295275</xdr:colOff>
      <xdr:row>85</xdr:row>
      <xdr:rowOff>114300</xdr:rowOff>
    </xdr:to>
    <xdr:graphicFrame macro="">
      <xdr:nvGraphicFramePr>
        <xdr:cNvPr id="19" name="Chart 18">
          <a:extLst>
            <a:ext uri="{FF2B5EF4-FFF2-40B4-BE49-F238E27FC236}">
              <a16:creationId xmlns:a16="http://schemas.microsoft.com/office/drawing/2014/main" id="{76A76215-6250-4686-9986-D91A29796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86</xdr:row>
      <xdr:rowOff>0</xdr:rowOff>
    </xdr:from>
    <xdr:to>
      <xdr:col>9</xdr:col>
      <xdr:colOff>457200</xdr:colOff>
      <xdr:row>102</xdr:row>
      <xdr:rowOff>152400</xdr:rowOff>
    </xdr:to>
    <xdr:graphicFrame macro="">
      <xdr:nvGraphicFramePr>
        <xdr:cNvPr id="20" name="Chart 19">
          <a:extLst>
            <a:ext uri="{FF2B5EF4-FFF2-40B4-BE49-F238E27FC236}">
              <a16:creationId xmlns:a16="http://schemas.microsoft.com/office/drawing/2014/main" id="{2E57134C-C0AF-4B34-8303-53AEB3499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0</xdr:colOff>
      <xdr:row>86</xdr:row>
      <xdr:rowOff>0</xdr:rowOff>
    </xdr:from>
    <xdr:to>
      <xdr:col>19</xdr:col>
      <xdr:colOff>457200</xdr:colOff>
      <xdr:row>102</xdr:row>
      <xdr:rowOff>152400</xdr:rowOff>
    </xdr:to>
    <xdr:graphicFrame macro="">
      <xdr:nvGraphicFramePr>
        <xdr:cNvPr id="21" name="Chart 20">
          <a:extLst>
            <a:ext uri="{FF2B5EF4-FFF2-40B4-BE49-F238E27FC236}">
              <a16:creationId xmlns:a16="http://schemas.microsoft.com/office/drawing/2014/main" id="{DE124E53-BACD-4349-9241-AF4212950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88348</xdr:colOff>
      <xdr:row>19</xdr:row>
      <xdr:rowOff>60740</xdr:rowOff>
    </xdr:from>
    <xdr:to>
      <xdr:col>11</xdr:col>
      <xdr:colOff>88348</xdr:colOff>
      <xdr:row>29</xdr:row>
      <xdr:rowOff>71783</xdr:rowOff>
    </xdr:to>
    <xdr:cxnSp macro="">
      <xdr:nvCxnSpPr>
        <xdr:cNvPr id="5" name="Straight Connector 4">
          <a:extLst>
            <a:ext uri="{FF2B5EF4-FFF2-40B4-BE49-F238E27FC236}">
              <a16:creationId xmlns:a16="http://schemas.microsoft.com/office/drawing/2014/main" id="{BDD07C53-8A62-4DCC-BB45-B4D7110B18C2}"/>
            </a:ext>
          </a:extLst>
        </xdr:cNvPr>
        <xdr:cNvCxnSpPr/>
      </xdr:nvCxnSpPr>
      <xdr:spPr>
        <a:xfrm>
          <a:off x="6769652" y="3522870"/>
          <a:ext cx="0" cy="18332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334617</xdr:colOff>
      <xdr:row>19</xdr:row>
      <xdr:rowOff>80619</xdr:rowOff>
    </xdr:from>
    <xdr:to>
      <xdr:col>13</xdr:col>
      <xdr:colOff>334617</xdr:colOff>
      <xdr:row>29</xdr:row>
      <xdr:rowOff>91662</xdr:rowOff>
    </xdr:to>
    <xdr:cxnSp macro="">
      <xdr:nvCxnSpPr>
        <xdr:cNvPr id="24" name="Straight Connector 23">
          <a:extLst>
            <a:ext uri="{FF2B5EF4-FFF2-40B4-BE49-F238E27FC236}">
              <a16:creationId xmlns:a16="http://schemas.microsoft.com/office/drawing/2014/main" id="{7305F615-2276-4094-A51C-7F6DAC7CADD7}"/>
            </a:ext>
          </a:extLst>
        </xdr:cNvPr>
        <xdr:cNvCxnSpPr/>
      </xdr:nvCxnSpPr>
      <xdr:spPr>
        <a:xfrm>
          <a:off x="8230704" y="3542749"/>
          <a:ext cx="0" cy="18332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348973</xdr:colOff>
      <xdr:row>19</xdr:row>
      <xdr:rowOff>61846</xdr:rowOff>
    </xdr:from>
    <xdr:to>
      <xdr:col>15</xdr:col>
      <xdr:colOff>348973</xdr:colOff>
      <xdr:row>29</xdr:row>
      <xdr:rowOff>72889</xdr:rowOff>
    </xdr:to>
    <xdr:cxnSp macro="">
      <xdr:nvCxnSpPr>
        <xdr:cNvPr id="25" name="Straight Connector 24">
          <a:extLst>
            <a:ext uri="{FF2B5EF4-FFF2-40B4-BE49-F238E27FC236}">
              <a16:creationId xmlns:a16="http://schemas.microsoft.com/office/drawing/2014/main" id="{BB284DFD-CE10-4756-B85F-D6DA2EECABC4}"/>
            </a:ext>
          </a:extLst>
        </xdr:cNvPr>
        <xdr:cNvCxnSpPr/>
      </xdr:nvCxnSpPr>
      <xdr:spPr>
        <a:xfrm>
          <a:off x="9459843" y="3523976"/>
          <a:ext cx="0" cy="18332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418548</xdr:colOff>
      <xdr:row>19</xdr:row>
      <xdr:rowOff>81724</xdr:rowOff>
    </xdr:from>
    <xdr:to>
      <xdr:col>18</xdr:col>
      <xdr:colOff>418548</xdr:colOff>
      <xdr:row>29</xdr:row>
      <xdr:rowOff>92767</xdr:rowOff>
    </xdr:to>
    <xdr:cxnSp macro="">
      <xdr:nvCxnSpPr>
        <xdr:cNvPr id="26" name="Straight Connector 25">
          <a:extLst>
            <a:ext uri="{FF2B5EF4-FFF2-40B4-BE49-F238E27FC236}">
              <a16:creationId xmlns:a16="http://schemas.microsoft.com/office/drawing/2014/main" id="{CDDFECD9-13CE-400C-8500-A16CA575270C}"/>
            </a:ext>
          </a:extLst>
        </xdr:cNvPr>
        <xdr:cNvCxnSpPr/>
      </xdr:nvCxnSpPr>
      <xdr:spPr>
        <a:xfrm>
          <a:off x="11351591" y="3543854"/>
          <a:ext cx="0" cy="18332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209550</xdr:colOff>
      <xdr:row>70</xdr:row>
      <xdr:rowOff>158750</xdr:rowOff>
    </xdr:from>
    <xdr:to>
      <xdr:col>4</xdr:col>
      <xdr:colOff>209550</xdr:colOff>
      <xdr:row>80</xdr:row>
      <xdr:rowOff>169793</xdr:rowOff>
    </xdr:to>
    <xdr:cxnSp macro="">
      <xdr:nvCxnSpPr>
        <xdr:cNvPr id="27" name="Straight Connector 26">
          <a:extLst>
            <a:ext uri="{FF2B5EF4-FFF2-40B4-BE49-F238E27FC236}">
              <a16:creationId xmlns:a16="http://schemas.microsoft.com/office/drawing/2014/main" id="{B5C63412-4F06-41BD-8A21-5B8207CA6400}"/>
            </a:ext>
          </a:extLst>
        </xdr:cNvPr>
        <xdr:cNvCxnSpPr/>
      </xdr:nvCxnSpPr>
      <xdr:spPr>
        <a:xfrm>
          <a:off x="2647950" y="13049250"/>
          <a:ext cx="0" cy="18525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Energy%20&amp;%20Extractives\Operations_Portfolio\Knowledge%20&amp;%20Advisory\Global\RISE\2015%20Global%20rollout\Data%20Scoring\CC\Power%20Sector%20Reform%20-%20for%20Vivien\Data%20082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amp; model definitions"/>
      <sheetName val="Raw codes"/>
      <sheetName val="Additional Suggested Models"/>
      <sheetName val="Sector structure models"/>
      <sheetName val="TRANSPOSED"/>
      <sheetName val="FOR PIVOT"/>
      <sheetName val="Regulation ch 3"/>
      <sheetName val="Unbundling Liberalization ch4 5"/>
      <sheetName val="Sheet4"/>
      <sheetName val="Privatization ch 6"/>
      <sheetName val="Failed reforms ch 6"/>
      <sheetName val="Putting all together ch 7"/>
      <sheetName val="Reform Index ch 7"/>
      <sheetName val="ReformIndex for 15 case studies"/>
      <sheetName val="Reform Index charting cont. ch7"/>
      <sheetName val="Hypothesis testing"/>
      <sheetName val="Reform Look-Up Table Annex"/>
      <sheetName val="Sheet3"/>
      <sheetName val="Regional snapshot"/>
      <sheetName val="PE"/>
      <sheetName val="Quadrant Analytics"/>
      <sheetName val="Sector Structure Graphics"/>
      <sheetName val="Big Picture Case Studies"/>
      <sheetName val="Summary JBJ"/>
      <sheetName val="Africa exercise"/>
      <sheetName val="Sheet1"/>
      <sheetName val="SSA"/>
      <sheetName val="Sheet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ow r="301">
          <cell r="A301" t="str">
            <v>Afghanistan</v>
          </cell>
        </row>
      </sheetData>
      <sheetData sheetId="13">
        <row r="1">
          <cell r="A1" t="str">
            <v>Regulation Sub-Index</v>
          </cell>
        </row>
        <row r="2">
          <cell r="B2">
            <v>1995</v>
          </cell>
          <cell r="C2">
            <v>1996</v>
          </cell>
          <cell r="D2">
            <v>1997</v>
          </cell>
          <cell r="E2">
            <v>1998</v>
          </cell>
          <cell r="F2">
            <v>1999</v>
          </cell>
          <cell r="G2">
            <v>2000</v>
          </cell>
          <cell r="H2">
            <v>2001</v>
          </cell>
          <cell r="I2">
            <v>2002</v>
          </cell>
          <cell r="J2">
            <v>2003</v>
          </cell>
          <cell r="K2">
            <v>2004</v>
          </cell>
          <cell r="L2">
            <v>2005</v>
          </cell>
          <cell r="M2">
            <v>2006</v>
          </cell>
          <cell r="N2">
            <v>2007</v>
          </cell>
          <cell r="O2">
            <v>2008</v>
          </cell>
          <cell r="P2">
            <v>2009</v>
          </cell>
          <cell r="Q2">
            <v>2010</v>
          </cell>
          <cell r="R2">
            <v>2011</v>
          </cell>
          <cell r="S2">
            <v>2012</v>
          </cell>
          <cell r="T2">
            <v>2013</v>
          </cell>
          <cell r="U2">
            <v>2014</v>
          </cell>
          <cell r="V2">
            <v>2015</v>
          </cell>
        </row>
        <row r="3">
          <cell r="B3">
            <v>25</v>
          </cell>
          <cell r="C3">
            <v>25</v>
          </cell>
          <cell r="D3">
            <v>25</v>
          </cell>
          <cell r="E3">
            <v>25</v>
          </cell>
          <cell r="F3">
            <v>25</v>
          </cell>
          <cell r="G3">
            <v>25</v>
          </cell>
          <cell r="H3">
            <v>25</v>
          </cell>
          <cell r="I3">
            <v>25</v>
          </cell>
          <cell r="J3">
            <v>25</v>
          </cell>
          <cell r="K3">
            <v>25</v>
          </cell>
          <cell r="L3">
            <v>25</v>
          </cell>
          <cell r="M3">
            <v>25</v>
          </cell>
          <cell r="N3">
            <v>25</v>
          </cell>
          <cell r="O3">
            <v>25</v>
          </cell>
          <cell r="P3">
            <v>25</v>
          </cell>
          <cell r="Q3">
            <v>25</v>
          </cell>
          <cell r="R3">
            <v>25</v>
          </cell>
          <cell r="S3">
            <v>25</v>
          </cell>
          <cell r="T3">
            <v>25</v>
          </cell>
          <cell r="U3">
            <v>25</v>
          </cell>
          <cell r="V3">
            <v>25</v>
          </cell>
          <cell r="Y3"/>
          <cell r="Z3"/>
          <cell r="AA3"/>
        </row>
        <row r="4">
          <cell r="B4">
            <v>0</v>
          </cell>
          <cell r="C4">
            <v>0</v>
          </cell>
          <cell r="D4">
            <v>0</v>
          </cell>
          <cell r="E4">
            <v>25</v>
          </cell>
          <cell r="F4">
            <v>25</v>
          </cell>
          <cell r="G4">
            <v>25</v>
          </cell>
          <cell r="H4">
            <v>25</v>
          </cell>
          <cell r="I4">
            <v>25</v>
          </cell>
          <cell r="J4">
            <v>25</v>
          </cell>
          <cell r="K4">
            <v>25</v>
          </cell>
          <cell r="L4">
            <v>25</v>
          </cell>
          <cell r="M4">
            <v>25</v>
          </cell>
          <cell r="N4">
            <v>25</v>
          </cell>
          <cell r="O4">
            <v>25</v>
          </cell>
          <cell r="P4">
            <v>25</v>
          </cell>
          <cell r="Q4">
            <v>25</v>
          </cell>
          <cell r="R4">
            <v>25</v>
          </cell>
          <cell r="S4">
            <v>25</v>
          </cell>
          <cell r="T4">
            <v>25</v>
          </cell>
          <cell r="U4">
            <v>25</v>
          </cell>
          <cell r="V4">
            <v>25</v>
          </cell>
          <cell r="X4"/>
          <cell r="Y4"/>
          <cell r="Z4"/>
          <cell r="AA4"/>
        </row>
        <row r="5">
          <cell r="B5">
            <v>0</v>
          </cell>
          <cell r="C5">
            <v>0</v>
          </cell>
          <cell r="D5">
            <v>25</v>
          </cell>
          <cell r="E5">
            <v>25</v>
          </cell>
          <cell r="F5">
            <v>25</v>
          </cell>
          <cell r="G5">
            <v>25</v>
          </cell>
          <cell r="H5">
            <v>25</v>
          </cell>
          <cell r="I5">
            <v>25</v>
          </cell>
          <cell r="J5">
            <v>25</v>
          </cell>
          <cell r="K5">
            <v>25</v>
          </cell>
          <cell r="L5">
            <v>25</v>
          </cell>
          <cell r="M5">
            <v>25</v>
          </cell>
          <cell r="N5">
            <v>25</v>
          </cell>
          <cell r="O5">
            <v>25</v>
          </cell>
          <cell r="P5">
            <v>25</v>
          </cell>
          <cell r="Q5">
            <v>25</v>
          </cell>
          <cell r="R5">
            <v>25</v>
          </cell>
          <cell r="S5">
            <v>25</v>
          </cell>
          <cell r="T5">
            <v>25</v>
          </cell>
          <cell r="U5">
            <v>25</v>
          </cell>
          <cell r="V5">
            <v>25</v>
          </cell>
          <cell r="X5"/>
          <cell r="Y5"/>
          <cell r="Z5"/>
          <cell r="AA5"/>
        </row>
        <row r="6">
          <cell r="B6">
            <v>0</v>
          </cell>
          <cell r="C6">
            <v>0</v>
          </cell>
          <cell r="D6">
            <v>0</v>
          </cell>
          <cell r="E6">
            <v>25</v>
          </cell>
          <cell r="F6">
            <v>25</v>
          </cell>
          <cell r="G6">
            <v>25</v>
          </cell>
          <cell r="H6">
            <v>25</v>
          </cell>
          <cell r="I6">
            <v>25</v>
          </cell>
          <cell r="J6">
            <v>25</v>
          </cell>
          <cell r="K6">
            <v>25</v>
          </cell>
          <cell r="L6">
            <v>25</v>
          </cell>
          <cell r="M6">
            <v>25</v>
          </cell>
          <cell r="N6">
            <v>25</v>
          </cell>
          <cell r="O6">
            <v>25</v>
          </cell>
          <cell r="P6">
            <v>25</v>
          </cell>
          <cell r="Q6">
            <v>25</v>
          </cell>
          <cell r="R6">
            <v>25</v>
          </cell>
          <cell r="S6">
            <v>25</v>
          </cell>
          <cell r="T6">
            <v>25</v>
          </cell>
          <cell r="U6">
            <v>25</v>
          </cell>
          <cell r="V6">
            <v>25</v>
          </cell>
          <cell r="X6"/>
          <cell r="Y6"/>
          <cell r="Z6"/>
          <cell r="AA6"/>
        </row>
        <row r="7">
          <cell r="B7">
            <v>0</v>
          </cell>
          <cell r="C7">
            <v>0</v>
          </cell>
          <cell r="D7">
            <v>0</v>
          </cell>
          <cell r="E7">
            <v>0</v>
          </cell>
          <cell r="F7">
            <v>0</v>
          </cell>
          <cell r="G7">
            <v>0</v>
          </cell>
          <cell r="H7">
            <v>0</v>
          </cell>
          <cell r="I7">
            <v>0</v>
          </cell>
          <cell r="J7">
            <v>0</v>
          </cell>
          <cell r="K7">
            <v>0</v>
          </cell>
          <cell r="L7">
            <v>0</v>
          </cell>
          <cell r="M7">
            <v>25</v>
          </cell>
          <cell r="N7">
            <v>25</v>
          </cell>
          <cell r="O7">
            <v>25</v>
          </cell>
          <cell r="P7">
            <v>25</v>
          </cell>
          <cell r="Q7">
            <v>25</v>
          </cell>
          <cell r="R7">
            <v>25</v>
          </cell>
          <cell r="S7">
            <v>25</v>
          </cell>
          <cell r="T7">
            <v>25</v>
          </cell>
          <cell r="U7">
            <v>25</v>
          </cell>
          <cell r="V7">
            <v>25</v>
          </cell>
          <cell r="X7"/>
          <cell r="Y7"/>
          <cell r="Z7"/>
          <cell r="AA7"/>
        </row>
        <row r="8">
          <cell r="A8" t="str">
            <v>Morocco</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X8"/>
          <cell r="Y8"/>
          <cell r="Z8"/>
          <cell r="AA8"/>
        </row>
        <row r="9">
          <cell r="B9">
            <v>0</v>
          </cell>
          <cell r="C9">
            <v>0</v>
          </cell>
          <cell r="D9">
            <v>25</v>
          </cell>
          <cell r="E9">
            <v>25</v>
          </cell>
          <cell r="F9">
            <v>25</v>
          </cell>
          <cell r="G9">
            <v>25</v>
          </cell>
          <cell r="H9">
            <v>25</v>
          </cell>
          <cell r="I9">
            <v>25</v>
          </cell>
          <cell r="J9">
            <v>25</v>
          </cell>
          <cell r="K9">
            <v>25</v>
          </cell>
          <cell r="L9">
            <v>25</v>
          </cell>
          <cell r="M9">
            <v>25</v>
          </cell>
          <cell r="N9">
            <v>25</v>
          </cell>
          <cell r="O9">
            <v>25</v>
          </cell>
          <cell r="P9">
            <v>25</v>
          </cell>
          <cell r="Q9">
            <v>25</v>
          </cell>
          <cell r="R9">
            <v>25</v>
          </cell>
          <cell r="S9">
            <v>25</v>
          </cell>
          <cell r="T9">
            <v>25</v>
          </cell>
          <cell r="U9">
            <v>25</v>
          </cell>
          <cell r="V9">
            <v>25</v>
          </cell>
          <cell r="X9"/>
          <cell r="Y9"/>
          <cell r="Z9"/>
          <cell r="AA9"/>
        </row>
        <row r="11">
          <cell r="B11">
            <v>0</v>
          </cell>
          <cell r="C11">
            <v>0</v>
          </cell>
          <cell r="D11">
            <v>0</v>
          </cell>
          <cell r="E11">
            <v>0</v>
          </cell>
          <cell r="F11">
            <v>0</v>
          </cell>
          <cell r="G11">
            <v>0</v>
          </cell>
          <cell r="H11">
            <v>25</v>
          </cell>
          <cell r="I11">
            <v>25</v>
          </cell>
          <cell r="J11">
            <v>25</v>
          </cell>
          <cell r="K11">
            <v>25</v>
          </cell>
          <cell r="L11">
            <v>25</v>
          </cell>
          <cell r="M11">
            <v>25</v>
          </cell>
          <cell r="N11">
            <v>25</v>
          </cell>
          <cell r="O11">
            <v>25</v>
          </cell>
          <cell r="P11">
            <v>25</v>
          </cell>
          <cell r="Q11">
            <v>25</v>
          </cell>
          <cell r="R11">
            <v>25</v>
          </cell>
          <cell r="S11">
            <v>25</v>
          </cell>
          <cell r="T11">
            <v>25</v>
          </cell>
          <cell r="U11">
            <v>25</v>
          </cell>
          <cell r="V11">
            <v>25</v>
          </cell>
          <cell r="X11"/>
          <cell r="Y11"/>
          <cell r="Z11"/>
          <cell r="AA11"/>
        </row>
        <row r="12">
          <cell r="B12">
            <v>0</v>
          </cell>
          <cell r="C12">
            <v>0</v>
          </cell>
          <cell r="D12">
            <v>0</v>
          </cell>
          <cell r="E12">
            <v>25</v>
          </cell>
          <cell r="F12">
            <v>25</v>
          </cell>
          <cell r="G12">
            <v>25</v>
          </cell>
          <cell r="H12">
            <v>25</v>
          </cell>
          <cell r="I12">
            <v>25</v>
          </cell>
          <cell r="J12">
            <v>25</v>
          </cell>
          <cell r="K12">
            <v>25</v>
          </cell>
          <cell r="L12">
            <v>25</v>
          </cell>
          <cell r="M12">
            <v>25</v>
          </cell>
          <cell r="N12">
            <v>25</v>
          </cell>
          <cell r="O12">
            <v>25</v>
          </cell>
          <cell r="P12">
            <v>25</v>
          </cell>
          <cell r="Q12">
            <v>25</v>
          </cell>
          <cell r="R12">
            <v>25</v>
          </cell>
          <cell r="S12">
            <v>25</v>
          </cell>
          <cell r="T12">
            <v>25</v>
          </cell>
          <cell r="U12">
            <v>25</v>
          </cell>
          <cell r="V12">
            <v>25</v>
          </cell>
          <cell r="X12"/>
          <cell r="Y12"/>
          <cell r="Z12"/>
          <cell r="AA12"/>
        </row>
        <row r="13">
          <cell r="A13" t="str">
            <v>Tajikistan</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X13"/>
          <cell r="Y13"/>
          <cell r="Z13"/>
          <cell r="AA13"/>
        </row>
        <row r="14">
          <cell r="B14">
            <v>0</v>
          </cell>
          <cell r="C14">
            <v>0</v>
          </cell>
          <cell r="D14">
            <v>0</v>
          </cell>
          <cell r="E14">
            <v>0</v>
          </cell>
          <cell r="F14">
            <v>0</v>
          </cell>
          <cell r="G14">
            <v>0</v>
          </cell>
          <cell r="H14">
            <v>25</v>
          </cell>
          <cell r="I14">
            <v>25</v>
          </cell>
          <cell r="J14">
            <v>25</v>
          </cell>
          <cell r="K14">
            <v>25</v>
          </cell>
          <cell r="L14">
            <v>25</v>
          </cell>
          <cell r="M14">
            <v>25</v>
          </cell>
          <cell r="N14">
            <v>25</v>
          </cell>
          <cell r="O14">
            <v>25</v>
          </cell>
          <cell r="P14">
            <v>25</v>
          </cell>
          <cell r="Q14">
            <v>25</v>
          </cell>
          <cell r="R14">
            <v>25</v>
          </cell>
          <cell r="S14">
            <v>25</v>
          </cell>
          <cell r="T14">
            <v>25</v>
          </cell>
          <cell r="U14">
            <v>25</v>
          </cell>
          <cell r="V14">
            <v>25</v>
          </cell>
          <cell r="X14"/>
          <cell r="Y14"/>
          <cell r="Z14"/>
          <cell r="AA14"/>
        </row>
        <row r="15">
          <cell r="B15">
            <v>0</v>
          </cell>
          <cell r="C15">
            <v>0</v>
          </cell>
          <cell r="D15">
            <v>0</v>
          </cell>
          <cell r="E15">
            <v>0</v>
          </cell>
          <cell r="F15">
            <v>25</v>
          </cell>
          <cell r="G15">
            <v>25</v>
          </cell>
          <cell r="H15">
            <v>25</v>
          </cell>
          <cell r="I15">
            <v>25</v>
          </cell>
          <cell r="J15">
            <v>25</v>
          </cell>
          <cell r="K15">
            <v>25</v>
          </cell>
          <cell r="L15">
            <v>25</v>
          </cell>
          <cell r="M15">
            <v>25</v>
          </cell>
          <cell r="N15">
            <v>25</v>
          </cell>
          <cell r="O15">
            <v>25</v>
          </cell>
          <cell r="P15">
            <v>25</v>
          </cell>
          <cell r="Q15">
            <v>25</v>
          </cell>
          <cell r="R15">
            <v>25</v>
          </cell>
          <cell r="S15">
            <v>25</v>
          </cell>
          <cell r="T15">
            <v>25</v>
          </cell>
          <cell r="U15">
            <v>25</v>
          </cell>
          <cell r="V15">
            <v>25</v>
          </cell>
          <cell r="X15"/>
          <cell r="Y15"/>
          <cell r="Z15"/>
          <cell r="AA15"/>
        </row>
        <row r="16">
          <cell r="B16">
            <v>25</v>
          </cell>
          <cell r="C16">
            <v>25</v>
          </cell>
          <cell r="D16">
            <v>25</v>
          </cell>
          <cell r="E16">
            <v>25</v>
          </cell>
          <cell r="F16">
            <v>25</v>
          </cell>
          <cell r="G16">
            <v>25</v>
          </cell>
          <cell r="H16">
            <v>25</v>
          </cell>
          <cell r="I16">
            <v>25</v>
          </cell>
          <cell r="J16">
            <v>25</v>
          </cell>
          <cell r="K16">
            <v>25</v>
          </cell>
          <cell r="L16">
            <v>25</v>
          </cell>
          <cell r="M16">
            <v>25</v>
          </cell>
          <cell r="N16">
            <v>25</v>
          </cell>
          <cell r="O16">
            <v>25</v>
          </cell>
          <cell r="P16">
            <v>25</v>
          </cell>
          <cell r="Q16">
            <v>25</v>
          </cell>
          <cell r="R16">
            <v>25</v>
          </cell>
          <cell r="S16">
            <v>25</v>
          </cell>
          <cell r="T16">
            <v>25</v>
          </cell>
          <cell r="U16">
            <v>25</v>
          </cell>
          <cell r="V16">
            <v>25</v>
          </cell>
          <cell r="X16"/>
          <cell r="Y16"/>
          <cell r="Z16"/>
          <cell r="AA16"/>
        </row>
        <row r="17">
          <cell r="B17">
            <v>0</v>
          </cell>
          <cell r="C17">
            <v>0</v>
          </cell>
          <cell r="D17">
            <v>0</v>
          </cell>
          <cell r="E17">
            <v>0</v>
          </cell>
          <cell r="F17">
            <v>0</v>
          </cell>
          <cell r="G17">
            <v>0</v>
          </cell>
          <cell r="H17">
            <v>0</v>
          </cell>
          <cell r="I17">
            <v>0</v>
          </cell>
          <cell r="J17">
            <v>0</v>
          </cell>
          <cell r="K17">
            <v>0</v>
          </cell>
          <cell r="L17">
            <v>25</v>
          </cell>
          <cell r="M17">
            <v>25</v>
          </cell>
          <cell r="N17">
            <v>25</v>
          </cell>
          <cell r="O17">
            <v>25</v>
          </cell>
          <cell r="P17">
            <v>25</v>
          </cell>
          <cell r="Q17">
            <v>25</v>
          </cell>
          <cell r="R17">
            <v>25</v>
          </cell>
          <cell r="S17">
            <v>25</v>
          </cell>
          <cell r="T17">
            <v>25</v>
          </cell>
          <cell r="U17">
            <v>25</v>
          </cell>
          <cell r="V17">
            <v>25</v>
          </cell>
          <cell r="X17"/>
          <cell r="Y17"/>
          <cell r="Z17"/>
          <cell r="AA17"/>
        </row>
        <row r="19">
          <cell r="A19" t="str">
            <v>Restructuring Sub-Index</v>
          </cell>
        </row>
        <row r="21">
          <cell r="B21">
            <v>12.5</v>
          </cell>
          <cell r="C21">
            <v>12.5</v>
          </cell>
          <cell r="D21">
            <v>12.5</v>
          </cell>
          <cell r="E21">
            <v>12.5</v>
          </cell>
          <cell r="F21">
            <v>12.5</v>
          </cell>
          <cell r="G21">
            <v>12.5</v>
          </cell>
          <cell r="H21">
            <v>12.5</v>
          </cell>
          <cell r="I21">
            <v>12.5</v>
          </cell>
          <cell r="J21">
            <v>12.5</v>
          </cell>
          <cell r="K21">
            <v>12.5</v>
          </cell>
          <cell r="L21">
            <v>12.5</v>
          </cell>
          <cell r="M21">
            <v>12.5</v>
          </cell>
          <cell r="N21">
            <v>12.5</v>
          </cell>
          <cell r="O21">
            <v>12.5</v>
          </cell>
          <cell r="P21">
            <v>12.5</v>
          </cell>
          <cell r="Q21">
            <v>12.5</v>
          </cell>
          <cell r="R21">
            <v>12.5</v>
          </cell>
          <cell r="S21">
            <v>12.5</v>
          </cell>
          <cell r="T21">
            <v>12.5</v>
          </cell>
          <cell r="U21">
            <v>12.5</v>
          </cell>
          <cell r="V21">
            <v>12.5</v>
          </cell>
          <cell r="X21"/>
          <cell r="Y21"/>
          <cell r="Z21"/>
          <cell r="AA21"/>
        </row>
        <row r="22">
          <cell r="B22">
            <v>0</v>
          </cell>
          <cell r="C22">
            <v>0</v>
          </cell>
          <cell r="D22">
            <v>0</v>
          </cell>
          <cell r="E22">
            <v>12.5</v>
          </cell>
          <cell r="F22">
            <v>12.5</v>
          </cell>
          <cell r="G22">
            <v>12.5</v>
          </cell>
          <cell r="H22">
            <v>25</v>
          </cell>
          <cell r="I22">
            <v>25</v>
          </cell>
          <cell r="J22">
            <v>25</v>
          </cell>
          <cell r="K22">
            <v>25</v>
          </cell>
          <cell r="L22">
            <v>25</v>
          </cell>
          <cell r="M22">
            <v>25</v>
          </cell>
          <cell r="N22">
            <v>25</v>
          </cell>
          <cell r="O22">
            <v>25</v>
          </cell>
          <cell r="P22">
            <v>25</v>
          </cell>
          <cell r="Q22">
            <v>25</v>
          </cell>
          <cell r="R22">
            <v>25</v>
          </cell>
          <cell r="S22">
            <v>25</v>
          </cell>
          <cell r="T22">
            <v>25</v>
          </cell>
          <cell r="U22">
            <v>25</v>
          </cell>
          <cell r="V22">
            <v>25</v>
          </cell>
          <cell r="X22"/>
          <cell r="Y22"/>
          <cell r="Z22"/>
          <cell r="AA22"/>
        </row>
        <row r="23">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X23"/>
          <cell r="Y23"/>
          <cell r="Z23"/>
          <cell r="AA23"/>
        </row>
        <row r="24">
          <cell r="B24">
            <v>0</v>
          </cell>
          <cell r="C24">
            <v>0</v>
          </cell>
          <cell r="D24">
            <v>0</v>
          </cell>
          <cell r="E24">
            <v>0</v>
          </cell>
          <cell r="F24">
            <v>0</v>
          </cell>
          <cell r="G24">
            <v>0</v>
          </cell>
          <cell r="H24">
            <v>0</v>
          </cell>
          <cell r="I24">
            <v>0</v>
          </cell>
          <cell r="J24">
            <v>25</v>
          </cell>
          <cell r="K24">
            <v>25</v>
          </cell>
          <cell r="L24">
            <v>25</v>
          </cell>
          <cell r="M24">
            <v>25</v>
          </cell>
          <cell r="N24">
            <v>25</v>
          </cell>
          <cell r="O24">
            <v>25</v>
          </cell>
          <cell r="P24">
            <v>25</v>
          </cell>
          <cell r="Q24">
            <v>25</v>
          </cell>
          <cell r="R24">
            <v>25</v>
          </cell>
          <cell r="S24">
            <v>25</v>
          </cell>
          <cell r="T24">
            <v>25</v>
          </cell>
          <cell r="U24">
            <v>25</v>
          </cell>
          <cell r="V24">
            <v>25</v>
          </cell>
          <cell r="X24"/>
          <cell r="Y24"/>
          <cell r="Z24"/>
          <cell r="AA24"/>
        </row>
        <row r="25">
          <cell r="B25">
            <v>0</v>
          </cell>
          <cell r="C25">
            <v>0</v>
          </cell>
          <cell r="D25">
            <v>12.5</v>
          </cell>
          <cell r="E25">
            <v>12.5</v>
          </cell>
          <cell r="F25">
            <v>12.5</v>
          </cell>
          <cell r="G25">
            <v>12.5</v>
          </cell>
          <cell r="H25">
            <v>12.5</v>
          </cell>
          <cell r="I25">
            <v>12.5</v>
          </cell>
          <cell r="J25">
            <v>12.5</v>
          </cell>
          <cell r="K25">
            <v>12.5</v>
          </cell>
          <cell r="L25">
            <v>12.5</v>
          </cell>
          <cell r="M25">
            <v>12.5</v>
          </cell>
          <cell r="N25">
            <v>12.5</v>
          </cell>
          <cell r="O25">
            <v>12.5</v>
          </cell>
          <cell r="P25">
            <v>12.5</v>
          </cell>
          <cell r="Q25">
            <v>12.5</v>
          </cell>
          <cell r="R25">
            <v>12.5</v>
          </cell>
          <cell r="S25">
            <v>12.5</v>
          </cell>
          <cell r="T25">
            <v>12.5</v>
          </cell>
          <cell r="U25">
            <v>12.5</v>
          </cell>
          <cell r="V25">
            <v>12.5</v>
          </cell>
          <cell r="X25"/>
          <cell r="Y25"/>
          <cell r="Z25"/>
          <cell r="AA25"/>
        </row>
        <row r="26">
          <cell r="A26" t="str">
            <v>Morocco</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X26"/>
          <cell r="Y26"/>
          <cell r="Z26"/>
          <cell r="AA26"/>
        </row>
        <row r="27">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X27"/>
          <cell r="Y27"/>
          <cell r="Z27"/>
          <cell r="AA27"/>
        </row>
        <row r="28">
          <cell r="B28">
            <v>25</v>
          </cell>
          <cell r="C28">
            <v>25</v>
          </cell>
          <cell r="D28">
            <v>25</v>
          </cell>
          <cell r="E28">
            <v>25</v>
          </cell>
          <cell r="F28">
            <v>25</v>
          </cell>
          <cell r="G28">
            <v>25</v>
          </cell>
          <cell r="H28">
            <v>25</v>
          </cell>
          <cell r="I28">
            <v>25</v>
          </cell>
          <cell r="J28">
            <v>25</v>
          </cell>
          <cell r="K28">
            <v>25</v>
          </cell>
          <cell r="L28">
            <v>25</v>
          </cell>
          <cell r="M28">
            <v>25</v>
          </cell>
          <cell r="N28">
            <v>25</v>
          </cell>
          <cell r="O28">
            <v>25</v>
          </cell>
          <cell r="P28">
            <v>25</v>
          </cell>
          <cell r="Q28">
            <v>25</v>
          </cell>
          <cell r="R28">
            <v>25</v>
          </cell>
          <cell r="S28">
            <v>25</v>
          </cell>
          <cell r="T28">
            <v>25</v>
          </cell>
          <cell r="U28">
            <v>25</v>
          </cell>
          <cell r="V28">
            <v>25</v>
          </cell>
          <cell r="X28"/>
          <cell r="Y28"/>
          <cell r="Z28"/>
          <cell r="AA28"/>
        </row>
        <row r="29">
          <cell r="B29">
            <v>0</v>
          </cell>
          <cell r="C29">
            <v>0</v>
          </cell>
          <cell r="D29">
            <v>0</v>
          </cell>
          <cell r="E29">
            <v>0</v>
          </cell>
          <cell r="F29">
            <v>0</v>
          </cell>
          <cell r="G29">
            <v>0</v>
          </cell>
          <cell r="H29">
            <v>25</v>
          </cell>
          <cell r="I29">
            <v>25</v>
          </cell>
          <cell r="J29">
            <v>25</v>
          </cell>
          <cell r="K29">
            <v>25</v>
          </cell>
          <cell r="L29">
            <v>25</v>
          </cell>
          <cell r="M29">
            <v>25</v>
          </cell>
          <cell r="N29">
            <v>25</v>
          </cell>
          <cell r="O29">
            <v>25</v>
          </cell>
          <cell r="P29">
            <v>25</v>
          </cell>
          <cell r="Q29">
            <v>25</v>
          </cell>
          <cell r="R29">
            <v>25</v>
          </cell>
          <cell r="S29">
            <v>25</v>
          </cell>
          <cell r="T29">
            <v>25</v>
          </cell>
          <cell r="U29">
            <v>25</v>
          </cell>
          <cell r="V29">
            <v>25</v>
          </cell>
          <cell r="X29"/>
          <cell r="Y29"/>
          <cell r="Z29"/>
          <cell r="AA29"/>
        </row>
        <row r="30">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X30"/>
          <cell r="Y30"/>
          <cell r="Z30"/>
          <cell r="AA30"/>
        </row>
        <row r="31">
          <cell r="A31" t="str">
            <v>Tajikistan</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X31"/>
          <cell r="Y31"/>
          <cell r="Z31"/>
          <cell r="AA31"/>
        </row>
        <row r="32">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X32"/>
          <cell r="Y32"/>
          <cell r="Z32"/>
          <cell r="AA32"/>
        </row>
        <row r="33">
          <cell r="B33">
            <v>0</v>
          </cell>
          <cell r="C33">
            <v>0</v>
          </cell>
          <cell r="D33">
            <v>0</v>
          </cell>
          <cell r="E33">
            <v>0</v>
          </cell>
          <cell r="F33">
            <v>0</v>
          </cell>
          <cell r="G33">
            <v>0</v>
          </cell>
          <cell r="H33">
            <v>25</v>
          </cell>
          <cell r="I33">
            <v>25</v>
          </cell>
          <cell r="J33">
            <v>25</v>
          </cell>
          <cell r="K33">
            <v>25</v>
          </cell>
          <cell r="L33">
            <v>25</v>
          </cell>
          <cell r="M33">
            <v>25</v>
          </cell>
          <cell r="N33">
            <v>25</v>
          </cell>
          <cell r="O33">
            <v>25</v>
          </cell>
          <cell r="P33">
            <v>25</v>
          </cell>
          <cell r="Q33">
            <v>25</v>
          </cell>
          <cell r="R33">
            <v>25</v>
          </cell>
          <cell r="S33">
            <v>25</v>
          </cell>
          <cell r="T33">
            <v>25</v>
          </cell>
          <cell r="U33">
            <v>25</v>
          </cell>
          <cell r="V33">
            <v>25</v>
          </cell>
          <cell r="X33"/>
          <cell r="Y33"/>
          <cell r="Z33"/>
          <cell r="AA33"/>
        </row>
        <row r="34">
          <cell r="B34">
            <v>25</v>
          </cell>
          <cell r="C34">
            <v>25</v>
          </cell>
          <cell r="D34">
            <v>25</v>
          </cell>
          <cell r="E34">
            <v>25</v>
          </cell>
          <cell r="F34">
            <v>25</v>
          </cell>
          <cell r="G34">
            <v>25</v>
          </cell>
          <cell r="H34">
            <v>25</v>
          </cell>
          <cell r="I34">
            <v>25</v>
          </cell>
          <cell r="J34">
            <v>25</v>
          </cell>
          <cell r="K34">
            <v>25</v>
          </cell>
          <cell r="L34">
            <v>25</v>
          </cell>
          <cell r="M34">
            <v>25</v>
          </cell>
          <cell r="N34">
            <v>25</v>
          </cell>
          <cell r="O34">
            <v>25</v>
          </cell>
          <cell r="P34">
            <v>25</v>
          </cell>
          <cell r="Q34">
            <v>25</v>
          </cell>
          <cell r="R34">
            <v>25</v>
          </cell>
          <cell r="S34">
            <v>25</v>
          </cell>
          <cell r="T34">
            <v>25</v>
          </cell>
          <cell r="U34">
            <v>25</v>
          </cell>
          <cell r="V34">
            <v>25</v>
          </cell>
          <cell r="X34"/>
          <cell r="Y34"/>
          <cell r="Z34"/>
          <cell r="AA34"/>
        </row>
        <row r="35">
          <cell r="B35">
            <v>0</v>
          </cell>
          <cell r="C35">
            <v>0</v>
          </cell>
          <cell r="D35">
            <v>0</v>
          </cell>
          <cell r="E35">
            <v>0</v>
          </cell>
          <cell r="F35">
            <v>0</v>
          </cell>
          <cell r="G35">
            <v>0</v>
          </cell>
          <cell r="H35">
            <v>0</v>
          </cell>
          <cell r="I35">
            <v>0</v>
          </cell>
          <cell r="J35">
            <v>0</v>
          </cell>
          <cell r="K35">
            <v>0</v>
          </cell>
          <cell r="L35">
            <v>12.5</v>
          </cell>
          <cell r="M35">
            <v>12.5</v>
          </cell>
          <cell r="N35">
            <v>12.5</v>
          </cell>
          <cell r="O35">
            <v>12.5</v>
          </cell>
          <cell r="P35">
            <v>12.5</v>
          </cell>
          <cell r="Q35">
            <v>12.5</v>
          </cell>
          <cell r="R35">
            <v>12.5</v>
          </cell>
          <cell r="S35">
            <v>12.5</v>
          </cell>
          <cell r="T35">
            <v>12.5</v>
          </cell>
          <cell r="U35">
            <v>12.5</v>
          </cell>
          <cell r="V35">
            <v>12.5</v>
          </cell>
          <cell r="X35"/>
          <cell r="Y35"/>
          <cell r="Z35"/>
          <cell r="AA35"/>
        </row>
        <row r="37">
          <cell r="A37" t="str">
            <v>Competition Sub-Index</v>
          </cell>
        </row>
        <row r="39">
          <cell r="B39">
            <v>25</v>
          </cell>
          <cell r="C39">
            <v>25</v>
          </cell>
          <cell r="D39">
            <v>25</v>
          </cell>
          <cell r="E39">
            <v>25</v>
          </cell>
          <cell r="F39">
            <v>25</v>
          </cell>
          <cell r="G39">
            <v>25</v>
          </cell>
          <cell r="H39">
            <v>25</v>
          </cell>
          <cell r="I39">
            <v>25</v>
          </cell>
          <cell r="J39">
            <v>25</v>
          </cell>
          <cell r="K39">
            <v>25</v>
          </cell>
          <cell r="L39">
            <v>25</v>
          </cell>
          <cell r="M39">
            <v>25</v>
          </cell>
          <cell r="N39">
            <v>25</v>
          </cell>
          <cell r="O39">
            <v>25</v>
          </cell>
          <cell r="P39">
            <v>25</v>
          </cell>
          <cell r="Q39">
            <v>25</v>
          </cell>
          <cell r="R39">
            <v>25</v>
          </cell>
          <cell r="S39">
            <v>25</v>
          </cell>
          <cell r="T39">
            <v>25</v>
          </cell>
          <cell r="U39">
            <v>25</v>
          </cell>
          <cell r="V39">
            <v>25</v>
          </cell>
          <cell r="X39"/>
          <cell r="Y39"/>
          <cell r="Z39"/>
          <cell r="AA39"/>
        </row>
        <row r="40">
          <cell r="B40">
            <v>12.5</v>
          </cell>
          <cell r="C40">
            <v>12.5</v>
          </cell>
          <cell r="D40">
            <v>12.5</v>
          </cell>
          <cell r="E40">
            <v>12.5</v>
          </cell>
          <cell r="F40">
            <v>12.5</v>
          </cell>
          <cell r="G40">
            <v>12.5</v>
          </cell>
          <cell r="H40">
            <v>25</v>
          </cell>
          <cell r="I40">
            <v>25</v>
          </cell>
          <cell r="J40">
            <v>25</v>
          </cell>
          <cell r="K40">
            <v>25</v>
          </cell>
          <cell r="L40">
            <v>25</v>
          </cell>
          <cell r="M40">
            <v>25</v>
          </cell>
          <cell r="N40">
            <v>25</v>
          </cell>
          <cell r="O40">
            <v>25</v>
          </cell>
          <cell r="P40">
            <v>25</v>
          </cell>
          <cell r="Q40">
            <v>25</v>
          </cell>
          <cell r="R40">
            <v>25</v>
          </cell>
          <cell r="S40">
            <v>25</v>
          </cell>
          <cell r="T40">
            <v>25</v>
          </cell>
          <cell r="U40">
            <v>25</v>
          </cell>
          <cell r="V40">
            <v>25</v>
          </cell>
          <cell r="X40"/>
          <cell r="Y40"/>
          <cell r="Z40"/>
          <cell r="AA40"/>
        </row>
        <row r="41">
          <cell r="B41">
            <v>0</v>
          </cell>
          <cell r="C41">
            <v>0</v>
          </cell>
          <cell r="D41">
            <v>0</v>
          </cell>
          <cell r="E41">
            <v>0</v>
          </cell>
          <cell r="F41">
            <v>6.25</v>
          </cell>
          <cell r="G41">
            <v>12.5</v>
          </cell>
          <cell r="H41">
            <v>12.5</v>
          </cell>
          <cell r="I41">
            <v>12.5</v>
          </cell>
          <cell r="J41">
            <v>12.5</v>
          </cell>
          <cell r="K41">
            <v>12.5</v>
          </cell>
          <cell r="L41">
            <v>12.5</v>
          </cell>
          <cell r="M41">
            <v>12.5</v>
          </cell>
          <cell r="N41">
            <v>12.5</v>
          </cell>
          <cell r="O41">
            <v>12.5</v>
          </cell>
          <cell r="P41">
            <v>12.5</v>
          </cell>
          <cell r="Q41">
            <v>12.5</v>
          </cell>
          <cell r="R41">
            <v>12.5</v>
          </cell>
          <cell r="S41">
            <v>12.5</v>
          </cell>
          <cell r="T41">
            <v>12.5</v>
          </cell>
          <cell r="U41">
            <v>12.5</v>
          </cell>
          <cell r="V41">
            <v>12.5</v>
          </cell>
          <cell r="X41"/>
          <cell r="Y41"/>
          <cell r="Z41"/>
          <cell r="AA41"/>
        </row>
        <row r="42">
          <cell r="B42">
            <v>12.5</v>
          </cell>
          <cell r="C42">
            <v>12.5</v>
          </cell>
          <cell r="D42">
            <v>12.5</v>
          </cell>
          <cell r="E42">
            <v>12.5</v>
          </cell>
          <cell r="F42">
            <v>12.5</v>
          </cell>
          <cell r="G42">
            <v>12.5</v>
          </cell>
          <cell r="H42">
            <v>12.5</v>
          </cell>
          <cell r="I42">
            <v>12.5</v>
          </cell>
          <cell r="J42">
            <v>25</v>
          </cell>
          <cell r="K42">
            <v>25</v>
          </cell>
          <cell r="L42">
            <v>25</v>
          </cell>
          <cell r="M42">
            <v>25</v>
          </cell>
          <cell r="N42">
            <v>25</v>
          </cell>
          <cell r="O42">
            <v>25</v>
          </cell>
          <cell r="P42">
            <v>25</v>
          </cell>
          <cell r="Q42">
            <v>25</v>
          </cell>
          <cell r="R42">
            <v>25</v>
          </cell>
          <cell r="S42">
            <v>25</v>
          </cell>
          <cell r="T42">
            <v>25</v>
          </cell>
          <cell r="U42">
            <v>25</v>
          </cell>
          <cell r="V42">
            <v>25</v>
          </cell>
          <cell r="X42"/>
          <cell r="Y42"/>
          <cell r="Z42"/>
          <cell r="AA42"/>
        </row>
        <row r="43">
          <cell r="B43">
            <v>0</v>
          </cell>
          <cell r="C43">
            <v>6.25</v>
          </cell>
          <cell r="D43">
            <v>12.5</v>
          </cell>
          <cell r="E43">
            <v>12.5</v>
          </cell>
          <cell r="F43">
            <v>12.5</v>
          </cell>
          <cell r="G43">
            <v>12.5</v>
          </cell>
          <cell r="H43">
            <v>12.5</v>
          </cell>
          <cell r="I43">
            <v>12.5</v>
          </cell>
          <cell r="J43">
            <v>12.5</v>
          </cell>
          <cell r="K43">
            <v>12.5</v>
          </cell>
          <cell r="L43">
            <v>12.5</v>
          </cell>
          <cell r="M43">
            <v>12.5</v>
          </cell>
          <cell r="N43">
            <v>12.5</v>
          </cell>
          <cell r="O43">
            <v>12.5</v>
          </cell>
          <cell r="P43">
            <v>12.5</v>
          </cell>
          <cell r="Q43">
            <v>12.5</v>
          </cell>
          <cell r="R43">
            <v>12.5</v>
          </cell>
          <cell r="S43">
            <v>12.5</v>
          </cell>
          <cell r="T43">
            <v>12.5</v>
          </cell>
          <cell r="U43">
            <v>12.5</v>
          </cell>
          <cell r="V43">
            <v>12.5</v>
          </cell>
          <cell r="X43"/>
          <cell r="Y43"/>
          <cell r="Z43"/>
          <cell r="AA43"/>
        </row>
        <row r="44">
          <cell r="B44">
            <v>0</v>
          </cell>
          <cell r="C44">
            <v>0</v>
          </cell>
          <cell r="D44">
            <v>12.5</v>
          </cell>
          <cell r="E44">
            <v>12.5</v>
          </cell>
          <cell r="F44">
            <v>12.5</v>
          </cell>
          <cell r="G44">
            <v>12.5</v>
          </cell>
          <cell r="H44">
            <v>12.5</v>
          </cell>
          <cell r="I44">
            <v>12.5</v>
          </cell>
          <cell r="J44">
            <v>12.5</v>
          </cell>
          <cell r="K44">
            <v>12.5</v>
          </cell>
          <cell r="L44">
            <v>12.5</v>
          </cell>
          <cell r="M44">
            <v>12.5</v>
          </cell>
          <cell r="N44">
            <v>12.5</v>
          </cell>
          <cell r="O44">
            <v>18.75</v>
          </cell>
          <cell r="P44">
            <v>18.75</v>
          </cell>
          <cell r="Q44">
            <v>18.75</v>
          </cell>
          <cell r="R44">
            <v>18.75</v>
          </cell>
          <cell r="S44">
            <v>18.75</v>
          </cell>
          <cell r="T44">
            <v>18.75</v>
          </cell>
          <cell r="U44">
            <v>18.75</v>
          </cell>
          <cell r="V44">
            <v>18.75</v>
          </cell>
          <cell r="X44"/>
          <cell r="Y44"/>
          <cell r="Z44"/>
          <cell r="AA44"/>
        </row>
        <row r="45">
          <cell r="B45">
            <v>6.25</v>
          </cell>
          <cell r="C45">
            <v>6.25</v>
          </cell>
          <cell r="D45">
            <v>12.5</v>
          </cell>
          <cell r="E45">
            <v>12.5</v>
          </cell>
          <cell r="F45">
            <v>12.5</v>
          </cell>
          <cell r="G45">
            <v>12.5</v>
          </cell>
          <cell r="H45">
            <v>12.5</v>
          </cell>
          <cell r="I45">
            <v>18.75</v>
          </cell>
          <cell r="J45">
            <v>18.75</v>
          </cell>
          <cell r="K45">
            <v>18.75</v>
          </cell>
          <cell r="L45">
            <v>18.75</v>
          </cell>
          <cell r="M45">
            <v>18.75</v>
          </cell>
          <cell r="N45">
            <v>18.75</v>
          </cell>
          <cell r="O45">
            <v>18.75</v>
          </cell>
          <cell r="P45">
            <v>18.75</v>
          </cell>
          <cell r="Q45">
            <v>18.75</v>
          </cell>
          <cell r="R45">
            <v>18.75</v>
          </cell>
          <cell r="S45">
            <v>18.75</v>
          </cell>
          <cell r="T45">
            <v>18.75</v>
          </cell>
          <cell r="U45">
            <v>18.75</v>
          </cell>
          <cell r="V45">
            <v>18.75</v>
          </cell>
          <cell r="X45"/>
          <cell r="Y45"/>
          <cell r="Z45"/>
          <cell r="AA45"/>
        </row>
        <row r="46">
          <cell r="B46">
            <v>25</v>
          </cell>
          <cell r="C46">
            <v>25</v>
          </cell>
          <cell r="D46">
            <v>25</v>
          </cell>
          <cell r="E46">
            <v>25</v>
          </cell>
          <cell r="F46">
            <v>25</v>
          </cell>
          <cell r="G46">
            <v>25</v>
          </cell>
          <cell r="H46">
            <v>25</v>
          </cell>
          <cell r="I46">
            <v>25</v>
          </cell>
          <cell r="J46">
            <v>25</v>
          </cell>
          <cell r="K46">
            <v>25</v>
          </cell>
          <cell r="L46">
            <v>25</v>
          </cell>
          <cell r="M46">
            <v>25</v>
          </cell>
          <cell r="N46">
            <v>25</v>
          </cell>
          <cell r="O46">
            <v>25</v>
          </cell>
          <cell r="P46">
            <v>25</v>
          </cell>
          <cell r="Q46">
            <v>25</v>
          </cell>
          <cell r="R46">
            <v>25</v>
          </cell>
          <cell r="S46">
            <v>25</v>
          </cell>
          <cell r="T46">
            <v>25</v>
          </cell>
          <cell r="U46">
            <v>25</v>
          </cell>
          <cell r="V46">
            <v>25</v>
          </cell>
          <cell r="X46"/>
          <cell r="Y46"/>
          <cell r="Z46"/>
          <cell r="AA46"/>
        </row>
        <row r="47">
          <cell r="B47">
            <v>6.25</v>
          </cell>
          <cell r="C47">
            <v>6.25</v>
          </cell>
          <cell r="D47">
            <v>6.25</v>
          </cell>
          <cell r="E47">
            <v>6.25</v>
          </cell>
          <cell r="F47">
            <v>6.25</v>
          </cell>
          <cell r="G47">
            <v>6.25</v>
          </cell>
          <cell r="H47">
            <v>12.5</v>
          </cell>
          <cell r="I47">
            <v>12.5</v>
          </cell>
          <cell r="J47">
            <v>12.5</v>
          </cell>
          <cell r="K47">
            <v>18.75</v>
          </cell>
          <cell r="L47">
            <v>18.75</v>
          </cell>
          <cell r="M47">
            <v>25</v>
          </cell>
          <cell r="N47">
            <v>25</v>
          </cell>
          <cell r="O47">
            <v>25</v>
          </cell>
          <cell r="P47">
            <v>25</v>
          </cell>
          <cell r="Q47">
            <v>25</v>
          </cell>
          <cell r="R47">
            <v>25</v>
          </cell>
          <cell r="S47">
            <v>25</v>
          </cell>
          <cell r="T47">
            <v>25</v>
          </cell>
          <cell r="U47">
            <v>25</v>
          </cell>
          <cell r="V47">
            <v>25</v>
          </cell>
          <cell r="X47"/>
          <cell r="Y47"/>
          <cell r="Z47"/>
          <cell r="AA47"/>
        </row>
        <row r="48">
          <cell r="B48">
            <v>0</v>
          </cell>
          <cell r="C48">
            <v>0</v>
          </cell>
          <cell r="D48">
            <v>6.25</v>
          </cell>
          <cell r="E48">
            <v>12.5</v>
          </cell>
          <cell r="F48">
            <v>12.5</v>
          </cell>
          <cell r="G48">
            <v>12.5</v>
          </cell>
          <cell r="H48">
            <v>12.5</v>
          </cell>
          <cell r="I48">
            <v>12.5</v>
          </cell>
          <cell r="J48">
            <v>12.5</v>
          </cell>
          <cell r="K48">
            <v>12.5</v>
          </cell>
          <cell r="L48">
            <v>12.5</v>
          </cell>
          <cell r="M48">
            <v>12.5</v>
          </cell>
          <cell r="N48">
            <v>12.5</v>
          </cell>
          <cell r="O48">
            <v>12.5</v>
          </cell>
          <cell r="P48">
            <v>12.5</v>
          </cell>
          <cell r="Q48">
            <v>12.5</v>
          </cell>
          <cell r="R48">
            <v>12.5</v>
          </cell>
          <cell r="S48">
            <v>18.75</v>
          </cell>
          <cell r="T48">
            <v>18.75</v>
          </cell>
          <cell r="U48">
            <v>18.75</v>
          </cell>
          <cell r="V48">
            <v>18.75</v>
          </cell>
          <cell r="X48"/>
          <cell r="Y48"/>
          <cell r="Z48"/>
          <cell r="AA48"/>
        </row>
        <row r="49">
          <cell r="B49">
            <v>0</v>
          </cell>
          <cell r="C49">
            <v>0</v>
          </cell>
          <cell r="D49">
            <v>0</v>
          </cell>
          <cell r="E49">
            <v>0</v>
          </cell>
          <cell r="F49">
            <v>0</v>
          </cell>
          <cell r="G49">
            <v>0</v>
          </cell>
          <cell r="H49">
            <v>0</v>
          </cell>
          <cell r="I49">
            <v>0</v>
          </cell>
          <cell r="J49">
            <v>0</v>
          </cell>
          <cell r="K49">
            <v>0</v>
          </cell>
          <cell r="L49">
            <v>0</v>
          </cell>
          <cell r="M49">
            <v>6.25</v>
          </cell>
          <cell r="N49">
            <v>6.25</v>
          </cell>
          <cell r="O49">
            <v>6.25</v>
          </cell>
          <cell r="P49">
            <v>6.25</v>
          </cell>
          <cell r="Q49">
            <v>6.25</v>
          </cell>
          <cell r="R49">
            <v>6.25</v>
          </cell>
          <cell r="S49">
            <v>6.25</v>
          </cell>
          <cell r="T49">
            <v>6.25</v>
          </cell>
          <cell r="U49">
            <v>6.25</v>
          </cell>
          <cell r="V49">
            <v>6.25</v>
          </cell>
          <cell r="X49"/>
          <cell r="Y49"/>
          <cell r="Z49"/>
          <cell r="AA49"/>
        </row>
        <row r="50">
          <cell r="B50">
            <v>6.25</v>
          </cell>
          <cell r="C50">
            <v>6.25</v>
          </cell>
          <cell r="D50">
            <v>6.25</v>
          </cell>
          <cell r="E50">
            <v>6.25</v>
          </cell>
          <cell r="F50">
            <v>6.25</v>
          </cell>
          <cell r="G50">
            <v>6.25</v>
          </cell>
          <cell r="H50">
            <v>6.25</v>
          </cell>
          <cell r="I50">
            <v>6.25</v>
          </cell>
          <cell r="J50">
            <v>6.25</v>
          </cell>
          <cell r="K50">
            <v>6.25</v>
          </cell>
          <cell r="L50">
            <v>6.25</v>
          </cell>
          <cell r="M50">
            <v>6.25</v>
          </cell>
          <cell r="N50">
            <v>6.25</v>
          </cell>
          <cell r="O50">
            <v>6.25</v>
          </cell>
          <cell r="P50">
            <v>6.25</v>
          </cell>
          <cell r="Q50">
            <v>6.25</v>
          </cell>
          <cell r="R50">
            <v>6.25</v>
          </cell>
          <cell r="S50">
            <v>6.25</v>
          </cell>
          <cell r="T50">
            <v>6.25</v>
          </cell>
          <cell r="U50">
            <v>6.25</v>
          </cell>
          <cell r="V50">
            <v>6.25</v>
          </cell>
          <cell r="X50"/>
          <cell r="Y50"/>
          <cell r="Z50"/>
          <cell r="AA50"/>
        </row>
        <row r="51">
          <cell r="B51">
            <v>0</v>
          </cell>
          <cell r="C51">
            <v>0</v>
          </cell>
          <cell r="D51">
            <v>0</v>
          </cell>
          <cell r="E51">
            <v>0</v>
          </cell>
          <cell r="F51">
            <v>6.25</v>
          </cell>
          <cell r="G51">
            <v>6.25</v>
          </cell>
          <cell r="H51">
            <v>12.5</v>
          </cell>
          <cell r="I51">
            <v>12.5</v>
          </cell>
          <cell r="J51">
            <v>12.5</v>
          </cell>
          <cell r="K51">
            <v>12.5</v>
          </cell>
          <cell r="L51">
            <v>12.5</v>
          </cell>
          <cell r="M51">
            <v>12.5</v>
          </cell>
          <cell r="N51">
            <v>12.5</v>
          </cell>
          <cell r="O51">
            <v>12.5</v>
          </cell>
          <cell r="P51">
            <v>12.5</v>
          </cell>
          <cell r="Q51">
            <v>12.5</v>
          </cell>
          <cell r="R51">
            <v>12.5</v>
          </cell>
          <cell r="S51">
            <v>12.5</v>
          </cell>
          <cell r="T51">
            <v>12.5</v>
          </cell>
          <cell r="U51">
            <v>12.5</v>
          </cell>
          <cell r="V51">
            <v>12.5</v>
          </cell>
          <cell r="X51"/>
          <cell r="Y51"/>
          <cell r="Z51"/>
          <cell r="AA51"/>
        </row>
        <row r="52">
          <cell r="B52">
            <v>12.5</v>
          </cell>
          <cell r="C52">
            <v>25</v>
          </cell>
          <cell r="D52">
            <v>25</v>
          </cell>
          <cell r="E52">
            <v>25</v>
          </cell>
          <cell r="F52">
            <v>25</v>
          </cell>
          <cell r="G52">
            <v>25</v>
          </cell>
          <cell r="H52">
            <v>25</v>
          </cell>
          <cell r="I52">
            <v>25</v>
          </cell>
          <cell r="J52">
            <v>25</v>
          </cell>
          <cell r="K52">
            <v>25</v>
          </cell>
          <cell r="L52">
            <v>25</v>
          </cell>
          <cell r="M52">
            <v>25</v>
          </cell>
          <cell r="N52">
            <v>25</v>
          </cell>
          <cell r="O52">
            <v>25</v>
          </cell>
          <cell r="P52">
            <v>25</v>
          </cell>
          <cell r="Q52">
            <v>25</v>
          </cell>
          <cell r="R52">
            <v>25</v>
          </cell>
          <cell r="S52">
            <v>25</v>
          </cell>
          <cell r="T52">
            <v>25</v>
          </cell>
          <cell r="U52">
            <v>25</v>
          </cell>
          <cell r="V52">
            <v>25</v>
          </cell>
          <cell r="X52"/>
          <cell r="Y52"/>
          <cell r="Z52"/>
          <cell r="AA52"/>
        </row>
        <row r="53">
          <cell r="B53">
            <v>0</v>
          </cell>
          <cell r="C53">
            <v>0</v>
          </cell>
          <cell r="D53">
            <v>0</v>
          </cell>
          <cell r="E53">
            <v>6.25</v>
          </cell>
          <cell r="F53">
            <v>6.25</v>
          </cell>
          <cell r="G53">
            <v>6.25</v>
          </cell>
          <cell r="H53">
            <v>6.25</v>
          </cell>
          <cell r="I53">
            <v>6.25</v>
          </cell>
          <cell r="J53">
            <v>6.25</v>
          </cell>
          <cell r="K53">
            <v>6.25</v>
          </cell>
          <cell r="L53">
            <v>6.25</v>
          </cell>
          <cell r="M53">
            <v>6.25</v>
          </cell>
          <cell r="N53">
            <v>6.25</v>
          </cell>
          <cell r="O53">
            <v>6.25</v>
          </cell>
          <cell r="P53">
            <v>12.5</v>
          </cell>
          <cell r="Q53">
            <v>12.5</v>
          </cell>
          <cell r="R53">
            <v>12.5</v>
          </cell>
          <cell r="S53">
            <v>12.5</v>
          </cell>
          <cell r="T53">
            <v>12.5</v>
          </cell>
          <cell r="U53">
            <v>12.5</v>
          </cell>
          <cell r="V53">
            <v>18.75</v>
          </cell>
          <cell r="X53"/>
          <cell r="Y53"/>
          <cell r="Z53"/>
          <cell r="AA53"/>
        </row>
        <row r="55">
          <cell r="A55" t="str">
            <v>PSP Sub-Index</v>
          </cell>
        </row>
        <row r="57">
          <cell r="B57">
            <v>8.7386170768882856</v>
          </cell>
          <cell r="C57">
            <v>10.727397690382123</v>
          </cell>
          <cell r="D57">
            <v>13.315479432515104</v>
          </cell>
          <cell r="E57">
            <v>14.200164474160381</v>
          </cell>
          <cell r="F57">
            <v>14.255119781031016</v>
          </cell>
          <cell r="G57">
            <v>14.131873458002648</v>
          </cell>
          <cell r="H57">
            <v>13.855377161988109</v>
          </cell>
          <cell r="I57">
            <v>13.838767112675022</v>
          </cell>
          <cell r="J57">
            <v>13.836441756462875</v>
          </cell>
          <cell r="K57">
            <v>13.817901729608529</v>
          </cell>
          <cell r="L57">
            <v>13.817901729608529</v>
          </cell>
          <cell r="M57">
            <v>14.499732287429149</v>
          </cell>
          <cell r="N57">
            <v>14.500326237737992</v>
          </cell>
          <cell r="O57">
            <v>14.496149632352342</v>
          </cell>
          <cell r="P57">
            <v>14.495714184191499</v>
          </cell>
          <cell r="Q57">
            <v>14.375492684911457</v>
          </cell>
          <cell r="R57">
            <v>14.078767229326647</v>
          </cell>
          <cell r="S57">
            <v>14.101856776770358</v>
          </cell>
          <cell r="T57">
            <v>14.127215635363191</v>
          </cell>
          <cell r="U57">
            <v>14.329777456314593</v>
          </cell>
          <cell r="V57">
            <v>14.329777456314593</v>
          </cell>
          <cell r="X57"/>
          <cell r="Y57"/>
          <cell r="Z57"/>
          <cell r="AA57"/>
        </row>
        <row r="58">
          <cell r="B58">
            <v>6.4067570155987363</v>
          </cell>
          <cell r="C58">
            <v>6.9684652704506647</v>
          </cell>
          <cell r="D58">
            <v>6.9955815365093255</v>
          </cell>
          <cell r="E58">
            <v>7.2567494581114946</v>
          </cell>
          <cell r="F58">
            <v>7.273871606539382</v>
          </cell>
          <cell r="G58">
            <v>7.158815219899763</v>
          </cell>
          <cell r="H58">
            <v>7.5073435233627164</v>
          </cell>
          <cell r="I58">
            <v>7.2058055364697102</v>
          </cell>
          <cell r="J58">
            <v>7.7960741656655728</v>
          </cell>
          <cell r="K58">
            <v>7.7878639913789778</v>
          </cell>
          <cell r="L58">
            <v>7.7921862425255837</v>
          </cell>
          <cell r="M58">
            <v>7.8323434872813502</v>
          </cell>
          <cell r="N58">
            <v>7.8337155592154204</v>
          </cell>
          <cell r="O58">
            <v>7.7143619430430643</v>
          </cell>
          <cell r="P58">
            <v>7.753041791714316</v>
          </cell>
          <cell r="Q58">
            <v>7.806722034497934</v>
          </cell>
          <cell r="R58">
            <v>7.7414411447064433</v>
          </cell>
          <cell r="S58">
            <v>7.7775320133061765</v>
          </cell>
          <cell r="T58">
            <v>7.3886529472925737</v>
          </cell>
          <cell r="U58">
            <v>7.3881122898528382</v>
          </cell>
          <cell r="V58">
            <v>7.3881122898528382</v>
          </cell>
          <cell r="X58"/>
          <cell r="Y58"/>
          <cell r="Z58"/>
          <cell r="AA58"/>
        </row>
        <row r="59">
          <cell r="B59">
            <v>0</v>
          </cell>
          <cell r="C59">
            <v>0</v>
          </cell>
          <cell r="D59">
            <v>4.293616007646741E-2</v>
          </cell>
          <cell r="E59">
            <v>4.110085851439494E-2</v>
          </cell>
          <cell r="F59">
            <v>3.8636305301311832E-2</v>
          </cell>
          <cell r="G59">
            <v>0.12539318129339486</v>
          </cell>
          <cell r="H59">
            <v>0.17767846740257351</v>
          </cell>
          <cell r="I59">
            <v>0.87551937644312816</v>
          </cell>
          <cell r="J59">
            <v>1.5164821524660907</v>
          </cell>
          <cell r="K59">
            <v>1.4781614757260495</v>
          </cell>
          <cell r="L59">
            <v>1.4083530913314399</v>
          </cell>
          <cell r="M59">
            <v>1.2954746515853546</v>
          </cell>
          <cell r="N59">
            <v>1.2679342782476311</v>
          </cell>
          <cell r="O59">
            <v>1.2512296211725917</v>
          </cell>
          <cell r="P59">
            <v>1.1556471748219037</v>
          </cell>
          <cell r="Q59">
            <v>1.0934551457753703</v>
          </cell>
          <cell r="R59">
            <v>0.97313563161789529</v>
          </cell>
          <cell r="S59">
            <v>0.92056536143301937</v>
          </cell>
          <cell r="T59">
            <v>0.88900578167960442</v>
          </cell>
          <cell r="U59">
            <v>0.82179975416895656</v>
          </cell>
          <cell r="V59">
            <v>0.82179975416895656</v>
          </cell>
          <cell r="X59"/>
          <cell r="Y59"/>
          <cell r="Z59"/>
          <cell r="AA59"/>
        </row>
        <row r="60">
          <cell r="B60">
            <v>5.7553365430266572</v>
          </cell>
          <cell r="C60">
            <v>5.8818455549818971</v>
          </cell>
          <cell r="D60">
            <v>6.0353394837163332</v>
          </cell>
          <cell r="E60">
            <v>6.1192872716219968</v>
          </cell>
          <cell r="F60">
            <v>6.1464280160330471</v>
          </cell>
          <cell r="G60">
            <v>7.2997059551992818</v>
          </cell>
          <cell r="H60">
            <v>7.8939945668565965</v>
          </cell>
          <cell r="I60">
            <v>7.9439764907551389</v>
          </cell>
          <cell r="J60">
            <v>8.3624530442701843</v>
          </cell>
          <cell r="K60">
            <v>8.3883361847545483</v>
          </cell>
          <cell r="L60">
            <v>8.4127612574594899</v>
          </cell>
          <cell r="M60">
            <v>9.8521144809262466</v>
          </cell>
          <cell r="N60">
            <v>9.8692494771257149</v>
          </cell>
          <cell r="O60">
            <v>9.8970877351670943</v>
          </cell>
          <cell r="P60">
            <v>10.216629246316918</v>
          </cell>
          <cell r="Q60">
            <v>11.161160537655649</v>
          </cell>
          <cell r="R60">
            <v>12.164392360800795</v>
          </cell>
          <cell r="S60">
            <v>13.573523000161764</v>
          </cell>
          <cell r="T60">
            <v>14.067866804740953</v>
          </cell>
          <cell r="U60">
            <v>14.394889242714715</v>
          </cell>
          <cell r="V60">
            <v>14.394889242714715</v>
          </cell>
          <cell r="X60"/>
          <cell r="Y60"/>
          <cell r="Z60"/>
          <cell r="AA60"/>
        </row>
        <row r="61">
          <cell r="B61">
            <v>0</v>
          </cell>
          <cell r="C61">
            <v>0.69182253884879308</v>
          </cell>
          <cell r="D61">
            <v>1.9144938548307844</v>
          </cell>
          <cell r="E61">
            <v>1.9144938548307844</v>
          </cell>
          <cell r="F61">
            <v>1.6342306438555796</v>
          </cell>
          <cell r="G61">
            <v>1.7252029359074983</v>
          </cell>
          <cell r="H61">
            <v>2.3973004085419656</v>
          </cell>
          <cell r="I61">
            <v>2.3974537125345603</v>
          </cell>
          <cell r="J61">
            <v>2.2638585091581311</v>
          </cell>
          <cell r="K61">
            <v>2.3687042851896831</v>
          </cell>
          <cell r="L61">
            <v>2.3691033920582796</v>
          </cell>
          <cell r="M61">
            <v>3.1152977123868504</v>
          </cell>
          <cell r="N61">
            <v>3.0485492472179061</v>
          </cell>
          <cell r="O61">
            <v>3.3215331164252309</v>
          </cell>
          <cell r="P61">
            <v>3.7797297583837124</v>
          </cell>
          <cell r="Q61">
            <v>4.0493570289359155</v>
          </cell>
          <cell r="R61">
            <v>3.6711782439986247</v>
          </cell>
          <cell r="S61">
            <v>3.6220026885790757</v>
          </cell>
          <cell r="T61">
            <v>3.9020103919882816</v>
          </cell>
          <cell r="U61">
            <v>3.9141986474125994</v>
          </cell>
          <cell r="V61">
            <v>3.9141986474125994</v>
          </cell>
          <cell r="X61"/>
          <cell r="Y61"/>
          <cell r="Z61"/>
          <cell r="AA61"/>
        </row>
        <row r="62">
          <cell r="B62">
            <v>2.4586573048929012</v>
          </cell>
          <cell r="C62">
            <v>2.4586573048929012</v>
          </cell>
          <cell r="D62">
            <v>8.596756782125766</v>
          </cell>
          <cell r="E62">
            <v>10.627874550245467</v>
          </cell>
          <cell r="F62">
            <v>10.627874550245467</v>
          </cell>
          <cell r="G62">
            <v>11.658527930095078</v>
          </cell>
          <cell r="H62">
            <v>14.063500862618636</v>
          </cell>
          <cell r="I62">
            <v>13.973727702730335</v>
          </cell>
          <cell r="J62">
            <v>13.966592981285075</v>
          </cell>
          <cell r="K62">
            <v>13.966397138395697</v>
          </cell>
          <cell r="L62">
            <v>14.659984292118541</v>
          </cell>
          <cell r="M62">
            <v>14.251516109980825</v>
          </cell>
          <cell r="N62">
            <v>14.20379320731762</v>
          </cell>
          <cell r="O62">
            <v>14.20379320731762</v>
          </cell>
          <cell r="P62">
            <v>13.854852907277213</v>
          </cell>
          <cell r="Q62">
            <v>13.544614451021175</v>
          </cell>
          <cell r="R62">
            <v>13.369530119986411</v>
          </cell>
          <cell r="S62">
            <v>13.365612951199326</v>
          </cell>
          <cell r="T62">
            <v>13.433552232468571</v>
          </cell>
          <cell r="U62">
            <v>14.596767301464887</v>
          </cell>
          <cell r="V62">
            <v>14.596767301464887</v>
          </cell>
          <cell r="X62"/>
          <cell r="Y62"/>
          <cell r="Z62"/>
          <cell r="AA62"/>
        </row>
        <row r="63">
          <cell r="B63">
            <v>3.0937495802431014</v>
          </cell>
          <cell r="C63">
            <v>3.7857826354136441</v>
          </cell>
          <cell r="D63">
            <v>4.3829320014639617</v>
          </cell>
          <cell r="E63">
            <v>4.6369083321906244</v>
          </cell>
          <cell r="F63">
            <v>5.09088081109826</v>
          </cell>
          <cell r="G63">
            <v>5.274462009872714</v>
          </cell>
          <cell r="H63">
            <v>5.3378217914882464</v>
          </cell>
          <cell r="I63">
            <v>5.3378217914882464</v>
          </cell>
          <cell r="J63">
            <v>5.1728772810647659</v>
          </cell>
          <cell r="K63">
            <v>4.943228300589297</v>
          </cell>
          <cell r="L63">
            <v>7.0262144998202825</v>
          </cell>
          <cell r="M63">
            <v>7.0246282217324705</v>
          </cell>
          <cell r="N63">
            <v>7.020714402021488</v>
          </cell>
          <cell r="O63">
            <v>7.1228408566900745</v>
          </cell>
          <cell r="P63">
            <v>7.377436522832995</v>
          </cell>
          <cell r="Q63">
            <v>7.7558826807274492</v>
          </cell>
          <cell r="R63">
            <v>8.1833987972959967</v>
          </cell>
          <cell r="S63">
            <v>8.2346216029536521</v>
          </cell>
          <cell r="T63">
            <v>8.2105083255156632</v>
          </cell>
          <cell r="U63">
            <v>8.2821258120163588</v>
          </cell>
          <cell r="V63">
            <v>8.2821258120163588</v>
          </cell>
          <cell r="X63"/>
          <cell r="Y63"/>
          <cell r="Z63"/>
          <cell r="AA63"/>
        </row>
        <row r="64">
          <cell r="B64">
            <v>11.667800452880126</v>
          </cell>
          <cell r="C64">
            <v>12.65876118154832</v>
          </cell>
          <cell r="D64">
            <v>13.773793227306586</v>
          </cell>
          <cell r="E64">
            <v>13.973181659619552</v>
          </cell>
          <cell r="F64">
            <v>14.341111751895347</v>
          </cell>
          <cell r="G64">
            <v>14.329615411317121</v>
          </cell>
          <cell r="H64">
            <v>14.313642268524312</v>
          </cell>
          <cell r="I64">
            <v>14.289999130012426</v>
          </cell>
          <cell r="J64">
            <v>14.28955697986407</v>
          </cell>
          <cell r="K64">
            <v>14.318244986429034</v>
          </cell>
          <cell r="L64">
            <v>14.426691546672672</v>
          </cell>
          <cell r="M64">
            <v>14.704012003042651</v>
          </cell>
          <cell r="N64">
            <v>14.942659295393796</v>
          </cell>
          <cell r="O64">
            <v>14.920069027116236</v>
          </cell>
          <cell r="P64">
            <v>15.293023665720733</v>
          </cell>
          <cell r="Q64">
            <v>15.449631292430716</v>
          </cell>
          <cell r="R64">
            <v>15.472970000948877</v>
          </cell>
          <cell r="S64">
            <v>15.767471716319829</v>
          </cell>
          <cell r="T64">
            <v>16.076152952319433</v>
          </cell>
          <cell r="U64">
            <v>16.291025507325024</v>
          </cell>
          <cell r="V64">
            <v>16.291025507325024</v>
          </cell>
          <cell r="X64"/>
          <cell r="Y64"/>
          <cell r="Z64"/>
          <cell r="AA64"/>
        </row>
        <row r="65">
          <cell r="B65">
            <v>13.610199851079429</v>
          </cell>
          <cell r="C65">
            <v>14.165551495228229</v>
          </cell>
          <cell r="D65">
            <v>14.366480754297489</v>
          </cell>
          <cell r="E65">
            <v>14.547679382768305</v>
          </cell>
          <cell r="F65">
            <v>15.090682430280166</v>
          </cell>
          <cell r="G65">
            <v>15.447849836203359</v>
          </cell>
          <cell r="H65">
            <v>15.501705273742655</v>
          </cell>
          <cell r="I65">
            <v>15.833109161286979</v>
          </cell>
          <cell r="J65">
            <v>17.976918126181694</v>
          </cell>
          <cell r="K65">
            <v>18.021189074575556</v>
          </cell>
          <cell r="L65">
            <v>18.024856907682558</v>
          </cell>
          <cell r="M65">
            <v>18.067310583309688</v>
          </cell>
          <cell r="N65">
            <v>18.069384923619939</v>
          </cell>
          <cell r="O65">
            <v>18.054869234279249</v>
          </cell>
          <cell r="P65">
            <v>18.051424652442549</v>
          </cell>
          <cell r="Q65">
            <v>18.131837528782789</v>
          </cell>
          <cell r="R65">
            <v>18.170487127675866</v>
          </cell>
          <cell r="S65">
            <v>18.173022425351135</v>
          </cell>
          <cell r="T65">
            <v>18.176325729050504</v>
          </cell>
          <cell r="U65">
            <v>18.318090335642008</v>
          </cell>
          <cell r="V65">
            <v>18.318090335642008</v>
          </cell>
          <cell r="X65"/>
          <cell r="Y65"/>
          <cell r="Z65"/>
          <cell r="AA65"/>
        </row>
        <row r="66">
          <cell r="B66">
            <v>12.5</v>
          </cell>
          <cell r="C66">
            <v>12.5</v>
          </cell>
          <cell r="D66">
            <v>12.5</v>
          </cell>
          <cell r="E66">
            <v>12.5</v>
          </cell>
          <cell r="F66">
            <v>12.5</v>
          </cell>
          <cell r="G66">
            <v>12.5</v>
          </cell>
          <cell r="H66">
            <v>12.5</v>
          </cell>
          <cell r="I66">
            <v>12.5</v>
          </cell>
          <cell r="J66">
            <v>12.5</v>
          </cell>
          <cell r="K66">
            <v>12.5</v>
          </cell>
          <cell r="L66">
            <v>12.5</v>
          </cell>
          <cell r="M66">
            <v>12.5</v>
          </cell>
          <cell r="N66">
            <v>12.5</v>
          </cell>
          <cell r="O66">
            <v>12.5</v>
          </cell>
          <cell r="P66">
            <v>12.5</v>
          </cell>
          <cell r="Q66">
            <v>18.75</v>
          </cell>
          <cell r="R66">
            <v>18.75</v>
          </cell>
          <cell r="S66">
            <v>18.75</v>
          </cell>
          <cell r="T66">
            <v>18.75</v>
          </cell>
          <cell r="U66">
            <v>18.75</v>
          </cell>
          <cell r="V66">
            <v>18.75</v>
          </cell>
          <cell r="X66"/>
          <cell r="Y66"/>
          <cell r="Z66"/>
          <cell r="AA66"/>
        </row>
        <row r="67">
          <cell r="B67">
            <v>7.5482386933836534E-2</v>
          </cell>
          <cell r="C67">
            <v>7.5471823343406741E-2</v>
          </cell>
          <cell r="D67">
            <v>7.5554622064971919E-2</v>
          </cell>
          <cell r="E67">
            <v>7.6105401991726634E-2</v>
          </cell>
          <cell r="F67">
            <v>7.7775606062927258E-2</v>
          </cell>
          <cell r="G67">
            <v>7.7771288640267833E-2</v>
          </cell>
          <cell r="H67">
            <v>7.7771288640267833E-2</v>
          </cell>
          <cell r="I67">
            <v>4.2444379553069345</v>
          </cell>
          <cell r="J67">
            <v>4.2444379553069345</v>
          </cell>
          <cell r="K67">
            <v>4.2444379553069345</v>
          </cell>
          <cell r="L67">
            <v>4.2829315797416472</v>
          </cell>
          <cell r="M67">
            <v>4.2829315797416472</v>
          </cell>
          <cell r="N67">
            <v>4.282929006256543</v>
          </cell>
          <cell r="O67">
            <v>5.5223001183433595</v>
          </cell>
          <cell r="P67">
            <v>5.881936747131074</v>
          </cell>
          <cell r="Q67">
            <v>5.8817823850505064</v>
          </cell>
          <cell r="R67">
            <v>6.1081313139480526</v>
          </cell>
          <cell r="S67">
            <v>6.105810312188038</v>
          </cell>
          <cell r="T67">
            <v>6.1035742029422018</v>
          </cell>
          <cell r="U67">
            <v>6.2833224990347336</v>
          </cell>
          <cell r="V67">
            <v>6.2833224990347336</v>
          </cell>
          <cell r="X67"/>
          <cell r="Y67"/>
          <cell r="Z67"/>
          <cell r="AA67"/>
        </row>
        <row r="68">
          <cell r="A68" t="str">
            <v>Tanzania</v>
          </cell>
          <cell r="B68">
            <v>2.2056439405704746</v>
          </cell>
          <cell r="C68">
            <v>2.2056439405704746</v>
          </cell>
          <cell r="D68">
            <v>2.2064468526250218</v>
          </cell>
          <cell r="E68">
            <v>2.2064468526250218</v>
          </cell>
          <cell r="F68">
            <v>2.0210012820227963</v>
          </cell>
          <cell r="G68">
            <v>1.7301696279441776</v>
          </cell>
          <cell r="H68">
            <v>1.7301696279441776</v>
          </cell>
          <cell r="I68">
            <v>2.8849427487511994</v>
          </cell>
          <cell r="J68">
            <v>2.8849427487511994</v>
          </cell>
          <cell r="K68">
            <v>2.8849427487511994</v>
          </cell>
          <cell r="L68">
            <v>3.6031418570392848</v>
          </cell>
          <cell r="M68">
            <v>3.555955044992364</v>
          </cell>
          <cell r="N68">
            <v>3.5417234677465776</v>
          </cell>
          <cell r="O68">
            <v>3.2285915195413848</v>
          </cell>
          <cell r="P68">
            <v>3.1045781542269264</v>
          </cell>
          <cell r="Q68">
            <v>3.0699380700398007</v>
          </cell>
          <cell r="R68">
            <v>3.0065289872488838</v>
          </cell>
          <cell r="S68">
            <v>2.6636943458856788</v>
          </cell>
          <cell r="T68">
            <v>2.6636943458856788</v>
          </cell>
          <cell r="U68">
            <v>2.6636943458856788</v>
          </cell>
          <cell r="V68">
            <v>2.6636943458856788</v>
          </cell>
          <cell r="X68"/>
          <cell r="Y68"/>
          <cell r="Z68"/>
          <cell r="AA68"/>
        </row>
        <row r="69">
          <cell r="B69">
            <v>12.326744538132168</v>
          </cell>
          <cell r="C69">
            <v>12.326744538132168</v>
          </cell>
          <cell r="D69">
            <v>12.326744538132168</v>
          </cell>
          <cell r="E69">
            <v>12.326744538132168</v>
          </cell>
          <cell r="F69">
            <v>12.326744538132168</v>
          </cell>
          <cell r="G69">
            <v>8.5202452311450827</v>
          </cell>
          <cell r="H69">
            <v>8.5202452311450827</v>
          </cell>
          <cell r="I69">
            <v>7.3806696582049334</v>
          </cell>
          <cell r="J69">
            <v>15.714002991538267</v>
          </cell>
          <cell r="K69">
            <v>14.156354663651339</v>
          </cell>
          <cell r="L69">
            <v>14.55914067637017</v>
          </cell>
          <cell r="M69">
            <v>14.030194227077144</v>
          </cell>
          <cell r="N69">
            <v>14.030194227077144</v>
          </cell>
          <cell r="O69">
            <v>14.29302721539551</v>
          </cell>
          <cell r="P69">
            <v>14.456631424622678</v>
          </cell>
          <cell r="Q69">
            <v>14.694986368305942</v>
          </cell>
          <cell r="R69">
            <v>14.973288340308976</v>
          </cell>
          <cell r="S69">
            <v>17.200312943076923</v>
          </cell>
          <cell r="T69">
            <v>17.243908169473553</v>
          </cell>
          <cell r="U69">
            <v>17.243908169473553</v>
          </cell>
          <cell r="V69">
            <v>17.243908169473553</v>
          </cell>
          <cell r="X69"/>
          <cell r="Y69"/>
          <cell r="Z69"/>
          <cell r="AA69"/>
        </row>
        <row r="70">
          <cell r="B70">
            <v>1.5426733783315136</v>
          </cell>
          <cell r="C70">
            <v>1.5171602719004531</v>
          </cell>
          <cell r="D70">
            <v>1.5173091906115397</v>
          </cell>
          <cell r="E70">
            <v>7.7661743813944533</v>
          </cell>
          <cell r="F70">
            <v>7.7654899317706585</v>
          </cell>
          <cell r="G70">
            <v>7.7654899317706585</v>
          </cell>
          <cell r="H70">
            <v>9.8403871445022162</v>
          </cell>
          <cell r="I70">
            <v>9.8403871445022162</v>
          </cell>
          <cell r="J70">
            <v>9.8403546710337348</v>
          </cell>
          <cell r="K70">
            <v>9.788109652105053</v>
          </cell>
          <cell r="L70">
            <v>9.788109652105053</v>
          </cell>
          <cell r="M70">
            <v>10.003776528747309</v>
          </cell>
          <cell r="N70">
            <v>10.000327939558746</v>
          </cell>
          <cell r="O70">
            <v>10.19775715691606</v>
          </cell>
          <cell r="P70">
            <v>10.25430296968819</v>
          </cell>
          <cell r="Q70">
            <v>10.745249277316185</v>
          </cell>
          <cell r="R70">
            <v>10.749610452977224</v>
          </cell>
          <cell r="S70">
            <v>10.791533440611092</v>
          </cell>
          <cell r="T70">
            <v>10.811974914744996</v>
          </cell>
          <cell r="U70">
            <v>10.821218235905206</v>
          </cell>
          <cell r="V70">
            <v>10.821218235905206</v>
          </cell>
          <cell r="X70"/>
          <cell r="Y70"/>
          <cell r="Z70"/>
          <cell r="AA70"/>
        </row>
        <row r="71">
          <cell r="B71">
            <v>0</v>
          </cell>
          <cell r="C71">
            <v>0.1326684461439859</v>
          </cell>
          <cell r="D71">
            <v>0.71835442172724306</v>
          </cell>
          <cell r="E71">
            <v>0.99433738944407923</v>
          </cell>
          <cell r="F71">
            <v>0.88729392329722889</v>
          </cell>
          <cell r="G71">
            <v>0.82790746140999771</v>
          </cell>
          <cell r="H71">
            <v>0.65989224293288207</v>
          </cell>
          <cell r="I71">
            <v>0.61506743753340121</v>
          </cell>
          <cell r="J71">
            <v>1.2426439539074134</v>
          </cell>
          <cell r="K71">
            <v>1.4844709640917764</v>
          </cell>
          <cell r="L71">
            <v>2.153085530330467</v>
          </cell>
          <cell r="M71">
            <v>2.1616498279651459</v>
          </cell>
          <cell r="N71">
            <v>2.659180358170333</v>
          </cell>
          <cell r="O71">
            <v>3.3901228447464358</v>
          </cell>
          <cell r="P71">
            <v>3.5865887203626388</v>
          </cell>
          <cell r="Q71">
            <v>3.9952395457276744</v>
          </cell>
          <cell r="R71">
            <v>4.0341941727938044</v>
          </cell>
          <cell r="S71">
            <v>4.0078822838769668</v>
          </cell>
          <cell r="T71">
            <v>4.3871474107047979</v>
          </cell>
          <cell r="U71">
            <v>4.2659840253559249</v>
          </cell>
          <cell r="V71">
            <v>4.2659840253559249</v>
          </cell>
          <cell r="X71"/>
          <cell r="Y71"/>
          <cell r="Z71"/>
          <cell r="AA71"/>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K19"/>
  <sheetViews>
    <sheetView tabSelected="1" zoomScale="85" zoomScaleNormal="85" workbookViewId="0">
      <selection activeCell="G21" sqref="G21"/>
    </sheetView>
  </sheetViews>
  <sheetFormatPr defaultRowHeight="14.5" x14ac:dyDescent="0.35"/>
  <cols>
    <col min="2" max="2" width="14.453125" customWidth="1"/>
    <col min="3" max="3" width="12.453125" customWidth="1"/>
  </cols>
  <sheetData>
    <row r="4" spans="2:11" ht="15" thickBot="1" x14ac:dyDescent="0.4"/>
    <row r="5" spans="2:11" ht="15" customHeight="1" x14ac:dyDescent="0.35">
      <c r="B5" s="82" t="s">
        <v>98</v>
      </c>
      <c r="C5" s="83"/>
      <c r="D5" s="83"/>
      <c r="E5" s="83"/>
      <c r="F5" s="83"/>
      <c r="G5" s="83"/>
      <c r="H5" s="83"/>
      <c r="I5" s="83"/>
      <c r="J5" s="83"/>
      <c r="K5" s="84"/>
    </row>
    <row r="6" spans="2:11" ht="90" customHeight="1" thickBot="1" x14ac:dyDescent="0.4">
      <c r="B6" s="85" t="s">
        <v>19</v>
      </c>
      <c r="C6" s="86"/>
      <c r="D6" s="86"/>
      <c r="E6" s="86"/>
      <c r="F6" s="86"/>
      <c r="G6" s="86"/>
      <c r="H6" s="86"/>
      <c r="I6" s="86"/>
      <c r="J6" s="86"/>
      <c r="K6" s="87"/>
    </row>
    <row r="7" spans="2:11" ht="15" customHeight="1" x14ac:dyDescent="0.35">
      <c r="B7" s="88" t="s">
        <v>20</v>
      </c>
      <c r="C7" s="65" t="s">
        <v>21</v>
      </c>
      <c r="D7" s="91"/>
      <c r="E7" s="91"/>
      <c r="F7" s="92"/>
      <c r="G7" s="65" t="s">
        <v>22</v>
      </c>
      <c r="H7" s="91"/>
      <c r="I7" s="91"/>
      <c r="J7" s="92"/>
      <c r="K7" s="69"/>
    </row>
    <row r="8" spans="2:11" ht="15" customHeight="1" x14ac:dyDescent="0.35">
      <c r="B8" s="89"/>
      <c r="C8" s="63">
        <f xml:space="preserve"> 0</f>
        <v>0</v>
      </c>
      <c r="D8" s="93"/>
      <c r="E8" s="93"/>
      <c r="F8" s="64"/>
      <c r="G8" s="63" t="s">
        <v>23</v>
      </c>
      <c r="H8" s="93"/>
      <c r="I8" s="93"/>
      <c r="J8" s="64"/>
      <c r="K8" s="81"/>
    </row>
    <row r="9" spans="2:11" ht="15" thickBot="1" x14ac:dyDescent="0.4">
      <c r="B9" s="90"/>
      <c r="C9" s="70"/>
      <c r="D9" s="94"/>
      <c r="E9" s="94"/>
      <c r="F9" s="71"/>
      <c r="G9" s="95"/>
      <c r="H9" s="96"/>
      <c r="I9" s="96"/>
      <c r="J9" s="97"/>
      <c r="K9" s="81"/>
    </row>
    <row r="10" spans="2:11" ht="30" customHeight="1" x14ac:dyDescent="0.35">
      <c r="B10" s="88" t="s">
        <v>24</v>
      </c>
      <c r="C10" s="65" t="s">
        <v>25</v>
      </c>
      <c r="D10" s="92"/>
      <c r="E10" s="65" t="s">
        <v>26</v>
      </c>
      <c r="F10" s="92"/>
      <c r="G10" s="65" t="s">
        <v>27</v>
      </c>
      <c r="H10" s="92"/>
      <c r="I10" s="65" t="s">
        <v>28</v>
      </c>
      <c r="J10" s="92"/>
      <c r="K10" s="81"/>
    </row>
    <row r="11" spans="2:11" ht="15" thickBot="1" x14ac:dyDescent="0.4">
      <c r="B11" s="90"/>
      <c r="C11" s="66">
        <f xml:space="preserve"> 0</f>
        <v>0</v>
      </c>
      <c r="D11" s="98"/>
      <c r="E11" s="66">
        <f xml:space="preserve"> 33</f>
        <v>33</v>
      </c>
      <c r="F11" s="98"/>
      <c r="G11" s="66">
        <f xml:space="preserve"> 67</f>
        <v>67</v>
      </c>
      <c r="H11" s="98"/>
      <c r="I11" s="66"/>
      <c r="J11" s="98"/>
      <c r="K11" s="81"/>
    </row>
    <row r="12" spans="2:11" ht="43.5" x14ac:dyDescent="0.35">
      <c r="B12" s="88" t="s">
        <v>29</v>
      </c>
      <c r="C12" s="4" t="s">
        <v>30</v>
      </c>
      <c r="D12" s="65" t="s">
        <v>31</v>
      </c>
      <c r="E12" s="92"/>
      <c r="F12" s="65" t="s">
        <v>33</v>
      </c>
      <c r="G12" s="92"/>
      <c r="H12" s="65" t="s">
        <v>34</v>
      </c>
      <c r="I12" s="92"/>
      <c r="J12" s="4" t="s">
        <v>35</v>
      </c>
      <c r="K12" s="81"/>
    </row>
    <row r="13" spans="2:11" ht="15" thickBot="1" x14ac:dyDescent="0.4">
      <c r="B13" s="90"/>
      <c r="C13" s="5">
        <f xml:space="preserve"> 0</f>
        <v>0</v>
      </c>
      <c r="D13" s="66" t="s">
        <v>32</v>
      </c>
      <c r="E13" s="98"/>
      <c r="F13" s="66">
        <f xml:space="preserve"> 50</f>
        <v>50</v>
      </c>
      <c r="G13" s="98"/>
      <c r="H13" s="66">
        <f xml:space="preserve"> 75</f>
        <v>75</v>
      </c>
      <c r="I13" s="98"/>
      <c r="J13" s="5">
        <f xml:space="preserve"> 100</f>
        <v>100</v>
      </c>
      <c r="K13" s="81"/>
    </row>
    <row r="14" spans="2:11" ht="29.25" customHeight="1" x14ac:dyDescent="0.35">
      <c r="B14" s="88" t="s">
        <v>36</v>
      </c>
      <c r="C14" s="65" t="s">
        <v>37</v>
      </c>
      <c r="D14" s="91"/>
      <c r="E14" s="91"/>
      <c r="F14" s="91"/>
      <c r="G14" s="91"/>
      <c r="H14" s="91"/>
      <c r="I14" s="91"/>
      <c r="J14" s="92"/>
      <c r="K14" s="81"/>
    </row>
    <row r="15" spans="2:11" ht="15" customHeight="1" x14ac:dyDescent="0.35">
      <c r="B15" s="89"/>
      <c r="C15" s="63" t="s">
        <v>38</v>
      </c>
      <c r="D15" s="93"/>
      <c r="E15" s="93"/>
      <c r="F15" s="93"/>
      <c r="G15" s="93"/>
      <c r="H15" s="93"/>
      <c r="I15" s="93"/>
      <c r="J15" s="64"/>
      <c r="K15" s="81"/>
    </row>
    <row r="16" spans="2:11" ht="15" thickBot="1" x14ac:dyDescent="0.4">
      <c r="B16" s="90"/>
      <c r="C16" s="66" t="s">
        <v>39</v>
      </c>
      <c r="D16" s="99"/>
      <c r="E16" s="99"/>
      <c r="F16" s="99"/>
      <c r="G16" s="99"/>
      <c r="H16" s="99"/>
      <c r="I16" s="99"/>
      <c r="J16" s="98"/>
      <c r="K16" s="81"/>
    </row>
    <row r="19" spans="3:3" x14ac:dyDescent="0.35">
      <c r="C19" s="8"/>
    </row>
  </sheetData>
  <mergeCells count="32">
    <mergeCell ref="B14:B16"/>
    <mergeCell ref="C14:J14"/>
    <mergeCell ref="C15:J15"/>
    <mergeCell ref="C16:J16"/>
    <mergeCell ref="K14:K16"/>
    <mergeCell ref="H12:I12"/>
    <mergeCell ref="H13:I13"/>
    <mergeCell ref="K12:K13"/>
    <mergeCell ref="B10:B11"/>
    <mergeCell ref="C10:D10"/>
    <mergeCell ref="C11:D11"/>
    <mergeCell ref="E10:F10"/>
    <mergeCell ref="E11:F11"/>
    <mergeCell ref="G10:H10"/>
    <mergeCell ref="B12:B13"/>
    <mergeCell ref="D12:E12"/>
    <mergeCell ref="D13:E13"/>
    <mergeCell ref="F12:G12"/>
    <mergeCell ref="F13:G13"/>
    <mergeCell ref="G11:H11"/>
    <mergeCell ref="I10:J11"/>
    <mergeCell ref="K10:K11"/>
    <mergeCell ref="B5:K5"/>
    <mergeCell ref="B6:K6"/>
    <mergeCell ref="B7:B9"/>
    <mergeCell ref="C7:F7"/>
    <mergeCell ref="C8:F8"/>
    <mergeCell ref="C9:F9"/>
    <mergeCell ref="G7:J7"/>
    <mergeCell ref="G8:J8"/>
    <mergeCell ref="G9:J9"/>
    <mergeCell ref="K7:K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66"/>
  <sheetViews>
    <sheetView zoomScale="70" zoomScaleNormal="70" workbookViewId="0">
      <pane xSplit="1" ySplit="2" topLeftCell="B3" activePane="bottomRight" state="frozen"/>
      <selection activeCell="A38" sqref="A38"/>
      <selection pane="topRight" activeCell="A38" sqref="A38"/>
      <selection pane="bottomLeft" activeCell="A38" sqref="A38"/>
      <selection pane="bottomRight" activeCell="A21" sqref="A21"/>
    </sheetView>
  </sheetViews>
  <sheetFormatPr defaultRowHeight="14.5" x14ac:dyDescent="0.35"/>
  <cols>
    <col min="1" max="1" width="22.81640625" customWidth="1"/>
    <col min="2" max="21" width="8.81640625" bestFit="1" customWidth="1"/>
    <col min="22" max="22" width="9.54296875" bestFit="1" customWidth="1"/>
    <col min="23" max="24" width="8.81640625" bestFit="1" customWidth="1"/>
    <col min="25" max="27" width="9.54296875" bestFit="1" customWidth="1"/>
    <col min="28" max="28" width="31.81640625" style="3" customWidth="1"/>
    <col min="29" max="29" width="15.6328125" customWidth="1"/>
  </cols>
  <sheetData>
    <row r="1" spans="1:32" x14ac:dyDescent="0.35">
      <c r="A1" s="101" t="s">
        <v>0</v>
      </c>
      <c r="B1" s="101"/>
      <c r="C1" s="101"/>
      <c r="D1" s="101"/>
      <c r="E1" s="101"/>
      <c r="F1" s="101"/>
      <c r="G1" s="100"/>
      <c r="H1" s="100"/>
      <c r="I1" s="100"/>
      <c r="J1" s="100"/>
      <c r="K1" s="100"/>
      <c r="L1" s="100"/>
      <c r="M1" s="100"/>
      <c r="N1" s="100"/>
      <c r="O1" s="100"/>
      <c r="P1" s="100"/>
      <c r="Q1" s="100"/>
      <c r="R1" s="100"/>
      <c r="S1" s="100"/>
      <c r="T1" s="100"/>
      <c r="U1" s="100"/>
      <c r="V1" s="100"/>
      <c r="W1" s="100"/>
      <c r="X1" s="100"/>
      <c r="Y1" s="100"/>
      <c r="Z1" s="100"/>
      <c r="AA1" s="100"/>
      <c r="AB1" s="7"/>
      <c r="AC1" s="7"/>
      <c r="AD1" s="7"/>
      <c r="AE1" s="7"/>
      <c r="AF1" s="7"/>
    </row>
    <row r="2" spans="1:32" x14ac:dyDescent="0.35">
      <c r="A2" s="100"/>
      <c r="B2" s="102">
        <v>1990</v>
      </c>
      <c r="C2" s="102">
        <v>1991</v>
      </c>
      <c r="D2" s="102">
        <v>1992</v>
      </c>
      <c r="E2" s="102">
        <v>1993</v>
      </c>
      <c r="F2" s="102">
        <v>1994</v>
      </c>
      <c r="G2" s="102">
        <v>1995</v>
      </c>
      <c r="H2" s="102">
        <v>1996</v>
      </c>
      <c r="I2" s="102">
        <v>1997</v>
      </c>
      <c r="J2" s="102">
        <v>1998</v>
      </c>
      <c r="K2" s="102">
        <v>1999</v>
      </c>
      <c r="L2" s="102">
        <v>2000</v>
      </c>
      <c r="M2" s="102">
        <v>2001</v>
      </c>
      <c r="N2" s="102">
        <v>2002</v>
      </c>
      <c r="O2" s="102">
        <v>2003</v>
      </c>
      <c r="P2" s="102">
        <v>2004</v>
      </c>
      <c r="Q2" s="102">
        <v>2005</v>
      </c>
      <c r="R2" s="102">
        <v>2006</v>
      </c>
      <c r="S2" s="102">
        <v>2007</v>
      </c>
      <c r="T2" s="102">
        <v>2008</v>
      </c>
      <c r="U2" s="102">
        <v>2009</v>
      </c>
      <c r="V2" s="102">
        <v>2010</v>
      </c>
      <c r="W2" s="102">
        <v>2011</v>
      </c>
      <c r="X2" s="102">
        <v>2012</v>
      </c>
      <c r="Y2" s="102">
        <v>2013</v>
      </c>
      <c r="Z2" s="102">
        <v>2014</v>
      </c>
      <c r="AA2" s="102">
        <v>2015</v>
      </c>
      <c r="AB2" s="7"/>
      <c r="AC2" s="7"/>
      <c r="AD2" s="7"/>
      <c r="AE2" s="7"/>
      <c r="AF2" s="7"/>
    </row>
    <row r="3" spans="1:32" x14ac:dyDescent="0.35">
      <c r="A3" s="100" t="s">
        <v>1</v>
      </c>
      <c r="B3" s="100">
        <v>0</v>
      </c>
      <c r="C3" s="100">
        <v>0</v>
      </c>
      <c r="D3" s="100">
        <v>0</v>
      </c>
      <c r="E3" s="100">
        <v>0</v>
      </c>
      <c r="F3" s="100">
        <v>25</v>
      </c>
      <c r="G3" s="100">
        <v>25</v>
      </c>
      <c r="H3" s="100">
        <v>25</v>
      </c>
      <c r="I3" s="100">
        <v>25</v>
      </c>
      <c r="J3" s="100">
        <v>25</v>
      </c>
      <c r="K3" s="100">
        <v>25</v>
      </c>
      <c r="L3" s="100">
        <v>25</v>
      </c>
      <c r="M3" s="100">
        <v>25</v>
      </c>
      <c r="N3" s="100">
        <v>25</v>
      </c>
      <c r="O3" s="100">
        <v>25</v>
      </c>
      <c r="P3" s="100">
        <v>25</v>
      </c>
      <c r="Q3" s="100">
        <v>25</v>
      </c>
      <c r="R3" s="100">
        <v>25</v>
      </c>
      <c r="S3" s="100">
        <v>25</v>
      </c>
      <c r="T3" s="100">
        <v>25</v>
      </c>
      <c r="U3" s="100">
        <v>25</v>
      </c>
      <c r="V3" s="100">
        <v>25</v>
      </c>
      <c r="W3" s="100">
        <v>25</v>
      </c>
      <c r="X3" s="100">
        <v>25</v>
      </c>
      <c r="Y3" s="100">
        <v>25</v>
      </c>
      <c r="Z3" s="100">
        <v>25</v>
      </c>
      <c r="AA3" s="100">
        <v>25</v>
      </c>
      <c r="AB3" s="7"/>
      <c r="AC3" s="7"/>
      <c r="AD3" s="7"/>
      <c r="AE3" s="7"/>
      <c r="AF3" s="7"/>
    </row>
    <row r="4" spans="1:32" x14ac:dyDescent="0.35">
      <c r="A4" s="100" t="s">
        <v>2</v>
      </c>
      <c r="B4" s="100">
        <v>0</v>
      </c>
      <c r="C4" s="100">
        <v>0</v>
      </c>
      <c r="D4" s="100">
        <v>0</v>
      </c>
      <c r="E4" s="100">
        <v>0</v>
      </c>
      <c r="F4" s="100">
        <v>0</v>
      </c>
      <c r="G4" s="100">
        <v>0</v>
      </c>
      <c r="H4" s="100">
        <v>0</v>
      </c>
      <c r="I4" s="100">
        <v>0</v>
      </c>
      <c r="J4" s="100">
        <v>0</v>
      </c>
      <c r="K4" s="100">
        <v>0</v>
      </c>
      <c r="L4" s="100">
        <v>0</v>
      </c>
      <c r="M4" s="100">
        <v>25</v>
      </c>
      <c r="N4" s="100">
        <v>25</v>
      </c>
      <c r="O4" s="100">
        <v>25</v>
      </c>
      <c r="P4" s="100">
        <v>25</v>
      </c>
      <c r="Q4" s="100">
        <v>25</v>
      </c>
      <c r="R4" s="100">
        <v>25</v>
      </c>
      <c r="S4" s="100">
        <v>25</v>
      </c>
      <c r="T4" s="100">
        <v>25</v>
      </c>
      <c r="U4" s="100">
        <v>25</v>
      </c>
      <c r="V4" s="100">
        <v>25</v>
      </c>
      <c r="W4" s="100">
        <v>25</v>
      </c>
      <c r="X4" s="100">
        <v>25</v>
      </c>
      <c r="Y4" s="100">
        <v>25</v>
      </c>
      <c r="Z4" s="100">
        <v>25</v>
      </c>
      <c r="AA4" s="100">
        <v>25</v>
      </c>
      <c r="AB4" s="7"/>
      <c r="AC4" s="7"/>
      <c r="AD4" s="7"/>
      <c r="AE4" s="7"/>
      <c r="AF4" s="7"/>
    </row>
    <row r="5" spans="1:32" x14ac:dyDescent="0.35">
      <c r="A5" s="100" t="s">
        <v>3</v>
      </c>
      <c r="B5" s="100">
        <v>0</v>
      </c>
      <c r="C5" s="100">
        <v>0</v>
      </c>
      <c r="D5" s="100">
        <v>0</v>
      </c>
      <c r="E5" s="100">
        <v>0</v>
      </c>
      <c r="F5" s="100">
        <v>0</v>
      </c>
      <c r="G5" s="100">
        <v>0</v>
      </c>
      <c r="H5" s="100">
        <v>0</v>
      </c>
      <c r="I5" s="100">
        <v>0</v>
      </c>
      <c r="J5" s="100">
        <v>0</v>
      </c>
      <c r="K5" s="100">
        <v>0</v>
      </c>
      <c r="L5" s="100">
        <v>0</v>
      </c>
      <c r="M5" s="100">
        <v>25</v>
      </c>
      <c r="N5" s="100">
        <v>25</v>
      </c>
      <c r="O5" s="100">
        <v>25</v>
      </c>
      <c r="P5" s="100">
        <v>25</v>
      </c>
      <c r="Q5" s="100">
        <v>25</v>
      </c>
      <c r="R5" s="100">
        <v>25</v>
      </c>
      <c r="S5" s="100">
        <v>25</v>
      </c>
      <c r="T5" s="100">
        <v>25</v>
      </c>
      <c r="U5" s="100">
        <v>25</v>
      </c>
      <c r="V5" s="100">
        <v>25</v>
      </c>
      <c r="W5" s="100">
        <v>25</v>
      </c>
      <c r="X5" s="100">
        <v>25</v>
      </c>
      <c r="Y5" s="100">
        <v>25</v>
      </c>
      <c r="Z5" s="100">
        <v>25</v>
      </c>
      <c r="AA5" s="100">
        <v>25</v>
      </c>
      <c r="AB5" s="7"/>
      <c r="AC5" s="7"/>
      <c r="AD5" s="7"/>
      <c r="AE5" s="7"/>
      <c r="AF5" s="7"/>
    </row>
    <row r="6" spans="1:32" s="6" customFormat="1" x14ac:dyDescent="0.35">
      <c r="A6" s="100" t="s">
        <v>40</v>
      </c>
      <c r="B6" s="100">
        <v>0</v>
      </c>
      <c r="C6" s="100">
        <v>0</v>
      </c>
      <c r="D6" s="100">
        <v>0</v>
      </c>
      <c r="E6" s="100">
        <v>0</v>
      </c>
      <c r="F6" s="100">
        <v>0</v>
      </c>
      <c r="G6" s="100">
        <v>0</v>
      </c>
      <c r="H6" s="100">
        <v>0</v>
      </c>
      <c r="I6" s="100">
        <v>0</v>
      </c>
      <c r="J6" s="100">
        <v>0</v>
      </c>
      <c r="K6" s="100">
        <v>25</v>
      </c>
      <c r="L6" s="100">
        <v>25</v>
      </c>
      <c r="M6" s="100">
        <v>25</v>
      </c>
      <c r="N6" s="100">
        <v>25</v>
      </c>
      <c r="O6" s="100">
        <v>25</v>
      </c>
      <c r="P6" s="100">
        <v>25</v>
      </c>
      <c r="Q6" s="100">
        <v>25</v>
      </c>
      <c r="R6" s="100">
        <v>25</v>
      </c>
      <c r="S6" s="100">
        <v>25</v>
      </c>
      <c r="T6" s="100">
        <v>25</v>
      </c>
      <c r="U6" s="100">
        <v>25</v>
      </c>
      <c r="V6" s="100">
        <v>25</v>
      </c>
      <c r="W6" s="100">
        <v>25</v>
      </c>
      <c r="X6" s="100">
        <v>25</v>
      </c>
      <c r="Y6" s="100">
        <v>25</v>
      </c>
      <c r="Z6" s="100">
        <v>25</v>
      </c>
      <c r="AA6" s="100">
        <v>25</v>
      </c>
    </row>
    <row r="7" spans="1:32" s="6" customFormat="1" x14ac:dyDescent="0.35">
      <c r="A7" s="100" t="s">
        <v>41</v>
      </c>
      <c r="B7" s="100">
        <v>0</v>
      </c>
      <c r="C7" s="100">
        <v>0</v>
      </c>
      <c r="D7" s="100">
        <v>0</v>
      </c>
      <c r="E7" s="100">
        <v>0</v>
      </c>
      <c r="F7" s="100">
        <v>0</v>
      </c>
      <c r="G7" s="100">
        <v>0</v>
      </c>
      <c r="H7" s="100">
        <v>25</v>
      </c>
      <c r="I7" s="100">
        <v>25</v>
      </c>
      <c r="J7" s="100">
        <v>25</v>
      </c>
      <c r="K7" s="100">
        <v>25</v>
      </c>
      <c r="L7" s="100">
        <v>25</v>
      </c>
      <c r="M7" s="100">
        <v>25</v>
      </c>
      <c r="N7" s="100">
        <v>25</v>
      </c>
      <c r="O7" s="100">
        <v>25</v>
      </c>
      <c r="P7" s="100">
        <v>25</v>
      </c>
      <c r="Q7" s="100">
        <v>25</v>
      </c>
      <c r="R7" s="100">
        <v>25</v>
      </c>
      <c r="S7" s="100">
        <v>25</v>
      </c>
      <c r="T7" s="100">
        <v>25</v>
      </c>
      <c r="U7" s="100">
        <v>25</v>
      </c>
      <c r="V7" s="100">
        <v>25</v>
      </c>
      <c r="W7" s="100">
        <v>25</v>
      </c>
      <c r="X7" s="100">
        <v>25</v>
      </c>
      <c r="Y7" s="100">
        <v>25</v>
      </c>
      <c r="Z7" s="100">
        <v>25</v>
      </c>
      <c r="AA7" s="100">
        <v>25</v>
      </c>
    </row>
    <row r="8" spans="1:32" s="6" customFormat="1" x14ac:dyDescent="0.35">
      <c r="A8" s="100" t="s">
        <v>42</v>
      </c>
      <c r="B8" s="100">
        <v>0</v>
      </c>
      <c r="C8" s="100">
        <v>0</v>
      </c>
      <c r="D8" s="100">
        <v>0</v>
      </c>
      <c r="E8" s="100">
        <v>0</v>
      </c>
      <c r="F8" s="100">
        <v>0</v>
      </c>
      <c r="G8" s="100">
        <v>0</v>
      </c>
      <c r="H8" s="100">
        <v>0</v>
      </c>
      <c r="I8" s="100">
        <v>0</v>
      </c>
      <c r="J8" s="100">
        <v>0</v>
      </c>
      <c r="K8" s="100">
        <v>0</v>
      </c>
      <c r="L8" s="100">
        <v>25</v>
      </c>
      <c r="M8" s="100">
        <v>25</v>
      </c>
      <c r="N8" s="100">
        <v>25</v>
      </c>
      <c r="O8" s="100">
        <v>25</v>
      </c>
      <c r="P8" s="100">
        <v>25</v>
      </c>
      <c r="Q8" s="100">
        <v>25</v>
      </c>
      <c r="R8" s="100">
        <v>25</v>
      </c>
      <c r="S8" s="100">
        <v>25</v>
      </c>
      <c r="T8" s="100">
        <v>25</v>
      </c>
      <c r="U8" s="100">
        <v>25</v>
      </c>
      <c r="V8" s="100">
        <v>25</v>
      </c>
      <c r="W8" s="100">
        <v>25</v>
      </c>
      <c r="X8" s="100">
        <v>25</v>
      </c>
      <c r="Y8" s="100">
        <v>25</v>
      </c>
      <c r="Z8" s="100">
        <v>25</v>
      </c>
      <c r="AA8" s="100">
        <v>25</v>
      </c>
    </row>
    <row r="9" spans="1:32" x14ac:dyDescent="0.35">
      <c r="A9" s="100" t="s">
        <v>4</v>
      </c>
      <c r="B9" s="100">
        <v>0</v>
      </c>
      <c r="C9" s="100">
        <v>0</v>
      </c>
      <c r="D9" s="100">
        <v>0</v>
      </c>
      <c r="E9" s="100">
        <v>0</v>
      </c>
      <c r="F9" s="100">
        <v>0</v>
      </c>
      <c r="G9" s="100">
        <v>0</v>
      </c>
      <c r="H9" s="100">
        <v>0</v>
      </c>
      <c r="I9" s="100">
        <v>0</v>
      </c>
      <c r="J9" s="100">
        <v>25</v>
      </c>
      <c r="K9" s="100">
        <v>25</v>
      </c>
      <c r="L9" s="100">
        <v>25</v>
      </c>
      <c r="M9" s="100">
        <v>25</v>
      </c>
      <c r="N9" s="100">
        <v>25</v>
      </c>
      <c r="O9" s="100">
        <v>25</v>
      </c>
      <c r="P9" s="100">
        <v>25</v>
      </c>
      <c r="Q9" s="100">
        <v>25</v>
      </c>
      <c r="R9" s="100">
        <v>25</v>
      </c>
      <c r="S9" s="100">
        <v>25</v>
      </c>
      <c r="T9" s="100">
        <v>25</v>
      </c>
      <c r="U9" s="100">
        <v>25</v>
      </c>
      <c r="V9" s="100">
        <v>25</v>
      </c>
      <c r="W9" s="100">
        <v>25</v>
      </c>
      <c r="X9" s="100">
        <v>25</v>
      </c>
      <c r="Y9" s="100">
        <v>25</v>
      </c>
      <c r="Z9" s="100">
        <v>25</v>
      </c>
      <c r="AA9" s="100">
        <v>25</v>
      </c>
      <c r="AB9" s="7"/>
      <c r="AC9" s="7"/>
      <c r="AD9" s="7"/>
      <c r="AE9" s="7"/>
      <c r="AF9" s="7"/>
    </row>
    <row r="10" spans="1:32" x14ac:dyDescent="0.35">
      <c r="A10" s="100" t="s">
        <v>5</v>
      </c>
      <c r="B10" s="100">
        <v>0</v>
      </c>
      <c r="C10" s="100">
        <v>0</v>
      </c>
      <c r="D10" s="100">
        <v>0</v>
      </c>
      <c r="E10" s="100">
        <v>0</v>
      </c>
      <c r="F10" s="100">
        <v>0</v>
      </c>
      <c r="G10" s="100">
        <v>0</v>
      </c>
      <c r="H10" s="100">
        <v>0</v>
      </c>
      <c r="I10" s="100">
        <v>0</v>
      </c>
      <c r="J10" s="100">
        <v>0</v>
      </c>
      <c r="K10" s="100">
        <v>0</v>
      </c>
      <c r="L10" s="100">
        <v>0</v>
      </c>
      <c r="M10" s="100">
        <v>0</v>
      </c>
      <c r="N10" s="100">
        <v>0</v>
      </c>
      <c r="O10" s="100">
        <v>0</v>
      </c>
      <c r="P10" s="100">
        <v>0</v>
      </c>
      <c r="Q10" s="100">
        <v>0</v>
      </c>
      <c r="R10" s="100">
        <v>0</v>
      </c>
      <c r="S10" s="100">
        <v>0</v>
      </c>
      <c r="T10" s="100">
        <v>0</v>
      </c>
      <c r="U10" s="100">
        <v>0</v>
      </c>
      <c r="V10" s="100">
        <v>0</v>
      </c>
      <c r="W10" s="100">
        <v>0</v>
      </c>
      <c r="X10" s="100">
        <v>0</v>
      </c>
      <c r="Y10" s="100">
        <v>0</v>
      </c>
      <c r="Z10" s="100">
        <v>0</v>
      </c>
      <c r="AA10" s="100">
        <v>0</v>
      </c>
      <c r="AB10" s="7"/>
      <c r="AC10" s="7"/>
      <c r="AD10" s="7"/>
      <c r="AE10" s="7"/>
      <c r="AF10" s="7"/>
    </row>
    <row r="11" spans="1:32" x14ac:dyDescent="0.35">
      <c r="A11" s="100" t="s">
        <v>6</v>
      </c>
      <c r="B11" s="100">
        <v>0</v>
      </c>
      <c r="C11" s="100">
        <v>0</v>
      </c>
      <c r="D11" s="100">
        <v>0</v>
      </c>
      <c r="E11" s="100">
        <v>0</v>
      </c>
      <c r="F11" s="100">
        <v>0</v>
      </c>
      <c r="G11" s="100">
        <v>0</v>
      </c>
      <c r="H11" s="100">
        <v>0</v>
      </c>
      <c r="I11" s="100">
        <v>25</v>
      </c>
      <c r="J11" s="100">
        <v>25</v>
      </c>
      <c r="K11" s="100">
        <v>25</v>
      </c>
      <c r="L11" s="100">
        <v>25</v>
      </c>
      <c r="M11" s="100">
        <v>25</v>
      </c>
      <c r="N11" s="100">
        <v>25</v>
      </c>
      <c r="O11" s="100">
        <v>25</v>
      </c>
      <c r="P11" s="100">
        <v>25</v>
      </c>
      <c r="Q11" s="100">
        <v>25</v>
      </c>
      <c r="R11" s="100">
        <v>25</v>
      </c>
      <c r="S11" s="100">
        <v>25</v>
      </c>
      <c r="T11" s="100">
        <v>25</v>
      </c>
      <c r="U11" s="100">
        <v>25</v>
      </c>
      <c r="V11" s="100">
        <v>25</v>
      </c>
      <c r="W11" s="100">
        <v>25</v>
      </c>
      <c r="X11" s="100">
        <v>25</v>
      </c>
      <c r="Y11" s="100">
        <v>25</v>
      </c>
      <c r="Z11" s="100">
        <v>25</v>
      </c>
      <c r="AA11" s="100">
        <v>25</v>
      </c>
      <c r="AB11" s="7"/>
      <c r="AC11" s="7"/>
      <c r="AD11" s="7"/>
      <c r="AE11" s="7"/>
      <c r="AF11" s="7"/>
    </row>
    <row r="12" spans="1:32" x14ac:dyDescent="0.35">
      <c r="A12" s="100" t="s">
        <v>7</v>
      </c>
      <c r="B12" s="100">
        <v>0</v>
      </c>
      <c r="C12" s="100">
        <v>0</v>
      </c>
      <c r="D12" s="100">
        <v>0</v>
      </c>
      <c r="E12" s="100">
        <v>0</v>
      </c>
      <c r="F12" s="100">
        <v>0</v>
      </c>
      <c r="G12" s="100">
        <v>0</v>
      </c>
      <c r="H12" s="100">
        <v>25</v>
      </c>
      <c r="I12" s="100">
        <v>25</v>
      </c>
      <c r="J12" s="100">
        <v>25</v>
      </c>
      <c r="K12" s="100">
        <v>25</v>
      </c>
      <c r="L12" s="100">
        <v>25</v>
      </c>
      <c r="M12" s="100">
        <v>25</v>
      </c>
      <c r="N12" s="100">
        <v>25</v>
      </c>
      <c r="O12" s="100">
        <v>25</v>
      </c>
      <c r="P12" s="100">
        <v>25</v>
      </c>
      <c r="Q12" s="100">
        <v>25</v>
      </c>
      <c r="R12" s="100">
        <v>25</v>
      </c>
      <c r="S12" s="100">
        <v>25</v>
      </c>
      <c r="T12" s="100">
        <v>25</v>
      </c>
      <c r="U12" s="100">
        <v>25</v>
      </c>
      <c r="V12" s="100">
        <v>25</v>
      </c>
      <c r="W12" s="100">
        <v>25</v>
      </c>
      <c r="X12" s="100">
        <v>25</v>
      </c>
      <c r="Y12" s="100">
        <v>25</v>
      </c>
      <c r="Z12" s="100">
        <v>25</v>
      </c>
      <c r="AA12" s="100">
        <v>25</v>
      </c>
      <c r="AB12" s="7"/>
      <c r="AC12" s="7"/>
      <c r="AD12" s="7"/>
      <c r="AE12" s="7"/>
      <c r="AF12" s="7"/>
    </row>
    <row r="13" spans="1:32" x14ac:dyDescent="0.35">
      <c r="A13" s="100" t="s">
        <v>8</v>
      </c>
      <c r="B13" s="100">
        <v>0</v>
      </c>
      <c r="C13" s="100">
        <v>0</v>
      </c>
      <c r="D13" s="100">
        <v>0</v>
      </c>
      <c r="E13" s="100">
        <v>0</v>
      </c>
      <c r="F13" s="100">
        <v>0</v>
      </c>
      <c r="G13" s="100">
        <v>0</v>
      </c>
      <c r="H13" s="100">
        <v>0</v>
      </c>
      <c r="I13" s="100">
        <v>0</v>
      </c>
      <c r="J13" s="100">
        <v>0</v>
      </c>
      <c r="K13" s="100">
        <v>0</v>
      </c>
      <c r="L13" s="100">
        <v>0</v>
      </c>
      <c r="M13" s="100">
        <v>25</v>
      </c>
      <c r="N13" s="100">
        <v>25</v>
      </c>
      <c r="O13" s="100">
        <v>25</v>
      </c>
      <c r="P13" s="100">
        <v>25</v>
      </c>
      <c r="Q13" s="100">
        <v>25</v>
      </c>
      <c r="R13" s="100">
        <v>25</v>
      </c>
      <c r="S13" s="100">
        <v>25</v>
      </c>
      <c r="T13" s="100">
        <v>25</v>
      </c>
      <c r="U13" s="100">
        <v>25</v>
      </c>
      <c r="V13" s="100">
        <v>25</v>
      </c>
      <c r="W13" s="100">
        <v>25</v>
      </c>
      <c r="X13" s="100">
        <v>25</v>
      </c>
      <c r="Y13" s="100">
        <v>25</v>
      </c>
      <c r="Z13" s="100">
        <v>25</v>
      </c>
      <c r="AA13" s="100">
        <v>25</v>
      </c>
      <c r="AB13" s="7"/>
      <c r="AC13" s="7"/>
      <c r="AD13" s="7"/>
      <c r="AE13" s="7"/>
      <c r="AF13" s="7"/>
    </row>
    <row r="14" spans="1:32" x14ac:dyDescent="0.35">
      <c r="A14" s="100" t="s">
        <v>9</v>
      </c>
      <c r="B14" s="100">
        <v>0</v>
      </c>
      <c r="C14" s="100">
        <v>0</v>
      </c>
      <c r="D14" s="100">
        <v>0</v>
      </c>
      <c r="E14" s="100">
        <v>0</v>
      </c>
      <c r="F14" s="100">
        <v>0</v>
      </c>
      <c r="G14" s="100">
        <v>0</v>
      </c>
      <c r="H14" s="100">
        <v>0</v>
      </c>
      <c r="I14" s="100">
        <v>0</v>
      </c>
      <c r="J14" s="100">
        <v>25</v>
      </c>
      <c r="K14" s="100">
        <v>25</v>
      </c>
      <c r="L14" s="100">
        <v>25</v>
      </c>
      <c r="M14" s="100">
        <v>25</v>
      </c>
      <c r="N14" s="100">
        <v>25</v>
      </c>
      <c r="O14" s="100">
        <v>25</v>
      </c>
      <c r="P14" s="100">
        <v>25</v>
      </c>
      <c r="Q14" s="100">
        <v>25</v>
      </c>
      <c r="R14" s="100">
        <v>25</v>
      </c>
      <c r="S14" s="100">
        <v>25</v>
      </c>
      <c r="T14" s="100">
        <v>25</v>
      </c>
      <c r="U14" s="100">
        <v>25</v>
      </c>
      <c r="V14" s="100">
        <v>25</v>
      </c>
      <c r="W14" s="100">
        <v>25</v>
      </c>
      <c r="X14" s="100">
        <v>25</v>
      </c>
      <c r="Y14" s="100">
        <v>25</v>
      </c>
      <c r="Z14" s="100">
        <v>25</v>
      </c>
      <c r="AA14" s="100">
        <v>25</v>
      </c>
      <c r="AB14" s="7"/>
      <c r="AC14" s="7"/>
      <c r="AD14" s="7"/>
      <c r="AE14" s="7"/>
      <c r="AF14" s="7"/>
    </row>
    <row r="15" spans="1:32" x14ac:dyDescent="0.35">
      <c r="A15" s="100" t="s">
        <v>10</v>
      </c>
      <c r="B15" s="100">
        <v>0</v>
      </c>
      <c r="C15" s="100">
        <v>0</v>
      </c>
      <c r="D15" s="100">
        <v>0</v>
      </c>
      <c r="E15" s="100">
        <v>0</v>
      </c>
      <c r="F15" s="100">
        <v>0</v>
      </c>
      <c r="G15" s="100">
        <v>0</v>
      </c>
      <c r="H15" s="100">
        <v>0</v>
      </c>
      <c r="I15" s="100">
        <v>0</v>
      </c>
      <c r="J15" s="100">
        <v>0</v>
      </c>
      <c r="K15" s="100">
        <v>0</v>
      </c>
      <c r="L15" s="100">
        <v>0</v>
      </c>
      <c r="M15" s="100">
        <v>0</v>
      </c>
      <c r="N15" s="100">
        <v>0</v>
      </c>
      <c r="O15" s="100">
        <v>0</v>
      </c>
      <c r="P15" s="100">
        <v>0</v>
      </c>
      <c r="Q15" s="100">
        <v>0</v>
      </c>
      <c r="R15" s="100">
        <v>0</v>
      </c>
      <c r="S15" s="100">
        <v>0</v>
      </c>
      <c r="T15" s="100">
        <v>0</v>
      </c>
      <c r="U15" s="100">
        <v>0</v>
      </c>
      <c r="V15" s="100">
        <v>0</v>
      </c>
      <c r="W15" s="100">
        <v>0</v>
      </c>
      <c r="X15" s="100">
        <v>0</v>
      </c>
      <c r="Y15" s="100">
        <v>0</v>
      </c>
      <c r="Z15" s="100">
        <v>0</v>
      </c>
      <c r="AA15" s="100">
        <v>0</v>
      </c>
      <c r="AB15" s="7"/>
      <c r="AC15" s="7"/>
      <c r="AD15" s="7"/>
      <c r="AE15" s="7"/>
      <c r="AF15" s="7"/>
    </row>
    <row r="16" spans="1:32" x14ac:dyDescent="0.35">
      <c r="A16" s="100" t="s">
        <v>11</v>
      </c>
      <c r="B16" s="100">
        <v>0</v>
      </c>
      <c r="C16" s="100">
        <v>0</v>
      </c>
      <c r="D16" s="100">
        <v>0</v>
      </c>
      <c r="E16" s="100">
        <v>0</v>
      </c>
      <c r="F16" s="100">
        <v>0</v>
      </c>
      <c r="G16" s="100">
        <v>0</v>
      </c>
      <c r="H16" s="100">
        <v>0</v>
      </c>
      <c r="I16" s="100">
        <v>0</v>
      </c>
      <c r="J16" s="100">
        <v>0</v>
      </c>
      <c r="K16" s="100">
        <v>0</v>
      </c>
      <c r="L16" s="100">
        <v>0</v>
      </c>
      <c r="M16" s="100">
        <v>0</v>
      </c>
      <c r="N16" s="100">
        <v>0</v>
      </c>
      <c r="O16" s="100">
        <v>0</v>
      </c>
      <c r="P16" s="100">
        <v>0</v>
      </c>
      <c r="Q16" s="100">
        <v>0</v>
      </c>
      <c r="R16" s="100">
        <v>25</v>
      </c>
      <c r="S16" s="100">
        <v>25</v>
      </c>
      <c r="T16" s="100">
        <v>25</v>
      </c>
      <c r="U16" s="100">
        <v>25</v>
      </c>
      <c r="V16" s="100">
        <v>25</v>
      </c>
      <c r="W16" s="100">
        <v>25</v>
      </c>
      <c r="X16" s="100">
        <v>25</v>
      </c>
      <c r="Y16" s="100">
        <v>25</v>
      </c>
      <c r="Z16" s="100">
        <v>25</v>
      </c>
      <c r="AA16" s="100">
        <v>25</v>
      </c>
      <c r="AB16" s="7"/>
      <c r="AC16" s="7"/>
      <c r="AD16" s="7"/>
      <c r="AE16" s="7"/>
      <c r="AF16" s="7"/>
    </row>
    <row r="17" spans="1:32" x14ac:dyDescent="0.35">
      <c r="A17" s="100" t="s">
        <v>12</v>
      </c>
      <c r="B17" s="100">
        <v>0</v>
      </c>
      <c r="C17" s="100">
        <v>0</v>
      </c>
      <c r="D17" s="100">
        <v>0</v>
      </c>
      <c r="E17" s="100">
        <v>0</v>
      </c>
      <c r="F17" s="100">
        <v>0</v>
      </c>
      <c r="G17" s="100">
        <v>0</v>
      </c>
      <c r="H17" s="100">
        <v>0</v>
      </c>
      <c r="I17" s="100">
        <v>0</v>
      </c>
      <c r="J17" s="100">
        <v>0</v>
      </c>
      <c r="K17" s="100">
        <v>25</v>
      </c>
      <c r="L17" s="100">
        <v>25</v>
      </c>
      <c r="M17" s="100">
        <v>25</v>
      </c>
      <c r="N17" s="100">
        <v>25</v>
      </c>
      <c r="O17" s="100">
        <v>25</v>
      </c>
      <c r="P17" s="100">
        <v>25</v>
      </c>
      <c r="Q17" s="100">
        <v>25</v>
      </c>
      <c r="R17" s="100">
        <v>25</v>
      </c>
      <c r="S17" s="100">
        <v>25</v>
      </c>
      <c r="T17" s="100">
        <v>25</v>
      </c>
      <c r="U17" s="100">
        <v>25</v>
      </c>
      <c r="V17" s="100">
        <v>25</v>
      </c>
      <c r="W17" s="100">
        <v>25</v>
      </c>
      <c r="X17" s="100">
        <v>25</v>
      </c>
      <c r="Y17" s="100">
        <v>25</v>
      </c>
      <c r="Z17" s="100">
        <v>25</v>
      </c>
      <c r="AA17" s="100">
        <v>25</v>
      </c>
      <c r="AB17" s="7"/>
      <c r="AC17" s="7"/>
      <c r="AD17" s="7"/>
      <c r="AE17" s="7"/>
      <c r="AF17" s="7"/>
    </row>
    <row r="18" spans="1:32" x14ac:dyDescent="0.35">
      <c r="A18" s="100" t="s">
        <v>13</v>
      </c>
      <c r="B18" s="100">
        <v>0</v>
      </c>
      <c r="C18" s="100">
        <v>0</v>
      </c>
      <c r="D18" s="100">
        <v>0</v>
      </c>
      <c r="E18" s="100">
        <v>0</v>
      </c>
      <c r="F18" s="100">
        <v>25</v>
      </c>
      <c r="G18" s="100">
        <v>25</v>
      </c>
      <c r="H18" s="100">
        <v>25</v>
      </c>
      <c r="I18" s="100">
        <v>25</v>
      </c>
      <c r="J18" s="100">
        <v>25</v>
      </c>
      <c r="K18" s="100">
        <v>25</v>
      </c>
      <c r="L18" s="100">
        <v>25</v>
      </c>
      <c r="M18" s="100">
        <v>25</v>
      </c>
      <c r="N18" s="100">
        <v>25</v>
      </c>
      <c r="O18" s="100">
        <v>25</v>
      </c>
      <c r="P18" s="100">
        <v>25</v>
      </c>
      <c r="Q18" s="100">
        <v>25</v>
      </c>
      <c r="R18" s="100">
        <v>25</v>
      </c>
      <c r="S18" s="100">
        <v>25</v>
      </c>
      <c r="T18" s="100">
        <v>25</v>
      </c>
      <c r="U18" s="100">
        <v>25</v>
      </c>
      <c r="V18" s="100">
        <v>25</v>
      </c>
      <c r="W18" s="100">
        <v>25</v>
      </c>
      <c r="X18" s="100">
        <v>25</v>
      </c>
      <c r="Y18" s="100">
        <v>25</v>
      </c>
      <c r="Z18" s="100">
        <v>25</v>
      </c>
      <c r="AA18" s="100">
        <v>25</v>
      </c>
      <c r="AB18" s="7"/>
      <c r="AC18" s="7"/>
      <c r="AD18" s="7"/>
      <c r="AE18" s="7"/>
      <c r="AF18" s="7"/>
    </row>
    <row r="19" spans="1:32" x14ac:dyDescent="0.35">
      <c r="A19" s="100" t="s">
        <v>14</v>
      </c>
      <c r="B19" s="100">
        <v>0</v>
      </c>
      <c r="C19" s="100">
        <v>0</v>
      </c>
      <c r="D19" s="100">
        <v>0</v>
      </c>
      <c r="E19" s="100">
        <v>0</v>
      </c>
      <c r="F19" s="100">
        <v>0</v>
      </c>
      <c r="G19" s="100">
        <v>0</v>
      </c>
      <c r="H19" s="100">
        <v>0</v>
      </c>
      <c r="I19" s="100">
        <v>0</v>
      </c>
      <c r="J19" s="100">
        <v>0</v>
      </c>
      <c r="K19" s="100">
        <v>0</v>
      </c>
      <c r="L19" s="100">
        <v>0</v>
      </c>
      <c r="M19" s="100">
        <v>0</v>
      </c>
      <c r="N19" s="100">
        <v>0</v>
      </c>
      <c r="O19" s="100">
        <v>0</v>
      </c>
      <c r="P19" s="100">
        <v>0</v>
      </c>
      <c r="Q19" s="100">
        <v>25</v>
      </c>
      <c r="R19" s="100">
        <v>25</v>
      </c>
      <c r="S19" s="100">
        <v>25</v>
      </c>
      <c r="T19" s="100">
        <v>25</v>
      </c>
      <c r="U19" s="100">
        <v>25</v>
      </c>
      <c r="V19" s="100">
        <v>25</v>
      </c>
      <c r="W19" s="100">
        <v>25</v>
      </c>
      <c r="X19" s="100">
        <v>25</v>
      </c>
      <c r="Y19" s="100">
        <v>25</v>
      </c>
      <c r="Z19" s="100">
        <v>25</v>
      </c>
      <c r="AA19" s="100">
        <v>25</v>
      </c>
      <c r="AB19" s="7"/>
      <c r="AC19" s="7"/>
      <c r="AD19" s="7"/>
      <c r="AE19" s="7"/>
      <c r="AF19" s="7"/>
    </row>
    <row r="20" spans="1:32" x14ac:dyDescent="0.35">
      <c r="A20" s="100"/>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7"/>
      <c r="AC20" s="7"/>
      <c r="AD20" s="7"/>
      <c r="AE20" s="7"/>
      <c r="AF20" s="7"/>
    </row>
    <row r="21" spans="1:32" x14ac:dyDescent="0.35">
      <c r="A21" s="102" t="s">
        <v>44</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7"/>
      <c r="AC21" s="7"/>
      <c r="AD21" s="7"/>
      <c r="AE21" s="7"/>
      <c r="AF21" s="7"/>
    </row>
    <row r="22" spans="1:32" x14ac:dyDescent="0.35">
      <c r="A22" s="100" t="s">
        <v>1</v>
      </c>
      <c r="B22" s="100">
        <v>0</v>
      </c>
      <c r="C22" s="100">
        <v>0</v>
      </c>
      <c r="D22" s="100">
        <v>0</v>
      </c>
      <c r="E22" s="100">
        <v>0</v>
      </c>
      <c r="F22" s="100">
        <v>0</v>
      </c>
      <c r="G22" s="100">
        <v>0</v>
      </c>
      <c r="H22" s="100">
        <v>0</v>
      </c>
      <c r="I22" s="100">
        <v>0</v>
      </c>
      <c r="J22" s="100">
        <v>0</v>
      </c>
      <c r="K22" s="100">
        <v>0</v>
      </c>
      <c r="L22" s="100">
        <v>0</v>
      </c>
      <c r="M22" s="100">
        <v>0</v>
      </c>
      <c r="N22" s="100">
        <v>0</v>
      </c>
      <c r="O22" s="100">
        <v>0</v>
      </c>
      <c r="P22" s="100">
        <v>0</v>
      </c>
      <c r="Q22" s="100">
        <v>0</v>
      </c>
      <c r="R22" s="100">
        <v>0</v>
      </c>
      <c r="S22" s="100">
        <v>0</v>
      </c>
      <c r="T22" s="100">
        <v>0</v>
      </c>
      <c r="U22" s="100">
        <v>0</v>
      </c>
      <c r="V22" s="100">
        <v>0</v>
      </c>
      <c r="W22" s="100">
        <v>0</v>
      </c>
      <c r="X22" s="100">
        <v>0</v>
      </c>
      <c r="Y22" s="100">
        <v>0</v>
      </c>
      <c r="Z22" s="100">
        <v>0</v>
      </c>
      <c r="AA22" s="100">
        <v>0</v>
      </c>
      <c r="AB22" s="7"/>
      <c r="AC22" s="7"/>
      <c r="AD22" s="7"/>
      <c r="AE22" s="7"/>
      <c r="AF22" s="7"/>
    </row>
    <row r="23" spans="1:32" x14ac:dyDescent="0.35">
      <c r="A23" s="100" t="s">
        <v>2</v>
      </c>
      <c r="B23" s="100">
        <v>0</v>
      </c>
      <c r="C23" s="100">
        <v>0</v>
      </c>
      <c r="D23" s="100">
        <v>0</v>
      </c>
      <c r="E23" s="100">
        <v>25</v>
      </c>
      <c r="F23" s="100">
        <v>25</v>
      </c>
      <c r="G23" s="100">
        <v>25</v>
      </c>
      <c r="H23" s="100">
        <v>25</v>
      </c>
      <c r="I23" s="100">
        <v>25</v>
      </c>
      <c r="J23" s="100">
        <v>25</v>
      </c>
      <c r="K23" s="100">
        <v>25</v>
      </c>
      <c r="L23" s="100">
        <v>25</v>
      </c>
      <c r="M23" s="100">
        <v>0</v>
      </c>
      <c r="N23" s="100">
        <v>0</v>
      </c>
      <c r="O23" s="100">
        <v>0</v>
      </c>
      <c r="P23" s="100">
        <v>0</v>
      </c>
      <c r="Q23" s="100">
        <v>0</v>
      </c>
      <c r="R23" s="100">
        <v>0</v>
      </c>
      <c r="S23" s="100">
        <v>0</v>
      </c>
      <c r="T23" s="100">
        <v>0</v>
      </c>
      <c r="U23" s="100">
        <v>0</v>
      </c>
      <c r="V23" s="100">
        <v>0</v>
      </c>
      <c r="W23" s="100">
        <v>0</v>
      </c>
      <c r="X23" s="100">
        <v>0</v>
      </c>
      <c r="Y23" s="100">
        <v>0</v>
      </c>
      <c r="Z23" s="100">
        <v>0</v>
      </c>
      <c r="AA23" s="100">
        <v>0</v>
      </c>
      <c r="AB23" s="7"/>
      <c r="AC23" s="7"/>
      <c r="AD23" s="7"/>
      <c r="AE23" s="7"/>
      <c r="AF23" s="7"/>
    </row>
    <row r="24" spans="1:32" x14ac:dyDescent="0.35">
      <c r="A24" s="100" t="s">
        <v>3</v>
      </c>
      <c r="B24" s="100">
        <v>0</v>
      </c>
      <c r="C24" s="100">
        <v>0</v>
      </c>
      <c r="D24" s="100">
        <v>0</v>
      </c>
      <c r="E24" s="100">
        <v>0</v>
      </c>
      <c r="F24" s="100">
        <v>0</v>
      </c>
      <c r="G24" s="100">
        <v>0</v>
      </c>
      <c r="H24" s="100">
        <v>0</v>
      </c>
      <c r="I24" s="100">
        <v>25</v>
      </c>
      <c r="J24" s="100">
        <v>25</v>
      </c>
      <c r="K24" s="100">
        <v>25</v>
      </c>
      <c r="L24" s="100">
        <v>25</v>
      </c>
      <c r="M24" s="100">
        <v>0</v>
      </c>
      <c r="N24" s="100">
        <v>0</v>
      </c>
      <c r="O24" s="100">
        <v>0</v>
      </c>
      <c r="P24" s="100">
        <v>0</v>
      </c>
      <c r="Q24" s="100">
        <v>0</v>
      </c>
      <c r="R24" s="100">
        <v>0</v>
      </c>
      <c r="S24" s="100">
        <v>0</v>
      </c>
      <c r="T24" s="100">
        <v>0</v>
      </c>
      <c r="U24" s="100">
        <v>0</v>
      </c>
      <c r="V24" s="100">
        <v>0</v>
      </c>
      <c r="W24" s="100">
        <v>0</v>
      </c>
      <c r="X24" s="100">
        <v>0</v>
      </c>
      <c r="Y24" s="100">
        <v>0</v>
      </c>
      <c r="Z24" s="100">
        <v>0</v>
      </c>
      <c r="AA24" s="100">
        <v>0</v>
      </c>
      <c r="AB24" s="7"/>
      <c r="AC24" s="7"/>
      <c r="AD24" s="7"/>
      <c r="AE24" s="7"/>
      <c r="AF24" s="7"/>
    </row>
    <row r="25" spans="1:32" x14ac:dyDescent="0.35">
      <c r="A25" s="100" t="s">
        <v>40</v>
      </c>
      <c r="B25" s="100">
        <v>0</v>
      </c>
      <c r="C25" s="100">
        <v>0</v>
      </c>
      <c r="D25" s="100">
        <v>0</v>
      </c>
      <c r="E25" s="100">
        <v>0</v>
      </c>
      <c r="F25" s="100">
        <v>0</v>
      </c>
      <c r="G25" s="100">
        <v>0</v>
      </c>
      <c r="H25" s="100">
        <v>0</v>
      </c>
      <c r="I25" s="100">
        <v>0</v>
      </c>
      <c r="J25" s="100">
        <v>0</v>
      </c>
      <c r="K25" s="100">
        <v>0</v>
      </c>
      <c r="L25" s="100">
        <v>0</v>
      </c>
      <c r="M25" s="100">
        <v>0</v>
      </c>
      <c r="N25" s="100">
        <v>0</v>
      </c>
      <c r="O25" s="100">
        <v>0</v>
      </c>
      <c r="P25" s="100">
        <v>0</v>
      </c>
      <c r="Q25" s="100">
        <v>0</v>
      </c>
      <c r="R25" s="100">
        <v>0</v>
      </c>
      <c r="S25" s="100">
        <v>0</v>
      </c>
      <c r="T25" s="100">
        <v>0</v>
      </c>
      <c r="U25" s="100">
        <v>0</v>
      </c>
      <c r="V25" s="100">
        <v>0</v>
      </c>
      <c r="W25" s="100">
        <v>0</v>
      </c>
      <c r="X25" s="100">
        <v>0</v>
      </c>
      <c r="Y25" s="100">
        <v>0</v>
      </c>
      <c r="Z25" s="100">
        <v>0</v>
      </c>
      <c r="AA25" s="100">
        <v>0</v>
      </c>
      <c r="AB25" s="7"/>
      <c r="AC25" s="7"/>
      <c r="AD25" s="7"/>
      <c r="AE25" s="7"/>
      <c r="AF25" s="7"/>
    </row>
    <row r="26" spans="1:32" x14ac:dyDescent="0.35">
      <c r="A26" s="100" t="s">
        <v>41</v>
      </c>
      <c r="B26" s="100">
        <v>0</v>
      </c>
      <c r="C26" s="100">
        <v>0</v>
      </c>
      <c r="D26" s="100">
        <v>0</v>
      </c>
      <c r="E26" s="100">
        <v>0</v>
      </c>
      <c r="F26" s="100">
        <v>0</v>
      </c>
      <c r="G26" s="100">
        <v>0</v>
      </c>
      <c r="H26" s="100">
        <v>0</v>
      </c>
      <c r="I26" s="100">
        <v>0</v>
      </c>
      <c r="J26" s="100">
        <v>0</v>
      </c>
      <c r="K26" s="100">
        <v>0</v>
      </c>
      <c r="L26" s="100">
        <v>0</v>
      </c>
      <c r="M26" s="100">
        <v>0</v>
      </c>
      <c r="N26" s="100">
        <v>0</v>
      </c>
      <c r="O26" s="100">
        <v>0</v>
      </c>
      <c r="P26" s="100">
        <v>0</v>
      </c>
      <c r="Q26" s="100">
        <v>0</v>
      </c>
      <c r="R26" s="100">
        <v>0</v>
      </c>
      <c r="S26" s="100">
        <v>0</v>
      </c>
      <c r="T26" s="100">
        <v>0</v>
      </c>
      <c r="U26" s="100">
        <v>0</v>
      </c>
      <c r="V26" s="100">
        <v>0</v>
      </c>
      <c r="W26" s="100">
        <v>0</v>
      </c>
      <c r="X26" s="100">
        <v>0</v>
      </c>
      <c r="Y26" s="100">
        <v>0</v>
      </c>
      <c r="Z26" s="100">
        <v>0</v>
      </c>
      <c r="AA26" s="100">
        <v>0</v>
      </c>
      <c r="AB26" s="7"/>
      <c r="AC26" s="7"/>
      <c r="AD26" s="7"/>
      <c r="AE26" s="7"/>
      <c r="AF26" s="7"/>
    </row>
    <row r="27" spans="1:32" x14ac:dyDescent="0.35">
      <c r="A27" s="100" t="s">
        <v>42</v>
      </c>
      <c r="B27" s="100">
        <v>0</v>
      </c>
      <c r="C27" s="100">
        <v>0</v>
      </c>
      <c r="D27" s="100">
        <v>0</v>
      </c>
      <c r="E27" s="100">
        <v>0</v>
      </c>
      <c r="F27" s="100">
        <v>0</v>
      </c>
      <c r="G27" s="100">
        <v>0</v>
      </c>
      <c r="H27" s="100">
        <v>0</v>
      </c>
      <c r="I27" s="100">
        <v>0</v>
      </c>
      <c r="J27" s="100">
        <v>25</v>
      </c>
      <c r="K27" s="100">
        <v>25</v>
      </c>
      <c r="L27" s="100">
        <v>0</v>
      </c>
      <c r="M27" s="100">
        <v>0</v>
      </c>
      <c r="N27" s="100">
        <v>0</v>
      </c>
      <c r="O27" s="100">
        <v>0</v>
      </c>
      <c r="P27" s="100">
        <v>0</v>
      </c>
      <c r="Q27" s="100">
        <v>0</v>
      </c>
      <c r="R27" s="100">
        <v>0</v>
      </c>
      <c r="S27" s="100">
        <v>0</v>
      </c>
      <c r="T27" s="100">
        <v>0</v>
      </c>
      <c r="U27" s="100">
        <v>0</v>
      </c>
      <c r="V27" s="100">
        <v>0</v>
      </c>
      <c r="W27" s="100">
        <v>0</v>
      </c>
      <c r="X27" s="100">
        <v>0</v>
      </c>
      <c r="Y27" s="100">
        <v>0</v>
      </c>
      <c r="Z27" s="100">
        <v>0</v>
      </c>
      <c r="AA27" s="100">
        <v>0</v>
      </c>
      <c r="AB27" s="7"/>
      <c r="AC27" s="7"/>
      <c r="AD27" s="7"/>
      <c r="AE27" s="7"/>
      <c r="AF27" s="7"/>
    </row>
    <row r="28" spans="1:32" x14ac:dyDescent="0.35">
      <c r="A28" s="100" t="s">
        <v>4</v>
      </c>
      <c r="B28" s="100">
        <v>0</v>
      </c>
      <c r="C28" s="100">
        <v>0</v>
      </c>
      <c r="D28" s="100">
        <v>0</v>
      </c>
      <c r="E28" s="100">
        <v>0</v>
      </c>
      <c r="F28" s="100">
        <v>0</v>
      </c>
      <c r="G28" s="100">
        <v>0</v>
      </c>
      <c r="H28" s="100">
        <v>0</v>
      </c>
      <c r="I28" s="100">
        <v>0</v>
      </c>
      <c r="J28" s="100">
        <v>0</v>
      </c>
      <c r="K28" s="100">
        <v>0</v>
      </c>
      <c r="L28" s="100">
        <v>0</v>
      </c>
      <c r="M28" s="100">
        <v>0</v>
      </c>
      <c r="N28" s="100">
        <v>0</v>
      </c>
      <c r="O28" s="100">
        <v>0</v>
      </c>
      <c r="P28" s="100">
        <v>0</v>
      </c>
      <c r="Q28" s="100">
        <v>0</v>
      </c>
      <c r="R28" s="100">
        <v>0</v>
      </c>
      <c r="S28" s="100">
        <v>0</v>
      </c>
      <c r="T28" s="100">
        <v>0</v>
      </c>
      <c r="U28" s="100">
        <v>0</v>
      </c>
      <c r="V28" s="100">
        <v>0</v>
      </c>
      <c r="W28" s="100">
        <v>0</v>
      </c>
      <c r="X28" s="100">
        <v>0</v>
      </c>
      <c r="Y28" s="100">
        <v>0</v>
      </c>
      <c r="Z28" s="100">
        <v>0</v>
      </c>
      <c r="AA28" s="100">
        <v>0</v>
      </c>
    </row>
    <row r="29" spans="1:32" x14ac:dyDescent="0.35">
      <c r="A29" s="100" t="s">
        <v>5</v>
      </c>
      <c r="B29" s="100">
        <v>0</v>
      </c>
      <c r="C29" s="100">
        <v>0</v>
      </c>
      <c r="D29" s="100">
        <v>0</v>
      </c>
      <c r="E29" s="100">
        <v>0</v>
      </c>
      <c r="F29" s="100">
        <v>0</v>
      </c>
      <c r="G29" s="100">
        <v>0</v>
      </c>
      <c r="H29" s="100">
        <v>0</v>
      </c>
      <c r="I29" s="100">
        <v>0</v>
      </c>
      <c r="J29" s="100">
        <v>0</v>
      </c>
      <c r="K29" s="100">
        <v>0</v>
      </c>
      <c r="L29" s="100">
        <v>0</v>
      </c>
      <c r="M29" s="100">
        <v>0</v>
      </c>
      <c r="N29" s="100">
        <v>0</v>
      </c>
      <c r="O29" s="100">
        <v>0</v>
      </c>
      <c r="P29" s="100">
        <v>0</v>
      </c>
      <c r="Q29" s="100">
        <v>0</v>
      </c>
      <c r="R29" s="100">
        <v>0</v>
      </c>
      <c r="S29" s="100">
        <v>0</v>
      </c>
      <c r="T29" s="100">
        <v>0</v>
      </c>
      <c r="U29" s="100">
        <v>0</v>
      </c>
      <c r="V29" s="100">
        <v>0</v>
      </c>
      <c r="W29" s="100">
        <v>0</v>
      </c>
      <c r="X29" s="100">
        <v>0</v>
      </c>
      <c r="Y29" s="100">
        <v>0</v>
      </c>
      <c r="Z29" s="100">
        <v>0</v>
      </c>
      <c r="AA29" s="100">
        <v>0</v>
      </c>
    </row>
    <row r="30" spans="1:32" x14ac:dyDescent="0.35">
      <c r="A30" s="100" t="s">
        <v>6</v>
      </c>
      <c r="B30" s="100">
        <v>0</v>
      </c>
      <c r="C30" s="100">
        <v>0</v>
      </c>
      <c r="D30" s="100">
        <v>25</v>
      </c>
      <c r="E30" s="100">
        <v>25</v>
      </c>
      <c r="F30" s="100">
        <v>25</v>
      </c>
      <c r="G30" s="100">
        <v>25</v>
      </c>
      <c r="H30" s="100">
        <v>25</v>
      </c>
      <c r="I30" s="100">
        <v>0</v>
      </c>
      <c r="J30" s="100">
        <v>0</v>
      </c>
      <c r="K30" s="100">
        <v>0</v>
      </c>
      <c r="L30" s="100">
        <v>0</v>
      </c>
      <c r="M30" s="100">
        <v>0</v>
      </c>
      <c r="N30" s="100">
        <v>0</v>
      </c>
      <c r="O30" s="100">
        <v>0</v>
      </c>
      <c r="P30" s="100">
        <v>0</v>
      </c>
      <c r="Q30" s="100">
        <v>0</v>
      </c>
      <c r="R30" s="100">
        <v>0</v>
      </c>
      <c r="S30" s="100">
        <v>0</v>
      </c>
      <c r="T30" s="100">
        <v>0</v>
      </c>
      <c r="U30" s="100">
        <v>0</v>
      </c>
      <c r="V30" s="100">
        <v>0</v>
      </c>
      <c r="W30" s="100">
        <v>0</v>
      </c>
      <c r="X30" s="100">
        <v>0</v>
      </c>
      <c r="Y30" s="100">
        <v>0</v>
      </c>
      <c r="Z30" s="100">
        <v>0</v>
      </c>
      <c r="AA30" s="100">
        <v>0</v>
      </c>
    </row>
    <row r="31" spans="1:32" x14ac:dyDescent="0.35">
      <c r="A31" s="100" t="s">
        <v>7</v>
      </c>
      <c r="B31" s="100">
        <v>0</v>
      </c>
      <c r="C31" s="100">
        <v>0</v>
      </c>
      <c r="D31" s="100">
        <v>25</v>
      </c>
      <c r="E31" s="100">
        <v>25</v>
      </c>
      <c r="F31" s="100">
        <v>25</v>
      </c>
      <c r="G31" s="100">
        <v>25</v>
      </c>
      <c r="H31" s="100">
        <v>0</v>
      </c>
      <c r="I31" s="100">
        <v>0</v>
      </c>
      <c r="J31" s="100">
        <v>0</v>
      </c>
      <c r="K31" s="100">
        <v>0</v>
      </c>
      <c r="L31" s="100">
        <v>0</v>
      </c>
      <c r="M31" s="100">
        <v>0</v>
      </c>
      <c r="N31" s="100">
        <v>0</v>
      </c>
      <c r="O31" s="100">
        <v>0</v>
      </c>
      <c r="P31" s="100">
        <v>0</v>
      </c>
      <c r="Q31" s="100">
        <v>0</v>
      </c>
      <c r="R31" s="100">
        <v>0</v>
      </c>
      <c r="S31" s="100">
        <v>0</v>
      </c>
      <c r="T31" s="100">
        <v>0</v>
      </c>
      <c r="U31" s="100">
        <v>0</v>
      </c>
      <c r="V31" s="100">
        <v>0</v>
      </c>
      <c r="W31" s="100">
        <v>0</v>
      </c>
      <c r="X31" s="100">
        <v>0</v>
      </c>
      <c r="Y31" s="100">
        <v>0</v>
      </c>
      <c r="Z31" s="100">
        <v>0</v>
      </c>
      <c r="AA31" s="100">
        <v>0</v>
      </c>
    </row>
    <row r="32" spans="1:32" x14ac:dyDescent="0.35">
      <c r="A32" s="100" t="s">
        <v>8</v>
      </c>
      <c r="B32" s="100">
        <v>0</v>
      </c>
      <c r="C32" s="100">
        <v>0</v>
      </c>
      <c r="D32" s="100">
        <v>0</v>
      </c>
      <c r="E32" s="100">
        <v>0</v>
      </c>
      <c r="F32" s="100">
        <v>0</v>
      </c>
      <c r="G32" s="100">
        <v>0</v>
      </c>
      <c r="H32" s="100">
        <v>0</v>
      </c>
      <c r="I32" s="100">
        <v>0</v>
      </c>
      <c r="J32" s="100">
        <v>0</v>
      </c>
      <c r="K32" s="100">
        <v>0</v>
      </c>
      <c r="L32" s="100">
        <v>0</v>
      </c>
      <c r="M32" s="100">
        <v>0</v>
      </c>
      <c r="N32" s="100">
        <v>0</v>
      </c>
      <c r="O32" s="100">
        <v>0</v>
      </c>
      <c r="P32" s="100">
        <v>0</v>
      </c>
      <c r="Q32" s="100">
        <v>0</v>
      </c>
      <c r="R32" s="100">
        <v>0</v>
      </c>
      <c r="S32" s="100">
        <v>0</v>
      </c>
      <c r="T32" s="100">
        <v>0</v>
      </c>
      <c r="U32" s="100">
        <v>0</v>
      </c>
      <c r="V32" s="100">
        <v>0</v>
      </c>
      <c r="W32" s="100">
        <v>0</v>
      </c>
      <c r="X32" s="100">
        <v>0</v>
      </c>
      <c r="Y32" s="100">
        <v>0</v>
      </c>
      <c r="Z32" s="100">
        <v>0</v>
      </c>
      <c r="AA32" s="100">
        <v>0</v>
      </c>
    </row>
    <row r="33" spans="1:30" x14ac:dyDescent="0.35">
      <c r="A33" s="100" t="s">
        <v>9</v>
      </c>
      <c r="B33" s="100">
        <v>0</v>
      </c>
      <c r="C33" s="100">
        <v>0</v>
      </c>
      <c r="D33" s="100">
        <v>0</v>
      </c>
      <c r="E33" s="100">
        <v>0</v>
      </c>
      <c r="F33" s="100">
        <v>0</v>
      </c>
      <c r="G33" s="100">
        <v>0</v>
      </c>
      <c r="H33" s="100">
        <v>0</v>
      </c>
      <c r="I33" s="100">
        <v>0</v>
      </c>
      <c r="J33" s="100">
        <v>0</v>
      </c>
      <c r="K33" s="100">
        <v>0</v>
      </c>
      <c r="L33" s="100">
        <v>0</v>
      </c>
      <c r="M33" s="100">
        <v>0</v>
      </c>
      <c r="N33" s="100">
        <v>0</v>
      </c>
      <c r="O33" s="100">
        <v>0</v>
      </c>
      <c r="P33" s="100">
        <v>0</v>
      </c>
      <c r="Q33" s="100">
        <v>0</v>
      </c>
      <c r="R33" s="100">
        <v>0</v>
      </c>
      <c r="S33" s="100">
        <v>0</v>
      </c>
      <c r="T33" s="100">
        <v>0</v>
      </c>
      <c r="U33" s="100">
        <v>0</v>
      </c>
      <c r="V33" s="100">
        <v>0</v>
      </c>
      <c r="W33" s="100">
        <v>0</v>
      </c>
      <c r="X33" s="100">
        <v>0</v>
      </c>
      <c r="Y33" s="100">
        <v>0</v>
      </c>
      <c r="Z33" s="100">
        <v>0</v>
      </c>
      <c r="AA33" s="100">
        <v>0</v>
      </c>
    </row>
    <row r="34" spans="1:30" x14ac:dyDescent="0.35">
      <c r="A34" s="100" t="s">
        <v>10</v>
      </c>
      <c r="B34" s="100">
        <v>0</v>
      </c>
      <c r="C34" s="100">
        <v>0</v>
      </c>
      <c r="D34" s="100">
        <v>0</v>
      </c>
      <c r="E34" s="100">
        <v>0</v>
      </c>
      <c r="F34" s="100">
        <v>0</v>
      </c>
      <c r="G34" s="100">
        <v>0</v>
      </c>
      <c r="H34" s="100">
        <v>0</v>
      </c>
      <c r="I34" s="100">
        <v>0</v>
      </c>
      <c r="J34" s="100">
        <v>0</v>
      </c>
      <c r="K34" s="100">
        <v>0</v>
      </c>
      <c r="L34" s="100">
        <v>0</v>
      </c>
      <c r="M34" s="100">
        <v>0</v>
      </c>
      <c r="N34" s="100">
        <v>0</v>
      </c>
      <c r="O34" s="100">
        <v>0</v>
      </c>
      <c r="P34" s="100">
        <v>0</v>
      </c>
      <c r="Q34" s="100">
        <v>0</v>
      </c>
      <c r="R34" s="100">
        <v>0</v>
      </c>
      <c r="S34" s="100">
        <v>0</v>
      </c>
      <c r="T34" s="100">
        <v>0</v>
      </c>
      <c r="U34" s="100">
        <v>0</v>
      </c>
      <c r="V34" s="100">
        <v>0</v>
      </c>
      <c r="W34" s="100">
        <v>0</v>
      </c>
      <c r="X34" s="100">
        <v>0</v>
      </c>
      <c r="Y34" s="100">
        <v>0</v>
      </c>
      <c r="Z34" s="100">
        <v>0</v>
      </c>
      <c r="AA34" s="100">
        <v>0</v>
      </c>
    </row>
    <row r="35" spans="1:30" x14ac:dyDescent="0.35">
      <c r="A35" s="100" t="s">
        <v>11</v>
      </c>
      <c r="B35" s="100">
        <v>0</v>
      </c>
      <c r="C35" s="100">
        <v>0</v>
      </c>
      <c r="D35" s="100">
        <v>0</v>
      </c>
      <c r="E35" s="100">
        <v>0</v>
      </c>
      <c r="F35" s="100">
        <v>25</v>
      </c>
      <c r="G35" s="100">
        <v>25</v>
      </c>
      <c r="H35" s="100">
        <v>25</v>
      </c>
      <c r="I35" s="100">
        <v>0</v>
      </c>
      <c r="J35" s="100">
        <v>0</v>
      </c>
      <c r="K35" s="100">
        <v>0</v>
      </c>
      <c r="L35" s="100">
        <v>0</v>
      </c>
      <c r="M35" s="100">
        <v>25</v>
      </c>
      <c r="N35" s="100">
        <v>25</v>
      </c>
      <c r="O35" s="100">
        <v>25</v>
      </c>
      <c r="P35" s="100">
        <v>25</v>
      </c>
      <c r="Q35" s="100">
        <v>25</v>
      </c>
      <c r="R35" s="100">
        <v>0</v>
      </c>
      <c r="S35" s="100">
        <v>0</v>
      </c>
      <c r="T35" s="100">
        <v>0</v>
      </c>
      <c r="U35" s="100">
        <v>0</v>
      </c>
      <c r="V35" s="100">
        <v>0</v>
      </c>
      <c r="W35" s="100">
        <v>0</v>
      </c>
      <c r="X35" s="100">
        <v>0</v>
      </c>
      <c r="Y35" s="100">
        <v>0</v>
      </c>
      <c r="Z35" s="100">
        <v>0</v>
      </c>
      <c r="AA35" s="100">
        <v>0</v>
      </c>
    </row>
    <row r="36" spans="1:30" x14ac:dyDescent="0.35">
      <c r="A36" s="100" t="s">
        <v>12</v>
      </c>
      <c r="B36" s="100">
        <v>0</v>
      </c>
      <c r="C36" s="100">
        <v>0</v>
      </c>
      <c r="D36" s="100">
        <v>0</v>
      </c>
      <c r="E36" s="100">
        <v>0</v>
      </c>
      <c r="F36" s="100">
        <v>0</v>
      </c>
      <c r="G36" s="100">
        <v>0</v>
      </c>
      <c r="H36" s="100">
        <v>0</v>
      </c>
      <c r="I36" s="100">
        <v>0</v>
      </c>
      <c r="J36" s="100">
        <v>0</v>
      </c>
      <c r="K36" s="100">
        <v>0</v>
      </c>
      <c r="L36" s="100">
        <v>0</v>
      </c>
      <c r="M36" s="100">
        <v>0</v>
      </c>
      <c r="N36" s="100">
        <v>0</v>
      </c>
      <c r="O36" s="100">
        <v>0</v>
      </c>
      <c r="P36" s="100">
        <v>0</v>
      </c>
      <c r="Q36" s="100">
        <v>0</v>
      </c>
      <c r="R36" s="100">
        <v>0</v>
      </c>
      <c r="S36" s="100">
        <v>0</v>
      </c>
      <c r="T36" s="100">
        <v>0</v>
      </c>
      <c r="U36" s="100">
        <v>0</v>
      </c>
      <c r="V36" s="100">
        <v>0</v>
      </c>
      <c r="W36" s="100">
        <v>0</v>
      </c>
      <c r="X36" s="100">
        <v>0</v>
      </c>
      <c r="Y36" s="100">
        <v>0</v>
      </c>
      <c r="Z36" s="100">
        <v>0</v>
      </c>
      <c r="AA36" s="100">
        <v>0</v>
      </c>
    </row>
    <row r="37" spans="1:30" x14ac:dyDescent="0.35">
      <c r="A37" s="100" t="s">
        <v>13</v>
      </c>
      <c r="B37" s="100">
        <v>0</v>
      </c>
      <c r="C37" s="100">
        <v>0</v>
      </c>
      <c r="D37" s="100">
        <v>0</v>
      </c>
      <c r="E37" s="100">
        <v>0</v>
      </c>
      <c r="F37" s="100">
        <v>0</v>
      </c>
      <c r="G37" s="100">
        <v>0</v>
      </c>
      <c r="H37" s="100">
        <v>0</v>
      </c>
      <c r="I37" s="100">
        <v>0</v>
      </c>
      <c r="J37" s="100">
        <v>0</v>
      </c>
      <c r="K37" s="100">
        <v>0</v>
      </c>
      <c r="L37" s="100">
        <v>0</v>
      </c>
      <c r="M37" s="100">
        <v>0</v>
      </c>
      <c r="N37" s="100">
        <v>0</v>
      </c>
      <c r="O37" s="100">
        <v>0</v>
      </c>
      <c r="P37" s="100">
        <v>0</v>
      </c>
      <c r="Q37" s="100">
        <v>0</v>
      </c>
      <c r="R37" s="100">
        <v>0</v>
      </c>
      <c r="S37" s="100">
        <v>0</v>
      </c>
      <c r="T37" s="100">
        <v>0</v>
      </c>
      <c r="U37" s="100">
        <v>0</v>
      </c>
      <c r="V37" s="100">
        <v>0</v>
      </c>
      <c r="W37" s="100">
        <v>0</v>
      </c>
      <c r="X37" s="100">
        <v>0</v>
      </c>
      <c r="Y37" s="100">
        <v>0</v>
      </c>
      <c r="Z37" s="100">
        <v>0</v>
      </c>
      <c r="AA37" s="100">
        <v>0</v>
      </c>
    </row>
    <row r="38" spans="1:30" x14ac:dyDescent="0.35">
      <c r="A38" s="100" t="s">
        <v>14</v>
      </c>
      <c r="B38" s="100">
        <v>0</v>
      </c>
      <c r="C38" s="100">
        <v>0</v>
      </c>
      <c r="D38" s="100">
        <v>0</v>
      </c>
      <c r="E38" s="100">
        <v>0</v>
      </c>
      <c r="F38" s="100">
        <v>0</v>
      </c>
      <c r="G38" s="100">
        <v>0</v>
      </c>
      <c r="H38" s="100">
        <v>0</v>
      </c>
      <c r="I38" s="100">
        <v>0</v>
      </c>
      <c r="J38" s="100">
        <v>0</v>
      </c>
      <c r="K38" s="100">
        <v>0</v>
      </c>
      <c r="L38" s="100">
        <v>0</v>
      </c>
      <c r="M38" s="100">
        <v>0</v>
      </c>
      <c r="N38" s="100">
        <v>0</v>
      </c>
      <c r="O38" s="100">
        <v>0</v>
      </c>
      <c r="P38" s="100">
        <v>0</v>
      </c>
      <c r="Q38" s="100">
        <v>0</v>
      </c>
      <c r="R38" s="100">
        <v>0</v>
      </c>
      <c r="S38" s="100">
        <v>0</v>
      </c>
      <c r="T38" s="100">
        <v>0</v>
      </c>
      <c r="U38" s="100">
        <v>0</v>
      </c>
      <c r="V38" s="100">
        <v>0</v>
      </c>
      <c r="W38" s="100">
        <v>0</v>
      </c>
      <c r="X38" s="100">
        <v>0</v>
      </c>
      <c r="Y38" s="100">
        <v>0</v>
      </c>
      <c r="Z38" s="100">
        <v>0</v>
      </c>
      <c r="AA38" s="100">
        <v>0</v>
      </c>
    </row>
    <row r="39" spans="1:30" x14ac:dyDescent="0.35">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0"/>
    </row>
    <row r="40" spans="1:30" x14ac:dyDescent="0.35">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row>
    <row r="41" spans="1:30" x14ac:dyDescent="0.35">
      <c r="A41" s="101" t="s">
        <v>15</v>
      </c>
      <c r="B41" s="101"/>
      <c r="C41" s="101"/>
      <c r="D41" s="101"/>
      <c r="E41" s="101"/>
      <c r="F41" s="101"/>
      <c r="G41" s="100"/>
      <c r="H41" s="100"/>
      <c r="I41" s="100"/>
      <c r="J41" s="100"/>
      <c r="K41" s="100"/>
      <c r="L41" s="100"/>
      <c r="M41" s="100"/>
      <c r="N41" s="100"/>
      <c r="O41" s="100"/>
      <c r="P41" s="100"/>
      <c r="Q41" s="100"/>
      <c r="R41" s="100"/>
      <c r="S41" s="100"/>
      <c r="T41" s="100"/>
      <c r="U41" s="100"/>
      <c r="V41" s="100"/>
      <c r="W41" s="100"/>
      <c r="X41" s="100"/>
      <c r="Y41" s="100"/>
      <c r="Z41" s="100"/>
      <c r="AA41" s="100"/>
    </row>
    <row r="42" spans="1:30" x14ac:dyDescent="0.35">
      <c r="A42" s="100"/>
      <c r="B42" s="102">
        <v>1990</v>
      </c>
      <c r="C42" s="102">
        <v>1991</v>
      </c>
      <c r="D42" s="102">
        <v>1992</v>
      </c>
      <c r="E42" s="102">
        <v>1993</v>
      </c>
      <c r="F42" s="102">
        <v>1994</v>
      </c>
      <c r="G42" s="102">
        <v>1995</v>
      </c>
      <c r="H42" s="102">
        <v>1996</v>
      </c>
      <c r="I42" s="102">
        <v>1997</v>
      </c>
      <c r="J42" s="102">
        <v>1998</v>
      </c>
      <c r="K42" s="102">
        <v>1999</v>
      </c>
      <c r="L42" s="102">
        <v>2000</v>
      </c>
      <c r="M42" s="102">
        <v>2001</v>
      </c>
      <c r="N42" s="102">
        <v>2002</v>
      </c>
      <c r="O42" s="102">
        <v>2003</v>
      </c>
      <c r="P42" s="102">
        <v>2004</v>
      </c>
      <c r="Q42" s="102">
        <v>2005</v>
      </c>
      <c r="R42" s="102">
        <v>2006</v>
      </c>
      <c r="S42" s="102">
        <v>2007</v>
      </c>
      <c r="T42" s="102">
        <v>2008</v>
      </c>
      <c r="U42" s="102">
        <v>2009</v>
      </c>
      <c r="V42" s="102">
        <v>2010</v>
      </c>
      <c r="W42" s="102">
        <v>2011</v>
      </c>
      <c r="X42" s="102">
        <v>2012</v>
      </c>
      <c r="Y42" s="102">
        <v>2013</v>
      </c>
      <c r="Z42" s="102">
        <v>2014</v>
      </c>
      <c r="AA42" s="102">
        <v>2015</v>
      </c>
      <c r="AC42" s="7"/>
      <c r="AD42" s="7"/>
    </row>
    <row r="43" spans="1:30" x14ac:dyDescent="0.35">
      <c r="A43" s="100" t="s">
        <v>1</v>
      </c>
      <c r="B43" s="100">
        <v>0</v>
      </c>
      <c r="C43" s="100">
        <v>0</v>
      </c>
      <c r="D43" s="100">
        <v>0</v>
      </c>
      <c r="E43" s="100">
        <v>0</v>
      </c>
      <c r="F43" s="100">
        <v>0</v>
      </c>
      <c r="G43" s="100">
        <v>18.75</v>
      </c>
      <c r="H43" s="100">
        <v>18.75</v>
      </c>
      <c r="I43" s="100">
        <v>18.75</v>
      </c>
      <c r="J43" s="100">
        <v>18.75</v>
      </c>
      <c r="K43" s="100">
        <v>18.75</v>
      </c>
      <c r="L43" s="100">
        <v>18.75</v>
      </c>
      <c r="M43" s="100">
        <v>18.75</v>
      </c>
      <c r="N43" s="100">
        <v>18.75</v>
      </c>
      <c r="O43" s="100">
        <v>18.75</v>
      </c>
      <c r="P43" s="100">
        <v>18.75</v>
      </c>
      <c r="Q43" s="100">
        <v>18.75</v>
      </c>
      <c r="R43" s="100">
        <v>18.75</v>
      </c>
      <c r="S43" s="100">
        <v>18.75</v>
      </c>
      <c r="T43" s="100">
        <v>18.75</v>
      </c>
      <c r="U43" s="100">
        <v>18.75</v>
      </c>
      <c r="V43" s="100">
        <v>18.75</v>
      </c>
      <c r="W43" s="100">
        <v>18.75</v>
      </c>
      <c r="X43" s="100">
        <v>18.75</v>
      </c>
      <c r="Y43" s="100">
        <v>18.75</v>
      </c>
      <c r="Z43" s="100">
        <v>18.75</v>
      </c>
      <c r="AA43" s="100">
        <v>18.75</v>
      </c>
      <c r="AC43" s="7"/>
      <c r="AD43" s="7"/>
    </row>
    <row r="44" spans="1:30" x14ac:dyDescent="0.35">
      <c r="A44" s="100" t="s">
        <v>2</v>
      </c>
      <c r="B44" s="100">
        <v>0</v>
      </c>
      <c r="C44" s="100">
        <v>0</v>
      </c>
      <c r="D44" s="100">
        <v>0</v>
      </c>
      <c r="E44" s="100">
        <v>0</v>
      </c>
      <c r="F44" s="100">
        <v>0</v>
      </c>
      <c r="G44" s="100">
        <v>0</v>
      </c>
      <c r="H44" s="100">
        <v>0</v>
      </c>
      <c r="I44" s="100">
        <v>0</v>
      </c>
      <c r="J44" s="100">
        <v>12.5</v>
      </c>
      <c r="K44" s="100">
        <v>12.5</v>
      </c>
      <c r="L44" s="100">
        <v>12.5</v>
      </c>
      <c r="M44" s="100">
        <v>25</v>
      </c>
      <c r="N44" s="100">
        <v>25</v>
      </c>
      <c r="O44" s="100">
        <v>25</v>
      </c>
      <c r="P44" s="100">
        <v>25</v>
      </c>
      <c r="Q44" s="100">
        <v>25</v>
      </c>
      <c r="R44" s="100">
        <v>25</v>
      </c>
      <c r="S44" s="100">
        <v>25</v>
      </c>
      <c r="T44" s="100">
        <v>25</v>
      </c>
      <c r="U44" s="100">
        <v>25</v>
      </c>
      <c r="V44" s="100">
        <v>25</v>
      </c>
      <c r="W44" s="100">
        <v>25</v>
      </c>
      <c r="X44" s="100">
        <v>25</v>
      </c>
      <c r="Y44" s="100">
        <v>25</v>
      </c>
      <c r="Z44" s="100">
        <v>25</v>
      </c>
      <c r="AA44" s="100">
        <v>25</v>
      </c>
      <c r="AC44" s="7"/>
      <c r="AD44" s="7"/>
    </row>
    <row r="45" spans="1:30" x14ac:dyDescent="0.35">
      <c r="A45" s="100" t="s">
        <v>3</v>
      </c>
      <c r="B45" s="100">
        <v>0</v>
      </c>
      <c r="C45" s="100">
        <v>0</v>
      </c>
      <c r="D45" s="100">
        <v>0</v>
      </c>
      <c r="E45" s="103">
        <v>8.3333333333333339</v>
      </c>
      <c r="F45" s="103">
        <v>8.3333333333333339</v>
      </c>
      <c r="G45" s="103">
        <v>8.3333333333333339</v>
      </c>
      <c r="H45" s="103">
        <v>8.3333333333333339</v>
      </c>
      <c r="I45" s="103">
        <v>8.3333333333333339</v>
      </c>
      <c r="J45" s="100">
        <v>0</v>
      </c>
      <c r="K45" s="100">
        <v>0</v>
      </c>
      <c r="L45" s="100">
        <v>8.33</v>
      </c>
      <c r="M45" s="100">
        <v>8.33</v>
      </c>
      <c r="N45" s="100">
        <v>8.33</v>
      </c>
      <c r="O45" s="100">
        <v>8.33</v>
      </c>
      <c r="P45" s="100">
        <v>8.33</v>
      </c>
      <c r="Q45" s="100">
        <v>8.33</v>
      </c>
      <c r="R45" s="100">
        <v>8.33</v>
      </c>
      <c r="S45" s="100">
        <v>8.33</v>
      </c>
      <c r="T45" s="100">
        <v>8.33</v>
      </c>
      <c r="U45" s="100">
        <v>8.33</v>
      </c>
      <c r="V45" s="100">
        <v>8.33</v>
      </c>
      <c r="W45" s="100">
        <v>8.33</v>
      </c>
      <c r="X45" s="100">
        <v>8.33</v>
      </c>
      <c r="Y45" s="100">
        <v>8.33</v>
      </c>
      <c r="Z45" s="100">
        <v>8.33</v>
      </c>
      <c r="AA45" s="100">
        <v>8.33</v>
      </c>
      <c r="AC45" s="7"/>
      <c r="AD45" s="7"/>
    </row>
    <row r="46" spans="1:30" x14ac:dyDescent="0.35">
      <c r="A46" s="100" t="s">
        <v>40</v>
      </c>
      <c r="B46" s="100">
        <v>0</v>
      </c>
      <c r="C46" s="100">
        <v>0</v>
      </c>
      <c r="D46" s="100">
        <v>0</v>
      </c>
      <c r="E46" s="100">
        <v>0</v>
      </c>
      <c r="F46" s="100">
        <v>0</v>
      </c>
      <c r="G46" s="100">
        <v>0</v>
      </c>
      <c r="H46" s="100">
        <v>0</v>
      </c>
      <c r="I46" s="100">
        <v>0</v>
      </c>
      <c r="J46" s="100">
        <v>0</v>
      </c>
      <c r="K46" s="100">
        <v>6.5</v>
      </c>
      <c r="L46" s="100">
        <v>25</v>
      </c>
      <c r="M46" s="100">
        <v>25</v>
      </c>
      <c r="N46" s="100">
        <v>25</v>
      </c>
      <c r="O46" s="100">
        <v>25</v>
      </c>
      <c r="P46" s="100">
        <v>25</v>
      </c>
      <c r="Q46" s="100">
        <v>25</v>
      </c>
      <c r="R46" s="100">
        <v>25</v>
      </c>
      <c r="S46" s="100">
        <v>25</v>
      </c>
      <c r="T46" s="100">
        <v>25</v>
      </c>
      <c r="U46" s="100">
        <v>25</v>
      </c>
      <c r="V46" s="100">
        <v>25</v>
      </c>
      <c r="W46" s="100">
        <v>25</v>
      </c>
      <c r="X46" s="100">
        <v>25</v>
      </c>
      <c r="Y46" s="100">
        <v>25</v>
      </c>
      <c r="Z46" s="100">
        <v>25</v>
      </c>
      <c r="AA46" s="100">
        <v>25</v>
      </c>
      <c r="AC46" s="7"/>
      <c r="AD46" s="7"/>
    </row>
    <row r="47" spans="1:30" x14ac:dyDescent="0.35">
      <c r="A47" s="100" t="s">
        <v>41</v>
      </c>
      <c r="B47" s="100">
        <v>0</v>
      </c>
      <c r="C47" s="100">
        <v>0</v>
      </c>
      <c r="D47" s="100">
        <v>0</v>
      </c>
      <c r="E47" s="100">
        <v>0</v>
      </c>
      <c r="F47" s="100">
        <v>0</v>
      </c>
      <c r="G47" s="100">
        <v>0</v>
      </c>
      <c r="H47" s="100">
        <v>18.75</v>
      </c>
      <c r="I47" s="100">
        <v>25</v>
      </c>
      <c r="J47" s="100">
        <v>25</v>
      </c>
      <c r="K47" s="100">
        <v>25</v>
      </c>
      <c r="L47" s="100">
        <v>25</v>
      </c>
      <c r="M47" s="100">
        <v>25</v>
      </c>
      <c r="N47" s="100">
        <v>25</v>
      </c>
      <c r="O47" s="100">
        <v>25</v>
      </c>
      <c r="P47" s="100">
        <v>25</v>
      </c>
      <c r="Q47" s="100">
        <v>25</v>
      </c>
      <c r="R47" s="100">
        <v>25</v>
      </c>
      <c r="S47" s="100">
        <v>25</v>
      </c>
      <c r="T47" s="100">
        <v>25</v>
      </c>
      <c r="U47" s="100">
        <v>25</v>
      </c>
      <c r="V47" s="100">
        <v>25</v>
      </c>
      <c r="W47" s="100">
        <v>25</v>
      </c>
      <c r="X47" s="100">
        <v>25</v>
      </c>
      <c r="Y47" s="100">
        <v>25</v>
      </c>
      <c r="Z47" s="100">
        <v>25</v>
      </c>
      <c r="AA47" s="100">
        <v>25</v>
      </c>
      <c r="AC47" s="7"/>
      <c r="AD47" s="7"/>
    </row>
    <row r="48" spans="1:30" x14ac:dyDescent="0.35">
      <c r="A48" s="100" t="s">
        <v>42</v>
      </c>
      <c r="B48" s="100">
        <v>0</v>
      </c>
      <c r="C48" s="100">
        <v>0</v>
      </c>
      <c r="D48" s="100">
        <v>0</v>
      </c>
      <c r="E48" s="100">
        <v>0</v>
      </c>
      <c r="F48" s="100">
        <v>0</v>
      </c>
      <c r="G48" s="100">
        <v>0</v>
      </c>
      <c r="H48" s="100">
        <v>0</v>
      </c>
      <c r="I48" s="100">
        <v>0</v>
      </c>
      <c r="J48" s="100">
        <v>0</v>
      </c>
      <c r="K48" s="100">
        <v>0</v>
      </c>
      <c r="L48" s="100">
        <v>25</v>
      </c>
      <c r="M48" s="100">
        <v>25</v>
      </c>
      <c r="N48" s="100">
        <v>25</v>
      </c>
      <c r="O48" s="100">
        <v>25</v>
      </c>
      <c r="P48" s="100">
        <v>25</v>
      </c>
      <c r="Q48" s="100">
        <v>25</v>
      </c>
      <c r="R48" s="100">
        <v>25</v>
      </c>
      <c r="S48" s="100">
        <v>25</v>
      </c>
      <c r="T48" s="100">
        <v>25</v>
      </c>
      <c r="U48" s="100">
        <v>25</v>
      </c>
      <c r="V48" s="100">
        <v>25</v>
      </c>
      <c r="W48" s="100">
        <v>25</v>
      </c>
      <c r="X48" s="100">
        <v>25</v>
      </c>
      <c r="Y48" s="100">
        <v>25</v>
      </c>
      <c r="Z48" s="100">
        <v>25</v>
      </c>
      <c r="AA48" s="100">
        <v>25</v>
      </c>
      <c r="AC48" s="7"/>
      <c r="AD48" s="7"/>
    </row>
    <row r="49" spans="1:30" x14ac:dyDescent="0.35">
      <c r="A49" s="100" t="s">
        <v>4</v>
      </c>
      <c r="B49" s="100">
        <v>0</v>
      </c>
      <c r="C49" s="100">
        <v>0</v>
      </c>
      <c r="D49" s="100">
        <v>0</v>
      </c>
      <c r="E49" s="100">
        <v>0</v>
      </c>
      <c r="F49" s="100">
        <v>0</v>
      </c>
      <c r="G49" s="100">
        <v>0</v>
      </c>
      <c r="H49" s="100">
        <v>0</v>
      </c>
      <c r="I49" s="100">
        <v>12.5</v>
      </c>
      <c r="J49" s="100">
        <v>12.5</v>
      </c>
      <c r="K49" s="100">
        <v>12.5</v>
      </c>
      <c r="L49" s="100">
        <v>12.5</v>
      </c>
      <c r="M49" s="100">
        <v>12.5</v>
      </c>
      <c r="N49" s="100">
        <v>12.5</v>
      </c>
      <c r="O49" s="100">
        <v>12.5</v>
      </c>
      <c r="P49" s="100">
        <v>12.5</v>
      </c>
      <c r="Q49" s="100">
        <v>12.5</v>
      </c>
      <c r="R49" s="100">
        <v>12.5</v>
      </c>
      <c r="S49" s="100">
        <v>12.5</v>
      </c>
      <c r="T49" s="100">
        <v>12.5</v>
      </c>
      <c r="U49" s="100">
        <v>12.5</v>
      </c>
      <c r="V49" s="100">
        <v>12.5</v>
      </c>
      <c r="W49" s="100">
        <v>12.5</v>
      </c>
      <c r="X49" s="100">
        <v>12.5</v>
      </c>
      <c r="Y49" s="100">
        <v>12.5</v>
      </c>
      <c r="Z49" s="100">
        <v>12.5</v>
      </c>
      <c r="AA49" s="100">
        <v>12.5</v>
      </c>
      <c r="AC49" s="7"/>
      <c r="AD49" s="7"/>
    </row>
    <row r="50" spans="1:30" x14ac:dyDescent="0.35">
      <c r="A50" s="100" t="s">
        <v>5</v>
      </c>
      <c r="B50" s="100">
        <v>8.3000000000000007</v>
      </c>
      <c r="C50" s="100">
        <v>8.3000000000000007</v>
      </c>
      <c r="D50" s="100">
        <v>8.3000000000000007</v>
      </c>
      <c r="E50" s="100">
        <v>8.3000000000000007</v>
      </c>
      <c r="F50" s="100">
        <v>8.3000000000000007</v>
      </c>
      <c r="G50" s="100">
        <v>8.3000000000000007</v>
      </c>
      <c r="H50" s="100">
        <v>8.3000000000000007</v>
      </c>
      <c r="I50" s="100">
        <v>8.3000000000000007</v>
      </c>
      <c r="J50" s="100">
        <v>8.3000000000000007</v>
      </c>
      <c r="K50" s="100">
        <v>8.3000000000000007</v>
      </c>
      <c r="L50" s="100">
        <v>8.3000000000000007</v>
      </c>
      <c r="M50" s="100">
        <v>8.3000000000000007</v>
      </c>
      <c r="N50" s="100">
        <v>8.3000000000000007</v>
      </c>
      <c r="O50" s="100">
        <v>8.3000000000000007</v>
      </c>
      <c r="P50" s="100">
        <v>8.3000000000000007</v>
      </c>
      <c r="Q50" s="100">
        <v>8.3000000000000007</v>
      </c>
      <c r="R50" s="100">
        <v>8.3000000000000007</v>
      </c>
      <c r="S50" s="100">
        <v>8.3000000000000007</v>
      </c>
      <c r="T50" s="100">
        <v>8.3000000000000007</v>
      </c>
      <c r="U50" s="100">
        <v>8.3000000000000007</v>
      </c>
      <c r="V50" s="100">
        <v>8.3000000000000007</v>
      </c>
      <c r="W50" s="100">
        <v>8.3000000000000007</v>
      </c>
      <c r="X50" s="100">
        <v>8.3000000000000007</v>
      </c>
      <c r="Y50" s="100">
        <v>8.3000000000000007</v>
      </c>
      <c r="Z50" s="100">
        <v>8.3000000000000007</v>
      </c>
      <c r="AA50" s="100">
        <v>8.3000000000000007</v>
      </c>
      <c r="AC50" s="7"/>
      <c r="AD50" s="7"/>
    </row>
    <row r="51" spans="1:30" x14ac:dyDescent="0.35">
      <c r="A51" s="100" t="s">
        <v>6</v>
      </c>
      <c r="B51" s="100">
        <v>0</v>
      </c>
      <c r="C51" s="100">
        <v>0</v>
      </c>
      <c r="D51" s="100">
        <v>0</v>
      </c>
      <c r="E51" s="100">
        <v>0</v>
      </c>
      <c r="F51" s="100">
        <v>0</v>
      </c>
      <c r="G51" s="100">
        <v>0</v>
      </c>
      <c r="H51" s="100">
        <v>0</v>
      </c>
      <c r="I51" s="100">
        <v>0</v>
      </c>
      <c r="J51" s="100">
        <v>20</v>
      </c>
      <c r="K51" s="100">
        <v>20</v>
      </c>
      <c r="L51" s="100">
        <v>20</v>
      </c>
      <c r="M51" s="100">
        <v>20</v>
      </c>
      <c r="N51" s="100">
        <v>20</v>
      </c>
      <c r="O51" s="100">
        <v>20</v>
      </c>
      <c r="P51" s="100">
        <v>20</v>
      </c>
      <c r="Q51" s="100">
        <v>20</v>
      </c>
      <c r="R51" s="100">
        <v>20</v>
      </c>
      <c r="S51" s="100">
        <v>20</v>
      </c>
      <c r="T51" s="100">
        <v>20</v>
      </c>
      <c r="U51" s="100">
        <v>20</v>
      </c>
      <c r="V51" s="100">
        <v>20</v>
      </c>
      <c r="W51" s="100">
        <v>20</v>
      </c>
      <c r="X51" s="100">
        <v>20</v>
      </c>
      <c r="Y51" s="100">
        <v>20</v>
      </c>
      <c r="Z51" s="100">
        <v>20</v>
      </c>
      <c r="AA51" s="100">
        <v>20</v>
      </c>
      <c r="AC51" s="7"/>
      <c r="AD51" s="7"/>
    </row>
    <row r="52" spans="1:30" x14ac:dyDescent="0.35">
      <c r="A52" s="100" t="s">
        <v>7</v>
      </c>
      <c r="B52" s="100">
        <v>0</v>
      </c>
      <c r="C52" s="100">
        <v>0</v>
      </c>
      <c r="D52" s="100">
        <v>0</v>
      </c>
      <c r="E52" s="100">
        <v>0</v>
      </c>
      <c r="F52" s="100">
        <v>25</v>
      </c>
      <c r="G52" s="100">
        <v>25</v>
      </c>
      <c r="H52" s="100">
        <v>25</v>
      </c>
      <c r="I52" s="100">
        <v>25</v>
      </c>
      <c r="J52" s="100">
        <v>25</v>
      </c>
      <c r="K52" s="100">
        <v>25</v>
      </c>
      <c r="L52" s="100">
        <v>25</v>
      </c>
      <c r="M52" s="100">
        <v>25</v>
      </c>
      <c r="N52" s="100">
        <v>25</v>
      </c>
      <c r="O52" s="100">
        <v>25</v>
      </c>
      <c r="P52" s="100">
        <v>25</v>
      </c>
      <c r="Q52" s="100">
        <v>25</v>
      </c>
      <c r="R52" s="100">
        <v>25</v>
      </c>
      <c r="S52" s="100">
        <v>25</v>
      </c>
      <c r="T52" s="100">
        <v>25</v>
      </c>
      <c r="U52" s="100">
        <v>25</v>
      </c>
      <c r="V52" s="100">
        <v>25</v>
      </c>
      <c r="W52" s="100">
        <v>25</v>
      </c>
      <c r="X52" s="100">
        <v>25</v>
      </c>
      <c r="Y52" s="100">
        <v>25</v>
      </c>
      <c r="Z52" s="100">
        <v>25</v>
      </c>
      <c r="AA52" s="100">
        <v>25</v>
      </c>
      <c r="AC52" s="7"/>
      <c r="AD52" s="7"/>
    </row>
    <row r="53" spans="1:30" x14ac:dyDescent="0.35">
      <c r="A53" s="100" t="s">
        <v>8</v>
      </c>
      <c r="B53" s="100">
        <v>0</v>
      </c>
      <c r="C53" s="100">
        <v>0</v>
      </c>
      <c r="D53" s="100">
        <v>0</v>
      </c>
      <c r="E53" s="100">
        <v>0</v>
      </c>
      <c r="F53" s="100">
        <v>0</v>
      </c>
      <c r="G53" s="100">
        <v>0</v>
      </c>
      <c r="H53" s="100">
        <v>0</v>
      </c>
      <c r="I53" s="100">
        <v>0</v>
      </c>
      <c r="J53" s="100">
        <v>0</v>
      </c>
      <c r="K53" s="100">
        <v>0</v>
      </c>
      <c r="L53" s="100">
        <v>0</v>
      </c>
      <c r="M53" s="100">
        <v>25</v>
      </c>
      <c r="N53" s="100">
        <v>25</v>
      </c>
      <c r="O53" s="100">
        <v>25</v>
      </c>
      <c r="P53" s="100">
        <v>25</v>
      </c>
      <c r="Q53" s="100">
        <v>25</v>
      </c>
      <c r="R53" s="100">
        <v>25</v>
      </c>
      <c r="S53" s="100">
        <v>25</v>
      </c>
      <c r="T53" s="100">
        <v>25</v>
      </c>
      <c r="U53" s="100">
        <v>25</v>
      </c>
      <c r="V53" s="100">
        <v>25</v>
      </c>
      <c r="W53" s="100">
        <v>25</v>
      </c>
      <c r="X53" s="100">
        <v>25</v>
      </c>
      <c r="Y53" s="100">
        <v>25</v>
      </c>
      <c r="Z53" s="100">
        <v>25</v>
      </c>
      <c r="AA53" s="100">
        <v>25</v>
      </c>
      <c r="AC53" s="7"/>
      <c r="AD53" s="7"/>
    </row>
    <row r="54" spans="1:30" x14ac:dyDescent="0.35">
      <c r="A54" s="100" t="s">
        <v>9</v>
      </c>
      <c r="B54" s="100">
        <v>0</v>
      </c>
      <c r="C54" s="100">
        <v>0</v>
      </c>
      <c r="D54" s="100">
        <v>0</v>
      </c>
      <c r="E54" s="100">
        <v>0</v>
      </c>
      <c r="F54" s="100">
        <v>0</v>
      </c>
      <c r="G54" s="100">
        <v>0</v>
      </c>
      <c r="H54" s="100">
        <v>0</v>
      </c>
      <c r="I54" s="100">
        <v>0</v>
      </c>
      <c r="J54" s="100">
        <v>0</v>
      </c>
      <c r="K54" s="100">
        <v>0</v>
      </c>
      <c r="L54" s="100">
        <v>0</v>
      </c>
      <c r="M54" s="100">
        <v>0</v>
      </c>
      <c r="N54" s="100">
        <v>0</v>
      </c>
      <c r="O54" s="100">
        <v>0</v>
      </c>
      <c r="P54" s="100">
        <v>0</v>
      </c>
      <c r="Q54" s="100">
        <v>0</v>
      </c>
      <c r="R54" s="100">
        <v>0</v>
      </c>
      <c r="S54" s="100">
        <v>0</v>
      </c>
      <c r="T54" s="100">
        <v>0</v>
      </c>
      <c r="U54" s="100">
        <v>0</v>
      </c>
      <c r="V54" s="100">
        <v>0</v>
      </c>
      <c r="W54" s="100">
        <v>0</v>
      </c>
      <c r="X54" s="100">
        <v>0</v>
      </c>
      <c r="Y54" s="100">
        <v>0</v>
      </c>
      <c r="Z54" s="100">
        <v>0</v>
      </c>
      <c r="AA54" s="100">
        <v>0</v>
      </c>
      <c r="AC54" s="7"/>
      <c r="AD54" s="7"/>
    </row>
    <row r="55" spans="1:30" x14ac:dyDescent="0.35">
      <c r="A55" s="100" t="s">
        <v>10</v>
      </c>
      <c r="B55" s="100">
        <v>0</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C55" s="7"/>
      <c r="AD55" s="7"/>
    </row>
    <row r="56" spans="1:30" x14ac:dyDescent="0.35">
      <c r="A56" s="100" t="s">
        <v>11</v>
      </c>
      <c r="B56" s="100">
        <v>0</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C56" s="7"/>
      <c r="AD56" s="7"/>
    </row>
    <row r="57" spans="1:30" x14ac:dyDescent="0.35">
      <c r="A57" s="100" t="s">
        <v>12</v>
      </c>
      <c r="B57" s="100">
        <v>0</v>
      </c>
      <c r="C57" s="100">
        <v>0</v>
      </c>
      <c r="D57" s="100">
        <v>0</v>
      </c>
      <c r="E57" s="100">
        <v>0</v>
      </c>
      <c r="F57" s="100">
        <v>0</v>
      </c>
      <c r="G57" s="100">
        <v>0</v>
      </c>
      <c r="H57" s="100">
        <v>0</v>
      </c>
      <c r="I57" s="100">
        <v>0</v>
      </c>
      <c r="J57" s="100">
        <v>0</v>
      </c>
      <c r="K57" s="100">
        <v>0</v>
      </c>
      <c r="L57" s="100">
        <v>0</v>
      </c>
      <c r="M57" s="100">
        <v>25</v>
      </c>
      <c r="N57" s="100">
        <v>25</v>
      </c>
      <c r="O57" s="100">
        <v>25</v>
      </c>
      <c r="P57" s="100">
        <v>25</v>
      </c>
      <c r="Q57" s="100">
        <v>25</v>
      </c>
      <c r="R57" s="100">
        <v>25</v>
      </c>
      <c r="S57" s="100">
        <v>25</v>
      </c>
      <c r="T57" s="100">
        <v>25</v>
      </c>
      <c r="U57" s="100">
        <v>25</v>
      </c>
      <c r="V57" s="100">
        <v>25</v>
      </c>
      <c r="W57" s="100">
        <v>25</v>
      </c>
      <c r="X57" s="100">
        <v>25</v>
      </c>
      <c r="Y57" s="100">
        <v>25</v>
      </c>
      <c r="Z57" s="100">
        <v>25</v>
      </c>
      <c r="AA57" s="100">
        <v>25</v>
      </c>
      <c r="AC57" s="7"/>
      <c r="AD57" s="7"/>
    </row>
    <row r="58" spans="1:30" x14ac:dyDescent="0.35">
      <c r="A58" s="100" t="s">
        <v>13</v>
      </c>
      <c r="B58" s="100">
        <v>0</v>
      </c>
      <c r="C58" s="100">
        <v>0</v>
      </c>
      <c r="D58" s="100">
        <v>0</v>
      </c>
      <c r="E58" s="100">
        <v>0</v>
      </c>
      <c r="F58" s="100">
        <v>0</v>
      </c>
      <c r="G58" s="100">
        <v>25</v>
      </c>
      <c r="H58" s="100">
        <v>25</v>
      </c>
      <c r="I58" s="100">
        <v>25</v>
      </c>
      <c r="J58" s="100">
        <v>25</v>
      </c>
      <c r="K58" s="100">
        <v>25</v>
      </c>
      <c r="L58" s="100">
        <v>25</v>
      </c>
      <c r="M58" s="100">
        <v>25</v>
      </c>
      <c r="N58" s="100">
        <v>25</v>
      </c>
      <c r="O58" s="100">
        <v>25</v>
      </c>
      <c r="P58" s="100">
        <v>25</v>
      </c>
      <c r="Q58" s="100">
        <v>25</v>
      </c>
      <c r="R58" s="100">
        <v>25</v>
      </c>
      <c r="S58" s="100">
        <v>25</v>
      </c>
      <c r="T58" s="100">
        <v>25</v>
      </c>
      <c r="U58" s="100">
        <v>25</v>
      </c>
      <c r="V58" s="100">
        <v>25</v>
      </c>
      <c r="W58" s="100">
        <v>25</v>
      </c>
      <c r="X58" s="100">
        <v>25</v>
      </c>
      <c r="Y58" s="100">
        <v>25</v>
      </c>
      <c r="Z58" s="100">
        <v>25</v>
      </c>
      <c r="AA58" s="100">
        <v>25</v>
      </c>
      <c r="AC58" s="7"/>
      <c r="AD58" s="7"/>
    </row>
    <row r="59" spans="1:30" x14ac:dyDescent="0.35">
      <c r="A59" s="100" t="s">
        <v>14</v>
      </c>
      <c r="B59" s="100">
        <v>0</v>
      </c>
      <c r="C59" s="100">
        <v>0</v>
      </c>
      <c r="D59" s="100">
        <v>0</v>
      </c>
      <c r="E59" s="100">
        <v>0</v>
      </c>
      <c r="F59" s="100">
        <v>0</v>
      </c>
      <c r="G59" s="100">
        <v>0</v>
      </c>
      <c r="H59" s="100">
        <v>0</v>
      </c>
      <c r="I59" s="100">
        <v>0</v>
      </c>
      <c r="J59" s="100">
        <v>0</v>
      </c>
      <c r="K59" s="100">
        <v>0</v>
      </c>
      <c r="L59" s="100">
        <v>0</v>
      </c>
      <c r="M59" s="100">
        <v>0</v>
      </c>
      <c r="N59" s="100">
        <v>0</v>
      </c>
      <c r="O59" s="100">
        <v>0</v>
      </c>
      <c r="P59" s="100">
        <v>0</v>
      </c>
      <c r="Q59" s="100">
        <v>12.5</v>
      </c>
      <c r="R59" s="100">
        <v>12.5</v>
      </c>
      <c r="S59" s="100">
        <v>12.5</v>
      </c>
      <c r="T59" s="100">
        <v>12.5</v>
      </c>
      <c r="U59" s="100">
        <v>12.5</v>
      </c>
      <c r="V59" s="100">
        <v>12.5</v>
      </c>
      <c r="W59" s="100">
        <v>12.5</v>
      </c>
      <c r="X59" s="100">
        <v>12.5</v>
      </c>
      <c r="Y59" s="100">
        <v>12.5</v>
      </c>
      <c r="Z59" s="100">
        <v>12.5</v>
      </c>
      <c r="AA59" s="100">
        <v>12.5</v>
      </c>
      <c r="AC59" s="7"/>
      <c r="AD59" s="7"/>
    </row>
    <row r="60" spans="1:30" x14ac:dyDescent="0.35">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c r="AA60" s="100"/>
      <c r="AC60" s="7"/>
      <c r="AD60" s="7"/>
    </row>
    <row r="61" spans="1:30" x14ac:dyDescent="0.35">
      <c r="A61" s="102" t="s">
        <v>45</v>
      </c>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c r="AA61" s="100"/>
      <c r="AC61" s="7"/>
      <c r="AD61" s="7"/>
    </row>
    <row r="62" spans="1:30" x14ac:dyDescent="0.35">
      <c r="A62" s="100" t="s">
        <v>1</v>
      </c>
      <c r="B62" s="100">
        <v>0</v>
      </c>
      <c r="C62" s="100">
        <v>0</v>
      </c>
      <c r="D62" s="100">
        <v>0</v>
      </c>
      <c r="E62" s="100">
        <v>0</v>
      </c>
      <c r="F62" s="100">
        <v>25</v>
      </c>
      <c r="G62" s="100">
        <v>6.25</v>
      </c>
      <c r="H62" s="100">
        <v>6.25</v>
      </c>
      <c r="I62" s="100">
        <v>6.25</v>
      </c>
      <c r="J62" s="100">
        <v>6.25</v>
      </c>
      <c r="K62" s="100">
        <v>6.25</v>
      </c>
      <c r="L62" s="100">
        <v>6.25</v>
      </c>
      <c r="M62" s="100">
        <v>6.25</v>
      </c>
      <c r="N62" s="100">
        <v>6.25</v>
      </c>
      <c r="O62" s="100">
        <v>6.25</v>
      </c>
      <c r="P62" s="100">
        <v>6.25</v>
      </c>
      <c r="Q62" s="100">
        <v>6.25</v>
      </c>
      <c r="R62" s="100">
        <v>6.25</v>
      </c>
      <c r="S62" s="100">
        <v>6.25</v>
      </c>
      <c r="T62" s="100">
        <v>6.25</v>
      </c>
      <c r="U62" s="100">
        <v>6.25</v>
      </c>
      <c r="V62" s="100">
        <v>6.25</v>
      </c>
      <c r="W62" s="100">
        <v>6.25</v>
      </c>
      <c r="X62" s="100">
        <v>6.25</v>
      </c>
      <c r="Y62" s="100">
        <v>6.25</v>
      </c>
      <c r="Z62" s="100">
        <v>6.25</v>
      </c>
      <c r="AA62" s="100">
        <v>6.25</v>
      </c>
      <c r="AC62" s="7"/>
      <c r="AD62" s="7"/>
    </row>
    <row r="63" spans="1:30" x14ac:dyDescent="0.35">
      <c r="A63" s="100" t="s">
        <v>2</v>
      </c>
      <c r="B63" s="100">
        <v>0</v>
      </c>
      <c r="C63" s="100">
        <v>0</v>
      </c>
      <c r="D63" s="100">
        <v>0</v>
      </c>
      <c r="E63" s="100">
        <v>25</v>
      </c>
      <c r="F63" s="100">
        <v>25</v>
      </c>
      <c r="G63" s="100">
        <v>25</v>
      </c>
      <c r="H63" s="100">
        <v>25</v>
      </c>
      <c r="I63" s="100">
        <v>25</v>
      </c>
      <c r="J63" s="100">
        <v>12.5</v>
      </c>
      <c r="K63" s="100">
        <v>12.5</v>
      </c>
      <c r="L63" s="100">
        <v>12.5</v>
      </c>
      <c r="M63" s="100">
        <v>0</v>
      </c>
      <c r="N63" s="100">
        <v>0</v>
      </c>
      <c r="O63" s="100">
        <v>0</v>
      </c>
      <c r="P63" s="100">
        <v>0</v>
      </c>
      <c r="Q63" s="100">
        <v>0</v>
      </c>
      <c r="R63" s="100">
        <v>0</v>
      </c>
      <c r="S63" s="100">
        <v>0</v>
      </c>
      <c r="T63" s="100">
        <v>0</v>
      </c>
      <c r="U63" s="100">
        <v>0</v>
      </c>
      <c r="V63" s="100">
        <v>0</v>
      </c>
      <c r="W63" s="100">
        <v>0</v>
      </c>
      <c r="X63" s="100">
        <v>0</v>
      </c>
      <c r="Y63" s="100">
        <v>0</v>
      </c>
      <c r="Z63" s="100">
        <v>0</v>
      </c>
      <c r="AA63" s="100">
        <v>0</v>
      </c>
      <c r="AC63" s="7"/>
      <c r="AD63" s="7"/>
    </row>
    <row r="64" spans="1:30" x14ac:dyDescent="0.35">
      <c r="A64" s="100" t="s">
        <v>3</v>
      </c>
      <c r="B64" s="100">
        <v>0</v>
      </c>
      <c r="C64" s="100">
        <v>0</v>
      </c>
      <c r="D64" s="100">
        <v>0</v>
      </c>
      <c r="E64" s="100">
        <v>16.66</v>
      </c>
      <c r="F64" s="100">
        <v>16.66</v>
      </c>
      <c r="G64" s="100">
        <v>16.66</v>
      </c>
      <c r="H64" s="100">
        <v>16.66</v>
      </c>
      <c r="I64" s="100">
        <v>16.66</v>
      </c>
      <c r="J64" s="100">
        <v>0</v>
      </c>
      <c r="K64" s="100">
        <v>0</v>
      </c>
      <c r="L64" s="100">
        <v>16.66</v>
      </c>
      <c r="M64" s="100">
        <v>16.66</v>
      </c>
      <c r="N64" s="100">
        <v>16.66</v>
      </c>
      <c r="O64" s="100">
        <v>16.66</v>
      </c>
      <c r="P64" s="100">
        <v>16.66</v>
      </c>
      <c r="Q64" s="100">
        <v>16.66</v>
      </c>
      <c r="R64" s="100">
        <v>16.66</v>
      </c>
      <c r="S64" s="100">
        <v>16.66</v>
      </c>
      <c r="T64" s="100">
        <v>16.66</v>
      </c>
      <c r="U64" s="100">
        <v>16.66</v>
      </c>
      <c r="V64" s="100">
        <v>16.66</v>
      </c>
      <c r="W64" s="100">
        <v>16.66</v>
      </c>
      <c r="X64" s="100">
        <v>16.66</v>
      </c>
      <c r="Y64" s="100">
        <v>16.66</v>
      </c>
      <c r="Z64" s="100">
        <v>16.66</v>
      </c>
      <c r="AA64" s="100">
        <v>16.66</v>
      </c>
      <c r="AC64" s="7"/>
      <c r="AD64" s="7"/>
    </row>
    <row r="65" spans="1:30" x14ac:dyDescent="0.35">
      <c r="A65" s="100" t="s">
        <v>40</v>
      </c>
      <c r="B65" s="100">
        <v>0</v>
      </c>
      <c r="C65" s="100">
        <v>0</v>
      </c>
      <c r="D65" s="100">
        <v>0</v>
      </c>
      <c r="E65" s="100">
        <v>0</v>
      </c>
      <c r="F65" s="100">
        <v>0</v>
      </c>
      <c r="G65" s="100">
        <v>0</v>
      </c>
      <c r="H65" s="100">
        <v>0</v>
      </c>
      <c r="I65" s="100">
        <v>0</v>
      </c>
      <c r="J65" s="100">
        <v>0</v>
      </c>
      <c r="K65" s="100">
        <v>18.75</v>
      </c>
      <c r="L65" s="100">
        <v>0</v>
      </c>
      <c r="M65" s="100">
        <v>0</v>
      </c>
      <c r="N65" s="100">
        <v>0</v>
      </c>
      <c r="O65" s="100">
        <v>0</v>
      </c>
      <c r="P65" s="100">
        <v>0</v>
      </c>
      <c r="Q65" s="100">
        <v>0</v>
      </c>
      <c r="R65" s="100">
        <v>0</v>
      </c>
      <c r="S65" s="100">
        <v>0</v>
      </c>
      <c r="T65" s="100">
        <v>0</v>
      </c>
      <c r="U65" s="100">
        <v>0</v>
      </c>
      <c r="V65" s="100">
        <v>0</v>
      </c>
      <c r="W65" s="100">
        <v>0</v>
      </c>
      <c r="X65" s="100">
        <v>0</v>
      </c>
      <c r="Y65" s="100">
        <v>0</v>
      </c>
      <c r="Z65" s="100">
        <v>0</v>
      </c>
      <c r="AA65" s="100">
        <v>0</v>
      </c>
      <c r="AC65" s="7"/>
      <c r="AD65" s="7"/>
    </row>
    <row r="66" spans="1:30" x14ac:dyDescent="0.35">
      <c r="A66" s="100" t="s">
        <v>41</v>
      </c>
      <c r="B66" s="100">
        <v>0</v>
      </c>
      <c r="C66" s="100">
        <v>0</v>
      </c>
      <c r="D66" s="100">
        <v>0</v>
      </c>
      <c r="E66" s="100">
        <v>0</v>
      </c>
      <c r="F66" s="100">
        <v>0</v>
      </c>
      <c r="G66" s="100">
        <v>0</v>
      </c>
      <c r="H66" s="100">
        <v>6.5</v>
      </c>
      <c r="I66" s="100">
        <v>0</v>
      </c>
      <c r="J66" s="100">
        <v>0</v>
      </c>
      <c r="K66" s="100">
        <v>0</v>
      </c>
      <c r="L66" s="100">
        <v>0</v>
      </c>
      <c r="M66" s="100">
        <v>0</v>
      </c>
      <c r="N66" s="100">
        <v>0</v>
      </c>
      <c r="O66" s="100">
        <v>0</v>
      </c>
      <c r="P66" s="100">
        <v>0</v>
      </c>
      <c r="Q66" s="100">
        <v>0</v>
      </c>
      <c r="R66" s="100">
        <v>0</v>
      </c>
      <c r="S66" s="100">
        <v>0</v>
      </c>
      <c r="T66" s="100">
        <v>0</v>
      </c>
      <c r="U66" s="100">
        <v>0</v>
      </c>
      <c r="V66" s="100">
        <v>0</v>
      </c>
      <c r="W66" s="100">
        <v>0</v>
      </c>
      <c r="X66" s="100">
        <v>0</v>
      </c>
      <c r="Y66" s="100">
        <v>0</v>
      </c>
      <c r="Z66" s="100">
        <v>0</v>
      </c>
      <c r="AA66" s="100">
        <v>0</v>
      </c>
    </row>
    <row r="67" spans="1:30" x14ac:dyDescent="0.35">
      <c r="A67" s="100" t="s">
        <v>42</v>
      </c>
      <c r="B67" s="100">
        <v>0</v>
      </c>
      <c r="C67" s="100">
        <v>0</v>
      </c>
      <c r="D67" s="100">
        <v>0</v>
      </c>
      <c r="E67" s="100">
        <v>0</v>
      </c>
      <c r="F67" s="100">
        <v>0</v>
      </c>
      <c r="G67" s="100">
        <v>0</v>
      </c>
      <c r="H67" s="100">
        <v>0</v>
      </c>
      <c r="I67" s="100">
        <v>0</v>
      </c>
      <c r="J67" s="100">
        <v>0</v>
      </c>
      <c r="K67" s="100">
        <v>0</v>
      </c>
      <c r="L67" s="100">
        <v>0</v>
      </c>
      <c r="M67" s="100">
        <v>0</v>
      </c>
      <c r="N67" s="100">
        <v>0</v>
      </c>
      <c r="O67" s="100">
        <v>0</v>
      </c>
      <c r="P67" s="100">
        <v>0</v>
      </c>
      <c r="Q67" s="100">
        <v>0</v>
      </c>
      <c r="R67" s="100">
        <v>0</v>
      </c>
      <c r="S67" s="100">
        <v>0</v>
      </c>
      <c r="T67" s="100">
        <v>0</v>
      </c>
      <c r="U67" s="100">
        <v>0</v>
      </c>
      <c r="V67" s="100">
        <v>0</v>
      </c>
      <c r="W67" s="100">
        <v>0</v>
      </c>
      <c r="X67" s="100">
        <v>0</v>
      </c>
      <c r="Y67" s="100">
        <v>0</v>
      </c>
      <c r="Z67" s="100">
        <v>0</v>
      </c>
      <c r="AA67" s="100">
        <v>0</v>
      </c>
    </row>
    <row r="68" spans="1:30" x14ac:dyDescent="0.35">
      <c r="A68" s="100" t="s">
        <v>4</v>
      </c>
      <c r="B68" s="100">
        <v>0</v>
      </c>
      <c r="C68" s="100">
        <v>0</v>
      </c>
      <c r="D68" s="100">
        <v>0</v>
      </c>
      <c r="E68" s="100">
        <v>0</v>
      </c>
      <c r="F68" s="100">
        <v>0</v>
      </c>
      <c r="G68" s="100">
        <v>0</v>
      </c>
      <c r="H68" s="100">
        <v>0</v>
      </c>
      <c r="I68" s="100">
        <v>0</v>
      </c>
      <c r="J68" s="100">
        <v>0</v>
      </c>
      <c r="K68" s="100">
        <v>0</v>
      </c>
      <c r="L68" s="100">
        <v>0</v>
      </c>
      <c r="M68" s="100">
        <v>0</v>
      </c>
      <c r="N68" s="100">
        <v>0</v>
      </c>
      <c r="O68" s="100">
        <v>0</v>
      </c>
      <c r="P68" s="100">
        <v>12.5</v>
      </c>
      <c r="Q68" s="100">
        <v>12.5</v>
      </c>
      <c r="R68" s="100">
        <v>12.5</v>
      </c>
      <c r="S68" s="100">
        <v>12.5</v>
      </c>
      <c r="T68" s="100">
        <v>12.5</v>
      </c>
      <c r="U68" s="100">
        <v>12.5</v>
      </c>
      <c r="V68" s="100">
        <v>12.5</v>
      </c>
      <c r="W68" s="100">
        <v>12.5</v>
      </c>
      <c r="X68" s="100">
        <v>12.5</v>
      </c>
      <c r="Y68" s="100">
        <v>12.5</v>
      </c>
      <c r="Z68" s="100">
        <v>12.5</v>
      </c>
      <c r="AA68" s="100">
        <v>12.5</v>
      </c>
    </row>
    <row r="69" spans="1:30" x14ac:dyDescent="0.35">
      <c r="A69" s="100" t="s">
        <v>5</v>
      </c>
      <c r="B69" s="100">
        <v>0</v>
      </c>
      <c r="C69" s="100">
        <v>0</v>
      </c>
      <c r="D69" s="100">
        <v>0</v>
      </c>
      <c r="E69" s="100">
        <v>0</v>
      </c>
      <c r="F69" s="100">
        <v>0</v>
      </c>
      <c r="G69" s="100">
        <v>0</v>
      </c>
      <c r="H69" s="100">
        <v>0</v>
      </c>
      <c r="I69" s="100">
        <v>0</v>
      </c>
      <c r="J69" s="100">
        <v>0</v>
      </c>
      <c r="K69" s="100">
        <v>0</v>
      </c>
      <c r="L69" s="100">
        <v>0</v>
      </c>
      <c r="M69" s="100">
        <v>0</v>
      </c>
      <c r="N69" s="100">
        <v>0</v>
      </c>
      <c r="O69" s="100">
        <v>0</v>
      </c>
      <c r="P69" s="100">
        <v>0</v>
      </c>
      <c r="Q69" s="100">
        <v>0</v>
      </c>
      <c r="R69" s="100">
        <v>0</v>
      </c>
      <c r="S69" s="100">
        <v>0</v>
      </c>
      <c r="T69" s="100">
        <v>0</v>
      </c>
      <c r="U69" s="100">
        <v>0</v>
      </c>
      <c r="V69" s="100">
        <v>0</v>
      </c>
      <c r="W69" s="100">
        <v>0</v>
      </c>
      <c r="X69" s="100">
        <v>0</v>
      </c>
      <c r="Y69" s="100">
        <v>0</v>
      </c>
      <c r="Z69" s="100">
        <v>0</v>
      </c>
      <c r="AA69" s="100">
        <v>0</v>
      </c>
    </row>
    <row r="70" spans="1:30" x14ac:dyDescent="0.35">
      <c r="A70" s="100" t="s">
        <v>6</v>
      </c>
      <c r="B70" s="100">
        <v>0</v>
      </c>
      <c r="C70" s="100">
        <v>0</v>
      </c>
      <c r="D70" s="100">
        <v>25</v>
      </c>
      <c r="E70" s="100">
        <v>25</v>
      </c>
      <c r="F70" s="100">
        <v>25</v>
      </c>
      <c r="G70" s="100">
        <v>25</v>
      </c>
      <c r="H70" s="100">
        <v>25</v>
      </c>
      <c r="I70" s="100">
        <v>25</v>
      </c>
      <c r="J70" s="100">
        <v>5</v>
      </c>
      <c r="K70" s="100">
        <v>5</v>
      </c>
      <c r="L70" s="100">
        <v>5</v>
      </c>
      <c r="M70" s="100">
        <v>5</v>
      </c>
      <c r="N70" s="100">
        <v>5</v>
      </c>
      <c r="O70" s="100">
        <v>5</v>
      </c>
      <c r="P70" s="100">
        <v>5</v>
      </c>
      <c r="Q70" s="100">
        <v>5</v>
      </c>
      <c r="R70" s="100">
        <v>5</v>
      </c>
      <c r="S70" s="100">
        <v>5</v>
      </c>
      <c r="T70" s="100">
        <v>5</v>
      </c>
      <c r="U70" s="100">
        <v>5</v>
      </c>
      <c r="V70" s="100">
        <v>5</v>
      </c>
      <c r="W70" s="100">
        <v>5</v>
      </c>
      <c r="X70" s="100">
        <v>5</v>
      </c>
      <c r="Y70" s="100">
        <v>5</v>
      </c>
      <c r="Z70" s="100">
        <v>5</v>
      </c>
      <c r="AA70" s="100">
        <v>5</v>
      </c>
    </row>
    <row r="71" spans="1:30" x14ac:dyDescent="0.35">
      <c r="A71" s="100" t="s">
        <v>7</v>
      </c>
      <c r="B71" s="100">
        <v>0</v>
      </c>
      <c r="C71" s="100">
        <v>0</v>
      </c>
      <c r="D71" s="100">
        <v>25</v>
      </c>
      <c r="E71" s="100">
        <v>25</v>
      </c>
      <c r="F71" s="100">
        <v>0</v>
      </c>
      <c r="G71" s="100">
        <v>0</v>
      </c>
      <c r="H71" s="100">
        <v>0</v>
      </c>
      <c r="I71" s="100">
        <v>0</v>
      </c>
      <c r="J71" s="100">
        <v>0</v>
      </c>
      <c r="K71" s="100">
        <v>0</v>
      </c>
      <c r="L71" s="100">
        <v>0</v>
      </c>
      <c r="M71" s="100">
        <v>0</v>
      </c>
      <c r="N71" s="100">
        <v>0</v>
      </c>
      <c r="O71" s="100">
        <v>0</v>
      </c>
      <c r="P71" s="100">
        <v>0</v>
      </c>
      <c r="Q71" s="100">
        <v>0</v>
      </c>
      <c r="R71" s="100">
        <v>0</v>
      </c>
      <c r="S71" s="100">
        <v>0</v>
      </c>
      <c r="T71" s="100">
        <v>0</v>
      </c>
      <c r="U71" s="100">
        <v>0</v>
      </c>
      <c r="V71" s="100">
        <v>0</v>
      </c>
      <c r="W71" s="100">
        <v>0</v>
      </c>
      <c r="X71" s="100">
        <v>0</v>
      </c>
      <c r="Y71" s="100">
        <v>0</v>
      </c>
      <c r="Z71" s="100">
        <v>0</v>
      </c>
      <c r="AA71" s="100">
        <v>0</v>
      </c>
    </row>
    <row r="72" spans="1:30" x14ac:dyDescent="0.35">
      <c r="A72" s="100" t="s">
        <v>8</v>
      </c>
      <c r="B72" s="100">
        <v>0</v>
      </c>
      <c r="C72" s="100">
        <v>0</v>
      </c>
      <c r="D72" s="100">
        <v>0</v>
      </c>
      <c r="E72" s="100">
        <v>0</v>
      </c>
      <c r="F72" s="100">
        <v>0</v>
      </c>
      <c r="G72" s="100">
        <v>0</v>
      </c>
      <c r="H72" s="100">
        <v>0</v>
      </c>
      <c r="I72" s="100">
        <v>0</v>
      </c>
      <c r="J72" s="100">
        <v>0</v>
      </c>
      <c r="K72" s="100">
        <v>0</v>
      </c>
      <c r="L72" s="100">
        <v>0</v>
      </c>
      <c r="M72" s="100">
        <v>0</v>
      </c>
      <c r="N72" s="100">
        <v>0</v>
      </c>
      <c r="O72" s="100">
        <v>0</v>
      </c>
      <c r="P72" s="100">
        <v>0</v>
      </c>
      <c r="Q72" s="100">
        <v>0</v>
      </c>
      <c r="R72" s="100">
        <v>0</v>
      </c>
      <c r="S72" s="100">
        <v>0</v>
      </c>
      <c r="T72" s="100">
        <v>0</v>
      </c>
      <c r="U72" s="100">
        <v>0</v>
      </c>
      <c r="V72" s="100">
        <v>0</v>
      </c>
      <c r="W72" s="100">
        <v>0</v>
      </c>
      <c r="X72" s="100">
        <v>0</v>
      </c>
      <c r="Y72" s="100">
        <v>0</v>
      </c>
      <c r="Z72" s="100">
        <v>0</v>
      </c>
      <c r="AA72" s="100">
        <v>0</v>
      </c>
    </row>
    <row r="73" spans="1:30" x14ac:dyDescent="0.35">
      <c r="A73" s="100" t="s">
        <v>9</v>
      </c>
      <c r="B73" s="100">
        <v>0</v>
      </c>
      <c r="C73" s="100">
        <v>0</v>
      </c>
      <c r="D73" s="100">
        <v>0</v>
      </c>
      <c r="E73" s="100">
        <v>0</v>
      </c>
      <c r="F73" s="100">
        <v>0</v>
      </c>
      <c r="G73" s="100">
        <v>0</v>
      </c>
      <c r="H73" s="100">
        <v>0</v>
      </c>
      <c r="I73" s="100">
        <v>0</v>
      </c>
      <c r="J73" s="100">
        <v>12.5</v>
      </c>
      <c r="K73" s="100">
        <v>12.5</v>
      </c>
      <c r="L73" s="100">
        <v>12.5</v>
      </c>
      <c r="M73" s="100">
        <v>12.5</v>
      </c>
      <c r="N73" s="100">
        <v>12.5</v>
      </c>
      <c r="O73" s="100">
        <v>12.5</v>
      </c>
      <c r="P73" s="100">
        <v>12.5</v>
      </c>
      <c r="Q73" s="100">
        <v>12.5</v>
      </c>
      <c r="R73" s="100">
        <v>12.5</v>
      </c>
      <c r="S73" s="100">
        <v>12.5</v>
      </c>
      <c r="T73" s="100">
        <v>25</v>
      </c>
      <c r="U73" s="100">
        <v>25</v>
      </c>
      <c r="V73" s="100">
        <v>25</v>
      </c>
      <c r="W73" s="100">
        <v>25</v>
      </c>
      <c r="X73" s="100">
        <v>25</v>
      </c>
      <c r="Y73" s="100">
        <v>25</v>
      </c>
      <c r="Z73" s="100">
        <v>25</v>
      </c>
      <c r="AA73" s="100">
        <v>25</v>
      </c>
    </row>
    <row r="74" spans="1:30" x14ac:dyDescent="0.35">
      <c r="A74" s="100" t="s">
        <v>10</v>
      </c>
      <c r="B74" s="100">
        <v>0</v>
      </c>
      <c r="C74" s="100">
        <v>0</v>
      </c>
      <c r="D74" s="100">
        <v>0</v>
      </c>
      <c r="E74" s="100">
        <v>0</v>
      </c>
      <c r="F74" s="100">
        <v>0</v>
      </c>
      <c r="G74" s="100">
        <v>0</v>
      </c>
      <c r="H74" s="100">
        <v>0</v>
      </c>
      <c r="I74" s="100">
        <v>0</v>
      </c>
      <c r="J74" s="100">
        <v>0</v>
      </c>
      <c r="K74" s="100">
        <v>0</v>
      </c>
      <c r="L74" s="100">
        <v>0</v>
      </c>
      <c r="M74" s="100">
        <v>0</v>
      </c>
      <c r="N74" s="100">
        <v>0</v>
      </c>
      <c r="O74" s="100">
        <v>0</v>
      </c>
      <c r="P74" s="100">
        <v>0</v>
      </c>
      <c r="Q74" s="100">
        <v>0</v>
      </c>
      <c r="R74" s="100">
        <v>0</v>
      </c>
      <c r="S74" s="100">
        <v>0</v>
      </c>
      <c r="T74" s="100">
        <v>0</v>
      </c>
      <c r="U74" s="100">
        <v>0</v>
      </c>
      <c r="V74" s="100">
        <v>0</v>
      </c>
      <c r="W74" s="100">
        <v>25</v>
      </c>
      <c r="X74" s="100">
        <v>25</v>
      </c>
      <c r="Y74" s="100">
        <v>25</v>
      </c>
      <c r="Z74" s="100">
        <v>25</v>
      </c>
      <c r="AA74" s="100">
        <v>25</v>
      </c>
    </row>
    <row r="75" spans="1:30" x14ac:dyDescent="0.35">
      <c r="A75" s="100" t="s">
        <v>11</v>
      </c>
      <c r="B75" s="100">
        <v>0</v>
      </c>
      <c r="C75" s="100">
        <v>0</v>
      </c>
      <c r="D75" s="100">
        <v>0</v>
      </c>
      <c r="E75" s="100">
        <v>0</v>
      </c>
      <c r="F75" s="100">
        <v>0</v>
      </c>
      <c r="G75" s="100">
        <v>0</v>
      </c>
      <c r="H75" s="100">
        <v>0</v>
      </c>
      <c r="I75" s="100">
        <v>25</v>
      </c>
      <c r="J75" s="100">
        <v>25</v>
      </c>
      <c r="K75" s="100">
        <v>25</v>
      </c>
      <c r="L75" s="100">
        <v>25</v>
      </c>
      <c r="M75" s="100">
        <v>25</v>
      </c>
      <c r="N75" s="100">
        <v>25</v>
      </c>
      <c r="O75" s="100">
        <v>25</v>
      </c>
      <c r="P75" s="100">
        <v>25</v>
      </c>
      <c r="Q75" s="100">
        <v>25</v>
      </c>
      <c r="R75" s="100">
        <v>25</v>
      </c>
      <c r="S75" s="100">
        <v>25</v>
      </c>
      <c r="T75" s="100">
        <v>25</v>
      </c>
      <c r="U75" s="100">
        <v>25</v>
      </c>
      <c r="V75" s="100">
        <v>25</v>
      </c>
      <c r="W75" s="100">
        <v>25</v>
      </c>
      <c r="X75" s="100">
        <v>25</v>
      </c>
      <c r="Y75" s="100">
        <v>25</v>
      </c>
      <c r="Z75" s="100">
        <v>25</v>
      </c>
      <c r="AA75" s="100">
        <v>25</v>
      </c>
    </row>
    <row r="76" spans="1:30" x14ac:dyDescent="0.35">
      <c r="A76" s="100" t="s">
        <v>12</v>
      </c>
      <c r="B76" s="100">
        <v>0</v>
      </c>
      <c r="C76" s="100">
        <v>0</v>
      </c>
      <c r="D76" s="100">
        <v>0</v>
      </c>
      <c r="E76" s="100">
        <v>0</v>
      </c>
      <c r="F76" s="100">
        <v>0</v>
      </c>
      <c r="G76" s="100">
        <v>0</v>
      </c>
      <c r="H76" s="100">
        <v>0</v>
      </c>
      <c r="I76" s="100">
        <v>0</v>
      </c>
      <c r="J76" s="100">
        <v>0</v>
      </c>
      <c r="K76" s="100">
        <v>25</v>
      </c>
      <c r="L76" s="100">
        <v>25</v>
      </c>
      <c r="M76" s="100">
        <v>0</v>
      </c>
      <c r="N76" s="100">
        <v>0</v>
      </c>
      <c r="O76" s="100">
        <v>0</v>
      </c>
      <c r="P76" s="100">
        <v>0</v>
      </c>
      <c r="Q76" s="100">
        <v>0</v>
      </c>
      <c r="R76" s="100">
        <v>0</v>
      </c>
      <c r="S76" s="100">
        <v>0</v>
      </c>
      <c r="T76" s="100">
        <v>0</v>
      </c>
      <c r="U76" s="100">
        <v>0</v>
      </c>
      <c r="V76" s="100">
        <v>0</v>
      </c>
      <c r="W76" s="100">
        <v>0</v>
      </c>
      <c r="X76" s="100">
        <v>0</v>
      </c>
      <c r="Y76" s="100">
        <v>0</v>
      </c>
      <c r="Z76" s="100">
        <v>0</v>
      </c>
      <c r="AA76" s="100">
        <v>0</v>
      </c>
    </row>
    <row r="77" spans="1:30" x14ac:dyDescent="0.35">
      <c r="A77" s="100" t="s">
        <v>13</v>
      </c>
      <c r="B77" s="100">
        <v>0</v>
      </c>
      <c r="C77" s="100">
        <v>0</v>
      </c>
      <c r="D77" s="100">
        <v>0</v>
      </c>
      <c r="E77" s="100">
        <v>0</v>
      </c>
      <c r="F77" s="100">
        <v>0</v>
      </c>
      <c r="G77" s="100">
        <v>0</v>
      </c>
      <c r="H77" s="100">
        <v>0</v>
      </c>
      <c r="I77" s="100">
        <v>0</v>
      </c>
      <c r="J77" s="100">
        <v>0</v>
      </c>
      <c r="K77" s="100">
        <v>0</v>
      </c>
      <c r="L77" s="100">
        <v>0</v>
      </c>
      <c r="M77" s="100">
        <v>0</v>
      </c>
      <c r="N77" s="100">
        <v>0</v>
      </c>
      <c r="O77" s="100">
        <v>0</v>
      </c>
      <c r="P77" s="100">
        <v>0</v>
      </c>
      <c r="Q77" s="100">
        <v>0</v>
      </c>
      <c r="R77" s="100">
        <v>0</v>
      </c>
      <c r="S77" s="100">
        <v>0</v>
      </c>
      <c r="T77" s="100">
        <v>0</v>
      </c>
      <c r="U77" s="100">
        <v>0</v>
      </c>
      <c r="V77" s="100">
        <v>0</v>
      </c>
      <c r="W77" s="100">
        <v>0</v>
      </c>
      <c r="X77" s="100">
        <v>0</v>
      </c>
      <c r="Y77" s="100">
        <v>0</v>
      </c>
      <c r="Z77" s="100">
        <v>0</v>
      </c>
      <c r="AA77" s="100">
        <v>0</v>
      </c>
    </row>
    <row r="78" spans="1:30" x14ac:dyDescent="0.35">
      <c r="A78" s="100" t="s">
        <v>14</v>
      </c>
      <c r="B78" s="100">
        <v>0</v>
      </c>
      <c r="C78" s="100">
        <v>0</v>
      </c>
      <c r="D78" s="100">
        <v>0</v>
      </c>
      <c r="E78" s="100">
        <v>0</v>
      </c>
      <c r="F78" s="100">
        <v>0</v>
      </c>
      <c r="G78" s="100">
        <v>0</v>
      </c>
      <c r="H78" s="100">
        <v>0</v>
      </c>
      <c r="I78" s="100">
        <v>0</v>
      </c>
      <c r="J78" s="100">
        <v>0</v>
      </c>
      <c r="K78" s="100">
        <v>0</v>
      </c>
      <c r="L78" s="100">
        <v>0</v>
      </c>
      <c r="M78" s="100">
        <v>0</v>
      </c>
      <c r="N78" s="100">
        <v>0</v>
      </c>
      <c r="O78" s="100">
        <v>0</v>
      </c>
      <c r="P78" s="100">
        <v>25</v>
      </c>
      <c r="Q78" s="100">
        <v>12.5</v>
      </c>
      <c r="R78" s="100">
        <v>12.5</v>
      </c>
      <c r="S78" s="100">
        <v>12.5</v>
      </c>
      <c r="T78" s="100">
        <v>12.5</v>
      </c>
      <c r="U78" s="100">
        <v>12.5</v>
      </c>
      <c r="V78" s="100">
        <v>12.5</v>
      </c>
      <c r="W78" s="100">
        <v>12.5</v>
      </c>
      <c r="X78" s="100">
        <v>12.5</v>
      </c>
      <c r="Y78" s="100">
        <v>12.5</v>
      </c>
      <c r="Z78" s="100">
        <v>12.5</v>
      </c>
      <c r="AA78" s="100">
        <v>12.5</v>
      </c>
    </row>
    <row r="79" spans="1:30" x14ac:dyDescent="0.35">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row>
    <row r="80" spans="1:30" x14ac:dyDescent="0.35">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row>
    <row r="81" spans="1:30" x14ac:dyDescent="0.35">
      <c r="A81" s="101" t="s">
        <v>16</v>
      </c>
      <c r="B81" s="101"/>
      <c r="C81" s="101"/>
      <c r="D81" s="101"/>
      <c r="E81" s="101"/>
      <c r="F81" s="101"/>
      <c r="G81" s="100"/>
      <c r="H81" s="100"/>
      <c r="I81" s="100"/>
      <c r="J81" s="100"/>
      <c r="K81" s="100"/>
      <c r="L81" s="100" t="s">
        <v>17</v>
      </c>
      <c r="M81" s="100"/>
      <c r="N81" s="100"/>
      <c r="O81" s="100"/>
      <c r="P81" s="100"/>
      <c r="Q81" s="100"/>
      <c r="R81" s="100"/>
      <c r="S81" s="100"/>
      <c r="T81" s="100"/>
      <c r="U81" s="100"/>
      <c r="V81" s="100"/>
      <c r="W81" s="100"/>
      <c r="X81" s="100"/>
      <c r="Y81" s="100"/>
      <c r="Z81" s="100"/>
      <c r="AA81" s="100"/>
    </row>
    <row r="82" spans="1:30" x14ac:dyDescent="0.35">
      <c r="A82" s="100"/>
      <c r="B82" s="102">
        <v>1990</v>
      </c>
      <c r="C82" s="102">
        <v>1991</v>
      </c>
      <c r="D82" s="102">
        <v>1992</v>
      </c>
      <c r="E82" s="102">
        <v>1993</v>
      </c>
      <c r="F82" s="102">
        <v>1994</v>
      </c>
      <c r="G82" s="102">
        <v>1995</v>
      </c>
      <c r="H82" s="102">
        <v>1996</v>
      </c>
      <c r="I82" s="102">
        <v>1997</v>
      </c>
      <c r="J82" s="102">
        <v>1998</v>
      </c>
      <c r="K82" s="102">
        <v>1999</v>
      </c>
      <c r="L82" s="102">
        <v>2000</v>
      </c>
      <c r="M82" s="102">
        <v>2001</v>
      </c>
      <c r="N82" s="102">
        <v>2002</v>
      </c>
      <c r="O82" s="102">
        <v>2003</v>
      </c>
      <c r="P82" s="102">
        <v>2004</v>
      </c>
      <c r="Q82" s="102">
        <v>2005</v>
      </c>
      <c r="R82" s="102">
        <v>2006</v>
      </c>
      <c r="S82" s="102">
        <v>2007</v>
      </c>
      <c r="T82" s="102">
        <v>2008</v>
      </c>
      <c r="U82" s="102">
        <v>2009</v>
      </c>
      <c r="V82" s="102">
        <v>2010</v>
      </c>
      <c r="W82" s="102">
        <v>2011</v>
      </c>
      <c r="X82" s="102">
        <v>2012</v>
      </c>
      <c r="Y82" s="102">
        <v>2013</v>
      </c>
      <c r="Z82" s="102">
        <v>2014</v>
      </c>
      <c r="AA82" s="102">
        <v>2015</v>
      </c>
      <c r="AC82" s="7"/>
      <c r="AD82" s="7"/>
    </row>
    <row r="83" spans="1:30" x14ac:dyDescent="0.35">
      <c r="A83" s="100" t="s">
        <v>1</v>
      </c>
      <c r="B83" s="100">
        <v>0</v>
      </c>
      <c r="C83" s="100">
        <v>0</v>
      </c>
      <c r="D83" s="100">
        <v>0</v>
      </c>
      <c r="E83" s="100">
        <v>0</v>
      </c>
      <c r="F83" s="100">
        <v>0</v>
      </c>
      <c r="G83" s="100">
        <v>25</v>
      </c>
      <c r="H83" s="100">
        <v>25</v>
      </c>
      <c r="I83" s="100">
        <v>25</v>
      </c>
      <c r="J83" s="100">
        <v>25</v>
      </c>
      <c r="K83" s="100">
        <v>25</v>
      </c>
      <c r="L83" s="100">
        <v>25</v>
      </c>
      <c r="M83" s="100">
        <v>25</v>
      </c>
      <c r="N83" s="100">
        <v>25</v>
      </c>
      <c r="O83" s="100">
        <v>25</v>
      </c>
      <c r="P83" s="100">
        <v>25</v>
      </c>
      <c r="Q83" s="100">
        <v>25</v>
      </c>
      <c r="R83" s="100">
        <v>25</v>
      </c>
      <c r="S83" s="100">
        <v>25</v>
      </c>
      <c r="T83" s="100">
        <v>25</v>
      </c>
      <c r="U83" s="100">
        <v>25</v>
      </c>
      <c r="V83" s="100">
        <v>25</v>
      </c>
      <c r="W83" s="100">
        <v>25</v>
      </c>
      <c r="X83" s="100">
        <v>25</v>
      </c>
      <c r="Y83" s="100">
        <v>25</v>
      </c>
      <c r="Z83" s="100">
        <v>25</v>
      </c>
      <c r="AA83" s="100">
        <v>25</v>
      </c>
      <c r="AC83" s="7"/>
      <c r="AD83" s="7"/>
    </row>
    <row r="84" spans="1:30" x14ac:dyDescent="0.35">
      <c r="A84" s="100" t="s">
        <v>2</v>
      </c>
      <c r="B84" s="100">
        <v>0</v>
      </c>
      <c r="C84" s="100">
        <v>0</v>
      </c>
      <c r="D84" s="100">
        <v>0</v>
      </c>
      <c r="E84" s="100">
        <v>0</v>
      </c>
      <c r="F84" s="100">
        <v>0</v>
      </c>
      <c r="G84" s="100">
        <v>12.5</v>
      </c>
      <c r="H84" s="100">
        <v>12.5</v>
      </c>
      <c r="I84" s="100">
        <v>12.5</v>
      </c>
      <c r="J84" s="100">
        <v>12.5</v>
      </c>
      <c r="K84" s="100">
        <v>12.5</v>
      </c>
      <c r="L84" s="100">
        <v>25</v>
      </c>
      <c r="M84" s="100">
        <v>25</v>
      </c>
      <c r="N84" s="100">
        <v>25</v>
      </c>
      <c r="O84" s="100">
        <v>25</v>
      </c>
      <c r="P84" s="100">
        <v>25</v>
      </c>
      <c r="Q84" s="100">
        <v>25</v>
      </c>
      <c r="R84" s="100">
        <v>25</v>
      </c>
      <c r="S84" s="100">
        <v>25</v>
      </c>
      <c r="T84" s="100">
        <v>25</v>
      </c>
      <c r="U84" s="100">
        <v>25</v>
      </c>
      <c r="V84" s="100">
        <v>25</v>
      </c>
      <c r="W84" s="100">
        <v>25</v>
      </c>
      <c r="X84" s="100">
        <v>25</v>
      </c>
      <c r="Y84" s="100">
        <v>25</v>
      </c>
      <c r="Z84" s="100">
        <v>25</v>
      </c>
      <c r="AA84" s="100">
        <v>25</v>
      </c>
      <c r="AC84" s="7"/>
      <c r="AD84" s="7"/>
    </row>
    <row r="85" spans="1:30" x14ac:dyDescent="0.35">
      <c r="A85" s="100" t="s">
        <v>3</v>
      </c>
      <c r="B85" s="100">
        <v>0</v>
      </c>
      <c r="C85" s="100">
        <v>0</v>
      </c>
      <c r="D85" s="100">
        <v>0</v>
      </c>
      <c r="E85" s="100">
        <v>0</v>
      </c>
      <c r="F85" s="100">
        <v>0</v>
      </c>
      <c r="G85" s="100">
        <v>0</v>
      </c>
      <c r="H85" s="100">
        <v>0</v>
      </c>
      <c r="I85" s="100">
        <v>0</v>
      </c>
      <c r="J85" s="100">
        <v>0</v>
      </c>
      <c r="K85" s="100">
        <v>6.25</v>
      </c>
      <c r="L85" s="100">
        <v>12.5</v>
      </c>
      <c r="M85" s="100">
        <v>12.5</v>
      </c>
      <c r="N85" s="100">
        <v>12.5</v>
      </c>
      <c r="O85" s="100">
        <v>12.5</v>
      </c>
      <c r="P85" s="100">
        <v>12.5</v>
      </c>
      <c r="Q85" s="100">
        <v>12.5</v>
      </c>
      <c r="R85" s="100">
        <v>12.5</v>
      </c>
      <c r="S85" s="100">
        <v>12.5</v>
      </c>
      <c r="T85" s="100">
        <v>12.5</v>
      </c>
      <c r="U85" s="100">
        <v>12.5</v>
      </c>
      <c r="V85" s="100">
        <v>12.5</v>
      </c>
      <c r="W85" s="100">
        <v>12.5</v>
      </c>
      <c r="X85" s="100">
        <v>12.5</v>
      </c>
      <c r="Y85" s="100">
        <v>12.5</v>
      </c>
      <c r="Z85" s="100">
        <v>12.5</v>
      </c>
      <c r="AA85" s="100">
        <v>12.5</v>
      </c>
      <c r="AC85" s="7"/>
      <c r="AD85" s="7"/>
    </row>
    <row r="86" spans="1:30" x14ac:dyDescent="0.35">
      <c r="A86" s="100" t="s">
        <v>40</v>
      </c>
      <c r="B86" s="100">
        <v>0</v>
      </c>
      <c r="C86" s="100">
        <v>0</v>
      </c>
      <c r="D86" s="100">
        <v>0</v>
      </c>
      <c r="E86" s="100">
        <v>0</v>
      </c>
      <c r="F86" s="100">
        <v>0</v>
      </c>
      <c r="G86" s="100">
        <v>6.25</v>
      </c>
      <c r="H86" s="100">
        <v>6.25</v>
      </c>
      <c r="I86" s="100">
        <v>6.25</v>
      </c>
      <c r="J86" s="100">
        <v>6.25</v>
      </c>
      <c r="K86" s="100">
        <v>12.5</v>
      </c>
      <c r="L86" s="100">
        <v>12.5</v>
      </c>
      <c r="M86" s="100">
        <v>12.5</v>
      </c>
      <c r="N86" s="100">
        <v>12.5</v>
      </c>
      <c r="O86" s="100">
        <v>12.5</v>
      </c>
      <c r="P86" s="100">
        <v>12.5</v>
      </c>
      <c r="Q86" s="100">
        <v>12.5</v>
      </c>
      <c r="R86" s="100">
        <v>12.5</v>
      </c>
      <c r="S86" s="100">
        <v>12.5</v>
      </c>
      <c r="T86" s="100">
        <v>25</v>
      </c>
      <c r="U86" s="100">
        <v>25</v>
      </c>
      <c r="V86" s="100">
        <v>25</v>
      </c>
      <c r="W86" s="100">
        <v>25</v>
      </c>
      <c r="X86" s="100">
        <v>25</v>
      </c>
      <c r="Y86" s="100">
        <v>25</v>
      </c>
      <c r="Z86" s="100">
        <v>25</v>
      </c>
      <c r="AA86" s="100">
        <v>25</v>
      </c>
      <c r="AC86" s="7"/>
      <c r="AD86" s="7"/>
    </row>
    <row r="87" spans="1:30" x14ac:dyDescent="0.35">
      <c r="A87" s="100" t="s">
        <v>41</v>
      </c>
      <c r="B87" s="100">
        <v>0</v>
      </c>
      <c r="C87" s="100">
        <v>0</v>
      </c>
      <c r="D87" s="100">
        <v>0</v>
      </c>
      <c r="E87" s="100">
        <v>0</v>
      </c>
      <c r="F87" s="100">
        <v>0</v>
      </c>
      <c r="G87" s="100">
        <v>12.5</v>
      </c>
      <c r="H87" s="100">
        <v>12.5</v>
      </c>
      <c r="I87" s="100">
        <v>12.5</v>
      </c>
      <c r="J87" s="100">
        <v>12.5</v>
      </c>
      <c r="K87" s="100">
        <v>12.5</v>
      </c>
      <c r="L87" s="100">
        <v>12.5</v>
      </c>
      <c r="M87" s="100">
        <v>12.5</v>
      </c>
      <c r="N87" s="100">
        <v>12.5</v>
      </c>
      <c r="O87" s="100">
        <v>12.5</v>
      </c>
      <c r="P87" s="100">
        <v>12.5</v>
      </c>
      <c r="Q87" s="100">
        <v>12.5</v>
      </c>
      <c r="R87" s="100">
        <v>12.5</v>
      </c>
      <c r="S87" s="100">
        <v>12.5</v>
      </c>
      <c r="T87" s="100">
        <v>25</v>
      </c>
      <c r="U87" s="100">
        <v>25</v>
      </c>
      <c r="V87" s="100">
        <v>25</v>
      </c>
      <c r="W87" s="100">
        <v>25</v>
      </c>
      <c r="X87" s="100">
        <v>25</v>
      </c>
      <c r="Y87" s="100">
        <v>25</v>
      </c>
      <c r="Z87" s="100">
        <v>25</v>
      </c>
      <c r="AA87" s="100">
        <v>25</v>
      </c>
      <c r="AC87" s="7"/>
      <c r="AD87" s="7"/>
    </row>
    <row r="88" spans="1:30" x14ac:dyDescent="0.35">
      <c r="A88" s="100" t="s">
        <v>42</v>
      </c>
      <c r="B88" s="100">
        <v>0</v>
      </c>
      <c r="C88" s="100">
        <v>0</v>
      </c>
      <c r="D88" s="100">
        <v>0</v>
      </c>
      <c r="E88" s="100">
        <v>0</v>
      </c>
      <c r="F88" s="100">
        <v>0</v>
      </c>
      <c r="G88" s="100">
        <v>6.25</v>
      </c>
      <c r="H88" s="100">
        <v>6.25</v>
      </c>
      <c r="I88" s="100">
        <v>6.25</v>
      </c>
      <c r="J88" s="100">
        <v>6.25</v>
      </c>
      <c r="K88" s="100">
        <v>6.25</v>
      </c>
      <c r="L88" s="100">
        <v>6.25</v>
      </c>
      <c r="M88" s="100">
        <v>6.25</v>
      </c>
      <c r="N88" s="100">
        <v>6.25</v>
      </c>
      <c r="O88" s="100">
        <v>6.25</v>
      </c>
      <c r="P88" s="100">
        <v>6.25</v>
      </c>
      <c r="Q88" s="100">
        <v>6.25</v>
      </c>
      <c r="R88" s="100">
        <v>6.25</v>
      </c>
      <c r="S88" s="100">
        <v>6.25</v>
      </c>
      <c r="T88" s="100">
        <v>25</v>
      </c>
      <c r="U88" s="100">
        <v>25</v>
      </c>
      <c r="V88" s="100">
        <v>25</v>
      </c>
      <c r="W88" s="100">
        <v>25</v>
      </c>
      <c r="X88" s="100">
        <v>25</v>
      </c>
      <c r="Y88" s="100">
        <v>25</v>
      </c>
      <c r="Z88" s="100">
        <v>25</v>
      </c>
      <c r="AA88" s="100">
        <v>25</v>
      </c>
      <c r="AC88" s="7"/>
      <c r="AD88" s="7"/>
    </row>
    <row r="89" spans="1:30" x14ac:dyDescent="0.35">
      <c r="A89" s="100" t="s">
        <v>4</v>
      </c>
      <c r="B89" s="100">
        <v>0</v>
      </c>
      <c r="C89" s="100">
        <v>0</v>
      </c>
      <c r="D89" s="100">
        <v>0</v>
      </c>
      <c r="E89" s="100">
        <v>0</v>
      </c>
      <c r="F89" s="100">
        <v>0</v>
      </c>
      <c r="G89" s="100">
        <v>0</v>
      </c>
      <c r="H89" s="100">
        <v>6.25</v>
      </c>
      <c r="I89" s="100">
        <v>12.5</v>
      </c>
      <c r="J89" s="100">
        <v>12.5</v>
      </c>
      <c r="K89" s="100">
        <v>12.5</v>
      </c>
      <c r="L89" s="100">
        <v>12.5</v>
      </c>
      <c r="M89" s="100">
        <v>12.5</v>
      </c>
      <c r="N89" s="100">
        <v>12.5</v>
      </c>
      <c r="O89" s="100">
        <v>12.5</v>
      </c>
      <c r="P89" s="100">
        <v>12.5</v>
      </c>
      <c r="Q89" s="100">
        <v>12.5</v>
      </c>
      <c r="R89" s="100">
        <v>12.5</v>
      </c>
      <c r="S89" s="100">
        <v>12.5</v>
      </c>
      <c r="T89" s="100">
        <v>12.5</v>
      </c>
      <c r="U89" s="100">
        <v>12.5</v>
      </c>
      <c r="V89" s="100">
        <v>12.5</v>
      </c>
      <c r="W89" s="100">
        <v>12.5</v>
      </c>
      <c r="X89" s="100">
        <v>12.5</v>
      </c>
      <c r="Y89" s="100">
        <v>12.5</v>
      </c>
      <c r="Z89" s="100">
        <v>12.5</v>
      </c>
      <c r="AA89" s="100">
        <v>12.5</v>
      </c>
      <c r="AC89" s="7"/>
      <c r="AD89" s="7"/>
    </row>
    <row r="90" spans="1:30" x14ac:dyDescent="0.35">
      <c r="A90" s="100" t="s">
        <v>5</v>
      </c>
      <c r="B90" s="100">
        <v>0</v>
      </c>
      <c r="C90" s="100">
        <v>0</v>
      </c>
      <c r="D90" s="100">
        <v>0</v>
      </c>
      <c r="E90" s="100">
        <v>0</v>
      </c>
      <c r="F90" s="100">
        <v>0</v>
      </c>
      <c r="G90" s="100">
        <v>0</v>
      </c>
      <c r="H90" s="100">
        <v>0</v>
      </c>
      <c r="I90" s="100">
        <v>12.5</v>
      </c>
      <c r="J90" s="100">
        <v>12.5</v>
      </c>
      <c r="K90" s="100">
        <v>12.5</v>
      </c>
      <c r="L90" s="100">
        <v>12.5</v>
      </c>
      <c r="M90" s="100">
        <v>12.5</v>
      </c>
      <c r="N90" s="100">
        <v>12.5</v>
      </c>
      <c r="O90" s="100">
        <v>12.5</v>
      </c>
      <c r="P90" s="100">
        <v>12.5</v>
      </c>
      <c r="Q90" s="100">
        <v>12.5</v>
      </c>
      <c r="R90" s="100">
        <v>12.5</v>
      </c>
      <c r="S90" s="100">
        <v>12.5</v>
      </c>
      <c r="T90" s="100">
        <v>12.5</v>
      </c>
      <c r="U90" s="100">
        <v>12.5</v>
      </c>
      <c r="V90" s="100">
        <v>18.75</v>
      </c>
      <c r="W90" s="100">
        <v>18.75</v>
      </c>
      <c r="X90" s="100">
        <v>18.75</v>
      </c>
      <c r="Y90" s="100">
        <v>18.75</v>
      </c>
      <c r="Z90" s="100">
        <v>18.75</v>
      </c>
      <c r="AA90" s="100">
        <v>18.75</v>
      </c>
      <c r="AC90" s="7"/>
      <c r="AD90" s="7"/>
    </row>
    <row r="91" spans="1:30" x14ac:dyDescent="0.35">
      <c r="A91" s="100" t="s">
        <v>6</v>
      </c>
      <c r="B91" s="100">
        <v>0</v>
      </c>
      <c r="C91" s="100">
        <v>0</v>
      </c>
      <c r="D91" s="100">
        <v>0</v>
      </c>
      <c r="E91" s="100">
        <v>0</v>
      </c>
      <c r="F91" s="100">
        <v>0</v>
      </c>
      <c r="G91" s="100">
        <v>6.25</v>
      </c>
      <c r="H91" s="100">
        <v>6.25</v>
      </c>
      <c r="I91" s="100">
        <v>12.5</v>
      </c>
      <c r="J91" s="100">
        <v>12.5</v>
      </c>
      <c r="K91" s="100">
        <v>12.5</v>
      </c>
      <c r="L91" s="100">
        <v>12.5</v>
      </c>
      <c r="M91" s="100">
        <v>12.5</v>
      </c>
      <c r="N91" s="100">
        <v>18.75</v>
      </c>
      <c r="O91" s="100">
        <v>18.75</v>
      </c>
      <c r="P91" s="100">
        <v>18.75</v>
      </c>
      <c r="Q91" s="100">
        <v>18.75</v>
      </c>
      <c r="R91" s="100">
        <v>18.75</v>
      </c>
      <c r="S91" s="100">
        <v>18.75</v>
      </c>
      <c r="T91" s="100">
        <v>18.75</v>
      </c>
      <c r="U91" s="100">
        <v>18.75</v>
      </c>
      <c r="V91" s="100">
        <v>18.75</v>
      </c>
      <c r="W91" s="100">
        <v>18.75</v>
      </c>
      <c r="X91" s="100">
        <v>18.75</v>
      </c>
      <c r="Y91" s="100">
        <v>18.75</v>
      </c>
      <c r="Z91" s="100">
        <v>18.75</v>
      </c>
      <c r="AA91" s="100">
        <v>18.75</v>
      </c>
      <c r="AC91" s="7"/>
      <c r="AD91" s="7"/>
    </row>
    <row r="92" spans="1:30" x14ac:dyDescent="0.35">
      <c r="A92" s="100" t="s">
        <v>7</v>
      </c>
      <c r="B92" s="100">
        <v>0</v>
      </c>
      <c r="C92" s="100">
        <v>0</v>
      </c>
      <c r="D92" s="100">
        <v>12.5</v>
      </c>
      <c r="E92" s="100">
        <v>12.5</v>
      </c>
      <c r="F92" s="100">
        <v>12.5</v>
      </c>
      <c r="G92" s="100">
        <v>25</v>
      </c>
      <c r="H92" s="100">
        <v>25</v>
      </c>
      <c r="I92" s="100">
        <v>25</v>
      </c>
      <c r="J92" s="100">
        <v>25</v>
      </c>
      <c r="K92" s="100">
        <v>25</v>
      </c>
      <c r="L92" s="100">
        <v>25</v>
      </c>
      <c r="M92" s="100">
        <v>25</v>
      </c>
      <c r="N92" s="100">
        <v>25</v>
      </c>
      <c r="O92" s="100">
        <v>25</v>
      </c>
      <c r="P92" s="100">
        <v>25</v>
      </c>
      <c r="Q92" s="100">
        <v>25</v>
      </c>
      <c r="R92" s="100">
        <v>25</v>
      </c>
      <c r="S92" s="100">
        <v>25</v>
      </c>
      <c r="T92" s="100">
        <v>25</v>
      </c>
      <c r="U92" s="100">
        <v>25</v>
      </c>
      <c r="V92" s="100">
        <v>25</v>
      </c>
      <c r="W92" s="100">
        <v>25</v>
      </c>
      <c r="X92" s="100">
        <v>25</v>
      </c>
      <c r="Y92" s="100">
        <v>25</v>
      </c>
      <c r="Z92" s="100">
        <v>25</v>
      </c>
      <c r="AA92" s="100">
        <v>25</v>
      </c>
      <c r="AC92" s="7"/>
      <c r="AD92" s="7"/>
    </row>
    <row r="93" spans="1:30" x14ac:dyDescent="0.35">
      <c r="A93" s="100" t="s">
        <v>8</v>
      </c>
      <c r="B93" s="100">
        <v>0</v>
      </c>
      <c r="C93" s="100">
        <v>0</v>
      </c>
      <c r="D93" s="100">
        <v>0</v>
      </c>
      <c r="E93" s="100">
        <v>0</v>
      </c>
      <c r="F93" s="100">
        <v>0</v>
      </c>
      <c r="G93" s="100">
        <v>6.25</v>
      </c>
      <c r="H93" s="100">
        <v>6.25</v>
      </c>
      <c r="I93" s="100">
        <v>6.25</v>
      </c>
      <c r="J93" s="100">
        <v>6.25</v>
      </c>
      <c r="K93" s="100">
        <v>6.25</v>
      </c>
      <c r="L93" s="100">
        <v>6.25</v>
      </c>
      <c r="M93" s="100">
        <v>12.5</v>
      </c>
      <c r="N93" s="100">
        <v>12.5</v>
      </c>
      <c r="O93" s="100">
        <v>12.5</v>
      </c>
      <c r="P93" s="100">
        <v>18.75</v>
      </c>
      <c r="Q93" s="100">
        <v>18.75</v>
      </c>
      <c r="R93" s="100">
        <v>25</v>
      </c>
      <c r="S93" s="100">
        <v>25</v>
      </c>
      <c r="T93" s="100">
        <v>25</v>
      </c>
      <c r="U93" s="100">
        <v>25</v>
      </c>
      <c r="V93" s="100">
        <v>25</v>
      </c>
      <c r="W93" s="100">
        <v>25</v>
      </c>
      <c r="X93" s="100">
        <v>25</v>
      </c>
      <c r="Y93" s="100">
        <v>25</v>
      </c>
      <c r="Z93" s="100">
        <v>25</v>
      </c>
      <c r="AA93" s="100">
        <v>25</v>
      </c>
      <c r="AC93" s="7"/>
      <c r="AD93" s="7"/>
    </row>
    <row r="94" spans="1:30" x14ac:dyDescent="0.35">
      <c r="A94" s="100" t="s">
        <v>9</v>
      </c>
      <c r="B94" s="100">
        <v>0</v>
      </c>
      <c r="C94" s="100">
        <v>0</v>
      </c>
      <c r="D94" s="100">
        <v>0</v>
      </c>
      <c r="E94" s="100">
        <v>0</v>
      </c>
      <c r="F94" s="100">
        <v>0</v>
      </c>
      <c r="G94" s="100">
        <v>0</v>
      </c>
      <c r="H94" s="100">
        <v>0</v>
      </c>
      <c r="I94" s="100">
        <v>6.25</v>
      </c>
      <c r="J94" s="100">
        <v>12.5</v>
      </c>
      <c r="K94" s="100">
        <v>12.5</v>
      </c>
      <c r="L94" s="100">
        <v>12.5</v>
      </c>
      <c r="M94" s="100">
        <v>12.5</v>
      </c>
      <c r="N94" s="100">
        <v>12.5</v>
      </c>
      <c r="O94" s="100">
        <v>12.5</v>
      </c>
      <c r="P94" s="100">
        <v>12.5</v>
      </c>
      <c r="Q94" s="100">
        <v>12.5</v>
      </c>
      <c r="R94" s="100">
        <v>12.5</v>
      </c>
      <c r="S94" s="100">
        <v>12.5</v>
      </c>
      <c r="T94" s="100">
        <v>12.5</v>
      </c>
      <c r="U94" s="100">
        <v>12.5</v>
      </c>
      <c r="V94" s="100">
        <v>12.5</v>
      </c>
      <c r="W94" s="100">
        <v>12.5</v>
      </c>
      <c r="X94" s="100">
        <v>18.75</v>
      </c>
      <c r="Y94" s="100">
        <v>18.75</v>
      </c>
      <c r="Z94" s="100">
        <v>18.75</v>
      </c>
      <c r="AA94" s="100">
        <v>18.75</v>
      </c>
      <c r="AC94" s="7"/>
      <c r="AD94" s="7"/>
    </row>
    <row r="95" spans="1:30" x14ac:dyDescent="0.35">
      <c r="A95" s="100" t="s">
        <v>10</v>
      </c>
      <c r="B95" s="100">
        <v>0</v>
      </c>
      <c r="C95" s="100">
        <v>0</v>
      </c>
      <c r="D95" s="100">
        <v>0</v>
      </c>
      <c r="E95" s="100">
        <v>0</v>
      </c>
      <c r="F95" s="100">
        <v>0</v>
      </c>
      <c r="G95" s="100">
        <v>0</v>
      </c>
      <c r="H95" s="100">
        <v>0</v>
      </c>
      <c r="I95" s="100">
        <v>0</v>
      </c>
      <c r="J95" s="100">
        <v>0</v>
      </c>
      <c r="K95" s="100">
        <v>0</v>
      </c>
      <c r="L95" s="100">
        <v>0</v>
      </c>
      <c r="M95" s="100">
        <v>0</v>
      </c>
      <c r="N95" s="100">
        <v>0</v>
      </c>
      <c r="O95" s="100">
        <v>0</v>
      </c>
      <c r="P95" s="100">
        <v>0</v>
      </c>
      <c r="Q95" s="100">
        <v>0</v>
      </c>
      <c r="R95" s="100">
        <v>6.25</v>
      </c>
      <c r="S95" s="100">
        <v>6.25</v>
      </c>
      <c r="T95" s="100">
        <v>6.25</v>
      </c>
      <c r="U95" s="100">
        <v>6.25</v>
      </c>
      <c r="V95" s="100">
        <v>6.25</v>
      </c>
      <c r="W95" s="100">
        <v>6.25</v>
      </c>
      <c r="X95" s="100">
        <v>6.25</v>
      </c>
      <c r="Y95" s="100">
        <v>6.25</v>
      </c>
      <c r="Z95" s="100">
        <v>6.25</v>
      </c>
      <c r="AA95" s="100">
        <v>6.25</v>
      </c>
      <c r="AC95" s="7"/>
      <c r="AD95" s="7"/>
    </row>
    <row r="96" spans="1:30" x14ac:dyDescent="0.35">
      <c r="A96" s="100" t="s">
        <v>11</v>
      </c>
      <c r="B96" s="100">
        <v>0</v>
      </c>
      <c r="C96" s="100">
        <v>0</v>
      </c>
      <c r="D96" s="100">
        <v>0</v>
      </c>
      <c r="E96" s="100">
        <v>0</v>
      </c>
      <c r="F96" s="100">
        <v>0</v>
      </c>
      <c r="G96" s="100">
        <v>6.25</v>
      </c>
      <c r="H96" s="100">
        <v>6.25</v>
      </c>
      <c r="I96" s="100">
        <v>6.25</v>
      </c>
      <c r="J96" s="100">
        <v>6.25</v>
      </c>
      <c r="K96" s="100">
        <v>6.25</v>
      </c>
      <c r="L96" s="100">
        <v>6.25</v>
      </c>
      <c r="M96" s="100">
        <v>6.25</v>
      </c>
      <c r="N96" s="100">
        <v>6.25</v>
      </c>
      <c r="O96" s="100">
        <v>6.25</v>
      </c>
      <c r="P96" s="100">
        <v>6.25</v>
      </c>
      <c r="Q96" s="100">
        <v>6.25</v>
      </c>
      <c r="R96" s="100">
        <v>6.25</v>
      </c>
      <c r="S96" s="100">
        <v>6.25</v>
      </c>
      <c r="T96" s="100">
        <v>6.25</v>
      </c>
      <c r="U96" s="100">
        <v>6.25</v>
      </c>
      <c r="V96" s="100">
        <v>6.25</v>
      </c>
      <c r="W96" s="100">
        <v>6.25</v>
      </c>
      <c r="X96" s="100">
        <v>6.25</v>
      </c>
      <c r="Y96" s="100">
        <v>6.25</v>
      </c>
      <c r="Z96" s="100">
        <v>6.25</v>
      </c>
      <c r="AA96" s="100">
        <v>6.25</v>
      </c>
      <c r="AC96" s="7"/>
      <c r="AD96" s="7"/>
    </row>
    <row r="97" spans="1:30" x14ac:dyDescent="0.35">
      <c r="A97" s="100" t="s">
        <v>12</v>
      </c>
      <c r="B97" s="100">
        <v>0</v>
      </c>
      <c r="C97" s="100">
        <v>0</v>
      </c>
      <c r="D97" s="100">
        <v>0</v>
      </c>
      <c r="E97" s="100">
        <v>0</v>
      </c>
      <c r="F97" s="100">
        <v>0</v>
      </c>
      <c r="G97" s="100">
        <v>0</v>
      </c>
      <c r="H97" s="100">
        <v>0</v>
      </c>
      <c r="I97" s="100">
        <v>0</v>
      </c>
      <c r="J97" s="100">
        <v>0</v>
      </c>
      <c r="K97" s="100">
        <v>0</v>
      </c>
      <c r="L97" s="100">
        <v>0</v>
      </c>
      <c r="M97" s="100">
        <v>6.25</v>
      </c>
      <c r="N97" s="100">
        <v>6.25</v>
      </c>
      <c r="O97" s="100">
        <v>12.5</v>
      </c>
      <c r="P97" s="100">
        <v>12.5</v>
      </c>
      <c r="Q97" s="100">
        <v>12.5</v>
      </c>
      <c r="R97" s="100">
        <v>12.5</v>
      </c>
      <c r="S97" s="100">
        <v>12.5</v>
      </c>
      <c r="T97" s="100">
        <v>12.5</v>
      </c>
      <c r="U97" s="100">
        <v>12.5</v>
      </c>
      <c r="V97" s="100">
        <v>12.5</v>
      </c>
      <c r="W97" s="100">
        <v>12.5</v>
      </c>
      <c r="X97" s="100">
        <v>12.5</v>
      </c>
      <c r="Y97" s="100">
        <v>12.5</v>
      </c>
      <c r="Z97" s="100">
        <v>12.5</v>
      </c>
      <c r="AA97" s="100">
        <v>12.5</v>
      </c>
      <c r="AC97" s="7"/>
      <c r="AD97" s="7"/>
    </row>
    <row r="98" spans="1:30" x14ac:dyDescent="0.35">
      <c r="A98" s="100" t="s">
        <v>13</v>
      </c>
      <c r="B98" s="100">
        <v>0</v>
      </c>
      <c r="C98" s="100">
        <v>0</v>
      </c>
      <c r="D98" s="100">
        <v>0</v>
      </c>
      <c r="E98" s="100">
        <v>0</v>
      </c>
      <c r="F98" s="100">
        <v>0</v>
      </c>
      <c r="G98" s="100">
        <v>12.5</v>
      </c>
      <c r="H98" s="100">
        <v>25</v>
      </c>
      <c r="I98" s="100">
        <v>25</v>
      </c>
      <c r="J98" s="100">
        <v>25</v>
      </c>
      <c r="K98" s="100">
        <v>25</v>
      </c>
      <c r="L98" s="100">
        <v>25</v>
      </c>
      <c r="M98" s="100">
        <v>25</v>
      </c>
      <c r="N98" s="100">
        <v>25</v>
      </c>
      <c r="O98" s="100">
        <v>25</v>
      </c>
      <c r="P98" s="100">
        <v>25</v>
      </c>
      <c r="Q98" s="100">
        <v>25</v>
      </c>
      <c r="R98" s="100">
        <v>25</v>
      </c>
      <c r="S98" s="100">
        <v>25</v>
      </c>
      <c r="T98" s="100">
        <v>25</v>
      </c>
      <c r="U98" s="100">
        <v>25</v>
      </c>
      <c r="V98" s="100">
        <v>25</v>
      </c>
      <c r="W98" s="100">
        <v>25</v>
      </c>
      <c r="X98" s="100">
        <v>25</v>
      </c>
      <c r="Y98" s="100">
        <v>25</v>
      </c>
      <c r="Z98" s="100">
        <v>25</v>
      </c>
      <c r="AA98" s="100">
        <v>25</v>
      </c>
      <c r="AC98" s="7"/>
      <c r="AD98" s="7"/>
    </row>
    <row r="99" spans="1:30" x14ac:dyDescent="0.35">
      <c r="A99" s="100" t="s">
        <v>14</v>
      </c>
      <c r="B99" s="100">
        <v>0</v>
      </c>
      <c r="C99" s="100">
        <v>0</v>
      </c>
      <c r="D99" s="100">
        <v>0</v>
      </c>
      <c r="E99" s="100">
        <v>0</v>
      </c>
      <c r="F99" s="100">
        <v>0</v>
      </c>
      <c r="G99" s="100">
        <v>0</v>
      </c>
      <c r="H99" s="100">
        <v>0</v>
      </c>
      <c r="I99" s="100">
        <v>0</v>
      </c>
      <c r="J99" s="100">
        <v>6.25</v>
      </c>
      <c r="K99" s="100">
        <v>6.25</v>
      </c>
      <c r="L99" s="100">
        <v>6.25</v>
      </c>
      <c r="M99" s="100">
        <v>6.25</v>
      </c>
      <c r="N99" s="100">
        <v>6.25</v>
      </c>
      <c r="O99" s="100">
        <v>6.25</v>
      </c>
      <c r="P99" s="100">
        <v>6.25</v>
      </c>
      <c r="Q99" s="100">
        <v>6.25</v>
      </c>
      <c r="R99" s="100">
        <v>6.25</v>
      </c>
      <c r="S99" s="100">
        <v>6.25</v>
      </c>
      <c r="T99" s="100">
        <v>6.25</v>
      </c>
      <c r="U99" s="100">
        <v>12.5</v>
      </c>
      <c r="V99" s="100">
        <v>12.5</v>
      </c>
      <c r="W99" s="100">
        <v>12.5</v>
      </c>
      <c r="X99" s="100">
        <v>12.5</v>
      </c>
      <c r="Y99" s="100">
        <v>12.5</v>
      </c>
      <c r="Z99" s="100">
        <v>12.5</v>
      </c>
      <c r="AA99" s="100">
        <v>18.75</v>
      </c>
      <c r="AC99" s="7"/>
      <c r="AD99" s="7"/>
    </row>
    <row r="100" spans="1:30" x14ac:dyDescent="0.35">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c r="AC100" s="7"/>
      <c r="AD100" s="7"/>
    </row>
    <row r="101" spans="1:30" x14ac:dyDescent="0.35">
      <c r="A101" s="102" t="s">
        <v>46</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c r="AC101" s="7"/>
      <c r="AD101" s="7"/>
    </row>
    <row r="102" spans="1:30" x14ac:dyDescent="0.35">
      <c r="A102" s="100" t="s">
        <v>1</v>
      </c>
      <c r="B102" s="100">
        <v>0</v>
      </c>
      <c r="C102" s="100">
        <v>0</v>
      </c>
      <c r="D102" s="100">
        <v>0</v>
      </c>
      <c r="E102" s="100">
        <v>0</v>
      </c>
      <c r="F102" s="100">
        <v>0</v>
      </c>
      <c r="G102" s="100">
        <v>0</v>
      </c>
      <c r="H102" s="100">
        <v>0</v>
      </c>
      <c r="I102" s="100">
        <v>0</v>
      </c>
      <c r="J102" s="100">
        <v>0</v>
      </c>
      <c r="K102" s="100">
        <v>0</v>
      </c>
      <c r="L102" s="100">
        <v>0</v>
      </c>
      <c r="M102" s="100">
        <v>0</v>
      </c>
      <c r="N102" s="100">
        <v>0</v>
      </c>
      <c r="O102" s="100">
        <v>0</v>
      </c>
      <c r="P102" s="100">
        <v>0</v>
      </c>
      <c r="Q102" s="100">
        <v>0</v>
      </c>
      <c r="R102" s="100">
        <v>0</v>
      </c>
      <c r="S102" s="100">
        <v>0</v>
      </c>
      <c r="T102" s="100">
        <v>0</v>
      </c>
      <c r="U102" s="100">
        <v>0</v>
      </c>
      <c r="V102" s="100">
        <v>0</v>
      </c>
      <c r="W102" s="100">
        <v>0</v>
      </c>
      <c r="X102" s="100">
        <v>0</v>
      </c>
      <c r="Y102" s="100">
        <v>0</v>
      </c>
      <c r="Z102" s="100">
        <v>0</v>
      </c>
      <c r="AA102" s="100">
        <v>0</v>
      </c>
    </row>
    <row r="103" spans="1:30" x14ac:dyDescent="0.35">
      <c r="A103" s="100" t="s">
        <v>2</v>
      </c>
      <c r="B103" s="100">
        <v>0</v>
      </c>
      <c r="C103" s="100">
        <v>0</v>
      </c>
      <c r="D103" s="100">
        <v>0</v>
      </c>
      <c r="E103" s="100">
        <v>12.5</v>
      </c>
      <c r="F103" s="100">
        <v>12.5</v>
      </c>
      <c r="G103" s="100">
        <v>0</v>
      </c>
      <c r="H103" s="100">
        <v>0</v>
      </c>
      <c r="I103" s="100">
        <v>0</v>
      </c>
      <c r="J103" s="100">
        <v>0</v>
      </c>
      <c r="K103" s="100">
        <v>0</v>
      </c>
      <c r="L103" s="100">
        <v>0</v>
      </c>
      <c r="M103" s="100">
        <v>0</v>
      </c>
      <c r="N103" s="100">
        <v>0</v>
      </c>
      <c r="O103" s="100">
        <v>0</v>
      </c>
      <c r="P103" s="100">
        <v>0</v>
      </c>
      <c r="Q103" s="100">
        <v>0</v>
      </c>
      <c r="R103" s="100">
        <v>0</v>
      </c>
      <c r="S103" s="100">
        <v>0</v>
      </c>
      <c r="T103" s="100">
        <v>0</v>
      </c>
      <c r="U103" s="100">
        <v>0</v>
      </c>
      <c r="V103" s="100">
        <v>0</v>
      </c>
      <c r="W103" s="100">
        <v>0</v>
      </c>
      <c r="X103" s="100">
        <v>0</v>
      </c>
      <c r="Y103" s="100">
        <v>0</v>
      </c>
      <c r="Z103" s="100">
        <v>0</v>
      </c>
      <c r="AA103" s="100">
        <v>0</v>
      </c>
    </row>
    <row r="104" spans="1:30" x14ac:dyDescent="0.35">
      <c r="A104" s="100" t="s">
        <v>3</v>
      </c>
      <c r="B104" s="100">
        <v>0</v>
      </c>
      <c r="C104" s="100">
        <v>0</v>
      </c>
      <c r="D104" s="100">
        <v>0</v>
      </c>
      <c r="E104" s="100">
        <v>0</v>
      </c>
      <c r="F104" s="100">
        <v>0</v>
      </c>
      <c r="G104" s="100">
        <v>0</v>
      </c>
      <c r="H104" s="100">
        <v>0</v>
      </c>
      <c r="I104" s="100">
        <v>0</v>
      </c>
      <c r="J104" s="100">
        <v>0</v>
      </c>
      <c r="K104" s="100">
        <v>0</v>
      </c>
      <c r="L104" s="100">
        <v>12.5</v>
      </c>
      <c r="M104" s="100">
        <v>12.5</v>
      </c>
      <c r="N104" s="100">
        <v>12.5</v>
      </c>
      <c r="O104" s="100">
        <v>12.5</v>
      </c>
      <c r="P104" s="100">
        <v>12.5</v>
      </c>
      <c r="Q104" s="100">
        <v>12.5</v>
      </c>
      <c r="R104" s="100">
        <v>12.5</v>
      </c>
      <c r="S104" s="100">
        <v>12.5</v>
      </c>
      <c r="T104" s="100">
        <v>12.5</v>
      </c>
      <c r="U104" s="100">
        <v>12.5</v>
      </c>
      <c r="V104" s="100">
        <v>12.5</v>
      </c>
      <c r="W104" s="100">
        <v>12.5</v>
      </c>
      <c r="X104" s="100">
        <v>12.5</v>
      </c>
      <c r="Y104" s="100">
        <v>12.5</v>
      </c>
      <c r="Z104" s="100">
        <v>12.5</v>
      </c>
      <c r="AA104" s="100">
        <v>12.5</v>
      </c>
    </row>
    <row r="105" spans="1:30" x14ac:dyDescent="0.35">
      <c r="A105" s="100" t="s">
        <v>40</v>
      </c>
      <c r="B105" s="100">
        <v>0</v>
      </c>
      <c r="C105" s="100">
        <v>0</v>
      </c>
      <c r="D105" s="100">
        <v>0</v>
      </c>
      <c r="E105" s="100">
        <v>0</v>
      </c>
      <c r="F105" s="100">
        <v>0</v>
      </c>
      <c r="G105" s="100">
        <v>0</v>
      </c>
      <c r="H105" s="100">
        <v>0</v>
      </c>
      <c r="I105" s="100">
        <v>0</v>
      </c>
      <c r="J105" s="100">
        <v>0</v>
      </c>
      <c r="K105" s="100">
        <v>0</v>
      </c>
      <c r="L105" s="100">
        <v>0</v>
      </c>
      <c r="M105" s="100">
        <v>0</v>
      </c>
      <c r="N105" s="100">
        <v>0</v>
      </c>
      <c r="O105" s="100">
        <v>12.5</v>
      </c>
      <c r="P105" s="100">
        <v>12.5</v>
      </c>
      <c r="Q105" s="100">
        <v>12.5</v>
      </c>
      <c r="R105" s="100">
        <v>12.5</v>
      </c>
      <c r="S105" s="100">
        <v>12.5</v>
      </c>
      <c r="T105" s="100">
        <v>0</v>
      </c>
      <c r="U105" s="100">
        <v>0</v>
      </c>
      <c r="V105" s="100">
        <v>0</v>
      </c>
      <c r="W105" s="100">
        <v>0</v>
      </c>
      <c r="X105" s="100">
        <v>0</v>
      </c>
      <c r="Y105" s="100">
        <v>0</v>
      </c>
      <c r="Z105" s="100">
        <v>0</v>
      </c>
      <c r="AA105" s="100">
        <v>0</v>
      </c>
    </row>
    <row r="106" spans="1:30" x14ac:dyDescent="0.35">
      <c r="A106" s="100" t="s">
        <v>41</v>
      </c>
      <c r="B106" s="100">
        <v>0</v>
      </c>
      <c r="C106" s="100">
        <v>0</v>
      </c>
      <c r="D106" s="100">
        <v>0</v>
      </c>
      <c r="E106" s="100">
        <v>0</v>
      </c>
      <c r="F106" s="100">
        <v>0</v>
      </c>
      <c r="G106" s="100">
        <v>0</v>
      </c>
      <c r="H106" s="100">
        <v>0</v>
      </c>
      <c r="I106" s="100">
        <v>0</v>
      </c>
      <c r="J106" s="100">
        <v>0</v>
      </c>
      <c r="K106" s="100">
        <v>0</v>
      </c>
      <c r="L106" s="100">
        <v>0</v>
      </c>
      <c r="M106" s="100">
        <v>0</v>
      </c>
      <c r="N106" s="100">
        <v>0</v>
      </c>
      <c r="O106" s="100">
        <v>12.5</v>
      </c>
      <c r="P106" s="100">
        <v>12.5</v>
      </c>
      <c r="Q106" s="100">
        <v>12.5</v>
      </c>
      <c r="R106" s="100">
        <v>12.5</v>
      </c>
      <c r="S106" s="100">
        <v>12.5</v>
      </c>
      <c r="T106" s="100">
        <v>0</v>
      </c>
      <c r="U106" s="100">
        <v>0</v>
      </c>
      <c r="V106" s="100">
        <v>0</v>
      </c>
      <c r="W106" s="100">
        <v>0</v>
      </c>
      <c r="X106" s="100">
        <v>0</v>
      </c>
      <c r="Y106" s="100">
        <v>0</v>
      </c>
      <c r="Z106" s="100">
        <v>0</v>
      </c>
      <c r="AA106" s="100">
        <v>0</v>
      </c>
    </row>
    <row r="107" spans="1:30" x14ac:dyDescent="0.35">
      <c r="A107" s="100" t="s">
        <v>42</v>
      </c>
      <c r="B107" s="100">
        <v>0</v>
      </c>
      <c r="C107" s="100">
        <v>0</v>
      </c>
      <c r="D107" s="100">
        <v>0</v>
      </c>
      <c r="E107" s="100">
        <v>0</v>
      </c>
      <c r="F107" s="100">
        <v>0</v>
      </c>
      <c r="G107" s="100">
        <v>0</v>
      </c>
      <c r="H107" s="100">
        <v>0</v>
      </c>
      <c r="I107" s="100">
        <v>0</v>
      </c>
      <c r="J107" s="100">
        <v>0</v>
      </c>
      <c r="K107" s="100">
        <v>0</v>
      </c>
      <c r="L107" s="100">
        <v>12.5</v>
      </c>
      <c r="M107" s="100">
        <v>12.5</v>
      </c>
      <c r="N107" s="100">
        <v>12.5</v>
      </c>
      <c r="O107" s="100">
        <v>18.75</v>
      </c>
      <c r="P107" s="100">
        <v>18.75</v>
      </c>
      <c r="Q107" s="100">
        <v>18.75</v>
      </c>
      <c r="R107" s="100">
        <v>18.75</v>
      </c>
      <c r="S107" s="100">
        <v>18.75</v>
      </c>
      <c r="T107" s="100">
        <v>0</v>
      </c>
      <c r="U107" s="100">
        <v>0</v>
      </c>
      <c r="V107" s="100">
        <v>0</v>
      </c>
      <c r="W107" s="100">
        <v>0</v>
      </c>
      <c r="X107" s="100">
        <v>0</v>
      </c>
      <c r="Y107" s="100">
        <v>0</v>
      </c>
      <c r="Z107" s="100">
        <v>0</v>
      </c>
      <c r="AA107" s="100">
        <v>0</v>
      </c>
    </row>
    <row r="108" spans="1:30" x14ac:dyDescent="0.35">
      <c r="A108" s="100" t="s">
        <v>4</v>
      </c>
      <c r="B108" s="100">
        <v>0</v>
      </c>
      <c r="C108" s="100">
        <v>0</v>
      </c>
      <c r="D108" s="100">
        <v>0</v>
      </c>
      <c r="E108" s="100">
        <v>0</v>
      </c>
      <c r="F108" s="100">
        <v>0</v>
      </c>
      <c r="G108" s="100">
        <v>0</v>
      </c>
      <c r="H108" s="100">
        <v>0</v>
      </c>
      <c r="I108" s="100">
        <v>0</v>
      </c>
      <c r="J108" s="100">
        <v>0</v>
      </c>
      <c r="K108" s="100">
        <v>0</v>
      </c>
      <c r="L108" s="100">
        <v>0</v>
      </c>
      <c r="M108" s="100">
        <v>0</v>
      </c>
      <c r="N108" s="100">
        <v>0</v>
      </c>
      <c r="O108" s="100">
        <v>0</v>
      </c>
      <c r="P108" s="100">
        <v>0</v>
      </c>
      <c r="Q108" s="100">
        <v>0</v>
      </c>
      <c r="R108" s="100">
        <v>0</v>
      </c>
      <c r="S108" s="100">
        <v>0</v>
      </c>
      <c r="T108" s="100">
        <v>0</v>
      </c>
      <c r="U108" s="100">
        <v>0</v>
      </c>
      <c r="V108" s="100">
        <v>0</v>
      </c>
      <c r="W108" s="100">
        <v>0</v>
      </c>
      <c r="X108" s="100">
        <v>0</v>
      </c>
      <c r="Y108" s="100">
        <v>0</v>
      </c>
      <c r="Z108" s="100">
        <v>0</v>
      </c>
      <c r="AA108" s="100">
        <v>0</v>
      </c>
    </row>
    <row r="109" spans="1:30" x14ac:dyDescent="0.35">
      <c r="A109" s="100" t="s">
        <v>5</v>
      </c>
      <c r="B109" s="100">
        <v>0</v>
      </c>
      <c r="C109" s="100">
        <v>0</v>
      </c>
      <c r="D109" s="100">
        <v>0</v>
      </c>
      <c r="E109" s="100">
        <v>0</v>
      </c>
      <c r="F109" s="100">
        <v>0</v>
      </c>
      <c r="G109" s="100">
        <v>18.75</v>
      </c>
      <c r="H109" s="100">
        <v>18.75</v>
      </c>
      <c r="I109" s="100">
        <v>6.25</v>
      </c>
      <c r="J109" s="100">
        <v>6.25</v>
      </c>
      <c r="K109" s="100">
        <v>6.25</v>
      </c>
      <c r="L109" s="100">
        <v>6.25</v>
      </c>
      <c r="M109" s="100">
        <v>6.25</v>
      </c>
      <c r="N109" s="100">
        <v>6.25</v>
      </c>
      <c r="O109" s="100">
        <v>6.25</v>
      </c>
      <c r="P109" s="100">
        <v>6.25</v>
      </c>
      <c r="Q109" s="100">
        <v>6.25</v>
      </c>
      <c r="R109" s="100">
        <v>6.25</v>
      </c>
      <c r="S109" s="100">
        <v>6.25</v>
      </c>
      <c r="T109" s="100">
        <v>6.25</v>
      </c>
      <c r="U109" s="100">
        <v>6.25</v>
      </c>
      <c r="V109" s="100">
        <v>0</v>
      </c>
      <c r="W109" s="100">
        <v>0</v>
      </c>
      <c r="X109" s="100">
        <v>0</v>
      </c>
      <c r="Y109" s="100">
        <v>0</v>
      </c>
      <c r="Z109" s="100">
        <v>0</v>
      </c>
      <c r="AA109" s="100">
        <v>0</v>
      </c>
    </row>
    <row r="110" spans="1:30" x14ac:dyDescent="0.35">
      <c r="A110" s="100" t="s">
        <v>6</v>
      </c>
      <c r="B110" s="100">
        <v>0</v>
      </c>
      <c r="C110" s="100">
        <v>0</v>
      </c>
      <c r="D110" s="100">
        <v>18.75</v>
      </c>
      <c r="E110" s="100">
        <v>18.75</v>
      </c>
      <c r="F110" s="100">
        <v>18.75</v>
      </c>
      <c r="G110" s="100">
        <v>12.5</v>
      </c>
      <c r="H110" s="100">
        <v>12.5</v>
      </c>
      <c r="I110" s="100">
        <v>6.25</v>
      </c>
      <c r="J110" s="100">
        <v>6.25</v>
      </c>
      <c r="K110" s="100">
        <v>6.25</v>
      </c>
      <c r="L110" s="100">
        <v>6.25</v>
      </c>
      <c r="M110" s="100">
        <v>6.25</v>
      </c>
      <c r="N110" s="100">
        <v>0</v>
      </c>
      <c r="O110" s="100">
        <v>0</v>
      </c>
      <c r="P110" s="100">
        <v>0</v>
      </c>
      <c r="Q110" s="100">
        <v>0</v>
      </c>
      <c r="R110" s="100">
        <v>0</v>
      </c>
      <c r="S110" s="100">
        <v>0</v>
      </c>
      <c r="T110" s="100">
        <v>0</v>
      </c>
      <c r="U110" s="100">
        <v>0</v>
      </c>
      <c r="V110" s="100">
        <v>0</v>
      </c>
      <c r="W110" s="100">
        <v>0</v>
      </c>
      <c r="X110" s="100">
        <v>0</v>
      </c>
      <c r="Y110" s="100">
        <v>0</v>
      </c>
      <c r="Z110" s="100">
        <v>0</v>
      </c>
      <c r="AA110" s="100">
        <v>0</v>
      </c>
    </row>
    <row r="111" spans="1:30" x14ac:dyDescent="0.35">
      <c r="A111" s="100" t="s">
        <v>7</v>
      </c>
      <c r="B111" s="100">
        <v>0</v>
      </c>
      <c r="C111" s="100">
        <v>0</v>
      </c>
      <c r="D111" s="100">
        <v>0</v>
      </c>
      <c r="E111" s="100">
        <v>0</v>
      </c>
      <c r="F111" s="100">
        <v>0</v>
      </c>
      <c r="G111" s="100">
        <v>0</v>
      </c>
      <c r="H111" s="100">
        <v>0</v>
      </c>
      <c r="I111" s="100">
        <v>0</v>
      </c>
      <c r="J111" s="100">
        <v>0</v>
      </c>
      <c r="K111" s="100">
        <v>0</v>
      </c>
      <c r="L111" s="100">
        <v>0</v>
      </c>
      <c r="M111" s="100">
        <v>0</v>
      </c>
      <c r="N111" s="100">
        <v>0</v>
      </c>
      <c r="O111" s="100">
        <v>0</v>
      </c>
      <c r="P111" s="100">
        <v>0</v>
      </c>
      <c r="Q111" s="100">
        <v>0</v>
      </c>
      <c r="R111" s="100">
        <v>0</v>
      </c>
      <c r="S111" s="100">
        <v>0</v>
      </c>
      <c r="T111" s="100">
        <v>0</v>
      </c>
      <c r="U111" s="100">
        <v>0</v>
      </c>
      <c r="V111" s="100">
        <v>0</v>
      </c>
      <c r="W111" s="100">
        <v>0</v>
      </c>
      <c r="X111" s="100">
        <v>0</v>
      </c>
      <c r="Y111" s="100">
        <v>0</v>
      </c>
      <c r="Z111" s="100">
        <v>0</v>
      </c>
      <c r="AA111" s="100">
        <v>0</v>
      </c>
    </row>
    <row r="112" spans="1:30" x14ac:dyDescent="0.35">
      <c r="A112" s="100" t="s">
        <v>8</v>
      </c>
      <c r="B112" s="100">
        <v>0</v>
      </c>
      <c r="C112" s="100">
        <v>0</v>
      </c>
      <c r="D112" s="100">
        <v>0</v>
      </c>
      <c r="E112" s="100">
        <v>0</v>
      </c>
      <c r="F112" s="100">
        <v>0</v>
      </c>
      <c r="G112" s="100">
        <v>0</v>
      </c>
      <c r="H112" s="100">
        <v>0</v>
      </c>
      <c r="I112" s="100">
        <v>0</v>
      </c>
      <c r="J112" s="100">
        <v>0</v>
      </c>
      <c r="K112" s="100">
        <v>0</v>
      </c>
      <c r="L112" s="100">
        <v>0</v>
      </c>
      <c r="M112" s="100">
        <v>12.5</v>
      </c>
      <c r="N112" s="100">
        <v>12.5</v>
      </c>
      <c r="O112" s="100">
        <v>12.5</v>
      </c>
      <c r="P112" s="100">
        <v>6.25</v>
      </c>
      <c r="Q112" s="100">
        <v>6.25</v>
      </c>
      <c r="R112" s="100">
        <v>0</v>
      </c>
      <c r="S112" s="100">
        <v>0</v>
      </c>
      <c r="T112" s="100">
        <v>0</v>
      </c>
      <c r="U112" s="100">
        <v>0</v>
      </c>
      <c r="V112" s="100">
        <v>0</v>
      </c>
      <c r="W112" s="100">
        <v>0</v>
      </c>
      <c r="X112" s="100">
        <v>0</v>
      </c>
      <c r="Y112" s="100">
        <v>0</v>
      </c>
      <c r="Z112" s="100">
        <v>0</v>
      </c>
      <c r="AA112" s="100">
        <v>0</v>
      </c>
    </row>
    <row r="113" spans="1:31" x14ac:dyDescent="0.35">
      <c r="A113" s="100" t="s">
        <v>9</v>
      </c>
      <c r="B113" s="100">
        <v>0</v>
      </c>
      <c r="C113" s="100">
        <v>0</v>
      </c>
      <c r="D113" s="100">
        <v>0</v>
      </c>
      <c r="E113" s="100">
        <v>0</v>
      </c>
      <c r="F113" s="100">
        <v>0</v>
      </c>
      <c r="G113" s="100">
        <v>0</v>
      </c>
      <c r="H113" s="100">
        <v>0</v>
      </c>
      <c r="I113" s="100">
        <v>12.5</v>
      </c>
      <c r="J113" s="100">
        <v>6.25</v>
      </c>
      <c r="K113" s="100">
        <v>6.25</v>
      </c>
      <c r="L113" s="100">
        <v>6.25</v>
      </c>
      <c r="M113" s="100">
        <v>6.25</v>
      </c>
      <c r="N113" s="100">
        <v>6.25</v>
      </c>
      <c r="O113" s="100">
        <v>6.25</v>
      </c>
      <c r="P113" s="100">
        <v>6.25</v>
      </c>
      <c r="Q113" s="100">
        <v>6.25</v>
      </c>
      <c r="R113" s="100">
        <v>6.25</v>
      </c>
      <c r="S113" s="100">
        <v>6.25</v>
      </c>
      <c r="T113" s="100">
        <v>6.25</v>
      </c>
      <c r="U113" s="100">
        <v>6.25</v>
      </c>
      <c r="V113" s="100">
        <v>6.25</v>
      </c>
      <c r="W113" s="100">
        <v>6.25</v>
      </c>
      <c r="X113" s="100">
        <v>0</v>
      </c>
      <c r="Y113" s="100">
        <v>0</v>
      </c>
      <c r="Z113" s="100">
        <v>0</v>
      </c>
      <c r="AA113" s="100">
        <v>0</v>
      </c>
    </row>
    <row r="114" spans="1:31" x14ac:dyDescent="0.35">
      <c r="A114" s="100" t="s">
        <v>10</v>
      </c>
      <c r="B114" s="100">
        <v>0</v>
      </c>
      <c r="C114" s="100">
        <v>0</v>
      </c>
      <c r="D114" s="100">
        <v>0</v>
      </c>
      <c r="E114" s="100">
        <v>0</v>
      </c>
      <c r="F114" s="100">
        <v>0</v>
      </c>
      <c r="G114" s="100">
        <v>0</v>
      </c>
      <c r="H114" s="100">
        <v>0</v>
      </c>
      <c r="I114" s="100">
        <v>0</v>
      </c>
      <c r="J114" s="100">
        <v>0</v>
      </c>
      <c r="K114" s="100">
        <v>0</v>
      </c>
      <c r="L114" s="100">
        <v>0</v>
      </c>
      <c r="M114" s="100">
        <v>0</v>
      </c>
      <c r="N114" s="100">
        <v>0</v>
      </c>
      <c r="O114" s="100">
        <v>0</v>
      </c>
      <c r="P114" s="100">
        <v>0</v>
      </c>
      <c r="Q114" s="100">
        <v>0</v>
      </c>
      <c r="R114" s="100">
        <v>0</v>
      </c>
      <c r="S114" s="100">
        <v>0</v>
      </c>
      <c r="T114" s="100">
        <v>0</v>
      </c>
      <c r="U114" s="100">
        <v>0</v>
      </c>
      <c r="V114" s="100">
        <v>0</v>
      </c>
      <c r="W114" s="100">
        <v>0</v>
      </c>
      <c r="X114" s="100">
        <v>0</v>
      </c>
      <c r="Y114" s="100">
        <v>0</v>
      </c>
      <c r="Z114" s="100">
        <v>0</v>
      </c>
      <c r="AA114" s="100">
        <v>0</v>
      </c>
    </row>
    <row r="115" spans="1:31" x14ac:dyDescent="0.35">
      <c r="A115" s="100" t="s">
        <v>11</v>
      </c>
      <c r="B115" s="100">
        <v>0</v>
      </c>
      <c r="C115" s="100">
        <v>0</v>
      </c>
      <c r="D115" s="100">
        <v>0</v>
      </c>
      <c r="E115" s="100">
        <v>0</v>
      </c>
      <c r="F115" s="100">
        <v>0</v>
      </c>
      <c r="G115" s="100">
        <v>0</v>
      </c>
      <c r="H115" s="100">
        <v>0</v>
      </c>
      <c r="I115" s="100">
        <v>12.5</v>
      </c>
      <c r="J115" s="100">
        <v>12.5</v>
      </c>
      <c r="K115" s="100">
        <v>12.5</v>
      </c>
      <c r="L115" s="100">
        <v>12.5</v>
      </c>
      <c r="M115" s="100">
        <v>12.5</v>
      </c>
      <c r="N115" s="100">
        <v>12.5</v>
      </c>
      <c r="O115" s="100">
        <v>12.5</v>
      </c>
      <c r="P115" s="100">
        <v>12.5</v>
      </c>
      <c r="Q115" s="100">
        <v>12.5</v>
      </c>
      <c r="R115" s="100">
        <v>12.5</v>
      </c>
      <c r="S115" s="100">
        <v>12.5</v>
      </c>
      <c r="T115" s="100">
        <v>12.5</v>
      </c>
      <c r="U115" s="100">
        <v>12.5</v>
      </c>
      <c r="V115" s="100">
        <v>12.5</v>
      </c>
      <c r="W115" s="100">
        <v>12.5</v>
      </c>
      <c r="X115" s="100">
        <v>12.5</v>
      </c>
      <c r="Y115" s="100">
        <v>12.5</v>
      </c>
      <c r="Z115" s="100">
        <v>12.5</v>
      </c>
      <c r="AA115" s="100">
        <v>12.5</v>
      </c>
    </row>
    <row r="116" spans="1:31" x14ac:dyDescent="0.35">
      <c r="A116" s="100" t="s">
        <v>12</v>
      </c>
      <c r="B116" s="100">
        <v>0</v>
      </c>
      <c r="C116" s="100">
        <v>0</v>
      </c>
      <c r="D116" s="100">
        <v>0</v>
      </c>
      <c r="E116" s="100">
        <v>0</v>
      </c>
      <c r="F116" s="100">
        <v>0</v>
      </c>
      <c r="G116" s="100">
        <v>0</v>
      </c>
      <c r="H116" s="100">
        <v>0</v>
      </c>
      <c r="I116" s="100">
        <v>0</v>
      </c>
      <c r="J116" s="100">
        <v>0</v>
      </c>
      <c r="K116" s="100">
        <v>12.5</v>
      </c>
      <c r="L116" s="100">
        <v>12.5</v>
      </c>
      <c r="M116" s="100">
        <v>6.25</v>
      </c>
      <c r="N116" s="100">
        <v>6.25</v>
      </c>
      <c r="O116" s="100">
        <v>0</v>
      </c>
      <c r="P116" s="100">
        <v>0</v>
      </c>
      <c r="Q116" s="100">
        <v>0</v>
      </c>
      <c r="R116" s="100">
        <v>0</v>
      </c>
      <c r="S116" s="100">
        <v>0</v>
      </c>
      <c r="T116" s="100">
        <v>0</v>
      </c>
      <c r="U116" s="100">
        <v>0</v>
      </c>
      <c r="V116" s="100">
        <v>0</v>
      </c>
      <c r="W116" s="100">
        <v>0</v>
      </c>
      <c r="X116" s="100">
        <v>0</v>
      </c>
      <c r="Y116" s="100">
        <v>0</v>
      </c>
      <c r="Z116" s="100">
        <v>0</v>
      </c>
      <c r="AA116" s="100">
        <v>0</v>
      </c>
    </row>
    <row r="117" spans="1:31" x14ac:dyDescent="0.35">
      <c r="A117" s="100" t="s">
        <v>13</v>
      </c>
      <c r="B117" s="100">
        <v>0</v>
      </c>
      <c r="C117" s="100">
        <v>0</v>
      </c>
      <c r="D117" s="100">
        <v>0</v>
      </c>
      <c r="E117" s="100">
        <v>0</v>
      </c>
      <c r="F117" s="100">
        <v>0</v>
      </c>
      <c r="G117" s="100">
        <v>0</v>
      </c>
      <c r="H117" s="100">
        <v>0</v>
      </c>
      <c r="I117" s="100">
        <v>0</v>
      </c>
      <c r="J117" s="100">
        <v>0</v>
      </c>
      <c r="K117" s="100">
        <v>0</v>
      </c>
      <c r="L117" s="100">
        <v>0</v>
      </c>
      <c r="M117" s="100">
        <v>0</v>
      </c>
      <c r="N117" s="100">
        <v>0</v>
      </c>
      <c r="O117" s="100">
        <v>0</v>
      </c>
      <c r="P117" s="100">
        <v>0</v>
      </c>
      <c r="Q117" s="100">
        <v>0</v>
      </c>
      <c r="R117" s="100">
        <v>0</v>
      </c>
      <c r="S117" s="100">
        <v>0</v>
      </c>
      <c r="T117" s="100">
        <v>0</v>
      </c>
      <c r="U117" s="100">
        <v>0</v>
      </c>
      <c r="V117" s="100">
        <v>0</v>
      </c>
      <c r="W117" s="100">
        <v>0</v>
      </c>
      <c r="X117" s="100">
        <v>0</v>
      </c>
      <c r="Y117" s="100">
        <v>0</v>
      </c>
      <c r="Z117" s="100">
        <v>0</v>
      </c>
      <c r="AA117" s="100">
        <v>0</v>
      </c>
    </row>
    <row r="118" spans="1:31" x14ac:dyDescent="0.35">
      <c r="A118" s="100" t="s">
        <v>14</v>
      </c>
      <c r="B118" s="100">
        <v>0</v>
      </c>
      <c r="C118" s="100">
        <v>0</v>
      </c>
      <c r="D118" s="100">
        <v>0</v>
      </c>
      <c r="E118" s="100">
        <v>0</v>
      </c>
      <c r="F118" s="100">
        <v>0</v>
      </c>
      <c r="G118" s="100">
        <v>0</v>
      </c>
      <c r="H118" s="100">
        <v>0</v>
      </c>
      <c r="I118" s="100">
        <v>0</v>
      </c>
      <c r="J118" s="100">
        <v>0</v>
      </c>
      <c r="K118" s="100">
        <v>0</v>
      </c>
      <c r="L118" s="100">
        <v>0</v>
      </c>
      <c r="M118" s="100">
        <v>0</v>
      </c>
      <c r="N118" s="100">
        <v>0</v>
      </c>
      <c r="O118" s="100">
        <v>0</v>
      </c>
      <c r="P118" s="100">
        <v>18.75</v>
      </c>
      <c r="Q118" s="100">
        <v>18.75</v>
      </c>
      <c r="R118" s="100">
        <v>18.75</v>
      </c>
      <c r="S118" s="100">
        <v>18.75</v>
      </c>
      <c r="T118" s="100">
        <v>18.75</v>
      </c>
      <c r="U118" s="100">
        <v>12.5</v>
      </c>
      <c r="V118" s="100">
        <v>12.5</v>
      </c>
      <c r="W118" s="100">
        <v>12.5</v>
      </c>
      <c r="X118" s="100">
        <v>12.5</v>
      </c>
      <c r="Y118" s="100">
        <v>12.5</v>
      </c>
      <c r="Z118" s="100">
        <v>12.5</v>
      </c>
      <c r="AA118" s="100">
        <v>6.25</v>
      </c>
    </row>
    <row r="119" spans="1:31" x14ac:dyDescent="0.35">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row>
    <row r="120" spans="1:31" x14ac:dyDescent="0.35">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row>
    <row r="121" spans="1:31" x14ac:dyDescent="0.35">
      <c r="A121" s="101" t="s">
        <v>18</v>
      </c>
      <c r="B121" s="101"/>
      <c r="C121" s="101"/>
      <c r="D121" s="101"/>
      <c r="E121" s="101"/>
      <c r="F121" s="101"/>
      <c r="G121" s="100"/>
      <c r="H121" s="100"/>
      <c r="I121" s="100"/>
      <c r="J121" s="100"/>
      <c r="K121" s="100"/>
      <c r="L121" s="100"/>
      <c r="M121" s="100"/>
      <c r="N121" s="100"/>
      <c r="O121" s="100"/>
      <c r="P121" s="100"/>
      <c r="Q121" s="100"/>
      <c r="R121" s="100"/>
      <c r="S121" s="100"/>
      <c r="T121" s="100"/>
      <c r="U121" s="100"/>
      <c r="V121" s="100"/>
      <c r="W121" s="100"/>
      <c r="X121" s="100"/>
      <c r="Y121" s="100"/>
      <c r="Z121" s="100"/>
      <c r="AA121" s="100"/>
    </row>
    <row r="122" spans="1:31" x14ac:dyDescent="0.35">
      <c r="A122" s="100"/>
      <c r="B122" s="102">
        <v>1990</v>
      </c>
      <c r="C122" s="102">
        <v>1991</v>
      </c>
      <c r="D122" s="102">
        <v>1992</v>
      </c>
      <c r="E122" s="102">
        <v>1993</v>
      </c>
      <c r="F122" s="102">
        <v>1994</v>
      </c>
      <c r="G122" s="102">
        <v>1995</v>
      </c>
      <c r="H122" s="102">
        <v>1996</v>
      </c>
      <c r="I122" s="102">
        <v>1997</v>
      </c>
      <c r="J122" s="102">
        <v>1998</v>
      </c>
      <c r="K122" s="102">
        <v>1999</v>
      </c>
      <c r="L122" s="102">
        <v>2000</v>
      </c>
      <c r="M122" s="102">
        <v>2001</v>
      </c>
      <c r="N122" s="102">
        <v>2002</v>
      </c>
      <c r="O122" s="102">
        <v>2003</v>
      </c>
      <c r="P122" s="102">
        <v>2004</v>
      </c>
      <c r="Q122" s="102">
        <v>2005</v>
      </c>
      <c r="R122" s="102">
        <v>2006</v>
      </c>
      <c r="S122" s="102">
        <v>2007</v>
      </c>
      <c r="T122" s="102">
        <v>2008</v>
      </c>
      <c r="U122" s="102">
        <v>2009</v>
      </c>
      <c r="V122" s="102">
        <v>2010</v>
      </c>
      <c r="W122" s="102">
        <v>2011</v>
      </c>
      <c r="X122" s="102">
        <v>2012</v>
      </c>
      <c r="Y122" s="102">
        <v>2013</v>
      </c>
      <c r="Z122" s="102">
        <v>2014</v>
      </c>
      <c r="AA122" s="102">
        <v>2015</v>
      </c>
      <c r="AC122" s="7"/>
      <c r="AD122" s="7"/>
      <c r="AE122" s="7"/>
    </row>
    <row r="123" spans="1:31" x14ac:dyDescent="0.35">
      <c r="A123" s="100" t="s">
        <v>1</v>
      </c>
      <c r="B123" s="103">
        <v>8.4616688116026886</v>
      </c>
      <c r="C123" s="103">
        <v>8.4616688116026886</v>
      </c>
      <c r="D123" s="103">
        <v>8.6716334052698674</v>
      </c>
      <c r="E123" s="103">
        <v>8.8236304806295767</v>
      </c>
      <c r="F123" s="103">
        <v>8.7245544163368773</v>
      </c>
      <c r="G123" s="103">
        <v>8.7386170768882856</v>
      </c>
      <c r="H123" s="103">
        <v>10.727397690382123</v>
      </c>
      <c r="I123" s="103">
        <v>13.315479432515104</v>
      </c>
      <c r="J123" s="103">
        <v>14.200164474160381</v>
      </c>
      <c r="K123" s="103">
        <v>14.255119781031016</v>
      </c>
      <c r="L123" s="103">
        <v>14.131873458002648</v>
      </c>
      <c r="M123" s="103">
        <v>13.855377161988109</v>
      </c>
      <c r="N123" s="103">
        <v>13.838767112675022</v>
      </c>
      <c r="O123" s="103">
        <v>13.836441756462875</v>
      </c>
      <c r="P123" s="103">
        <v>13.817901729608529</v>
      </c>
      <c r="Q123" s="103">
        <v>13.817901729608529</v>
      </c>
      <c r="R123" s="103">
        <v>14.499732287429149</v>
      </c>
      <c r="S123" s="103">
        <v>14.500326237737992</v>
      </c>
      <c r="T123" s="103">
        <v>14.496149632352342</v>
      </c>
      <c r="U123" s="103">
        <v>14.495714184191499</v>
      </c>
      <c r="V123" s="103">
        <v>14.375492684911457</v>
      </c>
      <c r="W123" s="103">
        <v>14.078767229326647</v>
      </c>
      <c r="X123" s="103">
        <v>14.101856776770358</v>
      </c>
      <c r="Y123" s="103">
        <v>14.127215635363191</v>
      </c>
      <c r="Z123" s="103">
        <v>14.329777456314593</v>
      </c>
      <c r="AA123" s="103">
        <v>14.329777456314593</v>
      </c>
      <c r="AC123" s="7"/>
      <c r="AD123" s="7"/>
      <c r="AE123" s="7"/>
    </row>
    <row r="124" spans="1:31" x14ac:dyDescent="0.35">
      <c r="A124" s="100" t="s">
        <v>2</v>
      </c>
      <c r="B124" s="103">
        <v>5.2471963000529618</v>
      </c>
      <c r="C124" s="103">
        <v>5.2471963000529618</v>
      </c>
      <c r="D124" s="103">
        <v>5.4900233902832669</v>
      </c>
      <c r="E124" s="103">
        <v>5.5139593059585899</v>
      </c>
      <c r="F124" s="103">
        <v>5.9016814739513554</v>
      </c>
      <c r="G124" s="103">
        <v>6.4067570155987363</v>
      </c>
      <c r="H124" s="103">
        <v>6.9684652704506647</v>
      </c>
      <c r="I124" s="103">
        <v>19.495581536509327</v>
      </c>
      <c r="J124" s="103">
        <v>19.756749458111493</v>
      </c>
      <c r="K124" s="103">
        <v>19.77387160653938</v>
      </c>
      <c r="L124" s="103">
        <v>19.658815219899765</v>
      </c>
      <c r="M124" s="103">
        <v>20.007343523362717</v>
      </c>
      <c r="N124" s="103">
        <v>19.705805536469711</v>
      </c>
      <c r="O124" s="103">
        <v>11.546074165665573</v>
      </c>
      <c r="P124" s="103">
        <v>11.537863991378977</v>
      </c>
      <c r="Q124" s="103">
        <v>11.542186242525585</v>
      </c>
      <c r="R124" s="103">
        <v>11.582343487281349</v>
      </c>
      <c r="S124" s="103">
        <v>11.58371555921542</v>
      </c>
      <c r="T124" s="103">
        <v>11.464361943043064</v>
      </c>
      <c r="U124" s="103">
        <v>11.503041791714317</v>
      </c>
      <c r="V124" s="103">
        <v>7.806722034497934</v>
      </c>
      <c r="W124" s="103">
        <v>7.7414411447064433</v>
      </c>
      <c r="X124" s="103">
        <v>7.7775320133061765</v>
      </c>
      <c r="Y124" s="103">
        <v>7.3886529472925737</v>
      </c>
      <c r="Z124" s="103">
        <v>7.3881122898528382</v>
      </c>
      <c r="AA124" s="103">
        <v>7.3881122898528382</v>
      </c>
      <c r="AC124" s="7"/>
      <c r="AD124" s="7"/>
      <c r="AE124" s="7"/>
    </row>
    <row r="125" spans="1:31" x14ac:dyDescent="0.35">
      <c r="A125" s="100" t="s">
        <v>3</v>
      </c>
      <c r="B125" s="103">
        <v>0</v>
      </c>
      <c r="C125" s="103">
        <v>0</v>
      </c>
      <c r="D125" s="103">
        <v>0</v>
      </c>
      <c r="E125" s="103">
        <v>0</v>
      </c>
      <c r="F125" s="103">
        <v>0</v>
      </c>
      <c r="G125" s="103">
        <v>0</v>
      </c>
      <c r="H125" s="103">
        <v>0</v>
      </c>
      <c r="I125" s="103">
        <v>4.293616007646741E-2</v>
      </c>
      <c r="J125" s="103">
        <v>4.110085851439494E-2</v>
      </c>
      <c r="K125" s="103">
        <v>3.8636305301311832E-2</v>
      </c>
      <c r="L125" s="103">
        <v>0.12539318129339486</v>
      </c>
      <c r="M125" s="103">
        <v>0.17767846740257351</v>
      </c>
      <c r="N125" s="103">
        <v>0.87551937644312816</v>
      </c>
      <c r="O125" s="103">
        <v>1.5164821524660907</v>
      </c>
      <c r="P125" s="103">
        <v>1.4781614757260495</v>
      </c>
      <c r="Q125" s="103">
        <v>1.4083530913314399</v>
      </c>
      <c r="R125" s="103">
        <v>1.2954746515853546</v>
      </c>
      <c r="S125" s="103">
        <v>1.2679342782476311</v>
      </c>
      <c r="T125" s="103">
        <v>1.2512296211725917</v>
      </c>
      <c r="U125" s="103">
        <v>1.1556471748219037</v>
      </c>
      <c r="V125" s="103">
        <v>1.0934551457753703</v>
      </c>
      <c r="W125" s="103">
        <v>0.97313563161789529</v>
      </c>
      <c r="X125" s="103">
        <v>0.92056536143301937</v>
      </c>
      <c r="Y125" s="103">
        <v>0.88900578167960442</v>
      </c>
      <c r="Z125" s="103">
        <v>0.82179975416895656</v>
      </c>
      <c r="AA125" s="103">
        <v>0.82179975416895656</v>
      </c>
      <c r="AC125" s="7"/>
      <c r="AD125" s="7"/>
      <c r="AE125" s="7"/>
    </row>
    <row r="126" spans="1:31" x14ac:dyDescent="0.35">
      <c r="A126" s="100" t="s">
        <v>40</v>
      </c>
      <c r="B126" s="103">
        <v>0</v>
      </c>
      <c r="C126" s="103">
        <v>0</v>
      </c>
      <c r="D126" s="103">
        <v>0</v>
      </c>
      <c r="E126" s="103">
        <v>0</v>
      </c>
      <c r="F126" s="103">
        <v>0</v>
      </c>
      <c r="G126" s="103">
        <v>0.2857142857142857</v>
      </c>
      <c r="H126" s="103">
        <v>0.5714285714285714</v>
      </c>
      <c r="I126" s="103">
        <v>0.8571428571428571</v>
      </c>
      <c r="J126" s="103">
        <v>1.1428571428571428</v>
      </c>
      <c r="K126" s="103">
        <v>1.4285714285714284</v>
      </c>
      <c r="L126" s="103">
        <v>1.714285714285714</v>
      </c>
      <c r="M126" s="103">
        <v>1.9999999999999996</v>
      </c>
      <c r="N126" s="103">
        <v>2.2857142857142851</v>
      </c>
      <c r="O126" s="103">
        <v>2.5714285714285707</v>
      </c>
      <c r="P126" s="103">
        <v>2.8571428571428563</v>
      </c>
      <c r="Q126" s="103">
        <v>3.1428571428571419</v>
      </c>
      <c r="R126" s="103">
        <v>3.4285714285714275</v>
      </c>
      <c r="S126" s="103">
        <v>3.7142857142857131</v>
      </c>
      <c r="T126" s="103">
        <v>3.9999999999999987</v>
      </c>
      <c r="U126" s="103">
        <v>4.2857142857142847</v>
      </c>
      <c r="V126" s="103">
        <v>4.5714285714285703</v>
      </c>
      <c r="W126" s="103">
        <v>4.8571428571428559</v>
      </c>
      <c r="X126" s="103">
        <v>5.1428571428571415</v>
      </c>
      <c r="Y126" s="103">
        <v>5.428571428571427</v>
      </c>
      <c r="Z126" s="103">
        <v>5.7142857142857126</v>
      </c>
      <c r="AA126" s="103">
        <v>6</v>
      </c>
      <c r="AC126" s="7"/>
      <c r="AD126" s="7"/>
      <c r="AE126" s="7"/>
    </row>
    <row r="127" spans="1:31" x14ac:dyDescent="0.35">
      <c r="A127" s="100" t="s">
        <v>41</v>
      </c>
      <c r="B127" s="103">
        <v>0</v>
      </c>
      <c r="C127" s="103">
        <v>0</v>
      </c>
      <c r="D127" s="103">
        <v>0</v>
      </c>
      <c r="E127" s="103">
        <v>0</v>
      </c>
      <c r="F127" s="103">
        <v>0</v>
      </c>
      <c r="G127" s="103">
        <v>0</v>
      </c>
      <c r="H127" s="103">
        <v>0</v>
      </c>
      <c r="I127" s="103">
        <v>0</v>
      </c>
      <c r="J127" s="103">
        <v>12.85</v>
      </c>
      <c r="K127" s="103">
        <v>13.2</v>
      </c>
      <c r="L127" s="103">
        <v>13.55</v>
      </c>
      <c r="M127" s="103">
        <v>13.9</v>
      </c>
      <c r="N127" s="103">
        <v>14.25</v>
      </c>
      <c r="O127" s="103">
        <v>14.6</v>
      </c>
      <c r="P127" s="103">
        <v>14.95</v>
      </c>
      <c r="Q127" s="103">
        <v>15.3</v>
      </c>
      <c r="R127" s="103">
        <v>15.65</v>
      </c>
      <c r="S127" s="103">
        <v>16</v>
      </c>
      <c r="T127" s="103">
        <v>16.350000000000001</v>
      </c>
      <c r="U127" s="103">
        <v>16.7</v>
      </c>
      <c r="V127" s="103">
        <v>17.05</v>
      </c>
      <c r="W127" s="103">
        <v>17.399999999999999</v>
      </c>
      <c r="X127" s="103">
        <v>17.75</v>
      </c>
      <c r="Y127" s="103">
        <v>18.099999999999998</v>
      </c>
      <c r="Z127" s="103">
        <v>18.45</v>
      </c>
      <c r="AA127" s="103">
        <v>6.3</v>
      </c>
      <c r="AC127" s="7"/>
      <c r="AD127" s="7"/>
      <c r="AE127" s="7"/>
    </row>
    <row r="128" spans="1:31" x14ac:dyDescent="0.35">
      <c r="A128" s="100" t="s">
        <v>42</v>
      </c>
      <c r="B128" s="103">
        <v>0</v>
      </c>
      <c r="C128" s="103">
        <v>0</v>
      </c>
      <c r="D128" s="103">
        <v>0</v>
      </c>
      <c r="E128" s="103">
        <v>0</v>
      </c>
      <c r="F128" s="103">
        <v>0</v>
      </c>
      <c r="G128" s="103">
        <v>0</v>
      </c>
      <c r="H128" s="103">
        <v>0</v>
      </c>
      <c r="I128" s="103">
        <v>0</v>
      </c>
      <c r="J128" s="103">
        <v>0</v>
      </c>
      <c r="K128" s="103">
        <v>0</v>
      </c>
      <c r="L128" s="103">
        <v>0</v>
      </c>
      <c r="M128" s="103">
        <v>0</v>
      </c>
      <c r="N128" s="103">
        <v>0</v>
      </c>
      <c r="O128" s="103">
        <v>0</v>
      </c>
      <c r="P128" s="103">
        <v>0.51250000000000007</v>
      </c>
      <c r="Q128" s="103">
        <v>1.0250000000000001</v>
      </c>
      <c r="R128" s="103">
        <v>1.5375000000000001</v>
      </c>
      <c r="S128" s="103">
        <v>2.0500000000000003</v>
      </c>
      <c r="T128" s="103">
        <v>2.5625000000000004</v>
      </c>
      <c r="U128" s="103">
        <v>3.0750000000000006</v>
      </c>
      <c r="V128" s="103">
        <v>3.5875000000000008</v>
      </c>
      <c r="W128" s="103">
        <v>4.1000000000000005</v>
      </c>
      <c r="X128" s="103">
        <v>4.6125000000000007</v>
      </c>
      <c r="Y128" s="103">
        <v>5.1250000000000009</v>
      </c>
      <c r="Z128" s="103">
        <v>5.6375000000000011</v>
      </c>
      <c r="AA128" s="103">
        <v>6.15</v>
      </c>
      <c r="AC128" s="7"/>
      <c r="AD128" s="7"/>
      <c r="AE128" s="7"/>
    </row>
    <row r="129" spans="1:31" x14ac:dyDescent="0.35">
      <c r="A129" s="100" t="s">
        <v>4</v>
      </c>
      <c r="B129" s="104">
        <v>6.125</v>
      </c>
      <c r="C129" s="104">
        <v>6.125</v>
      </c>
      <c r="D129" s="104">
        <v>6.125</v>
      </c>
      <c r="E129" s="104">
        <v>6.125</v>
      </c>
      <c r="F129" s="104">
        <v>6.125</v>
      </c>
      <c r="G129" s="104">
        <v>6.125</v>
      </c>
      <c r="H129" s="104">
        <v>6.8168225388487933</v>
      </c>
      <c r="I129" s="104">
        <v>8.0394938548307842</v>
      </c>
      <c r="J129" s="104">
        <v>8.0394938548307842</v>
      </c>
      <c r="K129" s="104">
        <v>7.7592306438555791</v>
      </c>
      <c r="L129" s="104">
        <v>7.8502029359074985</v>
      </c>
      <c r="M129" s="104">
        <v>8.522300408541966</v>
      </c>
      <c r="N129" s="104">
        <v>8.5224537125345599</v>
      </c>
      <c r="O129" s="104">
        <v>8.3888585091581316</v>
      </c>
      <c r="P129" s="104">
        <v>8.4937042851896827</v>
      </c>
      <c r="Q129" s="104">
        <v>8.49410339205828</v>
      </c>
      <c r="R129" s="104">
        <v>15.610297712386849</v>
      </c>
      <c r="S129" s="104">
        <v>15.543549247217907</v>
      </c>
      <c r="T129" s="104">
        <v>15.81653311642523</v>
      </c>
      <c r="U129" s="104">
        <v>16.274729758383714</v>
      </c>
      <c r="V129" s="104">
        <v>16.544357028935917</v>
      </c>
      <c r="W129" s="104">
        <v>16.166178243998626</v>
      </c>
      <c r="X129" s="104">
        <v>16.117002688579078</v>
      </c>
      <c r="Y129" s="104">
        <v>16.397010391988282</v>
      </c>
      <c r="Z129" s="104">
        <v>16.409198647412598</v>
      </c>
      <c r="AA129" s="104">
        <v>16.409198647412598</v>
      </c>
      <c r="AC129" s="7"/>
      <c r="AD129" s="7"/>
      <c r="AE129" s="7"/>
    </row>
    <row r="130" spans="1:31" x14ac:dyDescent="0.35">
      <c r="A130" s="100" t="s">
        <v>5</v>
      </c>
      <c r="B130" s="103">
        <v>0</v>
      </c>
      <c r="C130" s="103">
        <v>0</v>
      </c>
      <c r="D130" s="103">
        <v>0</v>
      </c>
      <c r="E130" s="103">
        <v>0</v>
      </c>
      <c r="F130" s="103">
        <v>1.3794224283051464</v>
      </c>
      <c r="G130" s="103">
        <v>2.4586573048929012</v>
      </c>
      <c r="H130" s="103">
        <v>2.4586573048929012</v>
      </c>
      <c r="I130" s="103">
        <v>8.596756782125766</v>
      </c>
      <c r="J130" s="103">
        <v>10.627874550245467</v>
      </c>
      <c r="K130" s="103">
        <v>10.627874550245467</v>
      </c>
      <c r="L130" s="103">
        <v>11.658527930095078</v>
      </c>
      <c r="M130" s="103">
        <v>14.063500862618636</v>
      </c>
      <c r="N130" s="103">
        <v>13.973727702730335</v>
      </c>
      <c r="O130" s="103">
        <v>13.966592981285075</v>
      </c>
      <c r="P130" s="103">
        <v>13.966397138395697</v>
      </c>
      <c r="Q130" s="103">
        <v>14.659984292118541</v>
      </c>
      <c r="R130" s="103">
        <v>14.251516109980825</v>
      </c>
      <c r="S130" s="103">
        <v>14.20379320731762</v>
      </c>
      <c r="T130" s="103">
        <v>14.20379320731762</v>
      </c>
      <c r="U130" s="103">
        <v>13.854852907277213</v>
      </c>
      <c r="V130" s="103">
        <v>13.544614451021175</v>
      </c>
      <c r="W130" s="103">
        <v>13.369530119986411</v>
      </c>
      <c r="X130" s="103">
        <v>13.365612951199326</v>
      </c>
      <c r="Y130" s="103">
        <v>13.433552232468571</v>
      </c>
      <c r="Z130" s="103">
        <v>14.596767301464887</v>
      </c>
      <c r="AA130" s="103">
        <v>14.596767301464887</v>
      </c>
      <c r="AC130" s="7"/>
      <c r="AD130" s="7"/>
      <c r="AE130" s="7"/>
    </row>
    <row r="131" spans="1:31" x14ac:dyDescent="0.35">
      <c r="A131" s="100" t="s">
        <v>6</v>
      </c>
      <c r="B131" s="103">
        <v>3.3542847238556504</v>
      </c>
      <c r="C131" s="103">
        <v>3.8014754009405913</v>
      </c>
      <c r="D131" s="103">
        <v>3.7129799710582527</v>
      </c>
      <c r="E131" s="103">
        <v>2.9585291503464886</v>
      </c>
      <c r="F131" s="103">
        <v>3.1239523896422674</v>
      </c>
      <c r="G131" s="103">
        <v>3.0937495802431014</v>
      </c>
      <c r="H131" s="103">
        <v>3.7857826354136441</v>
      </c>
      <c r="I131" s="103">
        <v>4.3829320014639617</v>
      </c>
      <c r="J131" s="103">
        <v>4.6369083321906244</v>
      </c>
      <c r="K131" s="103">
        <v>5.09088081109826</v>
      </c>
      <c r="L131" s="103">
        <v>5.274462009872714</v>
      </c>
      <c r="M131" s="103">
        <v>5.3378217914882464</v>
      </c>
      <c r="N131" s="103">
        <v>5.3378217914882464</v>
      </c>
      <c r="O131" s="103">
        <v>5.1728772810647659</v>
      </c>
      <c r="P131" s="103">
        <v>4.943228300589297</v>
      </c>
      <c r="Q131" s="103">
        <v>7.0262144998202825</v>
      </c>
      <c r="R131" s="103">
        <v>7.0246282217324705</v>
      </c>
      <c r="S131" s="103">
        <v>7.020714402021488</v>
      </c>
      <c r="T131" s="103">
        <v>7.1228408566900745</v>
      </c>
      <c r="U131" s="103">
        <v>7.377436522832995</v>
      </c>
      <c r="V131" s="103">
        <v>7.7558826807274492</v>
      </c>
      <c r="W131" s="103">
        <v>8.1833987972959967</v>
      </c>
      <c r="X131" s="103">
        <v>8.2346216029536521</v>
      </c>
      <c r="Y131" s="103">
        <v>8.2105083255156632</v>
      </c>
      <c r="Z131" s="103">
        <v>8.2821258120163588</v>
      </c>
      <c r="AA131" s="103">
        <v>8.2821258120163588</v>
      </c>
      <c r="AC131" s="7"/>
      <c r="AD131" s="7"/>
      <c r="AE131" s="7"/>
    </row>
    <row r="132" spans="1:31" x14ac:dyDescent="0.35">
      <c r="A132" s="100" t="s">
        <v>7</v>
      </c>
      <c r="B132" s="103">
        <v>6.5486198475652957</v>
      </c>
      <c r="C132" s="103">
        <v>6.6973166827844715</v>
      </c>
      <c r="D132" s="103">
        <v>10.306289969961677</v>
      </c>
      <c r="E132" s="103">
        <v>6.8708411916065426</v>
      </c>
      <c r="F132" s="103">
        <v>7.0367435715789215</v>
      </c>
      <c r="G132" s="103">
        <v>11.667800452880126</v>
      </c>
      <c r="H132" s="103">
        <v>12.65876118154832</v>
      </c>
      <c r="I132" s="103">
        <v>13.773793227306586</v>
      </c>
      <c r="J132" s="103">
        <v>13.973181659619552</v>
      </c>
      <c r="K132" s="103">
        <v>14.341111751895347</v>
      </c>
      <c r="L132" s="103">
        <v>14.329615411317121</v>
      </c>
      <c r="M132" s="103">
        <v>14.313642268524312</v>
      </c>
      <c r="N132" s="103">
        <v>14.289999130012426</v>
      </c>
      <c r="O132" s="103">
        <v>14.28955697986407</v>
      </c>
      <c r="P132" s="103">
        <v>14.318244986429034</v>
      </c>
      <c r="Q132" s="103">
        <v>14.426691546672672</v>
      </c>
      <c r="R132" s="103">
        <v>14.704012003042651</v>
      </c>
      <c r="S132" s="103">
        <v>14.942659295393796</v>
      </c>
      <c r="T132" s="103">
        <v>14.920069027116236</v>
      </c>
      <c r="U132" s="103">
        <v>15.293023665720733</v>
      </c>
      <c r="V132" s="103">
        <v>15.449631292430716</v>
      </c>
      <c r="W132" s="103">
        <v>15.472970000948877</v>
      </c>
      <c r="X132" s="103">
        <v>15.767471716319829</v>
      </c>
      <c r="Y132" s="103">
        <v>16.076152952319433</v>
      </c>
      <c r="Z132" s="103">
        <v>16.291025507325024</v>
      </c>
      <c r="AA132" s="103">
        <v>16.291025507325024</v>
      </c>
      <c r="AC132" s="7"/>
      <c r="AD132" s="7"/>
      <c r="AE132" s="7"/>
    </row>
    <row r="133" spans="1:31" x14ac:dyDescent="0.35">
      <c r="A133" s="100" t="s">
        <v>8</v>
      </c>
      <c r="B133" s="103">
        <v>12.507905557520932</v>
      </c>
      <c r="C133" s="103">
        <v>12.596500491425338</v>
      </c>
      <c r="D133" s="103">
        <v>12.48464915977174</v>
      </c>
      <c r="E133" s="103">
        <v>6.7439103495988837</v>
      </c>
      <c r="F133" s="103">
        <v>7.137529215153755</v>
      </c>
      <c r="G133" s="103">
        <v>13.610199851079429</v>
      </c>
      <c r="H133" s="103">
        <v>14.165551495228229</v>
      </c>
      <c r="I133" s="103">
        <v>14.366480754297489</v>
      </c>
      <c r="J133" s="103">
        <v>14.547679382768305</v>
      </c>
      <c r="K133" s="103">
        <v>15.090682430280166</v>
      </c>
      <c r="L133" s="103">
        <v>15.447849836203359</v>
      </c>
      <c r="M133" s="103">
        <v>15.501705273742655</v>
      </c>
      <c r="N133" s="103">
        <v>15.833109161286979</v>
      </c>
      <c r="O133" s="103">
        <v>17.976918126181694</v>
      </c>
      <c r="P133" s="103">
        <v>18.021189074575556</v>
      </c>
      <c r="Q133" s="103">
        <v>18.024856907682558</v>
      </c>
      <c r="R133" s="103">
        <v>18.067310583309688</v>
      </c>
      <c r="S133" s="103">
        <v>18.069384923619939</v>
      </c>
      <c r="T133" s="103">
        <v>18.054869234279249</v>
      </c>
      <c r="U133" s="103">
        <v>18.051424652442549</v>
      </c>
      <c r="V133" s="103">
        <v>18.131837528782789</v>
      </c>
      <c r="W133" s="103">
        <v>18.170487127675866</v>
      </c>
      <c r="X133" s="103">
        <v>18.173022425351135</v>
      </c>
      <c r="Y133" s="103">
        <v>18.176325729050504</v>
      </c>
      <c r="Z133" s="103">
        <v>18.318090335642008</v>
      </c>
      <c r="AA133" s="103">
        <v>18.318090335642008</v>
      </c>
      <c r="AC133" s="7"/>
      <c r="AD133" s="7"/>
      <c r="AE133" s="7"/>
    </row>
    <row r="134" spans="1:31" x14ac:dyDescent="0.35">
      <c r="A134" s="100" t="s">
        <v>9</v>
      </c>
      <c r="B134" s="103">
        <v>0</v>
      </c>
      <c r="C134" s="103">
        <v>0</v>
      </c>
      <c r="D134" s="103">
        <v>0</v>
      </c>
      <c r="E134" s="103">
        <v>0</v>
      </c>
      <c r="F134" s="103">
        <v>0</v>
      </c>
      <c r="G134" s="103">
        <v>0</v>
      </c>
      <c r="H134" s="103">
        <v>0</v>
      </c>
      <c r="I134" s="103">
        <v>3.5000000000000004</v>
      </c>
      <c r="J134" s="103">
        <v>3.5000000000000004</v>
      </c>
      <c r="K134" s="103">
        <v>20.833333333333332</v>
      </c>
      <c r="L134" s="103">
        <v>20.825581395348838</v>
      </c>
      <c r="M134" s="103">
        <v>20.825581395348838</v>
      </c>
      <c r="N134" s="103">
        <v>1.4989293361884368</v>
      </c>
      <c r="O134" s="103">
        <v>1.4989293361884368</v>
      </c>
      <c r="P134" s="103">
        <v>1.4957264957264957</v>
      </c>
      <c r="Q134" s="103">
        <v>2.5945378151260505</v>
      </c>
      <c r="R134" s="103">
        <v>2.6894599303135882</v>
      </c>
      <c r="S134" s="103">
        <v>2.3284313725490198</v>
      </c>
      <c r="T134" s="103">
        <v>2.1322513812154695</v>
      </c>
      <c r="U134" s="103">
        <v>2.1293103448275863</v>
      </c>
      <c r="V134" s="103">
        <v>1.9177018633540373</v>
      </c>
      <c r="W134" s="103">
        <v>3.2766350210970465</v>
      </c>
      <c r="X134" s="103">
        <v>2.465420081967213</v>
      </c>
      <c r="Y134" s="103">
        <v>3.5389282103134483</v>
      </c>
      <c r="Z134" s="103">
        <v>5.4545454545454541</v>
      </c>
      <c r="AA134" s="103">
        <v>0</v>
      </c>
      <c r="AC134" s="7"/>
      <c r="AD134" s="7"/>
      <c r="AE134" s="7"/>
    </row>
    <row r="135" spans="1:31" x14ac:dyDescent="0.35">
      <c r="A135" s="100" t="s">
        <v>10</v>
      </c>
      <c r="B135" s="103">
        <v>3.5272247726564496E-2</v>
      </c>
      <c r="C135" s="103">
        <v>3.5716752793834863E-2</v>
      </c>
      <c r="D135" s="103">
        <v>3.5716752793834863E-2</v>
      </c>
      <c r="E135" s="103">
        <v>3.5716752793834863E-2</v>
      </c>
      <c r="F135" s="103">
        <v>7.4488577881281853E-2</v>
      </c>
      <c r="G135" s="103">
        <v>7.5482386933836534E-2</v>
      </c>
      <c r="H135" s="103">
        <v>7.5471823343406741E-2</v>
      </c>
      <c r="I135" s="103">
        <v>7.5554622064971919E-2</v>
      </c>
      <c r="J135" s="103">
        <v>7.6105401991726634E-2</v>
      </c>
      <c r="K135" s="103">
        <v>7.7775606062927258E-2</v>
      </c>
      <c r="L135" s="103">
        <v>7.7771288640267833E-2</v>
      </c>
      <c r="M135" s="103">
        <v>7.7771288640267833E-2</v>
      </c>
      <c r="N135" s="103">
        <v>4.2444379553069345</v>
      </c>
      <c r="O135" s="103">
        <v>4.2444379553069345</v>
      </c>
      <c r="P135" s="103">
        <v>4.2444379553069345</v>
      </c>
      <c r="Q135" s="103">
        <v>4.2829315797416472</v>
      </c>
      <c r="R135" s="103">
        <v>4.2829315797416472</v>
      </c>
      <c r="S135" s="103">
        <v>4.282929006256543</v>
      </c>
      <c r="T135" s="103">
        <v>5.5223001183433595</v>
      </c>
      <c r="U135" s="103">
        <v>5.881936747131074</v>
      </c>
      <c r="V135" s="103">
        <v>5.8817823850505064</v>
      </c>
      <c r="W135" s="103">
        <v>6.1081313139480526</v>
      </c>
      <c r="X135" s="103">
        <v>6.105810312188038</v>
      </c>
      <c r="Y135" s="103">
        <v>6.1035742029422018</v>
      </c>
      <c r="Z135" s="103">
        <v>6.2833224990347336</v>
      </c>
      <c r="AA135" s="103">
        <v>6.2833224990347336</v>
      </c>
      <c r="AC135" s="7"/>
      <c r="AD135" s="7"/>
      <c r="AE135" s="7"/>
    </row>
    <row r="136" spans="1:31" x14ac:dyDescent="0.35">
      <c r="A136" s="100" t="s">
        <v>11</v>
      </c>
      <c r="B136" s="103">
        <v>1.0109289835049119E-2</v>
      </c>
      <c r="C136" s="103">
        <v>9.9788127701599602E-3</v>
      </c>
      <c r="D136" s="103">
        <v>9.9559572152975624E-3</v>
      </c>
      <c r="E136" s="103">
        <v>9.9484618078811201E-3</v>
      </c>
      <c r="F136" s="103">
        <v>0.99929502330375897</v>
      </c>
      <c r="G136" s="103">
        <v>2.2056439405704746</v>
      </c>
      <c r="H136" s="103">
        <v>2.2056439405704746</v>
      </c>
      <c r="I136" s="103">
        <v>2.2064468526250218</v>
      </c>
      <c r="J136" s="103">
        <v>2.2064468526250218</v>
      </c>
      <c r="K136" s="103">
        <v>2.0210012820227963</v>
      </c>
      <c r="L136" s="103">
        <v>1.7301696279441776</v>
      </c>
      <c r="M136" s="103">
        <v>1.7301696279441776</v>
      </c>
      <c r="N136" s="103">
        <v>2.8849427487511994</v>
      </c>
      <c r="O136" s="103">
        <v>2.8849427487511994</v>
      </c>
      <c r="P136" s="103">
        <v>2.8849427487511994</v>
      </c>
      <c r="Q136" s="103">
        <v>3.6031418570392848</v>
      </c>
      <c r="R136" s="103">
        <v>3.555955044992364</v>
      </c>
      <c r="S136" s="103">
        <v>3.5417234677465776</v>
      </c>
      <c r="T136" s="103">
        <v>3.2285915195413848</v>
      </c>
      <c r="U136" s="103">
        <v>3.1045781542269264</v>
      </c>
      <c r="V136" s="103">
        <v>3.0699380700398007</v>
      </c>
      <c r="W136" s="103">
        <v>3.0065289872488838</v>
      </c>
      <c r="X136" s="103">
        <v>2.6636943458856788</v>
      </c>
      <c r="Y136" s="103">
        <v>2.6636943458856788</v>
      </c>
      <c r="Z136" s="103">
        <v>2.6636943458856788</v>
      </c>
      <c r="AA136" s="103">
        <v>2.6636943458856788</v>
      </c>
      <c r="AC136" s="7"/>
      <c r="AD136" s="7"/>
      <c r="AE136" s="7"/>
    </row>
    <row r="137" spans="1:31" x14ac:dyDescent="0.35">
      <c r="A137" s="100" t="s">
        <v>12</v>
      </c>
      <c r="B137" s="103">
        <v>0</v>
      </c>
      <c r="C137" s="103">
        <v>0</v>
      </c>
      <c r="D137" s="103">
        <v>0</v>
      </c>
      <c r="E137" s="103">
        <v>0</v>
      </c>
      <c r="F137" s="103">
        <v>0</v>
      </c>
      <c r="G137" s="103">
        <v>0</v>
      </c>
      <c r="H137" s="103">
        <v>0</v>
      </c>
      <c r="I137" s="103">
        <v>0</v>
      </c>
      <c r="J137" s="103">
        <v>0</v>
      </c>
      <c r="K137" s="103">
        <v>0</v>
      </c>
      <c r="L137" s="103">
        <v>0</v>
      </c>
      <c r="M137" s="103">
        <v>0</v>
      </c>
      <c r="N137" s="103">
        <v>0</v>
      </c>
      <c r="O137" s="103">
        <v>15.714002991538267</v>
      </c>
      <c r="P137" s="103">
        <v>14.156354663651339</v>
      </c>
      <c r="Q137" s="103">
        <v>25</v>
      </c>
      <c r="R137" s="103">
        <v>25</v>
      </c>
      <c r="S137" s="103">
        <v>25</v>
      </c>
      <c r="T137" s="103">
        <v>25</v>
      </c>
      <c r="U137" s="103">
        <v>25</v>
      </c>
      <c r="V137" s="103">
        <v>25</v>
      </c>
      <c r="W137" s="103">
        <v>25</v>
      </c>
      <c r="X137" s="103">
        <v>25</v>
      </c>
      <c r="Y137" s="103">
        <v>21</v>
      </c>
      <c r="Z137" s="103">
        <v>21</v>
      </c>
      <c r="AA137" s="103">
        <v>21</v>
      </c>
      <c r="AC137" s="7"/>
      <c r="AD137" s="7"/>
      <c r="AE137" s="7"/>
    </row>
    <row r="138" spans="1:31" x14ac:dyDescent="0.35">
      <c r="A138" s="100" t="s">
        <v>13</v>
      </c>
      <c r="B138" s="103">
        <v>1.5425523019520144</v>
      </c>
      <c r="C138" s="103">
        <v>1.5425523019520144</v>
      </c>
      <c r="D138" s="103">
        <v>1.5425523019520144</v>
      </c>
      <c r="E138" s="103">
        <v>1.5425523019520144</v>
      </c>
      <c r="F138" s="103">
        <v>1.5425523019520144</v>
      </c>
      <c r="G138" s="103">
        <v>1.5426733783315136</v>
      </c>
      <c r="H138" s="103">
        <v>1.5171602719004531</v>
      </c>
      <c r="I138" s="103">
        <v>1.5173091906115397</v>
      </c>
      <c r="J138" s="103">
        <v>7.7661743813944533</v>
      </c>
      <c r="K138" s="103">
        <v>7.7654899317706585</v>
      </c>
      <c r="L138" s="103">
        <v>7.7654899317706585</v>
      </c>
      <c r="M138" s="103">
        <v>9.8403871445022162</v>
      </c>
      <c r="N138" s="103">
        <v>9.8403871445022162</v>
      </c>
      <c r="O138" s="103">
        <v>9.8403546710337348</v>
      </c>
      <c r="P138" s="103">
        <v>9.788109652105053</v>
      </c>
      <c r="Q138" s="103">
        <v>9.788109652105053</v>
      </c>
      <c r="R138" s="103">
        <v>10.003776528747309</v>
      </c>
      <c r="S138" s="103">
        <v>10.000327939558746</v>
      </c>
      <c r="T138" s="103">
        <v>10.19775715691606</v>
      </c>
      <c r="U138" s="103">
        <v>10.25430296968819</v>
      </c>
      <c r="V138" s="103">
        <v>10.745249277316185</v>
      </c>
      <c r="W138" s="103">
        <v>10.749610452977224</v>
      </c>
      <c r="X138" s="103">
        <v>10.791533440611092</v>
      </c>
      <c r="Y138" s="103">
        <v>10.811974914744996</v>
      </c>
      <c r="Z138" s="103">
        <v>10.821218235905206</v>
      </c>
      <c r="AA138" s="103">
        <v>10.821218235905206</v>
      </c>
      <c r="AC138" s="7"/>
      <c r="AD138" s="7"/>
      <c r="AE138" s="7"/>
    </row>
    <row r="139" spans="1:31" x14ac:dyDescent="0.35">
      <c r="A139" s="100" t="s">
        <v>14</v>
      </c>
      <c r="B139" s="103">
        <v>0</v>
      </c>
      <c r="C139" s="103">
        <v>0</v>
      </c>
      <c r="D139" s="103">
        <v>0</v>
      </c>
      <c r="E139" s="103">
        <v>0</v>
      </c>
      <c r="F139" s="103">
        <v>0</v>
      </c>
      <c r="G139" s="103">
        <v>0</v>
      </c>
      <c r="H139" s="103">
        <v>0.1326684461439859</v>
      </c>
      <c r="I139" s="103">
        <v>0.71835442172724306</v>
      </c>
      <c r="J139" s="103">
        <v>0.99433738944407923</v>
      </c>
      <c r="K139" s="103">
        <v>0.88729392329722889</v>
      </c>
      <c r="L139" s="103">
        <v>0.82790746140999771</v>
      </c>
      <c r="M139" s="103">
        <v>0.65989224293288207</v>
      </c>
      <c r="N139" s="103">
        <v>0.61506743753340121</v>
      </c>
      <c r="O139" s="103">
        <v>1.2426439539074134</v>
      </c>
      <c r="P139" s="103">
        <v>1.4844709640917764</v>
      </c>
      <c r="Q139" s="103">
        <v>2.153085530330467</v>
      </c>
      <c r="R139" s="103">
        <v>2.1616498279651459</v>
      </c>
      <c r="S139" s="103">
        <v>2.659180358170333</v>
      </c>
      <c r="T139" s="103">
        <v>3.3901228447464358</v>
      </c>
      <c r="U139" s="103">
        <v>3.5865887203626388</v>
      </c>
      <c r="V139" s="103">
        <v>3.9952395457276744</v>
      </c>
      <c r="W139" s="103">
        <v>4.0341941727938044</v>
      </c>
      <c r="X139" s="103">
        <v>4.0078822838769668</v>
      </c>
      <c r="Y139" s="103">
        <v>4.3871474107047979</v>
      </c>
      <c r="Z139" s="103">
        <v>4.2659840253559249</v>
      </c>
      <c r="AA139" s="103">
        <v>4.2659840253559249</v>
      </c>
      <c r="AC139" s="7"/>
      <c r="AD139" s="7"/>
      <c r="AE139" s="7"/>
    </row>
    <row r="140" spans="1:31" x14ac:dyDescent="0.35">
      <c r="A140" s="100" t="s">
        <v>43</v>
      </c>
      <c r="B140" s="103">
        <v>0</v>
      </c>
      <c r="C140" s="103">
        <v>0</v>
      </c>
      <c r="D140" s="103">
        <v>0</v>
      </c>
      <c r="E140" s="103">
        <v>0</v>
      </c>
      <c r="F140" s="103">
        <v>0</v>
      </c>
      <c r="G140" s="103">
        <v>0</v>
      </c>
      <c r="H140" s="103">
        <v>0</v>
      </c>
      <c r="I140" s="103">
        <v>0</v>
      </c>
      <c r="J140" s="103">
        <v>0.35</v>
      </c>
      <c r="K140" s="103">
        <v>0.7</v>
      </c>
      <c r="L140" s="103">
        <v>1.0499999999999998</v>
      </c>
      <c r="M140" s="103">
        <v>1.4</v>
      </c>
      <c r="N140" s="103">
        <v>1.75</v>
      </c>
      <c r="O140" s="103">
        <v>2.1</v>
      </c>
      <c r="P140" s="103">
        <v>2.4500000000000002</v>
      </c>
      <c r="Q140" s="103">
        <v>2.8000000000000003</v>
      </c>
      <c r="R140" s="103">
        <v>3.1500000000000004</v>
      </c>
      <c r="S140" s="103">
        <v>3.5000000000000004</v>
      </c>
      <c r="T140" s="103">
        <v>3.8500000000000005</v>
      </c>
      <c r="U140" s="103">
        <v>4.2</v>
      </c>
      <c r="V140" s="103">
        <v>4.55</v>
      </c>
      <c r="W140" s="103">
        <v>4.8999999999999995</v>
      </c>
      <c r="X140" s="103">
        <v>5.2499999999999991</v>
      </c>
      <c r="Y140" s="103">
        <v>5.5999999999999988</v>
      </c>
      <c r="Z140" s="103">
        <v>5.9499999999999984</v>
      </c>
      <c r="AA140" s="103">
        <v>6.3</v>
      </c>
      <c r="AC140" s="7"/>
      <c r="AD140" s="7"/>
      <c r="AE140" s="7"/>
    </row>
    <row r="141" spans="1:31" x14ac:dyDescent="0.35">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C141" s="7"/>
      <c r="AD141" s="7"/>
      <c r="AE141" s="7"/>
    </row>
    <row r="142" spans="1:31" x14ac:dyDescent="0.35">
      <c r="A142" s="102" t="s">
        <v>47</v>
      </c>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row>
    <row r="143" spans="1:31" x14ac:dyDescent="0.35">
      <c r="A143" s="100" t="s">
        <v>1</v>
      </c>
      <c r="B143" s="100">
        <v>0</v>
      </c>
      <c r="C143" s="100">
        <v>0</v>
      </c>
      <c r="D143" s="100">
        <v>0</v>
      </c>
      <c r="E143" s="100">
        <v>0</v>
      </c>
      <c r="F143" s="103">
        <v>16.275445583663121</v>
      </c>
      <c r="G143" s="103">
        <v>16.261382923111714</v>
      </c>
      <c r="H143" s="103">
        <v>14.272602309617877</v>
      </c>
      <c r="I143" s="103">
        <v>11.684520567484896</v>
      </c>
      <c r="J143" s="103">
        <v>10.799835525839619</v>
      </c>
      <c r="K143" s="103">
        <v>10.744880218968984</v>
      </c>
      <c r="L143" s="103">
        <v>10.868126541997352</v>
      </c>
      <c r="M143" s="103">
        <v>11.144622838011891</v>
      </c>
      <c r="N143" s="103">
        <v>11.161232887324978</v>
      </c>
      <c r="O143" s="103">
        <v>11.163558243537125</v>
      </c>
      <c r="P143" s="103">
        <v>11.182098270391471</v>
      </c>
      <c r="Q143" s="103">
        <v>11.182098270391471</v>
      </c>
      <c r="R143" s="103">
        <v>10.500267712570851</v>
      </c>
      <c r="S143" s="103">
        <v>10.499673762262008</v>
      </c>
      <c r="T143" s="103">
        <v>10.503850367647658</v>
      </c>
      <c r="U143" s="103">
        <v>10.504285815808501</v>
      </c>
      <c r="V143" s="103">
        <v>10.624507315088543</v>
      </c>
      <c r="W143" s="103">
        <v>10.921232770673353</v>
      </c>
      <c r="X143" s="103">
        <v>10.898143223229642</v>
      </c>
      <c r="Y143" s="103">
        <v>10.872784364636809</v>
      </c>
      <c r="Z143" s="103">
        <v>10.670222543685407</v>
      </c>
      <c r="AA143" s="103">
        <v>10.670222543685407</v>
      </c>
    </row>
    <row r="144" spans="1:31" x14ac:dyDescent="0.35">
      <c r="A144" s="100" t="s">
        <v>2</v>
      </c>
      <c r="B144" s="100">
        <v>0</v>
      </c>
      <c r="C144" s="100">
        <v>0</v>
      </c>
      <c r="D144" s="100">
        <v>0</v>
      </c>
      <c r="E144" s="100">
        <v>0</v>
      </c>
      <c r="F144" s="100">
        <v>0</v>
      </c>
      <c r="G144" s="100">
        <v>0</v>
      </c>
      <c r="H144" s="100">
        <v>0</v>
      </c>
      <c r="I144" s="103">
        <v>5.5044184634906728</v>
      </c>
      <c r="J144" s="103">
        <v>5.2432505418885071</v>
      </c>
      <c r="K144" s="103">
        <v>5.2261283934606197</v>
      </c>
      <c r="L144" s="103">
        <v>5.3411847801002352</v>
      </c>
      <c r="M144" s="103">
        <v>4.9926564766372827</v>
      </c>
      <c r="N144" s="103">
        <v>5.2941944635302889</v>
      </c>
      <c r="O144" s="103">
        <v>13.453925834334427</v>
      </c>
      <c r="P144" s="103">
        <v>13.462136008621023</v>
      </c>
      <c r="Q144" s="103">
        <v>13.457813757474415</v>
      </c>
      <c r="R144" s="103">
        <v>13.417656512718651</v>
      </c>
      <c r="S144" s="103">
        <v>13.41628444078458</v>
      </c>
      <c r="T144" s="103">
        <v>13.535638056956936</v>
      </c>
      <c r="U144" s="103">
        <v>13.496958208285683</v>
      </c>
      <c r="V144" s="103">
        <v>17.193277965502066</v>
      </c>
      <c r="W144" s="103">
        <v>17.258558855293558</v>
      </c>
      <c r="X144" s="103">
        <v>17.222467986693822</v>
      </c>
      <c r="Y144" s="103">
        <v>17.611347052707426</v>
      </c>
      <c r="Z144" s="103">
        <v>17.611887710147162</v>
      </c>
      <c r="AA144" s="103">
        <v>17.611887710147162</v>
      </c>
    </row>
    <row r="145" spans="1:28" x14ac:dyDescent="0.35">
      <c r="A145" s="100" t="s">
        <v>3</v>
      </c>
      <c r="B145" s="100">
        <v>0</v>
      </c>
      <c r="C145" s="100">
        <v>0</v>
      </c>
      <c r="D145" s="100">
        <v>0</v>
      </c>
      <c r="E145" s="103">
        <v>12.5</v>
      </c>
      <c r="F145" s="103">
        <v>12.5</v>
      </c>
      <c r="G145" s="103">
        <v>12.5</v>
      </c>
      <c r="H145" s="103">
        <v>12.5</v>
      </c>
      <c r="I145" s="103">
        <v>12.457063839923533</v>
      </c>
      <c r="J145" s="103">
        <v>12.458899141485604</v>
      </c>
      <c r="K145" s="103">
        <v>12.461363694698688</v>
      </c>
      <c r="L145" s="103">
        <v>12.374606818706605</v>
      </c>
      <c r="M145" s="103">
        <v>12.322321532597426</v>
      </c>
      <c r="N145" s="103">
        <v>11.624480623556872</v>
      </c>
      <c r="O145" s="103">
        <v>10.983517847533909</v>
      </c>
      <c r="P145" s="103">
        <v>11.021838524273951</v>
      </c>
      <c r="Q145" s="103">
        <v>11.09164690866856</v>
      </c>
      <c r="R145" s="103">
        <v>11.204525348414645</v>
      </c>
      <c r="S145" s="103">
        <v>11.232065721752369</v>
      </c>
      <c r="T145" s="103">
        <v>11.248770378827409</v>
      </c>
      <c r="U145" s="103">
        <v>11.344352825178095</v>
      </c>
      <c r="V145" s="103">
        <v>11.406544854224629</v>
      </c>
      <c r="W145" s="103">
        <v>11.526864368382105</v>
      </c>
      <c r="X145" s="103">
        <v>11.57943463856698</v>
      </c>
      <c r="Y145" s="103">
        <v>11.610994218320396</v>
      </c>
      <c r="Z145" s="103">
        <v>11.678200245831043</v>
      </c>
      <c r="AA145" s="103">
        <v>11.678200245831043</v>
      </c>
    </row>
    <row r="146" spans="1:28" x14ac:dyDescent="0.35">
      <c r="A146" s="100" t="s">
        <v>40</v>
      </c>
      <c r="B146" s="100">
        <v>0</v>
      </c>
      <c r="C146" s="100">
        <v>0</v>
      </c>
      <c r="D146" s="100">
        <v>0</v>
      </c>
      <c r="E146" s="100">
        <v>0</v>
      </c>
      <c r="F146" s="100">
        <v>0</v>
      </c>
      <c r="G146" s="100">
        <v>0</v>
      </c>
      <c r="H146" s="100">
        <v>0</v>
      </c>
      <c r="I146" s="100">
        <v>0</v>
      </c>
      <c r="J146" s="103">
        <v>11.357142857142858</v>
      </c>
      <c r="K146" s="103">
        <v>11.071428571428571</v>
      </c>
      <c r="L146" s="103">
        <v>10.785714285714286</v>
      </c>
      <c r="M146" s="103">
        <v>10.5</v>
      </c>
      <c r="N146" s="103">
        <v>10.214285714285715</v>
      </c>
      <c r="O146" s="103">
        <v>9.9285714285714288</v>
      </c>
      <c r="P146" s="103">
        <v>9.6428571428571441</v>
      </c>
      <c r="Q146" s="103">
        <v>9.3571428571428577</v>
      </c>
      <c r="R146" s="103">
        <v>9.071428571428573</v>
      </c>
      <c r="S146" s="103">
        <v>8.7857142857142865</v>
      </c>
      <c r="T146" s="103">
        <v>8.5000000000000018</v>
      </c>
      <c r="U146" s="103">
        <v>8.2142857142857153</v>
      </c>
      <c r="V146" s="103">
        <v>7.9285714285714297</v>
      </c>
      <c r="W146" s="103">
        <v>7.6428571428571441</v>
      </c>
      <c r="X146" s="103">
        <v>7.3571428571428585</v>
      </c>
      <c r="Y146" s="103">
        <v>7.071428571428573</v>
      </c>
      <c r="Z146" s="103">
        <v>6.7857142857142874</v>
      </c>
      <c r="AA146" s="103">
        <v>6.5</v>
      </c>
    </row>
    <row r="147" spans="1:28" x14ac:dyDescent="0.35">
      <c r="A147" s="100" t="s">
        <v>41</v>
      </c>
      <c r="B147" s="100">
        <v>0</v>
      </c>
      <c r="C147" s="100">
        <v>0</v>
      </c>
      <c r="D147" s="100">
        <v>0</v>
      </c>
      <c r="E147" s="100">
        <v>0</v>
      </c>
      <c r="F147" s="100">
        <v>0</v>
      </c>
      <c r="G147" s="100">
        <v>0</v>
      </c>
      <c r="H147" s="100">
        <v>0</v>
      </c>
      <c r="I147" s="100">
        <v>0</v>
      </c>
      <c r="J147" s="103">
        <v>12.15</v>
      </c>
      <c r="K147" s="103">
        <v>11.8</v>
      </c>
      <c r="L147" s="103">
        <v>11.45</v>
      </c>
      <c r="M147" s="103">
        <v>11.1</v>
      </c>
      <c r="N147" s="103">
        <v>10.75</v>
      </c>
      <c r="O147" s="103">
        <v>10.4</v>
      </c>
      <c r="P147" s="103">
        <v>10.050000000000001</v>
      </c>
      <c r="Q147" s="103">
        <v>9.6999999999999993</v>
      </c>
      <c r="R147" s="103">
        <v>9.35</v>
      </c>
      <c r="S147" s="103">
        <v>9</v>
      </c>
      <c r="T147" s="103">
        <v>8.6499999999999986</v>
      </c>
      <c r="U147" s="103">
        <v>8.3000000000000007</v>
      </c>
      <c r="V147" s="103">
        <v>7.9499999999999993</v>
      </c>
      <c r="W147" s="103">
        <v>7.6000000000000014</v>
      </c>
      <c r="X147" s="103">
        <v>7.25</v>
      </c>
      <c r="Y147" s="103">
        <v>6.9000000000000021</v>
      </c>
      <c r="Z147" s="103">
        <v>6.5500000000000007</v>
      </c>
      <c r="AA147" s="103">
        <v>18.7</v>
      </c>
    </row>
    <row r="148" spans="1:28" x14ac:dyDescent="0.35">
      <c r="A148" s="100" t="s">
        <v>42</v>
      </c>
      <c r="B148" s="100">
        <v>0</v>
      </c>
      <c r="C148" s="100">
        <v>0</v>
      </c>
      <c r="D148" s="100">
        <v>0</v>
      </c>
      <c r="E148" s="100">
        <v>0</v>
      </c>
      <c r="F148" s="100">
        <v>0</v>
      </c>
      <c r="G148" s="100">
        <v>0</v>
      </c>
      <c r="H148" s="100">
        <v>0</v>
      </c>
      <c r="I148" s="100">
        <v>0</v>
      </c>
      <c r="J148" s="100">
        <v>0</v>
      </c>
      <c r="K148" s="103">
        <v>12.5</v>
      </c>
      <c r="L148" s="103">
        <v>12.5</v>
      </c>
      <c r="M148" s="103">
        <v>12.5</v>
      </c>
      <c r="N148" s="103">
        <v>12.5</v>
      </c>
      <c r="O148" s="103">
        <v>12.5</v>
      </c>
      <c r="P148" s="103">
        <v>11.987500000000001</v>
      </c>
      <c r="Q148" s="103">
        <v>11.475</v>
      </c>
      <c r="R148" s="103">
        <v>10.9625</v>
      </c>
      <c r="S148" s="103">
        <v>10.45</v>
      </c>
      <c r="T148" s="103">
        <v>9.9375</v>
      </c>
      <c r="U148" s="103">
        <v>9.4249999999999989</v>
      </c>
      <c r="V148" s="103">
        <v>8.9124999999999996</v>
      </c>
      <c r="W148" s="103">
        <v>8.3999999999999986</v>
      </c>
      <c r="X148" s="103">
        <v>7.8874999999999993</v>
      </c>
      <c r="Y148" s="103">
        <v>7.3749999999999991</v>
      </c>
      <c r="Z148" s="103">
        <v>6.8624999999999989</v>
      </c>
      <c r="AA148" s="103">
        <v>6.35</v>
      </c>
    </row>
    <row r="149" spans="1:28" x14ac:dyDescent="0.35">
      <c r="A149" s="100" t="s">
        <v>4</v>
      </c>
      <c r="B149" s="100">
        <v>0</v>
      </c>
      <c r="C149" s="100">
        <v>0</v>
      </c>
      <c r="D149" s="100">
        <v>0</v>
      </c>
      <c r="E149" s="100">
        <v>0</v>
      </c>
      <c r="F149" s="100">
        <v>0</v>
      </c>
      <c r="G149" s="100">
        <v>0</v>
      </c>
      <c r="H149" s="100">
        <v>0</v>
      </c>
      <c r="I149" s="100">
        <v>0</v>
      </c>
      <c r="J149" s="100">
        <v>0</v>
      </c>
      <c r="K149" s="100">
        <v>0</v>
      </c>
      <c r="L149" s="100">
        <v>0</v>
      </c>
      <c r="M149" s="100">
        <v>0</v>
      </c>
      <c r="N149" s="100">
        <v>0</v>
      </c>
      <c r="O149" s="100">
        <v>0</v>
      </c>
      <c r="P149" s="100">
        <v>0</v>
      </c>
      <c r="Q149" s="100">
        <v>0</v>
      </c>
      <c r="R149" s="103">
        <v>9.3897022876131508</v>
      </c>
      <c r="S149" s="103">
        <v>9.4564507527820929</v>
      </c>
      <c r="T149" s="103">
        <v>9.1834668835747699</v>
      </c>
      <c r="U149" s="103">
        <v>8.7252702416162862</v>
      </c>
      <c r="V149" s="103">
        <v>8.4556429710640835</v>
      </c>
      <c r="W149" s="103">
        <v>8.8338217560013739</v>
      </c>
      <c r="X149" s="103">
        <v>8.8829973114209224</v>
      </c>
      <c r="Y149" s="103">
        <v>8.6029896080117183</v>
      </c>
      <c r="Z149" s="103">
        <v>8.5908013525874019</v>
      </c>
      <c r="AA149" s="103">
        <v>8.5908013525874019</v>
      </c>
    </row>
    <row r="150" spans="1:28" x14ac:dyDescent="0.35">
      <c r="A150" s="100" t="s">
        <v>5</v>
      </c>
      <c r="B150" s="100">
        <v>0</v>
      </c>
      <c r="C150" s="100">
        <v>0</v>
      </c>
      <c r="D150" s="100">
        <v>0</v>
      </c>
      <c r="E150" s="100">
        <v>0</v>
      </c>
      <c r="F150" s="103">
        <v>23.620577571694852</v>
      </c>
      <c r="G150" s="103">
        <v>22.541342695107097</v>
      </c>
      <c r="H150" s="103">
        <v>22.541342695107097</v>
      </c>
      <c r="I150" s="103">
        <v>16.403243217874234</v>
      </c>
      <c r="J150" s="103">
        <v>14.372125449754533</v>
      </c>
      <c r="K150" s="103">
        <v>14.372125449754533</v>
      </c>
      <c r="L150" s="103">
        <v>13.341472069904922</v>
      </c>
      <c r="M150" s="103">
        <v>10.936499137381364</v>
      </c>
      <c r="N150" s="103">
        <v>11.026272297269665</v>
      </c>
      <c r="O150" s="103">
        <v>11.033407018714925</v>
      </c>
      <c r="P150" s="103">
        <v>11.033602861604303</v>
      </c>
      <c r="Q150" s="103">
        <v>10.340015707881459</v>
      </c>
      <c r="R150" s="103">
        <v>10.748483890019175</v>
      </c>
      <c r="S150" s="103">
        <v>10.79620679268238</v>
      </c>
      <c r="T150" s="103">
        <v>10.79620679268238</v>
      </c>
      <c r="U150" s="103">
        <v>11.145147092722787</v>
      </c>
      <c r="V150" s="103">
        <v>11.455385548978825</v>
      </c>
      <c r="W150" s="103">
        <v>11.630469880013589</v>
      </c>
      <c r="X150" s="103">
        <v>11.634387048800674</v>
      </c>
      <c r="Y150" s="103">
        <v>11.566447767531429</v>
      </c>
      <c r="Z150" s="103">
        <v>10.403232698535113</v>
      </c>
      <c r="AA150" s="103">
        <v>10.403232698535113</v>
      </c>
    </row>
    <row r="151" spans="1:28" x14ac:dyDescent="0.35">
      <c r="A151" s="100" t="s">
        <v>6</v>
      </c>
      <c r="B151" s="103">
        <v>0</v>
      </c>
      <c r="C151" s="103">
        <v>0</v>
      </c>
      <c r="D151" s="103">
        <v>18.287020028941747</v>
      </c>
      <c r="E151" s="103">
        <v>19.041470849653511</v>
      </c>
      <c r="F151" s="103">
        <v>18.876047610357734</v>
      </c>
      <c r="G151" s="103">
        <v>18.906250419756898</v>
      </c>
      <c r="H151" s="103">
        <v>18.214217364586357</v>
      </c>
      <c r="I151" s="103">
        <v>17.617067998536037</v>
      </c>
      <c r="J151" s="103">
        <v>17.363091667809375</v>
      </c>
      <c r="K151" s="103">
        <v>16.909119188901741</v>
      </c>
      <c r="L151" s="103">
        <v>16.725537990127286</v>
      </c>
      <c r="M151" s="103">
        <v>16.662178208511754</v>
      </c>
      <c r="N151" s="103">
        <v>16.662178208511754</v>
      </c>
      <c r="O151" s="103">
        <v>16.827122718935236</v>
      </c>
      <c r="P151" s="103">
        <v>17.056771699410703</v>
      </c>
      <c r="Q151" s="103">
        <v>14.973785500179718</v>
      </c>
      <c r="R151" s="103">
        <v>14.97537177826753</v>
      </c>
      <c r="S151" s="103">
        <v>14.979285597978512</v>
      </c>
      <c r="T151" s="103">
        <v>14.877159143309925</v>
      </c>
      <c r="U151" s="103">
        <v>14.622563477167006</v>
      </c>
      <c r="V151" s="103">
        <v>14.244117319272551</v>
      </c>
      <c r="W151" s="103">
        <v>13.816601202704003</v>
      </c>
      <c r="X151" s="103">
        <v>13.765378397046348</v>
      </c>
      <c r="Y151" s="103">
        <v>13.789491674484337</v>
      </c>
      <c r="Z151" s="103">
        <v>13.717874187983641</v>
      </c>
      <c r="AA151" s="103">
        <v>13.717874187983641</v>
      </c>
    </row>
    <row r="152" spans="1:28" x14ac:dyDescent="0.35">
      <c r="A152" s="100" t="s">
        <v>7</v>
      </c>
      <c r="B152" s="100">
        <v>0</v>
      </c>
      <c r="C152" s="100">
        <v>0</v>
      </c>
      <c r="D152" s="100">
        <v>0</v>
      </c>
      <c r="E152" s="100">
        <v>0</v>
      </c>
      <c r="F152" s="100">
        <v>0</v>
      </c>
      <c r="G152" s="103">
        <v>13.332199547119874</v>
      </c>
      <c r="H152" s="103">
        <v>12.34123881845168</v>
      </c>
      <c r="I152" s="103">
        <v>11.226206772693414</v>
      </c>
      <c r="J152" s="103">
        <v>11.026818340380448</v>
      </c>
      <c r="K152" s="103">
        <v>10.658888248104653</v>
      </c>
      <c r="L152" s="103">
        <v>10.670384588682879</v>
      </c>
      <c r="M152" s="103">
        <v>10.686357731475688</v>
      </c>
      <c r="N152" s="103">
        <v>10.710000869987574</v>
      </c>
      <c r="O152" s="103">
        <v>10.71044302013593</v>
      </c>
      <c r="P152" s="103">
        <v>10.681755013570966</v>
      </c>
      <c r="Q152" s="103">
        <v>10.573308453327328</v>
      </c>
      <c r="R152" s="103">
        <v>10.295987996957349</v>
      </c>
      <c r="S152" s="103">
        <v>10.057340704606204</v>
      </c>
      <c r="T152" s="103">
        <v>10.079930972883764</v>
      </c>
      <c r="U152" s="103">
        <v>9.7069763342792665</v>
      </c>
      <c r="V152" s="103">
        <v>9.5503687075692838</v>
      </c>
      <c r="W152" s="103">
        <v>9.5270299990511234</v>
      </c>
      <c r="X152" s="103">
        <v>9.2325282836801712</v>
      </c>
      <c r="Y152" s="103">
        <v>8.9238470476805674</v>
      </c>
      <c r="Z152" s="103">
        <v>8.7089744926749759</v>
      </c>
      <c r="AA152" s="103">
        <v>8.7089744926749759</v>
      </c>
    </row>
    <row r="153" spans="1:28" x14ac:dyDescent="0.35">
      <c r="A153" s="100" t="s">
        <v>8</v>
      </c>
      <c r="B153" s="100">
        <v>0</v>
      </c>
      <c r="C153" s="100">
        <v>0</v>
      </c>
      <c r="D153" s="100">
        <v>0</v>
      </c>
      <c r="E153" s="100">
        <v>0</v>
      </c>
      <c r="F153" s="100">
        <v>0</v>
      </c>
      <c r="G153" s="100">
        <v>0</v>
      </c>
      <c r="H153" s="100">
        <v>0</v>
      </c>
      <c r="I153" s="100">
        <v>0</v>
      </c>
      <c r="J153" s="100">
        <v>0</v>
      </c>
      <c r="K153" s="100">
        <v>0</v>
      </c>
      <c r="L153" s="100">
        <v>0</v>
      </c>
      <c r="M153" s="103">
        <v>9.4982947262573454</v>
      </c>
      <c r="N153" s="103">
        <v>9.1668908387130212</v>
      </c>
      <c r="O153" s="103">
        <v>7.0230818738183061</v>
      </c>
      <c r="P153" s="103">
        <v>6.9788109254244439</v>
      </c>
      <c r="Q153" s="103">
        <v>6.9751430923174418</v>
      </c>
      <c r="R153" s="103">
        <v>6.9326894166903124</v>
      </c>
      <c r="S153" s="103">
        <v>6.9306150763800609</v>
      </c>
      <c r="T153" s="103">
        <v>6.9451307657207515</v>
      </c>
      <c r="U153" s="103">
        <v>6.9485753475574512</v>
      </c>
      <c r="V153" s="103">
        <v>6.8681624712172109</v>
      </c>
      <c r="W153" s="103">
        <v>6.8295128723241341</v>
      </c>
      <c r="X153" s="103">
        <v>6.8269775746488648</v>
      </c>
      <c r="Y153" s="103">
        <v>6.8236742709494962</v>
      </c>
      <c r="Z153" s="103">
        <v>6.6819096643579918</v>
      </c>
      <c r="AA153" s="103">
        <v>6.6819096643579918</v>
      </c>
    </row>
    <row r="154" spans="1:28" x14ac:dyDescent="0.35">
      <c r="A154" s="100" t="s">
        <v>9</v>
      </c>
      <c r="B154" s="100">
        <v>0</v>
      </c>
      <c r="C154" s="100">
        <v>0</v>
      </c>
      <c r="D154" s="100">
        <v>0</v>
      </c>
      <c r="E154" s="100">
        <v>0</v>
      </c>
      <c r="F154" s="100">
        <v>0</v>
      </c>
      <c r="G154" s="100">
        <v>0</v>
      </c>
      <c r="H154" s="100">
        <v>0</v>
      </c>
      <c r="I154" s="103">
        <v>21.5</v>
      </c>
      <c r="J154" s="103">
        <v>21.5</v>
      </c>
      <c r="K154" s="103">
        <v>4.1666666666666679</v>
      </c>
      <c r="L154" s="103">
        <v>4.1744186046511622</v>
      </c>
      <c r="M154" s="103">
        <v>4.1744186046511622</v>
      </c>
      <c r="N154" s="103">
        <v>23.501070663811564</v>
      </c>
      <c r="O154" s="103">
        <v>23.501070663811564</v>
      </c>
      <c r="P154" s="103">
        <v>23.504273504273506</v>
      </c>
      <c r="Q154" s="103">
        <v>22.405462184873951</v>
      </c>
      <c r="R154" s="103">
        <v>22.310540069686411</v>
      </c>
      <c r="S154" s="103">
        <v>22.671568627450981</v>
      </c>
      <c r="T154" s="103">
        <v>22.867748618784532</v>
      </c>
      <c r="U154" s="103">
        <v>22.870689655172413</v>
      </c>
      <c r="V154" s="103">
        <v>23.082298136645964</v>
      </c>
      <c r="W154" s="103">
        <v>21.723364978902953</v>
      </c>
      <c r="X154" s="103">
        <v>22.534579918032787</v>
      </c>
      <c r="Y154" s="103">
        <v>21.461071789686553</v>
      </c>
      <c r="Z154" s="103">
        <v>19.545454545454547</v>
      </c>
      <c r="AA154" s="103">
        <v>25</v>
      </c>
    </row>
    <row r="155" spans="1:28" x14ac:dyDescent="0.35">
      <c r="A155" s="100" t="s">
        <v>10</v>
      </c>
      <c r="B155" s="100">
        <v>0</v>
      </c>
      <c r="C155" s="100">
        <v>0</v>
      </c>
      <c r="D155" s="100">
        <v>0</v>
      </c>
      <c r="E155" s="100">
        <v>0</v>
      </c>
      <c r="F155" s="100">
        <v>0</v>
      </c>
      <c r="G155" s="100">
        <v>0</v>
      </c>
      <c r="H155" s="100">
        <v>0</v>
      </c>
      <c r="I155" s="100">
        <v>0</v>
      </c>
      <c r="J155" s="100">
        <v>0</v>
      </c>
      <c r="K155" s="100">
        <v>0</v>
      </c>
      <c r="L155" s="100">
        <v>0</v>
      </c>
      <c r="M155" s="100">
        <v>0</v>
      </c>
      <c r="N155" s="100">
        <v>0</v>
      </c>
      <c r="O155" s="103">
        <v>20.755562044693065</v>
      </c>
      <c r="P155" s="103">
        <v>20.755562044693065</v>
      </c>
      <c r="Q155" s="103">
        <v>20.717068420258354</v>
      </c>
      <c r="R155" s="103">
        <v>20.717068420258354</v>
      </c>
      <c r="S155" s="103">
        <v>20.717070993743455</v>
      </c>
      <c r="T155" s="103">
        <v>19.47769988165664</v>
      </c>
      <c r="U155" s="103">
        <v>19.118063252868925</v>
      </c>
      <c r="V155" s="103">
        <v>19.118217614949494</v>
      </c>
      <c r="W155" s="103">
        <v>18.891868686051946</v>
      </c>
      <c r="X155" s="103">
        <v>18.894189687811963</v>
      </c>
      <c r="Y155" s="103">
        <v>18.896425797057798</v>
      </c>
      <c r="Z155" s="103">
        <v>18.716677500965268</v>
      </c>
      <c r="AA155" s="103">
        <v>18.716677500965268</v>
      </c>
    </row>
    <row r="156" spans="1:28" x14ac:dyDescent="0.35">
      <c r="A156" s="100" t="s">
        <v>11</v>
      </c>
      <c r="B156" s="100">
        <v>0</v>
      </c>
      <c r="C156" s="100">
        <v>0</v>
      </c>
      <c r="D156" s="100">
        <v>0</v>
      </c>
      <c r="E156" s="100">
        <v>0</v>
      </c>
      <c r="F156" s="100">
        <v>0</v>
      </c>
      <c r="G156" s="100">
        <v>0</v>
      </c>
      <c r="H156" s="100">
        <v>0</v>
      </c>
      <c r="I156" s="100">
        <v>12.5</v>
      </c>
      <c r="J156" s="100">
        <v>12.5</v>
      </c>
      <c r="K156" s="100">
        <v>12.5</v>
      </c>
      <c r="L156" s="100">
        <v>12.5</v>
      </c>
      <c r="M156" s="100">
        <v>12.5</v>
      </c>
      <c r="N156" s="100">
        <v>12.5</v>
      </c>
      <c r="O156" s="100">
        <v>12.5</v>
      </c>
      <c r="P156" s="100">
        <v>12.5</v>
      </c>
      <c r="Q156" s="100">
        <v>12.5</v>
      </c>
      <c r="R156" s="100">
        <v>12.5</v>
      </c>
      <c r="S156" s="100">
        <v>12.5</v>
      </c>
      <c r="T156" s="100">
        <v>12.5</v>
      </c>
      <c r="U156" s="100">
        <v>12.5</v>
      </c>
      <c r="V156" s="100">
        <v>12.5</v>
      </c>
      <c r="W156" s="100">
        <v>12.5</v>
      </c>
      <c r="X156" s="100">
        <v>12.5</v>
      </c>
      <c r="Y156" s="100">
        <v>12.5</v>
      </c>
      <c r="Z156" s="100">
        <v>12.5</v>
      </c>
      <c r="AA156" s="100">
        <v>12.5</v>
      </c>
    </row>
    <row r="157" spans="1:28" x14ac:dyDescent="0.35">
      <c r="A157" s="100" t="s">
        <v>12</v>
      </c>
      <c r="B157" s="100">
        <v>0</v>
      </c>
      <c r="C157" s="100">
        <v>0</v>
      </c>
      <c r="D157" s="100">
        <v>0</v>
      </c>
      <c r="E157" s="100">
        <v>0</v>
      </c>
      <c r="F157" s="100">
        <v>0</v>
      </c>
      <c r="G157" s="100">
        <v>0</v>
      </c>
      <c r="H157" s="100">
        <v>0</v>
      </c>
      <c r="I157" s="100">
        <v>0</v>
      </c>
      <c r="J157" s="100">
        <v>0</v>
      </c>
      <c r="K157" s="103">
        <v>25</v>
      </c>
      <c r="L157" s="103">
        <v>25</v>
      </c>
      <c r="M157" s="103">
        <v>25</v>
      </c>
      <c r="N157" s="103">
        <v>25</v>
      </c>
      <c r="O157" s="103">
        <v>9.2859970084617327</v>
      </c>
      <c r="P157" s="103">
        <v>10.843645336348661</v>
      </c>
      <c r="Q157" s="103">
        <v>0</v>
      </c>
      <c r="R157" s="103">
        <v>0</v>
      </c>
      <c r="S157" s="103">
        <v>0</v>
      </c>
      <c r="T157" s="103">
        <v>0</v>
      </c>
      <c r="U157" s="103">
        <v>0</v>
      </c>
      <c r="V157" s="103">
        <v>0</v>
      </c>
      <c r="W157" s="103">
        <v>0</v>
      </c>
      <c r="X157" s="103">
        <v>0</v>
      </c>
      <c r="Y157" s="103">
        <v>4</v>
      </c>
      <c r="Z157" s="103">
        <v>4</v>
      </c>
      <c r="AA157" s="103">
        <v>4</v>
      </c>
    </row>
    <row r="158" spans="1:28" x14ac:dyDescent="0.35">
      <c r="A158" s="100" t="s">
        <v>13</v>
      </c>
      <c r="B158" s="100">
        <v>0</v>
      </c>
      <c r="C158" s="100">
        <v>0</v>
      </c>
      <c r="D158" s="100">
        <v>0</v>
      </c>
      <c r="E158" s="100">
        <v>0</v>
      </c>
      <c r="F158" s="100">
        <v>0</v>
      </c>
      <c r="G158" s="100">
        <v>0</v>
      </c>
      <c r="H158" s="100">
        <v>0</v>
      </c>
      <c r="I158" s="100">
        <v>0</v>
      </c>
      <c r="J158" s="103">
        <v>12.233825618605547</v>
      </c>
      <c r="K158" s="103">
        <v>12.234510068229341</v>
      </c>
      <c r="L158" s="103">
        <v>12.234510068229341</v>
      </c>
      <c r="M158" s="103">
        <v>10.159612855497784</v>
      </c>
      <c r="N158" s="103">
        <v>10.159612855497784</v>
      </c>
      <c r="O158" s="103">
        <v>10.159645328966265</v>
      </c>
      <c r="P158" s="103">
        <v>10.211890347894947</v>
      </c>
      <c r="Q158" s="103">
        <v>10.211890347894947</v>
      </c>
      <c r="R158" s="103">
        <v>9.9962234712526907</v>
      </c>
      <c r="S158" s="103">
        <v>9.9996720604412541</v>
      </c>
      <c r="T158" s="103">
        <v>9.8022428430839401</v>
      </c>
      <c r="U158" s="103">
        <v>9.7456970303118098</v>
      </c>
      <c r="V158" s="103">
        <v>9.2547507226838146</v>
      </c>
      <c r="W158" s="103">
        <v>9.2503895470227757</v>
      </c>
      <c r="X158" s="103">
        <v>9.2084665593889081</v>
      </c>
      <c r="Y158" s="103">
        <v>9.1880250852550045</v>
      </c>
      <c r="Z158" s="103">
        <v>9.1787817640947935</v>
      </c>
      <c r="AA158" s="103">
        <v>9.1787817640947935</v>
      </c>
    </row>
    <row r="159" spans="1:28" x14ac:dyDescent="0.35">
      <c r="A159" s="100" t="s">
        <v>14</v>
      </c>
      <c r="B159" s="100">
        <v>0</v>
      </c>
      <c r="C159" s="100">
        <v>0</v>
      </c>
      <c r="D159" s="100">
        <v>0</v>
      </c>
      <c r="E159" s="100">
        <v>0</v>
      </c>
      <c r="F159" s="100">
        <v>0</v>
      </c>
      <c r="G159" s="100">
        <v>0</v>
      </c>
      <c r="H159" s="100">
        <v>0</v>
      </c>
      <c r="I159" s="100">
        <v>0</v>
      </c>
      <c r="J159" s="100">
        <v>0</v>
      </c>
      <c r="K159" s="100">
        <v>0</v>
      </c>
      <c r="L159" s="100">
        <v>0</v>
      </c>
      <c r="M159" s="100">
        <v>0</v>
      </c>
      <c r="N159" s="100">
        <v>0</v>
      </c>
      <c r="O159" s="100">
        <v>0</v>
      </c>
      <c r="P159" s="103">
        <v>7.2655290359082239</v>
      </c>
      <c r="Q159" s="103">
        <v>6.5969144696695334</v>
      </c>
      <c r="R159" s="103">
        <v>6.5883501720348541</v>
      </c>
      <c r="S159" s="103">
        <v>6.0908196418296665</v>
      </c>
      <c r="T159" s="103">
        <v>5.3598771552535638</v>
      </c>
      <c r="U159" s="103">
        <v>5.1634112796373612</v>
      </c>
      <c r="V159" s="103">
        <v>4.7547604542723256</v>
      </c>
      <c r="W159" s="103">
        <v>4.7158058272061956</v>
      </c>
      <c r="X159" s="103">
        <v>4.7421177161230332</v>
      </c>
      <c r="Y159" s="103">
        <v>4.3628525892952021</v>
      </c>
      <c r="Z159" s="103">
        <v>4.4840159746440751</v>
      </c>
      <c r="AA159" s="103">
        <v>4.4840159746440751</v>
      </c>
    </row>
    <row r="160" spans="1:28" s="7" customFormat="1" x14ac:dyDescent="0.35">
      <c r="AB160" s="3"/>
    </row>
    <row r="161" spans="28:28" s="7" customFormat="1" x14ac:dyDescent="0.35">
      <c r="AB161" s="3"/>
    </row>
    <row r="162" spans="28:28" s="7" customFormat="1" x14ac:dyDescent="0.35">
      <c r="AB162" s="3"/>
    </row>
    <row r="163" spans="28:28" s="7" customFormat="1" x14ac:dyDescent="0.35">
      <c r="AB163" s="3"/>
    </row>
    <row r="164" spans="28:28" s="7" customFormat="1" x14ac:dyDescent="0.35">
      <c r="AB164" s="3"/>
    </row>
    <row r="165" spans="28:28" s="7" customFormat="1" x14ac:dyDescent="0.35">
      <c r="AB165" s="3"/>
    </row>
    <row r="166" spans="28:28" s="7" customFormat="1" x14ac:dyDescent="0.35">
      <c r="AB166" s="3"/>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6451-0F96-4917-AEBA-287CEA35937E}">
  <dimension ref="A2:AQ48"/>
  <sheetViews>
    <sheetView zoomScaleNormal="100" workbookViewId="0">
      <selection activeCell="G34" sqref="G34"/>
    </sheetView>
  </sheetViews>
  <sheetFormatPr defaultRowHeight="14.5" x14ac:dyDescent="0.35"/>
  <cols>
    <col min="1" max="1" width="8.7265625" style="7"/>
    <col min="2" max="2" width="9.90625" customWidth="1"/>
    <col min="3" max="3" width="13.26953125" customWidth="1"/>
    <col min="4" max="4" width="14.26953125" customWidth="1"/>
    <col min="5" max="5" width="9.453125" customWidth="1"/>
    <col min="9" max="9" width="10.6328125" customWidth="1"/>
    <col min="14" max="14" width="11.453125" customWidth="1"/>
    <col min="15" max="15" width="14.54296875" customWidth="1"/>
    <col min="16" max="16" width="14.26953125" style="12" customWidth="1"/>
    <col min="22" max="22" width="11.36328125" bestFit="1" customWidth="1"/>
  </cols>
  <sheetData>
    <row r="2" spans="3:43" ht="15" thickBot="1" x14ac:dyDescent="0.4"/>
    <row r="3" spans="3:43" s="1" customFormat="1" x14ac:dyDescent="0.35">
      <c r="C3" s="62"/>
      <c r="D3" s="45"/>
      <c r="E3" s="75" t="s">
        <v>85</v>
      </c>
      <c r="F3" s="76"/>
      <c r="G3" s="77"/>
      <c r="H3" s="75" t="s">
        <v>50</v>
      </c>
      <c r="I3" s="76"/>
      <c r="J3" s="77"/>
      <c r="K3" s="75" t="s">
        <v>82</v>
      </c>
      <c r="L3" s="76"/>
      <c r="M3" s="77"/>
      <c r="N3" s="75" t="s">
        <v>79</v>
      </c>
      <c r="O3" s="77"/>
      <c r="P3" s="51"/>
      <c r="Q3" s="75" t="s">
        <v>57</v>
      </c>
      <c r="R3" s="76"/>
      <c r="S3" s="77"/>
    </row>
    <row r="4" spans="3:43" s="44" customFormat="1" ht="31.5" customHeight="1" x14ac:dyDescent="0.35">
      <c r="C4" s="40"/>
      <c r="D4" s="40"/>
      <c r="E4" s="78" t="s">
        <v>77</v>
      </c>
      <c r="F4" s="79"/>
      <c r="G4" s="80"/>
      <c r="H4" s="78" t="s">
        <v>77</v>
      </c>
      <c r="I4" s="79"/>
      <c r="J4" s="80"/>
      <c r="K4" s="78" t="s">
        <v>86</v>
      </c>
      <c r="L4" s="79"/>
      <c r="M4" s="80"/>
      <c r="N4" s="40"/>
      <c r="O4" s="41"/>
      <c r="P4" s="40"/>
      <c r="Q4" s="78" t="s">
        <v>58</v>
      </c>
      <c r="R4" s="79"/>
      <c r="S4" s="80"/>
    </row>
    <row r="5" spans="3:43" s="50" customFormat="1" ht="15" thickBot="1" x14ac:dyDescent="0.4">
      <c r="C5" s="46"/>
      <c r="D5" s="47"/>
      <c r="E5" s="48" t="s">
        <v>80</v>
      </c>
      <c r="F5" s="47" t="s">
        <v>81</v>
      </c>
      <c r="G5" s="47" t="s">
        <v>87</v>
      </c>
      <c r="H5" s="48" t="s">
        <v>49</v>
      </c>
      <c r="I5" s="47" t="s">
        <v>73</v>
      </c>
      <c r="J5" s="49" t="s">
        <v>74</v>
      </c>
      <c r="K5" s="48" t="s">
        <v>83</v>
      </c>
      <c r="L5" s="47" t="s">
        <v>84</v>
      </c>
      <c r="M5" s="49" t="s">
        <v>88</v>
      </c>
      <c r="N5" s="47" t="s">
        <v>59</v>
      </c>
      <c r="O5" s="49" t="s">
        <v>60</v>
      </c>
      <c r="P5" s="47"/>
      <c r="Q5" s="48" t="s">
        <v>75</v>
      </c>
      <c r="R5" s="47" t="s">
        <v>76</v>
      </c>
      <c r="S5" s="49" t="s">
        <v>48</v>
      </c>
    </row>
    <row r="6" spans="3:43" s="3" customFormat="1" x14ac:dyDescent="0.35">
      <c r="C6" s="65" t="s">
        <v>51</v>
      </c>
      <c r="D6" s="42" t="s">
        <v>61</v>
      </c>
      <c r="E6" s="22">
        <v>8</v>
      </c>
      <c r="F6" s="23">
        <v>0</v>
      </c>
      <c r="G6" s="23">
        <v>2</v>
      </c>
      <c r="H6" s="22">
        <v>3</v>
      </c>
      <c r="I6" s="23">
        <v>5</v>
      </c>
      <c r="J6" s="24">
        <v>2</v>
      </c>
      <c r="K6" s="22">
        <v>4</v>
      </c>
      <c r="L6" s="23">
        <v>3</v>
      </c>
      <c r="M6" s="24">
        <v>3</v>
      </c>
      <c r="N6" s="23">
        <v>8</v>
      </c>
      <c r="O6" s="24">
        <v>2</v>
      </c>
      <c r="P6" s="14"/>
      <c r="Q6" s="22">
        <v>3</v>
      </c>
      <c r="R6" s="23">
        <v>2</v>
      </c>
      <c r="S6" s="24">
        <v>5</v>
      </c>
    </row>
    <row r="7" spans="3:43" s="3" customFormat="1" x14ac:dyDescent="0.35">
      <c r="C7" s="63"/>
      <c r="D7" s="9" t="s">
        <v>62</v>
      </c>
      <c r="E7" s="15">
        <v>3</v>
      </c>
      <c r="F7" s="14">
        <v>2</v>
      </c>
      <c r="G7" s="14">
        <v>1</v>
      </c>
      <c r="H7" s="15">
        <v>1</v>
      </c>
      <c r="I7" s="14">
        <v>3</v>
      </c>
      <c r="J7" s="16">
        <v>2</v>
      </c>
      <c r="K7" s="15">
        <v>2</v>
      </c>
      <c r="L7" s="14">
        <v>3</v>
      </c>
      <c r="M7" s="16">
        <v>1</v>
      </c>
      <c r="N7" s="14">
        <v>5</v>
      </c>
      <c r="O7" s="16">
        <v>1</v>
      </c>
      <c r="P7" s="14"/>
      <c r="Q7" s="15">
        <v>2</v>
      </c>
      <c r="R7" s="14">
        <v>3</v>
      </c>
      <c r="S7" s="16">
        <v>1</v>
      </c>
    </row>
    <row r="8" spans="3:43" s="3" customFormat="1" ht="15" thickBot="1" x14ac:dyDescent="0.4">
      <c r="C8" s="66"/>
      <c r="D8" s="43" t="s">
        <v>63</v>
      </c>
      <c r="E8" s="25">
        <v>1</v>
      </c>
      <c r="F8" s="26">
        <v>0</v>
      </c>
      <c r="G8" s="26">
        <v>0</v>
      </c>
      <c r="H8" s="25">
        <v>0</v>
      </c>
      <c r="I8" s="26">
        <v>0</v>
      </c>
      <c r="J8" s="27">
        <v>1</v>
      </c>
      <c r="K8" s="25">
        <v>0</v>
      </c>
      <c r="L8" s="26">
        <v>0</v>
      </c>
      <c r="M8" s="27">
        <v>1</v>
      </c>
      <c r="N8" s="26">
        <v>1</v>
      </c>
      <c r="O8" s="27">
        <v>0</v>
      </c>
      <c r="P8" s="14"/>
      <c r="Q8" s="25">
        <v>1</v>
      </c>
      <c r="R8" s="26">
        <v>0</v>
      </c>
      <c r="S8" s="27">
        <v>0</v>
      </c>
    </row>
    <row r="9" spans="3:43" s="3" customFormat="1" x14ac:dyDescent="0.35">
      <c r="C9" s="65" t="s">
        <v>64</v>
      </c>
      <c r="D9" s="37" t="s">
        <v>65</v>
      </c>
      <c r="E9" s="28">
        <v>10</v>
      </c>
      <c r="F9" s="29">
        <v>2</v>
      </c>
      <c r="G9" s="29">
        <v>3</v>
      </c>
      <c r="H9" s="28">
        <v>4</v>
      </c>
      <c r="I9" s="29">
        <v>6</v>
      </c>
      <c r="J9" s="30">
        <v>5</v>
      </c>
      <c r="K9" s="28">
        <v>5</v>
      </c>
      <c r="L9" s="29">
        <v>5</v>
      </c>
      <c r="M9" s="30">
        <v>5</v>
      </c>
      <c r="N9" s="29">
        <v>12</v>
      </c>
      <c r="O9" s="30">
        <v>3</v>
      </c>
      <c r="P9" s="13"/>
      <c r="Q9" s="28">
        <v>5</v>
      </c>
      <c r="R9" s="29">
        <v>5</v>
      </c>
      <c r="S9" s="30">
        <v>5</v>
      </c>
    </row>
    <row r="10" spans="3:43" s="3" customFormat="1" ht="15" thickBot="1" x14ac:dyDescent="0.4">
      <c r="C10" s="63"/>
      <c r="D10" s="10" t="s">
        <v>62</v>
      </c>
      <c r="E10" s="17">
        <v>2</v>
      </c>
      <c r="F10" s="13">
        <v>0</v>
      </c>
      <c r="G10" s="13">
        <v>0</v>
      </c>
      <c r="H10" s="17">
        <v>0</v>
      </c>
      <c r="I10" s="13">
        <v>2</v>
      </c>
      <c r="J10" s="18">
        <v>0</v>
      </c>
      <c r="K10" s="17">
        <v>1</v>
      </c>
      <c r="L10" s="13">
        <v>1</v>
      </c>
      <c r="M10" s="18">
        <v>0</v>
      </c>
      <c r="N10" s="13">
        <v>2</v>
      </c>
      <c r="O10" s="18">
        <v>0</v>
      </c>
      <c r="P10" s="13"/>
      <c r="Q10" s="17">
        <v>1</v>
      </c>
      <c r="R10" s="13">
        <v>0</v>
      </c>
      <c r="S10" s="18">
        <v>1</v>
      </c>
    </row>
    <row r="11" spans="3:43" s="3" customFormat="1" x14ac:dyDescent="0.35">
      <c r="C11" s="65" t="s">
        <v>52</v>
      </c>
      <c r="D11" s="37" t="s">
        <v>66</v>
      </c>
      <c r="E11" s="28">
        <v>8</v>
      </c>
      <c r="F11" s="29">
        <v>2</v>
      </c>
      <c r="G11" s="29">
        <v>1</v>
      </c>
      <c r="H11" s="28">
        <v>3</v>
      </c>
      <c r="I11" s="29">
        <v>5</v>
      </c>
      <c r="J11" s="30">
        <v>3</v>
      </c>
      <c r="K11" s="28">
        <v>5</v>
      </c>
      <c r="L11" s="29">
        <v>4</v>
      </c>
      <c r="M11" s="30">
        <v>2</v>
      </c>
      <c r="N11" s="29">
        <v>10</v>
      </c>
      <c r="O11" s="30">
        <v>1</v>
      </c>
      <c r="P11" s="13"/>
      <c r="Q11" s="28">
        <v>5</v>
      </c>
      <c r="R11" s="29">
        <v>4</v>
      </c>
      <c r="S11" s="30">
        <v>2</v>
      </c>
      <c r="V11" s="3">
        <f>3/17</f>
        <v>0.17647058823529413</v>
      </c>
    </row>
    <row r="12" spans="3:43" s="3" customFormat="1" ht="15" thickBot="1" x14ac:dyDescent="0.4">
      <c r="C12" s="66"/>
      <c r="D12" s="11" t="s">
        <v>67</v>
      </c>
      <c r="E12" s="19">
        <v>4</v>
      </c>
      <c r="F12" s="20">
        <v>0</v>
      </c>
      <c r="G12" s="20">
        <v>2</v>
      </c>
      <c r="H12" s="19">
        <v>1</v>
      </c>
      <c r="I12" s="20">
        <v>3</v>
      </c>
      <c r="J12" s="21">
        <v>2</v>
      </c>
      <c r="K12" s="19">
        <v>1</v>
      </c>
      <c r="L12" s="20">
        <v>2</v>
      </c>
      <c r="M12" s="21">
        <v>3</v>
      </c>
      <c r="N12" s="20">
        <v>4</v>
      </c>
      <c r="O12" s="21">
        <v>2</v>
      </c>
      <c r="P12" s="13"/>
      <c r="Q12" s="19">
        <v>1</v>
      </c>
      <c r="R12" s="20">
        <v>1</v>
      </c>
      <c r="S12" s="21">
        <v>4</v>
      </c>
      <c r="V12" s="3">
        <f>7/17</f>
        <v>0.41176470588235292</v>
      </c>
    </row>
    <row r="13" spans="3:43" s="3" customFormat="1" x14ac:dyDescent="0.35">
      <c r="C13" s="67" t="s">
        <v>53</v>
      </c>
      <c r="D13" s="38" t="s">
        <v>66</v>
      </c>
      <c r="E13" s="31">
        <v>7</v>
      </c>
      <c r="F13" s="32">
        <v>1</v>
      </c>
      <c r="G13" s="32">
        <v>1</v>
      </c>
      <c r="H13" s="31">
        <v>2</v>
      </c>
      <c r="I13" s="32">
        <v>6</v>
      </c>
      <c r="J13" s="33">
        <v>1</v>
      </c>
      <c r="K13" s="31">
        <v>4</v>
      </c>
      <c r="L13" s="32">
        <v>5</v>
      </c>
      <c r="M13" s="33">
        <v>0</v>
      </c>
      <c r="N13" s="32">
        <v>7</v>
      </c>
      <c r="O13" s="33">
        <v>2</v>
      </c>
      <c r="P13" s="52"/>
      <c r="Q13" s="31">
        <v>3</v>
      </c>
      <c r="R13" s="32">
        <v>3</v>
      </c>
      <c r="S13" s="33">
        <v>3</v>
      </c>
    </row>
    <row r="14" spans="3:43" s="3" customFormat="1" ht="15" thickBot="1" x14ac:dyDescent="0.4">
      <c r="C14" s="68"/>
      <c r="D14" s="39" t="s">
        <v>67</v>
      </c>
      <c r="E14" s="34">
        <v>5</v>
      </c>
      <c r="F14" s="35">
        <v>1</v>
      </c>
      <c r="G14" s="35">
        <v>2</v>
      </c>
      <c r="H14" s="34">
        <v>2</v>
      </c>
      <c r="I14" s="35">
        <v>2</v>
      </c>
      <c r="J14" s="36">
        <v>4</v>
      </c>
      <c r="K14" s="34">
        <v>2</v>
      </c>
      <c r="L14" s="35">
        <v>1</v>
      </c>
      <c r="M14" s="36">
        <v>5</v>
      </c>
      <c r="N14" s="35">
        <v>7</v>
      </c>
      <c r="O14" s="36">
        <v>1</v>
      </c>
      <c r="P14" s="52"/>
      <c r="Q14" s="34">
        <v>3</v>
      </c>
      <c r="R14" s="35">
        <v>2</v>
      </c>
      <c r="S14" s="36">
        <v>3</v>
      </c>
    </row>
    <row r="15" spans="3:43" s="3" customFormat="1" x14ac:dyDescent="0.35">
      <c r="C15" s="65" t="s">
        <v>54</v>
      </c>
      <c r="D15" s="37" t="s">
        <v>68</v>
      </c>
      <c r="E15" s="28">
        <v>3</v>
      </c>
      <c r="F15" s="29">
        <v>1</v>
      </c>
      <c r="G15" s="29">
        <v>2</v>
      </c>
      <c r="H15" s="28">
        <v>1</v>
      </c>
      <c r="I15" s="29">
        <v>1</v>
      </c>
      <c r="J15" s="30">
        <v>4</v>
      </c>
      <c r="K15" s="28">
        <v>2</v>
      </c>
      <c r="L15" s="29">
        <v>1</v>
      </c>
      <c r="M15" s="30">
        <v>3</v>
      </c>
      <c r="N15" s="29">
        <v>6</v>
      </c>
      <c r="O15" s="33">
        <v>0</v>
      </c>
      <c r="P15" s="52"/>
      <c r="Q15" s="28">
        <v>1</v>
      </c>
      <c r="R15" s="29">
        <v>4</v>
      </c>
      <c r="S15" s="30">
        <v>0</v>
      </c>
      <c r="AD15" s="7"/>
      <c r="AE15" s="7"/>
      <c r="AF15" s="7"/>
      <c r="AG15" s="7"/>
      <c r="AH15" s="7"/>
      <c r="AI15" s="7"/>
      <c r="AJ15" s="7"/>
      <c r="AK15" s="7"/>
      <c r="AL15" s="7"/>
      <c r="AM15" s="7"/>
      <c r="AN15" s="7"/>
      <c r="AO15" s="7"/>
      <c r="AP15" s="7"/>
      <c r="AQ15" s="7"/>
    </row>
    <row r="16" spans="3:43" s="3" customFormat="1" x14ac:dyDescent="0.35">
      <c r="C16" s="63"/>
      <c r="D16" s="10" t="s">
        <v>78</v>
      </c>
      <c r="E16" s="17">
        <v>2</v>
      </c>
      <c r="F16" s="13">
        <v>1</v>
      </c>
      <c r="G16" s="13">
        <v>1</v>
      </c>
      <c r="H16" s="17">
        <v>0</v>
      </c>
      <c r="I16" s="13">
        <v>3</v>
      </c>
      <c r="J16" s="18">
        <v>1</v>
      </c>
      <c r="K16" s="17">
        <v>0</v>
      </c>
      <c r="L16" s="13">
        <v>2</v>
      </c>
      <c r="M16" s="18">
        <v>2</v>
      </c>
      <c r="N16" s="13">
        <v>3</v>
      </c>
      <c r="O16" s="18">
        <v>1</v>
      </c>
      <c r="P16" s="13"/>
      <c r="Q16" s="17">
        <v>0</v>
      </c>
      <c r="R16" s="13">
        <v>0</v>
      </c>
      <c r="S16" s="18">
        <v>0</v>
      </c>
      <c r="W16" s="3">
        <v>17</v>
      </c>
      <c r="AD16" s="7"/>
      <c r="AE16" s="7"/>
      <c r="AF16" s="7"/>
      <c r="AG16" s="7"/>
      <c r="AH16" s="7"/>
      <c r="AI16" s="7"/>
      <c r="AJ16" s="7"/>
      <c r="AK16" s="7"/>
      <c r="AL16" s="7"/>
      <c r="AM16" s="7"/>
      <c r="AN16" s="7"/>
      <c r="AO16" s="7"/>
      <c r="AP16" s="7"/>
      <c r="AQ16" s="7"/>
    </row>
    <row r="17" spans="2:43" s="3" customFormat="1" ht="15" thickBot="1" x14ac:dyDescent="0.4">
      <c r="C17" s="66"/>
      <c r="D17" s="11" t="s">
        <v>70</v>
      </c>
      <c r="E17" s="19">
        <v>7</v>
      </c>
      <c r="F17" s="20">
        <v>0</v>
      </c>
      <c r="G17" s="20">
        <v>0</v>
      </c>
      <c r="H17" s="19">
        <v>3</v>
      </c>
      <c r="I17" s="20">
        <v>4</v>
      </c>
      <c r="J17" s="21">
        <v>0</v>
      </c>
      <c r="K17" s="19">
        <v>4</v>
      </c>
      <c r="L17" s="20">
        <v>3</v>
      </c>
      <c r="M17" s="21">
        <v>0</v>
      </c>
      <c r="N17" s="20">
        <v>5</v>
      </c>
      <c r="O17" s="21">
        <v>2</v>
      </c>
      <c r="P17" s="13"/>
      <c r="Q17" s="19">
        <v>5</v>
      </c>
      <c r="R17" s="20">
        <v>1</v>
      </c>
      <c r="S17" s="21">
        <v>6</v>
      </c>
      <c r="AD17" s="7"/>
      <c r="AE17" s="7"/>
      <c r="AF17" s="7"/>
      <c r="AG17" s="7"/>
      <c r="AH17" s="7"/>
      <c r="AI17" s="7"/>
      <c r="AJ17" s="7"/>
      <c r="AK17" s="7"/>
      <c r="AL17" s="7"/>
      <c r="AM17" s="7"/>
      <c r="AN17" s="7"/>
      <c r="AO17" s="7"/>
      <c r="AP17" s="7"/>
      <c r="AQ17" s="7"/>
    </row>
    <row r="18" spans="2:43" s="3" customFormat="1" ht="29" x14ac:dyDescent="0.35">
      <c r="C18" s="65" t="s">
        <v>55</v>
      </c>
      <c r="D18" s="37" t="s">
        <v>71</v>
      </c>
      <c r="E18" s="28">
        <v>4</v>
      </c>
      <c r="F18" s="29">
        <v>0</v>
      </c>
      <c r="G18" s="29">
        <v>0</v>
      </c>
      <c r="H18" s="28">
        <v>2</v>
      </c>
      <c r="I18" s="29">
        <v>2</v>
      </c>
      <c r="J18" s="30">
        <v>0</v>
      </c>
      <c r="K18" s="28">
        <v>3</v>
      </c>
      <c r="L18" s="29">
        <v>1</v>
      </c>
      <c r="M18" s="30">
        <v>0</v>
      </c>
      <c r="N18" s="29">
        <v>4</v>
      </c>
      <c r="O18" s="30">
        <v>0</v>
      </c>
      <c r="P18" s="13"/>
      <c r="Q18" s="28">
        <v>3</v>
      </c>
      <c r="R18" s="29">
        <v>1</v>
      </c>
      <c r="S18" s="30">
        <v>0</v>
      </c>
      <c r="AD18" s="7"/>
      <c r="AE18" s="7"/>
      <c r="AF18" s="7"/>
      <c r="AG18" s="7"/>
      <c r="AH18" s="7"/>
      <c r="AI18" s="7"/>
      <c r="AJ18" s="7"/>
      <c r="AK18" s="7"/>
      <c r="AL18" s="7"/>
      <c r="AM18" s="7"/>
      <c r="AN18" s="7"/>
      <c r="AO18" s="7"/>
      <c r="AP18" s="7"/>
      <c r="AQ18" s="7"/>
    </row>
    <row r="19" spans="2:43" s="3" customFormat="1" x14ac:dyDescent="0.35">
      <c r="C19" s="63"/>
      <c r="D19" s="10" t="s">
        <v>69</v>
      </c>
      <c r="E19" s="17">
        <v>7</v>
      </c>
      <c r="F19" s="13">
        <v>1</v>
      </c>
      <c r="G19" s="13">
        <v>1</v>
      </c>
      <c r="H19" s="17">
        <v>2</v>
      </c>
      <c r="I19" s="13">
        <v>6</v>
      </c>
      <c r="J19" s="18">
        <v>1</v>
      </c>
      <c r="K19" s="17">
        <v>3</v>
      </c>
      <c r="L19" s="13">
        <v>5</v>
      </c>
      <c r="M19" s="18">
        <v>1</v>
      </c>
      <c r="N19" s="13">
        <v>6</v>
      </c>
      <c r="O19" s="18">
        <v>3</v>
      </c>
      <c r="P19" s="13"/>
      <c r="Q19" s="17">
        <v>2</v>
      </c>
      <c r="R19" s="13">
        <v>2</v>
      </c>
      <c r="S19" s="18">
        <v>5</v>
      </c>
      <c r="AD19" s="7"/>
      <c r="AE19" s="7"/>
      <c r="AF19" s="7"/>
      <c r="AG19" s="7"/>
      <c r="AH19" s="7"/>
      <c r="AI19" s="7"/>
      <c r="AJ19" s="7"/>
      <c r="AK19" s="7"/>
      <c r="AL19" s="7"/>
      <c r="AM19" s="7"/>
      <c r="AN19" s="7"/>
      <c r="AO19" s="7"/>
      <c r="AP19" s="7"/>
      <c r="AQ19" s="7"/>
    </row>
    <row r="20" spans="2:43" s="3" customFormat="1" ht="15" thickBot="1" x14ac:dyDescent="0.4">
      <c r="C20" s="66"/>
      <c r="D20" s="11" t="s">
        <v>72</v>
      </c>
      <c r="E20" s="19">
        <v>1</v>
      </c>
      <c r="F20" s="20">
        <v>1</v>
      </c>
      <c r="G20" s="20">
        <v>2</v>
      </c>
      <c r="H20" s="19">
        <v>0</v>
      </c>
      <c r="I20" s="20">
        <v>0</v>
      </c>
      <c r="J20" s="21">
        <v>4</v>
      </c>
      <c r="K20" s="19">
        <v>0</v>
      </c>
      <c r="L20" s="20">
        <v>0</v>
      </c>
      <c r="M20" s="21">
        <v>4</v>
      </c>
      <c r="N20" s="20">
        <v>4</v>
      </c>
      <c r="O20" s="21">
        <v>0</v>
      </c>
      <c r="P20" s="13"/>
      <c r="Q20" s="19">
        <v>1</v>
      </c>
      <c r="R20" s="20">
        <v>2</v>
      </c>
      <c r="S20" s="21">
        <v>1</v>
      </c>
      <c r="AD20" s="7"/>
      <c r="AE20" s="7"/>
      <c r="AF20" s="7"/>
      <c r="AG20" s="7"/>
      <c r="AH20" s="7"/>
      <c r="AI20" s="7"/>
      <c r="AJ20" s="7"/>
      <c r="AK20" s="7"/>
      <c r="AL20" s="7"/>
      <c r="AM20" s="7"/>
      <c r="AN20" s="7"/>
      <c r="AO20" s="7"/>
      <c r="AP20" s="7"/>
      <c r="AQ20" s="7"/>
    </row>
    <row r="21" spans="2:43" s="3" customFormat="1" x14ac:dyDescent="0.35">
      <c r="C21" s="65" t="s">
        <v>56</v>
      </c>
      <c r="D21" s="37" t="s">
        <v>66</v>
      </c>
      <c r="E21" s="28">
        <v>5</v>
      </c>
      <c r="F21" s="29">
        <v>1</v>
      </c>
      <c r="G21" s="29">
        <v>1</v>
      </c>
      <c r="H21" s="28">
        <v>2</v>
      </c>
      <c r="I21" s="29">
        <v>3</v>
      </c>
      <c r="J21" s="30">
        <v>2</v>
      </c>
      <c r="K21" s="28">
        <v>3</v>
      </c>
      <c r="L21" s="29">
        <v>3</v>
      </c>
      <c r="M21" s="30">
        <v>1</v>
      </c>
      <c r="N21" s="29">
        <v>7</v>
      </c>
      <c r="O21" s="30">
        <v>0</v>
      </c>
      <c r="P21" s="13"/>
      <c r="Q21" s="28">
        <v>5</v>
      </c>
      <c r="R21" s="29">
        <v>2</v>
      </c>
      <c r="S21" s="30">
        <v>0</v>
      </c>
      <c r="AD21" s="7"/>
      <c r="AE21" s="7"/>
      <c r="AF21" s="7"/>
      <c r="AG21" s="7"/>
      <c r="AH21" s="7"/>
      <c r="AI21" s="7"/>
      <c r="AJ21" s="7"/>
      <c r="AK21" s="7"/>
      <c r="AL21" s="7"/>
      <c r="AM21" s="7"/>
      <c r="AN21" s="7"/>
      <c r="AO21" s="7"/>
      <c r="AP21" s="7"/>
      <c r="AQ21" s="7"/>
    </row>
    <row r="22" spans="2:43" s="3" customFormat="1" ht="15" thickBot="1" x14ac:dyDescent="0.4">
      <c r="C22" s="66"/>
      <c r="D22" s="11" t="s">
        <v>67</v>
      </c>
      <c r="E22" s="19">
        <v>7</v>
      </c>
      <c r="F22" s="20">
        <v>1</v>
      </c>
      <c r="G22" s="20">
        <v>2</v>
      </c>
      <c r="H22" s="19">
        <v>2</v>
      </c>
      <c r="I22" s="20">
        <v>5</v>
      </c>
      <c r="J22" s="21">
        <v>3</v>
      </c>
      <c r="K22" s="19">
        <v>3</v>
      </c>
      <c r="L22" s="20">
        <v>3</v>
      </c>
      <c r="M22" s="21">
        <v>4</v>
      </c>
      <c r="N22" s="20">
        <v>7</v>
      </c>
      <c r="O22" s="21">
        <v>3</v>
      </c>
      <c r="P22" s="13"/>
      <c r="Q22" s="19">
        <v>1</v>
      </c>
      <c r="R22" s="20">
        <v>3</v>
      </c>
      <c r="S22" s="21">
        <v>6</v>
      </c>
      <c r="AD22" s="7"/>
      <c r="AE22" s="7"/>
      <c r="AF22" s="7"/>
      <c r="AG22" s="7"/>
      <c r="AH22" s="7"/>
      <c r="AI22" s="7"/>
      <c r="AJ22" s="7"/>
      <c r="AK22" s="7"/>
      <c r="AL22" s="7"/>
      <c r="AM22" s="7"/>
      <c r="AN22" s="7"/>
      <c r="AO22" s="7"/>
      <c r="AP22" s="7"/>
      <c r="AQ22" s="7"/>
    </row>
    <row r="23" spans="2:43" x14ac:dyDescent="0.35">
      <c r="AD23" s="7"/>
      <c r="AE23" s="7"/>
      <c r="AF23" s="7"/>
      <c r="AG23" s="7"/>
      <c r="AH23" s="7"/>
      <c r="AI23" s="7"/>
      <c r="AJ23" s="7"/>
      <c r="AK23" s="7"/>
      <c r="AL23" s="7"/>
      <c r="AM23" s="7"/>
      <c r="AN23" s="7"/>
      <c r="AO23" s="7"/>
      <c r="AP23" s="7"/>
      <c r="AQ23" s="7"/>
    </row>
    <row r="24" spans="2:43" x14ac:dyDescent="0.35">
      <c r="AD24" s="7"/>
      <c r="AE24" s="7"/>
      <c r="AF24" s="7"/>
      <c r="AG24" s="7"/>
      <c r="AH24" s="7"/>
      <c r="AI24" s="7"/>
      <c r="AJ24" s="7"/>
      <c r="AK24" s="7"/>
      <c r="AL24" s="7"/>
      <c r="AM24" s="7"/>
      <c r="AN24" s="7"/>
      <c r="AO24" s="7"/>
      <c r="AP24" s="7"/>
      <c r="AQ24" s="7"/>
    </row>
    <row r="25" spans="2:43" x14ac:dyDescent="0.35">
      <c r="C25" t="s">
        <v>89</v>
      </c>
      <c r="W25" s="7"/>
      <c r="AD25" s="7"/>
      <c r="AE25" s="7"/>
      <c r="AF25" s="7"/>
      <c r="AG25" s="7"/>
      <c r="AH25" s="7"/>
      <c r="AI25" s="7"/>
      <c r="AJ25" s="7"/>
      <c r="AK25" s="7"/>
      <c r="AL25" s="7"/>
      <c r="AM25" s="7"/>
      <c r="AN25" s="7"/>
      <c r="AO25" s="7"/>
      <c r="AP25" s="7"/>
      <c r="AQ25" s="7"/>
    </row>
    <row r="26" spans="2:43" ht="15" thickBot="1" x14ac:dyDescent="0.4">
      <c r="W26" s="7"/>
      <c r="AD26" s="7"/>
      <c r="AE26" s="7"/>
      <c r="AF26" s="7"/>
      <c r="AG26" s="7"/>
      <c r="AH26" s="7"/>
      <c r="AI26" s="7"/>
      <c r="AJ26" s="7"/>
      <c r="AK26" s="7"/>
      <c r="AL26" s="7"/>
      <c r="AM26" s="7"/>
      <c r="AN26" s="7"/>
      <c r="AO26" s="7"/>
      <c r="AP26" s="7"/>
      <c r="AQ26" s="7"/>
    </row>
    <row r="27" spans="2:43" x14ac:dyDescent="0.35">
      <c r="C27" s="45"/>
      <c r="D27" s="45"/>
      <c r="E27" s="75" t="s">
        <v>85</v>
      </c>
      <c r="F27" s="76"/>
      <c r="G27" s="77"/>
      <c r="H27" s="75" t="s">
        <v>50</v>
      </c>
      <c r="I27" s="76"/>
      <c r="J27" s="77"/>
      <c r="K27" s="75" t="s">
        <v>82</v>
      </c>
      <c r="L27" s="76"/>
      <c r="M27" s="77"/>
      <c r="N27" s="76" t="s">
        <v>79</v>
      </c>
      <c r="O27" s="77"/>
      <c r="P27" s="51"/>
      <c r="Q27" s="75" t="s">
        <v>57</v>
      </c>
      <c r="R27" s="76"/>
      <c r="S27" s="77"/>
      <c r="W27" s="7"/>
      <c r="AD27" s="7"/>
      <c r="AE27" s="7"/>
      <c r="AF27" s="7"/>
      <c r="AG27" s="7"/>
      <c r="AH27" s="7"/>
      <c r="AI27" s="7"/>
      <c r="AJ27" s="7"/>
      <c r="AK27" s="7"/>
      <c r="AL27" s="7"/>
      <c r="AM27" s="7"/>
      <c r="AN27" s="7"/>
      <c r="AO27" s="7"/>
      <c r="AP27" s="7"/>
      <c r="AQ27" s="7"/>
    </row>
    <row r="28" spans="2:43" x14ac:dyDescent="0.35">
      <c r="C28" s="40"/>
      <c r="D28" s="40"/>
      <c r="E28" s="78" t="s">
        <v>96</v>
      </c>
      <c r="F28" s="79"/>
      <c r="G28" s="80"/>
      <c r="H28" s="78" t="s">
        <v>77</v>
      </c>
      <c r="I28" s="79"/>
      <c r="J28" s="80"/>
      <c r="K28" s="78" t="s">
        <v>97</v>
      </c>
      <c r="L28" s="79"/>
      <c r="M28" s="80"/>
      <c r="N28" s="40"/>
      <c r="O28" s="41"/>
      <c r="P28" s="40"/>
      <c r="Q28" s="78" t="s">
        <v>58</v>
      </c>
      <c r="R28" s="79"/>
      <c r="S28" s="80"/>
      <c r="W28" s="7"/>
      <c r="AD28" s="7"/>
      <c r="AE28" s="7"/>
      <c r="AF28" s="7"/>
      <c r="AG28" s="7"/>
      <c r="AH28" s="7"/>
      <c r="AI28" s="7"/>
      <c r="AJ28" s="7"/>
      <c r="AK28" s="7"/>
      <c r="AL28" s="7"/>
      <c r="AM28" s="7"/>
      <c r="AN28" s="7"/>
      <c r="AO28" s="7"/>
      <c r="AP28" s="7"/>
      <c r="AQ28" s="7"/>
    </row>
    <row r="29" spans="2:43" ht="15" thickBot="1" x14ac:dyDescent="0.4">
      <c r="C29" s="46"/>
      <c r="D29" s="47"/>
      <c r="E29" s="48" t="s">
        <v>80</v>
      </c>
      <c r="F29" s="47" t="s">
        <v>93</v>
      </c>
      <c r="G29" s="49" t="s">
        <v>94</v>
      </c>
      <c r="H29" s="48" t="s">
        <v>49</v>
      </c>
      <c r="I29" s="47" t="s">
        <v>73</v>
      </c>
      <c r="J29" s="49" t="s">
        <v>74</v>
      </c>
      <c r="K29" s="48" t="s">
        <v>83</v>
      </c>
      <c r="L29" s="47" t="s">
        <v>84</v>
      </c>
      <c r="M29" s="49" t="s">
        <v>95</v>
      </c>
      <c r="N29" s="47" t="s">
        <v>59</v>
      </c>
      <c r="O29" s="49" t="s">
        <v>60</v>
      </c>
      <c r="P29" s="47"/>
      <c r="Q29" s="48" t="s">
        <v>75</v>
      </c>
      <c r="R29" s="47" t="s">
        <v>76</v>
      </c>
      <c r="S29" s="49" t="s">
        <v>48</v>
      </c>
      <c r="W29" s="7"/>
      <c r="AD29" s="7"/>
      <c r="AE29" s="7"/>
      <c r="AF29" s="7"/>
      <c r="AG29" s="7"/>
      <c r="AH29" s="7"/>
      <c r="AI29" s="7"/>
      <c r="AJ29" s="7"/>
      <c r="AK29" s="7"/>
      <c r="AL29" s="7"/>
      <c r="AM29" s="7"/>
      <c r="AN29" s="7"/>
      <c r="AO29" s="7"/>
      <c r="AP29" s="7"/>
      <c r="AQ29" s="7"/>
    </row>
    <row r="30" spans="2:43" x14ac:dyDescent="0.35">
      <c r="B30" s="72" t="s">
        <v>91</v>
      </c>
      <c r="C30" s="65" t="s">
        <v>51</v>
      </c>
      <c r="D30" s="42" t="s">
        <v>61</v>
      </c>
      <c r="E30" s="53">
        <v>0.47058823529411764</v>
      </c>
      <c r="F30" s="54">
        <v>0</v>
      </c>
      <c r="G30" s="55">
        <v>0.11764705882352941</v>
      </c>
      <c r="H30" s="28">
        <v>0.17647058823529413</v>
      </c>
      <c r="I30" s="29">
        <v>0.29411764705882354</v>
      </c>
      <c r="J30" s="30">
        <v>0.11764705882352941</v>
      </c>
      <c r="K30" s="28">
        <v>0.23529411764705882</v>
      </c>
      <c r="L30" s="29">
        <v>0.17647058823529413</v>
      </c>
      <c r="M30" s="30">
        <v>0.17647058823529413</v>
      </c>
      <c r="N30" s="29">
        <v>0.47058823529411764</v>
      </c>
      <c r="O30" s="30">
        <v>0.11764705882352941</v>
      </c>
      <c r="P30" s="14"/>
      <c r="Q30" s="28">
        <v>0.17647058823529413</v>
      </c>
      <c r="R30" s="29">
        <v>0.11764705882352941</v>
      </c>
      <c r="S30" s="30">
        <v>0.29411764705882354</v>
      </c>
      <c r="AD30" s="7"/>
      <c r="AE30" s="7"/>
      <c r="AF30" s="7"/>
      <c r="AG30" s="7"/>
      <c r="AH30" s="7"/>
      <c r="AI30" s="7"/>
      <c r="AJ30" s="7"/>
      <c r="AK30" s="7"/>
      <c r="AL30" s="7"/>
      <c r="AM30" s="7"/>
      <c r="AN30" s="7"/>
      <c r="AO30" s="7"/>
      <c r="AP30" s="7"/>
      <c r="AQ30" s="7"/>
    </row>
    <row r="31" spans="2:43" x14ac:dyDescent="0.35">
      <c r="B31" s="73"/>
      <c r="C31" s="63"/>
      <c r="D31" s="9" t="s">
        <v>62</v>
      </c>
      <c r="E31" s="56">
        <v>0.17647058823529413</v>
      </c>
      <c r="F31" s="57">
        <v>0.11764705882352941</v>
      </c>
      <c r="G31" s="58">
        <v>5.8823529411764705E-2</v>
      </c>
      <c r="H31" s="17">
        <v>5.8823529411764705E-2</v>
      </c>
      <c r="I31" s="13">
        <v>0.17647058823529413</v>
      </c>
      <c r="J31" s="18">
        <v>0.11764705882352941</v>
      </c>
      <c r="K31" s="17">
        <v>0.11764705882352941</v>
      </c>
      <c r="L31" s="13">
        <v>0.17647058823529413</v>
      </c>
      <c r="M31" s="18">
        <v>5.8823529411764705E-2</v>
      </c>
      <c r="N31" s="13">
        <v>0.29411764705882354</v>
      </c>
      <c r="O31" s="18">
        <v>5.8823529411764705E-2</v>
      </c>
      <c r="P31" s="14"/>
      <c r="Q31" s="17">
        <v>0.11764705882352941</v>
      </c>
      <c r="R31" s="13">
        <v>0.17647058823529413</v>
      </c>
      <c r="S31" s="18">
        <v>5.8823529411764705E-2</v>
      </c>
      <c r="U31" s="7"/>
      <c r="V31" s="7"/>
      <c r="W31" s="7"/>
      <c r="X31" s="7"/>
      <c r="Y31" s="7"/>
      <c r="Z31" s="7"/>
      <c r="AD31" s="7"/>
      <c r="AE31" s="7"/>
      <c r="AF31" s="7"/>
      <c r="AG31" s="7"/>
      <c r="AH31" s="7"/>
      <c r="AI31" s="7"/>
      <c r="AJ31" s="7"/>
      <c r="AK31" s="7"/>
      <c r="AL31" s="7"/>
      <c r="AM31" s="7"/>
      <c r="AN31" s="7"/>
      <c r="AO31" s="7"/>
      <c r="AP31" s="7"/>
      <c r="AQ31" s="7"/>
    </row>
    <row r="32" spans="2:43" ht="15" thickBot="1" x14ac:dyDescent="0.4">
      <c r="B32" s="73"/>
      <c r="C32" s="66"/>
      <c r="D32" s="43" t="s">
        <v>63</v>
      </c>
      <c r="E32" s="59">
        <v>5.8823529411764705E-2</v>
      </c>
      <c r="F32" s="60">
        <v>0</v>
      </c>
      <c r="G32" s="61">
        <v>0</v>
      </c>
      <c r="H32" s="19">
        <v>0</v>
      </c>
      <c r="I32" s="20">
        <v>0</v>
      </c>
      <c r="J32" s="21">
        <v>5.8823529411764705E-2</v>
      </c>
      <c r="K32" s="19">
        <v>0</v>
      </c>
      <c r="L32" s="20">
        <v>0</v>
      </c>
      <c r="M32" s="21">
        <v>5.8823529411764705E-2</v>
      </c>
      <c r="N32" s="20">
        <v>5.8823529411764705E-2</v>
      </c>
      <c r="O32" s="21">
        <v>0</v>
      </c>
      <c r="P32" s="14"/>
      <c r="Q32" s="19">
        <v>5.8823529411764705E-2</v>
      </c>
      <c r="R32" s="20">
        <v>0</v>
      </c>
      <c r="S32" s="21">
        <v>0</v>
      </c>
      <c r="U32" s="7"/>
      <c r="V32" s="7"/>
      <c r="W32" s="7"/>
      <c r="X32" s="7"/>
      <c r="Y32" s="7"/>
      <c r="Z32" s="7"/>
      <c r="AD32" s="7"/>
      <c r="AE32" s="7"/>
      <c r="AF32" s="7"/>
      <c r="AG32" s="7"/>
      <c r="AH32" s="7"/>
      <c r="AI32" s="7"/>
      <c r="AJ32" s="7"/>
      <c r="AK32" s="7"/>
      <c r="AL32" s="7"/>
      <c r="AM32" s="7"/>
      <c r="AN32" s="7"/>
      <c r="AO32" s="7"/>
      <c r="AP32" s="7"/>
      <c r="AQ32" s="7"/>
    </row>
    <row r="33" spans="2:43" x14ac:dyDescent="0.35">
      <c r="B33" s="73"/>
      <c r="C33" s="65" t="s">
        <v>64</v>
      </c>
      <c r="D33" s="37" t="s">
        <v>65</v>
      </c>
      <c r="E33" s="28">
        <v>0.58823529411764708</v>
      </c>
      <c r="F33" s="29">
        <v>0.11764705882352941</v>
      </c>
      <c r="G33" s="30">
        <v>0.17647058823529413</v>
      </c>
      <c r="H33" s="28">
        <v>0.23529411764705882</v>
      </c>
      <c r="I33" s="29">
        <v>0.35294117647058826</v>
      </c>
      <c r="J33" s="30">
        <v>0.29411764705882354</v>
      </c>
      <c r="K33" s="28">
        <v>0.29411764705882354</v>
      </c>
      <c r="L33" s="29">
        <v>0.29411764705882354</v>
      </c>
      <c r="M33" s="30">
        <v>0.29411764705882354</v>
      </c>
      <c r="N33" s="29">
        <v>0.70588235294117652</v>
      </c>
      <c r="O33" s="30">
        <v>0.17647058823529413</v>
      </c>
      <c r="P33" s="13"/>
      <c r="Q33" s="28">
        <v>0.29411764705882354</v>
      </c>
      <c r="R33" s="29">
        <v>0.29411764705882354</v>
      </c>
      <c r="S33" s="30">
        <v>0.29411764705882354</v>
      </c>
      <c r="U33" s="7"/>
      <c r="V33" s="7"/>
      <c r="W33" s="7"/>
      <c r="X33" s="7"/>
      <c r="Y33" s="7"/>
      <c r="Z33" s="7"/>
      <c r="AD33" s="7"/>
      <c r="AE33" s="7"/>
      <c r="AF33" s="7"/>
      <c r="AG33" s="7"/>
      <c r="AH33" s="7"/>
      <c r="AI33" s="7"/>
      <c r="AJ33" s="7"/>
      <c r="AK33" s="7"/>
      <c r="AL33" s="7"/>
      <c r="AM33" s="7"/>
      <c r="AN33" s="7"/>
      <c r="AO33" s="7"/>
      <c r="AP33" s="7"/>
      <c r="AQ33" s="7"/>
    </row>
    <row r="34" spans="2:43" ht="15" thickBot="1" x14ac:dyDescent="0.4">
      <c r="B34" s="74"/>
      <c r="C34" s="66"/>
      <c r="D34" s="11" t="s">
        <v>62</v>
      </c>
      <c r="E34" s="19">
        <v>0.11764705882352941</v>
      </c>
      <c r="F34" s="20">
        <v>0</v>
      </c>
      <c r="G34" s="21">
        <v>0</v>
      </c>
      <c r="H34" s="19">
        <v>0</v>
      </c>
      <c r="I34" s="20">
        <v>0.11764705882352941</v>
      </c>
      <c r="J34" s="21">
        <v>0</v>
      </c>
      <c r="K34" s="19">
        <v>5.8823529411764705E-2</v>
      </c>
      <c r="L34" s="20">
        <v>5.8823529411764705E-2</v>
      </c>
      <c r="M34" s="21">
        <v>0</v>
      </c>
      <c r="N34" s="20">
        <v>0.11764705882352941</v>
      </c>
      <c r="O34" s="21">
        <v>0</v>
      </c>
      <c r="P34" s="13"/>
      <c r="Q34" s="19">
        <v>5.8823529411764705E-2</v>
      </c>
      <c r="R34" s="20">
        <v>0</v>
      </c>
      <c r="S34" s="21">
        <v>5.8823529411764705E-2</v>
      </c>
      <c r="U34" s="7"/>
      <c r="V34" s="7"/>
      <c r="W34" s="7"/>
      <c r="X34" s="7"/>
      <c r="Y34" s="7"/>
      <c r="Z34" s="7"/>
      <c r="AD34" s="7"/>
      <c r="AE34" s="7"/>
      <c r="AF34" s="7"/>
      <c r="AG34" s="7"/>
      <c r="AH34" s="7"/>
      <c r="AI34" s="7"/>
      <c r="AJ34" s="7"/>
      <c r="AK34" s="7"/>
      <c r="AL34" s="7"/>
      <c r="AM34" s="7"/>
      <c r="AN34" s="7"/>
      <c r="AO34" s="7"/>
      <c r="AP34" s="7"/>
      <c r="AQ34" s="7"/>
    </row>
    <row r="35" spans="2:43" x14ac:dyDescent="0.35">
      <c r="B35" s="72" t="s">
        <v>90</v>
      </c>
      <c r="C35" s="65" t="s">
        <v>52</v>
      </c>
      <c r="D35" s="37" t="s">
        <v>66</v>
      </c>
      <c r="E35" s="28">
        <v>0.47058823529411764</v>
      </c>
      <c r="F35" s="29">
        <v>0.11764705882352941</v>
      </c>
      <c r="G35" s="30">
        <v>5.8823529411764705E-2</v>
      </c>
      <c r="H35" s="28">
        <v>0.17647058823529413</v>
      </c>
      <c r="I35" s="29">
        <v>0.29411764705882354</v>
      </c>
      <c r="J35" s="30">
        <v>0.17647058823529413</v>
      </c>
      <c r="K35" s="28">
        <v>0.29411764705882354</v>
      </c>
      <c r="L35" s="29">
        <v>0.23529411764705882</v>
      </c>
      <c r="M35" s="30">
        <v>0.11764705882352941</v>
      </c>
      <c r="N35" s="29">
        <v>0.58823529411764708</v>
      </c>
      <c r="O35" s="30">
        <v>5.8823529411764705E-2</v>
      </c>
      <c r="P35" s="13"/>
      <c r="Q35" s="28">
        <v>0.29411764705882354</v>
      </c>
      <c r="R35" s="29">
        <v>0.23529411764705882</v>
      </c>
      <c r="S35" s="30">
        <v>0.11764705882352941</v>
      </c>
      <c r="U35" s="7"/>
      <c r="V35" s="7"/>
      <c r="W35" s="7"/>
      <c r="X35" s="7"/>
      <c r="Y35" s="7"/>
      <c r="Z35" s="7"/>
      <c r="AD35" s="7"/>
      <c r="AE35" s="7"/>
      <c r="AF35" s="7"/>
      <c r="AG35" s="7"/>
      <c r="AH35" s="7"/>
      <c r="AI35" s="7"/>
      <c r="AJ35" s="7"/>
      <c r="AK35" s="7"/>
      <c r="AL35" s="7"/>
      <c r="AM35" s="7"/>
      <c r="AN35" s="7"/>
      <c r="AO35" s="7"/>
      <c r="AP35" s="7"/>
      <c r="AQ35" s="7"/>
    </row>
    <row r="36" spans="2:43" ht="15" thickBot="1" x14ac:dyDescent="0.4">
      <c r="B36" s="73"/>
      <c r="C36" s="66"/>
      <c r="D36" s="11" t="s">
        <v>67</v>
      </c>
      <c r="E36" s="19">
        <v>0.23529411764705882</v>
      </c>
      <c r="F36" s="20">
        <v>0</v>
      </c>
      <c r="G36" s="21">
        <v>0.11764705882352941</v>
      </c>
      <c r="H36" s="19">
        <v>5.8823529411764705E-2</v>
      </c>
      <c r="I36" s="20">
        <v>0.17647058823529413</v>
      </c>
      <c r="J36" s="21">
        <v>0.11764705882352941</v>
      </c>
      <c r="K36" s="19">
        <v>5.8823529411764705E-2</v>
      </c>
      <c r="L36" s="20">
        <v>0.11764705882352941</v>
      </c>
      <c r="M36" s="21">
        <v>0.17647058823529413</v>
      </c>
      <c r="N36" s="20">
        <v>0.23529411764705882</v>
      </c>
      <c r="O36" s="21">
        <v>0.11764705882352941</v>
      </c>
      <c r="P36" s="13"/>
      <c r="Q36" s="19">
        <v>5.8823529411764705E-2</v>
      </c>
      <c r="R36" s="20">
        <v>5.8823529411764705E-2</v>
      </c>
      <c r="S36" s="21">
        <v>0.23529411764705882</v>
      </c>
      <c r="U36" s="7"/>
      <c r="V36" s="7"/>
      <c r="W36" s="7"/>
      <c r="X36" s="7"/>
      <c r="Y36" s="7"/>
      <c r="Z36" s="7"/>
      <c r="AD36" s="7"/>
      <c r="AE36" s="7"/>
      <c r="AF36" s="7"/>
      <c r="AG36" s="7"/>
      <c r="AH36" s="7"/>
      <c r="AI36" s="7"/>
      <c r="AJ36" s="7"/>
      <c r="AK36" s="7"/>
      <c r="AL36" s="7"/>
      <c r="AM36" s="7"/>
      <c r="AN36" s="7"/>
      <c r="AO36" s="7"/>
      <c r="AP36" s="7"/>
      <c r="AQ36" s="7"/>
    </row>
    <row r="37" spans="2:43" x14ac:dyDescent="0.35">
      <c r="B37" s="73"/>
      <c r="C37" s="67" t="s">
        <v>53</v>
      </c>
      <c r="D37" s="38" t="s">
        <v>66</v>
      </c>
      <c r="E37" s="28">
        <v>0.41176470588235292</v>
      </c>
      <c r="F37" s="29">
        <v>5.8823529411764705E-2</v>
      </c>
      <c r="G37" s="30">
        <v>5.8823529411764705E-2</v>
      </c>
      <c r="H37" s="28">
        <v>0.11764705882352941</v>
      </c>
      <c r="I37" s="29">
        <v>0.35294117647058826</v>
      </c>
      <c r="J37" s="30">
        <v>5.8823529411764705E-2</v>
      </c>
      <c r="K37" s="28">
        <v>0.23529411764705882</v>
      </c>
      <c r="L37" s="29">
        <v>0.29411764705882354</v>
      </c>
      <c r="M37" s="30">
        <v>0</v>
      </c>
      <c r="N37" s="29">
        <v>0.41176470588235292</v>
      </c>
      <c r="O37" s="30">
        <v>0.11764705882352941</v>
      </c>
      <c r="P37" s="52"/>
      <c r="Q37" s="28">
        <v>0.17647058823529413</v>
      </c>
      <c r="R37" s="29">
        <v>0.17647058823529413</v>
      </c>
      <c r="S37" s="30">
        <v>0.17647058823529413</v>
      </c>
      <c r="U37" s="7"/>
      <c r="V37" s="7"/>
      <c r="W37" s="7"/>
      <c r="X37" s="7"/>
      <c r="Y37" s="7"/>
      <c r="Z37" s="7"/>
      <c r="AD37" s="7"/>
      <c r="AE37" s="7"/>
      <c r="AF37" s="7"/>
      <c r="AG37" s="7"/>
      <c r="AH37" s="7"/>
      <c r="AI37" s="7"/>
      <c r="AJ37" s="7"/>
      <c r="AK37" s="7"/>
      <c r="AL37" s="7"/>
      <c r="AM37" s="7"/>
      <c r="AN37" s="7"/>
      <c r="AO37" s="7"/>
      <c r="AP37" s="7"/>
      <c r="AQ37" s="7"/>
    </row>
    <row r="38" spans="2:43" ht="15" thickBot="1" x14ac:dyDescent="0.4">
      <c r="B38" s="73"/>
      <c r="C38" s="68"/>
      <c r="D38" s="39" t="s">
        <v>67</v>
      </c>
      <c r="E38" s="19">
        <v>0.29411764705882354</v>
      </c>
      <c r="F38" s="20">
        <v>5.8823529411764705E-2</v>
      </c>
      <c r="G38" s="21">
        <v>0.11764705882352941</v>
      </c>
      <c r="H38" s="19">
        <v>0.11764705882352941</v>
      </c>
      <c r="I38" s="20">
        <v>0.11764705882352941</v>
      </c>
      <c r="J38" s="21">
        <v>0.23529411764705882</v>
      </c>
      <c r="K38" s="19">
        <v>0.11764705882352941</v>
      </c>
      <c r="L38" s="20">
        <v>5.8823529411764705E-2</v>
      </c>
      <c r="M38" s="21">
        <v>0.29411764705882354</v>
      </c>
      <c r="N38" s="20">
        <v>0.41176470588235292</v>
      </c>
      <c r="O38" s="21">
        <v>5.8823529411764705E-2</v>
      </c>
      <c r="P38" s="52"/>
      <c r="Q38" s="19">
        <v>0.17647058823529413</v>
      </c>
      <c r="R38" s="20">
        <v>0.11764705882352941</v>
      </c>
      <c r="S38" s="21">
        <v>0.17647058823529413</v>
      </c>
      <c r="U38" s="7"/>
      <c r="V38" s="7"/>
      <c r="W38" s="7"/>
      <c r="X38" s="7"/>
      <c r="Y38" s="7"/>
      <c r="Z38" s="7"/>
      <c r="AD38" s="7"/>
      <c r="AE38" s="7"/>
      <c r="AF38" s="7"/>
      <c r="AG38" s="7"/>
      <c r="AH38" s="7"/>
      <c r="AI38" s="7"/>
      <c r="AJ38" s="7"/>
      <c r="AK38" s="7"/>
      <c r="AL38" s="7"/>
      <c r="AM38" s="7"/>
      <c r="AN38" s="7"/>
      <c r="AO38" s="7"/>
      <c r="AP38" s="7"/>
      <c r="AQ38" s="7"/>
    </row>
    <row r="39" spans="2:43" x14ac:dyDescent="0.35">
      <c r="B39" s="73"/>
      <c r="C39" s="63" t="s">
        <v>56</v>
      </c>
      <c r="D39" s="10" t="s">
        <v>66</v>
      </c>
      <c r="E39" s="17">
        <v>0.29411764705882354</v>
      </c>
      <c r="F39" s="13">
        <v>5.8823529411764705E-2</v>
      </c>
      <c r="G39" s="18">
        <v>5.8823529411764705E-2</v>
      </c>
      <c r="H39" s="17">
        <v>0.11764705882352941</v>
      </c>
      <c r="I39" s="13">
        <v>0.17647058823529413</v>
      </c>
      <c r="J39" s="18">
        <v>0.11764705882352941</v>
      </c>
      <c r="K39" s="17">
        <v>0.17647058823529413</v>
      </c>
      <c r="L39" s="13">
        <v>0.17647058823529413</v>
      </c>
      <c r="M39" s="18">
        <v>5.8823529411764705E-2</v>
      </c>
      <c r="N39" s="13">
        <v>0.41176470588235292</v>
      </c>
      <c r="O39" s="18">
        <v>0</v>
      </c>
      <c r="P39" s="13"/>
      <c r="Q39" s="28">
        <v>0.29411764705882354</v>
      </c>
      <c r="R39" s="29">
        <v>0.11764705882352941</v>
      </c>
      <c r="S39" s="30">
        <v>0</v>
      </c>
      <c r="U39" s="7"/>
      <c r="V39" s="7"/>
      <c r="W39" s="7"/>
      <c r="X39" s="7"/>
      <c r="Y39" s="7"/>
      <c r="Z39" s="7"/>
      <c r="AD39" s="7"/>
      <c r="AE39" s="7"/>
      <c r="AF39" s="7"/>
      <c r="AG39" s="7"/>
      <c r="AH39" s="7"/>
      <c r="AI39" s="7"/>
      <c r="AJ39" s="7"/>
      <c r="AK39" s="7"/>
      <c r="AL39" s="7"/>
      <c r="AM39" s="7"/>
      <c r="AN39" s="7"/>
      <c r="AO39" s="7"/>
      <c r="AP39" s="7"/>
      <c r="AQ39" s="7"/>
    </row>
    <row r="40" spans="2:43" ht="15" thickBot="1" x14ac:dyDescent="0.4">
      <c r="B40" s="74"/>
      <c r="C40" s="66"/>
      <c r="D40" s="11" t="s">
        <v>67</v>
      </c>
      <c r="E40" s="19">
        <v>0.41176470588235292</v>
      </c>
      <c r="F40" s="20">
        <v>5.8823529411764705E-2</v>
      </c>
      <c r="G40" s="21">
        <v>0.11764705882352941</v>
      </c>
      <c r="H40" s="19">
        <v>0.11764705882352941</v>
      </c>
      <c r="I40" s="20">
        <v>0.29411764705882354</v>
      </c>
      <c r="J40" s="21">
        <v>0.17647058823529413</v>
      </c>
      <c r="K40" s="19">
        <v>0.17647058823529413</v>
      </c>
      <c r="L40" s="20">
        <v>0.17647058823529413</v>
      </c>
      <c r="M40" s="21">
        <v>0.23529411764705882</v>
      </c>
      <c r="N40" s="20">
        <v>0.41176470588235292</v>
      </c>
      <c r="O40" s="21">
        <v>0.17647058823529413</v>
      </c>
      <c r="P40" s="13"/>
      <c r="Q40" s="19">
        <v>5.8823529411764705E-2</v>
      </c>
      <c r="R40" s="20">
        <v>0.17647058823529413</v>
      </c>
      <c r="S40" s="21">
        <v>0.35294117647058826</v>
      </c>
      <c r="U40" s="7"/>
      <c r="V40" s="7"/>
      <c r="W40" s="7"/>
      <c r="X40" s="7"/>
      <c r="Y40" s="7"/>
      <c r="Z40" s="7"/>
      <c r="AD40" s="7"/>
      <c r="AE40" s="7"/>
      <c r="AF40" s="7"/>
      <c r="AG40" s="7"/>
      <c r="AH40" s="7"/>
      <c r="AI40" s="7"/>
      <c r="AJ40" s="7"/>
      <c r="AK40" s="7"/>
      <c r="AL40" s="7"/>
      <c r="AM40" s="7"/>
      <c r="AN40" s="7"/>
      <c r="AO40" s="7"/>
      <c r="AP40" s="7"/>
      <c r="AQ40" s="7"/>
    </row>
    <row r="41" spans="2:43" x14ac:dyDescent="0.35">
      <c r="B41" s="73" t="s">
        <v>92</v>
      </c>
      <c r="C41" s="65" t="s">
        <v>54</v>
      </c>
      <c r="D41" s="37" t="s">
        <v>68</v>
      </c>
      <c r="E41" s="28">
        <v>0.17647058823529413</v>
      </c>
      <c r="F41" s="29">
        <v>5.8823529411764705E-2</v>
      </c>
      <c r="G41" s="30">
        <v>0.11764705882352941</v>
      </c>
      <c r="H41" s="28">
        <v>5.8823529411764705E-2</v>
      </c>
      <c r="I41" s="29">
        <v>5.8823529411764705E-2</v>
      </c>
      <c r="J41" s="30">
        <v>0.23529411764705882</v>
      </c>
      <c r="K41" s="28">
        <v>0.11764705882352941</v>
      </c>
      <c r="L41" s="29">
        <v>5.8823529411764705E-2</v>
      </c>
      <c r="M41" s="30">
        <v>0.17647058823529413</v>
      </c>
      <c r="N41" s="29">
        <v>0.35294117647058826</v>
      </c>
      <c r="O41" s="30">
        <v>0</v>
      </c>
      <c r="P41" s="52"/>
      <c r="Q41" s="28">
        <v>5.8823529411764705E-2</v>
      </c>
      <c r="R41" s="29">
        <v>0.23529411764705882</v>
      </c>
      <c r="S41" s="30">
        <v>0</v>
      </c>
      <c r="U41" s="7"/>
      <c r="V41" s="7"/>
      <c r="W41" s="7"/>
      <c r="X41" s="7"/>
      <c r="Y41" s="7"/>
      <c r="Z41" s="7"/>
      <c r="AD41" s="7"/>
      <c r="AE41" s="7"/>
      <c r="AF41" s="7"/>
      <c r="AG41" s="7"/>
      <c r="AH41" s="7"/>
      <c r="AI41" s="7"/>
      <c r="AJ41" s="7"/>
      <c r="AK41" s="7"/>
      <c r="AL41" s="7"/>
      <c r="AM41" s="7"/>
      <c r="AN41" s="7"/>
      <c r="AO41" s="7"/>
      <c r="AP41" s="7"/>
      <c r="AQ41" s="7"/>
    </row>
    <row r="42" spans="2:43" x14ac:dyDescent="0.35">
      <c r="B42" s="73"/>
      <c r="C42" s="63"/>
      <c r="D42" s="10" t="s">
        <v>78</v>
      </c>
      <c r="E42" s="17">
        <v>0.11764705882352941</v>
      </c>
      <c r="F42" s="13">
        <v>5.8823529411764705E-2</v>
      </c>
      <c r="G42" s="18">
        <v>5.8823529411764705E-2</v>
      </c>
      <c r="H42" s="17">
        <v>0</v>
      </c>
      <c r="I42" s="13">
        <v>0.17647058823529413</v>
      </c>
      <c r="J42" s="18">
        <v>5.8823529411764705E-2</v>
      </c>
      <c r="K42" s="17">
        <v>0</v>
      </c>
      <c r="L42" s="13">
        <v>0.11764705882352941</v>
      </c>
      <c r="M42" s="18">
        <v>0.11764705882352941</v>
      </c>
      <c r="N42" s="13">
        <v>0.17647058823529413</v>
      </c>
      <c r="O42" s="18">
        <v>5.8823529411764705E-2</v>
      </c>
      <c r="P42" s="13"/>
      <c r="Q42" s="17">
        <v>0</v>
      </c>
      <c r="R42" s="13">
        <v>0</v>
      </c>
      <c r="S42" s="18">
        <v>0</v>
      </c>
    </row>
    <row r="43" spans="2:43" ht="15" thickBot="1" x14ac:dyDescent="0.4">
      <c r="B43" s="73"/>
      <c r="C43" s="66"/>
      <c r="D43" s="11" t="s">
        <v>70</v>
      </c>
      <c r="E43" s="19">
        <v>0.41176470588235292</v>
      </c>
      <c r="F43" s="20">
        <v>0</v>
      </c>
      <c r="G43" s="21">
        <v>0</v>
      </c>
      <c r="H43" s="19">
        <v>0.17647058823529413</v>
      </c>
      <c r="I43" s="20">
        <v>0.23529411764705882</v>
      </c>
      <c r="J43" s="21">
        <v>0</v>
      </c>
      <c r="K43" s="19">
        <v>0.23529411764705882</v>
      </c>
      <c r="L43" s="20">
        <v>0.17647058823529413</v>
      </c>
      <c r="M43" s="21">
        <v>0</v>
      </c>
      <c r="N43" s="20">
        <v>0.29411764705882354</v>
      </c>
      <c r="O43" s="21">
        <v>0.11764705882352941</v>
      </c>
      <c r="P43" s="13"/>
      <c r="Q43" s="19">
        <v>0.29411764705882354</v>
      </c>
      <c r="R43" s="20">
        <v>5.8823529411764705E-2</v>
      </c>
      <c r="S43" s="21">
        <v>0.35294117647058826</v>
      </c>
    </row>
    <row r="44" spans="2:43" ht="29" x14ac:dyDescent="0.35">
      <c r="B44" s="73"/>
      <c r="C44" s="65" t="s">
        <v>55</v>
      </c>
      <c r="D44" s="37" t="s">
        <v>71</v>
      </c>
      <c r="E44" s="28">
        <v>0.23529411764705882</v>
      </c>
      <c r="F44" s="29">
        <v>0</v>
      </c>
      <c r="G44" s="30">
        <v>0</v>
      </c>
      <c r="H44" s="28">
        <v>0.11764705882352941</v>
      </c>
      <c r="I44" s="29">
        <v>0.11764705882352941</v>
      </c>
      <c r="J44" s="30">
        <v>0</v>
      </c>
      <c r="K44" s="28">
        <v>0.17647058823529413</v>
      </c>
      <c r="L44" s="29">
        <v>5.8823529411764705E-2</v>
      </c>
      <c r="M44" s="30">
        <v>0</v>
      </c>
      <c r="N44" s="29">
        <v>0.23529411764705882</v>
      </c>
      <c r="O44" s="30">
        <v>0</v>
      </c>
      <c r="P44" s="13"/>
      <c r="Q44" s="28">
        <v>0.17647058823529413</v>
      </c>
      <c r="R44" s="29">
        <v>5.8823529411764705E-2</v>
      </c>
      <c r="S44" s="30">
        <v>0</v>
      </c>
    </row>
    <row r="45" spans="2:43" x14ac:dyDescent="0.35">
      <c r="B45" s="73"/>
      <c r="C45" s="63"/>
      <c r="D45" s="10" t="s">
        <v>69</v>
      </c>
      <c r="E45" s="17">
        <v>0.41176470588235292</v>
      </c>
      <c r="F45" s="13">
        <v>5.8823529411764705E-2</v>
      </c>
      <c r="G45" s="18">
        <v>5.8823529411764705E-2</v>
      </c>
      <c r="H45" s="17">
        <v>0.11764705882352941</v>
      </c>
      <c r="I45" s="13">
        <v>0.35294117647058826</v>
      </c>
      <c r="J45" s="18">
        <v>5.8823529411764705E-2</v>
      </c>
      <c r="K45" s="17">
        <v>0.17647058823529413</v>
      </c>
      <c r="L45" s="13">
        <v>0.29411764705882354</v>
      </c>
      <c r="M45" s="18">
        <v>5.8823529411764705E-2</v>
      </c>
      <c r="N45" s="13">
        <v>0.35294117647058826</v>
      </c>
      <c r="O45" s="18">
        <v>0.17647058823529413</v>
      </c>
      <c r="P45" s="13"/>
      <c r="Q45" s="17">
        <v>0.11764705882352941</v>
      </c>
      <c r="R45" s="13">
        <v>0.11764705882352941</v>
      </c>
      <c r="S45" s="18">
        <v>0.29411764705882354</v>
      </c>
    </row>
    <row r="46" spans="2:43" ht="15" thickBot="1" x14ac:dyDescent="0.4">
      <c r="B46" s="74"/>
      <c r="C46" s="66"/>
      <c r="D46" s="11" t="s">
        <v>72</v>
      </c>
      <c r="E46" s="19">
        <v>5.8823529411764705E-2</v>
      </c>
      <c r="F46" s="20">
        <v>5.8823529411764705E-2</v>
      </c>
      <c r="G46" s="21">
        <v>0.11764705882352941</v>
      </c>
      <c r="H46" s="19">
        <v>0</v>
      </c>
      <c r="I46" s="20">
        <v>0</v>
      </c>
      <c r="J46" s="21">
        <v>0.23529411764705882</v>
      </c>
      <c r="K46" s="19">
        <v>0</v>
      </c>
      <c r="L46" s="20">
        <v>0</v>
      </c>
      <c r="M46" s="21">
        <v>0.23529411764705882</v>
      </c>
      <c r="N46" s="20">
        <v>0.23529411764705882</v>
      </c>
      <c r="O46" s="21">
        <v>0</v>
      </c>
      <c r="P46" s="13"/>
      <c r="Q46" s="19">
        <v>5.8823529411764705E-2</v>
      </c>
      <c r="R46" s="20">
        <v>0.11764705882352941</v>
      </c>
      <c r="S46" s="21">
        <v>5.8823529411764705E-2</v>
      </c>
    </row>
    <row r="48" spans="2:43" x14ac:dyDescent="0.35">
      <c r="L48" s="2"/>
    </row>
  </sheetData>
  <mergeCells count="35">
    <mergeCell ref="B30:B34"/>
    <mergeCell ref="B35:B40"/>
    <mergeCell ref="B41:B46"/>
    <mergeCell ref="C33:C34"/>
    <mergeCell ref="C35:C36"/>
    <mergeCell ref="C37:C38"/>
    <mergeCell ref="C41:C43"/>
    <mergeCell ref="C44:C46"/>
    <mergeCell ref="C39:C40"/>
    <mergeCell ref="C30:C32"/>
    <mergeCell ref="K3:M3"/>
    <mergeCell ref="Q27:S27"/>
    <mergeCell ref="E28:G28"/>
    <mergeCell ref="H28:J28"/>
    <mergeCell ref="K28:M28"/>
    <mergeCell ref="Q28:S28"/>
    <mergeCell ref="C13:C14"/>
    <mergeCell ref="C15:C17"/>
    <mergeCell ref="C18:C20"/>
    <mergeCell ref="E3:G3"/>
    <mergeCell ref="H3:J3"/>
    <mergeCell ref="Q3:S3"/>
    <mergeCell ref="E4:G4"/>
    <mergeCell ref="H4:J4"/>
    <mergeCell ref="K4:M4"/>
    <mergeCell ref="Q4:S4"/>
    <mergeCell ref="C21:C22"/>
    <mergeCell ref="N3:O3"/>
    <mergeCell ref="E27:G27"/>
    <mergeCell ref="H27:J27"/>
    <mergeCell ref="K27:M27"/>
    <mergeCell ref="N27:O27"/>
    <mergeCell ref="C6:C8"/>
    <mergeCell ref="C9:C10"/>
    <mergeCell ref="C11:C12"/>
  </mergeCells>
  <conditionalFormatting sqref="E33:G46">
    <cfRule type="cellIs" dxfId="6" priority="20" operator="greaterThan">
      <formula>0.29</formula>
    </cfRule>
  </conditionalFormatting>
  <conditionalFormatting sqref="H33:O46 K30:O32">
    <cfRule type="cellIs" dxfId="5" priority="19" operator="greaterThan">
      <formula>0.29</formula>
    </cfRule>
  </conditionalFormatting>
  <conditionalFormatting sqref="H41:J43">
    <cfRule type="cellIs" dxfId="4" priority="18" operator="greaterThan">
      <formula>0.23</formula>
    </cfRule>
  </conditionalFormatting>
  <conditionalFormatting sqref="K39:M43">
    <cfRule type="cellIs" dxfId="3" priority="17" operator="greaterThan">
      <formula>0.23</formula>
    </cfRule>
  </conditionalFormatting>
  <conditionalFormatting sqref="K30:M32">
    <cfRule type="cellIs" dxfId="2" priority="16" operator="greaterThan">
      <formula>0.23</formula>
    </cfRule>
  </conditionalFormatting>
  <conditionalFormatting sqref="Q30:S46">
    <cfRule type="cellIs" dxfId="1" priority="15" operator="greaterThan">
      <formula>0.29</formula>
    </cfRule>
  </conditionalFormatting>
  <conditionalFormatting sqref="Q37:S38">
    <cfRule type="cellIs" dxfId="0" priority="14" operator="greaterThan">
      <formula>0.17</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85" zoomScaleNormal="85" workbookViewId="0">
      <selection activeCell="AE16" sqref="AE16"/>
    </sheetView>
  </sheetViews>
  <sheetFormatPr defaultRowHeight="14.5" x14ac:dyDescent="0.3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604C3B73AE9943B737720A48E3AF7C" ma:contentTypeVersion="13" ma:contentTypeDescription="Create a new document." ma:contentTypeScope="" ma:versionID="9ff1a58471fed2f3457f40752567fc24">
  <xsd:schema xmlns:xsd="http://www.w3.org/2001/XMLSchema" xmlns:xs="http://www.w3.org/2001/XMLSchema" xmlns:p="http://schemas.microsoft.com/office/2006/metadata/properties" xmlns:ns3="60c75bb3-2e3f-4394-b4f4-3e2677e21dfa" xmlns:ns4="9c83b91e-5ffe-420f-9ed1-9dac5903eaec" targetNamespace="http://schemas.microsoft.com/office/2006/metadata/properties" ma:root="true" ma:fieldsID="155e50273782d3acc82edc1ef496f436" ns3:_="" ns4:_="">
    <xsd:import namespace="60c75bb3-2e3f-4394-b4f4-3e2677e21dfa"/>
    <xsd:import namespace="9c83b91e-5ffe-420f-9ed1-9dac5903eae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75bb3-2e3f-4394-b4f4-3e2677e21df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83b91e-5ffe-420f-9ed1-9dac5903eaec"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CD8490-FBFF-4E58-856B-268355E204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c75bb3-2e3f-4394-b4f4-3e2677e21dfa"/>
    <ds:schemaRef ds:uri="9c83b91e-5ffe-420f-9ed1-9dac5903e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08E7AF-0DB7-454A-B718-7AE55AFFBB03}">
  <ds:schemaRefs>
    <ds:schemaRef ds:uri="http://schemas.microsoft.com/sharepoint/v3/contenttype/forms"/>
  </ds:schemaRefs>
</ds:datastoreItem>
</file>

<file path=customXml/itemProps3.xml><?xml version="1.0" encoding="utf-8"?>
<ds:datastoreItem xmlns:ds="http://schemas.openxmlformats.org/officeDocument/2006/customXml" ds:itemID="{E7BD2A3A-A2A1-45F7-92D7-E2540640064A}">
  <ds:schemaRefs>
    <ds:schemaRef ds:uri="60c75bb3-2e3f-4394-b4f4-3e2677e21dfa"/>
    <ds:schemaRef ds:uri="http://schemas.microsoft.com/office/2006/metadata/properties"/>
    <ds:schemaRef ds:uri="http://schemas.openxmlformats.org/package/2006/metadata/core-properties"/>
    <ds:schemaRef ds:uri="http://schemas.microsoft.com/office/infopath/2007/PartnerControls"/>
    <ds:schemaRef ds:uri="http://schemas.microsoft.com/office/2006/documentManagement/types"/>
    <ds:schemaRef ds:uri="9c83b91e-5ffe-420f-9ed1-9dac5903eaec"/>
    <ds:schemaRef ds:uri="http://purl.org/dc/dcmitype/"/>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Model</vt:lpstr>
      <vt:lpstr>Promised And Actual Scores</vt:lpstr>
      <vt:lpstr>Presentation Probabilities</vt:lpstr>
      <vt:lpstr>Reform Story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Helen Witte</dc:creator>
  <cp:lastModifiedBy>Anshul Rana</cp:lastModifiedBy>
  <cp:lastPrinted>2019-01-31T17:51:30Z</cp:lastPrinted>
  <dcterms:created xsi:type="dcterms:W3CDTF">2017-09-01T21:00:39Z</dcterms:created>
  <dcterms:modified xsi:type="dcterms:W3CDTF">2020-06-18T17:39:34Z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0x010100FD604C3B73AE9943B737720A48E3AF7C</vt:lpwstr>
  </property>
</Properties>
</file>